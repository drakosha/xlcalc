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cond-43137/"/>
    </mc:Choice>
  </mc:AlternateContent>
  <xr:revisionPtr revIDLastSave="0" documentId="8_{8D745512-412F-154B-BE2E-B0ACE0BB726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Other 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 a="1"/>
  <c r="D11" i="1" s="1"/>
  <c r="D10" i="1" a="1"/>
  <c r="D10" i="1" s="1"/>
  <c r="D9" i="1" a="1"/>
  <c r="D9" i="1" s="1"/>
  <c r="D8" i="1" a="1"/>
  <c r="D8" i="1" s="1"/>
  <c r="D7" i="1" a="1"/>
  <c r="D7" i="1" s="1"/>
  <c r="D5" i="1" a="1"/>
  <c r="D5" i="1" s="1"/>
  <c r="D4" i="1" a="1"/>
  <c r="D4" i="1" s="1"/>
  <c r="D3" i="1" a="1"/>
  <c r="D3" i="1" s="1"/>
  <c r="D2" i="1" a="1"/>
  <c r="D2" i="1" s="1"/>
  <c r="D1" i="1" a="1"/>
  <c r="D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<sst xmlns="http://schemas.openxmlformats.org/spreadsheetml/2006/main" count="12" uniqueCount="11">
  <si>
    <t>a1</t>
  </si>
  <si>
    <t>a"bc</t>
  </si>
  <si>
    <t>xyz</t>
  </si>
  <si>
    <t>q</t>
  </si>
  <si>
    <t>b12</t>
  </si>
  <si>
    <t/>
  </si>
  <si>
    <t>ab</t>
  </si>
  <si>
    <t>z</t>
  </si>
  <si>
    <t>Q1</t>
  </si>
  <si>
    <t>x</t>
  </si>
  <si>
    <t>a"b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</si>
</sst>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4">
    <dxf>
      <font>
        <color rgb="FFFF0000"/>
      </font>
    </dxf>
    <dxf>
      <fill>
        <patternFill>
          <bgColor rgb="FFFFC000"/>
        </patternFill>
      </fill>
    </dxf>
    <dxf>
      <numFmt numFmtId="165" formatCode="#,##0.00\ &quot;kg&quot;"/>
    </dxf>
    <dxf>
      <fill>
        <patternFill>
          <bgColor rgb="FFC6EFCE"/>
        </patternFill>
      </fill>
    </dxf>
    <dxf>
      <font>
        <color rgb="FF0070C0"/>
      </font>
    </dxf>
    <dxf>
      <fill>
        <patternFill>
          <bgColor rgb="FFC6EFCE"/>
        </patternFill>
      </fill>
    </dxf>
    <dxf>
      <numFmt numFmtId="14" formatCode="0.00%"/>
    </dxf>
    <dxf>
      <fill>
        <patternFill>
          <bgColor rgb="FFD9D9D9"/>
        </patternFill>
      </fill>
    </dxf>
    <dxf>
      <fill>
        <patternFill>
          <bgColor rgb="FFFFEB9C"/>
        </patternFill>
      </fill>
    </dxf>
    <dxf>
      <numFmt numFmtId="164" formatCode="0.0"/>
    </dxf>
    <dxf>
      <fill>
        <patternFill>
          <bgColor rgb="FF00B050"/>
        </patternFill>
      </fill>
    </dxf>
    <dxf>
      <font>
        <i/>
        <strike/>
      </font>
    </dxf>
    <dxf>
      <font>
        <b/>
        <u val="double"/>
      </font>
      <border>
        <left/>
        <right/>
        <top style="dashed">
          <color auto="1"/>
        </top>
        <bottom style="thin">
          <color rgb="FFFF0000"/>
        </bottom>
      </border>
    </dxf>
    <dxf>
      <font>
        <b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"/>
  <sheetViews>
    <sheetView tabSelected="1" workbookViewId="0"/>
  </sheetViews>
  <sheetFormatPr baseColWidth="10" defaultColWidth="8.83203125" defaultRowHeight="15" x14ac:dyDescent="0.2"/>
  <sheetData>
    <row r="1" spans="1:26" x14ac:dyDescent="0.2">
      <c r="A1">
        <v>1</v>
      </c>
      <c r="B1">
        <v>1</v>
      </c>
      <c r="C1" t="s">
        <v>0</v>
      </c>
      <c r="D1" cm="1">
        <f t="array" aca="1" ref="D1" ca="1">EDATE(TODAY(),-1)+-4</f>
        <v>46271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  <c r="M1">
        <v>1</v>
      </c>
      <c r="N1">
        <v>1</v>
      </c>
      <c r="O1">
        <v>1</v>
      </c>
      <c r="Z1">
        <v>8</v>
      </c>
    </row>
    <row r="2" spans="1:26" x14ac:dyDescent="0.2">
      <c r="A2">
        <v>2</v>
      </c>
      <c r="B2">
        <v>2</v>
      </c>
      <c r="C2" t="s">
        <v>1</v>
      </c>
      <c r="D2" cm="1">
        <f t="array" aca="1" ref="D2" ca="1">EDATE(TODAY(),-1)+-3</f>
        <v>46272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  <c r="L2">
        <v>2</v>
      </c>
      <c r="M2">
        <v>2</v>
      </c>
      <c r="N2">
        <v>2</v>
      </c>
      <c r="O2">
        <v>2</v>
      </c>
    </row>
    <row r="3" spans="1:26" x14ac:dyDescent="0.2">
      <c r="A3">
        <v>3</v>
      </c>
      <c r="B3">
        <v>3</v>
      </c>
      <c r="C3" t="s">
        <v>2</v>
      </c>
      <c r="D3" cm="1">
        <f t="array" aca="1" ref="D3" ca="1">EDATE(TODAY(),-1)+-2</f>
        <v>46273</v>
      </c>
      <c r="E3">
        <v>3</v>
      </c>
      <c r="F3">
        <v>3</v>
      </c>
      <c r="G3">
        <v>3</v>
      </c>
      <c r="H3">
        <v>3</v>
      </c>
      <c r="I3">
        <v>3</v>
      </c>
      <c r="J3">
        <v>3</v>
      </c>
      <c r="K3">
        <v>3</v>
      </c>
      <c r="L3">
        <v>3</v>
      </c>
      <c r="M3">
        <v>3</v>
      </c>
      <c r="N3">
        <v>3</v>
      </c>
      <c r="O3">
        <v>3</v>
      </c>
    </row>
    <row r="4" spans="1:26" x14ac:dyDescent="0.2">
      <c r="A4">
        <v>4</v>
      </c>
      <c r="B4">
        <v>4</v>
      </c>
      <c r="C4" t="s">
        <v>3</v>
      </c>
      <c r="D4" cm="1">
        <f t="array" aca="1" ref="D4" ca="1">EDATE(TODAY(),-1)+-1</f>
        <v>46274</v>
      </c>
      <c r="E4">
        <v>4</v>
      </c>
      <c r="F4">
        <v>4</v>
      </c>
      <c r="G4">
        <v>4</v>
      </c>
      <c r="H4">
        <v>4</v>
      </c>
      <c r="I4">
        <v>4</v>
      </c>
      <c r="J4">
        <v>4</v>
      </c>
      <c r="K4">
        <v>4</v>
      </c>
      <c r="L4">
        <v>4</v>
      </c>
      <c r="M4">
        <v>4</v>
      </c>
      <c r="N4">
        <v>4</v>
      </c>
      <c r="O4">
        <v>4</v>
      </c>
    </row>
    <row r="5" spans="1:26" x14ac:dyDescent="0.2">
      <c r="A5">
        <v>5</v>
      </c>
      <c r="B5">
        <v>5</v>
      </c>
      <c r="C5" t="s">
        <v>4</v>
      </c>
      <c r="D5" t="e" cm="1">
        <f t="array" ref="D5">NA()</f>
        <v>#N/A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</row>
    <row r="6" spans="1:26" x14ac:dyDescent="0.2">
      <c r="A6">
        <v>6</v>
      </c>
      <c r="B6">
        <v>6</v>
      </c>
      <c r="C6" t="s">
        <v>5</v>
      </c>
      <c r="D6" t="s">
        <v>5</v>
      </c>
      <c r="E6">
        <v>6</v>
      </c>
      <c r="F6">
        <v>6</v>
      </c>
      <c r="G6">
        <v>6</v>
      </c>
      <c r="H6">
        <v>6</v>
      </c>
      <c r="I6">
        <v>6</v>
      </c>
      <c r="J6">
        <v>6</v>
      </c>
      <c r="K6">
        <v>6</v>
      </c>
      <c r="L6">
        <v>6</v>
      </c>
      <c r="M6">
        <v>6</v>
      </c>
      <c r="N6">
        <v>6</v>
      </c>
      <c r="O6">
        <v>6</v>
      </c>
    </row>
    <row r="7" spans="1:26" x14ac:dyDescent="0.2">
      <c r="A7">
        <v>7</v>
      </c>
      <c r="B7">
        <v>7</v>
      </c>
      <c r="C7" t="s">
        <v>6</v>
      </c>
      <c r="D7" cm="1">
        <f t="array" aca="1" ref="D7" ca="1">EDATE(TODAY(),-1)+2</f>
        <v>46277</v>
      </c>
      <c r="E7">
        <v>7</v>
      </c>
      <c r="F7">
        <v>7</v>
      </c>
      <c r="G7">
        <v>7</v>
      </c>
      <c r="H7">
        <v>7</v>
      </c>
      <c r="I7">
        <v>7</v>
      </c>
      <c r="J7">
        <v>7</v>
      </c>
      <c r="K7">
        <v>7</v>
      </c>
      <c r="L7">
        <v>7</v>
      </c>
      <c r="M7">
        <v>7</v>
      </c>
      <c r="N7">
        <v>7</v>
      </c>
      <c r="O7">
        <v>7</v>
      </c>
    </row>
    <row r="8" spans="1:26" x14ac:dyDescent="0.2">
      <c r="A8">
        <v>8</v>
      </c>
      <c r="B8">
        <v>8</v>
      </c>
      <c r="C8" t="s">
        <v>7</v>
      </c>
      <c r="D8" cm="1">
        <f t="array" aca="1" ref="D8" ca="1">EDATE(TODAY(),-1)+3</f>
        <v>46278</v>
      </c>
      <c r="E8">
        <v>8</v>
      </c>
      <c r="F8">
        <v>8</v>
      </c>
      <c r="G8">
        <v>8</v>
      </c>
      <c r="H8">
        <v>8</v>
      </c>
      <c r="I8">
        <v>8</v>
      </c>
      <c r="J8">
        <v>8</v>
      </c>
      <c r="K8">
        <v>8</v>
      </c>
      <c r="L8">
        <v>8</v>
      </c>
      <c r="M8">
        <v>8</v>
      </c>
      <c r="N8">
        <v>8</v>
      </c>
      <c r="O8">
        <v>8</v>
      </c>
    </row>
    <row r="9" spans="1:26" x14ac:dyDescent="0.2">
      <c r="A9">
        <v>9</v>
      </c>
      <c r="B9">
        <v>9</v>
      </c>
      <c r="C9" t="s">
        <v>8</v>
      </c>
      <c r="D9" cm="1">
        <f t="array" aca="1" ref="D9" ca="1">EDATE(TODAY(),-1)+4</f>
        <v>46279</v>
      </c>
      <c r="E9">
        <v>9</v>
      </c>
      <c r="F9">
        <v>9</v>
      </c>
      <c r="G9">
        <v>9</v>
      </c>
      <c r="H9">
        <v>9</v>
      </c>
      <c r="I9">
        <v>9</v>
      </c>
      <c r="J9">
        <v>9</v>
      </c>
      <c r="K9">
        <v>9</v>
      </c>
      <c r="L9">
        <v>9</v>
      </c>
      <c r="M9">
        <v>9</v>
      </c>
      <c r="N9">
        <v>9</v>
      </c>
      <c r="O9">
        <v>9</v>
      </c>
    </row>
    <row r="10" spans="1:26" x14ac:dyDescent="0.2">
      <c r="A10">
        <v>10</v>
      </c>
      <c r="B10">
        <v>10</v>
      </c>
      <c r="C10" t="s">
        <v>9</v>
      </c>
      <c r="D10" cm="1">
        <f t="array" aca="1" ref="D10" ca="1">EDATE(TODAY(),-1)+5</f>
        <v>46280</v>
      </c>
      <c r="E10">
        <v>10</v>
      </c>
      <c r="F10">
        <v>10</v>
      </c>
      <c r="G10">
        <v>10</v>
      </c>
      <c r="H10">
        <v>10</v>
      </c>
      <c r="I10">
        <v>10</v>
      </c>
      <c r="J10">
        <v>10</v>
      </c>
      <c r="K10">
        <v>10</v>
      </c>
      <c r="L10">
        <v>10</v>
      </c>
      <c r="M10">
        <v>10</v>
      </c>
      <c r="N10">
        <v>10</v>
      </c>
      <c r="O10">
        <v>10</v>
      </c>
    </row>
    <row r="11" spans="1:26" x14ac:dyDescent="0.2">
      <c r="A11">
        <v>-2</v>
      </c>
      <c r="B11">
        <v>-2</v>
      </c>
      <c r="C11" t="s">
        <v>10</v>
      </c>
      <c r="D11" cm="1">
        <f t="array" aca="1" ref="D11" ca="1">EDATE(TODAY(),-1)+6</f>
        <v>46281</v>
      </c>
      <c r="E11">
        <v>-2</v>
      </c>
      <c r="F11">
        <v>-2</v>
      </c>
      <c r="G11">
        <v>-2</v>
      </c>
      <c r="H11">
        <v>-2</v>
      </c>
      <c r="I11">
        <v>-2</v>
      </c>
      <c r="J11">
        <v>-2</v>
      </c>
      <c r="K11">
        <v>-2</v>
      </c>
      <c r="L11">
        <v>-2</v>
      </c>
      <c r="M11">
        <v>-2</v>
      </c>
      <c r="N11">
        <v>-2</v>
      </c>
      <c r="O11">
        <v>-2</v>
      </c>
    </row>
  </sheetData>
  <conditionalFormatting sqref="A1:A11">
    <cfRule type="cellIs" dxfId="13" priority="1" stopIfTrue="1" operator="between">
      <formula>3</formula>
      <formula>$Z$1</formula>
    </cfRule>
  </conditionalFormatting>
  <conditionalFormatting sqref="B1:B11">
    <cfRule type="expression" dxfId="12" priority="2">
      <formula>AND($B1&gt;2,ISODD($B1))</formula>
    </cfRule>
  </conditionalFormatting>
  <conditionalFormatting sqref="C1:C11">
    <cfRule type="containsText" dxfId="11" priority="3" operator="containsText" text="1">
      <formula>NOT(ISERROR(SEARCH("1",C1)))</formula>
    </cfRule>
    <cfRule type="beginsWith" priority="4" operator="beginsWith" text="a&quot;b">
      <formula>LEFT(C1,LEN("a""b"))="a""b"</formula>
    </cfRule>
    <cfRule type="endsWith" dxfId="10" priority="5" operator="endsWith" text="z">
      <formula>RIGHT(C1,LEN("z"))="z"</formula>
    </cfRule>
    <cfRule type="notContainsText" dxfId="9" priority="6" operator="notContains" text="q">
      <formula>ISERROR(SEARCH("q",C1))</formula>
    </cfRule>
  </conditionalFormatting>
  <conditionalFormatting sqref="D1:D11">
    <cfRule type="timePeriod" dxfId="8" priority="7" timePeriod="lastMonth">
      <formula>AND(MONTH(D1)=MONTH(EDATE(TODAY(),0-1)),YEAR(D1)=YEAR(EDATE(TODAY(),0-1)))</formula>
    </cfRule>
    <cfRule type="containsBlanks" dxfId="7" priority="8">
      <formula>LEN(TRIM(D1))=0</formula>
    </cfRule>
    <cfRule type="notContainsErrors" dxfId="6" priority="9">
      <formula>NOT(ISERROR(D1))</formula>
    </cfRule>
  </conditionalFormatting>
  <conditionalFormatting sqref="E1:E11">
    <cfRule type="top10" dxfId="5" priority="10" percent="1" bottom="1" rank="30"/>
    <cfRule type="aboveAverage" dxfId="4" priority="11" aboveAverage="0" equalAverage="1"/>
  </conditionalFormatting>
  <conditionalFormatting sqref="F1:F11">
    <cfRule type="uniqueValues" dxfId="3" priority="12"/>
    <cfRule type="duplicateValues" dxfId="2" priority="13"/>
  </conditionalFormatting>
  <conditionalFormatting sqref="G1:G11">
    <cfRule type="colorScale" priority="14">
      <colorScale>
        <cfvo type="num" val="0"/>
        <cfvo type="percentile" val="40"/>
        <cfvo type="formula" val="$Z$1*2"/>
        <color rgb="FF5A8AC6"/>
        <color rgb="FFFCFCFF"/>
        <color rgb="FFF8696B"/>
      </colorScale>
    </cfRule>
  </conditionalFormatting>
  <conditionalFormatting sqref="H1:H11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{00000001-0000-4000-8000-00000000000F}</x14:id>
        </ext>
      </extLst>
    </cfRule>
  </conditionalFormatting>
  <conditionalFormatting sqref="I1:I11">
    <cfRule type="dataBar" priority="16">
      <dataBar showValue="0">
        <cfvo type="num" val="-5"/>
        <cfvo type="percentile" val="90"/>
        <color rgb="FFFFB628"/>
      </dataBar>
      <extLst>
        <ext xmlns:x14="http://schemas.microsoft.com/office/spreadsheetml/2009/9/main" uri="{B025F937-C7B1-47D3-B67F-A62EFF666E3E}">
          <x14:id>{00000001-0000-4000-8000-000000000010}</x14:id>
        </ext>
      </extLst>
    </cfRule>
  </conditionalFormatting>
  <conditionalFormatting sqref="J1:J11">
    <cfRule type="dataBar" priority="17">
      <dataBar>
        <cfvo type="min"/>
        <cfvo type="max"/>
        <color rgb="FF63C384"/>
      </dataBar>
    </cfRule>
  </conditionalFormatting>
  <conditionalFormatting sqref="K1:K11">
    <cfRule type="iconSet" priority="18">
      <iconSet iconSet="5Quarters" reverse="1">
        <cfvo type="percent" val="0"/>
        <cfvo type="percent" val="20"/>
        <cfvo type="num" val="5" gte="0"/>
        <cfvo type="percentile" val="60"/>
        <cfvo type="formula" val="$Z$1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H1:H11</xm:sqref>
        </x14:conditionalFormatting>
        <x14:conditionalFormatting xmlns:xm="http://schemas.microsoft.com/office/excel/2006/main">
          <x14:cfRule type="dataBar" id="{00000001-0000-4000-8000-000000000010}">
            <x14:dataBar gradient="0" direction="rightToLeft" negativeBarColorSameAsPositive="1" axisPosition="middle">
              <x14:cfvo type="num">
                <xm:f>-5</xm:f>
              </x14:cfvo>
              <x14:cfvo type="percentile">
                <xm:f>90</xm:f>
              </x14:cfvo>
              <x14:axisColor rgb="FF7F7F7F"/>
            </x14:dataBar>
          </x14:cfRule>
          <xm:sqref>I1:I11</xm:sqref>
        </x14:conditionalFormatting>
        <x14:conditionalFormatting xmlns:xm="http://schemas.microsoft.com/office/excel/2006/main">
          <x14:cfRule type="iconSet" priority="19" id="{00000001-0000-4000-8000-000000000013}">
            <x14:iconSet iconSet="3Stars" showValue="0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L1:L11</xm:sqref>
        </x14:conditionalFormatting>
        <x14:conditionalFormatting xmlns:xm="http://schemas.microsoft.com/office/excel/2006/main">
          <x14:cfRule type="iconSet" priority="20" id="{00000001-0000-4000-8000-000000000014}">
            <x14:iconSet custom="1">
              <x14:cfvo type="percent">
                <xm:f>0</xm:f>
              </x14:cfvo>
              <x14:cfvo type="num">
                <xm:f>4</xm:f>
              </x14:cfvo>
              <x14:cfvo type="num">
                <xm:f>8</xm:f>
              </x14:cfvo>
              <x14:cfIcon iconSet="3Flags" iconId="0"/>
              <x14:cfIcon iconSet="NoIcons" iconId="0"/>
              <x14:cfIcon iconSet="5Boxes" iconId="4"/>
            </x14:iconSet>
          </x14:cfRule>
          <xm:sqref>M1:M11</xm:sqref>
        </x14:conditionalFormatting>
        <x14:conditionalFormatting xmlns:xm="http://schemas.microsoft.com/office/excel/2006/main">
          <x14:cfRule type="expression" priority="21" id="{00000001-0000-4000-8000-000000000015}">
            <xm:f>$N1&gt;'Other sheet'!$A$1</xm:f>
            <x14:dxf>
              <fill>
                <patternFill>
                  <bgColor rgb="FFFFC000"/>
                </patternFill>
              </fill>
            </x14:dxf>
          </x14:cfRule>
          <xm:sqref>N1:N11</xm:sqref>
        </x14:conditionalFormatting>
        <x14:conditionalFormatting xmlns:xm="http://schemas.microsoft.com/office/excel/2006/main">
          <x14:cfRule type="cellIs" priority="22" operator="greaterThan" id="{00000001-0000-4000-8000-000000000016}">
            <xm:f>'Other sheet'!$A$2</xm:f>
            <x14:dxf>
              <font>
                <color rgb="FFFF0000"/>
              </font>
            </x14:dxf>
          </x14:cfRule>
          <xm:sqref>O1:O11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>
        <v>4</v>
      </c>
    </row>
    <row r="2" spans="1:1" x14ac:dyDescent="0.2">
      <c r="A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Other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2026-10-10T09:53:14Z</dcterms:created>
  <dcterms:modified xsi:type="dcterms:W3CDTF">2026-10-10T09:53:14Z</dcterms:modified>
</cp:coreProperties>
</file>