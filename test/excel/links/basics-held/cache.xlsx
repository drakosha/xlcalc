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90927/"/>
    </mc:Choice>
  </mc:AlternateContent>
  <xr:revisionPtr revIDLastSave="0" documentId="8_{E31728F8-BD85-6E46-B7FE-F0083DEFA0E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ocal1" sheetId="2" r:id="rId2"/>
    <sheet name="WT" sheetId="3" r:id="rId3"/>
    <sheet name="WN" sheetId="4" r:id="rId4"/>
    <sheet name="WX" sheetId="5" r:id="rId5"/>
  </sheets>
  <externalReferences>
    <externalReference r:id="rId6"/>
  </externalReferences>
  <definedNames>
    <definedName name="Ext">[1]Sheet1!$A$2</definedName>
    <definedName name="ExtR">[1]Sheet1!$A$1:$A$3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C6" i="1"/>
  <c r="A46" i="4" s="1" a="1"/>
  <c r="A46" i="4" s="1"/>
  <c r="C2" i="1"/>
  <c r="C3" i="1"/>
  <c r="A43" i="5" s="1" a="1"/>
  <c r="A43" i="5" s="1"/>
  <c r="B50" i="5" a="1"/>
  <c r="B50" i="5" s="1"/>
  <c r="A50" i="5" a="1"/>
  <c r="A50" i="5" s="1"/>
  <c r="B49" i="5" a="1"/>
  <c r="B49" i="5"/>
  <c r="A49" i="5" a="1"/>
  <c r="A49" i="5" s="1"/>
  <c r="B48" i="5" a="1"/>
  <c r="B48" i="5" s="1"/>
  <c r="A48" i="5" a="1"/>
  <c r="A48" i="5" s="1"/>
  <c r="B47" i="5" a="1"/>
  <c r="B47" i="5"/>
  <c r="A47" i="5" a="1"/>
  <c r="A47" i="5" s="1"/>
  <c r="B46" i="5" a="1"/>
  <c r="B46" i="5" s="1"/>
  <c r="A46" i="5" a="1"/>
  <c r="A46" i="5" s="1"/>
  <c r="B45" i="5" a="1"/>
  <c r="B45" i="5" s="1"/>
  <c r="B44" i="5" a="1"/>
  <c r="B44" i="5" s="1"/>
  <c r="A44" i="5" a="1"/>
  <c r="A44" i="5" s="1"/>
  <c r="B43" i="5" a="1"/>
  <c r="B43" i="5" s="1"/>
  <c r="B42" i="5" a="1"/>
  <c r="B42" i="5" s="1"/>
  <c r="A42" i="5" a="1"/>
  <c r="A42" i="5" s="1"/>
  <c r="B41" i="5" a="1"/>
  <c r="B41" i="5" s="1"/>
  <c r="B50" i="4" a="1"/>
  <c r="B50" i="4"/>
  <c r="A50" i="4" a="1"/>
  <c r="A50" i="4" s="1"/>
  <c r="B49" i="4" a="1"/>
  <c r="B49" i="4" s="1"/>
  <c r="A49" i="4" a="1"/>
  <c r="A49" i="4" s="1"/>
  <c r="B48" i="4" a="1"/>
  <c r="B48" i="4" s="1"/>
  <c r="A48" i="4" a="1"/>
  <c r="A48" i="4" s="1"/>
  <c r="B47" i="4" a="1"/>
  <c r="B47" i="4" s="1"/>
  <c r="A47" i="4" a="1"/>
  <c r="A47" i="4" s="1"/>
  <c r="B46" i="4" a="1"/>
  <c r="B46" i="4" s="1"/>
  <c r="B45" i="4" a="1"/>
  <c r="B45" i="4" s="1"/>
  <c r="B44" i="4" a="1"/>
  <c r="B44" i="4" s="1"/>
  <c r="A44" i="4" a="1"/>
  <c r="A44" i="4" s="1"/>
  <c r="B43" i="4" a="1"/>
  <c r="B43" i="4"/>
  <c r="A43" i="4" a="1"/>
  <c r="A43" i="4" s="1"/>
  <c r="B42" i="4" a="1"/>
  <c r="B42" i="4" s="1"/>
  <c r="A42" i="4" a="1"/>
  <c r="A42" i="4" s="1"/>
  <c r="B41" i="4" a="1"/>
  <c r="B41" i="4" s="1"/>
  <c r="A9" i="4" a="1"/>
  <c r="A9" i="4" s="1"/>
  <c r="A4" i="4" a="1"/>
  <c r="A4" i="4" s="1"/>
  <c r="B50" i="3" a="1"/>
  <c r="B50" i="3" s="1"/>
  <c r="A50" i="3" a="1"/>
  <c r="A50" i="3" s="1"/>
  <c r="B49" i="3" a="1"/>
  <c r="B49" i="3" s="1"/>
  <c r="A49" i="3" a="1"/>
  <c r="A49" i="3"/>
  <c r="B48" i="3" a="1"/>
  <c r="B48" i="3" s="1"/>
  <c r="A48" i="3" a="1"/>
  <c r="A48" i="3" s="1"/>
  <c r="B47" i="3" a="1"/>
  <c r="B47" i="3"/>
  <c r="A47" i="3" a="1"/>
  <c r="A47" i="3" s="1"/>
  <c r="B46" i="3" a="1"/>
  <c r="B46" i="3" s="1"/>
  <c r="A46" i="3" a="1"/>
  <c r="A46" i="3" s="1"/>
  <c r="B45" i="3" a="1"/>
  <c r="B45" i="3" s="1"/>
  <c r="B44" i="3" a="1"/>
  <c r="B44" i="3"/>
  <c r="A44" i="3" a="1"/>
  <c r="A44" i="3" s="1"/>
  <c r="B43" i="3" a="1"/>
  <c r="B43" i="3" s="1"/>
  <c r="B42" i="3" a="1"/>
  <c r="B42" i="3" s="1"/>
  <c r="A42" i="3" a="1"/>
  <c r="A42" i="3"/>
  <c r="B41" i="3" a="1"/>
  <c r="B41" i="3" s="1"/>
  <c r="A41" i="3" a="1"/>
  <c r="A41" i="3" s="1"/>
  <c r="A11" i="3" a="1"/>
  <c r="A11" i="3" s="1"/>
  <c r="A10" i="3" a="1"/>
  <c r="A10" i="3" s="1"/>
  <c r="A38" i="1" a="1"/>
  <c r="A39" i="4" s="1" a="1"/>
  <c r="A39" i="4" s="1"/>
  <c r="A36" i="1"/>
  <c r="A36" i="3" s="1" a="1"/>
  <c r="A36" i="3" s="1"/>
  <c r="A35" i="1"/>
  <c r="A35" i="3" s="1" a="1"/>
  <c r="A35" i="3" s="1"/>
  <c r="A34" i="1"/>
  <c r="A34" i="3" s="1" a="1"/>
  <c r="A34" i="3" s="1"/>
  <c r="A33" i="1"/>
  <c r="A33" i="5" s="1" a="1"/>
  <c r="A33" i="5" s="1"/>
  <c r="A32" i="1"/>
  <c r="A32" i="5" s="1" a="1"/>
  <c r="A32" i="5" s="1"/>
  <c r="A31" i="1"/>
  <c r="A31" i="5" s="1" a="1"/>
  <c r="A31" i="5" s="1"/>
  <c r="A30" i="1"/>
  <c r="A30" i="4" s="1" a="1"/>
  <c r="A30" i="4" s="1"/>
  <c r="A29" i="1"/>
  <c r="A29" i="4" s="1" a="1"/>
  <c r="A29" i="4" s="1"/>
  <c r="A28" i="1"/>
  <c r="A28" i="4" s="1" a="1"/>
  <c r="A28" i="4" s="1"/>
  <c r="A27" i="1"/>
  <c r="A27" i="3" s="1" a="1"/>
  <c r="A27" i="3" s="1"/>
  <c r="A26" i="1"/>
  <c r="A26" i="3" s="1" a="1"/>
  <c r="A26" i="3" s="1"/>
  <c r="A25" i="1"/>
  <c r="A25" i="3" s="1" a="1"/>
  <c r="A25" i="3" s="1"/>
  <c r="A24" i="1"/>
  <c r="A24" i="5" s="1" a="1"/>
  <c r="A24" i="5" s="1"/>
  <c r="A23" i="1"/>
  <c r="A23" i="5" s="1" a="1"/>
  <c r="A23" i="5" s="1"/>
  <c r="A21" i="1"/>
  <c r="A21" i="4" s="1" a="1"/>
  <c r="A21" i="4" s="1"/>
  <c r="A20" i="1"/>
  <c r="A20" i="4" s="1" a="1"/>
  <c r="A20" i="4" s="1"/>
  <c r="A19" i="1"/>
  <c r="A19" i="4" s="1" a="1"/>
  <c r="A19" i="4" s="1"/>
  <c r="A18" i="1"/>
  <c r="A18" i="3" s="1" a="1"/>
  <c r="A18" i="3" s="1"/>
  <c r="A17" i="1"/>
  <c r="A17" i="3" s="1" a="1"/>
  <c r="A17" i="3" s="1"/>
  <c r="A16" i="1"/>
  <c r="A16" i="3" s="1" a="1"/>
  <c r="A16" i="3" s="1"/>
  <c r="A15" i="1"/>
  <c r="A15" i="5" s="1" a="1"/>
  <c r="A15" i="5" s="1"/>
  <c r="A14" i="1"/>
  <c r="A14" i="5" s="1" a="1"/>
  <c r="A14" i="5" s="1"/>
  <c r="A13" i="1"/>
  <c r="A13" i="5" s="1" a="1"/>
  <c r="A13" i="5" s="1"/>
  <c r="A12" i="1"/>
  <c r="A12" i="4" s="1" a="1"/>
  <c r="A12" i="4" s="1"/>
  <c r="A11" i="1"/>
  <c r="A11" i="4" s="1" a="1"/>
  <c r="A11" i="4" s="1"/>
  <c r="A10" i="1"/>
  <c r="A10" i="4" s="1" a="1"/>
  <c r="A10" i="4" s="1"/>
  <c r="A9" i="1"/>
  <c r="A9" i="3" s="1" a="1"/>
  <c r="A9" i="3" s="1"/>
  <c r="A8" i="1"/>
  <c r="A8" i="3" s="1" a="1"/>
  <c r="A8" i="3" s="1"/>
  <c r="A7" i="1"/>
  <c r="A7" i="3" s="1" a="1"/>
  <c r="A7" i="3" s="1"/>
  <c r="A6" i="1"/>
  <c r="A6" i="5" s="1" a="1"/>
  <c r="A6" i="5" s="1"/>
  <c r="C5" i="1"/>
  <c r="A45" i="5" s="1" a="1"/>
  <c r="A45" i="5" s="1"/>
  <c r="A5" i="1"/>
  <c r="A5" i="5" s="1" a="1"/>
  <c r="A5" i="5" s="1"/>
  <c r="A4" i="1"/>
  <c r="A4" i="5" s="1" a="1"/>
  <c r="A4" i="5" s="1"/>
  <c r="A3" i="1"/>
  <c r="A3" i="4" s="1" a="1"/>
  <c r="A3" i="4" s="1"/>
  <c r="A2" i="1"/>
  <c r="A2" i="4" s="1" a="1"/>
  <c r="A2" i="4" s="1"/>
  <c r="C1" i="1"/>
  <c r="A41" i="5" s="1" a="1"/>
  <c r="A41" i="5" s="1"/>
  <c r="A1" i="1"/>
  <c r="A1" i="4" s="1" a="1"/>
  <c r="A1" i="4" s="1"/>
  <c r="A37" i="1"/>
  <c r="A22" i="1"/>
  <c r="A31" i="3" l="1" a="1"/>
  <c r="A31" i="3" s="1"/>
  <c r="A31" i="4" a="1"/>
  <c r="A31" i="4" s="1"/>
  <c r="A36" i="4" a="1"/>
  <c r="A36" i="4" s="1"/>
  <c r="A40" i="4" a="1"/>
  <c r="A40" i="4" s="1"/>
  <c r="A39" i="3" a="1"/>
  <c r="A39" i="3" s="1"/>
  <c r="A41" i="4" a="1"/>
  <c r="A41" i="4" s="1"/>
  <c r="A40" i="3" a="1"/>
  <c r="A40" i="3" s="1"/>
  <c r="A2" i="5" a="1"/>
  <c r="A2" i="5" s="1"/>
  <c r="A1" i="3" a="1"/>
  <c r="A1" i="3" s="1"/>
  <c r="A16" i="5" a="1"/>
  <c r="A16" i="5" s="1"/>
  <c r="A2" i="3" a="1"/>
  <c r="A2" i="3" s="1"/>
  <c r="A19" i="5" a="1"/>
  <c r="A19" i="5" s="1"/>
  <c r="A4" i="3" a="1"/>
  <c r="A4" i="3" s="1"/>
  <c r="A20" i="5" a="1"/>
  <c r="A20" i="5" s="1"/>
  <c r="A5" i="3" a="1"/>
  <c r="A5" i="3" s="1"/>
  <c r="A43" i="3" a="1"/>
  <c r="A43" i="3" s="1"/>
  <c r="A38" i="1"/>
  <c r="A39" i="5" a="1"/>
  <c r="A39" i="5" s="1"/>
  <c r="A5" i="4" a="1"/>
  <c r="A5" i="4" s="1"/>
  <c r="A19" i="3" a="1"/>
  <c r="A19" i="3" s="1"/>
  <c r="A13" i="4" a="1"/>
  <c r="A13" i="4" s="1"/>
  <c r="A13" i="3" a="1"/>
  <c r="A13" i="3" s="1"/>
  <c r="A20" i="3" a="1"/>
  <c r="A20" i="3" s="1"/>
  <c r="A14" i="4" a="1"/>
  <c r="A14" i="4" s="1"/>
  <c r="A28" i="3" a="1"/>
  <c r="A28" i="3" s="1"/>
  <c r="A27" i="4" a="1"/>
  <c r="A27" i="4" s="1"/>
  <c r="A22" i="5" a="1"/>
  <c r="A22" i="5" s="1"/>
  <c r="A22" i="3" a="1"/>
  <c r="A22" i="3" s="1"/>
  <c r="A22" i="4" a="1"/>
  <c r="A22" i="4" s="1"/>
  <c r="A37" i="4" a="1"/>
  <c r="A37" i="4" s="1"/>
  <c r="A37" i="5" a="1"/>
  <c r="A37" i="5" s="1"/>
  <c r="A37" i="3" a="1"/>
  <c r="A37" i="3" s="1"/>
  <c r="A6" i="3" a="1"/>
  <c r="A6" i="3" s="1"/>
  <c r="A45" i="4" a="1"/>
  <c r="A45" i="4" s="1"/>
  <c r="A7" i="5" a="1"/>
  <c r="A7" i="5" s="1"/>
  <c r="A25" i="5" a="1"/>
  <c r="A25" i="5" s="1"/>
  <c r="A34" i="5" a="1"/>
  <c r="A34" i="5" s="1"/>
  <c r="A29" i="3" a="1"/>
  <c r="A29" i="3" s="1"/>
  <c r="A8" i="5" a="1"/>
  <c r="A8" i="5" s="1"/>
  <c r="A17" i="5" a="1"/>
  <c r="A17" i="5" s="1"/>
  <c r="A35" i="5" a="1"/>
  <c r="A35" i="5" s="1"/>
  <c r="A3" i="3" a="1"/>
  <c r="A3" i="3" s="1"/>
  <c r="A12" i="3" a="1"/>
  <c r="A12" i="3" s="1"/>
  <c r="A21" i="3" a="1"/>
  <c r="A21" i="3" s="1"/>
  <c r="A30" i="3" a="1"/>
  <c r="A30" i="3" s="1"/>
  <c r="A6" i="4" a="1"/>
  <c r="A6" i="4" s="1"/>
  <c r="A15" i="4" a="1"/>
  <c r="A15" i="4" s="1"/>
  <c r="A24" i="4" a="1"/>
  <c r="A24" i="4" s="1"/>
  <c r="A33" i="4" a="1"/>
  <c r="A33" i="4" s="1"/>
  <c r="A9" i="5" a="1"/>
  <c r="A9" i="5" s="1"/>
  <c r="A18" i="5" a="1"/>
  <c r="A18" i="5" s="1"/>
  <c r="A27" i="5" a="1"/>
  <c r="A27" i="5" s="1"/>
  <c r="A36" i="5" a="1"/>
  <c r="A36" i="5" s="1"/>
  <c r="A23" i="4" a="1"/>
  <c r="A23" i="4" s="1"/>
  <c r="A32" i="4" a="1"/>
  <c r="A32" i="4" s="1"/>
  <c r="A26" i="5" a="1"/>
  <c r="A26" i="5" s="1"/>
  <c r="A7" i="4" a="1"/>
  <c r="A7" i="4" s="1"/>
  <c r="A16" i="4" a="1"/>
  <c r="A16" i="4" s="1"/>
  <c r="A25" i="4" a="1"/>
  <c r="A25" i="4" s="1"/>
  <c r="A34" i="4" a="1"/>
  <c r="A34" i="4" s="1"/>
  <c r="A1" i="5" a="1"/>
  <c r="A1" i="5" s="1"/>
  <c r="A10" i="5" a="1"/>
  <c r="A10" i="5" s="1"/>
  <c r="A28" i="5" a="1"/>
  <c r="A28" i="5" s="1"/>
  <c r="A14" i="3" a="1"/>
  <c r="A14" i="3" s="1"/>
  <c r="A23" i="3" a="1"/>
  <c r="A23" i="3" s="1"/>
  <c r="A32" i="3" a="1"/>
  <c r="A32" i="3" s="1"/>
  <c r="A8" i="4" a="1"/>
  <c r="A8" i="4" s="1"/>
  <c r="A17" i="4" a="1"/>
  <c r="A17" i="4" s="1"/>
  <c r="A26" i="4" a="1"/>
  <c r="A26" i="4" s="1"/>
  <c r="A35" i="4" a="1"/>
  <c r="A35" i="4" s="1"/>
  <c r="A11" i="5" a="1"/>
  <c r="A11" i="5" s="1"/>
  <c r="A29" i="5" a="1"/>
  <c r="A29" i="5" s="1"/>
  <c r="A45" i="3" a="1"/>
  <c r="A45" i="3" s="1"/>
  <c r="A15" i="3" a="1"/>
  <c r="A15" i="3" s="1"/>
  <c r="A24" i="3" a="1"/>
  <c r="A24" i="3" s="1"/>
  <c r="A33" i="3" a="1"/>
  <c r="A33" i="3" s="1"/>
  <c r="A18" i="4" a="1"/>
  <c r="A18" i="4" s="1"/>
  <c r="A3" i="5" a="1"/>
  <c r="A3" i="5" s="1"/>
  <c r="A12" i="5" a="1"/>
  <c r="A12" i="5" s="1"/>
  <c r="A21" i="5" a="1"/>
  <c r="A21" i="5" s="1"/>
  <c r="A30" i="5" a="1"/>
  <c r="A30" i="5" s="1"/>
  <c r="A40" i="5" a="1"/>
  <c r="A40" i="5" s="1"/>
  <c r="A38" i="4" l="1" a="1"/>
  <c r="A38" i="4" s="1"/>
  <c r="A38" i="5" a="1"/>
  <c r="A38" i="5" s="1"/>
  <c r="A38" i="3" a="1"/>
  <c r="A3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y Sheet"/>
      <sheetName val="Лист 1"/>
      <sheetName val="Book2"/>
    </sheetNames>
    <definedNames>
      <definedName name="Rate" refersTo="='Sheet1'!$C$1"/>
      <definedName name="Local" refersTo="='Sheet1'!$C$2" sheetId="0"/>
      <definedName name="Konst" refersTo="#REF!"/>
      <definedName name="Bad" refersTo="#REF!"/>
    </definedNames>
    <sheetDataSet>
      <sheetData sheetId="0" refreshError="1">
        <row r="1">
          <cell r="A1">
            <v>1</v>
          </cell>
          <cell r="B1" t="str">
            <v>abc</v>
          </cell>
          <cell r="C1">
            <v>0.2</v>
          </cell>
          <cell r="D1" t="str">
            <v>x</v>
          </cell>
          <cell r="E1">
            <v>10</v>
          </cell>
          <cell r="F1">
            <v>20</v>
          </cell>
        </row>
        <row r="2">
          <cell r="A2">
            <v>2</v>
          </cell>
          <cell r="B2" t="b">
            <v>1</v>
          </cell>
          <cell r="C2">
            <v>7</v>
          </cell>
          <cell r="D2" t="str">
            <v>y</v>
          </cell>
        </row>
        <row r="3">
          <cell r="A3">
            <v>3</v>
          </cell>
          <cell r="B3" t="e">
            <v>#N/A</v>
          </cell>
          <cell r="D3" t="str">
            <v>x</v>
          </cell>
        </row>
        <row r="4">
          <cell r="B4" t="e">
            <v>#DIV/0!</v>
          </cell>
        </row>
      </sheetData>
      <sheetData sheetId="1" refreshError="1">
        <row r="1">
          <cell r="A1">
            <v>11</v>
          </cell>
        </row>
      </sheetData>
      <sheetData sheetId="2" refreshError="1">
        <row r="1">
          <cell r="A1">
            <v>12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/>
  </sheetViews>
  <sheetFormatPr baseColWidth="10" defaultColWidth="8.83203125" defaultRowHeight="15" x14ac:dyDescent="0.2"/>
  <sheetData>
    <row r="1" spans="1:4" x14ac:dyDescent="0.2">
      <c r="A1">
        <f>[1]Sheet1!A1+1</f>
        <v>2</v>
      </c>
      <c r="C1">
        <f>[1]Sheet1!A1</f>
        <v>1</v>
      </c>
    </row>
    <row r="2" spans="1:4" x14ac:dyDescent="0.2">
      <c r="A2">
        <f>SUM([1]Sheet1!A1:A3)</f>
        <v>6</v>
      </c>
      <c r="C2">
        <f>[1]Sheet1!A2</f>
        <v>2</v>
      </c>
    </row>
    <row r="3" spans="1:4" x14ac:dyDescent="0.2">
      <c r="A3" t="e">
        <f>SUM([1]Sheet1!A:A)</f>
        <v>#REF!</v>
      </c>
      <c r="C3">
        <f>[1]Sheet1!A3</f>
        <v>3</v>
      </c>
    </row>
    <row r="4" spans="1:4" x14ac:dyDescent="0.2">
      <c r="A4" t="e">
        <f>[1]Sheet1!A9</f>
        <v>#REF!</v>
      </c>
    </row>
    <row r="5" spans="1:4" x14ac:dyDescent="0.2">
      <c r="A5" t="e">
        <f>[1]Sheet1!A9&amp;"|"</f>
        <v>#REF!</v>
      </c>
      <c r="C5">
        <f>[1]Sheet1!$A$1</f>
        <v>1</v>
      </c>
    </row>
    <row r="6" spans="1:4" x14ac:dyDescent="0.2">
      <c r="A6" t="b">
        <f>ISBLANK([1]Sheet1!A9)</f>
        <v>0</v>
      </c>
      <c r="C6">
        <f>[1]Sheet1!$A$1</f>
        <v>1</v>
      </c>
    </row>
    <row r="7" spans="1:4" x14ac:dyDescent="0.2">
      <c r="A7" t="str">
        <f>[1]Sheet1!B1</f>
        <v>abc</v>
      </c>
    </row>
    <row r="8" spans="1:4" x14ac:dyDescent="0.2">
      <c r="A8" t="b">
        <f>[1]Sheet1!B2</f>
        <v>1</v>
      </c>
    </row>
    <row r="9" spans="1:4" x14ac:dyDescent="0.2">
      <c r="A9" t="e">
        <f>[1]Sheet1!B3</f>
        <v>#N/A</v>
      </c>
    </row>
    <row r="10" spans="1:4" x14ac:dyDescent="0.2">
      <c r="A10" t="str">
        <f>IFERROR([1]Sheet1!B4,"e")</f>
        <v>e</v>
      </c>
      <c r="D10" t="e">
        <f>[1]Sheet1!B10</f>
        <v>#REF!</v>
      </c>
    </row>
    <row r="11" spans="1:4" x14ac:dyDescent="0.2">
      <c r="A11">
        <f>'[1]My Sheet'!A1</f>
        <v>11</v>
      </c>
    </row>
    <row r="12" spans="1:4" x14ac:dyDescent="0.2">
      <c r="A12">
        <f>'[1]Лист 1'!A1</f>
        <v>12</v>
      </c>
    </row>
    <row r="13" spans="1:4" x14ac:dyDescent="0.2">
      <c r="A13">
        <f>[1]!Rate</f>
        <v>0.2</v>
      </c>
    </row>
    <row r="14" spans="1:4" x14ac:dyDescent="0.2">
      <c r="A14">
        <f>[1]Sheet1!Local</f>
        <v>7</v>
      </c>
    </row>
    <row r="15" spans="1:4" x14ac:dyDescent="0.2">
      <c r="A15" t="e">
        <f>[1]!Konst</f>
        <v>#REF!</v>
      </c>
    </row>
    <row r="16" spans="1:4" x14ac:dyDescent="0.2">
      <c r="A16">
        <f>Ext*2</f>
        <v>4</v>
      </c>
    </row>
    <row r="17" spans="1:1" x14ac:dyDescent="0.2">
      <c r="A17">
        <f>INDEX([1]Sheet1!A1:A3,MATCH(3,[1]Sheet1!A1:A3,0))</f>
        <v>3</v>
      </c>
    </row>
    <row r="18" spans="1:1" x14ac:dyDescent="0.2">
      <c r="A18" t="b">
        <f>VLOOKUP(2,[1]Sheet1!A1:B3,2,FALSE)</f>
        <v>1</v>
      </c>
    </row>
    <row r="19" spans="1:1" x14ac:dyDescent="0.2">
      <c r="A19" t="e">
        <f>SUMIFS([1]Sheet1!A1:A3,[1]Sheet1!D1:D3,"x")</f>
        <v>#VALUE!</v>
      </c>
    </row>
    <row r="20" spans="1:1" x14ac:dyDescent="0.2">
      <c r="A20" t="e">
        <f>COUNTIF([1]Sheet1!D1:D3,"x")</f>
        <v>#VALUE!</v>
      </c>
    </row>
    <row r="21" spans="1:1" x14ac:dyDescent="0.2">
      <c r="A21">
        <f>SUMPRODUCT(([1]Sheet1!D1:D3="x")*[1]Sheet1!A1:A3)</f>
        <v>4</v>
      </c>
    </row>
    <row r="22" spans="1:1" x14ac:dyDescent="0.2">
      <c r="A22" t="e">
        <f ca="1">INDIRECT("[1]Sheet1!A1")</f>
        <v>#REF!</v>
      </c>
    </row>
    <row r="23" spans="1:1" x14ac:dyDescent="0.2">
      <c r="A23" t="e">
        <f ca="1">OFFSET([1]Sheet1!A1,1,0)</f>
        <v>#VALUE!</v>
      </c>
    </row>
    <row r="24" spans="1:1" x14ac:dyDescent="0.2">
      <c r="A24" t="e">
        <f>SUM([1]Sheet1!1:1)</f>
        <v>#REF!</v>
      </c>
    </row>
    <row r="25" spans="1:1" x14ac:dyDescent="0.2">
      <c r="A25">
        <f>ROWS([1]Sheet1!A1:A3)</f>
        <v>3</v>
      </c>
    </row>
    <row r="26" spans="1:1" x14ac:dyDescent="0.2">
      <c r="A26">
        <f>ROW([1]Sheet1!B5)</f>
        <v>5</v>
      </c>
    </row>
    <row r="27" spans="1:1" x14ac:dyDescent="0.2">
      <c r="A27" t="b">
        <f>ISREF([1]Sheet1!A1)</f>
        <v>1</v>
      </c>
    </row>
    <row r="28" spans="1:1" x14ac:dyDescent="0.2">
      <c r="A28">
        <f>COUNTA([1]Sheet1!A1:B4)</f>
        <v>8</v>
      </c>
    </row>
    <row r="29" spans="1:1" x14ac:dyDescent="0.2">
      <c r="A29" t="e">
        <f>COUNTBLANK([1]Sheet1!A1:A5)</f>
        <v>#VALUE!</v>
      </c>
    </row>
    <row r="30" spans="1:1" x14ac:dyDescent="0.2">
      <c r="A30" t="e">
        <f>[1]!Bad</f>
        <v>#REF!</v>
      </c>
    </row>
    <row r="31" spans="1:1" x14ac:dyDescent="0.2">
      <c r="A31">
        <f>SUM(ExtR)</f>
        <v>6</v>
      </c>
    </row>
    <row r="32" spans="1:1" x14ac:dyDescent="0.2">
      <c r="A32">
        <f>MATCH(20,[1]Sheet1!1:1,0)</f>
        <v>6</v>
      </c>
    </row>
    <row r="33" spans="1:1" x14ac:dyDescent="0.2">
      <c r="A33">
        <f>SUM([1]Sheet1!A1:A3,Local1!A1)</f>
        <v>1006</v>
      </c>
    </row>
    <row r="34" spans="1:1" x14ac:dyDescent="0.2">
      <c r="A34" t="b">
        <f>_xlfn.XLOOKUP(2,[1]Sheet1!A:A,[1]Sheet1!B:B)</f>
        <v>1</v>
      </c>
    </row>
    <row r="35" spans="1:1" x14ac:dyDescent="0.2">
      <c r="A35" t="e">
        <f>AVERAGE([1]Sheet1!A:A)</f>
        <v>#REF!</v>
      </c>
    </row>
    <row r="36" spans="1:1" x14ac:dyDescent="0.2">
      <c r="A36" t="e">
        <f>SUMIF([1]Sheet1!D1:D3,"x",[1]Sheet1!A1:A3)</f>
        <v>#VALUE!</v>
      </c>
    </row>
    <row r="37" spans="1:1" x14ac:dyDescent="0.2">
      <c r="A37" t="e">
        <f ca="1">INDIRECT("'[Book2.xlsx]Sheet1'!A1")</f>
        <v>#REF!</v>
      </c>
    </row>
    <row r="38" spans="1:1" x14ac:dyDescent="0.2">
      <c r="A38" cm="1">
        <f t="array" ref="A38:A40">[1]Sheet1!A1:A3*2</f>
        <v>2</v>
      </c>
    </row>
    <row r="39" spans="1:1" x14ac:dyDescent="0.2">
      <c r="A39">
        <v>4</v>
      </c>
    </row>
    <row r="40" spans="1:1" x14ac:dyDescent="0.2">
      <c r="A40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0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IF(ISBLANK(S!A1),-5,IF(ISERROR(S!A1),ERROR.TYPE(S!A1),IF(ISNUMBER(S!A1),0,IF(ISLOGICAL(S!A1),IF(S!A1,-1,-2),IF(ISTEXT(S!A1),-3,-4)))))</f>
        <v>0</v>
      </c>
    </row>
    <row r="2" spans="1:1" x14ac:dyDescent="0.2">
      <c r="A2" cm="1">
        <f t="array" ref="A2">IF(ISBLANK(S!A2),-5,IF(ISERROR(S!A2),ERROR.TYPE(S!A2),IF(ISNUMBER(S!A2),0,IF(ISLOGICAL(S!A2),IF(S!A2,-1,-2),IF(ISTEXT(S!A2),-3,-4)))))</f>
        <v>0</v>
      </c>
    </row>
    <row r="3" spans="1:1" x14ac:dyDescent="0.2">
      <c r="A3" cm="1">
        <f t="array" ref="A3">IF(ISBLANK(S!A3),-5,IF(ISERROR(S!A3),ERROR.TYPE(S!A3),IF(ISNUMBER(S!A3),0,IF(ISLOGICAL(S!A3),IF(S!A3,-1,-2),IF(ISTEXT(S!A3),-3,-4)))))</f>
        <v>4</v>
      </c>
    </row>
    <row r="4" spans="1:1" x14ac:dyDescent="0.2">
      <c r="A4" cm="1">
        <f t="array" ref="A4">IF(ISBLANK(S!A4),-5,IF(ISERROR(S!A4),ERROR.TYPE(S!A4),IF(ISNUMBER(S!A4),0,IF(ISLOGICAL(S!A4),IF(S!A4,-1,-2),IF(ISTEXT(S!A4),-3,-4)))))</f>
        <v>4</v>
      </c>
    </row>
    <row r="5" spans="1:1" x14ac:dyDescent="0.2">
      <c r="A5" cm="1">
        <f t="array" ref="A5">IF(ISBLANK(S!A5),-5,IF(ISERROR(S!A5),ERROR.TYPE(S!A5),IF(ISNUMBER(S!A5),0,IF(ISLOGICAL(S!A5),IF(S!A5,-1,-2),IF(ISTEXT(S!A5),-3,-4)))))</f>
        <v>4</v>
      </c>
    </row>
    <row r="6" spans="1:1" x14ac:dyDescent="0.2">
      <c r="A6" cm="1">
        <f t="array" ref="A6">IF(ISBLANK(S!A6),-5,IF(ISERROR(S!A6),ERROR.TYPE(S!A6),IF(ISNUMBER(S!A6),0,IF(ISLOGICAL(S!A6),IF(S!A6,-1,-2),IF(ISTEXT(S!A6),-3,-4)))))</f>
        <v>-2</v>
      </c>
    </row>
    <row r="7" spans="1:1" x14ac:dyDescent="0.2">
      <c r="A7" cm="1">
        <f t="array" ref="A7">IF(ISBLANK(S!A7),-5,IF(ISERROR(S!A7),ERROR.TYPE(S!A7),IF(ISNUMBER(S!A7),0,IF(ISLOGICAL(S!A7),IF(S!A7,-1,-2),IF(ISTEXT(S!A7),-3,-4)))))</f>
        <v>-3</v>
      </c>
    </row>
    <row r="8" spans="1:1" x14ac:dyDescent="0.2">
      <c r="A8" cm="1">
        <f t="array" ref="A8">IF(ISBLANK(S!A8),-5,IF(ISERROR(S!A8),ERROR.TYPE(S!A8),IF(ISNUMBER(S!A8),0,IF(ISLOGICAL(S!A8),IF(S!A8,-1,-2),IF(ISTEXT(S!A8),-3,-4)))))</f>
        <v>-1</v>
      </c>
    </row>
    <row r="9" spans="1:1" x14ac:dyDescent="0.2">
      <c r="A9" cm="1">
        <f t="array" ref="A9">IF(ISBLANK(S!A9),-5,IF(ISERROR(S!A9),ERROR.TYPE(S!A9),IF(ISNUMBER(S!A9),0,IF(ISLOGICAL(S!A9),IF(S!A9,-1,-2),IF(ISTEXT(S!A9),-3,-4)))))</f>
        <v>7</v>
      </c>
    </row>
    <row r="10" spans="1:1" x14ac:dyDescent="0.2">
      <c r="A10" cm="1">
        <f t="array" ref="A10">IF(ISBLANK(S!A10),-5,IF(ISERROR(S!A10),ERROR.TYPE(S!A10),IF(ISNUMBER(S!A10),0,IF(ISLOGICAL(S!A10),IF(S!A10,-1,-2),IF(ISTEXT(S!A10),-3,-4)))))</f>
        <v>-3</v>
      </c>
    </row>
    <row r="11" spans="1:1" x14ac:dyDescent="0.2">
      <c r="A11" cm="1">
        <f t="array" ref="A11">IF(ISBLANK(S!A11),-5,IF(ISERROR(S!A11),ERROR.TYPE(S!A11),IF(ISNUMBER(S!A11),0,IF(ISLOGICAL(S!A11),IF(S!A11,-1,-2),IF(ISTEXT(S!A11),-3,-4)))))</f>
        <v>0</v>
      </c>
    </row>
    <row r="12" spans="1:1" x14ac:dyDescent="0.2">
      <c r="A12" cm="1">
        <f t="array" ref="A12">IF(ISBLANK(S!A12),-5,IF(ISERROR(S!A12),ERROR.TYPE(S!A12),IF(ISNUMBER(S!A12),0,IF(ISLOGICAL(S!A12),IF(S!A12,-1,-2),IF(ISTEXT(S!A12),-3,-4)))))</f>
        <v>0</v>
      </c>
    </row>
    <row r="13" spans="1:1" x14ac:dyDescent="0.2">
      <c r="A13" cm="1">
        <f t="array" ref="A13">IF(ISBLANK(S!A13),-5,IF(ISERROR(S!A13),ERROR.TYPE(S!A13),IF(ISNUMBER(S!A13),0,IF(ISLOGICAL(S!A13),IF(S!A13,-1,-2),IF(ISTEXT(S!A13),-3,-4)))))</f>
        <v>0</v>
      </c>
    </row>
    <row r="14" spans="1:1" x14ac:dyDescent="0.2">
      <c r="A14" cm="1">
        <f t="array" ref="A14">IF(ISBLANK(S!A14),-5,IF(ISERROR(S!A14),ERROR.TYPE(S!A14),IF(ISNUMBER(S!A14),0,IF(ISLOGICAL(S!A14),IF(S!A14,-1,-2),IF(ISTEXT(S!A14),-3,-4)))))</f>
        <v>0</v>
      </c>
    </row>
    <row r="15" spans="1:1" x14ac:dyDescent="0.2">
      <c r="A15" cm="1">
        <f t="array" ref="A15">IF(ISBLANK(S!A15),-5,IF(ISERROR(S!A15),ERROR.TYPE(S!A15),IF(ISNUMBER(S!A15),0,IF(ISLOGICAL(S!A15),IF(S!A15,-1,-2),IF(ISTEXT(S!A15),-3,-4)))))</f>
        <v>4</v>
      </c>
    </row>
    <row r="16" spans="1:1" x14ac:dyDescent="0.2">
      <c r="A16" cm="1">
        <f t="array" ref="A16">IF(ISBLANK(S!A16),-5,IF(ISERROR(S!A16),ERROR.TYPE(S!A16),IF(ISNUMBER(S!A16),0,IF(ISLOGICAL(S!A16),IF(S!A16,-1,-2),IF(ISTEXT(S!A16),-3,-4)))))</f>
        <v>0</v>
      </c>
    </row>
    <row r="17" spans="1:1" x14ac:dyDescent="0.2">
      <c r="A17" cm="1">
        <f t="array" ref="A17">IF(ISBLANK(S!A17),-5,IF(ISERROR(S!A17),ERROR.TYPE(S!A17),IF(ISNUMBER(S!A17),0,IF(ISLOGICAL(S!A17),IF(S!A17,-1,-2),IF(ISTEXT(S!A17),-3,-4)))))</f>
        <v>0</v>
      </c>
    </row>
    <row r="18" spans="1:1" x14ac:dyDescent="0.2">
      <c r="A18" cm="1">
        <f t="array" ref="A18">IF(ISBLANK(S!A18),-5,IF(ISERROR(S!A18),ERROR.TYPE(S!A18),IF(ISNUMBER(S!A18),0,IF(ISLOGICAL(S!A18),IF(S!A18,-1,-2),IF(ISTEXT(S!A18),-3,-4)))))</f>
        <v>-1</v>
      </c>
    </row>
    <row r="19" spans="1:1" x14ac:dyDescent="0.2">
      <c r="A19" cm="1">
        <f t="array" ref="A19">IF(ISBLANK(S!A19),-5,IF(ISERROR(S!A19),ERROR.TYPE(S!A19),IF(ISNUMBER(S!A19),0,IF(ISLOGICAL(S!A19),IF(S!A19,-1,-2),IF(ISTEXT(S!A19),-3,-4)))))</f>
        <v>3</v>
      </c>
    </row>
    <row r="20" spans="1:1" x14ac:dyDescent="0.2">
      <c r="A20" cm="1">
        <f t="array" ref="A20">IF(ISBLANK(S!A20),-5,IF(ISERROR(S!A20),ERROR.TYPE(S!A20),IF(ISNUMBER(S!A20),0,IF(ISLOGICAL(S!A20),IF(S!A20,-1,-2),IF(ISTEXT(S!A20),-3,-4)))))</f>
        <v>3</v>
      </c>
    </row>
    <row r="21" spans="1:1" x14ac:dyDescent="0.2">
      <c r="A21" cm="1">
        <f t="array" ref="A21">IF(ISBLANK(S!A21),-5,IF(ISERROR(S!A21),ERROR.TYPE(S!A21),IF(ISNUMBER(S!A21),0,IF(ISLOGICAL(S!A21),IF(S!A21,-1,-2),IF(ISTEXT(S!A21),-3,-4)))))</f>
        <v>0</v>
      </c>
    </row>
    <row r="22" spans="1:1" x14ac:dyDescent="0.2">
      <c r="A22" cm="1">
        <f t="array" aca="1" ref="A22" ca="1">IF(ISBLANK(S!A22),-5,IF(ISERROR(S!A22),ERROR.TYPE(S!A22),IF(ISNUMBER(S!A22),0,IF(ISLOGICAL(S!A22),IF(S!A22,-1,-2),IF(ISTEXT(S!A22),-3,-4)))))</f>
        <v>4</v>
      </c>
    </row>
    <row r="23" spans="1:1" x14ac:dyDescent="0.2">
      <c r="A23" cm="1">
        <f t="array" aca="1" ref="A23" ca="1">IF(ISBLANK(S!A23),-5,IF(ISERROR(S!A23),ERROR.TYPE(S!A23),IF(ISNUMBER(S!A23),0,IF(ISLOGICAL(S!A23),IF(S!A23,-1,-2),IF(ISTEXT(S!A23),-3,-4)))))</f>
        <v>3</v>
      </c>
    </row>
    <row r="24" spans="1:1" x14ac:dyDescent="0.2">
      <c r="A24" cm="1">
        <f t="array" ref="A24">IF(ISBLANK(S!A24),-5,IF(ISERROR(S!A24),ERROR.TYPE(S!A24),IF(ISNUMBER(S!A24),0,IF(ISLOGICAL(S!A24),IF(S!A24,-1,-2),IF(ISTEXT(S!A24),-3,-4)))))</f>
        <v>4</v>
      </c>
    </row>
    <row r="25" spans="1:1" x14ac:dyDescent="0.2">
      <c r="A25" cm="1">
        <f t="array" ref="A25">IF(ISBLANK(S!A25),-5,IF(ISERROR(S!A25),ERROR.TYPE(S!A25),IF(ISNUMBER(S!A25),0,IF(ISLOGICAL(S!A25),IF(S!A25,-1,-2),IF(ISTEXT(S!A25),-3,-4)))))</f>
        <v>0</v>
      </c>
    </row>
    <row r="26" spans="1:1" x14ac:dyDescent="0.2">
      <c r="A26" cm="1">
        <f t="array" ref="A26">IF(ISBLANK(S!A26),-5,IF(ISERROR(S!A26),ERROR.TYPE(S!A26),IF(ISNUMBER(S!A26),0,IF(ISLOGICAL(S!A26),IF(S!A26,-1,-2),IF(ISTEXT(S!A26),-3,-4)))))</f>
        <v>0</v>
      </c>
    </row>
    <row r="27" spans="1:1" x14ac:dyDescent="0.2">
      <c r="A27" cm="1">
        <f t="array" ref="A27">IF(ISBLANK(S!A27),-5,IF(ISERROR(S!A27),ERROR.TYPE(S!A27),IF(ISNUMBER(S!A27),0,IF(ISLOGICAL(S!A27),IF(S!A27,-1,-2),IF(ISTEXT(S!A27),-3,-4)))))</f>
        <v>-1</v>
      </c>
    </row>
    <row r="28" spans="1:1" x14ac:dyDescent="0.2">
      <c r="A28" cm="1">
        <f t="array" ref="A28">IF(ISBLANK(S!A28),-5,IF(ISERROR(S!A28),ERROR.TYPE(S!A28),IF(ISNUMBER(S!A28),0,IF(ISLOGICAL(S!A28),IF(S!A28,-1,-2),IF(ISTEXT(S!A28),-3,-4)))))</f>
        <v>0</v>
      </c>
    </row>
    <row r="29" spans="1:1" x14ac:dyDescent="0.2">
      <c r="A29" cm="1">
        <f t="array" ref="A29">IF(ISBLANK(S!A29),-5,IF(ISERROR(S!A29),ERROR.TYPE(S!A29),IF(ISNUMBER(S!A29),0,IF(ISLOGICAL(S!A29),IF(S!A29,-1,-2),IF(ISTEXT(S!A29),-3,-4)))))</f>
        <v>3</v>
      </c>
    </row>
    <row r="30" spans="1:1" x14ac:dyDescent="0.2">
      <c r="A30" cm="1">
        <f t="array" ref="A30">IF(ISBLANK(S!A30),-5,IF(ISERROR(S!A30),ERROR.TYPE(S!A30),IF(ISNUMBER(S!A30),0,IF(ISLOGICAL(S!A30),IF(S!A30,-1,-2),IF(ISTEXT(S!A30),-3,-4)))))</f>
        <v>4</v>
      </c>
    </row>
    <row r="31" spans="1:1" x14ac:dyDescent="0.2">
      <c r="A31" cm="1">
        <f t="array" ref="A31">IF(ISBLANK(S!A31),-5,IF(ISERROR(S!A31),ERROR.TYPE(S!A31),IF(ISNUMBER(S!A31),0,IF(ISLOGICAL(S!A31),IF(S!A31,-1,-2),IF(ISTEXT(S!A31),-3,-4)))))</f>
        <v>0</v>
      </c>
    </row>
    <row r="32" spans="1:1" x14ac:dyDescent="0.2">
      <c r="A32" cm="1">
        <f t="array" ref="A32">IF(ISBLANK(S!A32),-5,IF(ISERROR(S!A32),ERROR.TYPE(S!A32),IF(ISNUMBER(S!A32),0,IF(ISLOGICAL(S!A32),IF(S!A32,-1,-2),IF(ISTEXT(S!A32),-3,-4)))))</f>
        <v>0</v>
      </c>
    </row>
    <row r="33" spans="1:2" x14ac:dyDescent="0.2">
      <c r="A33" cm="1">
        <f t="array" ref="A33">IF(ISBLANK(S!A33),-5,IF(ISERROR(S!A33),ERROR.TYPE(S!A33),IF(ISNUMBER(S!A33),0,IF(ISLOGICAL(S!A33),IF(S!A33,-1,-2),IF(ISTEXT(S!A33),-3,-4)))))</f>
        <v>0</v>
      </c>
    </row>
    <row r="34" spans="1:2" x14ac:dyDescent="0.2">
      <c r="A34" cm="1">
        <f t="array" ref="A34">IF(ISBLANK(S!A34),-5,IF(ISERROR(S!A34),ERROR.TYPE(S!A34),IF(ISNUMBER(S!A34),0,IF(ISLOGICAL(S!A34),IF(S!A34,-1,-2),IF(ISTEXT(S!A34),-3,-4)))))</f>
        <v>-1</v>
      </c>
    </row>
    <row r="35" spans="1:2" x14ac:dyDescent="0.2">
      <c r="A35" cm="1">
        <f t="array" ref="A35">IF(ISBLANK(S!A35),-5,IF(ISERROR(S!A35),ERROR.TYPE(S!A35),IF(ISNUMBER(S!A35),0,IF(ISLOGICAL(S!A35),IF(S!A35,-1,-2),IF(ISTEXT(S!A35),-3,-4)))))</f>
        <v>4</v>
      </c>
    </row>
    <row r="36" spans="1:2" x14ac:dyDescent="0.2">
      <c r="A36" cm="1">
        <f t="array" ref="A36">IF(ISBLANK(S!A36),-5,IF(ISERROR(S!A36),ERROR.TYPE(S!A36),IF(ISNUMBER(S!A36),0,IF(ISLOGICAL(S!A36),IF(S!A36,-1,-2),IF(ISTEXT(S!A36),-3,-4)))))</f>
        <v>3</v>
      </c>
    </row>
    <row r="37" spans="1:2" x14ac:dyDescent="0.2">
      <c r="A37" cm="1">
        <f t="array" aca="1" ref="A37" ca="1">IF(ISBLANK(S!A37),-5,IF(ISERROR(S!A37),ERROR.TYPE(S!A37),IF(ISNUMBER(S!A37),0,IF(ISLOGICAL(S!A37),IF(S!A37,-1,-2),IF(ISTEXT(S!A37),-3,-4)))))</f>
        <v>4</v>
      </c>
    </row>
    <row r="38" spans="1:2" x14ac:dyDescent="0.2">
      <c r="A38" cm="1">
        <f t="array" ref="A38">IF(ISBLANK(S!A38),-5,IF(ISERROR(S!A38),ERROR.TYPE(S!A38),IF(ISNUMBER(S!A38),0,IF(ISLOGICAL(S!A38),IF(S!A38,-1,-2),IF(ISTEXT(S!A38),-3,-4)))))</f>
        <v>0</v>
      </c>
    </row>
    <row r="39" spans="1:2" x14ac:dyDescent="0.2">
      <c r="A39" cm="1">
        <f t="array" ref="A39">IF(ISBLANK(S!A39),-5,IF(ISERROR(S!A39),ERROR.TYPE(S!A39),IF(ISNUMBER(S!A39),0,IF(ISLOGICAL(S!A39),IF(S!A39,-1,-2),IF(ISTEXT(S!A39),-3,-4)))))</f>
        <v>0</v>
      </c>
    </row>
    <row r="40" spans="1:2" x14ac:dyDescent="0.2">
      <c r="A40" cm="1">
        <f t="array" ref="A40">IF(ISBLANK(S!A40),-5,IF(ISERROR(S!A40),ERROR.TYPE(S!A40),IF(ISNUMBER(S!A40),0,IF(ISLOGICAL(S!A40),IF(S!A40,-1,-2),IF(ISTEXT(S!A40),-3,-4)))))</f>
        <v>0</v>
      </c>
    </row>
    <row r="41" spans="1:2" x14ac:dyDescent="0.2">
      <c r="A41" cm="1">
        <f t="array" ref="A41">IF(ISBLANK(S!C1),-5,IF(ISERROR(S!C1),ERROR.TYPE(S!C1),IF(ISNUMBER(S!C1),0,IF(ISLOGICAL(S!C1),IF(S!C1,-1,-2),IF(ISTEXT(S!C1),-3,-4)))))</f>
        <v>0</v>
      </c>
      <c r="B41" cm="1">
        <f t="array" ref="B41">IF(ISBLANK(S!D1),-5,IF(ISERROR(S!D1),ERROR.TYPE(S!D1),IF(ISNUMBER(S!D1),0,IF(ISLOGICAL(S!D1),IF(S!D1,-1,-2),IF(ISTEXT(S!D1),-3,-4)))))</f>
        <v>-5</v>
      </c>
    </row>
    <row r="42" spans="1:2" x14ac:dyDescent="0.2">
      <c r="A42" cm="1">
        <f t="array" ref="A42">IF(ISBLANK(S!C2),-5,IF(ISERROR(S!C2),ERROR.TYPE(S!C2),IF(ISNUMBER(S!C2),0,IF(ISLOGICAL(S!C2),IF(S!C2,-1,-2),IF(ISTEXT(S!C2),-3,-4)))))</f>
        <v>0</v>
      </c>
      <c r="B42" cm="1">
        <f t="array" ref="B42">IF(ISBLANK(S!D2),-5,IF(ISERROR(S!D2),ERROR.TYPE(S!D2),IF(ISNUMBER(S!D2),0,IF(ISLOGICAL(S!D2),IF(S!D2,-1,-2),IF(ISTEXT(S!D2),-3,-4)))))</f>
        <v>-5</v>
      </c>
    </row>
    <row r="43" spans="1:2" x14ac:dyDescent="0.2">
      <c r="A43" cm="1">
        <f t="array" ref="A43">IF(ISBLANK(S!C3),-5,IF(ISERROR(S!C3),ERROR.TYPE(S!C3),IF(ISNUMBER(S!C3),0,IF(ISLOGICAL(S!C3),IF(S!C3,-1,-2),IF(ISTEXT(S!C3),-3,-4)))))</f>
        <v>0</v>
      </c>
      <c r="B43" cm="1">
        <f t="array" ref="B43">IF(ISBLANK(S!D3),-5,IF(ISERROR(S!D3),ERROR.TYPE(S!D3),IF(ISNUMBER(S!D3),0,IF(ISLOGICAL(S!D3),IF(S!D3,-1,-2),IF(ISTEXT(S!D3),-3,-4)))))</f>
        <v>-5</v>
      </c>
    </row>
    <row r="44" spans="1:2" x14ac:dyDescent="0.2">
      <c r="A44" cm="1">
        <f t="array" ref="A44">IF(ISBLANK(S!C4),-5,IF(ISERROR(S!C4),ERROR.TYPE(S!C4),IF(ISNUMBER(S!C4),0,IF(ISLOGICAL(S!C4),IF(S!C4,-1,-2),IF(ISTEXT(S!C4),-3,-4)))))</f>
        <v>-5</v>
      </c>
      <c r="B44" cm="1">
        <f t="array" ref="B44">IF(ISBLANK(S!D4),-5,IF(ISERROR(S!D4),ERROR.TYPE(S!D4),IF(ISNUMBER(S!D4),0,IF(ISLOGICAL(S!D4),IF(S!D4,-1,-2),IF(ISTEXT(S!D4),-3,-4)))))</f>
        <v>-5</v>
      </c>
    </row>
    <row r="45" spans="1:2" x14ac:dyDescent="0.2">
      <c r="A45" cm="1">
        <f t="array" ref="A45">IF(ISBLANK(S!C5),-5,IF(ISERROR(S!C5),ERROR.TYPE(S!C5),IF(ISNUMBER(S!C5),0,IF(ISLOGICAL(S!C5),IF(S!C5,-1,-2),IF(ISTEXT(S!C5),-3,-4)))))</f>
        <v>0</v>
      </c>
      <c r="B45" cm="1">
        <f t="array" ref="B45">IF(ISBLANK(S!D5),-5,IF(ISERROR(S!D5),ERROR.TYPE(S!D5),IF(ISNUMBER(S!D5),0,IF(ISLOGICAL(S!D5),IF(S!D5,-1,-2),IF(ISTEXT(S!D5),-3,-4)))))</f>
        <v>-5</v>
      </c>
    </row>
    <row r="46" spans="1:2" x14ac:dyDescent="0.2">
      <c r="A46" cm="1">
        <f t="array" ref="A46">IF(ISBLANK(S!C6),-5,IF(ISERROR(S!C6),ERROR.TYPE(S!C6),IF(ISNUMBER(S!C6),0,IF(ISLOGICAL(S!C6),IF(S!C6,-1,-2),IF(ISTEXT(S!C6),-3,-4)))))</f>
        <v>0</v>
      </c>
      <c r="B46" cm="1">
        <f t="array" ref="B46">IF(ISBLANK(S!D6),-5,IF(ISERROR(S!D6),ERROR.TYPE(S!D6),IF(ISNUMBER(S!D6),0,IF(ISLOGICAL(S!D6),IF(S!D6,-1,-2),IF(ISTEXT(S!D6),-3,-4)))))</f>
        <v>-5</v>
      </c>
    </row>
    <row r="47" spans="1:2" x14ac:dyDescent="0.2">
      <c r="A47" cm="1">
        <f t="array" ref="A47">IF(ISBLANK(S!C7),-5,IF(ISERROR(S!C7),ERROR.TYPE(S!C7),IF(ISNUMBER(S!C7),0,IF(ISLOGICAL(S!C7),IF(S!C7,-1,-2),IF(ISTEXT(S!C7),-3,-4)))))</f>
        <v>-5</v>
      </c>
      <c r="B47" cm="1">
        <f t="array" ref="B47">IF(ISBLANK(S!D7),-5,IF(ISERROR(S!D7),ERROR.TYPE(S!D7),IF(ISNUMBER(S!D7),0,IF(ISLOGICAL(S!D7),IF(S!D7,-1,-2),IF(ISTEXT(S!D7),-3,-4)))))</f>
        <v>-5</v>
      </c>
    </row>
    <row r="48" spans="1:2" x14ac:dyDescent="0.2">
      <c r="A48" cm="1">
        <f t="array" ref="A48">IF(ISBLANK(S!C8),-5,IF(ISERROR(S!C8),ERROR.TYPE(S!C8),IF(ISNUMBER(S!C8),0,IF(ISLOGICAL(S!C8),IF(S!C8,-1,-2),IF(ISTEXT(S!C8),-3,-4)))))</f>
        <v>-5</v>
      </c>
      <c r="B48" cm="1">
        <f t="array" ref="B48">IF(ISBLANK(S!D8),-5,IF(ISERROR(S!D8),ERROR.TYPE(S!D8),IF(ISNUMBER(S!D8),0,IF(ISLOGICAL(S!D8),IF(S!D8,-1,-2),IF(ISTEXT(S!D8),-3,-4)))))</f>
        <v>-5</v>
      </c>
    </row>
    <row r="49" spans="1:2" x14ac:dyDescent="0.2">
      <c r="A49" cm="1">
        <f t="array" ref="A49">IF(ISBLANK(S!C9),-5,IF(ISERROR(S!C9),ERROR.TYPE(S!C9),IF(ISNUMBER(S!C9),0,IF(ISLOGICAL(S!C9),IF(S!C9,-1,-2),IF(ISTEXT(S!C9),-3,-4)))))</f>
        <v>-5</v>
      </c>
      <c r="B49" cm="1">
        <f t="array" ref="B49">IF(ISBLANK(S!D9),-5,IF(ISERROR(S!D9),ERROR.TYPE(S!D9),IF(ISNUMBER(S!D9),0,IF(ISLOGICAL(S!D9),IF(S!D9,-1,-2),IF(ISTEXT(S!D9),-3,-4)))))</f>
        <v>-5</v>
      </c>
    </row>
    <row r="50" spans="1:2" x14ac:dyDescent="0.2">
      <c r="A50" cm="1">
        <f t="array" ref="A50">IF(ISBLANK(S!C10),-5,IF(ISERROR(S!C10),ERROR.TYPE(S!C10),IF(ISNUMBER(S!C10),0,IF(ISLOGICAL(S!C10),IF(S!C10,-1,-2),IF(ISTEXT(S!C10),-3,-4)))))</f>
        <v>-5</v>
      </c>
      <c r="B50" cm="1">
        <f t="array" ref="B50">IF(ISBLANK(S!D10),-5,IF(ISERROR(S!D10),ERROR.TYPE(S!D10),IF(ISNUMBER(S!D10),0,IF(ISLOGICAL(S!D10),IF(S!D10,-1,-2),IF(ISTEXT(S!D10),-3,-4)))))</f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0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IF(ISNUMBER(S!A1),S!A1,0)</f>
        <v>2</v>
      </c>
    </row>
    <row r="2" spans="1:1" x14ac:dyDescent="0.2">
      <c r="A2" cm="1">
        <f t="array" ref="A2">IF(ISNUMBER(S!A2),S!A2,0)</f>
        <v>6</v>
      </c>
    </row>
    <row r="3" spans="1:1" x14ac:dyDescent="0.2">
      <c r="A3" cm="1">
        <f t="array" ref="A3">IF(ISNUMBER(S!A3),S!A3,0)</f>
        <v>0</v>
      </c>
    </row>
    <row r="4" spans="1:1" x14ac:dyDescent="0.2">
      <c r="A4" cm="1">
        <f t="array" ref="A4">IF(ISNUMBER(S!A4),S!A4,0)</f>
        <v>0</v>
      </c>
    </row>
    <row r="5" spans="1:1" x14ac:dyDescent="0.2">
      <c r="A5" cm="1">
        <f t="array" ref="A5">IF(ISNUMBER(S!A5),S!A5,0)</f>
        <v>0</v>
      </c>
    </row>
    <row r="6" spans="1:1" x14ac:dyDescent="0.2">
      <c r="A6" cm="1">
        <f t="array" ref="A6">IF(ISNUMBER(S!A6),S!A6,0)</f>
        <v>0</v>
      </c>
    </row>
    <row r="7" spans="1:1" x14ac:dyDescent="0.2">
      <c r="A7" cm="1">
        <f t="array" ref="A7">IF(ISNUMBER(S!A7),S!A7,0)</f>
        <v>0</v>
      </c>
    </row>
    <row r="8" spans="1:1" x14ac:dyDescent="0.2">
      <c r="A8" cm="1">
        <f t="array" ref="A8">IF(ISNUMBER(S!A8),S!A8,0)</f>
        <v>0</v>
      </c>
    </row>
    <row r="9" spans="1:1" x14ac:dyDescent="0.2">
      <c r="A9" cm="1">
        <f t="array" ref="A9">IF(ISNUMBER(S!A9),S!A9,0)</f>
        <v>0</v>
      </c>
    </row>
    <row r="10" spans="1:1" x14ac:dyDescent="0.2">
      <c r="A10" cm="1">
        <f t="array" ref="A10">IF(ISNUMBER(S!A10),S!A10,0)</f>
        <v>0</v>
      </c>
    </row>
    <row r="11" spans="1:1" x14ac:dyDescent="0.2">
      <c r="A11" cm="1">
        <f t="array" ref="A11">IF(ISNUMBER(S!A11),S!A11,0)</f>
        <v>11</v>
      </c>
    </row>
    <row r="12" spans="1:1" x14ac:dyDescent="0.2">
      <c r="A12" cm="1">
        <f t="array" ref="A12">IF(ISNUMBER(S!A12),S!A12,0)</f>
        <v>12</v>
      </c>
    </row>
    <row r="13" spans="1:1" x14ac:dyDescent="0.2">
      <c r="A13" cm="1">
        <f t="array" ref="A13">IF(ISNUMBER(S!A13),S!A13,0)</f>
        <v>0.2</v>
      </c>
    </row>
    <row r="14" spans="1:1" x14ac:dyDescent="0.2">
      <c r="A14" cm="1">
        <f t="array" ref="A14">IF(ISNUMBER(S!A14),S!A14,0)</f>
        <v>7</v>
      </c>
    </row>
    <row r="15" spans="1:1" x14ac:dyDescent="0.2">
      <c r="A15" cm="1">
        <f t="array" ref="A15">IF(ISNUMBER(S!A15),S!A15,0)</f>
        <v>0</v>
      </c>
    </row>
    <row r="16" spans="1:1" x14ac:dyDescent="0.2">
      <c r="A16" cm="1">
        <f t="array" ref="A16">IF(ISNUMBER(S!A16),S!A16,0)</f>
        <v>4</v>
      </c>
    </row>
    <row r="17" spans="1:1" x14ac:dyDescent="0.2">
      <c r="A17" cm="1">
        <f t="array" ref="A17">IF(ISNUMBER(S!A17),S!A17,0)</f>
        <v>3</v>
      </c>
    </row>
    <row r="18" spans="1:1" x14ac:dyDescent="0.2">
      <c r="A18" cm="1">
        <f t="array" ref="A18">IF(ISNUMBER(S!A18),S!A18,0)</f>
        <v>0</v>
      </c>
    </row>
    <row r="19" spans="1:1" x14ac:dyDescent="0.2">
      <c r="A19" cm="1">
        <f t="array" ref="A19">IF(ISNUMBER(S!A19),S!A19,0)</f>
        <v>0</v>
      </c>
    </row>
    <row r="20" spans="1:1" x14ac:dyDescent="0.2">
      <c r="A20" cm="1">
        <f t="array" ref="A20">IF(ISNUMBER(S!A20),S!A20,0)</f>
        <v>0</v>
      </c>
    </row>
    <row r="21" spans="1:1" x14ac:dyDescent="0.2">
      <c r="A21" cm="1">
        <f t="array" ref="A21">IF(ISNUMBER(S!A21),S!A21,0)</f>
        <v>4</v>
      </c>
    </row>
    <row r="22" spans="1:1" x14ac:dyDescent="0.2">
      <c r="A22" cm="1">
        <f t="array" aca="1" ref="A22" ca="1">IF(ISNUMBER(S!A22),S!A22,0)</f>
        <v>0</v>
      </c>
    </row>
    <row r="23" spans="1:1" x14ac:dyDescent="0.2">
      <c r="A23" cm="1">
        <f t="array" aca="1" ref="A23" ca="1">IF(ISNUMBER(S!A23),S!A23,0)</f>
        <v>0</v>
      </c>
    </row>
    <row r="24" spans="1:1" x14ac:dyDescent="0.2">
      <c r="A24" cm="1">
        <f t="array" ref="A24">IF(ISNUMBER(S!A24),S!A24,0)</f>
        <v>0</v>
      </c>
    </row>
    <row r="25" spans="1:1" x14ac:dyDescent="0.2">
      <c r="A25" cm="1">
        <f t="array" ref="A25">IF(ISNUMBER(S!A25),S!A25,0)</f>
        <v>3</v>
      </c>
    </row>
    <row r="26" spans="1:1" x14ac:dyDescent="0.2">
      <c r="A26" cm="1">
        <f t="array" ref="A26">IF(ISNUMBER(S!A26),S!A26,0)</f>
        <v>5</v>
      </c>
    </row>
    <row r="27" spans="1:1" x14ac:dyDescent="0.2">
      <c r="A27" cm="1">
        <f t="array" ref="A27">IF(ISNUMBER(S!A27),S!A27,0)</f>
        <v>0</v>
      </c>
    </row>
    <row r="28" spans="1:1" x14ac:dyDescent="0.2">
      <c r="A28" cm="1">
        <f t="array" ref="A28">IF(ISNUMBER(S!A28),S!A28,0)</f>
        <v>8</v>
      </c>
    </row>
    <row r="29" spans="1:1" x14ac:dyDescent="0.2">
      <c r="A29" cm="1">
        <f t="array" ref="A29">IF(ISNUMBER(S!A29),S!A29,0)</f>
        <v>0</v>
      </c>
    </row>
    <row r="30" spans="1:1" x14ac:dyDescent="0.2">
      <c r="A30" cm="1">
        <f t="array" ref="A30">IF(ISNUMBER(S!A30),S!A30,0)</f>
        <v>0</v>
      </c>
    </row>
    <row r="31" spans="1:1" x14ac:dyDescent="0.2">
      <c r="A31" cm="1">
        <f t="array" ref="A31">IF(ISNUMBER(S!A31),S!A31,0)</f>
        <v>6</v>
      </c>
    </row>
    <row r="32" spans="1:1" x14ac:dyDescent="0.2">
      <c r="A32" cm="1">
        <f t="array" ref="A32">IF(ISNUMBER(S!A32),S!A32,0)</f>
        <v>6</v>
      </c>
    </row>
    <row r="33" spans="1:2" x14ac:dyDescent="0.2">
      <c r="A33" cm="1">
        <f t="array" ref="A33">IF(ISNUMBER(S!A33),S!A33,0)</f>
        <v>1006</v>
      </c>
    </row>
    <row r="34" spans="1:2" x14ac:dyDescent="0.2">
      <c r="A34" cm="1">
        <f t="array" ref="A34">IF(ISNUMBER(S!A34),S!A34,0)</f>
        <v>0</v>
      </c>
    </row>
    <row r="35" spans="1:2" x14ac:dyDescent="0.2">
      <c r="A35" cm="1">
        <f t="array" ref="A35">IF(ISNUMBER(S!A35),S!A35,0)</f>
        <v>0</v>
      </c>
    </row>
    <row r="36" spans="1:2" x14ac:dyDescent="0.2">
      <c r="A36" cm="1">
        <f t="array" ref="A36">IF(ISNUMBER(S!A36),S!A36,0)</f>
        <v>0</v>
      </c>
    </row>
    <row r="37" spans="1:2" x14ac:dyDescent="0.2">
      <c r="A37" cm="1">
        <f t="array" aca="1" ref="A37" ca="1">IF(ISNUMBER(S!A37),S!A37,0)</f>
        <v>0</v>
      </c>
    </row>
    <row r="38" spans="1:2" x14ac:dyDescent="0.2">
      <c r="A38" cm="1">
        <f t="array" ref="A38">IF(ISNUMBER(S!A38),S!A38,0)</f>
        <v>2</v>
      </c>
    </row>
    <row r="39" spans="1:2" x14ac:dyDescent="0.2">
      <c r="A39" cm="1">
        <f t="array" ref="A39">IF(ISNUMBER(S!A39),S!A39,0)</f>
        <v>4</v>
      </c>
    </row>
    <row r="40" spans="1:2" x14ac:dyDescent="0.2">
      <c r="A40" cm="1">
        <f t="array" ref="A40">IF(ISNUMBER(S!A40),S!A40,0)</f>
        <v>6</v>
      </c>
    </row>
    <row r="41" spans="1:2" x14ac:dyDescent="0.2">
      <c r="A41" cm="1">
        <f t="array" ref="A41">IF(ISNUMBER(S!C1),S!C1,0)</f>
        <v>1</v>
      </c>
      <c r="B41" cm="1">
        <f t="array" ref="B41">IF(ISNUMBER(S!D1),S!D1,0)</f>
        <v>0</v>
      </c>
    </row>
    <row r="42" spans="1:2" x14ac:dyDescent="0.2">
      <c r="A42" cm="1">
        <f t="array" ref="A42">IF(ISNUMBER(S!C2),S!C2,0)</f>
        <v>2</v>
      </c>
      <c r="B42" cm="1">
        <f t="array" ref="B42">IF(ISNUMBER(S!D2),S!D2,0)</f>
        <v>0</v>
      </c>
    </row>
    <row r="43" spans="1:2" x14ac:dyDescent="0.2">
      <c r="A43" cm="1">
        <f t="array" ref="A43">IF(ISNUMBER(S!C3),S!C3,0)</f>
        <v>3</v>
      </c>
      <c r="B43" cm="1">
        <f t="array" ref="B43">IF(ISNUMBER(S!D3),S!D3,0)</f>
        <v>0</v>
      </c>
    </row>
    <row r="44" spans="1:2" x14ac:dyDescent="0.2">
      <c r="A44" cm="1">
        <f t="array" ref="A44">IF(ISNUMBER(S!C4),S!C4,0)</f>
        <v>0</v>
      </c>
      <c r="B44" cm="1">
        <f t="array" ref="B44">IF(ISNUMBER(S!D4),S!D4,0)</f>
        <v>0</v>
      </c>
    </row>
    <row r="45" spans="1:2" x14ac:dyDescent="0.2">
      <c r="A45" cm="1">
        <f t="array" ref="A45">IF(ISNUMBER(S!C5),S!C5,0)</f>
        <v>1</v>
      </c>
      <c r="B45" cm="1">
        <f t="array" ref="B45">IF(ISNUMBER(S!D5),S!D5,0)</f>
        <v>0</v>
      </c>
    </row>
    <row r="46" spans="1:2" x14ac:dyDescent="0.2">
      <c r="A46" cm="1">
        <f t="array" ref="A46">IF(ISNUMBER(S!C6),S!C6,0)</f>
        <v>1</v>
      </c>
      <c r="B46" cm="1">
        <f t="array" ref="B46">IF(ISNUMBER(S!D6),S!D6,0)</f>
        <v>0</v>
      </c>
    </row>
    <row r="47" spans="1:2" x14ac:dyDescent="0.2">
      <c r="A47" cm="1">
        <f t="array" ref="A47">IF(ISNUMBER(S!C7),S!C7,0)</f>
        <v>0</v>
      </c>
      <c r="B47" cm="1">
        <f t="array" ref="B47">IF(ISNUMBER(S!D7),S!D7,0)</f>
        <v>0</v>
      </c>
    </row>
    <row r="48" spans="1:2" x14ac:dyDescent="0.2">
      <c r="A48" cm="1">
        <f t="array" ref="A48">IF(ISNUMBER(S!C8),S!C8,0)</f>
        <v>0</v>
      </c>
      <c r="B48" cm="1">
        <f t="array" ref="B48">IF(ISNUMBER(S!D8),S!D8,0)</f>
        <v>0</v>
      </c>
    </row>
    <row r="49" spans="1:2" x14ac:dyDescent="0.2">
      <c r="A49" cm="1">
        <f t="array" ref="A49">IF(ISNUMBER(S!C9),S!C9,0)</f>
        <v>0</v>
      </c>
      <c r="B49" cm="1">
        <f t="array" ref="B49">IF(ISNUMBER(S!D9),S!D9,0)</f>
        <v>0</v>
      </c>
    </row>
    <row r="50" spans="1:2" x14ac:dyDescent="0.2">
      <c r="A50" cm="1">
        <f t="array" ref="A50">IF(ISNUMBER(S!C10),S!C10,0)</f>
        <v>0</v>
      </c>
      <c r="B50" cm="1">
        <f t="array" ref="B50">IF(ISNUMBER(S!D10),S!D10,0)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0"/>
  <sheetViews>
    <sheetView workbookViewId="0"/>
  </sheetViews>
  <sheetFormatPr baseColWidth="10" defaultColWidth="8.83203125" defaultRowHeight="15" x14ac:dyDescent="0.2"/>
  <sheetData>
    <row r="1" spans="1:1" x14ac:dyDescent="0.2">
      <c r="A1" t="str" cm="1">
        <f t="array" ref="A1">IF(ISTEXT(S!A1),S!A1,"")</f>
        <v/>
      </c>
    </row>
    <row r="2" spans="1:1" x14ac:dyDescent="0.2">
      <c r="A2" t="str" cm="1">
        <f t="array" ref="A2">IF(ISTEXT(S!A2),S!A2,"")</f>
        <v/>
      </c>
    </row>
    <row r="3" spans="1:1" x14ac:dyDescent="0.2">
      <c r="A3" t="str" cm="1">
        <f t="array" ref="A3">IF(ISTEXT(S!A3),S!A3,"")</f>
        <v/>
      </c>
    </row>
    <row r="4" spans="1:1" x14ac:dyDescent="0.2">
      <c r="A4" t="str" cm="1">
        <f t="array" ref="A4">IF(ISTEXT(S!A4),S!A4,"")</f>
        <v/>
      </c>
    </row>
    <row r="5" spans="1:1" x14ac:dyDescent="0.2">
      <c r="A5" t="str" cm="1">
        <f t="array" ref="A5">IF(ISTEXT(S!A5),S!A5,"")</f>
        <v/>
      </c>
    </row>
    <row r="6" spans="1:1" x14ac:dyDescent="0.2">
      <c r="A6" t="str" cm="1">
        <f t="array" ref="A6">IF(ISTEXT(S!A6),S!A6,"")</f>
        <v/>
      </c>
    </row>
    <row r="7" spans="1:1" x14ac:dyDescent="0.2">
      <c r="A7" t="str" cm="1">
        <f t="array" ref="A7">IF(ISTEXT(S!A7),S!A7,"")</f>
        <v>abc</v>
      </c>
    </row>
    <row r="8" spans="1:1" x14ac:dyDescent="0.2">
      <c r="A8" t="str" cm="1">
        <f t="array" ref="A8">IF(ISTEXT(S!A8),S!A8,"")</f>
        <v/>
      </c>
    </row>
    <row r="9" spans="1:1" x14ac:dyDescent="0.2">
      <c r="A9" t="str" cm="1">
        <f t="array" ref="A9">IF(ISTEXT(S!A9),S!A9,"")</f>
        <v/>
      </c>
    </row>
    <row r="10" spans="1:1" x14ac:dyDescent="0.2">
      <c r="A10" t="str" cm="1">
        <f t="array" ref="A10">IF(ISTEXT(S!A10),S!A10,"")</f>
        <v>e</v>
      </c>
    </row>
    <row r="11" spans="1:1" x14ac:dyDescent="0.2">
      <c r="A11" t="str" cm="1">
        <f t="array" ref="A11">IF(ISTEXT(S!A11),S!A11,"")</f>
        <v/>
      </c>
    </row>
    <row r="12" spans="1:1" x14ac:dyDescent="0.2">
      <c r="A12" t="str" cm="1">
        <f t="array" ref="A12">IF(ISTEXT(S!A12),S!A12,"")</f>
        <v/>
      </c>
    </row>
    <row r="13" spans="1:1" x14ac:dyDescent="0.2">
      <c r="A13" t="str" cm="1">
        <f t="array" ref="A13">IF(ISTEXT(S!A13),S!A13,"")</f>
        <v/>
      </c>
    </row>
    <row r="14" spans="1:1" x14ac:dyDescent="0.2">
      <c r="A14" t="str" cm="1">
        <f t="array" ref="A14">IF(ISTEXT(S!A14),S!A14,"")</f>
        <v/>
      </c>
    </row>
    <row r="15" spans="1:1" x14ac:dyDescent="0.2">
      <c r="A15" t="str" cm="1">
        <f t="array" ref="A15">IF(ISTEXT(S!A15),S!A15,"")</f>
        <v/>
      </c>
    </row>
    <row r="16" spans="1:1" x14ac:dyDescent="0.2">
      <c r="A16" t="str" cm="1">
        <f t="array" ref="A16">IF(ISTEXT(S!A16),S!A16,"")</f>
        <v/>
      </c>
    </row>
    <row r="17" spans="1:1" x14ac:dyDescent="0.2">
      <c r="A17" t="str" cm="1">
        <f t="array" ref="A17">IF(ISTEXT(S!A17),S!A17,"")</f>
        <v/>
      </c>
    </row>
    <row r="18" spans="1:1" x14ac:dyDescent="0.2">
      <c r="A18" t="str" cm="1">
        <f t="array" ref="A18">IF(ISTEXT(S!A18),S!A18,"")</f>
        <v/>
      </c>
    </row>
    <row r="19" spans="1:1" x14ac:dyDescent="0.2">
      <c r="A19" t="str" cm="1">
        <f t="array" ref="A19">IF(ISTEXT(S!A19),S!A19,"")</f>
        <v/>
      </c>
    </row>
    <row r="20" spans="1:1" x14ac:dyDescent="0.2">
      <c r="A20" t="str" cm="1">
        <f t="array" ref="A20">IF(ISTEXT(S!A20),S!A20,"")</f>
        <v/>
      </c>
    </row>
    <row r="21" spans="1:1" x14ac:dyDescent="0.2">
      <c r="A21" t="str" cm="1">
        <f t="array" ref="A21">IF(ISTEXT(S!A21),S!A21,"")</f>
        <v/>
      </c>
    </row>
    <row r="22" spans="1:1" x14ac:dyDescent="0.2">
      <c r="A22" t="str" cm="1">
        <f t="array" aca="1" ref="A22" ca="1">IF(ISTEXT(S!A22),S!A22,"")</f>
        <v/>
      </c>
    </row>
    <row r="23" spans="1:1" x14ac:dyDescent="0.2">
      <c r="A23" t="str" cm="1">
        <f t="array" aca="1" ref="A23" ca="1">IF(ISTEXT(S!A23),S!A23,"")</f>
        <v/>
      </c>
    </row>
    <row r="24" spans="1:1" x14ac:dyDescent="0.2">
      <c r="A24" t="str" cm="1">
        <f t="array" ref="A24">IF(ISTEXT(S!A24),S!A24,"")</f>
        <v/>
      </c>
    </row>
    <row r="25" spans="1:1" x14ac:dyDescent="0.2">
      <c r="A25" t="str" cm="1">
        <f t="array" ref="A25">IF(ISTEXT(S!A25),S!A25,"")</f>
        <v/>
      </c>
    </row>
    <row r="26" spans="1:1" x14ac:dyDescent="0.2">
      <c r="A26" t="str" cm="1">
        <f t="array" ref="A26">IF(ISTEXT(S!A26),S!A26,"")</f>
        <v/>
      </c>
    </row>
    <row r="27" spans="1:1" x14ac:dyDescent="0.2">
      <c r="A27" t="str" cm="1">
        <f t="array" ref="A27">IF(ISTEXT(S!A27),S!A27,"")</f>
        <v/>
      </c>
    </row>
    <row r="28" spans="1:1" x14ac:dyDescent="0.2">
      <c r="A28" t="str" cm="1">
        <f t="array" ref="A28">IF(ISTEXT(S!A28),S!A28,"")</f>
        <v/>
      </c>
    </row>
    <row r="29" spans="1:1" x14ac:dyDescent="0.2">
      <c r="A29" t="str" cm="1">
        <f t="array" ref="A29">IF(ISTEXT(S!A29),S!A29,"")</f>
        <v/>
      </c>
    </row>
    <row r="30" spans="1:1" x14ac:dyDescent="0.2">
      <c r="A30" t="str" cm="1">
        <f t="array" ref="A30">IF(ISTEXT(S!A30),S!A30,"")</f>
        <v/>
      </c>
    </row>
    <row r="31" spans="1:1" x14ac:dyDescent="0.2">
      <c r="A31" t="str" cm="1">
        <f t="array" ref="A31">IF(ISTEXT(S!A31),S!A31,"")</f>
        <v/>
      </c>
    </row>
    <row r="32" spans="1:1" x14ac:dyDescent="0.2">
      <c r="A32" t="str" cm="1">
        <f t="array" ref="A32">IF(ISTEXT(S!A32),S!A32,"")</f>
        <v/>
      </c>
    </row>
    <row r="33" spans="1:2" x14ac:dyDescent="0.2">
      <c r="A33" t="str" cm="1">
        <f t="array" ref="A33">IF(ISTEXT(S!A33),S!A33,"")</f>
        <v/>
      </c>
    </row>
    <row r="34" spans="1:2" x14ac:dyDescent="0.2">
      <c r="A34" t="str" cm="1">
        <f t="array" ref="A34">IF(ISTEXT(S!A34),S!A34,"")</f>
        <v/>
      </c>
    </row>
    <row r="35" spans="1:2" x14ac:dyDescent="0.2">
      <c r="A35" t="str" cm="1">
        <f t="array" ref="A35">IF(ISTEXT(S!A35),S!A35,"")</f>
        <v/>
      </c>
    </row>
    <row r="36" spans="1:2" x14ac:dyDescent="0.2">
      <c r="A36" t="str" cm="1">
        <f t="array" ref="A36">IF(ISTEXT(S!A36),S!A36,"")</f>
        <v/>
      </c>
    </row>
    <row r="37" spans="1:2" x14ac:dyDescent="0.2">
      <c r="A37" t="str" cm="1">
        <f t="array" aca="1" ref="A37" ca="1">IF(ISTEXT(S!A37),S!A37,"")</f>
        <v/>
      </c>
    </row>
    <row r="38" spans="1:2" x14ac:dyDescent="0.2">
      <c r="A38" t="str" cm="1">
        <f t="array" ref="A38">IF(ISTEXT(S!A38),S!A38,"")</f>
        <v/>
      </c>
    </row>
    <row r="39" spans="1:2" x14ac:dyDescent="0.2">
      <c r="A39" t="str" cm="1">
        <f t="array" ref="A39">IF(ISTEXT(S!A39),S!A39,"")</f>
        <v/>
      </c>
    </row>
    <row r="40" spans="1:2" x14ac:dyDescent="0.2">
      <c r="A40" t="str" cm="1">
        <f t="array" ref="A40">IF(ISTEXT(S!A40),S!A40,"")</f>
        <v/>
      </c>
    </row>
    <row r="41" spans="1:2" x14ac:dyDescent="0.2">
      <c r="A41" t="str" cm="1">
        <f t="array" ref="A41">IF(ISTEXT(S!C1),S!C1,"")</f>
        <v/>
      </c>
      <c r="B41" t="str" cm="1">
        <f t="array" ref="B41">IF(ISTEXT(S!D1),S!D1,"")</f>
        <v/>
      </c>
    </row>
    <row r="42" spans="1:2" x14ac:dyDescent="0.2">
      <c r="A42" t="str" cm="1">
        <f t="array" ref="A42">IF(ISTEXT(S!C2),S!C2,"")</f>
        <v/>
      </c>
      <c r="B42" t="str" cm="1">
        <f t="array" ref="B42">IF(ISTEXT(S!D2),S!D2,"")</f>
        <v/>
      </c>
    </row>
    <row r="43" spans="1:2" x14ac:dyDescent="0.2">
      <c r="A43" t="str" cm="1">
        <f t="array" ref="A43">IF(ISTEXT(S!C3),S!C3,"")</f>
        <v/>
      </c>
      <c r="B43" t="str" cm="1">
        <f t="array" ref="B43">IF(ISTEXT(S!D3),S!D3,"")</f>
        <v/>
      </c>
    </row>
    <row r="44" spans="1:2" x14ac:dyDescent="0.2">
      <c r="A44" t="str" cm="1">
        <f t="array" ref="A44">IF(ISTEXT(S!C4),S!C4,"")</f>
        <v/>
      </c>
      <c r="B44" t="str" cm="1">
        <f t="array" ref="B44">IF(ISTEXT(S!D4),S!D4,"")</f>
        <v/>
      </c>
    </row>
    <row r="45" spans="1:2" x14ac:dyDescent="0.2">
      <c r="A45" t="str" cm="1">
        <f t="array" ref="A45">IF(ISTEXT(S!C5),S!C5,"")</f>
        <v/>
      </c>
      <c r="B45" t="str" cm="1">
        <f t="array" ref="B45">IF(ISTEXT(S!D5),S!D5,"")</f>
        <v/>
      </c>
    </row>
    <row r="46" spans="1:2" x14ac:dyDescent="0.2">
      <c r="A46" t="str" cm="1">
        <f t="array" ref="A46">IF(ISTEXT(S!C6),S!C6,"")</f>
        <v/>
      </c>
      <c r="B46" t="str" cm="1">
        <f t="array" ref="B46">IF(ISTEXT(S!D6),S!D6,"")</f>
        <v/>
      </c>
    </row>
    <row r="47" spans="1:2" x14ac:dyDescent="0.2">
      <c r="A47" t="str" cm="1">
        <f t="array" ref="A47">IF(ISTEXT(S!C7),S!C7,"")</f>
        <v/>
      </c>
      <c r="B47" t="str" cm="1">
        <f t="array" ref="B47">IF(ISTEXT(S!D7),S!D7,"")</f>
        <v/>
      </c>
    </row>
    <row r="48" spans="1:2" x14ac:dyDescent="0.2">
      <c r="A48" t="str" cm="1">
        <f t="array" ref="A48">IF(ISTEXT(S!C8),S!C8,"")</f>
        <v/>
      </c>
      <c r="B48" t="str" cm="1">
        <f t="array" ref="B48">IF(ISTEXT(S!D8),S!D8,"")</f>
        <v/>
      </c>
    </row>
    <row r="49" spans="1:2" x14ac:dyDescent="0.2">
      <c r="A49" t="str" cm="1">
        <f t="array" ref="A49">IF(ISTEXT(S!C9),S!C9,"")</f>
        <v/>
      </c>
      <c r="B49" t="str" cm="1">
        <f t="array" ref="B49">IF(ISTEXT(S!D9),S!D9,"")</f>
        <v/>
      </c>
    </row>
    <row r="50" spans="1:2" x14ac:dyDescent="0.2">
      <c r="A50" t="str" cm="1">
        <f t="array" ref="A50">IF(ISTEXT(S!C10),S!C10,"")</f>
        <v/>
      </c>
      <c r="B50" t="str" cm="1">
        <f t="array" ref="B50">IF(ISTEXT(S!D10),S!D10,"")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</vt:lpstr>
      <vt:lpstr>Local1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2026-10-12T12:17:49Z</dcterms:created>
  <dcterms:modified xsi:type="dcterms:W3CDTF">2026-10-12T12:17:49Z</dcterms:modified>
</cp:coreProperties>
</file>