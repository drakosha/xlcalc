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functions-held-76677-1\out\"/>
    </mc:Choice>
  </mc:AlternateContent>
  <xr:revisionPtr revIDLastSave="0" documentId="8_{B053585B-4118-4D75-BFE5-C9F3C1F8AC0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definedNames>
    <definedName name="ExtB">[1]Sheet1!$B$2:$B$4</definedName>
    <definedName name="ExtC">[1]Sheet1!$C$2:$C$4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 l="1"/>
  <c r="A28" i="4" s="1" a="1"/>
  <c r="A28" i="4" s="1"/>
  <c r="A27" i="1"/>
  <c r="A26" i="1"/>
  <c r="A26" i="4" s="1" a="1"/>
  <c r="A26" i="4" s="1"/>
  <c r="A25" i="1"/>
  <c r="A24" i="1"/>
  <c r="A24" i="4" s="1" a="1"/>
  <c r="A24" i="4" s="1"/>
  <c r="A23" i="1"/>
  <c r="A22" i="1"/>
  <c r="A22" i="4" s="1" a="1"/>
  <c r="A22" i="4" s="1"/>
  <c r="A21" i="1"/>
  <c r="A20" i="1"/>
  <c r="A20" i="4" s="1" a="1"/>
  <c r="A20" i="4" s="1"/>
  <c r="A19" i="1"/>
  <c r="A18" i="1"/>
  <c r="A18" i="4" s="1" a="1"/>
  <c r="A18" i="4" s="1"/>
  <c r="A17" i="1"/>
  <c r="A16" i="1"/>
  <c r="A16" i="4" s="1" a="1"/>
  <c r="A16" i="4" s="1"/>
  <c r="A15" i="1"/>
  <c r="A14" i="1"/>
  <c r="A14" i="4" s="1" a="1"/>
  <c r="A14" i="4" s="1"/>
  <c r="A13" i="1"/>
  <c r="A12" i="1"/>
  <c r="A12" i="4" s="1" a="1"/>
  <c r="A12" i="4" s="1"/>
  <c r="A11" i="1"/>
  <c r="A10" i="1"/>
  <c r="A10" i="4" s="1" a="1"/>
  <c r="A10" i="4" s="1"/>
  <c r="A9" i="1"/>
  <c r="A8" i="1"/>
  <c r="A8" i="4" s="1" a="1"/>
  <c r="A8" i="4" s="1"/>
  <c r="A7" i="1"/>
  <c r="A6" i="1"/>
  <c r="A6" i="4" s="1" a="1"/>
  <c r="A6" i="4" s="1"/>
  <c r="A5" i="1"/>
  <c r="A4" i="1"/>
  <c r="A4" i="4" s="1" a="1"/>
  <c r="A4" i="4" s="1"/>
  <c r="A3" i="1"/>
  <c r="A2" i="1"/>
  <c r="A2" i="4" s="1" a="1"/>
  <c r="A2" i="4" s="1"/>
  <c r="A1" i="1"/>
  <c r="A7" i="4" l="1" a="1"/>
  <c r="A7" i="4" s="1"/>
  <c r="A7" i="3" a="1"/>
  <c r="A7" i="3" s="1"/>
  <c r="A7" i="2" a="1"/>
  <c r="A7" i="2" s="1"/>
  <c r="A11" i="4" a="1"/>
  <c r="A11" i="4" s="1"/>
  <c r="A11" i="3" a="1"/>
  <c r="A11" i="3" s="1"/>
  <c r="A11" i="2" a="1"/>
  <c r="A11" i="2" s="1"/>
  <c r="A13" i="4" a="1"/>
  <c r="A13" i="4" s="1"/>
  <c r="A13" i="3" a="1"/>
  <c r="A13" i="3" s="1"/>
  <c r="A13" i="2" a="1"/>
  <c r="A13" i="2" s="1"/>
  <c r="A21" i="4" a="1"/>
  <c r="A21" i="4" s="1"/>
  <c r="A21" i="3" a="1"/>
  <c r="A21" i="3" s="1"/>
  <c r="A21" i="2" a="1"/>
  <c r="A21" i="2" s="1"/>
  <c r="A1" i="4" a="1"/>
  <c r="A1" i="4" s="1"/>
  <c r="A1" i="3" a="1"/>
  <c r="A1" i="3" s="1"/>
  <c r="A1" i="2" a="1"/>
  <c r="A1" i="2" s="1"/>
  <c r="A3" i="4" a="1"/>
  <c r="A3" i="4" s="1"/>
  <c r="A3" i="3" a="1"/>
  <c r="A3" i="3" s="1"/>
  <c r="A3" i="2" a="1"/>
  <c r="A3" i="2" s="1"/>
  <c r="A5" i="4" a="1"/>
  <c r="A5" i="4" s="1"/>
  <c r="A5" i="3" a="1"/>
  <c r="A5" i="3" s="1"/>
  <c r="A5" i="2" a="1"/>
  <c r="A5" i="2" s="1"/>
  <c r="A9" i="4" a="1"/>
  <c r="A9" i="4" s="1"/>
  <c r="A9" i="3" a="1"/>
  <c r="A9" i="3" s="1"/>
  <c r="A9" i="2" a="1"/>
  <c r="A9" i="2" s="1"/>
  <c r="A15" i="4" a="1"/>
  <c r="A15" i="4" s="1"/>
  <c r="A15" i="3" a="1"/>
  <c r="A15" i="3" s="1"/>
  <c r="A15" i="2" a="1"/>
  <c r="A15" i="2" s="1"/>
  <c r="A17" i="4" a="1"/>
  <c r="A17" i="4" s="1"/>
  <c r="A17" i="3" a="1"/>
  <c r="A17" i="3" s="1"/>
  <c r="A17" i="2" a="1"/>
  <c r="A17" i="2" s="1"/>
  <c r="A19" i="4" a="1"/>
  <c r="A19" i="4" s="1"/>
  <c r="A19" i="3" a="1"/>
  <c r="A19" i="3" s="1"/>
  <c r="A19" i="2" a="1"/>
  <c r="A19" i="2" s="1"/>
  <c r="A23" i="4" a="1"/>
  <c r="A23" i="4" s="1"/>
  <c r="A23" i="3" a="1"/>
  <c r="A23" i="3" s="1"/>
  <c r="A23" i="2" a="1"/>
  <c r="A23" i="2" s="1"/>
  <c r="A25" i="4" a="1"/>
  <c r="A25" i="4" s="1"/>
  <c r="A25" i="3" a="1"/>
  <c r="A25" i="3" s="1"/>
  <c r="A25" i="2" a="1"/>
  <c r="A25" i="2" s="1"/>
  <c r="A27" i="4" a="1"/>
  <c r="A27" i="4" s="1"/>
  <c r="A27" i="3" a="1"/>
  <c r="A27" i="3" s="1"/>
  <c r="A27" i="2" a="1"/>
  <c r="A27" i="2" s="1"/>
  <c r="A2" i="2" a="1"/>
  <c r="A2" i="2" s="1"/>
  <c r="A4" i="2" a="1"/>
  <c r="A4" i="2" s="1"/>
  <c r="A6" i="2" a="1"/>
  <c r="A6" i="2" s="1"/>
  <c r="A8" i="2" a="1"/>
  <c r="A8" i="2" s="1"/>
  <c r="A10" i="2" a="1"/>
  <c r="A10" i="2" s="1"/>
  <c r="A12" i="2" a="1"/>
  <c r="A12" i="2" s="1"/>
  <c r="A14" i="2" a="1"/>
  <c r="A14" i="2" s="1"/>
  <c r="A16" i="2" a="1"/>
  <c r="A16" i="2" s="1"/>
  <c r="A18" i="2" a="1"/>
  <c r="A18" i="2" s="1"/>
  <c r="A20" i="2" a="1"/>
  <c r="A20" i="2" s="1"/>
  <c r="A22" i="2" a="1"/>
  <c r="A22" i="2" s="1"/>
  <c r="A24" i="2" a="1"/>
  <c r="A24" i="2" s="1"/>
  <c r="A26" i="2" a="1"/>
  <c r="A26" i="2" s="1"/>
  <c r="A28" i="2" a="1"/>
  <c r="A28" i="2" s="1"/>
  <c r="A2" i="3" a="1"/>
  <c r="A2" i="3" s="1"/>
  <c r="A4" i="3" a="1"/>
  <c r="A4" i="3" s="1"/>
  <c r="A6" i="3" a="1"/>
  <c r="A6" i="3" s="1"/>
  <c r="A8" i="3" a="1"/>
  <c r="A8" i="3" s="1"/>
  <c r="A10" i="3" a="1"/>
  <c r="A10" i="3" s="1"/>
  <c r="A12" i="3" a="1"/>
  <c r="A12" i="3" s="1"/>
  <c r="A14" i="3" a="1"/>
  <c r="A14" i="3" s="1"/>
  <c r="A16" i="3" a="1"/>
  <c r="A16" i="3" s="1"/>
  <c r="A18" i="3" a="1"/>
  <c r="A18" i="3" s="1"/>
  <c r="A20" i="3" a="1"/>
  <c r="A20" i="3" s="1"/>
  <c r="A22" i="3" a="1"/>
  <c r="A22" i="3" s="1"/>
  <c r="A24" i="3" a="1"/>
  <c r="A24" i="3" s="1"/>
  <c r="A26" i="3" a="1"/>
  <c r="A26" i="3" s="1"/>
  <c r="A28" i="3" a="1"/>
  <c r="A2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<sst xmlns="http://schemas.openxmlformats.org/spreadsheetml/2006/main" count="2" uniqueCount="2">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</sst>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functions-held-76677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1</v>
          </cell>
          <cell r="B1" t="str">
            <v>k</v>
          </cell>
          <cell r="C1" t="str">
            <v>v</v>
          </cell>
        </row>
        <row r="2">
          <cell r="A2">
            <v>2</v>
          </cell>
          <cell r="B2" t="str">
            <v>x</v>
          </cell>
          <cell r="C2">
            <v>10</v>
          </cell>
        </row>
        <row r="3">
          <cell r="A3">
            <v>3</v>
          </cell>
          <cell r="B3" t="str">
            <v>y</v>
          </cell>
          <cell r="C3">
            <v>20</v>
          </cell>
        </row>
        <row r="4">
          <cell r="B4" t="str">
            <v>x</v>
          </cell>
          <cell r="C4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/>
  </sheetViews>
  <sheetFormatPr defaultRowHeight="15" x14ac:dyDescent="0.25"/>
  <sheetData>
    <row r="1" spans="1:7" x14ac:dyDescent="0.25">
      <c r="A1" t="e">
        <f>COUNTIFS([1]Sheet1!B2:B4,"x")</f>
        <v>#VALUE!</v>
      </c>
      <c r="F1" t="s">
        <v>0</v>
      </c>
      <c r="G1">
        <v>1</v>
      </c>
    </row>
    <row r="2" spans="1:7" x14ac:dyDescent="0.25">
      <c r="A2" t="e">
        <f>AVERAGEIF([1]Sheet1!B2:B4,"x",[1]Sheet1!C2:C4)</f>
        <v>#VALUE!</v>
      </c>
      <c r="F2" t="s">
        <v>1</v>
      </c>
      <c r="G2">
        <v>1</v>
      </c>
    </row>
    <row r="3" spans="1:7" x14ac:dyDescent="0.25">
      <c r="A3" t="e">
        <f>AVERAGEIFS([1]Sheet1!C2:C4,[1]Sheet1!B2:B4,"x")</f>
        <v>#VALUE!</v>
      </c>
      <c r="G3">
        <v>2</v>
      </c>
    </row>
    <row r="4" spans="1:7" x14ac:dyDescent="0.25">
      <c r="A4" t="e">
        <f>_xlfn.MAXIFS([1]Sheet1!C2:C4,[1]Sheet1!B2:B4,"x")</f>
        <v>#VALUE!</v>
      </c>
    </row>
    <row r="5" spans="1:7" x14ac:dyDescent="0.25">
      <c r="A5" t="e">
        <f>_xlfn.MINIFS([1]Sheet1!C2:C4,[1]Sheet1!B2:B4,"x")</f>
        <v>#VALUE!</v>
      </c>
    </row>
    <row r="6" spans="1:7" x14ac:dyDescent="0.25">
      <c r="A6">
        <f>RANK(2,[1]Sheet1!A1:A3)</f>
        <v>2</v>
      </c>
    </row>
    <row r="7" spans="1:7" x14ac:dyDescent="0.25">
      <c r="A7">
        <f>_xlfn.RANK.EQ(2,[1]Sheet1!A1:A3)</f>
        <v>2</v>
      </c>
    </row>
    <row r="8" spans="1:7" x14ac:dyDescent="0.25">
      <c r="A8">
        <f>SUBTOTAL(9,[1]Sheet1!A1:A3)</f>
        <v>6</v>
      </c>
    </row>
    <row r="9" spans="1:7" x14ac:dyDescent="0.25">
      <c r="A9">
        <f>_xlfn.AGGREGATE(9,4,[1]Sheet1!A1:A3)</f>
        <v>6</v>
      </c>
    </row>
    <row r="10" spans="1:7" x14ac:dyDescent="0.25">
      <c r="A10" t="e">
        <f>DSUM([1]Sheet1!B1:C4,"v",F1:F2)</f>
        <v>#VALUE!</v>
      </c>
    </row>
    <row r="11" spans="1:7" x14ac:dyDescent="0.25">
      <c r="A11" t="b">
        <f ca="1">ISTEXT(CELL("address",[1]Sheet1!A2))</f>
        <v>0</v>
      </c>
    </row>
    <row r="12" spans="1:7" x14ac:dyDescent="0.25">
      <c r="A12">
        <f>AREAS([1]Sheet1!A1:A3)</f>
        <v>1</v>
      </c>
    </row>
    <row r="13" spans="1:7" x14ac:dyDescent="0.25">
      <c r="A13">
        <f>INDEX([1]Sheet1!A1:A3,2)</f>
        <v>2</v>
      </c>
    </row>
    <row r="14" spans="1:7" x14ac:dyDescent="0.25">
      <c r="A14">
        <f>SUM(INDEX([1]Sheet1!A1:A3,2):'[1]Sheet1'!A3)</f>
        <v>5</v>
      </c>
    </row>
    <row r="15" spans="1:7" x14ac:dyDescent="0.25">
      <c r="A15">
        <f>COUNTIF(G1:G3,[1]Sheet1!A1)</f>
        <v>2</v>
      </c>
    </row>
    <row r="16" spans="1:7" x14ac:dyDescent="0.25">
      <c r="A16">
        <f>SUMPRODUCT(--([1]Sheet1!B2:B4="x"),[1]Sheet1!C2:C4)</f>
        <v>40</v>
      </c>
    </row>
    <row r="17" spans="1:1" x14ac:dyDescent="0.25">
      <c r="A17">
        <f>COUNT([1]Sheet1!A1:C4)</f>
        <v>6</v>
      </c>
    </row>
    <row r="18" spans="1:1" x14ac:dyDescent="0.25">
      <c r="A18">
        <f>N([1]Sheet1!A2)</f>
        <v>2</v>
      </c>
    </row>
    <row r="19" spans="1:1" x14ac:dyDescent="0.25">
      <c r="A19" t="b">
        <f>ISNUMBER([1]Sheet1!A2)</f>
        <v>1</v>
      </c>
    </row>
    <row r="20" spans="1:1" x14ac:dyDescent="0.25">
      <c r="A20">
        <f>LOOKUP(2,[1]Sheet1!A1:A3)</f>
        <v>2</v>
      </c>
    </row>
    <row r="21" spans="1:1" x14ac:dyDescent="0.25">
      <c r="A21">
        <f>HLOOKUP("v",[1]Sheet1!B1:C4,2,FALSE)</f>
        <v>10</v>
      </c>
    </row>
    <row r="22" spans="1:1" x14ac:dyDescent="0.25">
      <c r="A22">
        <f>CHOOSE(2,[1]Sheet1!A1,[1]Sheet1!A2)</f>
        <v>2</v>
      </c>
    </row>
    <row r="23" spans="1:1" x14ac:dyDescent="0.25">
      <c r="A23" t="e">
        <f>SUMIF(G1:G3,1,[1]Sheet1!A1:A3)</f>
        <v>#VALUE!</v>
      </c>
    </row>
    <row r="24" spans="1:1" x14ac:dyDescent="0.25">
      <c r="A24" t="e">
        <f>COUNTIF([1]Sheet1!A1,1)</f>
        <v>#VALUE!</v>
      </c>
    </row>
    <row r="25" spans="1:1" x14ac:dyDescent="0.25">
      <c r="A25">
        <f>_xlfn.XMATCH(3,[1]Sheet1!A1:A3)</f>
        <v>3</v>
      </c>
    </row>
    <row r="26" spans="1:1" x14ac:dyDescent="0.25">
      <c r="A26">
        <f>MATCH("x",[1]Sheet1!B:B,0)</f>
        <v>2</v>
      </c>
    </row>
    <row r="27" spans="1:1" x14ac:dyDescent="0.25">
      <c r="A27" t="e">
        <f>SUMIF(ExtB,"x",ExtC)</f>
        <v>#VALUE!</v>
      </c>
    </row>
    <row r="28" spans="1:1" x14ac:dyDescent="0.25">
      <c r="A28">
        <f>SUM(ExtC)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3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3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3</v>
      </c>
    </row>
    <row r="4" spans="1:1" x14ac:dyDescent="0.25">
      <c r="A4" cm="1">
        <f t="array" ref="A4">IF(ISBLANK(S!A4),-5,IF(ISERROR(S!A4),ERROR.TYPE(S!A4),IF(ISNUMBER(S!A4),0,IF(ISLOGICAL(S!A4),IF(S!A4,-1,-2),IF(ISTEXT(S!A4),-3,-4)))))</f>
        <v>3</v>
      </c>
    </row>
    <row r="5" spans="1:1" x14ac:dyDescent="0.25">
      <c r="A5" cm="1">
        <f t="array" ref="A5">IF(ISBLANK(S!A5),-5,IF(ISERROR(S!A5),ERROR.TYPE(S!A5),IF(ISNUMBER(S!A5),0,IF(ISLOGICAL(S!A5),IF(S!A5,-1,-2),IF(ISTEXT(S!A5),-3,-4)))))</f>
        <v>3</v>
      </c>
    </row>
    <row r="6" spans="1:1" x14ac:dyDescent="0.25">
      <c r="A6" cm="1">
        <f t="array" ref="A6">IF(ISBLANK(S!A6),-5,IF(ISERROR(S!A6),ERROR.TYPE(S!A6),IF(ISNUMBER(S!A6),0,IF(ISLOGICAL(S!A6),IF(S!A6,-1,-2),IF(ISTEXT(S!A6),-3,-4)))))</f>
        <v>0</v>
      </c>
    </row>
    <row r="7" spans="1:1" x14ac:dyDescent="0.25">
      <c r="A7" cm="1">
        <f t="array" ref="A7">IF(ISBLANK(S!A7),-5,IF(ISERROR(S!A7),ERROR.TYPE(S!A7),IF(ISNUMBER(S!A7),0,IF(ISLOGICAL(S!A7),IF(S!A7,-1,-2),IF(ISTEXT(S!A7),-3,-4)))))</f>
        <v>0</v>
      </c>
    </row>
    <row r="8" spans="1:1" x14ac:dyDescent="0.25">
      <c r="A8" cm="1">
        <f t="array" ref="A8">IF(ISBLANK(S!A8),-5,IF(ISERROR(S!A8),ERROR.TYPE(S!A8),IF(ISNUMBER(S!A8),0,IF(ISLOGICAL(S!A8),IF(S!A8,-1,-2),IF(ISTEXT(S!A8),-3,-4)))))</f>
        <v>0</v>
      </c>
    </row>
    <row r="9" spans="1:1" x14ac:dyDescent="0.25">
      <c r="A9" cm="1">
        <f t="array" ref="A9">IF(ISBLANK(S!A9),-5,IF(ISERROR(S!A9),ERROR.TYPE(S!A9),IF(ISNUMBER(S!A9),0,IF(ISLOGICAL(S!A9),IF(S!A9,-1,-2),IF(ISTEXT(S!A9),-3,-4)))))</f>
        <v>0</v>
      </c>
    </row>
    <row r="10" spans="1:1" x14ac:dyDescent="0.25">
      <c r="A10" cm="1">
        <f t="array" ref="A10">IF(ISBLANK(S!A10),-5,IF(ISERROR(S!A10),ERROR.TYPE(S!A10),IF(ISNUMBER(S!A10),0,IF(ISLOGICAL(S!A10),IF(S!A10,-1,-2),IF(ISTEXT(S!A10),-3,-4)))))</f>
        <v>3</v>
      </c>
    </row>
    <row r="11" spans="1:1" x14ac:dyDescent="0.25">
      <c r="A11" cm="1">
        <f t="array" aca="1" ref="A11" ca="1">IF(ISBLANK(S!A11),-5,IF(ISERROR(S!A11),ERROR.TYPE(S!A11),IF(ISNUMBER(S!A11),0,IF(ISLOGICAL(S!A11),IF(S!A11,-1,-2),IF(ISTEXT(S!A11),-3,-4)))))</f>
        <v>-2</v>
      </c>
    </row>
    <row r="12" spans="1:1" x14ac:dyDescent="0.25">
      <c r="A12" cm="1">
        <f t="array" ref="A12">IF(ISBLANK(S!A12),-5,IF(ISERROR(S!A12),ERROR.TYPE(S!A12),IF(ISNUMBER(S!A12),0,IF(ISLOGICAL(S!A12),IF(S!A12,-1,-2),IF(ISTEXT(S!A12),-3,-4)))))</f>
        <v>0</v>
      </c>
    </row>
    <row r="13" spans="1:1" x14ac:dyDescent="0.25">
      <c r="A13" cm="1">
        <f t="array" ref="A13">IF(ISBLANK(S!A13),-5,IF(ISERROR(S!A13),ERROR.TYPE(S!A13),IF(ISNUMBER(S!A13),0,IF(ISLOGICAL(S!A13),IF(S!A13,-1,-2),IF(ISTEXT(S!A13),-3,-4)))))</f>
        <v>0</v>
      </c>
    </row>
    <row r="14" spans="1:1" x14ac:dyDescent="0.25">
      <c r="A14" cm="1">
        <f t="array" ref="A14">IF(ISBLANK(S!A14),-5,IF(ISERROR(S!A14),ERROR.TYPE(S!A14),IF(ISNUMBER(S!A14),0,IF(ISLOGICAL(S!A14),IF(S!A14,-1,-2),IF(ISTEXT(S!A14),-3,-4)))))</f>
        <v>0</v>
      </c>
    </row>
    <row r="15" spans="1:1" x14ac:dyDescent="0.25">
      <c r="A15" cm="1">
        <f t="array" ref="A15">IF(ISBLANK(S!A15),-5,IF(ISERROR(S!A15),ERROR.TYPE(S!A15),IF(ISNUMBER(S!A15),0,IF(ISLOGICAL(S!A15),IF(S!A15,-1,-2),IF(ISTEXT(S!A15),-3,-4)))))</f>
        <v>0</v>
      </c>
    </row>
    <row r="16" spans="1:1" x14ac:dyDescent="0.25">
      <c r="A16" cm="1">
        <f t="array" ref="A16">IF(ISBLANK(S!A16),-5,IF(ISERROR(S!A16),ERROR.TYPE(S!A16),IF(ISNUMBER(S!A16),0,IF(ISLOGICAL(S!A16),IF(S!A16,-1,-2),IF(ISTEXT(S!A16),-3,-4)))))</f>
        <v>0</v>
      </c>
    </row>
    <row r="17" spans="1:1" x14ac:dyDescent="0.25">
      <c r="A17" cm="1">
        <f t="array" ref="A17">IF(ISBLANK(S!A17),-5,IF(ISERROR(S!A17),ERROR.TYPE(S!A17),IF(ISNUMBER(S!A17),0,IF(ISLOGICAL(S!A17),IF(S!A17,-1,-2),IF(ISTEXT(S!A17),-3,-4)))))</f>
        <v>0</v>
      </c>
    </row>
    <row r="18" spans="1:1" x14ac:dyDescent="0.25">
      <c r="A18" cm="1">
        <f t="array" ref="A18">IF(ISBLANK(S!A18),-5,IF(ISERROR(S!A18),ERROR.TYPE(S!A18),IF(ISNUMBER(S!A18),0,IF(ISLOGICAL(S!A18),IF(S!A18,-1,-2),IF(ISTEXT(S!A18),-3,-4)))))</f>
        <v>0</v>
      </c>
    </row>
    <row r="19" spans="1:1" x14ac:dyDescent="0.25">
      <c r="A19" cm="1">
        <f t="array" ref="A19">IF(ISBLANK(S!A19),-5,IF(ISERROR(S!A19),ERROR.TYPE(S!A19),IF(ISNUMBER(S!A19),0,IF(ISLOGICAL(S!A19),IF(S!A19,-1,-2),IF(ISTEXT(S!A19),-3,-4)))))</f>
        <v>-1</v>
      </c>
    </row>
    <row r="20" spans="1:1" x14ac:dyDescent="0.25">
      <c r="A20" cm="1">
        <f t="array" ref="A20">IF(ISBLANK(S!A20),-5,IF(ISERROR(S!A20),ERROR.TYPE(S!A20),IF(ISNUMBER(S!A20),0,IF(ISLOGICAL(S!A20),IF(S!A20,-1,-2),IF(ISTEXT(S!A20),-3,-4)))))</f>
        <v>0</v>
      </c>
    </row>
    <row r="21" spans="1:1" x14ac:dyDescent="0.25">
      <c r="A21" cm="1">
        <f t="array" ref="A21">IF(ISBLANK(S!A21),-5,IF(ISERROR(S!A21),ERROR.TYPE(S!A21),IF(ISNUMBER(S!A21),0,IF(ISLOGICAL(S!A21),IF(S!A21,-1,-2),IF(ISTEXT(S!A21),-3,-4)))))</f>
        <v>0</v>
      </c>
    </row>
    <row r="22" spans="1:1" x14ac:dyDescent="0.25">
      <c r="A22" cm="1">
        <f t="array" ref="A22">IF(ISBLANK(S!A22),-5,IF(ISERROR(S!A22),ERROR.TYPE(S!A22),IF(ISNUMBER(S!A22),0,IF(ISLOGICAL(S!A22),IF(S!A22,-1,-2),IF(ISTEXT(S!A22),-3,-4)))))</f>
        <v>0</v>
      </c>
    </row>
    <row r="23" spans="1:1" x14ac:dyDescent="0.25">
      <c r="A23" cm="1">
        <f t="array" ref="A23">IF(ISBLANK(S!A23),-5,IF(ISERROR(S!A23),ERROR.TYPE(S!A23),IF(ISNUMBER(S!A23),0,IF(ISLOGICAL(S!A23),IF(S!A23,-1,-2),IF(ISTEXT(S!A23),-3,-4)))))</f>
        <v>3</v>
      </c>
    </row>
    <row r="24" spans="1:1" x14ac:dyDescent="0.25">
      <c r="A24" cm="1">
        <f t="array" ref="A24">IF(ISBLANK(S!A24),-5,IF(ISERROR(S!A24),ERROR.TYPE(S!A24),IF(ISNUMBER(S!A24),0,IF(ISLOGICAL(S!A24),IF(S!A24,-1,-2),IF(ISTEXT(S!A24),-3,-4)))))</f>
        <v>3</v>
      </c>
    </row>
    <row r="25" spans="1:1" x14ac:dyDescent="0.25">
      <c r="A25" cm="1">
        <f t="array" ref="A25">IF(ISBLANK(S!A25),-5,IF(ISERROR(S!A25),ERROR.TYPE(S!A25),IF(ISNUMBER(S!A25),0,IF(ISLOGICAL(S!A25),IF(S!A25,-1,-2),IF(ISTEXT(S!A25),-3,-4)))))</f>
        <v>0</v>
      </c>
    </row>
    <row r="26" spans="1:1" x14ac:dyDescent="0.25">
      <c r="A26" cm="1">
        <f t="array" ref="A26">IF(ISBLANK(S!A26),-5,IF(ISERROR(S!A26),ERROR.TYPE(S!A26),IF(ISNUMBER(S!A26),0,IF(ISLOGICAL(S!A26),IF(S!A26,-1,-2),IF(ISTEXT(S!A26),-3,-4)))))</f>
        <v>0</v>
      </c>
    </row>
    <row r="27" spans="1:1" x14ac:dyDescent="0.25">
      <c r="A27" cm="1">
        <f t="array" ref="A27">IF(ISBLANK(S!A27),-5,IF(ISERROR(S!A27),ERROR.TYPE(S!A27),IF(ISNUMBER(S!A27),0,IF(ISLOGICAL(S!A27),IF(S!A27,-1,-2),IF(ISTEXT(S!A27),-3,-4)))))</f>
        <v>3</v>
      </c>
    </row>
    <row r="28" spans="1:1" x14ac:dyDescent="0.25">
      <c r="A28" cm="1">
        <f t="array" ref="A28">IF(ISBLANK(S!A28),-5,IF(ISERROR(S!A28),ERROR.TYPE(S!A28),IF(ISNUMBER(S!A28),0,IF(ISLOGICAL(S!A28),IF(S!A28,-1,-2),IF(ISTEXT(S!A28),-3,-4)))))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0</v>
      </c>
    </row>
    <row r="2" spans="1:1" x14ac:dyDescent="0.25">
      <c r="A2" cm="1">
        <f t="array" ref="A2">IF(ISNUMBER(S!A2),S!A2,0)</f>
        <v>0</v>
      </c>
    </row>
    <row r="3" spans="1:1" x14ac:dyDescent="0.25">
      <c r="A3" cm="1">
        <f t="array" ref="A3">IF(ISNUMBER(S!A3),S!A3,0)</f>
        <v>0</v>
      </c>
    </row>
    <row r="4" spans="1:1" x14ac:dyDescent="0.25">
      <c r="A4" cm="1">
        <f t="array" ref="A4">IF(ISNUMBER(S!A4),S!A4,0)</f>
        <v>0</v>
      </c>
    </row>
    <row r="5" spans="1:1" x14ac:dyDescent="0.25">
      <c r="A5" cm="1">
        <f t="array" ref="A5">IF(ISNUMBER(S!A5),S!A5,0)</f>
        <v>0</v>
      </c>
    </row>
    <row r="6" spans="1:1" x14ac:dyDescent="0.25">
      <c r="A6" cm="1">
        <f t="array" ref="A6">IF(ISNUMBER(S!A6),S!A6,0)</f>
        <v>2</v>
      </c>
    </row>
    <row r="7" spans="1:1" x14ac:dyDescent="0.25">
      <c r="A7" cm="1">
        <f t="array" ref="A7">IF(ISNUMBER(S!A7),S!A7,0)</f>
        <v>2</v>
      </c>
    </row>
    <row r="8" spans="1:1" x14ac:dyDescent="0.25">
      <c r="A8" cm="1">
        <f t="array" ref="A8">IF(ISNUMBER(S!A8),S!A8,0)</f>
        <v>6</v>
      </c>
    </row>
    <row r="9" spans="1:1" x14ac:dyDescent="0.25">
      <c r="A9" cm="1">
        <f t="array" ref="A9">IF(ISNUMBER(S!A9),S!A9,0)</f>
        <v>6</v>
      </c>
    </row>
    <row r="10" spans="1:1" x14ac:dyDescent="0.25">
      <c r="A10" cm="1">
        <f t="array" ref="A10">IF(ISNUMBER(S!A10),S!A10,0)</f>
        <v>0</v>
      </c>
    </row>
    <row r="11" spans="1:1" x14ac:dyDescent="0.25">
      <c r="A11" cm="1">
        <f t="array" aca="1" ref="A11" ca="1">IF(ISNUMBER(S!A11),S!A11,0)</f>
        <v>0</v>
      </c>
    </row>
    <row r="12" spans="1:1" x14ac:dyDescent="0.25">
      <c r="A12" cm="1">
        <f t="array" ref="A12">IF(ISNUMBER(S!A12),S!A12,0)</f>
        <v>1</v>
      </c>
    </row>
    <row r="13" spans="1:1" x14ac:dyDescent="0.25">
      <c r="A13" cm="1">
        <f t="array" ref="A13">IF(ISNUMBER(S!A13),S!A13,0)</f>
        <v>2</v>
      </c>
    </row>
    <row r="14" spans="1:1" x14ac:dyDescent="0.25">
      <c r="A14" cm="1">
        <f t="array" ref="A14">IF(ISNUMBER(S!A14),S!A14,0)</f>
        <v>5</v>
      </c>
    </row>
    <row r="15" spans="1:1" x14ac:dyDescent="0.25">
      <c r="A15" cm="1">
        <f t="array" ref="A15">IF(ISNUMBER(S!A15),S!A15,0)</f>
        <v>2</v>
      </c>
    </row>
    <row r="16" spans="1:1" x14ac:dyDescent="0.25">
      <c r="A16" cm="1">
        <f t="array" ref="A16">IF(ISNUMBER(S!A16),S!A16,0)</f>
        <v>40</v>
      </c>
    </row>
    <row r="17" spans="1:1" x14ac:dyDescent="0.25">
      <c r="A17" cm="1">
        <f t="array" ref="A17">IF(ISNUMBER(S!A17),S!A17,0)</f>
        <v>6</v>
      </c>
    </row>
    <row r="18" spans="1:1" x14ac:dyDescent="0.25">
      <c r="A18" cm="1">
        <f t="array" ref="A18">IF(ISNUMBER(S!A18),S!A18,0)</f>
        <v>2</v>
      </c>
    </row>
    <row r="19" spans="1:1" x14ac:dyDescent="0.25">
      <c r="A19" cm="1">
        <f t="array" ref="A19">IF(ISNUMBER(S!A19),S!A19,0)</f>
        <v>0</v>
      </c>
    </row>
    <row r="20" spans="1:1" x14ac:dyDescent="0.25">
      <c r="A20" cm="1">
        <f t="array" ref="A20">IF(ISNUMBER(S!A20),S!A20,0)</f>
        <v>2</v>
      </c>
    </row>
    <row r="21" spans="1:1" x14ac:dyDescent="0.25">
      <c r="A21" cm="1">
        <f t="array" ref="A21">IF(ISNUMBER(S!A21),S!A21,0)</f>
        <v>10</v>
      </c>
    </row>
    <row r="22" spans="1:1" x14ac:dyDescent="0.25">
      <c r="A22" cm="1">
        <f t="array" ref="A22">IF(ISNUMBER(S!A22),S!A22,0)</f>
        <v>2</v>
      </c>
    </row>
    <row r="23" spans="1:1" x14ac:dyDescent="0.25">
      <c r="A23" cm="1">
        <f t="array" ref="A23">IF(ISNUMBER(S!A23),S!A23,0)</f>
        <v>0</v>
      </c>
    </row>
    <row r="24" spans="1:1" x14ac:dyDescent="0.25">
      <c r="A24" cm="1">
        <f t="array" ref="A24">IF(ISNUMBER(S!A24),S!A24,0)</f>
        <v>0</v>
      </c>
    </row>
    <row r="25" spans="1:1" x14ac:dyDescent="0.25">
      <c r="A25" cm="1">
        <f t="array" ref="A25">IF(ISNUMBER(S!A25),S!A25,0)</f>
        <v>3</v>
      </c>
    </row>
    <row r="26" spans="1:1" x14ac:dyDescent="0.25">
      <c r="A26" cm="1">
        <f t="array" ref="A26">IF(ISNUMBER(S!A26),S!A26,0)</f>
        <v>2</v>
      </c>
    </row>
    <row r="27" spans="1:1" x14ac:dyDescent="0.25">
      <c r="A27" cm="1">
        <f t="array" ref="A27">IF(ISNUMBER(S!A27),S!A27,0)</f>
        <v>0</v>
      </c>
    </row>
    <row r="28" spans="1:1" x14ac:dyDescent="0.25">
      <c r="A28" cm="1">
        <f t="array" ref="A28">IF(ISNUMBER(S!A28),S!A28,0)</f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  <row r="4" spans="1:1" x14ac:dyDescent="0.25">
      <c r="A4" t="str" cm="1">
        <f t="array" ref="A4">IF(ISTEXT(S!A4),S!A4,"")</f>
        <v/>
      </c>
    </row>
    <row r="5" spans="1:1" x14ac:dyDescent="0.25">
      <c r="A5" t="str" cm="1">
        <f t="array" ref="A5">IF(ISTEXT(S!A5),S!A5,"")</f>
        <v/>
      </c>
    </row>
    <row r="6" spans="1:1" x14ac:dyDescent="0.25">
      <c r="A6" t="str" cm="1">
        <f t="array" ref="A6">IF(ISTEXT(S!A6),S!A6,"")</f>
        <v/>
      </c>
    </row>
    <row r="7" spans="1:1" x14ac:dyDescent="0.25">
      <c r="A7" t="str" cm="1">
        <f t="array" ref="A7">IF(ISTEXT(S!A7),S!A7,"")</f>
        <v/>
      </c>
    </row>
    <row r="8" spans="1:1" x14ac:dyDescent="0.25">
      <c r="A8" t="str" cm="1">
        <f t="array" ref="A8">IF(ISTEXT(S!A8),S!A8,"")</f>
        <v/>
      </c>
    </row>
    <row r="9" spans="1:1" x14ac:dyDescent="0.25">
      <c r="A9" t="str" cm="1">
        <f t="array" ref="A9">IF(ISTEXT(S!A9),S!A9,"")</f>
        <v/>
      </c>
    </row>
    <row r="10" spans="1:1" x14ac:dyDescent="0.25">
      <c r="A10" t="str" cm="1">
        <f t="array" ref="A10">IF(ISTEXT(S!A10),S!A10,"")</f>
        <v/>
      </c>
    </row>
    <row r="11" spans="1:1" x14ac:dyDescent="0.25">
      <c r="A11" t="str" cm="1">
        <f t="array" aca="1" ref="A11" ca="1">IF(ISTEXT(S!A11),S!A11,"")</f>
        <v/>
      </c>
    </row>
    <row r="12" spans="1:1" x14ac:dyDescent="0.25">
      <c r="A12" t="str" cm="1">
        <f t="array" ref="A12">IF(ISTEXT(S!A12),S!A12,"")</f>
        <v/>
      </c>
    </row>
    <row r="13" spans="1:1" x14ac:dyDescent="0.25">
      <c r="A13" t="str" cm="1">
        <f t="array" ref="A13">IF(ISTEXT(S!A13),S!A13,"")</f>
        <v/>
      </c>
    </row>
    <row r="14" spans="1:1" x14ac:dyDescent="0.25">
      <c r="A14" t="str" cm="1">
        <f t="array" ref="A14">IF(ISTEXT(S!A14),S!A14,"")</f>
        <v/>
      </c>
    </row>
    <row r="15" spans="1:1" x14ac:dyDescent="0.25">
      <c r="A15" t="str" cm="1">
        <f t="array" ref="A15">IF(ISTEXT(S!A15),S!A15,"")</f>
        <v/>
      </c>
    </row>
    <row r="16" spans="1:1" x14ac:dyDescent="0.25">
      <c r="A16" t="str" cm="1">
        <f t="array" ref="A16">IF(ISTEXT(S!A16),S!A16,"")</f>
        <v/>
      </c>
    </row>
    <row r="17" spans="1:1" x14ac:dyDescent="0.25">
      <c r="A17" t="str" cm="1">
        <f t="array" ref="A17">IF(ISTEXT(S!A17),S!A17,"")</f>
        <v/>
      </c>
    </row>
    <row r="18" spans="1:1" x14ac:dyDescent="0.25">
      <c r="A18" t="str" cm="1">
        <f t="array" ref="A18">IF(ISTEXT(S!A18),S!A18,"")</f>
        <v/>
      </c>
    </row>
    <row r="19" spans="1:1" x14ac:dyDescent="0.25">
      <c r="A19" t="str" cm="1">
        <f t="array" ref="A19">IF(ISTEXT(S!A19),S!A19,"")</f>
        <v/>
      </c>
    </row>
    <row r="20" spans="1:1" x14ac:dyDescent="0.25">
      <c r="A20" t="str" cm="1">
        <f t="array" ref="A20">IF(ISTEXT(S!A20),S!A20,"")</f>
        <v/>
      </c>
    </row>
    <row r="21" spans="1:1" x14ac:dyDescent="0.25">
      <c r="A21" t="str" cm="1">
        <f t="array" ref="A21">IF(ISTEXT(S!A21),S!A21,"")</f>
        <v/>
      </c>
    </row>
    <row r="22" spans="1:1" x14ac:dyDescent="0.25">
      <c r="A22" t="str" cm="1">
        <f t="array" ref="A22">IF(ISTEXT(S!A22),S!A22,"")</f>
        <v/>
      </c>
    </row>
    <row r="23" spans="1:1" x14ac:dyDescent="0.25">
      <c r="A23" t="str" cm="1">
        <f t="array" ref="A23">IF(ISTEXT(S!A23),S!A23,"")</f>
        <v/>
      </c>
    </row>
    <row r="24" spans="1:1" x14ac:dyDescent="0.25">
      <c r="A24" t="str" cm="1">
        <f t="array" ref="A24">IF(ISTEXT(S!A24),S!A24,"")</f>
        <v/>
      </c>
    </row>
    <row r="25" spans="1:1" x14ac:dyDescent="0.25">
      <c r="A25" t="str" cm="1">
        <f t="array" ref="A25">IF(ISTEXT(S!A25),S!A25,"")</f>
        <v/>
      </c>
    </row>
    <row r="26" spans="1:1" x14ac:dyDescent="0.25">
      <c r="A26" t="str" cm="1">
        <f t="array" ref="A26">IF(ISTEXT(S!A26),S!A26,"")</f>
        <v/>
      </c>
    </row>
    <row r="27" spans="1:1" x14ac:dyDescent="0.25">
      <c r="A27" t="str" cm="1">
        <f t="array" ref="A27">IF(ISTEXT(S!A27),S!A27,"")</f>
        <v/>
      </c>
    </row>
    <row r="28" spans="1:1" x14ac:dyDescent="0.25">
      <c r="A28" t="str" cm="1">
        <f t="array" ref="A28">IF(ISTEXT(S!A28),S!A28,"")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2026-10-12T13:01:52Z</dcterms:created>
  <dcterms:modified xsi:type="dcterms:W3CDTF">2026-10-12T13:01:52Z</dcterms:modified>
</cp:coreProperties>
</file>