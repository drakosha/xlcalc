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harts/chart2.xml" ContentType="application/vnd.openxmlformats-officedocument.drawingml.chart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keep-open-41391-1\out\"/>
    </mc:Choice>
  </mc:AlternateContent>
  <xr:revisionPtr revIDLastSave="0" documentId="8_{A6C5D543-834A-448A-A545-0114FC635A48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Trend" sheetId="4" r:id="rId1"/>
    <sheet name="Data" sheetId="1" r:id="rId2"/>
    <sheet name="Pivot" sheetId="2" r:id="rId3"/>
    <sheet name="Plain" sheetId="3" r:id="rId4"/>
  </sheets>
  <definedNames>
    <definedName name="_xlnm.Print_Area" localSheetId="1">Data!$A$1:$C$21</definedName>
  </definedNames>
  <calcPr calcId="191029"/>
  <pivotCaches>
    <pivotCache cacheId="21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 a="1"/>
  <c r="D2" i="1" s="1" a="1"/>
  <c r="A2" i="3" l="1" a="1"/>
  <c r="D21" i="1" a="1"/>
  <c r="D20" i="1" a="1"/>
  <c r="D19" i="1" a="1"/>
  <c r="D18" i="1" a="1"/>
  <c r="D17" i="1" a="1"/>
  <c r="D16" i="1" a="1"/>
  <c r="D15" i="1" a="1"/>
  <c r="D14" i="1" a="1"/>
  <c r="D13" i="1" a="1"/>
  <c r="D12" i="1" a="1"/>
  <c r="D11" i="1" a="1"/>
  <c r="D10" i="1" a="1"/>
  <c r="D9" i="1" a="1"/>
  <c r="D8" i="1" a="1"/>
  <c r="D7" i="1" a="1"/>
  <c r="D6" i="1" a="1"/>
  <c r="D5" i="1" a="1"/>
  <c r="D4" i="1" a="1"/>
  <c r="D3" i="1" a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Михаил</author>
  </authors>
  <commentList>
    <comment ref="C2" authorId="0" shapeId="0" xr:uid="{BDD6603C-4E55-0B4E-BEFB-4B25C54390E0}">
      <text>
        <r>
          <rPr>
            <b/>
            <sz val="10"/>
            <color rgb="FF000000"/>
            <rFont val="Tahoma"/>
            <family val="2"/>
          </rPr>
          <t>made in Excel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<sst xmlns="http://schemas.openxmlformats.org/spreadsheetml/2006/main" count="53" uniqueCount="18">
  <si>
    <t>Region</t>
  </si>
  <si>
    <t>Amount</t>
  </si>
  <si>
    <t>Month</t>
  </si>
  <si>
    <t>Total</t>
  </si>
  <si>
    <t>East</t>
  </si>
  <si>
    <t>M3</t>
  </si>
  <si>
    <t>West</t>
  </si>
  <si>
    <t>M1</t>
  </si>
  <si>
    <t>North</t>
  </si>
  <si>
    <t>M2</t>
  </si>
  <si>
    <t>South</t>
  </si>
  <si>
    <t>plain</t>
  </si>
  <si>
    <r>
      <t>Eas</t>
    </r>
    <r>
      <rPr>
        <sz val="11"/>
        <rFont val="Calibri"/>
      </rPr>
      <t>t</t>
    </r>
  </si>
  <si>
    <r>
      <t>S</t>
    </r>
    <r>
      <rPr>
        <i/>
        <sz val="11"/>
        <rFont val="Calibri"/>
        <family val="2"/>
      </rPr>
      <t>outh</t>
    </r>
  </si>
  <si>
    <t>Share</t>
  </si>
  <si>
    <t>Row Labels</t>
  </si>
  <si>
    <t>Sum of Amount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</si>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</sst>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 x14ac:knownFonts="1">
    <font>
      <sz val="11"/>
      <name val="Calibri"/>
    </font>
    <font>
      <b/>
      <sz val="11"/>
      <name val="Calibri"/>
      <family val="2"/>
    </font>
    <font>
      <i/>
      <sz val="11"/>
      <name val="Calibri"/>
      <family val="2"/>
    </font>
    <font>
      <sz val="11"/>
      <color theme="4"/>
      <name val="Calibri"/>
      <family val="2"/>
    </font>
    <font>
      <b/>
      <sz val="10"/>
      <color rgb="FF000000"/>
      <name val="Tahoma"/>
      <family val="2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rgb="FFDDEE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3" fillId="0" borderId="0" xfId="0" applyFont="1"/>
    <xf numFmtId="0" fontId="0" fillId="2" borderId="0" xfId="0" applyFill="1"/>
    <xf numFmtId="0" fontId="5" fillId="3" borderId="0" xfId="0" applyFont="1" applyFill="1"/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2.xml"/><Relationship Id="rId7" Type="http://schemas.openxmlformats.org/officeDocument/2006/relationships/styles" Target="styles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3.xml"/><Relationship Id="rId9" Type="http://schemas.openxmlformats.org/officeDocument/2006/relationships/sheetMetadata" Target="metadata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Data!$B$1</c:f>
              <c:strCache>
                <c:ptCount val="1"/>
                <c:pt idx="0">
                  <c:v>Amount</c:v>
                </c:pt>
              </c:strCache>
            </c:strRef>
          </c:tx>
          <c:val>
            <c:numRef>
              <c:f>Data!$B$2:$B$21</c:f>
              <c:numCache>
                <c:formatCode>General</c:formatCode>
                <c:ptCount val="20"/>
                <c:pt idx="0">
                  <c:v>14</c:v>
                </c:pt>
                <c:pt idx="1">
                  <c:v>21</c:v>
                </c:pt>
                <c:pt idx="2">
                  <c:v>28</c:v>
                </c:pt>
                <c:pt idx="3">
                  <c:v>35</c:v>
                </c:pt>
                <c:pt idx="4">
                  <c:v>42</c:v>
                </c:pt>
                <c:pt idx="5">
                  <c:v>49</c:v>
                </c:pt>
                <c:pt idx="6">
                  <c:v>56</c:v>
                </c:pt>
                <c:pt idx="7">
                  <c:v>63</c:v>
                </c:pt>
                <c:pt idx="8">
                  <c:v>70</c:v>
                </c:pt>
                <c:pt idx="9">
                  <c:v>77</c:v>
                </c:pt>
                <c:pt idx="10">
                  <c:v>84</c:v>
                </c:pt>
                <c:pt idx="11">
                  <c:v>91</c:v>
                </c:pt>
                <c:pt idx="12">
                  <c:v>98</c:v>
                </c:pt>
                <c:pt idx="13">
                  <c:v>105</c:v>
                </c:pt>
                <c:pt idx="14">
                  <c:v>112</c:v>
                </c:pt>
                <c:pt idx="15">
                  <c:v>119</c:v>
                </c:pt>
                <c:pt idx="16">
                  <c:v>126</c:v>
                </c:pt>
                <c:pt idx="17">
                  <c:v>133</c:v>
                </c:pt>
                <c:pt idx="18">
                  <c:v>140</c:v>
                </c:pt>
                <c:pt idx="19">
                  <c:v>147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FB8-DF48-9146-629239A069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58680383"/>
        <c:axId val="1558690687"/>
      </c:lineChart>
      <c:catAx>
        <c:axId val="1558680383"/>
        <c:scaling>
          <c:orientation val="minMax"/>
        </c:scaling>
        <c:delete val="0"/>
        <c:axPos val="b"/>
        <c:majorTickMark val="out"/>
        <c:minorTickMark val="none"/>
        <c:tickLblPos val="nextTo"/>
        <c:crossAx val="1558690687"/>
        <c:crosses val="autoZero"/>
        <c:auto val="1"/>
        <c:lblAlgn val="ctr"/>
        <c:lblOffset val="100"/>
        <c:noMultiLvlLbl val="0"/>
      </c:catAx>
      <c:valAx>
        <c:axId val="1558690687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558680383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Data!$B$1</c:f>
              <c:strCache>
                <c:ptCount val="1"/>
                <c:pt idx="0">
                  <c:v>Amount</c:v>
                </c:pt>
              </c:strCache>
            </c:strRef>
          </c:tx>
          <c:invertIfNegative val="0"/>
          <c:cat>
            <c:strRef>
              <c:f>Data!$A$2:$A$6</c:f>
              <c:strCache>
                <c:ptCount val="5"/>
                <c:pt idx="0">
                  <c:v>East</c:v>
                </c:pt>
                <c:pt idx="1">
                  <c:v>West</c:v>
                </c:pt>
                <c:pt idx="2">
                  <c:v>North</c:v>
                </c:pt>
                <c:pt idx="3">
                  <c:v>South</c:v>
                </c:pt>
                <c:pt idx="4">
                  <c:v>East</c:v>
                </c:pt>
              </c:strCache>
            </c:strRef>
          </c:cat>
          <c:val>
            <c:numRef>
              <c:f>Data!$B$2:$B$6</c:f>
              <c:numCache>
                <c:formatCode>General</c:formatCode>
                <c:ptCount val="5"/>
                <c:pt idx="0">
                  <c:v>14</c:v>
                </c:pt>
                <c:pt idx="1">
                  <c:v>21</c:v>
                </c:pt>
                <c:pt idx="2">
                  <c:v>28</c:v>
                </c:pt>
                <c:pt idx="3">
                  <c:v>35</c:v>
                </c:pt>
                <c:pt idx="4">
                  <c:v>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C22-4B49-98CE-DDDAD7AC18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17035775"/>
        <c:axId val="1401519423"/>
      </c:barChart>
      <c:catAx>
        <c:axId val="141703577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401519423"/>
        <c:crosses val="autoZero"/>
        <c:auto val="1"/>
        <c:lblAlgn val="ctr"/>
        <c:lblOffset val="100"/>
        <c:noMultiLvlLbl val="0"/>
      </c:catAx>
      <c:valAx>
        <c:axId val="1401519423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417035775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E3839171-180B-1F43-A594-7035C9001D9A}">
  <sheetPr/>
  <sheetViews>
    <sheetView tabSelected="1" zoomScale="166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8133" cy="628114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D3DD127-1ED7-CB6F-F0E1-6189967EB2F1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444500</xdr:colOff>
      <xdr:row>0</xdr:row>
      <xdr:rowOff>127000</xdr:rowOff>
    </xdr:from>
    <xdr:to>
      <xdr:col>11</xdr:col>
      <xdr:colOff>215900</xdr:colOff>
      <xdr:row>12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C25362B-5E50-D46C-9939-0559559955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444500</xdr:colOff>
      <xdr:row>14</xdr:row>
      <xdr:rowOff>127000</xdr:rowOff>
    </xdr:from>
    <xdr:to>
      <xdr:col>7</xdr:col>
      <xdr:colOff>114300</xdr:colOff>
      <xdr:row>18</xdr:row>
      <xdr:rowOff>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373A12A-388A-E214-DBA3-2F896499F91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00" y="2794000"/>
          <a:ext cx="1016000" cy="635000"/>
        </a:xfrm>
        <a:prstGeom prst="rect">
          <a:avLst/>
        </a:prstGeom>
      </xdr:spPr>
    </xdr:pic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OnLoad="1" refreshedBy="mike" refreshedDate="46324.541296180556" createdVersion="6" refreshedVersion="8" minRefreshableVersion="3" recordCount="20" xr:uid="{00000000-000A-0000-FFFF-FFFF01000000}">
  <cacheSource type="worksheet">
    <worksheetSource ref="A1:C21" sheet="Data"/>
  </cacheSource>
  <cacheFields count="3">
    <cacheField name="Region" numFmtId="0">
      <sharedItems count="4">
        <s v="East"/>
        <s v="West"/>
        <s v="North"/>
        <s v="South"/>
      </sharedItems>
    </cacheField>
    <cacheField name="Amount" numFmtId="0">
      <sharedItems containsSemiMixedTypes="0" containsString="0" containsNumber="1" containsInteger="1" minValue="14" maxValue="147"/>
    </cacheField>
    <cacheField name="Month" numFmtId="0">
      <sharedItems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PivotTable1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>
  <location ref="A3:B8" firstHeaderRow="1" firstDataRow="1" firstDataCol="1"/>
  <pivotFields count="3">
    <pivotField axis="axisRow" showAll="0">
      <items count="5">
        <item x="2"/>
        <item x="3"/>
        <item x="0"/>
        <item x="1"/>
        <item t="default"/>
      </items>
    </pivotField>
    <pivotField dataField="1" showAll="0"/>
    <pivotField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Amount" fld="1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workbookViewId="0"/>
  </sheetViews>
  <sheetFormatPr defaultColWidth="8.85546875" defaultRowHeight="15" x14ac:dyDescent="0.25"/>
  <sheetData>
    <row r="1" spans="1:5" x14ac:dyDescent="0.25">
      <c r="A1" s="4" t="s">
        <v>0</v>
      </c>
      <c r="B1" s="4" t="s">
        <v>1</v>
      </c>
      <c r="C1" s="4" t="s">
        <v>2</v>
      </c>
      <c r="D1" s="4" t="s">
        <v>14</v>
      </c>
      <c r="E1" s="4" t="s">
        <v>3</v>
      </c>
    </row>
    <row r="2" spans="1:5" x14ac:dyDescent="0.25">
      <c r="A2" s="1" t="s">
        <v>12</v>
      </c>
      <c r="B2">
        <v>14</v>
      </c>
      <c r="C2" t="s">
        <v>5</v>
      </c>
      <c r="D2" s="5" cm="1">
        <f t="array" ref="D2">B2/$E$2</f>
        <v>8.6956521739130436E-3</v>
      </c>
      <c r="E2" cm="1">
        <f t="array" ref="E2">SUM(B2:B21)</f>
        <v>1610</v>
      </c>
    </row>
    <row r="3" spans="1:5" x14ac:dyDescent="0.25">
      <c r="A3" s="2" t="s">
        <v>6</v>
      </c>
      <c r="B3" s="2">
        <v>21</v>
      </c>
      <c r="C3" s="2" t="s">
        <v>7</v>
      </c>
      <c r="D3" s="5" cm="1">
        <f t="array" ref="D3">B3/$E$2</f>
        <v>1.3043478260869565E-2</v>
      </c>
    </row>
    <row r="4" spans="1:5" x14ac:dyDescent="0.25">
      <c r="A4" s="3" t="s">
        <v>8</v>
      </c>
      <c r="B4" s="3">
        <v>28</v>
      </c>
      <c r="C4" s="3" t="s">
        <v>9</v>
      </c>
      <c r="D4" s="5" cm="1">
        <f t="array" ref="D4">B4/$E$2</f>
        <v>1.7391304347826087E-2</v>
      </c>
    </row>
    <row r="5" spans="1:5" x14ac:dyDescent="0.25">
      <c r="A5" t="s">
        <v>13</v>
      </c>
      <c r="B5">
        <v>35</v>
      </c>
      <c r="C5" t="s">
        <v>5</v>
      </c>
      <c r="D5" s="5" cm="1">
        <f t="array" ref="D5">B5/$E$2</f>
        <v>2.1739130434782608E-2</v>
      </c>
    </row>
    <row r="6" spans="1:5" x14ac:dyDescent="0.25">
      <c r="A6" t="s">
        <v>4</v>
      </c>
      <c r="B6">
        <v>42</v>
      </c>
      <c r="C6" t="s">
        <v>7</v>
      </c>
      <c r="D6" s="5" cm="1">
        <f t="array" ref="D6">B6/$E$2</f>
        <v>2.6086956521739129E-2</v>
      </c>
    </row>
    <row r="7" spans="1:5" x14ac:dyDescent="0.25">
      <c r="A7" t="s">
        <v>6</v>
      </c>
      <c r="B7">
        <v>49</v>
      </c>
      <c r="C7" t="s">
        <v>9</v>
      </c>
      <c r="D7" s="5" cm="1">
        <f t="array" ref="D7">B7/$E$2</f>
        <v>3.0434782608695653E-2</v>
      </c>
    </row>
    <row r="8" spans="1:5" x14ac:dyDescent="0.25">
      <c r="A8" t="s">
        <v>8</v>
      </c>
      <c r="B8">
        <v>56</v>
      </c>
      <c r="C8" t="s">
        <v>5</v>
      </c>
      <c r="D8" s="5" cm="1">
        <f t="array" ref="D8">B8/$E$2</f>
        <v>3.4782608695652174E-2</v>
      </c>
    </row>
    <row r="9" spans="1:5" x14ac:dyDescent="0.25">
      <c r="A9" t="s">
        <v>10</v>
      </c>
      <c r="B9">
        <v>63</v>
      </c>
      <c r="C9" t="s">
        <v>7</v>
      </c>
      <c r="D9" s="5" cm="1">
        <f t="array" ref="D9">B9/$E$2</f>
        <v>3.9130434782608699E-2</v>
      </c>
    </row>
    <row r="10" spans="1:5" x14ac:dyDescent="0.25">
      <c r="A10" t="s">
        <v>4</v>
      </c>
      <c r="B10">
        <v>70</v>
      </c>
      <c r="C10" t="s">
        <v>9</v>
      </c>
      <c r="D10" s="5" cm="1">
        <f t="array" ref="D10">B10/$E$2</f>
        <v>4.3478260869565216E-2</v>
      </c>
    </row>
    <row r="11" spans="1:5" x14ac:dyDescent="0.25">
      <c r="A11" t="s">
        <v>6</v>
      </c>
      <c r="B11">
        <v>77</v>
      </c>
      <c r="C11" t="s">
        <v>5</v>
      </c>
      <c r="D11" s="5" cm="1">
        <f t="array" ref="D11">B11/$E$2</f>
        <v>4.7826086956521741E-2</v>
      </c>
    </row>
    <row r="12" spans="1:5" x14ac:dyDescent="0.25">
      <c r="A12" t="s">
        <v>8</v>
      </c>
      <c r="B12">
        <v>84</v>
      </c>
      <c r="C12" t="s">
        <v>7</v>
      </c>
      <c r="D12" s="5" cm="1">
        <f t="array" ref="D12">B12/$E$2</f>
        <v>5.2173913043478258E-2</v>
      </c>
    </row>
    <row r="13" spans="1:5" x14ac:dyDescent="0.25">
      <c r="A13" t="s">
        <v>10</v>
      </c>
      <c r="B13">
        <v>91</v>
      </c>
      <c r="C13" t="s">
        <v>9</v>
      </c>
      <c r="D13" s="5" cm="1">
        <f t="array" ref="D13">B13/$E$2</f>
        <v>5.6521739130434782E-2</v>
      </c>
    </row>
    <row r="14" spans="1:5" x14ac:dyDescent="0.25">
      <c r="A14" t="s">
        <v>4</v>
      </c>
      <c r="B14">
        <v>98</v>
      </c>
      <c r="C14" t="s">
        <v>5</v>
      </c>
      <c r="D14" s="5" cm="1">
        <f t="array" ref="D14">B14/$E$2</f>
        <v>6.0869565217391307E-2</v>
      </c>
    </row>
    <row r="15" spans="1:5" x14ac:dyDescent="0.25">
      <c r="A15" t="s">
        <v>6</v>
      </c>
      <c r="B15">
        <v>105</v>
      </c>
      <c r="C15" t="s">
        <v>7</v>
      </c>
      <c r="D15" s="5" cm="1">
        <f t="array" ref="D15">B15/$E$2</f>
        <v>6.5217391304347824E-2</v>
      </c>
    </row>
    <row r="16" spans="1:5" x14ac:dyDescent="0.25">
      <c r="A16" t="s">
        <v>8</v>
      </c>
      <c r="B16">
        <v>112</v>
      </c>
      <c r="C16" t="s">
        <v>9</v>
      </c>
      <c r="D16" s="5" cm="1">
        <f t="array" ref="D16">B16/$E$2</f>
        <v>6.9565217391304349E-2</v>
      </c>
    </row>
    <row r="17" spans="1:4" x14ac:dyDescent="0.25">
      <c r="A17" t="s">
        <v>10</v>
      </c>
      <c r="B17">
        <v>119</v>
      </c>
      <c r="C17" t="s">
        <v>5</v>
      </c>
      <c r="D17" s="5" cm="1">
        <f t="array" ref="D17">B17/$E$2</f>
        <v>7.3913043478260873E-2</v>
      </c>
    </row>
    <row r="18" spans="1:4" x14ac:dyDescent="0.25">
      <c r="A18" t="s">
        <v>4</v>
      </c>
      <c r="B18">
        <v>126</v>
      </c>
      <c r="C18" t="s">
        <v>7</v>
      </c>
      <c r="D18" s="5" cm="1">
        <f t="array" ref="D18">B18/$E$2</f>
        <v>7.8260869565217397E-2</v>
      </c>
    </row>
    <row r="19" spans="1:4" x14ac:dyDescent="0.25">
      <c r="A19" t="s">
        <v>6</v>
      </c>
      <c r="B19">
        <v>133</v>
      </c>
      <c r="C19" t="s">
        <v>9</v>
      </c>
      <c r="D19" s="5" cm="1">
        <f t="array" ref="D19">B19/$E$2</f>
        <v>8.2608695652173908E-2</v>
      </c>
    </row>
    <row r="20" spans="1:4" x14ac:dyDescent="0.25">
      <c r="A20" t="s">
        <v>8</v>
      </c>
      <c r="B20">
        <v>140</v>
      </c>
      <c r="C20" t="s">
        <v>5</v>
      </c>
      <c r="D20" s="5" cm="1">
        <f t="array" ref="D20">B20/$E$2</f>
        <v>8.6956521739130432E-2</v>
      </c>
    </row>
    <row r="21" spans="1:4" x14ac:dyDescent="0.25">
      <c r="A21" t="s">
        <v>10</v>
      </c>
      <c r="B21">
        <v>147</v>
      </c>
      <c r="C21" t="s">
        <v>7</v>
      </c>
      <c r="D21" s="5" cm="1">
        <f t="array" ref="D21">B21/$E$2</f>
        <v>9.1304347826086957E-2</v>
      </c>
    </row>
  </sheetData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B8"/>
  <sheetViews>
    <sheetView workbookViewId="0"/>
  </sheetViews>
  <sheetFormatPr defaultColWidth="8.85546875" defaultRowHeight="15" x14ac:dyDescent="0.25"/>
  <cols>
    <col min="1" max="1" width="13.140625" bestFit="1" customWidth="1"/>
    <col min="2" max="2" width="14.85546875" bestFit="1" customWidth="1"/>
  </cols>
  <sheetData>
    <row r="3" spans="1:2" x14ac:dyDescent="0.25">
      <c r="A3" s="6" t="s">
        <v>15</v>
      </c>
      <c r="B3" t="s">
        <v>16</v>
      </c>
    </row>
    <row r="4" spans="1:2" x14ac:dyDescent="0.25">
      <c r="A4" s="7" t="s">
        <v>8</v>
      </c>
      <c r="B4" s="8">
        <v>420</v>
      </c>
    </row>
    <row r="5" spans="1:2" x14ac:dyDescent="0.25">
      <c r="A5" s="7" t="s">
        <v>10</v>
      </c>
      <c r="B5" s="8">
        <v>455</v>
      </c>
    </row>
    <row r="6" spans="1:2" x14ac:dyDescent="0.25">
      <c r="A6" s="7" t="s">
        <v>4</v>
      </c>
      <c r="B6" s="8">
        <v>350</v>
      </c>
    </row>
    <row r="7" spans="1:2" x14ac:dyDescent="0.25">
      <c r="A7" s="7" t="s">
        <v>6</v>
      </c>
      <c r="B7" s="8">
        <v>385</v>
      </c>
    </row>
    <row r="8" spans="1:2" x14ac:dyDescent="0.25">
      <c r="A8" s="7" t="s">
        <v>17</v>
      </c>
      <c r="B8" s="8">
        <v>1610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"/>
  <sheetViews>
    <sheetView workbookViewId="0"/>
  </sheetViews>
  <sheetFormatPr defaultColWidth="8.85546875" defaultRowHeight="15" x14ac:dyDescent="0.25"/>
  <sheetData>
    <row r="1" spans="1:1" x14ac:dyDescent="0.25">
      <c r="A1" t="s">
        <v>11</v>
      </c>
    </row>
    <row r="2" spans="1:1" x14ac:dyDescent="0.25">
      <c r="A2" cm="1">
        <f t="array" ref="A2">Data!E2*2</f>
        <v>3220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Data</vt:lpstr>
      <vt:lpstr>Pivot</vt:lpstr>
      <vt:lpstr>Plain</vt:lpstr>
      <vt:lpstr>Trend</vt:lpstr>
      <vt:lpstr>Data!Print_Area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2026-10-25T17:01:35Z</dcterms:created>
  <dcterms:modified xsi:type="dcterms:W3CDTF">2026-10-29T09:59:28Z</dcterms:modified>
</cp:coreProperties>
</file>