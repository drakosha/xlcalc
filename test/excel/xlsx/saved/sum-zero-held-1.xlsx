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E10B82CA-5AE3-404B-A0BD-F59451BA214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Q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3" l="1" a="1"/>
  <c r="A34" i="3" s="1"/>
  <c r="D34" i="3" s="1"/>
  <c r="A33" i="3" a="1"/>
  <c r="A33" i="3" s="1"/>
  <c r="A32" i="3" a="1"/>
  <c r="A32" i="3" s="1"/>
  <c r="D32" i="3" s="1"/>
  <c r="A31" i="3" a="1"/>
  <c r="A31" i="3" s="1"/>
  <c r="A30" i="3" a="1"/>
  <c r="A30" i="3"/>
  <c r="C30" i="3" s="1"/>
  <c r="A29" i="3" a="1"/>
  <c r="A29" i="3" s="1"/>
  <c r="A28" i="3" a="1"/>
  <c r="A28" i="3" s="1"/>
  <c r="A27" i="3" a="1"/>
  <c r="A27" i="3"/>
  <c r="C27" i="3" s="1"/>
  <c r="A26" i="3" a="1"/>
  <c r="A26" i="3"/>
  <c r="B26" i="3" s="1"/>
  <c r="A25" i="3" a="1"/>
  <c r="A25" i="3"/>
  <c r="D25" i="3" s="1"/>
  <c r="A24" i="3" a="1"/>
  <c r="A24" i="3" s="1"/>
  <c r="A23" i="3" a="1"/>
  <c r="A23" i="3" s="1"/>
  <c r="D23" i="3" s="1"/>
  <c r="A22" i="3" a="1"/>
  <c r="A22" i="3" s="1"/>
  <c r="D22" i="3" s="1"/>
  <c r="A21" i="3" a="1"/>
  <c r="A21" i="3" s="1"/>
  <c r="A20" i="3" a="1"/>
  <c r="A20" i="3"/>
  <c r="B20" i="3" s="1"/>
  <c r="A19" i="3" a="1"/>
  <c r="A19" i="3" s="1"/>
  <c r="D19" i="3" s="1"/>
  <c r="A18" i="3" a="1"/>
  <c r="A18" i="3" s="1"/>
  <c r="D18" i="3" s="1"/>
  <c r="A17" i="3" a="1"/>
  <c r="A17" i="3"/>
  <c r="D17" i="3" s="1"/>
  <c r="A16" i="3" a="1"/>
  <c r="A16" i="3" s="1"/>
  <c r="D16" i="3" s="1"/>
  <c r="A15" i="3" a="1"/>
  <c r="A15" i="3" s="1"/>
  <c r="A14" i="3" a="1"/>
  <c r="A14" i="3"/>
  <c r="D14" i="3" s="1"/>
  <c r="A13" i="3" a="1"/>
  <c r="A13" i="3" s="1"/>
  <c r="A6" i="3" a="1"/>
  <c r="A6" i="3" s="1"/>
  <c r="I15" i="2"/>
  <c r="A14" i="2"/>
  <c r="A13" i="2"/>
  <c r="AL10" i="2"/>
  <c r="A8" i="2"/>
  <c r="A7" i="2"/>
  <c r="E3" i="2"/>
  <c r="A12" i="1"/>
  <c r="A12" i="3" s="1" a="1"/>
  <c r="A12" i="3" s="1"/>
  <c r="A11" i="1"/>
  <c r="A11" i="3" s="1" a="1"/>
  <c r="A11" i="3" s="1"/>
  <c r="A10" i="1"/>
  <c r="A10" i="3" s="1" a="1"/>
  <c r="A10" i="3" s="1"/>
  <c r="A9" i="1"/>
  <c r="A9" i="3" s="1" a="1"/>
  <c r="A9" i="3" s="1"/>
  <c r="A8" i="1"/>
  <c r="A8" i="3" s="1" a="1"/>
  <c r="A8" i="3" s="1"/>
  <c r="C8" i="3" s="1"/>
  <c r="A7" i="1"/>
  <c r="A7" i="3" s="1" a="1"/>
  <c r="A7" i="3" s="1"/>
  <c r="A6" i="1"/>
  <c r="A5" i="1"/>
  <c r="A5" i="3" s="1" a="1"/>
  <c r="A5" i="3" s="1"/>
  <c r="A4" i="1"/>
  <c r="A4" i="3" s="1" a="1"/>
  <c r="A4" i="3" s="1"/>
  <c r="A3" i="1"/>
  <c r="A3" i="3" s="1" a="1"/>
  <c r="A3" i="3" s="1"/>
  <c r="C3" i="3" s="1"/>
  <c r="A2" i="1"/>
  <c r="A2" i="3" s="1" a="1"/>
  <c r="A2" i="3" s="1"/>
  <c r="A1" i="1"/>
  <c r="A1" i="3" s="1" a="1"/>
  <c r="A1" i="3" s="1"/>
  <c r="D7" i="3" l="1"/>
  <c r="C7" i="3"/>
  <c r="D27" i="3"/>
  <c r="D20" i="3"/>
  <c r="C20" i="3"/>
  <c r="B14" i="3"/>
  <c r="D24" i="3"/>
  <c r="C24" i="3"/>
  <c r="B24" i="3"/>
  <c r="D6" i="3"/>
  <c r="C6" i="3"/>
  <c r="B6" i="3"/>
  <c r="D29" i="3"/>
  <c r="C29" i="3"/>
  <c r="B29" i="3"/>
  <c r="D31" i="3"/>
  <c r="B31" i="3"/>
  <c r="C31" i="3"/>
  <c r="B33" i="3"/>
  <c r="D33" i="3"/>
  <c r="C33" i="3"/>
  <c r="C15" i="3"/>
  <c r="B15" i="3"/>
  <c r="D15" i="3"/>
  <c r="D1" i="3"/>
  <c r="C1" i="3"/>
  <c r="B1" i="3"/>
  <c r="D4" i="3"/>
  <c r="C4" i="3"/>
  <c r="B4" i="3"/>
  <c r="B5" i="3"/>
  <c r="D5" i="3"/>
  <c r="C5" i="3"/>
  <c r="C10" i="3"/>
  <c r="D10" i="3"/>
  <c r="B10" i="3"/>
  <c r="D13" i="3"/>
  <c r="B13" i="3"/>
  <c r="C13" i="3"/>
  <c r="B2" i="3"/>
  <c r="C2" i="3"/>
  <c r="D2" i="3"/>
  <c r="C28" i="3"/>
  <c r="B28" i="3"/>
  <c r="D28" i="3"/>
  <c r="C9" i="3"/>
  <c r="B9" i="3"/>
  <c r="D9" i="3"/>
  <c r="C21" i="3"/>
  <c r="D21" i="3"/>
  <c r="B21" i="3"/>
  <c r="D11" i="3"/>
  <c r="C11" i="3"/>
  <c r="B11" i="3"/>
  <c r="C12" i="3"/>
  <c r="B12" i="3"/>
  <c r="D12" i="3"/>
  <c r="B25" i="3"/>
  <c r="C32" i="3"/>
  <c r="B32" i="3"/>
  <c r="D3" i="3"/>
  <c r="B7" i="3"/>
  <c r="C14" i="3"/>
  <c r="C25" i="3"/>
  <c r="C18" i="3"/>
  <c r="B22" i="3"/>
  <c r="B18" i="3"/>
  <c r="B17" i="3"/>
  <c r="C17" i="3"/>
  <c r="B3" i="3"/>
  <c r="B19" i="3"/>
  <c r="C26" i="3"/>
  <c r="D26" i="3"/>
  <c r="B30" i="3"/>
  <c r="B23" i="3"/>
  <c r="B16" i="3"/>
  <c r="C23" i="3"/>
  <c r="D30" i="3"/>
  <c r="B34" i="3"/>
  <c r="D8" i="3"/>
  <c r="C19" i="3"/>
  <c r="C16" i="3"/>
  <c r="B27" i="3"/>
  <c r="C34" i="3"/>
  <c r="C22" i="3"/>
  <c r="B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<sst xmlns="http://schemas.openxmlformats.org/spreadsheetml/2006/main" count="93" uniqueCount="70">
  <si>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</si>
  <si>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</si>
  <si>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</si>
  <si>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</si>
  <si>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</si>
  <si>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</si>
  <si>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</si>
  <si>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</si>
  <si>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</si>
  <si>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</si>
  <si>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</si>
  <si>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</si>
  <si>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</si>
  <si>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</si>
  <si>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</si>
  <si>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</si>
  <si>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</si>
  <si>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</si>
  <si>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</si>
  <si>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</si>
  <si>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</si>
  <si>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</si>
  <si>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</si>
  <si>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</si>
  <si>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</si>
  <si>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</si>
  <si>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</si>
  <si>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</si>
  <si>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</si>
  <si>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</si>
  <si>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</si>
  <si>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</si>
  <si>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</si>
  <si>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</si>
  <si>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</si>
  <si>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edge#1</t>
  </si>
  <si>
    <t>edge#2</t>
  </si>
  <si>
    <t>edge#3</t>
  </si>
  <si>
    <t>edge#4</t>
  </si>
  <si>
    <t>edge#5</t>
  </si>
  <si>
    <t>edge#6</t>
  </si>
  <si>
    <t>edge#7</t>
  </si>
  <si>
    <t>edge#8</t>
  </si>
  <si>
    <t>edge#9</t>
  </si>
  <si>
    <t>edge#10</t>
  </si>
  <si>
    <t>edge#11</t>
  </si>
  <si>
    <t>edge#12</t>
  </si>
  <si>
    <t>sum#1</t>
  </si>
  <si>
    <t>sum#2</t>
  </si>
  <si>
    <t>sum#3</t>
  </si>
  <si>
    <t>sum#4</t>
  </si>
  <si>
    <t>sum#5</t>
  </si>
  <si>
    <t>sum#6</t>
  </si>
  <si>
    <t>sum#7</t>
  </si>
  <si>
    <t>sum#8</t>
  </si>
  <si>
    <t>sum#9</t>
  </si>
  <si>
    <t>sum#10</t>
  </si>
  <si>
    <t>sum#11</t>
  </si>
  <si>
    <t>sum#12</t>
  </si>
  <si>
    <t>sum#13</t>
  </si>
  <si>
    <t>SUBTOTAL#1</t>
  </si>
  <si>
    <t>AGGREGATE#1</t>
  </si>
  <si>
    <t>SUMIF#1</t>
  </si>
  <si>
    <t>SUMIFS#1</t>
  </si>
  <si>
    <t>AVERAGE#1</t>
  </si>
  <si>
    <t>AVERAGE#2</t>
  </si>
  <si>
    <t>SUMPRODUCT#1</t>
  </si>
  <si>
    <t>MMULT#1</t>
  </si>
  <si>
    <t>NPV#1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</si>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</sst>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f>1-(1-7*2^-53)</f>
        <v>0</v>
      </c>
      <c r="B1">
        <v>0.1</v>
      </c>
    </row>
    <row r="2" spans="1:2" x14ac:dyDescent="0.2">
      <c r="A2">
        <f>1-(1-8*2^-53)</f>
        <v>0</v>
      </c>
      <c r="B2">
        <v>0.2</v>
      </c>
    </row>
    <row r="3" spans="1:2" x14ac:dyDescent="0.2">
      <c r="A3">
        <f>1-(1-12*2^-53)</f>
        <v>0</v>
      </c>
      <c r="B3">
        <v>-0.3</v>
      </c>
    </row>
    <row r="4" spans="1:2" x14ac:dyDescent="0.2">
      <c r="A4">
        <f>1-(1-15*2^-53)</f>
        <v>0</v>
      </c>
    </row>
    <row r="5" spans="1:2" x14ac:dyDescent="0.2">
      <c r="A5">
        <f>1-(1-16*2^-53)</f>
        <v>1.7763568394002505E-15</v>
      </c>
    </row>
    <row r="6" spans="1:2" x14ac:dyDescent="0.2">
      <c r="A6">
        <f>1-(1-17*2^-53)</f>
        <v>1.8873791418627661E-15</v>
      </c>
    </row>
    <row r="7" spans="1:2" x14ac:dyDescent="0.2">
      <c r="A7">
        <f>(1-7*2^-53)-1</f>
        <v>0</v>
      </c>
    </row>
    <row r="8" spans="1:2" x14ac:dyDescent="0.2">
      <c r="A8">
        <f>(1-8*2^-53)-1</f>
        <v>-8.8817841970012523E-16</v>
      </c>
    </row>
    <row r="9" spans="1:2" x14ac:dyDescent="0.2">
      <c r="A9">
        <f>(1-12*2^-53)-1</f>
        <v>-1.3322676295501878E-15</v>
      </c>
    </row>
    <row r="10" spans="1:2" x14ac:dyDescent="0.2">
      <c r="A10">
        <f>(1-15*2^-53)-1</f>
        <v>-1.6653345369377348E-15</v>
      </c>
    </row>
    <row r="11" spans="1:2" x14ac:dyDescent="0.2">
      <c r="A11">
        <f>(1-16*2^-53)-1</f>
        <v>-1.7763568394002505E-15</v>
      </c>
    </row>
    <row r="12" spans="1:2" x14ac:dyDescent="0.2">
      <c r="A12">
        <f>(1-17*2^-53)-1</f>
        <v>-1.8873791418627661E-15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Q!A1/2^-53</f>
        <v>0</v>
      </c>
      <c r="B1">
        <f t="shared" ref="B1:B34" si="0">IF(ISERROR(A1),ERROR.TYPE(A1),IF(ISNUMBER(A1),0,IF(ISLOGICAL(A1),IF(A1,-1,-2),IF(ISTEXT(A1),-3,-4))))</f>
        <v>0</v>
      </c>
      <c r="C1">
        <f t="shared" ref="C1:C34" si="1">IF(ISNUMBER(A1),A1,0)</f>
        <v>0</v>
      </c>
      <c r="D1" t="str">
        <f t="shared" ref="D1:D34" si="2">IF(ISTEXT(A1),A1,"")</f>
        <v/>
      </c>
      <c r="E1" t="s">
        <v>35</v>
      </c>
    </row>
    <row r="2" spans="1:5" x14ac:dyDescent="0.2">
      <c r="A2" cm="1">
        <f t="array" ref="A2">Q!A2/2^-53</f>
        <v>0</v>
      </c>
      <c r="B2">
        <f t="shared" si="0"/>
        <v>0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cm="1">
        <f t="array" ref="A3">Q!A3/2^-53</f>
        <v>0</v>
      </c>
      <c r="B3">
        <f t="shared" si="0"/>
        <v>0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cm="1">
        <f t="array" ref="A4">Q!A4/2^-53</f>
        <v>0</v>
      </c>
      <c r="B4">
        <f t="shared" si="0"/>
        <v>0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Q!A5/2^-53</f>
        <v>16</v>
      </c>
      <c r="B5">
        <f t="shared" si="0"/>
        <v>0</v>
      </c>
      <c r="C5">
        <f t="shared" si="1"/>
        <v>16</v>
      </c>
      <c r="D5" t="str">
        <f t="shared" si="2"/>
        <v/>
      </c>
      <c r="E5" t="s">
        <v>39</v>
      </c>
    </row>
    <row r="6" spans="1:5" x14ac:dyDescent="0.2">
      <c r="A6" cm="1">
        <f t="array" ref="A6">Q!A6/2^-53</f>
        <v>17</v>
      </c>
      <c r="B6">
        <f t="shared" si="0"/>
        <v>0</v>
      </c>
      <c r="C6">
        <f t="shared" si="1"/>
        <v>17</v>
      </c>
      <c r="D6" t="str">
        <f t="shared" si="2"/>
        <v/>
      </c>
      <c r="E6" t="s">
        <v>40</v>
      </c>
    </row>
    <row r="7" spans="1:5" x14ac:dyDescent="0.2">
      <c r="A7" cm="1">
        <f t="array" ref="A7">Q!A7/2^-53</f>
        <v>0</v>
      </c>
      <c r="B7">
        <f t="shared" si="0"/>
        <v>0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cm="1">
        <f t="array" ref="A8">Q!A8/2^-53</f>
        <v>-8</v>
      </c>
      <c r="B8">
        <f t="shared" si="0"/>
        <v>0</v>
      </c>
      <c r="C8">
        <f t="shared" si="1"/>
        <v>-8</v>
      </c>
      <c r="D8" t="str">
        <f t="shared" si="2"/>
        <v/>
      </c>
      <c r="E8" t="s">
        <v>42</v>
      </c>
    </row>
    <row r="9" spans="1:5" x14ac:dyDescent="0.2">
      <c r="A9" cm="1">
        <f t="array" ref="A9">Q!A9/2^-53</f>
        <v>-12</v>
      </c>
      <c r="B9">
        <f t="shared" si="0"/>
        <v>0</v>
      </c>
      <c r="C9">
        <f t="shared" si="1"/>
        <v>-12</v>
      </c>
      <c r="D9" t="str">
        <f t="shared" si="2"/>
        <v/>
      </c>
      <c r="E9" t="s">
        <v>43</v>
      </c>
    </row>
    <row r="10" spans="1:5" x14ac:dyDescent="0.2">
      <c r="A10" cm="1">
        <f t="array" ref="A10">Q!A10/2^-53</f>
        <v>-15</v>
      </c>
      <c r="B10">
        <f t="shared" si="0"/>
        <v>0</v>
      </c>
      <c r="C10">
        <f t="shared" si="1"/>
        <v>-15</v>
      </c>
      <c r="D10" t="str">
        <f t="shared" si="2"/>
        <v/>
      </c>
      <c r="E10" t="s">
        <v>44</v>
      </c>
    </row>
    <row r="11" spans="1:5" x14ac:dyDescent="0.2">
      <c r="A11" cm="1">
        <f t="array" ref="A11">Q!A11/2^-53</f>
        <v>-16</v>
      </c>
      <c r="B11">
        <f t="shared" si="0"/>
        <v>0</v>
      </c>
      <c r="C11">
        <f t="shared" si="1"/>
        <v>-16</v>
      </c>
      <c r="D11" t="str">
        <f t="shared" si="2"/>
        <v/>
      </c>
      <c r="E11" t="s">
        <v>45</v>
      </c>
    </row>
    <row r="12" spans="1:5" x14ac:dyDescent="0.2">
      <c r="A12" cm="1">
        <f t="array" ref="A12">Q!A12/2^-53</f>
        <v>-17</v>
      </c>
      <c r="B12">
        <f t="shared" si="0"/>
        <v>0</v>
      </c>
      <c r="C12">
        <f t="shared" si="1"/>
        <v>-17</v>
      </c>
      <c r="D12" t="str">
        <f t="shared" si="2"/>
        <v/>
      </c>
      <c r="E12" t="s">
        <v>46</v>
      </c>
    </row>
    <row r="13" spans="1:5" x14ac:dyDescent="0.2">
      <c r="A13" cm="1">
        <f t="array" ref="A13">SUM(0.1,0.2,-0.3)*2^60</f>
        <v>0</v>
      </c>
      <c r="B13">
        <f t="shared" si="0"/>
        <v>0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cm="1">
        <f t="array" ref="A14">SUM(-0.3,0.1,0.2)*2^60</f>
        <v>0</v>
      </c>
      <c r="B14">
        <f t="shared" si="0"/>
        <v>0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SUM(0.1,-0.3,0.2)*2^60</f>
        <v>0</v>
      </c>
      <c r="B15">
        <f t="shared" si="0"/>
        <v>0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cm="1">
        <f t="array" ref="A16">SUM(0.1,0.2,-0.3,1E-20)/1E-20</f>
        <v>5552.1151231257827</v>
      </c>
      <c r="B16">
        <f t="shared" si="0"/>
        <v>0</v>
      </c>
      <c r="C16">
        <f t="shared" si="1"/>
        <v>5552.1151231257827</v>
      </c>
      <c r="D16" t="str">
        <f t="shared" si="2"/>
        <v/>
      </c>
      <c r="E16" t="s">
        <v>50</v>
      </c>
    </row>
    <row r="17" spans="1:5" x14ac:dyDescent="0.2">
      <c r="A17" cm="1">
        <f t="array" ref="A17">SUM(1E-20,0.1,0.2,-0.3)*2^60</f>
        <v>0</v>
      </c>
      <c r="B17">
        <f t="shared" si="0"/>
        <v>0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SUM(1,7*2^-52,-1)/2^-52</f>
        <v>0</v>
      </c>
      <c r="B18">
        <f t="shared" si="0"/>
        <v>0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cm="1">
        <f t="array" ref="A19">SUM(1,8*2^-52,-1)/2^-52</f>
        <v>8</v>
      </c>
      <c r="B19">
        <f t="shared" si="0"/>
        <v>0</v>
      </c>
      <c r="C19">
        <f t="shared" si="1"/>
        <v>8</v>
      </c>
      <c r="D19" t="str">
        <f t="shared" si="2"/>
        <v/>
      </c>
      <c r="E19" t="s">
        <v>53</v>
      </c>
    </row>
    <row r="20" spans="1:5" x14ac:dyDescent="0.2">
      <c r="A20" cm="1">
        <f t="array" ref="A20">SUM(9.5,7*2^-49,-9.5)/2^-49</f>
        <v>0</v>
      </c>
      <c r="B20">
        <f t="shared" si="0"/>
        <v>0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cm="1">
        <f t="array" ref="A21">SUM(9.5,8*2^-49,-9.5)/2^-49</f>
        <v>8</v>
      </c>
      <c r="B21">
        <f t="shared" si="0"/>
        <v>0</v>
      </c>
      <c r="C21">
        <f t="shared" si="1"/>
        <v>8</v>
      </c>
      <c r="D21" t="str">
        <f t="shared" si="2"/>
        <v/>
      </c>
      <c r="E21" t="s">
        <v>55</v>
      </c>
    </row>
    <row r="22" spans="1:5" x14ac:dyDescent="0.2">
      <c r="A22" cm="1">
        <f t="array" ref="A22">SUM(0.1+0.2,-0.3)*2^60</f>
        <v>0</v>
      </c>
      <c r="B22">
        <f t="shared" si="0"/>
        <v>0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cm="1">
        <f t="array" ref="A23">SUM(Q!B1:B3)*2^60</f>
        <v>0</v>
      </c>
      <c r="B23">
        <f t="shared" si="0"/>
        <v>0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cm="1">
        <f t="array" ref="A24">SUM({0.1,0.2,-0.3})*2^60</f>
        <v>0</v>
      </c>
      <c r="B24">
        <f t="shared" si="0"/>
        <v>0</v>
      </c>
      <c r="C24">
        <f t="shared" si="1"/>
        <v>0</v>
      </c>
      <c r="D24" t="str">
        <f t="shared" si="2"/>
        <v/>
      </c>
      <c r="E24" t="s">
        <v>58</v>
      </c>
    </row>
    <row r="25" spans="1:5" x14ac:dyDescent="0.2">
      <c r="A25" cm="1">
        <f t="array" ref="A25">SUM(Q!B1:B2,-0.3)*2^60</f>
        <v>0</v>
      </c>
      <c r="B25">
        <f t="shared" si="0"/>
        <v>0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cm="1">
        <f t="array" ref="A26">SUBTOTAL(9,Q!B1:B3)*2^60</f>
        <v>0</v>
      </c>
      <c r="B26">
        <f t="shared" si="0"/>
        <v>0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cm="1">
        <f t="array" ref="A27">_xlfn.AGGREGATE(9,0,Q!B1:B3)*2^60</f>
        <v>0</v>
      </c>
      <c r="B27">
        <f t="shared" si="0"/>
        <v>0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cm="1">
        <f t="array" ref="A28">SUMIF(Q!B1:B3,"&lt;&gt;0")*2^60</f>
        <v>64</v>
      </c>
      <c r="B28">
        <f t="shared" si="0"/>
        <v>0</v>
      </c>
      <c r="C28">
        <f t="shared" si="1"/>
        <v>64</v>
      </c>
      <c r="D28" t="str">
        <f t="shared" si="2"/>
        <v/>
      </c>
      <c r="E28" t="s">
        <v>62</v>
      </c>
    </row>
    <row r="29" spans="1:5" x14ac:dyDescent="0.2">
      <c r="A29" cm="1">
        <f t="array" ref="A29">SUMIFS(Q!B1:B3,Q!B1:B3,"&lt;&gt;0")*2^60</f>
        <v>64</v>
      </c>
      <c r="B29">
        <f t="shared" si="0"/>
        <v>0</v>
      </c>
      <c r="C29">
        <f t="shared" si="1"/>
        <v>64</v>
      </c>
      <c r="D29" t="str">
        <f t="shared" si="2"/>
        <v/>
      </c>
      <c r="E29" t="s">
        <v>63</v>
      </c>
    </row>
    <row r="30" spans="1:5" x14ac:dyDescent="0.2">
      <c r="A30" cm="1">
        <f t="array" ref="A30">AVERAGE(0.1,0.2,-0.3)*2^60</f>
        <v>0</v>
      </c>
      <c r="B30">
        <f t="shared" si="0"/>
        <v>0</v>
      </c>
      <c r="C30">
        <f t="shared" si="1"/>
        <v>0</v>
      </c>
      <c r="D30" t="str">
        <f t="shared" si="2"/>
        <v/>
      </c>
      <c r="E30" t="s">
        <v>64</v>
      </c>
    </row>
    <row r="31" spans="1:5" x14ac:dyDescent="0.2">
      <c r="A31" cm="1">
        <f t="array" ref="A31">AVERAGE(Q!B1:B3)*2^60</f>
        <v>0</v>
      </c>
      <c r="B31">
        <f t="shared" si="0"/>
        <v>0</v>
      </c>
      <c r="C31">
        <f t="shared" si="1"/>
        <v>0</v>
      </c>
      <c r="D31" t="str">
        <f t="shared" si="2"/>
        <v/>
      </c>
      <c r="E31" t="s">
        <v>65</v>
      </c>
    </row>
    <row r="32" spans="1:5" x14ac:dyDescent="0.2">
      <c r="A32" cm="1">
        <f t="array" ref="A32">SUMPRODUCT({0.1,0.2,-0.3},{1,1,1})*2^60</f>
        <v>64</v>
      </c>
      <c r="B32">
        <f t="shared" si="0"/>
        <v>0</v>
      </c>
      <c r="C32">
        <f t="shared" si="1"/>
        <v>64</v>
      </c>
      <c r="D32" t="str">
        <f t="shared" si="2"/>
        <v/>
      </c>
      <c r="E32" t="s">
        <v>66</v>
      </c>
    </row>
    <row r="33" spans="1:5" x14ac:dyDescent="0.2">
      <c r="A33" cm="1">
        <f t="array" ref="A33">MMULT({1,1,1},{0.1;0.2;-0.3})*2^60</f>
        <v>64</v>
      </c>
      <c r="B33">
        <f t="shared" si="0"/>
        <v>0</v>
      </c>
      <c r="C33">
        <f t="shared" si="1"/>
        <v>64</v>
      </c>
      <c r="D33" t="str">
        <f t="shared" si="2"/>
        <v/>
      </c>
      <c r="E33" t="s">
        <v>67</v>
      </c>
    </row>
    <row r="34" spans="1:5" x14ac:dyDescent="0.2">
      <c r="A34" cm="1">
        <f t="array" ref="A34">NPV(0,0.1,0.2,-0.3)*2^60</f>
        <v>64</v>
      </c>
      <c r="B34">
        <f t="shared" si="0"/>
        <v>0</v>
      </c>
      <c r="C34">
        <f t="shared" si="1"/>
        <v>64</v>
      </c>
      <c r="D34" t="str">
        <f t="shared" si="2"/>
        <v/>
      </c>
      <c r="E34" t="s">
        <v>68</v>
      </c>
    </row>
    <row r="35" spans="1:5" x14ac:dyDescent="0.2">
      <c r="A35" t="s">
        <v>69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2026-10-12T19:27:47Z</dcterms:created>
  <dcterms:modified xsi:type="dcterms:W3CDTF">2026-10-12T19:27:48Z</dcterms:modified>
  <cp:category/>
</cp:coreProperties>
</file>