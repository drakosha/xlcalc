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0207C9E4-840C-D34A-9D68-0632369DFD7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c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3" l="1" a="1"/>
  <c r="A13" i="3" s="1"/>
  <c r="D13" i="3" s="1"/>
  <c r="A12" i="3" a="1"/>
  <c r="A12" i="3" s="1"/>
  <c r="A11" i="3" a="1"/>
  <c r="A11" i="3"/>
  <c r="D11" i="3" s="1"/>
  <c r="A10" i="3" a="1"/>
  <c r="A10" i="3" s="1"/>
  <c r="A9" i="3" a="1"/>
  <c r="A9" i="3" s="1"/>
  <c r="A8" i="3" a="1"/>
  <c r="A8" i="3" s="1"/>
  <c r="A7" i="3" a="1"/>
  <c r="A7" i="3" s="1"/>
  <c r="B7" i="3" s="1"/>
  <c r="A6" i="3" a="1"/>
  <c r="A6" i="3" s="1"/>
  <c r="A5" i="3" a="1"/>
  <c r="A5" i="3"/>
  <c r="D5" i="3" s="1"/>
  <c r="A4" i="3" a="1"/>
  <c r="A4" i="3" s="1"/>
  <c r="D4" i="3" s="1"/>
  <c r="A3" i="3" a="1"/>
  <c r="A3" i="3" s="1"/>
  <c r="A2" i="3" a="1"/>
  <c r="A2" i="3" s="1"/>
  <c r="A1" i="3" a="1"/>
  <c r="A1" i="3"/>
  <c r="D1" i="3" s="1"/>
  <c r="I15" i="2"/>
  <c r="A14" i="2"/>
  <c r="A13" i="2"/>
  <c r="AL10" i="2"/>
  <c r="A8" i="2"/>
  <c r="A7" i="2"/>
  <c r="E3" i="2"/>
  <c r="B6" i="3" l="1"/>
  <c r="C6" i="3"/>
  <c r="D6" i="3"/>
  <c r="B12" i="3"/>
  <c r="D12" i="3"/>
  <c r="C12" i="3"/>
  <c r="C8" i="3"/>
  <c r="D8" i="3"/>
  <c r="B8" i="3"/>
  <c r="C9" i="3"/>
  <c r="B9" i="3"/>
  <c r="D9" i="3"/>
  <c r="B10" i="3"/>
  <c r="D10" i="3"/>
  <c r="C10" i="3"/>
  <c r="D2" i="3"/>
  <c r="C2" i="3"/>
  <c r="B2" i="3"/>
  <c r="B3" i="3"/>
  <c r="C3" i="3"/>
  <c r="D3" i="3"/>
  <c r="C7" i="3"/>
  <c r="D7" i="3"/>
  <c r="B11" i="3"/>
  <c r="B4" i="3"/>
  <c r="C11" i="3"/>
  <c r="C4" i="3"/>
  <c r="B1" i="3"/>
  <c r="C1" i="3"/>
  <c r="B5" i="3"/>
  <c r="C5" i="3"/>
  <c r="B13" i="3"/>
  <c r="C1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<sst xmlns="http://schemas.openxmlformats.org/spreadsheetml/2006/main" count="74" uniqueCount="51">
  <si>
    <t>€100</t>
  </si>
  <si>
    <t>100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</si>
  <si>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</si>
  <si>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</si>
  <si>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</si>
  <si>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</si>
  <si>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</si>
  <si>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</si>
  <si>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</si>
  <si>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</si>
  <si>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</si>
  <si>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</si>
  <si>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</si>
  <si>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</si>
  <si>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</si>
  <si>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</si>
  <si>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</si>
  <si>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</si>
  <si>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</si>
  <si>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</si>
  <si>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</si>
  <si>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</si>
  <si>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</si>
  <si>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</si>
  <si>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</si>
  <si>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</si>
  <si>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</si>
  <si>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</si>
  <si>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</si>
  <si>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</si>
  <si>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</si>
  <si>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</si>
  <si>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</si>
  <si>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</si>
  <si>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</si>
  <si>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</si>
  <si>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</si>
  <si>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VALUE#1</t>
  </si>
  <si>
    <t>VALUE#2</t>
  </si>
  <si>
    <t>VALUE#3</t>
  </si>
  <si>
    <t>VALUE#4</t>
  </si>
  <si>
    <t>VALUE#5</t>
  </si>
  <si>
    <t>VALUE#6</t>
  </si>
  <si>
    <t>VALUE#7</t>
  </si>
  <si>
    <t>COUNTIF#1</t>
  </si>
  <si>
    <t>COUNTIF#2</t>
  </si>
  <si>
    <t>COUNTIF#3</t>
  </si>
  <si>
    <t>SUMIF#1</t>
  </si>
  <si>
    <t>COUNTIFS#1</t>
  </si>
  <si>
    <t>MATCH#1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</si>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</sst>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>
        <v>1</v>
      </c>
    </row>
    <row r="2" spans="1:2" x14ac:dyDescent="0.2">
      <c r="A2">
        <v>100</v>
      </c>
      <c r="B2">
        <v>2</v>
      </c>
    </row>
    <row r="3" spans="1:2" x14ac:dyDescent="0.2">
      <c r="A3" t="s">
        <v>1</v>
      </c>
      <c r="B3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2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3</v>
      </c>
      <c r="N1">
        <v>10</v>
      </c>
      <c r="P1">
        <v>1</v>
      </c>
      <c r="Q1">
        <v>2</v>
      </c>
      <c r="R1">
        <v>5</v>
      </c>
      <c r="S1">
        <v>6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AA1" t="s">
        <v>4</v>
      </c>
      <c r="AB1" t="s">
        <v>5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9</v>
      </c>
    </row>
    <row r="2" spans="1:60" x14ac:dyDescent="0.2">
      <c r="A2" t="s">
        <v>10</v>
      </c>
      <c r="B2">
        <v>8</v>
      </c>
      <c r="C2">
        <v>7</v>
      </c>
      <c r="D2" t="s">
        <v>10</v>
      </c>
      <c r="E2">
        <v>2</v>
      </c>
      <c r="F2" t="s">
        <v>11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12</v>
      </c>
      <c r="N2">
        <v>20</v>
      </c>
      <c r="P2">
        <v>3</v>
      </c>
      <c r="Q2">
        <v>4</v>
      </c>
      <c r="R2">
        <v>7</v>
      </c>
      <c r="S2">
        <v>8</v>
      </c>
      <c r="U2" t="s">
        <v>13</v>
      </c>
      <c r="V2">
        <v>18</v>
      </c>
      <c r="W2">
        <v>20</v>
      </c>
      <c r="X2">
        <v>14</v>
      </c>
      <c r="Y2">
        <v>105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19</v>
      </c>
      <c r="B3">
        <v>15</v>
      </c>
      <c r="C3">
        <v>11</v>
      </c>
      <c r="D3" t="s">
        <v>19</v>
      </c>
      <c r="E3" t="e">
        <f>1/0</f>
        <v>#DIV/0!</v>
      </c>
      <c r="F3" t="s">
        <v>20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21</v>
      </c>
      <c r="N3">
        <v>30</v>
      </c>
      <c r="U3" t="s">
        <v>15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19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22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23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24</v>
      </c>
      <c r="N4">
        <v>50</v>
      </c>
      <c r="P4">
        <v>1</v>
      </c>
      <c r="Q4">
        <v>2</v>
      </c>
      <c r="R4">
        <v>3</v>
      </c>
      <c r="U4" t="s">
        <v>17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9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25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26</v>
      </c>
      <c r="N5">
        <v>80</v>
      </c>
      <c r="P5">
        <v>4</v>
      </c>
      <c r="Q5">
        <v>5</v>
      </c>
      <c r="R5">
        <v>6</v>
      </c>
      <c r="U5" t="s">
        <v>13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27</v>
      </c>
      <c r="AP5" s="1">
        <v>39786</v>
      </c>
      <c r="AS5" t="s">
        <v>28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29</v>
      </c>
      <c r="G6">
        <v>32</v>
      </c>
      <c r="H6" s="1">
        <v>45473</v>
      </c>
      <c r="L6">
        <v>13</v>
      </c>
      <c r="M6" t="s">
        <v>30</v>
      </c>
      <c r="N6">
        <v>130</v>
      </c>
      <c r="U6" t="s">
        <v>15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31</v>
      </c>
      <c r="G7">
        <v>64</v>
      </c>
      <c r="H7" s="1">
        <v>46022</v>
      </c>
      <c r="I7">
        <v>-10000</v>
      </c>
      <c r="J7">
        <v>100</v>
      </c>
      <c r="U7" t="s">
        <v>13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32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33</v>
      </c>
      <c r="AU8" s="1">
        <v>39448</v>
      </c>
      <c r="BG8">
        <v>2</v>
      </c>
    </row>
    <row r="9" spans="1:60" x14ac:dyDescent="0.2">
      <c r="A9" t="s">
        <v>34</v>
      </c>
      <c r="I9">
        <v>4200</v>
      </c>
      <c r="J9">
        <v>300</v>
      </c>
      <c r="L9" t="s">
        <v>3</v>
      </c>
      <c r="M9" t="s">
        <v>12</v>
      </c>
      <c r="N9" t="s">
        <v>21</v>
      </c>
      <c r="O9" t="s">
        <v>24</v>
      </c>
      <c r="P9" t="s">
        <v>26</v>
      </c>
      <c r="Q9" t="s">
        <v>30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35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36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VALUE("1 1/2€")</f>
        <v>1.5</v>
      </c>
      <c r="B1">
        <f t="shared" ref="B1:B13" si="0">IF(ISERROR(A1),ERROR.TYPE(A1),IF(ISNUMBER(A1),0,IF(ISLOGICAL(A1),IF(A1,-1,-2),IF(ISTEXT(A1),-3,-4))))</f>
        <v>0</v>
      </c>
      <c r="C1">
        <f t="shared" ref="C1:C13" si="1">IF(ISNUMBER(A1),A1,0)</f>
        <v>1.5</v>
      </c>
      <c r="D1" t="str">
        <f t="shared" ref="D1:D13" si="2">IF(ISTEXT(A1),A1,"")</f>
        <v/>
      </c>
      <c r="E1" t="s">
        <v>37</v>
      </c>
    </row>
    <row r="2" spans="1:5" x14ac:dyDescent="0.2">
      <c r="A2" cm="1">
        <f t="array" ref="A2">VALUE("-€1 1/2")</f>
        <v>-1.5</v>
      </c>
      <c r="B2">
        <f t="shared" si="0"/>
        <v>0</v>
      </c>
      <c r="C2">
        <f t="shared" si="1"/>
        <v>-1.5</v>
      </c>
      <c r="D2" t="str">
        <f t="shared" si="2"/>
        <v/>
      </c>
      <c r="E2" t="s">
        <v>38</v>
      </c>
    </row>
    <row r="3" spans="1:5" x14ac:dyDescent="0.2">
      <c r="A3" cm="1">
        <f t="array" ref="A3">VALUE("€ 2 3/4")</f>
        <v>2.75</v>
      </c>
      <c r="B3">
        <f t="shared" si="0"/>
        <v>0</v>
      </c>
      <c r="C3">
        <f t="shared" si="1"/>
        <v>2.75</v>
      </c>
      <c r="D3" t="str">
        <f t="shared" si="2"/>
        <v/>
      </c>
      <c r="E3" t="s">
        <v>39</v>
      </c>
    </row>
    <row r="4" spans="1:5" x14ac:dyDescent="0.2">
      <c r="A4" cm="1">
        <f t="array" ref="A4">VALUE("€1 1/2")+0</f>
        <v>1.5</v>
      </c>
      <c r="B4">
        <f t="shared" si="0"/>
        <v>0</v>
      </c>
      <c r="C4">
        <f t="shared" si="1"/>
        <v>1.5</v>
      </c>
      <c r="D4" t="str">
        <f t="shared" si="2"/>
        <v/>
      </c>
      <c r="E4" t="s">
        <v>40</v>
      </c>
    </row>
    <row r="5" spans="1:5" x14ac:dyDescent="0.2">
      <c r="A5" cm="1">
        <f t="array" ref="A5">VALUE("$1 1/2")</f>
        <v>1.5</v>
      </c>
      <c r="B5">
        <f t="shared" si="0"/>
        <v>0</v>
      </c>
      <c r="C5">
        <f t="shared" si="1"/>
        <v>1.5</v>
      </c>
      <c r="D5" t="str">
        <f t="shared" si="2"/>
        <v/>
      </c>
      <c r="E5" t="s">
        <v>41</v>
      </c>
    </row>
    <row r="6" spans="1:5" x14ac:dyDescent="0.2">
      <c r="A6" cm="1">
        <f t="array" ref="A6">VALUE("(1 1/2€)")</f>
        <v>-1.5</v>
      </c>
      <c r="B6">
        <f t="shared" si="0"/>
        <v>0</v>
      </c>
      <c r="C6">
        <f t="shared" si="1"/>
        <v>-1.5</v>
      </c>
      <c r="D6" t="str">
        <f t="shared" si="2"/>
        <v/>
      </c>
      <c r="E6" t="s">
        <v>42</v>
      </c>
    </row>
    <row r="7" spans="1:5" x14ac:dyDescent="0.2">
      <c r="A7" cm="1">
        <f t="array" ref="A7">VALUE("1e3€")</f>
        <v>1000</v>
      </c>
      <c r="B7">
        <f t="shared" si="0"/>
        <v>0</v>
      </c>
      <c r="C7">
        <f t="shared" si="1"/>
        <v>1000</v>
      </c>
      <c r="D7" t="str">
        <f t="shared" si="2"/>
        <v/>
      </c>
      <c r="E7" t="s">
        <v>43</v>
      </c>
    </row>
    <row r="8" spans="1:5" x14ac:dyDescent="0.2">
      <c r="A8" cm="1">
        <f t="array" ref="A8">COUNTIF(Ec!A1:A3,100)</f>
        <v>3</v>
      </c>
      <c r="B8">
        <f t="shared" si="0"/>
        <v>0</v>
      </c>
      <c r="C8">
        <f t="shared" si="1"/>
        <v>3</v>
      </c>
      <c r="D8" t="str">
        <f t="shared" si="2"/>
        <v/>
      </c>
      <c r="E8" t="s">
        <v>44</v>
      </c>
    </row>
    <row r="9" spans="1:5" x14ac:dyDescent="0.2">
      <c r="A9" cm="1">
        <f t="array" ref="A9">COUNTIF(Ec!A1:A3,"€100")</f>
        <v>1</v>
      </c>
      <c r="B9">
        <f t="shared" si="0"/>
        <v>0</v>
      </c>
      <c r="C9">
        <f t="shared" si="1"/>
        <v>1</v>
      </c>
      <c r="D9" t="str">
        <f t="shared" si="2"/>
        <v/>
      </c>
      <c r="E9" t="s">
        <v>45</v>
      </c>
    </row>
    <row r="10" spans="1:5" x14ac:dyDescent="0.2">
      <c r="A10" cm="1">
        <f t="array" ref="A10">COUNTIF(Ec!A1:A3,"&lt;&gt;€100")</f>
        <v>2</v>
      </c>
      <c r="B10">
        <f t="shared" si="0"/>
        <v>0</v>
      </c>
      <c r="C10">
        <f t="shared" si="1"/>
        <v>2</v>
      </c>
      <c r="D10" t="str">
        <f t="shared" si="2"/>
        <v/>
      </c>
      <c r="E10" t="s">
        <v>46</v>
      </c>
    </row>
    <row r="11" spans="1:5" x14ac:dyDescent="0.2">
      <c r="A11" cm="1">
        <f t="array" ref="A11">SUMIF(Ec!A1:A3,"100",Ec!B1:B3)</f>
        <v>7</v>
      </c>
      <c r="B11">
        <f t="shared" si="0"/>
        <v>0</v>
      </c>
      <c r="C11">
        <f t="shared" si="1"/>
        <v>7</v>
      </c>
      <c r="D11" t="str">
        <f t="shared" si="2"/>
        <v/>
      </c>
      <c r="E11" t="s">
        <v>47</v>
      </c>
    </row>
    <row r="12" spans="1:5" x14ac:dyDescent="0.2">
      <c r="A12" cm="1">
        <f t="array" ref="A12">COUNTIFS(Ec!A1:A3,"€100",Ec!B1:B3,1)</f>
        <v>1</v>
      </c>
      <c r="B12">
        <f t="shared" si="0"/>
        <v>0</v>
      </c>
      <c r="C12">
        <f t="shared" si="1"/>
        <v>1</v>
      </c>
      <c r="D12" t="str">
        <f t="shared" si="2"/>
        <v/>
      </c>
      <c r="E12" t="s">
        <v>48</v>
      </c>
    </row>
    <row r="13" spans="1:5" x14ac:dyDescent="0.2">
      <c r="A13" cm="1">
        <f t="array" ref="A13">MATCH("€100",Ec!A1:A3,0)</f>
        <v>1</v>
      </c>
      <c r="B13">
        <f t="shared" si="0"/>
        <v>0</v>
      </c>
      <c r="C13">
        <f t="shared" si="1"/>
        <v>1</v>
      </c>
      <c r="D13" t="str">
        <f t="shared" si="2"/>
        <v/>
      </c>
      <c r="E13" t="s">
        <v>49</v>
      </c>
    </row>
    <row r="14" spans="1:5" x14ac:dyDescent="0.2">
      <c r="A14" t="s">
        <v>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2026-10-17T13:08:44Z</dcterms:created>
  <dcterms:modified xsi:type="dcterms:W3CDTF">2026-10-17T13:08:45Z</dcterms:modified>
  <cp:category/>
</cp:coreProperties>
</file>