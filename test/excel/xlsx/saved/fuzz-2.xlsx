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A0BA006E-B0D2-CC4D-AEEC-1936987F1EF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0" i="2" l="1" a="1"/>
  <c r="A400" i="2" s="1"/>
  <c r="D400" i="2" s="1"/>
  <c r="A399" i="2" a="1"/>
  <c r="A399" i="2" s="1"/>
  <c r="A398" i="2" a="1"/>
  <c r="A398" i="2" s="1"/>
  <c r="A397" i="2" a="1"/>
  <c r="A397" i="2" s="1"/>
  <c r="A396" i="2" a="1"/>
  <c r="A396" i="2" s="1"/>
  <c r="A395" i="2" a="1"/>
  <c r="A395" i="2" s="1"/>
  <c r="D395" i="2" s="1"/>
  <c r="A394" i="2" a="1"/>
  <c r="A394" i="2" s="1"/>
  <c r="D394" i="2" s="1"/>
  <c r="A393" i="2" a="1"/>
  <c r="A393" i="2" s="1"/>
  <c r="B392" i="2"/>
  <c r="A392" i="2" a="1"/>
  <c r="A392" i="2" s="1"/>
  <c r="A391" i="2" a="1"/>
  <c r="A391" i="2" s="1"/>
  <c r="A390" i="2" a="1"/>
  <c r="A390" i="2" s="1"/>
  <c r="D390" i="2" s="1"/>
  <c r="A389" i="2" a="1"/>
  <c r="A389" i="2" s="1"/>
  <c r="D389" i="2" s="1"/>
  <c r="C388" i="2"/>
  <c r="A388" i="2" a="1"/>
  <c r="A388" i="2"/>
  <c r="B388" i="2" s="1"/>
  <c r="A387" i="2" a="1"/>
  <c r="A387" i="2"/>
  <c r="D387" i="2" s="1"/>
  <c r="A386" i="2" a="1"/>
  <c r="A386" i="2" s="1"/>
  <c r="A385" i="2" a="1"/>
  <c r="A385" i="2" s="1"/>
  <c r="A384" i="2" a="1"/>
  <c r="A384" i="2" s="1"/>
  <c r="A383" i="2" a="1"/>
  <c r="A383" i="2" s="1"/>
  <c r="A382" i="2" a="1"/>
  <c r="A382" i="2"/>
  <c r="D382" i="2" s="1"/>
  <c r="A381" i="2" a="1"/>
  <c r="A381" i="2" s="1"/>
  <c r="D381" i="2" s="1"/>
  <c r="A380" i="2" a="1"/>
  <c r="A380" i="2" s="1"/>
  <c r="A379" i="2" a="1"/>
  <c r="A379" i="2" s="1"/>
  <c r="D379" i="2" s="1"/>
  <c r="A378" i="2" a="1"/>
  <c r="A378" i="2" s="1"/>
  <c r="A377" i="2" a="1"/>
  <c r="A377" i="2"/>
  <c r="B377" i="2" s="1"/>
  <c r="A376" i="2" a="1"/>
  <c r="A376" i="2" s="1"/>
  <c r="A375" i="2" a="1"/>
  <c r="A375" i="2" s="1"/>
  <c r="A374" i="2" a="1"/>
  <c r="A374" i="2" s="1"/>
  <c r="A373" i="2" a="1"/>
  <c r="A373" i="2" s="1"/>
  <c r="D373" i="2" s="1"/>
  <c r="A372" i="2" a="1"/>
  <c r="A372" i="2" s="1"/>
  <c r="D372" i="2" s="1"/>
  <c r="A371" i="2" a="1"/>
  <c r="A371" i="2" s="1"/>
  <c r="D371" i="2" s="1"/>
  <c r="B370" i="2"/>
  <c r="A370" i="2" a="1"/>
  <c r="A370" i="2"/>
  <c r="D370" i="2" s="1"/>
  <c r="A369" i="2" a="1"/>
  <c r="A369" i="2" s="1"/>
  <c r="A368" i="2" a="1"/>
  <c r="A368" i="2"/>
  <c r="B368" i="2" s="1"/>
  <c r="A367" i="2" a="1"/>
  <c r="A367" i="2" s="1"/>
  <c r="A366" i="2" a="1"/>
  <c r="A366" i="2" s="1"/>
  <c r="A365" i="2" a="1"/>
  <c r="A365" i="2" s="1"/>
  <c r="A364" i="2" a="1"/>
  <c r="A364" i="2"/>
  <c r="D364" i="2" s="1"/>
  <c r="A363" i="2" a="1"/>
  <c r="A363" i="2" s="1"/>
  <c r="D363" i="2" s="1"/>
  <c r="A362" i="2" a="1"/>
  <c r="A362" i="2" s="1"/>
  <c r="D362" i="2" s="1"/>
  <c r="C361" i="2"/>
  <c r="A361" i="2" a="1"/>
  <c r="A361" i="2" s="1"/>
  <c r="D361" i="2" s="1"/>
  <c r="A360" i="2" a="1"/>
  <c r="A360" i="2"/>
  <c r="A359" i="2" a="1"/>
  <c r="A359" i="2" s="1"/>
  <c r="A358" i="2" a="1"/>
  <c r="A358" i="2" s="1"/>
  <c r="A357" i="2" a="1"/>
  <c r="A357" i="2" s="1"/>
  <c r="A356" i="2" a="1"/>
  <c r="A356" i="2"/>
  <c r="A355" i="2" a="1"/>
  <c r="A355" i="2" s="1"/>
  <c r="A354" i="2" a="1"/>
  <c r="A354" i="2" s="1"/>
  <c r="D354" i="2" s="1"/>
  <c r="A353" i="2" a="1"/>
  <c r="A353" i="2" s="1"/>
  <c r="A352" i="2" a="1"/>
  <c r="A352" i="2"/>
  <c r="D352" i="2" s="1"/>
  <c r="A351" i="2" a="1"/>
  <c r="A351" i="2" s="1"/>
  <c r="A350" i="2" a="1"/>
  <c r="A350" i="2" s="1"/>
  <c r="A349" i="2" a="1"/>
  <c r="A349" i="2"/>
  <c r="A348" i="2" a="1"/>
  <c r="A348" i="2" s="1"/>
  <c r="A347" i="2" a="1"/>
  <c r="A347" i="2"/>
  <c r="D347" i="2" s="1"/>
  <c r="A346" i="2" a="1"/>
  <c r="A346" i="2" s="1"/>
  <c r="D346" i="2" s="1"/>
  <c r="A345" i="2" a="1"/>
  <c r="A345" i="2" s="1"/>
  <c r="D345" i="2" s="1"/>
  <c r="A344" i="2" a="1"/>
  <c r="A344" i="2"/>
  <c r="D344" i="2" s="1"/>
  <c r="A343" i="2" a="1"/>
  <c r="A343" i="2" s="1"/>
  <c r="D343" i="2" s="1"/>
  <c r="A342" i="2" a="1"/>
  <c r="A342" i="2" s="1"/>
  <c r="A341" i="2" a="1"/>
  <c r="A341" i="2" s="1"/>
  <c r="A340" i="2" a="1"/>
  <c r="A340" i="2" s="1"/>
  <c r="A339" i="2" a="1"/>
  <c r="A339" i="2" s="1"/>
  <c r="A338" i="2" a="1"/>
  <c r="A338" i="2" s="1"/>
  <c r="A337" i="2" a="1"/>
  <c r="A337" i="2" s="1"/>
  <c r="A336" i="2" a="1"/>
  <c r="A336" i="2" s="1"/>
  <c r="D336" i="2" s="1"/>
  <c r="A335" i="2" a="1"/>
  <c r="A335" i="2" s="1"/>
  <c r="A334" i="2" a="1"/>
  <c r="A334" i="2"/>
  <c r="D334" i="2" s="1"/>
  <c r="A333" i="2" a="1"/>
  <c r="A333" i="2"/>
  <c r="D333" i="2" s="1"/>
  <c r="D332" i="2"/>
  <c r="A332" i="2" a="1"/>
  <c r="A332" i="2"/>
  <c r="C332" i="2" s="1"/>
  <c r="A331" i="2" a="1"/>
  <c r="A331" i="2"/>
  <c r="A330" i="2" a="1"/>
  <c r="A330" i="2"/>
  <c r="D330" i="2" s="1"/>
  <c r="A329" i="2" a="1"/>
  <c r="A329" i="2" s="1"/>
  <c r="D329" i="2" s="1"/>
  <c r="A328" i="2" a="1"/>
  <c r="A328" i="2" s="1"/>
  <c r="D328" i="2" s="1"/>
  <c r="A327" i="2" a="1"/>
  <c r="A327" i="2" s="1"/>
  <c r="A326" i="2" a="1"/>
  <c r="A326" i="2" s="1"/>
  <c r="A325" i="2" a="1"/>
  <c r="A325" i="2" s="1"/>
  <c r="A324" i="2" a="1"/>
  <c r="A324" i="2" s="1"/>
  <c r="A323" i="2" a="1"/>
  <c r="A323" i="2" s="1"/>
  <c r="A322" i="2" a="1"/>
  <c r="A322" i="2" s="1"/>
  <c r="B322" i="2" s="1"/>
  <c r="A321" i="2" a="1"/>
  <c r="A321" i="2" s="1"/>
  <c r="A320" i="2" a="1"/>
  <c r="A320" i="2" s="1"/>
  <c r="A319" i="2" a="1"/>
  <c r="A319" i="2" s="1"/>
  <c r="A318" i="2" a="1"/>
  <c r="A318" i="2" s="1"/>
  <c r="A317" i="2" a="1"/>
  <c r="A317" i="2"/>
  <c r="A316" i="2" a="1"/>
  <c r="A316" i="2"/>
  <c r="D316" i="2" s="1"/>
  <c r="A315" i="2" a="1"/>
  <c r="A315" i="2" s="1"/>
  <c r="B315" i="2" s="1"/>
  <c r="A314" i="2" a="1"/>
  <c r="A314" i="2" s="1"/>
  <c r="A313" i="2" a="1"/>
  <c r="A313" i="2"/>
  <c r="A312" i="2" a="1"/>
  <c r="A312" i="2"/>
  <c r="D312" i="2" s="1"/>
  <c r="B311" i="2"/>
  <c r="A311" i="2" a="1"/>
  <c r="A311" i="2" s="1"/>
  <c r="A310" i="2" a="1"/>
  <c r="A310" i="2" s="1"/>
  <c r="A309" i="2" a="1"/>
  <c r="A309" i="2" s="1"/>
  <c r="A308" i="2" a="1"/>
  <c r="A308" i="2" s="1"/>
  <c r="A307" i="2" a="1"/>
  <c r="A307" i="2" s="1"/>
  <c r="A306" i="2" a="1"/>
  <c r="A306" i="2" s="1"/>
  <c r="A305" i="2" a="1"/>
  <c r="A305" i="2" s="1"/>
  <c r="A304" i="2" a="1"/>
  <c r="A304" i="2" s="1"/>
  <c r="A303" i="2" a="1"/>
  <c r="A303" i="2" s="1"/>
  <c r="B302" i="2"/>
  <c r="A302" i="2" a="1"/>
  <c r="A302" i="2" s="1"/>
  <c r="A301" i="2" a="1"/>
  <c r="A301" i="2" s="1"/>
  <c r="A300" i="2" a="1"/>
  <c r="A300" i="2" s="1"/>
  <c r="A299" i="2" a="1"/>
  <c r="A299" i="2" s="1"/>
  <c r="A298" i="2" a="1"/>
  <c r="A298" i="2" s="1"/>
  <c r="A297" i="2" a="1"/>
  <c r="A297" i="2"/>
  <c r="A296" i="2" a="1"/>
  <c r="A296" i="2"/>
  <c r="D296" i="2" s="1"/>
  <c r="A294" i="2" a="1"/>
  <c r="A294" i="2" s="1"/>
  <c r="B294" i="2" s="1"/>
  <c r="A293" i="2" a="1"/>
  <c r="A293" i="2" s="1"/>
  <c r="A292" i="2" a="1"/>
  <c r="A292" i="2" s="1"/>
  <c r="A291" i="2" a="1"/>
  <c r="A291" i="2"/>
  <c r="D291" i="2" s="1"/>
  <c r="B290" i="2"/>
  <c r="A290" i="2" a="1"/>
  <c r="A290" i="2" s="1"/>
  <c r="A289" i="2" a="1"/>
  <c r="A289" i="2" s="1"/>
  <c r="A288" i="2" a="1"/>
  <c r="A288" i="2" s="1"/>
  <c r="A287" i="2" a="1"/>
  <c r="A287" i="2" s="1"/>
  <c r="A286" i="2" a="1"/>
  <c r="A286" i="2" s="1"/>
  <c r="A285" i="2" a="1"/>
  <c r="A285" i="2" s="1"/>
  <c r="B285" i="2" s="1"/>
  <c r="A284" i="2" a="1"/>
  <c r="A284" i="2" s="1"/>
  <c r="A283" i="2" a="1"/>
  <c r="A283" i="2" s="1"/>
  <c r="A282" i="2" a="1"/>
  <c r="A282" i="2" s="1"/>
  <c r="B282" i="2" s="1"/>
  <c r="A281" i="2" a="1"/>
  <c r="A281" i="2" s="1"/>
  <c r="A280" i="2" a="1"/>
  <c r="A280" i="2" s="1"/>
  <c r="D280" i="2" s="1"/>
  <c r="A279" i="2" a="1"/>
  <c r="A279" i="2"/>
  <c r="D279" i="2" s="1"/>
  <c r="A278" i="2" a="1"/>
  <c r="A278" i="2"/>
  <c r="D278" i="2" s="1"/>
  <c r="A276" i="2" a="1"/>
  <c r="A276" i="2" s="1"/>
  <c r="A275" i="2" a="1"/>
  <c r="A275" i="2" s="1"/>
  <c r="D274" i="2"/>
  <c r="A274" i="2" a="1"/>
  <c r="A274" i="2" s="1"/>
  <c r="A273" i="2" a="1"/>
  <c r="A273" i="2" s="1"/>
  <c r="A272" i="2" a="1"/>
  <c r="A272" i="2" s="1"/>
  <c r="D271" i="2"/>
  <c r="B271" i="2"/>
  <c r="A271" i="2" a="1"/>
  <c r="A271" i="2" s="1"/>
  <c r="C271" i="2" s="1"/>
  <c r="A270" i="2" a="1"/>
  <c r="A270" i="2" s="1"/>
  <c r="A269" i="2" a="1"/>
  <c r="A269" i="2" s="1"/>
  <c r="A268" i="2" a="1"/>
  <c r="A268" i="2" s="1"/>
  <c r="A267" i="2" a="1"/>
  <c r="A267" i="2" s="1"/>
  <c r="A266" i="2" a="1"/>
  <c r="A266" i="2" s="1"/>
  <c r="A265" i="2" a="1"/>
  <c r="A265" i="2" s="1"/>
  <c r="A264" i="2" a="1"/>
  <c r="A264" i="2" s="1"/>
  <c r="A263" i="2" a="1"/>
  <c r="A263" i="2" s="1"/>
  <c r="A261" i="2" a="1"/>
  <c r="A261" i="2" s="1"/>
  <c r="D260" i="2"/>
  <c r="A260" i="2" a="1"/>
  <c r="A260" i="2"/>
  <c r="C260" i="2" s="1"/>
  <c r="A259" i="2" a="1"/>
  <c r="A259" i="2"/>
  <c r="A258" i="2" a="1"/>
  <c r="A258" i="2" s="1"/>
  <c r="A257" i="2" a="1"/>
  <c r="A257" i="2" s="1"/>
  <c r="A256" i="2" a="1"/>
  <c r="A256" i="2" s="1"/>
  <c r="A255" i="2" a="1"/>
  <c r="A255" i="2" s="1"/>
  <c r="A254" i="2" a="1"/>
  <c r="A254" i="2" s="1"/>
  <c r="A253" i="2" a="1"/>
  <c r="A253" i="2" s="1"/>
  <c r="C253" i="2" s="1"/>
  <c r="A252" i="2" a="1"/>
  <c r="A252" i="2"/>
  <c r="A251" i="2" a="1"/>
  <c r="A251" i="2" s="1"/>
  <c r="A250" i="2" a="1"/>
  <c r="A250" i="2" s="1"/>
  <c r="A249" i="2" a="1"/>
  <c r="A249" i="2" s="1"/>
  <c r="A248" i="2" a="1"/>
  <c r="A248" i="2" s="1"/>
  <c r="A247" i="2" a="1"/>
  <c r="A247" i="2" s="1"/>
  <c r="A246" i="2" a="1"/>
  <c r="A246" i="2"/>
  <c r="A245" i="2" a="1"/>
  <c r="A245" i="2"/>
  <c r="A244" i="2" a="1"/>
  <c r="A244" i="2" s="1"/>
  <c r="A243" i="2" a="1"/>
  <c r="A243" i="2" s="1"/>
  <c r="A242" i="2" a="1"/>
  <c r="A242" i="2"/>
  <c r="D242" i="2" s="1"/>
  <c r="A241" i="2" a="1"/>
  <c r="A241" i="2"/>
  <c r="D241" i="2" s="1"/>
  <c r="A240" i="2" a="1"/>
  <c r="A240" i="2" s="1"/>
  <c r="A239" i="2" a="1"/>
  <c r="A239" i="2" s="1"/>
  <c r="B239" i="2" s="1"/>
  <c r="A238" i="2" a="1"/>
  <c r="A238" i="2" s="1"/>
  <c r="A237" i="2" a="1"/>
  <c r="A237" i="2" s="1"/>
  <c r="A236" i="2" a="1"/>
  <c r="A236" i="2" s="1"/>
  <c r="A235" i="2" a="1"/>
  <c r="A235" i="2" s="1"/>
  <c r="A234" i="2" a="1"/>
  <c r="A234" i="2"/>
  <c r="A233" i="2" a="1"/>
  <c r="A233" i="2"/>
  <c r="D233" i="2" s="1"/>
  <c r="A232" i="2" a="1"/>
  <c r="A232" i="2" s="1"/>
  <c r="C232" i="2" s="1"/>
  <c r="C231" i="2"/>
  <c r="A231" i="2" a="1"/>
  <c r="A231" i="2"/>
  <c r="B231" i="2" s="1"/>
  <c r="A230" i="2" a="1"/>
  <c r="A230" i="2" s="1"/>
  <c r="A229" i="2" a="1"/>
  <c r="A229" i="2"/>
  <c r="D229" i="2" s="1"/>
  <c r="A228" i="2" a="1"/>
  <c r="A228" i="2"/>
  <c r="A227" i="2" a="1"/>
  <c r="A227" i="2" s="1"/>
  <c r="B227" i="2" s="1"/>
  <c r="A226" i="2" a="1"/>
  <c r="A226" i="2" s="1"/>
  <c r="A225" i="2" a="1"/>
  <c r="A225" i="2" s="1"/>
  <c r="D225" i="2" s="1"/>
  <c r="D224" i="2"/>
  <c r="C224" i="2"/>
  <c r="A224" i="2" a="1"/>
  <c r="A224" i="2"/>
  <c r="B224" i="2" s="1"/>
  <c r="A223" i="2" a="1"/>
  <c r="A223" i="2" s="1"/>
  <c r="A222" i="2" a="1"/>
  <c r="A222" i="2" s="1"/>
  <c r="A221" i="2" a="1"/>
  <c r="A221" i="2" s="1"/>
  <c r="A220" i="2" a="1"/>
  <c r="A220" i="2"/>
  <c r="A219" i="2" a="1"/>
  <c r="A219" i="2"/>
  <c r="B219" i="2" s="1"/>
  <c r="C218" i="2"/>
  <c r="A218" i="2" a="1"/>
  <c r="A218" i="2"/>
  <c r="D218" i="2" s="1"/>
  <c r="A217" i="2" a="1"/>
  <c r="A217" i="2" s="1"/>
  <c r="A216" i="2" a="1"/>
  <c r="A216" i="2" s="1"/>
  <c r="A215" i="2" a="1"/>
  <c r="A215" i="2"/>
  <c r="B215" i="2" s="1"/>
  <c r="A214" i="2" a="1"/>
  <c r="A214" i="2" s="1"/>
  <c r="A213" i="2" a="1"/>
  <c r="A213" i="2" s="1"/>
  <c r="A212" i="2" a="1"/>
  <c r="A212" i="2" s="1"/>
  <c r="A211" i="2" a="1"/>
  <c r="A211" i="2" s="1"/>
  <c r="D210" i="2"/>
  <c r="A210" i="2" a="1"/>
  <c r="A210" i="2" s="1"/>
  <c r="A209" i="2" a="1"/>
  <c r="A209" i="2"/>
  <c r="A208" i="2" a="1"/>
  <c r="A208" i="2" s="1"/>
  <c r="A207" i="2" a="1"/>
  <c r="A207" i="2" s="1"/>
  <c r="A206" i="2" a="1"/>
  <c r="A206" i="2" s="1"/>
  <c r="A205" i="2" a="1"/>
  <c r="A205" i="2"/>
  <c r="D205" i="2" s="1"/>
  <c r="A204" i="2" a="1"/>
  <c r="A204" i="2" s="1"/>
  <c r="D204" i="2" s="1"/>
  <c r="A203" i="2" a="1"/>
  <c r="A203" i="2" s="1"/>
  <c r="A202" i="2" a="1"/>
  <c r="A202" i="2" s="1"/>
  <c r="A201" i="2" a="1"/>
  <c r="A201" i="2" s="1"/>
  <c r="A200" i="2" a="1"/>
  <c r="A200" i="2" s="1"/>
  <c r="D200" i="2" s="1"/>
  <c r="A199" i="2" a="1"/>
  <c r="A199" i="2" s="1"/>
  <c r="A198" i="2" a="1"/>
  <c r="A198" i="2" s="1"/>
  <c r="A197" i="2" a="1"/>
  <c r="A197" i="2" s="1"/>
  <c r="A196" i="2" a="1"/>
  <c r="A196" i="2" s="1"/>
  <c r="D196" i="2" s="1"/>
  <c r="A195" i="2" a="1"/>
  <c r="A195" i="2"/>
  <c r="A194" i="2" a="1"/>
  <c r="A194" i="2" s="1"/>
  <c r="C193" i="2"/>
  <c r="A193" i="2" a="1"/>
  <c r="A193" i="2" s="1"/>
  <c r="D192" i="2"/>
  <c r="C192" i="2"/>
  <c r="A192" i="2" a="1"/>
  <c r="A192" i="2"/>
  <c r="B192" i="2" s="1"/>
  <c r="A191" i="2" a="1"/>
  <c r="A191" i="2" s="1"/>
  <c r="A190" i="2" a="1"/>
  <c r="A190" i="2"/>
  <c r="D190" i="2" s="1"/>
  <c r="A189" i="2" a="1"/>
  <c r="A189" i="2" s="1"/>
  <c r="A188" i="2" a="1"/>
  <c r="A188" i="2" s="1"/>
  <c r="A187" i="2" a="1"/>
  <c r="A187" i="2" s="1"/>
  <c r="B187" i="2" s="1"/>
  <c r="A186" i="2" a="1"/>
  <c r="A186" i="2"/>
  <c r="A185" i="2" a="1"/>
  <c r="A185" i="2"/>
  <c r="A184" i="2" a="1"/>
  <c r="A184" i="2" s="1"/>
  <c r="D184" i="2" s="1"/>
  <c r="B183" i="2"/>
  <c r="A183" i="2" a="1"/>
  <c r="A183" i="2" s="1"/>
  <c r="A182" i="2" a="1"/>
  <c r="A182" i="2"/>
  <c r="A181" i="2" a="1"/>
  <c r="A181" i="2" s="1"/>
  <c r="C181" i="2" s="1"/>
  <c r="C180" i="2"/>
  <c r="B180" i="2"/>
  <c r="A180" i="2" a="1"/>
  <c r="A180" i="2"/>
  <c r="D180" i="2" s="1"/>
  <c r="A179" i="2" a="1"/>
  <c r="A179" i="2" s="1"/>
  <c r="A178" i="2" a="1"/>
  <c r="A178" i="2"/>
  <c r="A177" i="2" a="1"/>
  <c r="A177" i="2"/>
  <c r="C176" i="2"/>
  <c r="A176" i="2" a="1"/>
  <c r="A176" i="2"/>
  <c r="B176" i="2" s="1"/>
  <c r="A175" i="2" a="1"/>
  <c r="A175" i="2"/>
  <c r="D175" i="2" s="1"/>
  <c r="A174" i="2" a="1"/>
  <c r="A174" i="2" s="1"/>
  <c r="A173" i="2" a="1"/>
  <c r="A173" i="2"/>
  <c r="B173" i="2" s="1"/>
  <c r="A172" i="2" a="1"/>
  <c r="A172" i="2"/>
  <c r="B172" i="2" s="1"/>
  <c r="C171" i="2"/>
  <c r="A171" i="2" a="1"/>
  <c r="A171" i="2"/>
  <c r="D171" i="2" s="1"/>
  <c r="A169" i="2" a="1"/>
  <c r="A169" i="2"/>
  <c r="C169" i="2" s="1"/>
  <c r="A168" i="2" a="1"/>
  <c r="A168" i="2"/>
  <c r="B168" i="2" s="1"/>
  <c r="A167" i="2" a="1"/>
  <c r="A167" i="2"/>
  <c r="D167" i="2" s="1"/>
  <c r="A166" i="2" a="1"/>
  <c r="A166" i="2"/>
  <c r="A165" i="2" a="1"/>
  <c r="A165" i="2" s="1"/>
  <c r="C165" i="2" s="1"/>
  <c r="A164" i="2" a="1"/>
  <c r="A164" i="2" s="1"/>
  <c r="D163" i="2"/>
  <c r="C163" i="2"/>
  <c r="B163" i="2"/>
  <c r="A163" i="2" a="1"/>
  <c r="A163" i="2" s="1"/>
  <c r="A162" i="2" a="1"/>
  <c r="A162" i="2" s="1"/>
  <c r="D162" i="2" s="1"/>
  <c r="A161" i="2" a="1"/>
  <c r="A161" i="2" s="1"/>
  <c r="C161" i="2" s="1"/>
  <c r="A160" i="2" a="1"/>
  <c r="A160" i="2"/>
  <c r="B160" i="2" s="1"/>
  <c r="A159" i="2" a="1"/>
  <c r="A159" i="2"/>
  <c r="B159" i="2" s="1"/>
  <c r="A158" i="2" a="1"/>
  <c r="A158" i="2" s="1"/>
  <c r="A157" i="2" a="1"/>
  <c r="A157" i="2"/>
  <c r="C157" i="2" s="1"/>
  <c r="A156" i="2" a="1"/>
  <c r="A156" i="2" s="1"/>
  <c r="A155" i="2" a="1"/>
  <c r="A155" i="2" s="1"/>
  <c r="B155" i="2" s="1"/>
  <c r="A154" i="2" a="1"/>
  <c r="A154" i="2"/>
  <c r="A153" i="2" a="1"/>
  <c r="A153" i="2" s="1"/>
  <c r="A152" i="2" a="1"/>
  <c r="A152" i="2" s="1"/>
  <c r="A151" i="2" a="1"/>
  <c r="A151" i="2" s="1"/>
  <c r="D151" i="2" s="1"/>
  <c r="A150" i="2" a="1"/>
  <c r="A150" i="2"/>
  <c r="B150" i="2" s="1"/>
  <c r="A149" i="2" a="1"/>
  <c r="A149" i="2" s="1"/>
  <c r="D149" i="2" s="1"/>
  <c r="A148" i="2" a="1"/>
  <c r="A148" i="2" s="1"/>
  <c r="A147" i="2" a="1"/>
  <c r="A147" i="2" s="1"/>
  <c r="D147" i="2" s="1"/>
  <c r="A146" i="2" a="1"/>
  <c r="A146" i="2" s="1"/>
  <c r="C145" i="2"/>
  <c r="A145" i="2" a="1"/>
  <c r="A145" i="2" s="1"/>
  <c r="D145" i="2" s="1"/>
  <c r="A144" i="2" a="1"/>
  <c r="A144" i="2" s="1"/>
  <c r="A143" i="2" a="1"/>
  <c r="A143" i="2" s="1"/>
  <c r="D143" i="2" s="1"/>
  <c r="A142" i="2" a="1"/>
  <c r="A142" i="2" s="1"/>
  <c r="B142" i="2" s="1"/>
  <c r="A141" i="2" a="1"/>
  <c r="A141" i="2" s="1"/>
  <c r="C141" i="2" s="1"/>
  <c r="A140" i="2" a="1"/>
  <c r="A140" i="2" s="1"/>
  <c r="A139" i="2" a="1"/>
  <c r="A139" i="2"/>
  <c r="D139" i="2" s="1"/>
  <c r="A138" i="2" a="1"/>
  <c r="A138" i="2" s="1"/>
  <c r="C138" i="2" s="1"/>
  <c r="A137" i="2" a="1"/>
  <c r="A137" i="2" s="1"/>
  <c r="D137" i="2" s="1"/>
  <c r="A136" i="2" a="1"/>
  <c r="A136" i="2" s="1"/>
  <c r="A135" i="2" a="1"/>
  <c r="A135" i="2" s="1"/>
  <c r="D135" i="2" s="1"/>
  <c r="A134" i="2" a="1"/>
  <c r="A134" i="2"/>
  <c r="C134" i="2" s="1"/>
  <c r="A133" i="2" a="1"/>
  <c r="A133" i="2"/>
  <c r="B133" i="2" s="1"/>
  <c r="C132" i="2"/>
  <c r="A132" i="2" a="1"/>
  <c r="A132" i="2"/>
  <c r="D132" i="2" s="1"/>
  <c r="A131" i="2" a="1"/>
  <c r="A131" i="2" s="1"/>
  <c r="A129" i="2" a="1"/>
  <c r="A129" i="2" s="1"/>
  <c r="D129" i="2" s="1"/>
  <c r="A128" i="2" a="1"/>
  <c r="A128" i="2" s="1"/>
  <c r="D128" i="2" s="1"/>
  <c r="A127" i="2" a="1"/>
  <c r="A127" i="2" s="1"/>
  <c r="B127" i="2" s="1"/>
  <c r="A126" i="2" a="1"/>
  <c r="A126" i="2"/>
  <c r="C126" i="2" s="1"/>
  <c r="A125" i="2" a="1"/>
  <c r="A125" i="2"/>
  <c r="A123" i="2" a="1"/>
  <c r="A123" i="2" s="1"/>
  <c r="A122" i="2" a="1"/>
  <c r="A122" i="2" s="1"/>
  <c r="D122" i="2" s="1"/>
  <c r="A121" i="2" a="1"/>
  <c r="A121" i="2" s="1"/>
  <c r="A120" i="2" a="1"/>
  <c r="A120" i="2" s="1"/>
  <c r="D120" i="2" s="1"/>
  <c r="A119" i="2" a="1"/>
  <c r="A119" i="2" s="1"/>
  <c r="A118" i="2" a="1"/>
  <c r="A118" i="2" s="1"/>
  <c r="A117" i="2" a="1"/>
  <c r="A117" i="2" s="1"/>
  <c r="D117" i="2" s="1"/>
  <c r="A116" i="2" a="1"/>
  <c r="A116" i="2" s="1"/>
  <c r="A115" i="2" a="1"/>
  <c r="A115" i="2" s="1"/>
  <c r="A114" i="2" a="1"/>
  <c r="A114" i="2"/>
  <c r="A113" i="2" a="1"/>
  <c r="A113" i="2" s="1"/>
  <c r="A112" i="2" a="1"/>
  <c r="A112" i="2" s="1"/>
  <c r="A111" i="2" a="1"/>
  <c r="A111" i="2"/>
  <c r="C111" i="2" s="1"/>
  <c r="A110" i="2" a="1"/>
  <c r="A110" i="2" s="1"/>
  <c r="A109" i="2" a="1"/>
  <c r="A109" i="2" s="1"/>
  <c r="D109" i="2" s="1"/>
  <c r="A108" i="2" a="1"/>
  <c r="A108" i="2" s="1"/>
  <c r="B108" i="2" s="1"/>
  <c r="A107" i="2" a="1"/>
  <c r="A107" i="2" s="1"/>
  <c r="D107" i="2" s="1"/>
  <c r="A106" i="2" a="1"/>
  <c r="A106" i="2" s="1"/>
  <c r="B106" i="2" s="1"/>
  <c r="A105" i="2" a="1"/>
  <c r="A105" i="2"/>
  <c r="B105" i="2" s="1"/>
  <c r="A104" i="2" a="1"/>
  <c r="A104" i="2" s="1"/>
  <c r="A103" i="2" a="1"/>
  <c r="A103" i="2" s="1"/>
  <c r="A102" i="2" a="1"/>
  <c r="A102" i="2" s="1"/>
  <c r="A101" i="2" a="1"/>
  <c r="A101" i="2" s="1"/>
  <c r="D101" i="2" s="1"/>
  <c r="A100" i="2" a="1"/>
  <c r="A100" i="2" s="1"/>
  <c r="A99" i="2" a="1"/>
  <c r="A99" i="2"/>
  <c r="B99" i="2" s="1"/>
  <c r="A98" i="2" a="1"/>
  <c r="A98" i="2"/>
  <c r="B98" i="2" s="1"/>
  <c r="A97" i="2" a="1"/>
  <c r="A97" i="2" s="1"/>
  <c r="A96" i="2" a="1"/>
  <c r="A96" i="2" s="1"/>
  <c r="A95" i="2" a="1"/>
  <c r="A95" i="2"/>
  <c r="A94" i="2" a="1"/>
  <c r="A94" i="2" s="1"/>
  <c r="A93" i="2" a="1"/>
  <c r="A93" i="2"/>
  <c r="B93" i="2" s="1"/>
  <c r="A92" i="2" a="1"/>
  <c r="A92" i="2" s="1"/>
  <c r="D92" i="2" s="1"/>
  <c r="A91" i="2" a="1"/>
  <c r="A91" i="2" s="1"/>
  <c r="A90" i="2" a="1"/>
  <c r="A90" i="2"/>
  <c r="D90" i="2" s="1"/>
  <c r="A89" i="2" a="1"/>
  <c r="A89" i="2" s="1"/>
  <c r="A88" i="2" a="1"/>
  <c r="A88" i="2"/>
  <c r="D88" i="2" s="1"/>
  <c r="C87" i="2"/>
  <c r="A87" i="2" a="1"/>
  <c r="A87" i="2" s="1"/>
  <c r="A86" i="2" a="1"/>
  <c r="A86" i="2"/>
  <c r="D86" i="2" s="1"/>
  <c r="A85" i="2" a="1"/>
  <c r="A85" i="2" s="1"/>
  <c r="A84" i="2" a="1"/>
  <c r="A84" i="2" s="1"/>
  <c r="A83" i="2" a="1"/>
  <c r="A83" i="2" s="1"/>
  <c r="D83" i="2" s="1"/>
  <c r="A82" i="2" a="1"/>
  <c r="A82" i="2"/>
  <c r="A81" i="2" a="1"/>
  <c r="A81" i="2" s="1"/>
  <c r="A80" i="2" a="1"/>
  <c r="A80" i="2"/>
  <c r="A79" i="2" a="1"/>
  <c r="A79" i="2" s="1"/>
  <c r="A78" i="2" a="1"/>
  <c r="A78" i="2" s="1"/>
  <c r="B78" i="2" s="1"/>
  <c r="A77" i="2" a="1"/>
  <c r="A77" i="2" s="1"/>
  <c r="C77" i="2" s="1"/>
  <c r="A76" i="2" a="1"/>
  <c r="A76" i="2" s="1"/>
  <c r="A75" i="2" a="1"/>
  <c r="A75" i="2" s="1"/>
  <c r="A74" i="2" a="1"/>
  <c r="A74" i="2" s="1"/>
  <c r="D73" i="2"/>
  <c r="C73" i="2"/>
  <c r="B73" i="2"/>
  <c r="A73" i="2" a="1"/>
  <c r="A73" i="2" s="1"/>
  <c r="A72" i="2" a="1"/>
  <c r="A72" i="2" s="1"/>
  <c r="A71" i="2" a="1"/>
  <c r="A71" i="2"/>
  <c r="D71" i="2" s="1"/>
  <c r="A70" i="2" a="1"/>
  <c r="A70" i="2"/>
  <c r="C70" i="2" s="1"/>
  <c r="A69" i="2" a="1"/>
  <c r="A69" i="2" s="1"/>
  <c r="A68" i="2" a="1"/>
  <c r="A68" i="2" s="1"/>
  <c r="D68" i="2" s="1"/>
  <c r="A67" i="2" a="1"/>
  <c r="A67" i="2" s="1"/>
  <c r="A66" i="2" a="1"/>
  <c r="A66" i="2"/>
  <c r="D66" i="2" s="1"/>
  <c r="A65" i="2" a="1"/>
  <c r="A65" i="2" s="1"/>
  <c r="A64" i="2" a="1"/>
  <c r="A64" i="2"/>
  <c r="C64" i="2" s="1"/>
  <c r="A63" i="2" a="1"/>
  <c r="A63" i="2" s="1"/>
  <c r="B63" i="2" s="1"/>
  <c r="A62" i="2" a="1"/>
  <c r="A62" i="2"/>
  <c r="D62" i="2" s="1"/>
  <c r="A61" i="2" a="1"/>
  <c r="A61" i="2"/>
  <c r="A60" i="2" a="1"/>
  <c r="A60" i="2" s="1"/>
  <c r="A59" i="2" a="1"/>
  <c r="A59" i="2" s="1"/>
  <c r="A58" i="2" a="1"/>
  <c r="A58" i="2" s="1"/>
  <c r="C58" i="2" s="1"/>
  <c r="A57" i="2" a="1"/>
  <c r="A57" i="2" s="1"/>
  <c r="A56" i="2" a="1"/>
  <c r="A56" i="2"/>
  <c r="D56" i="2" s="1"/>
  <c r="A55" i="2" a="1"/>
  <c r="A55" i="2" s="1"/>
  <c r="C55" i="2" s="1"/>
  <c r="A54" i="2" a="1"/>
  <c r="A54" i="2"/>
  <c r="D54" i="2" s="1"/>
  <c r="C53" i="2"/>
  <c r="B53" i="2"/>
  <c r="A53" i="2" a="1"/>
  <c r="A53" i="2" s="1"/>
  <c r="D53" i="2" s="1"/>
  <c r="A52" i="2" a="1"/>
  <c r="A52" i="2"/>
  <c r="A51" i="2" a="1"/>
  <c r="A51" i="2" s="1"/>
  <c r="A50" i="2" a="1"/>
  <c r="A50" i="2"/>
  <c r="B50" i="2" s="1"/>
  <c r="A49" i="2" a="1"/>
  <c r="A49" i="2"/>
  <c r="D49" i="2" s="1"/>
  <c r="A48" i="2" a="1"/>
  <c r="A48" i="2" s="1"/>
  <c r="B48" i="2" s="1"/>
  <c r="A47" i="2" a="1"/>
  <c r="A47" i="2"/>
  <c r="D47" i="2" s="1"/>
  <c r="A46" i="2" a="1"/>
  <c r="A46" i="2"/>
  <c r="D46" i="2" s="1"/>
  <c r="A45" i="2" a="1"/>
  <c r="A45" i="2" s="1"/>
  <c r="A44" i="2" a="1"/>
  <c r="A44" i="2"/>
  <c r="D44" i="2" s="1"/>
  <c r="A43" i="2" a="1"/>
  <c r="A43" i="2" s="1"/>
  <c r="D43" i="2" s="1"/>
  <c r="A42" i="2" a="1"/>
  <c r="A42" i="2" s="1"/>
  <c r="A41" i="2" a="1"/>
  <c r="A41" i="2"/>
  <c r="A40" i="2" a="1"/>
  <c r="A40" i="2"/>
  <c r="D40" i="2" s="1"/>
  <c r="D39" i="2"/>
  <c r="C39" i="2"/>
  <c r="A39" i="2" a="1"/>
  <c r="A39" i="2"/>
  <c r="B39" i="2" s="1"/>
  <c r="A38" i="2" a="1"/>
  <c r="A38" i="2" s="1"/>
  <c r="D38" i="2" s="1"/>
  <c r="A37" i="2" a="1"/>
  <c r="A37" i="2" s="1"/>
  <c r="A36" i="2" a="1"/>
  <c r="A36" i="2" s="1"/>
  <c r="A35" i="2" a="1"/>
  <c r="A35" i="2"/>
  <c r="B35" i="2" s="1"/>
  <c r="A34" i="2" a="1"/>
  <c r="A34" i="2"/>
  <c r="D34" i="2" s="1"/>
  <c r="A33" i="2" a="1"/>
  <c r="A33" i="2"/>
  <c r="A32" i="2" a="1"/>
  <c r="A32" i="2" s="1"/>
  <c r="D32" i="2" s="1"/>
  <c r="A31" i="2" a="1"/>
  <c r="A31" i="2"/>
  <c r="D31" i="2" s="1"/>
  <c r="A30" i="2" a="1"/>
  <c r="A30" i="2"/>
  <c r="B30" i="2" s="1"/>
  <c r="A29" i="2" a="1"/>
  <c r="A29" i="2" s="1"/>
  <c r="B29" i="2" s="1"/>
  <c r="A28" i="2" a="1"/>
  <c r="A28" i="2"/>
  <c r="C28" i="2" s="1"/>
  <c r="A27" i="2" a="1"/>
  <c r="A27" i="2" s="1"/>
  <c r="A26" i="2" a="1"/>
  <c r="A26" i="2" s="1"/>
  <c r="A25" i="2" a="1"/>
  <c r="A25" i="2" s="1"/>
  <c r="D24" i="2"/>
  <c r="A24" i="2" a="1"/>
  <c r="A24" i="2"/>
  <c r="C24" i="2" s="1"/>
  <c r="C23" i="2"/>
  <c r="B23" i="2"/>
  <c r="A23" i="2" a="1"/>
  <c r="A23" i="2" s="1"/>
  <c r="D23" i="2" s="1"/>
  <c r="A22" i="2" a="1"/>
  <c r="A22" i="2"/>
  <c r="A21" i="2" a="1"/>
  <c r="A21" i="2"/>
  <c r="D21" i="2" s="1"/>
  <c r="A20" i="2" a="1"/>
  <c r="A20" i="2"/>
  <c r="D20" i="2" s="1"/>
  <c r="A19" i="2" a="1"/>
  <c r="A19" i="2"/>
  <c r="B19" i="2" s="1"/>
  <c r="A18" i="2" a="1"/>
  <c r="A18" i="2" s="1"/>
  <c r="D18" i="2" s="1"/>
  <c r="A17" i="2" a="1"/>
  <c r="A17" i="2" s="1"/>
  <c r="D17" i="2" s="1"/>
  <c r="A16" i="2" a="1"/>
  <c r="A16" i="2" s="1"/>
  <c r="A15" i="2" a="1"/>
  <c r="A15" i="2" s="1"/>
  <c r="A14" i="2" a="1"/>
  <c r="A14" i="2" s="1"/>
  <c r="A13" i="2" a="1"/>
  <c r="A13" i="2"/>
  <c r="B13" i="2" s="1"/>
  <c r="A12" i="2" a="1"/>
  <c r="A12" i="2" s="1"/>
  <c r="A11" i="2" a="1"/>
  <c r="A11" i="2" s="1"/>
  <c r="B11" i="2" s="1"/>
  <c r="A10" i="2" a="1"/>
  <c r="A10" i="2"/>
  <c r="D10" i="2" s="1"/>
  <c r="A9" i="2" a="1"/>
  <c r="A9" i="2" s="1"/>
  <c r="A8" i="2" a="1"/>
  <c r="A8" i="2"/>
  <c r="D8" i="2" s="1"/>
  <c r="A7" i="2" a="1"/>
  <c r="A7" i="2"/>
  <c r="B7" i="2" s="1"/>
  <c r="A6" i="2" a="1"/>
  <c r="A6" i="2"/>
  <c r="D6" i="2" s="1"/>
  <c r="A5" i="2" a="1"/>
  <c r="A5" i="2" s="1"/>
  <c r="D5" i="2" s="1"/>
  <c r="A4" i="2" a="1"/>
  <c r="A4" i="2" s="1"/>
  <c r="A3" i="2" a="1"/>
  <c r="A3" i="2"/>
  <c r="D3" i="2" s="1"/>
  <c r="A2" i="2" a="1"/>
  <c r="A2" i="2"/>
  <c r="D2" i="2" s="1"/>
  <c r="A1" i="2" a="1"/>
  <c r="A1" i="2"/>
  <c r="B1" i="2" s="1"/>
  <c r="I15" i="1"/>
  <c r="A14" i="1"/>
  <c r="A124" i="2" s="1" a="1"/>
  <c r="A124" i="2" s="1"/>
  <c r="A13" i="1"/>
  <c r="A130" i="2" s="1" a="1"/>
  <c r="A130" i="2" s="1"/>
  <c r="AL10" i="1"/>
  <c r="A8" i="1"/>
  <c r="A7" i="1"/>
  <c r="A170" i="2" s="1" a="1"/>
  <c r="A170" i="2" s="1"/>
  <c r="E3" i="1"/>
  <c r="B12" i="2" l="1"/>
  <c r="C12" i="2"/>
  <c r="D12" i="2"/>
  <c r="D319" i="2"/>
  <c r="C319" i="2"/>
  <c r="B319" i="2"/>
  <c r="B235" i="2"/>
  <c r="D235" i="2"/>
  <c r="B249" i="2"/>
  <c r="D249" i="2"/>
  <c r="C323" i="2"/>
  <c r="D323" i="2"/>
  <c r="B323" i="2"/>
  <c r="B350" i="2"/>
  <c r="C350" i="2"/>
  <c r="D194" i="2"/>
  <c r="B194" i="2"/>
  <c r="C45" i="2"/>
  <c r="D45" i="2"/>
  <c r="B164" i="2"/>
  <c r="C164" i="2"/>
  <c r="D164" i="2"/>
  <c r="C375" i="2"/>
  <c r="D375" i="2"/>
  <c r="B84" i="2"/>
  <c r="D84" i="2"/>
  <c r="C84" i="2"/>
  <c r="C188" i="2"/>
  <c r="D188" i="2"/>
  <c r="B188" i="2"/>
  <c r="D237" i="2"/>
  <c r="B237" i="2"/>
  <c r="D266" i="2"/>
  <c r="C266" i="2"/>
  <c r="B266" i="2"/>
  <c r="D325" i="2"/>
  <c r="B325" i="2"/>
  <c r="B303" i="2"/>
  <c r="D303" i="2"/>
  <c r="B152" i="2"/>
  <c r="D152" i="2"/>
  <c r="C152" i="2"/>
  <c r="C275" i="2"/>
  <c r="D275" i="2"/>
  <c r="D309" i="2"/>
  <c r="C309" i="2"/>
  <c r="B309" i="2"/>
  <c r="D201" i="2"/>
  <c r="B201" i="2"/>
  <c r="B267" i="2"/>
  <c r="D267" i="2"/>
  <c r="C326" i="2"/>
  <c r="D326" i="2"/>
  <c r="C393" i="2"/>
  <c r="D393" i="2"/>
  <c r="B69" i="2"/>
  <c r="C69" i="2"/>
  <c r="D69" i="2"/>
  <c r="C14" i="2"/>
  <c r="B14" i="2"/>
  <c r="D14" i="2"/>
  <c r="B223" i="2"/>
  <c r="D223" i="2"/>
  <c r="C223" i="2"/>
  <c r="C100" i="2"/>
  <c r="D100" i="2"/>
  <c r="B100" i="2"/>
  <c r="C339" i="2"/>
  <c r="D339" i="2"/>
  <c r="B321" i="2"/>
  <c r="D321" i="2"/>
  <c r="C321" i="2"/>
  <c r="C85" i="2"/>
  <c r="B85" i="2"/>
  <c r="D197" i="2"/>
  <c r="B197" i="2"/>
  <c r="D283" i="2"/>
  <c r="B283" i="2"/>
  <c r="D222" i="2"/>
  <c r="C222" i="2"/>
  <c r="C284" i="2"/>
  <c r="D284" i="2"/>
  <c r="D355" i="2"/>
  <c r="C355" i="2"/>
  <c r="D314" i="2"/>
  <c r="C314" i="2"/>
  <c r="B314" i="2"/>
  <c r="D102" i="2"/>
  <c r="C102" i="2"/>
  <c r="B102" i="2"/>
  <c r="D65" i="2"/>
  <c r="C65" i="2"/>
  <c r="C103" i="2"/>
  <c r="D103" i="2"/>
  <c r="C118" i="2"/>
  <c r="D118" i="2"/>
  <c r="B118" i="2"/>
  <c r="D206" i="2"/>
  <c r="C206" i="2"/>
  <c r="B206" i="2"/>
  <c r="D214" i="2"/>
  <c r="C214" i="2"/>
  <c r="B386" i="2"/>
  <c r="D386" i="2"/>
  <c r="C386" i="2"/>
  <c r="B233" i="2"/>
  <c r="B242" i="2"/>
  <c r="C38" i="2"/>
  <c r="B68" i="2"/>
  <c r="B24" i="2"/>
  <c r="D77" i="2"/>
  <c r="C133" i="2"/>
  <c r="C159" i="2"/>
  <c r="C172" i="2"/>
  <c r="C219" i="2"/>
  <c r="C242" i="2"/>
  <c r="B291" i="2"/>
  <c r="C68" i="2"/>
  <c r="B62" i="2"/>
  <c r="D133" i="2"/>
  <c r="D159" i="2"/>
  <c r="D172" i="2"/>
  <c r="D219" i="2"/>
  <c r="D253" i="2"/>
  <c r="B345" i="2"/>
  <c r="C19" i="2"/>
  <c r="D19" i="2"/>
  <c r="B54" i="2"/>
  <c r="B64" i="2"/>
  <c r="B88" i="2"/>
  <c r="D98" i="2"/>
  <c r="D160" i="2"/>
  <c r="C368" i="2"/>
  <c r="C105" i="2"/>
  <c r="C6" i="2"/>
  <c r="B196" i="2"/>
  <c r="D368" i="2"/>
  <c r="C98" i="2"/>
  <c r="C160" i="2"/>
  <c r="B205" i="2"/>
  <c r="C54" i="2"/>
  <c r="C88" i="2"/>
  <c r="D64" i="2"/>
  <c r="B49" i="2"/>
  <c r="C99" i="2"/>
  <c r="C175" i="2"/>
  <c r="C215" i="2"/>
  <c r="B296" i="2"/>
  <c r="B6" i="2"/>
  <c r="D99" i="2"/>
  <c r="B190" i="2"/>
  <c r="D215" i="2"/>
  <c r="B278" i="2"/>
  <c r="C296" i="2"/>
  <c r="C377" i="2"/>
  <c r="C13" i="2"/>
  <c r="D28" i="2"/>
  <c r="C49" i="2"/>
  <c r="B137" i="2"/>
  <c r="C168" i="2"/>
  <c r="C21" i="2"/>
  <c r="D168" i="2"/>
  <c r="C278" i="2"/>
  <c r="B361" i="2"/>
  <c r="C47" i="2"/>
  <c r="D35" i="2"/>
  <c r="D176" i="2"/>
  <c r="D231" i="2"/>
  <c r="C370" i="2"/>
  <c r="D388" i="2"/>
  <c r="B134" i="2"/>
  <c r="D13" i="2"/>
  <c r="C35" i="2"/>
  <c r="C1" i="2"/>
  <c r="C30" i="2"/>
  <c r="B44" i="2"/>
  <c r="C50" i="2"/>
  <c r="B139" i="2"/>
  <c r="B149" i="2"/>
  <c r="B260" i="2"/>
  <c r="B332" i="2"/>
  <c r="B379" i="2"/>
  <c r="B34" i="2"/>
  <c r="D70" i="2"/>
  <c r="C167" i="2"/>
  <c r="C34" i="2"/>
  <c r="D1" i="2"/>
  <c r="D30" i="2"/>
  <c r="D50" i="2"/>
  <c r="B109" i="2"/>
  <c r="C149" i="2"/>
  <c r="B241" i="2"/>
  <c r="B279" i="2"/>
  <c r="D273" i="2"/>
  <c r="C273" i="2"/>
  <c r="B273" i="2"/>
  <c r="B25" i="2"/>
  <c r="C25" i="2"/>
  <c r="D25" i="2"/>
  <c r="D115" i="2"/>
  <c r="B115" i="2"/>
  <c r="C115" i="2"/>
  <c r="D81" i="2"/>
  <c r="B81" i="2"/>
  <c r="C81" i="2"/>
  <c r="C96" i="2"/>
  <c r="D96" i="2"/>
  <c r="B96" i="2"/>
  <c r="D110" i="2"/>
  <c r="C110" i="2"/>
  <c r="B110" i="2"/>
  <c r="C76" i="2"/>
  <c r="D76" i="2"/>
  <c r="B76" i="2"/>
  <c r="D203" i="2"/>
  <c r="C203" i="2"/>
  <c r="B203" i="2"/>
  <c r="D89" i="2"/>
  <c r="B89" i="2"/>
  <c r="C89" i="2"/>
  <c r="D42" i="2"/>
  <c r="C42" i="2"/>
  <c r="B42" i="2"/>
  <c r="B51" i="2"/>
  <c r="D51" i="2"/>
  <c r="C51" i="2"/>
  <c r="C130" i="2"/>
  <c r="B130" i="2"/>
  <c r="D130" i="2"/>
  <c r="D208" i="2"/>
  <c r="C208" i="2"/>
  <c r="B208" i="2"/>
  <c r="D199" i="2"/>
  <c r="C199" i="2"/>
  <c r="B199" i="2"/>
  <c r="C36" i="2"/>
  <c r="B36" i="2"/>
  <c r="D36" i="2"/>
  <c r="D59" i="2"/>
  <c r="B59" i="2"/>
  <c r="C59" i="2"/>
  <c r="D37" i="2"/>
  <c r="C37" i="2"/>
  <c r="B37" i="2"/>
  <c r="D74" i="2"/>
  <c r="B74" i="2"/>
  <c r="C74" i="2"/>
  <c r="D281" i="2"/>
  <c r="C281" i="2"/>
  <c r="B281" i="2"/>
  <c r="D301" i="2"/>
  <c r="C301" i="2"/>
  <c r="B301" i="2"/>
  <c r="C7" i="2"/>
  <c r="B18" i="2"/>
  <c r="C40" i="2"/>
  <c r="B40" i="2"/>
  <c r="C46" i="2"/>
  <c r="B46" i="2"/>
  <c r="D57" i="2"/>
  <c r="C57" i="2"/>
  <c r="D75" i="2"/>
  <c r="C75" i="2"/>
  <c r="B75" i="2"/>
  <c r="D7" i="2"/>
  <c r="C18" i="2"/>
  <c r="B57" i="2"/>
  <c r="D82" i="2"/>
  <c r="C82" i="2"/>
  <c r="B82" i="2"/>
  <c r="C94" i="2"/>
  <c r="D94" i="2"/>
  <c r="B94" i="2"/>
  <c r="C114" i="2"/>
  <c r="B114" i="2"/>
  <c r="D239" i="2"/>
  <c r="D247" i="2"/>
  <c r="C247" i="2"/>
  <c r="C257" i="2"/>
  <c r="B257" i="2"/>
  <c r="D211" i="2"/>
  <c r="C211" i="2"/>
  <c r="B211" i="2"/>
  <c r="D240" i="2"/>
  <c r="B240" i="2"/>
  <c r="B247" i="2"/>
  <c r="D257" i="2"/>
  <c r="D391" i="2"/>
  <c r="C391" i="2"/>
  <c r="B391" i="2"/>
  <c r="D29" i="2"/>
  <c r="C29" i="2"/>
  <c r="D119" i="2"/>
  <c r="B119" i="2"/>
  <c r="D95" i="2"/>
  <c r="C95" i="2"/>
  <c r="B95" i="2"/>
  <c r="B107" i="2"/>
  <c r="D114" i="2"/>
  <c r="D121" i="2"/>
  <c r="B121" i="2"/>
  <c r="C121" i="2"/>
  <c r="D136" i="2"/>
  <c r="C136" i="2"/>
  <c r="B136" i="2"/>
  <c r="D189" i="2"/>
  <c r="B189" i="2"/>
  <c r="B204" i="2"/>
  <c r="D212" i="2"/>
  <c r="C212" i="2"/>
  <c r="B212" i="2"/>
  <c r="C240" i="2"/>
  <c r="D248" i="2"/>
  <c r="C248" i="2"/>
  <c r="B248" i="2"/>
  <c r="D258" i="2"/>
  <c r="C258" i="2"/>
  <c r="B258" i="2"/>
  <c r="D293" i="2"/>
  <c r="C293" i="2"/>
  <c r="B293" i="2"/>
  <c r="D320" i="2"/>
  <c r="C320" i="2"/>
  <c r="B320" i="2"/>
  <c r="C129" i="2"/>
  <c r="B129" i="2"/>
  <c r="C151" i="2"/>
  <c r="B151" i="2"/>
  <c r="D41" i="2"/>
  <c r="C41" i="2"/>
  <c r="B41" i="2"/>
  <c r="D52" i="2"/>
  <c r="C52" i="2"/>
  <c r="B52" i="2"/>
  <c r="D58" i="2"/>
  <c r="B77" i="2"/>
  <c r="B83" i="2"/>
  <c r="C107" i="2"/>
  <c r="D144" i="2"/>
  <c r="C144" i="2"/>
  <c r="B144" i="2"/>
  <c r="D183" i="2"/>
  <c r="C183" i="2"/>
  <c r="C189" i="2"/>
  <c r="C204" i="2"/>
  <c r="D259" i="2"/>
  <c r="C259" i="2"/>
  <c r="B259" i="2"/>
  <c r="D294" i="2"/>
  <c r="C294" i="2"/>
  <c r="D304" i="2"/>
  <c r="C304" i="2"/>
  <c r="B304" i="2"/>
  <c r="D327" i="2"/>
  <c r="C327" i="2"/>
  <c r="B327" i="2"/>
  <c r="D335" i="2"/>
  <c r="C335" i="2"/>
  <c r="B335" i="2"/>
  <c r="D365" i="2"/>
  <c r="C365" i="2"/>
  <c r="B365" i="2"/>
  <c r="D383" i="2"/>
  <c r="C383" i="2"/>
  <c r="B383" i="2"/>
  <c r="C113" i="2"/>
  <c r="B113" i="2"/>
  <c r="C143" i="2"/>
  <c r="B143" i="2"/>
  <c r="D158" i="2"/>
  <c r="C158" i="2"/>
  <c r="B158" i="2"/>
  <c r="D182" i="2"/>
  <c r="C182" i="2"/>
  <c r="B182" i="2"/>
  <c r="B195" i="2"/>
  <c r="D195" i="2"/>
  <c r="C195" i="2"/>
  <c r="B58" i="2"/>
  <c r="B3" i="2"/>
  <c r="D9" i="2"/>
  <c r="B9" i="2"/>
  <c r="C9" i="2"/>
  <c r="C3" i="2"/>
  <c r="C31" i="2"/>
  <c r="B31" i="2"/>
  <c r="B47" i="2"/>
  <c r="B70" i="2"/>
  <c r="C83" i="2"/>
  <c r="D108" i="2"/>
  <c r="C108" i="2"/>
  <c r="B122" i="2"/>
  <c r="B169" i="2"/>
  <c r="B213" i="2"/>
  <c r="D213" i="2"/>
  <c r="C213" i="2"/>
  <c r="D226" i="2"/>
  <c r="C226" i="2"/>
  <c r="B226" i="2"/>
  <c r="D234" i="2"/>
  <c r="C234" i="2"/>
  <c r="B234" i="2"/>
  <c r="D276" i="2"/>
  <c r="C276" i="2"/>
  <c r="B276" i="2"/>
  <c r="D305" i="2"/>
  <c r="C305" i="2"/>
  <c r="B305" i="2"/>
  <c r="C366" i="2"/>
  <c r="D366" i="2"/>
  <c r="B366" i="2"/>
  <c r="D384" i="2"/>
  <c r="C384" i="2"/>
  <c r="B384" i="2"/>
  <c r="C122" i="2"/>
  <c r="C137" i="2"/>
  <c r="B145" i="2"/>
  <c r="D169" i="2"/>
  <c r="C196" i="2"/>
  <c r="C220" i="2"/>
  <c r="B220" i="2"/>
  <c r="D220" i="2"/>
  <c r="D227" i="2"/>
  <c r="C227" i="2"/>
  <c r="A277" i="2" a="1"/>
  <c r="A277" i="2" s="1"/>
  <c r="D306" i="2"/>
  <c r="C306" i="2"/>
  <c r="B306" i="2"/>
  <c r="D356" i="2"/>
  <c r="C356" i="2"/>
  <c r="B356" i="2"/>
  <c r="D385" i="2"/>
  <c r="C385" i="2"/>
  <c r="B385" i="2"/>
  <c r="D250" i="2"/>
  <c r="C250" i="2"/>
  <c r="B250" i="2"/>
  <c r="D307" i="2"/>
  <c r="C307" i="2"/>
  <c r="B307" i="2"/>
  <c r="D337" i="2"/>
  <c r="C337" i="2"/>
  <c r="B337" i="2"/>
  <c r="D367" i="2"/>
  <c r="C367" i="2"/>
  <c r="B367" i="2"/>
  <c r="D146" i="2"/>
  <c r="C146" i="2"/>
  <c r="D191" i="2"/>
  <c r="C191" i="2"/>
  <c r="B191" i="2"/>
  <c r="D221" i="2"/>
  <c r="C221" i="2"/>
  <c r="B221" i="2"/>
  <c r="C228" i="2"/>
  <c r="B228" i="2"/>
  <c r="C235" i="2"/>
  <c r="D251" i="2"/>
  <c r="C251" i="2"/>
  <c r="B251" i="2"/>
  <c r="D308" i="2"/>
  <c r="C308" i="2"/>
  <c r="B308" i="2"/>
  <c r="D315" i="2"/>
  <c r="C315" i="2"/>
  <c r="D322" i="2"/>
  <c r="C322" i="2"/>
  <c r="D338" i="2"/>
  <c r="C338" i="2"/>
  <c r="B338" i="2"/>
  <c r="C348" i="2"/>
  <c r="D348" i="2"/>
  <c r="B348" i="2"/>
  <c r="D358" i="2"/>
  <c r="C358" i="2"/>
  <c r="B358" i="2"/>
  <c r="D116" i="2"/>
  <c r="C116" i="2"/>
  <c r="B116" i="2"/>
  <c r="B123" i="2"/>
  <c r="D123" i="2"/>
  <c r="D131" i="2"/>
  <c r="C131" i="2"/>
  <c r="B131" i="2"/>
  <c r="D138" i="2"/>
  <c r="B138" i="2"/>
  <c r="B177" i="2"/>
  <c r="D177" i="2"/>
  <c r="B10" i="2"/>
  <c r="D15" i="2"/>
  <c r="C15" i="2"/>
  <c r="B15" i="2"/>
  <c r="B43" i="2"/>
  <c r="D60" i="2"/>
  <c r="C60" i="2"/>
  <c r="B60" i="2"/>
  <c r="B5" i="2"/>
  <c r="C10" i="2"/>
  <c r="D26" i="2"/>
  <c r="C26" i="2"/>
  <c r="B26" i="2"/>
  <c r="C43" i="2"/>
  <c r="D61" i="2"/>
  <c r="C61" i="2"/>
  <c r="B61" i="2"/>
  <c r="D72" i="2"/>
  <c r="C72" i="2"/>
  <c r="D97" i="2"/>
  <c r="C97" i="2"/>
  <c r="B97" i="2"/>
  <c r="C123" i="2"/>
  <c r="D153" i="2"/>
  <c r="B153" i="2"/>
  <c r="C177" i="2"/>
  <c r="D185" i="2"/>
  <c r="B185" i="2"/>
  <c r="D268" i="2"/>
  <c r="C268" i="2"/>
  <c r="B268" i="2"/>
  <c r="C5" i="2"/>
  <c r="D27" i="2"/>
  <c r="C27" i="2"/>
  <c r="B27" i="2"/>
  <c r="B32" i="2"/>
  <c r="B66" i="2"/>
  <c r="B72" i="2"/>
  <c r="C79" i="2"/>
  <c r="B79" i="2"/>
  <c r="C91" i="2"/>
  <c r="D91" i="2"/>
  <c r="B103" i="2"/>
  <c r="B117" i="2"/>
  <c r="D125" i="2"/>
  <c r="C125" i="2"/>
  <c r="B125" i="2"/>
  <c r="B146" i="2"/>
  <c r="B165" i="2"/>
  <c r="D178" i="2"/>
  <c r="C178" i="2"/>
  <c r="B178" i="2"/>
  <c r="D198" i="2"/>
  <c r="C198" i="2"/>
  <c r="B198" i="2"/>
  <c r="D228" i="2"/>
  <c r="D236" i="2"/>
  <c r="B236" i="2"/>
  <c r="D252" i="2"/>
  <c r="C252" i="2"/>
  <c r="B252" i="2"/>
  <c r="D269" i="2"/>
  <c r="C269" i="2"/>
  <c r="B269" i="2"/>
  <c r="D286" i="2"/>
  <c r="C286" i="2"/>
  <c r="B286" i="2"/>
  <c r="B359" i="2"/>
  <c r="D359" i="2"/>
  <c r="C359" i="2"/>
  <c r="D376" i="2"/>
  <c r="C376" i="2"/>
  <c r="B376" i="2"/>
  <c r="D63" i="2"/>
  <c r="C63" i="2"/>
  <c r="D170" i="2"/>
  <c r="C170" i="2"/>
  <c r="B170" i="2"/>
  <c r="A262" i="2" a="1"/>
  <c r="A262" i="2" s="1"/>
  <c r="A295" i="2" a="1"/>
  <c r="A295" i="2" s="1"/>
  <c r="C16" i="2"/>
  <c r="D16" i="2"/>
  <c r="D124" i="2"/>
  <c r="C124" i="2"/>
  <c r="B124" i="2"/>
  <c r="C11" i="2"/>
  <c r="D11" i="2"/>
  <c r="B16" i="2"/>
  <c r="B21" i="2"/>
  <c r="C32" i="2"/>
  <c r="B38" i="2"/>
  <c r="C66" i="2"/>
  <c r="D79" i="2"/>
  <c r="B91" i="2"/>
  <c r="C117" i="2"/>
  <c r="C147" i="2"/>
  <c r="B147" i="2"/>
  <c r="C153" i="2"/>
  <c r="D165" i="2"/>
  <c r="C185" i="2"/>
  <c r="C236" i="2"/>
  <c r="D261" i="2"/>
  <c r="C261" i="2"/>
  <c r="D270" i="2"/>
  <c r="C270" i="2"/>
  <c r="D287" i="2"/>
  <c r="C287" i="2"/>
  <c r="B287" i="2"/>
  <c r="D331" i="2"/>
  <c r="C331" i="2"/>
  <c r="B331" i="2"/>
  <c r="C2" i="2"/>
  <c r="B2" i="2"/>
  <c r="D4" i="2"/>
  <c r="B4" i="2"/>
  <c r="C4" i="2"/>
  <c r="C20" i="2"/>
  <c r="B20" i="2"/>
  <c r="D48" i="2"/>
  <c r="C48" i="2"/>
  <c r="C78" i="2"/>
  <c r="D78" i="2"/>
  <c r="B33" i="2"/>
  <c r="D33" i="2"/>
  <c r="C33" i="2"/>
  <c r="D67" i="2"/>
  <c r="C67" i="2"/>
  <c r="B67" i="2"/>
  <c r="C80" i="2"/>
  <c r="B80" i="2"/>
  <c r="D243" i="2"/>
  <c r="C243" i="2"/>
  <c r="B261" i="2"/>
  <c r="B270" i="2"/>
  <c r="D288" i="2"/>
  <c r="C288" i="2"/>
  <c r="B288" i="2"/>
  <c r="D297" i="2"/>
  <c r="C297" i="2"/>
  <c r="B297" i="2"/>
  <c r="D369" i="2"/>
  <c r="C369" i="2"/>
  <c r="B369" i="2"/>
  <c r="D140" i="2"/>
  <c r="C140" i="2"/>
  <c r="B140" i="2"/>
  <c r="D154" i="2"/>
  <c r="C154" i="2"/>
  <c r="B154" i="2"/>
  <c r="D179" i="2"/>
  <c r="C179" i="2"/>
  <c r="D85" i="2"/>
  <c r="B92" i="2"/>
  <c r="D104" i="2"/>
  <c r="B104" i="2"/>
  <c r="C148" i="2"/>
  <c r="B148" i="2"/>
  <c r="D148" i="2"/>
  <c r="B179" i="2"/>
  <c r="B200" i="2"/>
  <c r="D207" i="2"/>
  <c r="C207" i="2"/>
  <c r="B207" i="2"/>
  <c r="D230" i="2"/>
  <c r="C230" i="2"/>
  <c r="B230" i="2"/>
  <c r="B243" i="2"/>
  <c r="D289" i="2"/>
  <c r="C289" i="2"/>
  <c r="B289" i="2"/>
  <c r="D340" i="2"/>
  <c r="C340" i="2"/>
  <c r="B340" i="2"/>
  <c r="D186" i="2"/>
  <c r="C186" i="2"/>
  <c r="B186" i="2"/>
  <c r="C17" i="2"/>
  <c r="B28" i="2"/>
  <c r="C44" i="2"/>
  <c r="B55" i="2"/>
  <c r="C62" i="2"/>
  <c r="D80" i="2"/>
  <c r="C92" i="2"/>
  <c r="C104" i="2"/>
  <c r="B111" i="2"/>
  <c r="B126" i="2"/>
  <c r="B141" i="2"/>
  <c r="D141" i="2"/>
  <c r="D155" i="2"/>
  <c r="C155" i="2"/>
  <c r="B161" i="2"/>
  <c r="D173" i="2"/>
  <c r="C173" i="2"/>
  <c r="D187" i="2"/>
  <c r="C187" i="2"/>
  <c r="C200" i="2"/>
  <c r="D216" i="2"/>
  <c r="C216" i="2"/>
  <c r="B216" i="2"/>
  <c r="D244" i="2"/>
  <c r="C244" i="2"/>
  <c r="B244" i="2"/>
  <c r="D254" i="2"/>
  <c r="C254" i="2"/>
  <c r="B254" i="2"/>
  <c r="D263" i="2"/>
  <c r="C263" i="2"/>
  <c r="B263" i="2"/>
  <c r="D290" i="2"/>
  <c r="C290" i="2"/>
  <c r="D298" i="2"/>
  <c r="C298" i="2"/>
  <c r="B298" i="2"/>
  <c r="D318" i="2"/>
  <c r="C318" i="2"/>
  <c r="B341" i="2"/>
  <c r="D341" i="2"/>
  <c r="D351" i="2"/>
  <c r="C351" i="2"/>
  <c r="B17" i="2"/>
  <c r="D22" i="2"/>
  <c r="C22" i="2"/>
  <c r="B22" i="2"/>
  <c r="D55" i="2"/>
  <c r="D111" i="2"/>
  <c r="D126" i="2"/>
  <c r="D161" i="2"/>
  <c r="D193" i="2"/>
  <c r="B193" i="2"/>
  <c r="C238" i="2"/>
  <c r="B238" i="2"/>
  <c r="D238" i="2"/>
  <c r="D255" i="2"/>
  <c r="C255" i="2"/>
  <c r="B255" i="2"/>
  <c r="D264" i="2"/>
  <c r="C264" i="2"/>
  <c r="B264" i="2"/>
  <c r="C280" i="2"/>
  <c r="B280" i="2"/>
  <c r="D299" i="2"/>
  <c r="C299" i="2"/>
  <c r="B299" i="2"/>
  <c r="D311" i="2"/>
  <c r="C311" i="2"/>
  <c r="B318" i="2"/>
  <c r="C341" i="2"/>
  <c r="B351" i="2"/>
  <c r="B87" i="2"/>
  <c r="D87" i="2"/>
  <c r="D93" i="2"/>
  <c r="C93" i="2"/>
  <c r="C112" i="2"/>
  <c r="D112" i="2"/>
  <c r="B112" i="2"/>
  <c r="D127" i="2"/>
  <c r="C127" i="2"/>
  <c r="D156" i="2"/>
  <c r="C156" i="2"/>
  <c r="B156" i="2"/>
  <c r="D209" i="2"/>
  <c r="C209" i="2"/>
  <c r="B209" i="2"/>
  <c r="D217" i="2"/>
  <c r="C217" i="2"/>
  <c r="B217" i="2"/>
  <c r="D272" i="2"/>
  <c r="C272" i="2"/>
  <c r="B272" i="2"/>
  <c r="D300" i="2"/>
  <c r="C300" i="2"/>
  <c r="B300" i="2"/>
  <c r="D142" i="2"/>
  <c r="C142" i="2"/>
  <c r="D150" i="2"/>
  <c r="C150" i="2"/>
  <c r="D157" i="2"/>
  <c r="B157" i="2"/>
  <c r="D174" i="2"/>
  <c r="C174" i="2"/>
  <c r="B174" i="2"/>
  <c r="D246" i="2"/>
  <c r="C246" i="2"/>
  <c r="B246" i="2"/>
  <c r="C256" i="2"/>
  <c r="B256" i="2"/>
  <c r="D256" i="2"/>
  <c r="D265" i="2"/>
  <c r="C265" i="2"/>
  <c r="D106" i="2"/>
  <c r="C106" i="2"/>
  <c r="D113" i="2"/>
  <c r="C119" i="2"/>
  <c r="C128" i="2"/>
  <c r="B128" i="2"/>
  <c r="D134" i="2"/>
  <c r="D181" i="2"/>
  <c r="B181" i="2"/>
  <c r="C202" i="2"/>
  <c r="B202" i="2"/>
  <c r="D202" i="2"/>
  <c r="C210" i="2"/>
  <c r="B210" i="2"/>
  <c r="D232" i="2"/>
  <c r="B232" i="2"/>
  <c r="C239" i="2"/>
  <c r="B265" i="2"/>
  <c r="C274" i="2"/>
  <c r="B274" i="2"/>
  <c r="D282" i="2"/>
  <c r="C282" i="2"/>
  <c r="D302" i="2"/>
  <c r="C302" i="2"/>
  <c r="D380" i="2"/>
  <c r="B380" i="2"/>
  <c r="C380" i="2"/>
  <c r="D324" i="2"/>
  <c r="C324" i="2"/>
  <c r="B324" i="2"/>
  <c r="D342" i="2"/>
  <c r="C342" i="2"/>
  <c r="B342" i="2"/>
  <c r="B381" i="2"/>
  <c r="B275" i="2"/>
  <c r="B347" i="2"/>
  <c r="C381" i="2"/>
  <c r="B387" i="2"/>
  <c r="C267" i="2"/>
  <c r="C303" i="2"/>
  <c r="B329" i="2"/>
  <c r="B333" i="2"/>
  <c r="C347" i="2"/>
  <c r="C357" i="2"/>
  <c r="B357" i="2"/>
  <c r="C387" i="2"/>
  <c r="B312" i="2"/>
  <c r="B316" i="2"/>
  <c r="C329" i="2"/>
  <c r="C333" i="2"/>
  <c r="B343" i="2"/>
  <c r="B352" i="2"/>
  <c r="D357" i="2"/>
  <c r="B362" i="2"/>
  <c r="B372" i="2"/>
  <c r="C166" i="2"/>
  <c r="B166" i="2"/>
  <c r="C197" i="2"/>
  <c r="C201" i="2"/>
  <c r="C205" i="2"/>
  <c r="C279" i="2"/>
  <c r="C283" i="2"/>
  <c r="C291" i="2"/>
  <c r="C312" i="2"/>
  <c r="C316" i="2"/>
  <c r="C325" i="2"/>
  <c r="C343" i="2"/>
  <c r="C352" i="2"/>
  <c r="C362" i="2"/>
  <c r="C372" i="2"/>
  <c r="B394" i="2"/>
  <c r="C394" i="2"/>
  <c r="B56" i="2"/>
  <c r="B71" i="2"/>
  <c r="B86" i="2"/>
  <c r="B101" i="2"/>
  <c r="B120" i="2"/>
  <c r="B135" i="2"/>
  <c r="B162" i="2"/>
  <c r="D166" i="2"/>
  <c r="B225" i="2"/>
  <c r="B229" i="2"/>
  <c r="C292" i="2"/>
  <c r="B292" i="2"/>
  <c r="D313" i="2"/>
  <c r="C313" i="2"/>
  <c r="D317" i="2"/>
  <c r="C317" i="2"/>
  <c r="B317" i="2"/>
  <c r="D353" i="2"/>
  <c r="C353" i="2"/>
  <c r="B353" i="2"/>
  <c r="D377" i="2"/>
  <c r="C56" i="2"/>
  <c r="C71" i="2"/>
  <c r="C86" i="2"/>
  <c r="B90" i="2"/>
  <c r="C135" i="2"/>
  <c r="C162" i="2"/>
  <c r="C225" i="2"/>
  <c r="C229" i="2"/>
  <c r="D245" i="2"/>
  <c r="C245" i="2"/>
  <c r="B330" i="2"/>
  <c r="B334" i="2"/>
  <c r="B363" i="2"/>
  <c r="D378" i="2"/>
  <c r="C378" i="2"/>
  <c r="B378" i="2"/>
  <c r="B8" i="2"/>
  <c r="C101" i="2"/>
  <c r="C120" i="2"/>
  <c r="C8" i="2"/>
  <c r="B45" i="2"/>
  <c r="C90" i="2"/>
  <c r="D105" i="2"/>
  <c r="C109" i="2"/>
  <c r="C139" i="2"/>
  <c r="C190" i="2"/>
  <c r="C194" i="2"/>
  <c r="C233" i="2"/>
  <c r="C237" i="2"/>
  <c r="C241" i="2"/>
  <c r="B253" i="2"/>
  <c r="B284" i="2"/>
  <c r="D292" i="2"/>
  <c r="B313" i="2"/>
  <c r="B326" i="2"/>
  <c r="C330" i="2"/>
  <c r="C334" i="2"/>
  <c r="B344" i="2"/>
  <c r="D349" i="2"/>
  <c r="C349" i="2"/>
  <c r="C363" i="2"/>
  <c r="B373" i="2"/>
  <c r="B132" i="2"/>
  <c r="B167" i="2"/>
  <c r="B171" i="2"/>
  <c r="B175" i="2"/>
  <c r="B214" i="2"/>
  <c r="B218" i="2"/>
  <c r="B222" i="2"/>
  <c r="B245" i="2"/>
  <c r="C249" i="2"/>
  <c r="C344" i="2"/>
  <c r="B354" i="2"/>
  <c r="C373" i="2"/>
  <c r="D396" i="2"/>
  <c r="C396" i="2"/>
  <c r="B396" i="2"/>
  <c r="B349" i="2"/>
  <c r="C354" i="2"/>
  <c r="D374" i="2"/>
  <c r="C374" i="2"/>
  <c r="B390" i="2"/>
  <c r="C379" i="2"/>
  <c r="C390" i="2"/>
  <c r="D397" i="2"/>
  <c r="C397" i="2"/>
  <c r="B397" i="2"/>
  <c r="C310" i="2"/>
  <c r="B310" i="2"/>
  <c r="B374" i="2"/>
  <c r="D398" i="2"/>
  <c r="C398" i="2"/>
  <c r="B398" i="2"/>
  <c r="C184" i="2"/>
  <c r="B184" i="2"/>
  <c r="C285" i="2"/>
  <c r="D310" i="2"/>
  <c r="B336" i="2"/>
  <c r="C345" i="2"/>
  <c r="D350" i="2"/>
  <c r="D360" i="2"/>
  <c r="C360" i="2"/>
  <c r="B360" i="2"/>
  <c r="D399" i="2"/>
  <c r="C399" i="2"/>
  <c r="B399" i="2"/>
  <c r="B65" i="2"/>
  <c r="D285" i="2"/>
  <c r="C336" i="2"/>
  <c r="B355" i="2"/>
  <c r="D392" i="2"/>
  <c r="C392" i="2"/>
  <c r="B395" i="2"/>
  <c r="C395" i="2"/>
  <c r="B371" i="2"/>
  <c r="B389" i="2"/>
  <c r="B328" i="2"/>
  <c r="B346" i="2"/>
  <c r="B364" i="2"/>
  <c r="C371" i="2"/>
  <c r="B382" i="2"/>
  <c r="C389" i="2"/>
  <c r="B400" i="2"/>
  <c r="C328" i="2"/>
  <c r="B339" i="2"/>
  <c r="C346" i="2"/>
  <c r="C364" i="2"/>
  <c r="B375" i="2"/>
  <c r="C382" i="2"/>
  <c r="B393" i="2"/>
  <c r="C400" i="2"/>
  <c r="D277" i="2" l="1"/>
  <c r="C277" i="2"/>
  <c r="B277" i="2"/>
  <c r="D295" i="2"/>
  <c r="C295" i="2"/>
  <c r="B295" i="2"/>
  <c r="B262" i="2"/>
  <c r="D262" i="2"/>
  <c r="C26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</futureMetadata>
  <cellMetadata count="1">
    <bk>
      <rc t="1" v="0"/>
    </bk>
  </cellMetadata>
  <valueMetadata count="12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</valueMetadata>
</metadata>
</file>

<file path=xl/sharedStrings.xml><?xml version="1.0" encoding="utf-8"?>
<sst xmlns="http://schemas.openxmlformats.org/spreadsheetml/2006/main" count="459" uniqueCount="436">
  <si>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</si>
  <si>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</si>
  <si>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</si>
  <si>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</si>
  <si>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</si>
  <si>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</si>
  <si>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</si>
  <si>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</si>
  <si>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</si>
  <si>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</si>
  <si>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</si>
  <si>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</si>
  <si>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</si>
  <si>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</si>
  <si>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</si>
  <si>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</si>
  <si>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</si>
  <si>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</si>
  <si>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</si>
  <si>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</si>
  <si>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</si>
  <si>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</si>
  <si>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</si>
  <si>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</si>
  <si>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</si>
  <si>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</si>
  <si>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</si>
  <si>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</si>
  <si>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</si>
  <si>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</si>
  <si>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</si>
  <si>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</si>
  <si>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</si>
  <si>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</si>
  <si>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</si>
  <si>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1#401</t>
  </si>
  <si>
    <t>1#402</t>
  </si>
  <si>
    <t>1#403</t>
  </si>
  <si>
    <t>1#404</t>
  </si>
  <si>
    <t>1#405</t>
  </si>
  <si>
    <t>1#406</t>
  </si>
  <si>
    <t>1#407</t>
  </si>
  <si>
    <t>1#408</t>
  </si>
  <si>
    <t>1#409</t>
  </si>
  <si>
    <t>1#410</t>
  </si>
  <si>
    <t>1#411</t>
  </si>
  <si>
    <t>1#412</t>
  </si>
  <si>
    <t>1#413</t>
  </si>
  <si>
    <t>1#414</t>
  </si>
  <si>
    <t>1#415</t>
  </si>
  <si>
    <t>1#416</t>
  </si>
  <si>
    <t>1#417</t>
  </si>
  <si>
    <t>1#418</t>
  </si>
  <si>
    <t>1#419</t>
  </si>
  <si>
    <t>1#420</t>
  </si>
  <si>
    <t>1#421</t>
  </si>
  <si>
    <t>1#422</t>
  </si>
  <si>
    <t>1#423</t>
  </si>
  <si>
    <t>1#424</t>
  </si>
  <si>
    <t>1#425</t>
  </si>
  <si>
    <t>1#426</t>
  </si>
  <si>
    <t>1#427</t>
  </si>
  <si>
    <t>1#428</t>
  </si>
  <si>
    <t>1#429</t>
  </si>
  <si>
    <t>1#430</t>
  </si>
  <si>
    <t>1#431</t>
  </si>
  <si>
    <t>1#432</t>
  </si>
  <si>
    <t>1#433</t>
  </si>
  <si>
    <t>1#434</t>
  </si>
  <si>
    <t>1#435</t>
  </si>
  <si>
    <t>1#436</t>
  </si>
  <si>
    <t>1#437</t>
  </si>
  <si>
    <t>1#438</t>
  </si>
  <si>
    <t>1#439</t>
  </si>
  <si>
    <t>1#440</t>
  </si>
  <si>
    <t>1#441</t>
  </si>
  <si>
    <t>1#442</t>
  </si>
  <si>
    <t>1#443</t>
  </si>
  <si>
    <t>1#444</t>
  </si>
  <si>
    <t>1#445</t>
  </si>
  <si>
    <t>1#446</t>
  </si>
  <si>
    <t>1#447</t>
  </si>
  <si>
    <t>1#448</t>
  </si>
  <si>
    <t>1#449</t>
  </si>
  <si>
    <t>1#450</t>
  </si>
  <si>
    <t>1#451</t>
  </si>
  <si>
    <t>1#452</t>
  </si>
  <si>
    <t>1#453</t>
  </si>
  <si>
    <t>1#454</t>
  </si>
  <si>
    <t>1#455</t>
  </si>
  <si>
    <t>1#456</t>
  </si>
  <si>
    <t>1#457</t>
  </si>
  <si>
    <t>1#458</t>
  </si>
  <si>
    <t>1#459</t>
  </si>
  <si>
    <t>1#460</t>
  </si>
  <si>
    <t>1#461</t>
  </si>
  <si>
    <t>1#462</t>
  </si>
  <si>
    <t>1#463</t>
  </si>
  <si>
    <t>1#464</t>
  </si>
  <si>
    <t>1#465</t>
  </si>
  <si>
    <t>1#466</t>
  </si>
  <si>
    <t>1#467</t>
  </si>
  <si>
    <t>1#468</t>
  </si>
  <si>
    <t>1#469</t>
  </si>
  <si>
    <t>1#470</t>
  </si>
  <si>
    <t>1#471</t>
  </si>
  <si>
    <t>1#472</t>
  </si>
  <si>
    <t>1#473</t>
  </si>
  <si>
    <t>1#474</t>
  </si>
  <si>
    <t>1#475</t>
  </si>
  <si>
    <t>1#476</t>
  </si>
  <si>
    <t>1#477</t>
  </si>
  <si>
    <t>1#478</t>
  </si>
  <si>
    <t>1#479</t>
  </si>
  <si>
    <t>1#480</t>
  </si>
  <si>
    <t>1#481</t>
  </si>
  <si>
    <t>1#482</t>
  </si>
  <si>
    <t>1#483</t>
  </si>
  <si>
    <t>1#484</t>
  </si>
  <si>
    <t>1#485</t>
  </si>
  <si>
    <t>1#486</t>
  </si>
  <si>
    <t>1#487</t>
  </si>
  <si>
    <t>1#488</t>
  </si>
  <si>
    <t>1#489</t>
  </si>
  <si>
    <t>1#490</t>
  </si>
  <si>
    <t>1#491</t>
  </si>
  <si>
    <t>1#492</t>
  </si>
  <si>
    <t>1#493</t>
  </si>
  <si>
    <t>1#494</t>
  </si>
  <si>
    <t>1#495</t>
  </si>
  <si>
    <t>1#496</t>
  </si>
  <si>
    <t>1#497</t>
  </si>
  <si>
    <t>1#498</t>
  </si>
  <si>
    <t>1#499</t>
  </si>
  <si>
    <t>1#500</t>
  </si>
  <si>
    <t>1#501</t>
  </si>
  <si>
    <t>1#502</t>
  </si>
  <si>
    <t>1#503</t>
  </si>
  <si>
    <t>1#504</t>
  </si>
  <si>
    <t>1#505</t>
  </si>
  <si>
    <t>1#506</t>
  </si>
  <si>
    <t>1#507</t>
  </si>
  <si>
    <t>1#508</t>
  </si>
  <si>
    <t>1#509</t>
  </si>
  <si>
    <t>1#510</t>
  </si>
  <si>
    <t>1#511</t>
  </si>
  <si>
    <t>1#512</t>
  </si>
  <si>
    <t>1#513</t>
  </si>
  <si>
    <t>1#514</t>
  </si>
  <si>
    <t>1#515</t>
  </si>
  <si>
    <t>1#516</t>
  </si>
  <si>
    <t>1#517</t>
  </si>
  <si>
    <t>1#518</t>
  </si>
  <si>
    <t>1#519</t>
  </si>
  <si>
    <t>1#520</t>
  </si>
  <si>
    <t>1#521</t>
  </si>
  <si>
    <t>1#522</t>
  </si>
  <si>
    <t>1#523</t>
  </si>
  <si>
    <t>1#524</t>
  </si>
  <si>
    <t>1#525</t>
  </si>
  <si>
    <t>1#526</t>
  </si>
  <si>
    <t>1#527</t>
  </si>
  <si>
    <t>1#528</t>
  </si>
  <si>
    <t>1#529</t>
  </si>
  <si>
    <t>1#530</t>
  </si>
  <si>
    <t>1#531</t>
  </si>
  <si>
    <t>1#532</t>
  </si>
  <si>
    <t>1#533</t>
  </si>
  <si>
    <t>1#534</t>
  </si>
  <si>
    <t>1#535</t>
  </si>
  <si>
    <t>1#536</t>
  </si>
  <si>
    <t>1#537</t>
  </si>
  <si>
    <t>1#538</t>
  </si>
  <si>
    <t>1#539</t>
  </si>
  <si>
    <t>1#540</t>
  </si>
  <si>
    <t>1#541</t>
  </si>
  <si>
    <t>1#542</t>
  </si>
  <si>
    <t>1#543</t>
  </si>
  <si>
    <t>1#544</t>
  </si>
  <si>
    <t>1#545</t>
  </si>
  <si>
    <t>1#546</t>
  </si>
  <si>
    <t>1#547</t>
  </si>
  <si>
    <t>1#548</t>
  </si>
  <si>
    <t>1#549</t>
  </si>
  <si>
    <t>1#550</t>
  </si>
  <si>
    <t>1#551</t>
  </si>
  <si>
    <t>1#552</t>
  </si>
  <si>
    <t>1#553</t>
  </si>
  <si>
    <t>1#554</t>
  </si>
  <si>
    <t>1#555</t>
  </si>
  <si>
    <t>1#556</t>
  </si>
  <si>
    <t>1#557</t>
  </si>
  <si>
    <t>1#558</t>
  </si>
  <si>
    <t>1#559</t>
  </si>
  <si>
    <t>1#560</t>
  </si>
  <si>
    <t>1#561</t>
  </si>
  <si>
    <t>1#562</t>
  </si>
  <si>
    <t>1#563</t>
  </si>
  <si>
    <t>1#564</t>
  </si>
  <si>
    <t>1#565</t>
  </si>
  <si>
    <t>1#566</t>
  </si>
  <si>
    <t>1#567</t>
  </si>
  <si>
    <t>1#568</t>
  </si>
  <si>
    <t>1#569</t>
  </si>
  <si>
    <t>1#570</t>
  </si>
  <si>
    <t>1#571</t>
  </si>
  <si>
    <t>1#572</t>
  </si>
  <si>
    <t>1#573</t>
  </si>
  <si>
    <t>1#574</t>
  </si>
  <si>
    <t>1#575</t>
  </si>
  <si>
    <t>1#576</t>
  </si>
  <si>
    <t>1#577</t>
  </si>
  <si>
    <t>1#578</t>
  </si>
  <si>
    <t>1#579</t>
  </si>
  <si>
    <t>1#580</t>
  </si>
  <si>
    <t>1#581</t>
  </si>
  <si>
    <t>1#582</t>
  </si>
  <si>
    <t>1#583</t>
  </si>
  <si>
    <t>1#584</t>
  </si>
  <si>
    <t>1#585</t>
  </si>
  <si>
    <t>1#586</t>
  </si>
  <si>
    <t>1#587</t>
  </si>
  <si>
    <t>1#588</t>
  </si>
  <si>
    <t>1#589</t>
  </si>
  <si>
    <t>1#590</t>
  </si>
  <si>
    <t>1#591</t>
  </si>
  <si>
    <t>1#592</t>
  </si>
  <si>
    <t>1#593</t>
  </si>
  <si>
    <t>1#594</t>
  </si>
  <si>
    <t>1#595</t>
  </si>
  <si>
    <t>1#596</t>
  </si>
  <si>
    <t>1#597</t>
  </si>
  <si>
    <t>1#598</t>
  </si>
  <si>
    <t>1#599</t>
  </si>
  <si>
    <t>1#600</t>
  </si>
  <si>
    <t>1#601</t>
  </si>
  <si>
    <t>1#602</t>
  </si>
  <si>
    <t>1#603</t>
  </si>
  <si>
    <t>1#604</t>
  </si>
  <si>
    <t>1#605</t>
  </si>
  <si>
    <t>1#606</t>
  </si>
  <si>
    <t>1#607</t>
  </si>
  <si>
    <t>1#608</t>
  </si>
  <si>
    <t>1#609</t>
  </si>
  <si>
    <t>1#610</t>
  </si>
  <si>
    <t>1#611</t>
  </si>
  <si>
    <t>1#612</t>
  </si>
  <si>
    <t>1#613</t>
  </si>
  <si>
    <t>1#614</t>
  </si>
  <si>
    <t>1#615</t>
  </si>
  <si>
    <t>1#616</t>
  </si>
  <si>
    <t>1#617</t>
  </si>
  <si>
    <t>1#618</t>
  </si>
  <si>
    <t>1#619</t>
  </si>
  <si>
    <t>1#620</t>
  </si>
  <si>
    <t>1#621</t>
  </si>
  <si>
    <t>1#622</t>
  </si>
  <si>
    <t>1#623</t>
  </si>
  <si>
    <t>1#624</t>
  </si>
  <si>
    <t>1#625</t>
  </si>
  <si>
    <t>1#626</t>
  </si>
  <si>
    <t>1#627</t>
  </si>
  <si>
    <t>1#628</t>
  </si>
  <si>
    <t>1#629</t>
  </si>
  <si>
    <t>1#630</t>
  </si>
  <si>
    <t>1#631</t>
  </si>
  <si>
    <t>1#632</t>
  </si>
  <si>
    <t>1#633</t>
  </si>
  <si>
    <t>1#634</t>
  </si>
  <si>
    <t>1#635</t>
  </si>
  <si>
    <t>1#636</t>
  </si>
  <si>
    <t>1#637</t>
  </si>
  <si>
    <t>1#638</t>
  </si>
  <si>
    <t>1#639</t>
  </si>
  <si>
    <t>1#640</t>
  </si>
  <si>
    <t>1#641</t>
  </si>
  <si>
    <t>1#642</t>
  </si>
  <si>
    <t>1#643</t>
  </si>
  <si>
    <t>1#644</t>
  </si>
  <si>
    <t>1#645</t>
  </si>
  <si>
    <t>1#646</t>
  </si>
  <si>
    <t>1#647</t>
  </si>
  <si>
    <t>1#648</t>
  </si>
  <si>
    <t>1#649</t>
  </si>
  <si>
    <t>1#650</t>
  </si>
  <si>
    <t>1#651</t>
  </si>
  <si>
    <t>1#652</t>
  </si>
  <si>
    <t>1#653</t>
  </si>
  <si>
    <t>1#654</t>
  </si>
  <si>
    <t>1#655</t>
  </si>
  <si>
    <t>1#656</t>
  </si>
  <si>
    <t>1#657</t>
  </si>
  <si>
    <t>1#658</t>
  </si>
  <si>
    <t>1#659</t>
  </si>
  <si>
    <t>1#660</t>
  </si>
  <si>
    <t>1#661</t>
  </si>
  <si>
    <t>1#662</t>
  </si>
  <si>
    <t>1#663</t>
  </si>
  <si>
    <t>1#664</t>
  </si>
  <si>
    <t>1#665</t>
  </si>
  <si>
    <t>1#666</t>
  </si>
  <si>
    <t>1#667</t>
  </si>
  <si>
    <t>1#668</t>
  </si>
  <si>
    <t>1#669</t>
  </si>
  <si>
    <t>1#670</t>
  </si>
  <si>
    <t>1#671</t>
  </si>
  <si>
    <t>1#672</t>
  </si>
  <si>
    <t>1#673</t>
  </si>
  <si>
    <t>1#674</t>
  </si>
  <si>
    <t>1#675</t>
  </si>
  <si>
    <t>1#676</t>
  </si>
  <si>
    <t>1#677</t>
  </si>
  <si>
    <t>1#678</t>
  </si>
  <si>
    <t>1#679</t>
  </si>
  <si>
    <t>1#680</t>
  </si>
  <si>
    <t>1#681</t>
  </si>
  <si>
    <t>1#682</t>
  </si>
  <si>
    <t>1#683</t>
  </si>
  <si>
    <t>1#684</t>
  </si>
  <si>
    <t>1#685</t>
  </si>
  <si>
    <t>1#686</t>
  </si>
  <si>
    <t>1#687</t>
  </si>
  <si>
    <t>1#688</t>
  </si>
  <si>
    <t>1#689</t>
  </si>
  <si>
    <t>1#690</t>
  </si>
  <si>
    <t>1#691</t>
  </si>
  <si>
    <t>1#692</t>
  </si>
  <si>
    <t>1#693</t>
  </si>
  <si>
    <t>1#694</t>
  </si>
  <si>
    <t>1#695</t>
  </si>
  <si>
    <t>1#696</t>
  </si>
  <si>
    <t>1#697</t>
  </si>
  <si>
    <t>1#698</t>
  </si>
  <si>
    <t>1#699</t>
  </si>
  <si>
    <t>1#700</t>
  </si>
  <si>
    <t>1#701</t>
  </si>
  <si>
    <t>1#702</t>
  </si>
  <si>
    <t>1#703</t>
  </si>
  <si>
    <t>1#704</t>
  </si>
  <si>
    <t>1#705</t>
  </si>
  <si>
    <t>1#706</t>
  </si>
  <si>
    <t>1#707</t>
  </si>
  <si>
    <t>1#708</t>
  </si>
  <si>
    <t>1#709</t>
  </si>
  <si>
    <t>1#710</t>
  </si>
  <si>
    <t>1#711</t>
  </si>
  <si>
    <t>1#712</t>
  </si>
  <si>
    <t>1#713</t>
  </si>
  <si>
    <t>1#714</t>
  </si>
  <si>
    <t>1#715</t>
  </si>
  <si>
    <t>1#716</t>
  </si>
  <si>
    <t>1#717</t>
  </si>
  <si>
    <t>1#718</t>
  </si>
  <si>
    <t>1#719</t>
  </si>
  <si>
    <t>1#720</t>
  </si>
  <si>
    <t>1#721</t>
  </si>
  <si>
    <t>1#722</t>
  </si>
  <si>
    <t>1#723</t>
  </si>
  <si>
    <t>1#724</t>
  </si>
  <si>
    <t>1#725</t>
  </si>
  <si>
    <t>1#726</t>
  </si>
  <si>
    <t>1#727</t>
  </si>
  <si>
    <t>1#728</t>
  </si>
  <si>
    <t>1#729</t>
  </si>
  <si>
    <t>1#730</t>
  </si>
  <si>
    <t>1#731</t>
  </si>
  <si>
    <t>1#732</t>
  </si>
  <si>
    <t>1#733</t>
  </si>
  <si>
    <t>1#734</t>
  </si>
  <si>
    <t>1#735</t>
  </si>
  <si>
    <t>1#736</t>
  </si>
  <si>
    <t>1#737</t>
  </si>
  <si>
    <t>1#738</t>
  </si>
  <si>
    <t>1#739</t>
  </si>
  <si>
    <t>1#740</t>
  </si>
  <si>
    <t>1#741</t>
  </si>
  <si>
    <t>1#742</t>
  </si>
  <si>
    <t>1#743</t>
  </si>
  <si>
    <t>1#744</t>
  </si>
  <si>
    <t>1#745</t>
  </si>
  <si>
    <t>1#746</t>
  </si>
  <si>
    <t>1#747</t>
  </si>
  <si>
    <t>1#748</t>
  </si>
  <si>
    <t>1#749</t>
  </si>
  <si>
    <t>1#750</t>
  </si>
  <si>
    <t>1#751</t>
  </si>
  <si>
    <t>1#752</t>
  </si>
  <si>
    <t>1#753</t>
  </si>
  <si>
    <t>1#754</t>
  </si>
  <si>
    <t>1#755</t>
  </si>
  <si>
    <t>1#756</t>
  </si>
  <si>
    <t>1#757</t>
  </si>
  <si>
    <t>1#758</t>
  </si>
  <si>
    <t>1#759</t>
  </si>
  <si>
    <t>1#760</t>
  </si>
  <si>
    <t>1#761</t>
  </si>
  <si>
    <t>1#762</t>
  </si>
  <si>
    <t>1#763</t>
  </si>
  <si>
    <t>1#764</t>
  </si>
  <si>
    <t>1#765</t>
  </si>
  <si>
    <t>1#766</t>
  </si>
  <si>
    <t>1#767</t>
  </si>
  <si>
    <t>1#768</t>
  </si>
  <si>
    <t>1#769</t>
  </si>
  <si>
    <t>1#770</t>
  </si>
  <si>
    <t>1#771</t>
  </si>
  <si>
    <t>1#772</t>
  </si>
  <si>
    <t>1#773</t>
  </si>
  <si>
    <t>1#774</t>
  </si>
  <si>
    <t>1#775</t>
  </si>
  <si>
    <t>1#776</t>
  </si>
  <si>
    <t>1#777</t>
  </si>
  <si>
    <t>1#778</t>
  </si>
  <si>
    <t>1#779</t>
  </si>
  <si>
    <t>1#780</t>
  </si>
  <si>
    <t>1#781</t>
  </si>
  <si>
    <t>1#782</t>
  </si>
  <si>
    <t>1#783</t>
  </si>
  <si>
    <t>1#784</t>
  </si>
  <si>
    <t>1#785</t>
  </si>
  <si>
    <t>1#786</t>
  </si>
  <si>
    <t>1#787</t>
  </si>
  <si>
    <t>1#788</t>
  </si>
  <si>
    <t>1#789</t>
  </si>
  <si>
    <t>1#790</t>
  </si>
  <si>
    <t>1#791</t>
  </si>
  <si>
    <t>1#792</t>
  </si>
  <si>
    <t>1#793</t>
  </si>
  <si>
    <t>1#794</t>
  </si>
  <si>
    <t>1#795</t>
  </si>
  <si>
    <t>1#796</t>
  </si>
  <si>
    <t>1#797</t>
  </si>
  <si>
    <t>1#798</t>
  </si>
  <si>
    <t>1#799</t>
  </si>
  <si>
    <t>1#800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</si>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</sst>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2">
  <rv s="0">
    <v>0</v>
    <v>8</v>
    <v>7</v>
    <v>1</v>
  </rv>
  <rv s="0">
    <v>0</v>
    <v>8</v>
    <v>2</v>
    <v>1</v>
  </rv>
  <rv s="0">
    <v>1</v>
    <v>8</v>
    <v>1</v>
    <v>1</v>
  </rv>
  <rv s="0">
    <v>0</v>
    <v>8</v>
    <v>4</v>
    <v>1</v>
  </rv>
  <rv s="0">
    <v>2</v>
    <v>8</v>
    <v>0</v>
    <v>1</v>
  </rv>
  <rv s="0">
    <v>0</v>
    <v>8</v>
    <v>6</v>
    <v>1</v>
  </rv>
  <rv s="0">
    <v>1</v>
    <v>8</v>
    <v>0</v>
    <v>1</v>
  </rv>
  <rv s="0">
    <v>0</v>
    <v>8</v>
    <v>5</v>
    <v>1</v>
  </rv>
  <rv s="1">
    <v>13</v>
    <v>3</v>
  </rv>
  <rv s="0">
    <v>1</v>
    <v>8</v>
    <v>6</v>
    <v>1</v>
  </rv>
  <rv s="0">
    <v>4</v>
    <v>8</v>
    <v>0</v>
    <v>1</v>
  </rv>
  <rv s="0">
    <v>3</v>
    <v>8</v>
    <v>1</v>
    <v>1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t="e" cm="1">
        <f t="array" ref="A1">AVERAGEIF(D!B1:B3,4^45658,D!AZ1:AZ5)&lt;=YEARFRAC(_xlfn.IMCOT("4+3i"),41120)</f>
        <v>#DIV/0!</v>
      </c>
      <c r="B1">
        <f t="shared" ref="B1:B64" si="0">IF(ISERROR(A1),ERROR.TYPE(A1),IF(ISNUMBER(A1),0,IF(ISLOGICAL(A1),IF(A1,-1,-2),IF(ISTEXT(A1),-3,-4))))</f>
        <v>2</v>
      </c>
      <c r="C1">
        <f t="shared" ref="C1:C64" si="1">IF(ISNUMBER(A1),A1,0)</f>
        <v>0</v>
      </c>
      <c r="D1" t="str">
        <f t="shared" ref="D1:D64" si="2">IF(ISTEXT(A1),A1,"")</f>
        <v/>
      </c>
      <c r="E1" t="s">
        <v>35</v>
      </c>
    </row>
    <row r="2" spans="1:5" x14ac:dyDescent="0.2">
      <c r="A2" cm="1">
        <f t="array" ref="A2">INDEX(_xlfn.T.DIST.RT("0",D!B3),1,1)</f>
        <v>0.5</v>
      </c>
      <c r="B2">
        <f t="shared" si="0"/>
        <v>0</v>
      </c>
      <c r="C2">
        <f t="shared" si="1"/>
        <v>0.5</v>
      </c>
      <c r="D2" t="str">
        <f t="shared" si="2"/>
        <v/>
      </c>
      <c r="E2" t="s">
        <v>36</v>
      </c>
    </row>
    <row r="3" spans="1:5" x14ac:dyDescent="0.2">
      <c r="A3" t="str" cm="1">
        <f t="array" ref="A3">_xlfn.TEXTJOIN(";",FALSE,_xlfn.ERFC.PRECISE(7))</f>
        <v>4.18382560777942E-23</v>
      </c>
      <c r="B3">
        <f t="shared" si="0"/>
        <v>-3</v>
      </c>
      <c r="C3">
        <f t="shared" si="1"/>
        <v>0</v>
      </c>
      <c r="D3" t="str">
        <f t="shared" si="2"/>
        <v>4.18382560777942E-23</v>
      </c>
      <c r="E3" t="s">
        <v>37</v>
      </c>
    </row>
    <row r="4" spans="1:5" x14ac:dyDescent="0.2">
      <c r="A4" cm="1">
        <f t="array" ref="A4">PERCENTILE(D!AY1:AY5,0.3)</f>
        <v>5.4</v>
      </c>
      <c r="B4">
        <f t="shared" si="0"/>
        <v>0</v>
      </c>
      <c r="C4">
        <f t="shared" si="1"/>
        <v>5.4</v>
      </c>
      <c r="D4" t="str">
        <f t="shared" si="2"/>
        <v/>
      </c>
      <c r="E4" t="s">
        <v>38</v>
      </c>
    </row>
    <row r="5" spans="1:5" x14ac:dyDescent="0.2">
      <c r="A5" cm="1">
        <f t="array" ref="A5">_xlfn.DAYS("2025-01-31 12:00","2025-01-31 12:00")</f>
        <v>0</v>
      </c>
      <c r="B5">
        <f t="shared" si="0"/>
        <v>0</v>
      </c>
      <c r="C5">
        <f t="shared" si="1"/>
        <v>0</v>
      </c>
      <c r="D5" t="str">
        <f t="shared" si="2"/>
        <v/>
      </c>
      <c r="E5" t="s">
        <v>39</v>
      </c>
    </row>
    <row r="6" spans="1:5" x14ac:dyDescent="0.2">
      <c r="A6" cm="1">
        <f t="array" ref="A6">EXP(1)</f>
        <v>2.7182818284590451</v>
      </c>
      <c r="B6">
        <f t="shared" si="0"/>
        <v>0</v>
      </c>
      <c r="C6">
        <f t="shared" si="1"/>
        <v>2.7182818284590451</v>
      </c>
      <c r="D6" t="str">
        <f t="shared" si="2"/>
        <v/>
      </c>
      <c r="E6" t="s">
        <v>40</v>
      </c>
    </row>
    <row r="7" spans="1:5" x14ac:dyDescent="0.2">
      <c r="A7" cm="1">
        <f t="array" ref="A7">SYD(30000,7500,100,D!A10)/_xlfn.IMCSC(59)</f>
        <v>282.27667593717666</v>
      </c>
      <c r="B7">
        <f t="shared" si="0"/>
        <v>0</v>
      </c>
      <c r="C7">
        <f t="shared" si="1"/>
        <v>282.27667593717666</v>
      </c>
      <c r="D7" t="str">
        <f t="shared" si="2"/>
        <v/>
      </c>
      <c r="E7" t="s">
        <v>41</v>
      </c>
    </row>
    <row r="8" spans="1:5" x14ac:dyDescent="0.2">
      <c r="A8" cm="1">
        <f t="array" ref="A8">FACT(5)</f>
        <v>120</v>
      </c>
      <c r="B8">
        <f t="shared" si="0"/>
        <v>0</v>
      </c>
      <c r="C8">
        <f t="shared" si="1"/>
        <v>120</v>
      </c>
      <c r="D8" t="str">
        <f t="shared" si="2"/>
        <v/>
      </c>
      <c r="E8" t="s">
        <v>42</v>
      </c>
    </row>
    <row r="9" spans="1:5" x14ac:dyDescent="0.2">
      <c r="A9" t="e" cm="1">
        <f t="array" ref="A9">COSH(REPLACEB("1.5",2,0,"x"))</f>
        <v>#VALUE!</v>
      </c>
      <c r="B9">
        <f t="shared" si="0"/>
        <v>3</v>
      </c>
      <c r="C9">
        <f t="shared" si="1"/>
        <v>0</v>
      </c>
      <c r="D9" t="str">
        <f t="shared" si="2"/>
        <v/>
      </c>
      <c r="E9" t="s">
        <v>43</v>
      </c>
    </row>
    <row r="10" spans="1:5" x14ac:dyDescent="0.2">
      <c r="A10" cm="1">
        <f t="array" ref="A10">SUM(OCT2DEC("54"))</f>
        <v>44</v>
      </c>
      <c r="B10">
        <f t="shared" si="0"/>
        <v>0</v>
      </c>
      <c r="C10">
        <f t="shared" si="1"/>
        <v>44</v>
      </c>
      <c r="D10" t="str">
        <f t="shared" si="2"/>
        <v/>
      </c>
      <c r="E10" t="s">
        <v>44</v>
      </c>
    </row>
    <row r="11" spans="1:5" x14ac:dyDescent="0.2">
      <c r="A11" t="e" cm="1">
        <f t="array" ref="A11">MATCH(5,D!U1:Y7,0)</f>
        <v>#N/A</v>
      </c>
      <c r="B11">
        <f t="shared" si="0"/>
        <v>7</v>
      </c>
      <c r="C11">
        <f t="shared" si="1"/>
        <v>0</v>
      </c>
      <c r="D11" t="str">
        <f t="shared" si="2"/>
        <v/>
      </c>
      <c r="E11" t="s">
        <v>45</v>
      </c>
    </row>
    <row r="12" spans="1:5" x14ac:dyDescent="0.2">
      <c r="A12" cm="1">
        <f t="array" ref="A12">SUM(OCT2DEC("54"))</f>
        <v>44</v>
      </c>
      <c r="B12">
        <f t="shared" si="0"/>
        <v>0</v>
      </c>
      <c r="C12">
        <f t="shared" si="1"/>
        <v>44</v>
      </c>
      <c r="D12" t="str">
        <f t="shared" si="2"/>
        <v/>
      </c>
      <c r="E12" t="s">
        <v>46</v>
      </c>
    </row>
    <row r="13" spans="1:5" x14ac:dyDescent="0.2">
      <c r="A13" cm="1">
        <f t="array" ref="A13">TRIMMEAN(D!B1:B8,0.2)</f>
        <v>14.34375</v>
      </c>
      <c r="B13">
        <f t="shared" si="0"/>
        <v>0</v>
      </c>
      <c r="C13">
        <f t="shared" si="1"/>
        <v>14.34375</v>
      </c>
      <c r="D13" t="str">
        <f t="shared" si="2"/>
        <v/>
      </c>
      <c r="E13" t="s">
        <v>47</v>
      </c>
    </row>
    <row r="14" spans="1:5" x14ac:dyDescent="0.2">
      <c r="A14" cm="1">
        <f t="array" ref="A14">_xlfn.GAUSS(TRUE)</f>
        <v>0.34134474606854304</v>
      </c>
      <c r="B14">
        <f t="shared" si="0"/>
        <v>0</v>
      </c>
      <c r="C14">
        <f t="shared" si="1"/>
        <v>0.34134474606854304</v>
      </c>
      <c r="D14" t="str">
        <f t="shared" si="2"/>
        <v/>
      </c>
      <c r="E14" t="s">
        <v>48</v>
      </c>
    </row>
    <row r="15" spans="1:5" x14ac:dyDescent="0.2">
      <c r="A15" cm="1">
        <f t="array" ref="A15">TINV(0.05464493,D!C2)</f>
        <v>2.3042855871535752</v>
      </c>
      <c r="B15">
        <f t="shared" si="0"/>
        <v>0</v>
      </c>
      <c r="C15">
        <f t="shared" si="1"/>
        <v>2.3042855871535752</v>
      </c>
      <c r="D15" t="str">
        <f t="shared" si="2"/>
        <v/>
      </c>
      <c r="E15" t="s">
        <v>49</v>
      </c>
    </row>
    <row r="16" spans="1:5" x14ac:dyDescent="0.2">
      <c r="A16" t="e" cm="1">
        <f t="array" ref="A16">ABS(-4)^_xlfn.EXPAND(D!P1:Q2,1)</f>
        <v>#VALUE!</v>
      </c>
      <c r="B16">
        <f t="shared" si="0"/>
        <v>3</v>
      </c>
      <c r="C16">
        <f t="shared" si="1"/>
        <v>0</v>
      </c>
      <c r="D16" t="str">
        <f t="shared" si="2"/>
        <v/>
      </c>
      <c r="E16" t="s">
        <v>50</v>
      </c>
    </row>
    <row r="17" spans="1:5" x14ac:dyDescent="0.2">
      <c r="A17" t="e" cm="1">
        <f t="array" ref="A17">_xlfn.TEXTJOIN(FALSE,TRUE,D!B1:B3,"",SEARCHB("B","18:30",-1.5))&lt;MIDB(RIGHT(D!F1),2,MOD(D!A4,2))</f>
        <v>#VALUE!</v>
      </c>
      <c r="B17">
        <f t="shared" si="0"/>
        <v>3</v>
      </c>
      <c r="C17">
        <f t="shared" si="1"/>
        <v>0</v>
      </c>
      <c r="D17" t="str">
        <f t="shared" si="2"/>
        <v/>
      </c>
      <c r="E17" t="s">
        <v>51</v>
      </c>
    </row>
    <row r="18" spans="1:5" x14ac:dyDescent="0.2">
      <c r="A18" t="str" cm="1">
        <f t="array" ref="A18">PROPER("$1,000")</f>
        <v>$1,000</v>
      </c>
      <c r="B18">
        <f t="shared" si="0"/>
        <v>-3</v>
      </c>
      <c r="C18">
        <f t="shared" si="1"/>
        <v>0</v>
      </c>
      <c r="D18" t="str">
        <f t="shared" si="2"/>
        <v>$1,000</v>
      </c>
      <c r="E18" t="s">
        <v>52</v>
      </c>
    </row>
    <row r="19" spans="1:5" x14ac:dyDescent="0.2">
      <c r="A19" t="e" cm="1">
        <f t="array" ref="A19">LOG(_xlfn.QUARTILE.INC(D!N1:N6,SLOPE(D!B2:B3,{"x";""})))</f>
        <v>#DIV/0!</v>
      </c>
      <c r="B19">
        <f t="shared" si="0"/>
        <v>2</v>
      </c>
      <c r="C19">
        <f t="shared" si="1"/>
        <v>0</v>
      </c>
      <c r="D19" t="str">
        <f t="shared" si="2"/>
        <v/>
      </c>
      <c r="E19" t="s">
        <v>53</v>
      </c>
    </row>
    <row r="20" spans="1:5" x14ac:dyDescent="0.2">
      <c r="A20" t="e" cm="1">
        <f t="array" ref="A20">DATEVALUE(4)</f>
        <v>#VALUE!</v>
      </c>
      <c r="B20">
        <f t="shared" si="0"/>
        <v>3</v>
      </c>
      <c r="C20">
        <f t="shared" si="1"/>
        <v>0</v>
      </c>
      <c r="D20" t="str">
        <f t="shared" si="2"/>
        <v/>
      </c>
      <c r="E20" t="s">
        <v>54</v>
      </c>
    </row>
    <row r="21" spans="1:5" x14ac:dyDescent="0.2">
      <c r="A21" t="str" cm="1">
        <f t="array" ref="A21">_xlfn.F.TEST(D!B1:B8,D!B1:B3)&amp;INT(8.9)</f>
        <v>0.2957363531097558</v>
      </c>
      <c r="B21">
        <f t="shared" si="0"/>
        <v>-3</v>
      </c>
      <c r="C21">
        <f t="shared" si="1"/>
        <v>0</v>
      </c>
      <c r="D21" t="str">
        <f t="shared" si="2"/>
        <v>0.2957363531097558</v>
      </c>
      <c r="E21" t="s">
        <v>55</v>
      </c>
    </row>
    <row r="22" spans="1:5" x14ac:dyDescent="0.2">
      <c r="A22" t="e" cm="1">
        <f t="array" ref="A22">FTEST(D!B1:B8,2)^_xlfn.RANK.EQ(94,D!C2)</f>
        <v>#DIV/0!</v>
      </c>
      <c r="B22">
        <f t="shared" si="0"/>
        <v>2</v>
      </c>
      <c r="C22">
        <f t="shared" si="1"/>
        <v>0</v>
      </c>
      <c r="D22" t="str">
        <f t="shared" si="2"/>
        <v/>
      </c>
      <c r="E22" t="s">
        <v>56</v>
      </c>
    </row>
    <row r="23" spans="1:5" x14ac:dyDescent="0.2">
      <c r="A23" t="str" cm="1">
        <f t="array" ref="A23">_xlfn.TEXTJOIN(";",FALSE,MIN(D!AW1:AW4))</f>
        <v>0</v>
      </c>
      <c r="B23">
        <f t="shared" si="0"/>
        <v>-3</v>
      </c>
      <c r="C23">
        <f t="shared" si="1"/>
        <v>0</v>
      </c>
      <c r="D23" t="str">
        <f t="shared" si="2"/>
        <v>0</v>
      </c>
      <c r="E23" t="s">
        <v>57</v>
      </c>
    </row>
    <row r="24" spans="1:5" x14ac:dyDescent="0.2">
      <c r="A24" cm="1">
        <f t="array" ref="A24">MIN(D!F1:F7)</f>
        <v>0</v>
      </c>
      <c r="B24">
        <f t="shared" si="0"/>
        <v>0</v>
      </c>
      <c r="C24">
        <f t="shared" si="1"/>
        <v>0</v>
      </c>
      <c r="D24" t="str">
        <f t="shared" si="2"/>
        <v/>
      </c>
      <c r="E24" t="s">
        <v>58</v>
      </c>
    </row>
    <row r="25" spans="1:5" x14ac:dyDescent="0.2">
      <c r="A25" cm="1">
        <f t="array" ref="A25">COLUMNS(YIELD(CRITBINOM(6,2.5,0.75),_xlfn.CSCH(1.5),0.0575,{"x";""},100,"abc",0))</f>
        <v>1</v>
      </c>
      <c r="B25">
        <f t="shared" si="0"/>
        <v>0</v>
      </c>
      <c r="C25">
        <f t="shared" si="1"/>
        <v>1</v>
      </c>
      <c r="D25" t="str">
        <f t="shared" si="2"/>
        <v/>
      </c>
      <c r="E25" t="s">
        <v>59</v>
      </c>
    </row>
    <row r="26" spans="1:5" x14ac:dyDescent="0.2">
      <c r="A26" t="e" cm="1" vm="1">
        <f t="array" aca="1" ref="A26" ca="1">_xlfn.SORTBY({"x";""},D!N1:N6,D!C1:C8)^IMCONJUGATE("3+4i")</f>
        <v>#VALUE!</v>
      </c>
      <c r="B26">
        <f t="shared" ca="1" si="0"/>
        <v>9</v>
      </c>
      <c r="C26">
        <f t="shared" ca="1" si="1"/>
        <v>0</v>
      </c>
      <c r="D26" t="str">
        <f t="shared" ca="1" si="2"/>
        <v/>
      </c>
      <c r="E26" t="s">
        <v>60</v>
      </c>
    </row>
    <row r="27" spans="1:5" x14ac:dyDescent="0.2">
      <c r="A27" t="b" cm="1">
        <f t="array" ref="A27">ISODD(-1)</f>
        <v>1</v>
      </c>
      <c r="B27">
        <f t="shared" si="0"/>
        <v>-1</v>
      </c>
      <c r="C27">
        <f t="shared" si="1"/>
        <v>0</v>
      </c>
      <c r="D27" t="str">
        <f t="shared" si="2"/>
        <v/>
      </c>
      <c r="E27" t="s">
        <v>61</v>
      </c>
    </row>
    <row r="28" spans="1:5" x14ac:dyDescent="0.2">
      <c r="A28" t="str" cm="1">
        <f t="array" ref="A28">_xlfn.UNICHAR(66)</f>
        <v>B</v>
      </c>
      <c r="B28">
        <f t="shared" si="0"/>
        <v>-3</v>
      </c>
      <c r="C28">
        <f t="shared" si="1"/>
        <v>0</v>
      </c>
      <c r="D28" t="str">
        <f t="shared" si="2"/>
        <v>B</v>
      </c>
      <c r="E28" t="s">
        <v>62</v>
      </c>
    </row>
    <row r="29" spans="1:5" x14ac:dyDescent="0.2">
      <c r="A29" t="e" cm="1">
        <f t="array" ref="A29">COLUMNS(SLN(4,DMAX(D!B2:B3,4,D!B1),1))</f>
        <v>#VALUE!</v>
      </c>
      <c r="B29">
        <f t="shared" si="0"/>
        <v>3</v>
      </c>
      <c r="C29">
        <f t="shared" si="1"/>
        <v>0</v>
      </c>
      <c r="D29" t="str">
        <f t="shared" si="2"/>
        <v/>
      </c>
      <c r="E29" t="s">
        <v>63</v>
      </c>
    </row>
    <row r="30" spans="1:5" x14ac:dyDescent="0.2">
      <c r="A30" cm="1">
        <f t="array" ref="A30">DOLLARFR(COLUMN(D!A15),16)</f>
        <v>1</v>
      </c>
      <c r="B30">
        <f t="shared" si="0"/>
        <v>0</v>
      </c>
      <c r="C30">
        <f t="shared" si="1"/>
        <v>1</v>
      </c>
      <c r="D30" t="str">
        <f t="shared" si="2"/>
        <v/>
      </c>
      <c r="E30" t="s">
        <v>64</v>
      </c>
    </row>
    <row r="31" spans="1:5" x14ac:dyDescent="0.2">
      <c r="A31" t="e" cm="1">
        <f t="array" ref="A31">IMCOS(" ")</f>
        <v>#NUM!</v>
      </c>
      <c r="B31">
        <f t="shared" si="0"/>
        <v>6</v>
      </c>
      <c r="C31">
        <f t="shared" si="1"/>
        <v>0</v>
      </c>
      <c r="D31" t="str">
        <f t="shared" si="2"/>
        <v/>
      </c>
      <c r="E31" t="s">
        <v>65</v>
      </c>
    </row>
    <row r="32" spans="1:5" x14ac:dyDescent="0.2">
      <c r="A32" cm="1">
        <f t="array" ref="A32">SUM(EFFECT(0.0525,4))</f>
        <v>5.3542667370758412E-2</v>
      </c>
      <c r="B32">
        <f t="shared" si="0"/>
        <v>0</v>
      </c>
      <c r="C32">
        <f t="shared" si="1"/>
        <v>5.3542667370758412E-2</v>
      </c>
      <c r="D32" t="str">
        <f t="shared" si="2"/>
        <v/>
      </c>
      <c r="E32" t="s">
        <v>66</v>
      </c>
    </row>
    <row r="33" spans="1:5" x14ac:dyDescent="0.2">
      <c r="A33" cm="1">
        <f t="array" ref="A33">COUPPCD(2,4,2,1)</f>
        <v>0</v>
      </c>
      <c r="B33">
        <f t="shared" si="0"/>
        <v>0</v>
      </c>
      <c r="C33">
        <f t="shared" si="1"/>
        <v>0</v>
      </c>
      <c r="D33" t="str">
        <f t="shared" si="2"/>
        <v/>
      </c>
      <c r="E33" t="s">
        <v>67</v>
      </c>
    </row>
    <row r="34" spans="1:5" x14ac:dyDescent="0.2">
      <c r="A34" t="b" cm="1">
        <f t="array" ref="A34">ISERROR(2.5)</f>
        <v>0</v>
      </c>
      <c r="B34">
        <f t="shared" si="0"/>
        <v>-2</v>
      </c>
      <c r="C34">
        <f t="shared" si="1"/>
        <v>0</v>
      </c>
      <c r="D34" t="str">
        <f t="shared" si="2"/>
        <v/>
      </c>
      <c r="E34" t="s">
        <v>68</v>
      </c>
    </row>
    <row r="35" spans="1:5" x14ac:dyDescent="0.2">
      <c r="A35" t="e" cm="1">
        <f t="array" ref="A35">_xlfn.RRI(0.5,10000,D!A4)&lt;=COMBIN(8,D!B7)</f>
        <v>#NUM!</v>
      </c>
      <c r="B35">
        <f t="shared" si="0"/>
        <v>6</v>
      </c>
      <c r="C35">
        <f t="shared" si="1"/>
        <v>0</v>
      </c>
      <c r="D35" t="str">
        <f t="shared" si="2"/>
        <v/>
      </c>
      <c r="E35" t="s">
        <v>69</v>
      </c>
    </row>
    <row r="36" spans="1:5" x14ac:dyDescent="0.2">
      <c r="A36" cm="1">
        <f t="array" ref="A36">INDEX(FACT(5),1,1)</f>
        <v>120</v>
      </c>
      <c r="B36">
        <f t="shared" si="0"/>
        <v>0</v>
      </c>
      <c r="C36">
        <f t="shared" si="1"/>
        <v>120</v>
      </c>
      <c r="D36" t="str">
        <f t="shared" si="2"/>
        <v/>
      </c>
      <c r="E36" t="s">
        <v>70</v>
      </c>
    </row>
    <row r="37" spans="1:5" x14ac:dyDescent="0.2">
      <c r="A37" t="e" cm="1" vm="2">
        <f t="array" aca="1" ref="A37" ca="1">DPRODUCT(D!C2,BINOMDIST(6,D!B1:B3,0.5,0.25),D!M1:M6)</f>
        <v>#VALUE!</v>
      </c>
      <c r="B37">
        <f t="shared" ca="1" si="0"/>
        <v>9</v>
      </c>
      <c r="C37">
        <f t="shared" ca="1" si="1"/>
        <v>0</v>
      </c>
      <c r="D37" t="str">
        <f t="shared" ca="1" si="2"/>
        <v/>
      </c>
      <c r="E37" t="s">
        <v>71</v>
      </c>
    </row>
    <row r="38" spans="1:5" x14ac:dyDescent="0.2">
      <c r="A38" cm="1">
        <f t="array" ref="A38">EVEN(_xlfn.PERCENTILE.EXC(D!B1:B3,0.25))</f>
        <v>4</v>
      </c>
      <c r="B38">
        <f t="shared" si="0"/>
        <v>0</v>
      </c>
      <c r="C38">
        <f t="shared" si="1"/>
        <v>4</v>
      </c>
      <c r="D38" t="str">
        <f t="shared" si="2"/>
        <v/>
      </c>
      <c r="E38" t="s">
        <v>72</v>
      </c>
    </row>
    <row r="39" spans="1:5" x14ac:dyDescent="0.2">
      <c r="A39" t="e" cm="1">
        <f t="array" ref="A39">SEARCHB(1,MAX(D!B1:B8))</f>
        <v>#VALUE!</v>
      </c>
      <c r="B39">
        <f t="shared" si="0"/>
        <v>3</v>
      </c>
      <c r="C39">
        <f t="shared" si="1"/>
        <v>0</v>
      </c>
      <c r="D39" t="str">
        <f t="shared" si="2"/>
        <v/>
      </c>
      <c r="E39" t="s">
        <v>73</v>
      </c>
    </row>
    <row r="40" spans="1:5" x14ac:dyDescent="0.2">
      <c r="A40" cm="1">
        <f t="array" ref="A40">MINUTE(0.5104166667)</f>
        <v>15</v>
      </c>
      <c r="B40">
        <f t="shared" si="0"/>
        <v>0</v>
      </c>
      <c r="C40">
        <f t="shared" si="1"/>
        <v>15</v>
      </c>
      <c r="D40" t="str">
        <f t="shared" si="2"/>
        <v/>
      </c>
      <c r="E40" t="s">
        <v>74</v>
      </c>
    </row>
    <row r="41" spans="1:5" x14ac:dyDescent="0.2">
      <c r="A41" cm="1">
        <f t="array" ref="A41">BESSELK(1.5,0)</f>
        <v>0.21380556932365397</v>
      </c>
      <c r="B41">
        <f t="shared" si="0"/>
        <v>0</v>
      </c>
      <c r="C41">
        <f t="shared" si="1"/>
        <v>0.21380556932365397</v>
      </c>
      <c r="D41" t="str">
        <f t="shared" si="2"/>
        <v/>
      </c>
      <c r="E41" t="s">
        <v>75</v>
      </c>
    </row>
    <row r="42" spans="1:5" x14ac:dyDescent="0.2">
      <c r="A42" t="e" cm="1" vm="3">
        <f t="array" aca="1" ref="A42" ca="1">_xlfn.BETA.DIST(2,_xlfn.CEILING.MATH({2,"a";TRUE,#N/A},5),D!A12,DOLLARDE("TRUE","Привет"),1,3)</f>
        <v>#VALUE!</v>
      </c>
      <c r="B42">
        <f t="shared" ca="1" si="0"/>
        <v>9</v>
      </c>
      <c r="C42">
        <f t="shared" ca="1" si="1"/>
        <v>0</v>
      </c>
      <c r="D42" t="str">
        <f t="shared" ca="1" si="2"/>
        <v/>
      </c>
      <c r="E42" t="s">
        <v>76</v>
      </c>
    </row>
    <row r="43" spans="1:5" x14ac:dyDescent="0.2">
      <c r="A43" cm="1">
        <f t="array" ref="A43">HOUR(0.75)</f>
        <v>18</v>
      </c>
      <c r="B43">
        <f t="shared" si="0"/>
        <v>0</v>
      </c>
      <c r="C43">
        <f t="shared" si="1"/>
        <v>18</v>
      </c>
      <c r="D43" t="str">
        <f t="shared" si="2"/>
        <v/>
      </c>
      <c r="E43" t="s">
        <v>77</v>
      </c>
    </row>
    <row r="44" spans="1:5" x14ac:dyDescent="0.2">
      <c r="A44" cm="1">
        <f t="array" ref="A44">INDEX(NORMSDIST(100),1,1)</f>
        <v>1</v>
      </c>
      <c r="B44">
        <f t="shared" si="0"/>
        <v>0</v>
      </c>
      <c r="C44">
        <f t="shared" si="1"/>
        <v>1</v>
      </c>
      <c r="D44" t="str">
        <f t="shared" si="2"/>
        <v/>
      </c>
      <c r="E44" t="s">
        <v>78</v>
      </c>
    </row>
    <row r="45" spans="1:5" x14ac:dyDescent="0.2">
      <c r="A45" t="b" cm="1">
        <f t="array" ref="A45">ISNUMBER(_xlfn.RRI(96,4,11000))</f>
        <v>1</v>
      </c>
      <c r="B45">
        <f t="shared" si="0"/>
        <v>-1</v>
      </c>
      <c r="C45">
        <f t="shared" si="1"/>
        <v>0</v>
      </c>
      <c r="D45" t="str">
        <f t="shared" si="2"/>
        <v/>
      </c>
      <c r="E45" t="s">
        <v>79</v>
      </c>
    </row>
    <row r="46" spans="1:5" x14ac:dyDescent="0.2">
      <c r="A46" cm="1">
        <f t="array" ref="A46">ROWS(PRICEMAT(DATE(2008,2,15),DATE(2008,4,13),DATE(2007,11,11),0.061,0.061,0))</f>
        <v>1</v>
      </c>
      <c r="B46">
        <f t="shared" si="0"/>
        <v>0</v>
      </c>
      <c r="C46">
        <f t="shared" si="1"/>
        <v>1</v>
      </c>
      <c r="D46" t="str">
        <f t="shared" si="2"/>
        <v/>
      </c>
      <c r="E46" t="s">
        <v>80</v>
      </c>
    </row>
    <row r="47" spans="1:5" x14ac:dyDescent="0.2">
      <c r="A47" cm="1">
        <f t="array" ref="A47">INDEX(_xlfn.T.DIST.2T(1.959999998,1000),1,1)</f>
        <v>5.0273185189866454E-2</v>
      </c>
      <c r="B47">
        <f t="shared" si="0"/>
        <v>0</v>
      </c>
      <c r="C47">
        <f t="shared" si="1"/>
        <v>5.0273185189866454E-2</v>
      </c>
      <c r="D47" t="str">
        <f t="shared" si="2"/>
        <v/>
      </c>
      <c r="E47" t="s">
        <v>81</v>
      </c>
    </row>
    <row r="48" spans="1:5" x14ac:dyDescent="0.2">
      <c r="A48" t="e" cm="1">
        <f t="array" ref="A48">_xlfn.COVARIANCE.P(D!L1:N6,D!C1:C8)</f>
        <v>#N/A</v>
      </c>
      <c r="B48">
        <f t="shared" si="0"/>
        <v>7</v>
      </c>
      <c r="C48">
        <f t="shared" si="1"/>
        <v>0</v>
      </c>
      <c r="D48" t="str">
        <f t="shared" si="2"/>
        <v/>
      </c>
      <c r="E48" t="s">
        <v>82</v>
      </c>
    </row>
    <row r="49" spans="1:5" x14ac:dyDescent="0.2">
      <c r="A49" t="e" cm="1">
        <f t="array" ref="A49">ROWS(ATANH(YIELDDISC(0.25,DATE(2008,3,1),"?",100)))</f>
        <v>#VALUE!</v>
      </c>
      <c r="B49">
        <f t="shared" si="0"/>
        <v>3</v>
      </c>
      <c r="C49">
        <f t="shared" si="1"/>
        <v>0</v>
      </c>
      <c r="D49" t="str">
        <f t="shared" si="2"/>
        <v/>
      </c>
      <c r="E49" t="s">
        <v>83</v>
      </c>
    </row>
    <row r="50" spans="1:5" x14ac:dyDescent="0.2">
      <c r="A50" t="str" cm="1">
        <f t="array" ref="A50">IMSIN(D!C2)</f>
        <v>0.656986598718789</v>
      </c>
      <c r="B50">
        <f t="shared" si="0"/>
        <v>-3</v>
      </c>
      <c r="C50">
        <f t="shared" si="1"/>
        <v>0</v>
      </c>
      <c r="D50" t="str">
        <f t="shared" si="2"/>
        <v>0.656986598718789</v>
      </c>
      <c r="E50" t="s">
        <v>84</v>
      </c>
    </row>
    <row r="51" spans="1:5" x14ac:dyDescent="0.2">
      <c r="A51" t="e" cm="1" vm="3">
        <f t="array" aca="1" ref="A51" ca="1">BETADIST(2,8,"aBc",1,{2,"a";TRUE,#N/A}+0.25)</f>
        <v>#VALUE!</v>
      </c>
      <c r="B51">
        <f t="shared" ca="1" si="0"/>
        <v>9</v>
      </c>
      <c r="C51">
        <f t="shared" ca="1" si="1"/>
        <v>0</v>
      </c>
      <c r="D51" t="str">
        <f t="shared" ca="1" si="2"/>
        <v/>
      </c>
      <c r="E51" t="s">
        <v>85</v>
      </c>
    </row>
    <row r="52" spans="1:5" x14ac:dyDescent="0.2">
      <c r="A52" t="e" cm="1">
        <f t="array" ref="A52">_xlfn.RANK.EQ(_xlfn.RANK.EQ("2025-01-31 12:00",D!AW1:AW4),D!AW1:AW4,COUPNUM(DATE(2011,1,25),7,2,1))</f>
        <v>#N/A</v>
      </c>
      <c r="B52">
        <f t="shared" si="0"/>
        <v>7</v>
      </c>
      <c r="C52">
        <f t="shared" si="1"/>
        <v>0</v>
      </c>
      <c r="D52" t="str">
        <f t="shared" si="2"/>
        <v/>
      </c>
      <c r="E52" t="s">
        <v>86</v>
      </c>
    </row>
    <row r="53" spans="1:5" x14ac:dyDescent="0.2">
      <c r="A53" cm="1">
        <f t="array" ref="A53">WORKDAY(39722,3)</f>
        <v>39727</v>
      </c>
      <c r="B53">
        <f t="shared" si="0"/>
        <v>0</v>
      </c>
      <c r="C53">
        <f t="shared" si="1"/>
        <v>39727</v>
      </c>
      <c r="D53" t="str">
        <f t="shared" si="2"/>
        <v/>
      </c>
      <c r="E53" t="s">
        <v>87</v>
      </c>
    </row>
    <row r="54" spans="1:5" x14ac:dyDescent="0.2">
      <c r="A54" t="e" cm="1">
        <f t="array" ref="A54">_xlfn.PERCENTRANK.EXC(0.25,8)</f>
        <v>#N/A</v>
      </c>
      <c r="B54">
        <f t="shared" si="0"/>
        <v>7</v>
      </c>
      <c r="C54">
        <f t="shared" si="1"/>
        <v>0</v>
      </c>
      <c r="D54" t="str">
        <f t="shared" si="2"/>
        <v/>
      </c>
      <c r="E54" t="s">
        <v>88</v>
      </c>
    </row>
    <row r="55" spans="1:5" x14ac:dyDescent="0.2">
      <c r="A55" t="e" cm="1">
        <f t="array" ref="A55">DPRODUCT(D!L1:L6,"-4",D!B2:B3)</f>
        <v>#VALUE!</v>
      </c>
      <c r="B55">
        <f t="shared" si="0"/>
        <v>3</v>
      </c>
      <c r="C55">
        <f t="shared" si="1"/>
        <v>0</v>
      </c>
      <c r="D55" t="str">
        <f t="shared" si="2"/>
        <v/>
      </c>
      <c r="E55" t="s">
        <v>89</v>
      </c>
    </row>
    <row r="56" spans="1:5" x14ac:dyDescent="0.2">
      <c r="A56" cm="1">
        <f t="array" ref="A56">SIN(59)</f>
        <v>0.63673800713913786</v>
      </c>
      <c r="B56">
        <f t="shared" si="0"/>
        <v>0</v>
      </c>
      <c r="C56">
        <f t="shared" si="1"/>
        <v>0.63673800713913786</v>
      </c>
      <c r="D56" t="str">
        <f t="shared" si="2"/>
        <v/>
      </c>
      <c r="E56" t="s">
        <v>90</v>
      </c>
    </row>
    <row r="57" spans="1:5" x14ac:dyDescent="0.2">
      <c r="A57" t="e" cm="1">
        <f t="array" ref="A57">MATCH(5,D!M2,IMSIN("4+3i")-D!A9)</f>
        <v>#VALUE!</v>
      </c>
      <c r="B57">
        <f t="shared" si="0"/>
        <v>3</v>
      </c>
      <c r="C57">
        <f t="shared" si="1"/>
        <v>0</v>
      </c>
      <c r="D57" t="str">
        <f t="shared" si="2"/>
        <v/>
      </c>
      <c r="E57" t="s">
        <v>91</v>
      </c>
    </row>
    <row r="58" spans="1:5" x14ac:dyDescent="0.2">
      <c r="A58" t="e" cm="1">
        <f t="array" ref="A58">GEOMEAN(D!AV1:AV7,{1},D!M1:M6=WORKDAY(39722,151),_xlfn.WRAPCOLS(D!B1:B8,1))</f>
        <v>#NUM!</v>
      </c>
      <c r="B58">
        <f t="shared" si="0"/>
        <v>6</v>
      </c>
      <c r="C58">
        <f t="shared" si="1"/>
        <v>0</v>
      </c>
      <c r="D58" t="str">
        <f t="shared" si="2"/>
        <v/>
      </c>
      <c r="E58" t="s">
        <v>92</v>
      </c>
    </row>
    <row r="59" spans="1:5" x14ac:dyDescent="0.2">
      <c r="A59" t="str" cm="1">
        <f t="array" ref="A59">IMCOS("1+i")</f>
        <v>0.833730025131149-0.988897705762865i</v>
      </c>
      <c r="B59">
        <f t="shared" si="0"/>
        <v>-3</v>
      </c>
      <c r="C59">
        <f t="shared" si="1"/>
        <v>0</v>
      </c>
      <c r="D59" t="str">
        <f t="shared" si="2"/>
        <v>0.833730025131149-0.988897705762865i</v>
      </c>
      <c r="E59" t="s">
        <v>93</v>
      </c>
    </row>
    <row r="60" spans="1:5" x14ac:dyDescent="0.2">
      <c r="A60" t="e" cm="1">
        <f t="array" ref="A60">GEOMEAN(D!AV1:AV7,{1,2,3},D!N2,#NAME?)</f>
        <v>#NAME?</v>
      </c>
      <c r="B60">
        <f t="shared" si="0"/>
        <v>5</v>
      </c>
      <c r="C60">
        <f t="shared" si="1"/>
        <v>0</v>
      </c>
      <c r="D60" t="str">
        <f t="shared" si="2"/>
        <v/>
      </c>
      <c r="E60" t="s">
        <v>94</v>
      </c>
    </row>
    <row r="61" spans="1:5" x14ac:dyDescent="0.2">
      <c r="A61" t="e" cm="1">
        <f t="array" ref="A61">_xlfn.CHISQ.DIST(FV("2024-02-29",D!A3,-200),FALSE,TRUE)</f>
        <v>#VALUE!</v>
      </c>
      <c r="B61">
        <f t="shared" si="0"/>
        <v>3</v>
      </c>
      <c r="C61">
        <f t="shared" si="1"/>
        <v>0</v>
      </c>
      <c r="D61" t="str">
        <f t="shared" si="2"/>
        <v/>
      </c>
      <c r="E61" t="s">
        <v>95</v>
      </c>
    </row>
    <row r="62" spans="1:5" x14ac:dyDescent="0.2">
      <c r="A62" t="e" cm="1">
        <f t="array" ref="A62">_xlfn.TEXTJOIN(";",FALSE,RIGHT("FALSE",-1))</f>
        <v>#VALUE!</v>
      </c>
      <c r="B62">
        <f t="shared" si="0"/>
        <v>3</v>
      </c>
      <c r="C62">
        <f t="shared" si="1"/>
        <v>0</v>
      </c>
      <c r="D62" t="str">
        <f t="shared" si="2"/>
        <v/>
      </c>
      <c r="E62" t="s">
        <v>96</v>
      </c>
    </row>
    <row r="63" spans="1:5" x14ac:dyDescent="0.2">
      <c r="A63" t="e" cm="1">
        <f t="array" ref="A63">COLUMNS(LOOKUP(4.19,D!L1:L6,D!B1:C8&lt;&gt;45688.75))</f>
        <v>#N/A</v>
      </c>
      <c r="B63">
        <f t="shared" si="0"/>
        <v>7</v>
      </c>
      <c r="C63">
        <f t="shared" si="1"/>
        <v>0</v>
      </c>
      <c r="D63" t="str">
        <f t="shared" si="2"/>
        <v/>
      </c>
      <c r="E63" t="s">
        <v>97</v>
      </c>
    </row>
    <row r="64" spans="1:5" x14ac:dyDescent="0.2">
      <c r="A64" cm="1">
        <f t="array" ref="A64">_xlfn.CEILING.PRECISE(4.3)</f>
        <v>5</v>
      </c>
      <c r="B64">
        <f t="shared" si="0"/>
        <v>0</v>
      </c>
      <c r="C64">
        <f t="shared" si="1"/>
        <v>5</v>
      </c>
      <c r="D64" t="str">
        <f t="shared" si="2"/>
        <v/>
      </c>
      <c r="E64" t="s">
        <v>98</v>
      </c>
    </row>
    <row r="65" spans="1:5" x14ac:dyDescent="0.2">
      <c r="A65" cm="1">
        <f t="array" ref="A65">COLUMNS(PERCENTRANK(D!B1:B8,15))</f>
        <v>1</v>
      </c>
      <c r="B65">
        <f t="shared" ref="B65:B128" si="3">IF(ISERROR(A65),ERROR.TYPE(A65),IF(ISNUMBER(A65),0,IF(ISLOGICAL(A65),IF(A65,-1,-2),IF(ISTEXT(A65),-3,-4))))</f>
        <v>0</v>
      </c>
      <c r="C65">
        <f t="shared" ref="C65:C128" si="4">IF(ISNUMBER(A65),A65,0)</f>
        <v>1</v>
      </c>
      <c r="D65" t="str">
        <f t="shared" ref="D65:D128" si="5">IF(ISTEXT(A65),A65,"")</f>
        <v/>
      </c>
      <c r="E65" t="s">
        <v>99</v>
      </c>
    </row>
    <row r="66" spans="1:5" x14ac:dyDescent="0.2">
      <c r="A66" cm="1">
        <f t="array" ref="A66">PROB(D!AH1:AH4,D!AI1:AI4,2)</f>
        <v>0.1</v>
      </c>
      <c r="B66">
        <f t="shared" si="3"/>
        <v>0</v>
      </c>
      <c r="C66">
        <f t="shared" si="4"/>
        <v>0.1</v>
      </c>
      <c r="D66" t="str">
        <f t="shared" si="5"/>
        <v/>
      </c>
      <c r="E66" t="s">
        <v>100</v>
      </c>
    </row>
    <row r="67" spans="1:5" x14ac:dyDescent="0.2">
      <c r="A67" t="e" cm="1">
        <f t="array" ref="A67">SYD(-DCOUNTA(D!K1:K8,"Yield",D!AY1:AY5)%&lt;=_xlfn.ISOWEEKNUM(40977),7500,COUNTA(D!M1:M6),1)</f>
        <v>#VALUE!</v>
      </c>
      <c r="B67">
        <f t="shared" si="3"/>
        <v>3</v>
      </c>
      <c r="C67">
        <f t="shared" si="4"/>
        <v>0</v>
      </c>
      <c r="D67" t="str">
        <f t="shared" si="5"/>
        <v/>
      </c>
      <c r="E67" t="s">
        <v>101</v>
      </c>
    </row>
    <row r="68" spans="1:5" x14ac:dyDescent="0.2">
      <c r="A68" cm="1">
        <f t="array" ref="A68">_xlfn.WEIBULL.DIST(105,D!B3,"$1,000",TRUE)-STDEVPA(D!AS1:AS8,D!A1:A5,-1)</f>
        <v>-1.0658774200423839</v>
      </c>
      <c r="B68">
        <f t="shared" si="3"/>
        <v>0</v>
      </c>
      <c r="C68">
        <f t="shared" si="4"/>
        <v>-1.0658774200423839</v>
      </c>
      <c r="D68" t="str">
        <f t="shared" si="5"/>
        <v/>
      </c>
      <c r="E68" t="s">
        <v>102</v>
      </c>
    </row>
    <row r="69" spans="1:5" x14ac:dyDescent="0.2">
      <c r="A69" t="str" cm="1">
        <f t="array" ref="A69">_xlfn.TEXTJOIN(";",FALSE,_xlfn.SEC(45))</f>
        <v>1.90359440740442</v>
      </c>
      <c r="B69">
        <f t="shared" si="3"/>
        <v>-3</v>
      </c>
      <c r="C69">
        <f t="shared" si="4"/>
        <v>0</v>
      </c>
      <c r="D69" t="str">
        <f t="shared" si="5"/>
        <v>1.90359440740442</v>
      </c>
      <c r="E69" t="s">
        <v>103</v>
      </c>
    </row>
    <row r="70" spans="1:5" x14ac:dyDescent="0.2">
      <c r="A70" t="str" cm="1">
        <f t="array" ref="A70">RIGHT(FALSE,1)</f>
        <v>E</v>
      </c>
      <c r="B70">
        <f t="shared" si="3"/>
        <v>-3</v>
      </c>
      <c r="C70">
        <f t="shared" si="4"/>
        <v>0</v>
      </c>
      <c r="D70" t="str">
        <f t="shared" si="5"/>
        <v>E</v>
      </c>
      <c r="E70" t="s">
        <v>104</v>
      </c>
    </row>
    <row r="71" spans="1:5" x14ac:dyDescent="0.2">
      <c r="A71" t="e" cm="1">
        <f t="array" ref="A71">_xlfn.PERCENTILE.EXC({1,2,3},SIGN(-1.5))</f>
        <v>#NUM!</v>
      </c>
      <c r="B71">
        <f t="shared" si="3"/>
        <v>6</v>
      </c>
      <c r="C71">
        <f t="shared" si="4"/>
        <v>0</v>
      </c>
      <c r="D71" t="str">
        <f t="shared" si="5"/>
        <v/>
      </c>
      <c r="E71" t="s">
        <v>105</v>
      </c>
    </row>
    <row r="72" spans="1:5" x14ac:dyDescent="0.2">
      <c r="A72" t="e" cm="1">
        <f t="array" ref="A72">KURT(MAX(D!B1:B8,_xlfn.GAMMA.DIST(D!A12,"1/2/2025",D!A4,FALSE),_xlfn.TOCOL(D!P4:R5),D!AY1:AY5))</f>
        <v>#DIV/0!</v>
      </c>
      <c r="B72">
        <f t="shared" si="3"/>
        <v>2</v>
      </c>
      <c r="C72">
        <f t="shared" si="4"/>
        <v>0</v>
      </c>
      <c r="D72" t="str">
        <f t="shared" si="5"/>
        <v/>
      </c>
      <c r="E72" t="s">
        <v>106</v>
      </c>
    </row>
    <row r="73" spans="1:5" x14ac:dyDescent="0.2">
      <c r="A73" cm="1">
        <f t="array" ref="A73">COLUMNS(BESSELI(1.5,2))</f>
        <v>1</v>
      </c>
      <c r="B73">
        <f t="shared" si="3"/>
        <v>0</v>
      </c>
      <c r="C73">
        <f t="shared" si="4"/>
        <v>1</v>
      </c>
      <c r="D73" t="str">
        <f t="shared" si="5"/>
        <v/>
      </c>
      <c r="E73" t="s">
        <v>107</v>
      </c>
    </row>
    <row r="74" spans="1:5" x14ac:dyDescent="0.2">
      <c r="A74" t="e" cm="1" vm="4">
        <f t="array" aca="1" ref="A74" ca="1">EXACT(D!A1:A5,"word")</f>
        <v>#VALUE!</v>
      </c>
      <c r="B74">
        <f t="shared" ca="1" si="3"/>
        <v>9</v>
      </c>
      <c r="C74">
        <f t="shared" ca="1" si="4"/>
        <v>0</v>
      </c>
      <c r="D74" t="str">
        <f t="shared" ca="1" si="5"/>
        <v/>
      </c>
      <c r="E74" t="s">
        <v>108</v>
      </c>
    </row>
    <row r="75" spans="1:5" x14ac:dyDescent="0.2">
      <c r="A75" cm="1">
        <f t="array" ref="A75">DEVSQ(OCT2DEC(D!C2),D!AW1:AW4,FREQUENCY(D!B1:B8,D!AT1:AT3),10)</f>
        <v>62.833333333333329</v>
      </c>
      <c r="B75">
        <f t="shared" si="3"/>
        <v>0</v>
      </c>
      <c r="C75">
        <f t="shared" si="4"/>
        <v>62.833333333333329</v>
      </c>
      <c r="D75" t="str">
        <f t="shared" si="5"/>
        <v/>
      </c>
      <c r="E75" t="s">
        <v>109</v>
      </c>
    </row>
    <row r="76" spans="1:5" x14ac:dyDescent="0.2">
      <c r="A76" t="e" cm="1">
        <f t="array" ref="A76">DEC2OCT(D!A9)</f>
        <v>#VALUE!</v>
      </c>
      <c r="B76">
        <f t="shared" si="3"/>
        <v>3</v>
      </c>
      <c r="C76">
        <f t="shared" si="4"/>
        <v>0</v>
      </c>
      <c r="D76" t="str">
        <f t="shared" si="5"/>
        <v/>
      </c>
      <c r="E76" t="s">
        <v>110</v>
      </c>
    </row>
    <row r="77" spans="1:5" x14ac:dyDescent="0.2">
      <c r="A77" cm="1">
        <f t="array" ref="A77">COSH(7)</f>
        <v>548.31703515521201</v>
      </c>
      <c r="B77">
        <f t="shared" si="3"/>
        <v>0</v>
      </c>
      <c r="C77">
        <f t="shared" si="4"/>
        <v>548.31703515521201</v>
      </c>
      <c r="D77" t="str">
        <f t="shared" si="5"/>
        <v/>
      </c>
      <c r="E77" t="s">
        <v>111</v>
      </c>
    </row>
    <row r="78" spans="1:5" x14ac:dyDescent="0.2">
      <c r="A78" t="str" cm="1">
        <f t="array" ref="A78">_xlfn.SWITCH(D!A10,1,"?",2,"two",D!A2)</f>
        <v>2</v>
      </c>
      <c r="B78">
        <f t="shared" si="3"/>
        <v>-3</v>
      </c>
      <c r="C78">
        <f t="shared" si="4"/>
        <v>0</v>
      </c>
      <c r="D78" t="str">
        <f t="shared" si="5"/>
        <v>2</v>
      </c>
      <c r="E78" t="s">
        <v>112</v>
      </c>
    </row>
    <row r="79" spans="1:5" x14ac:dyDescent="0.2">
      <c r="A79" t="e" cm="1">
        <f t="array" ref="A79">PROB(D!AH1:AH4,2.5,100)</f>
        <v>#N/A</v>
      </c>
      <c r="B79">
        <f t="shared" si="3"/>
        <v>7</v>
      </c>
      <c r="C79">
        <f t="shared" si="4"/>
        <v>0</v>
      </c>
      <c r="D79" t="str">
        <f t="shared" si="5"/>
        <v/>
      </c>
      <c r="E79" t="s">
        <v>113</v>
      </c>
    </row>
    <row r="80" spans="1:5" x14ac:dyDescent="0.2">
      <c r="A80" t="e" cm="1">
        <f t="array" ref="A80">IMSUM(D!M1:N6,D!N1:N6)</f>
        <v>#NUM!</v>
      </c>
      <c r="B80">
        <f t="shared" si="3"/>
        <v>6</v>
      </c>
      <c r="C80">
        <f t="shared" si="4"/>
        <v>0</v>
      </c>
      <c r="D80" t="str">
        <f t="shared" si="5"/>
        <v/>
      </c>
      <c r="E80" t="s">
        <v>114</v>
      </c>
    </row>
    <row r="81" spans="1:5" x14ac:dyDescent="0.2">
      <c r="A81" cm="1">
        <f t="array" ref="A81">ROWS(_xlfn._xlws.SORT(D!P4:R5))</f>
        <v>2</v>
      </c>
      <c r="B81">
        <f t="shared" si="3"/>
        <v>0</v>
      </c>
      <c r="C81">
        <f t="shared" si="4"/>
        <v>2</v>
      </c>
      <c r="D81" t="str">
        <f t="shared" si="5"/>
        <v/>
      </c>
      <c r="E81" t="s">
        <v>115</v>
      </c>
    </row>
    <row r="82" spans="1:5" x14ac:dyDescent="0.2">
      <c r="A82" cm="1">
        <f t="array" ref="A82">_xlfn.CEILING.MATH(0.5)</f>
        <v>1</v>
      </c>
      <c r="B82">
        <f t="shared" si="3"/>
        <v>0</v>
      </c>
      <c r="C82">
        <f t="shared" si="4"/>
        <v>1</v>
      </c>
      <c r="D82" t="str">
        <f t="shared" si="5"/>
        <v/>
      </c>
      <c r="E82" t="s">
        <v>116</v>
      </c>
    </row>
    <row r="83" spans="1:5" x14ac:dyDescent="0.2">
      <c r="A83" t="b" cm="1">
        <f t="array" ref="A83">SUMIF(D!C1:C8,"&gt;4")&lt;&gt;IMLOG10("3+4i")</f>
        <v>1</v>
      </c>
      <c r="B83">
        <f t="shared" si="3"/>
        <v>-1</v>
      </c>
      <c r="C83">
        <f t="shared" si="4"/>
        <v>0</v>
      </c>
      <c r="D83" t="str">
        <f t="shared" si="5"/>
        <v/>
      </c>
      <c r="E83" t="s">
        <v>117</v>
      </c>
    </row>
    <row r="84" spans="1:5" x14ac:dyDescent="0.2">
      <c r="A84" t="e" cm="1">
        <f t="array" ref="A84">COLUMNS(ODDFYIELD(DATE(2008,11,11),DDB(2400,FALSE(),D!M2,LOWER("E. E. Cummings")),10,D!B3,0.0575,84.5,D!N2,"Привет",0))</f>
        <v>#VALUE!</v>
      </c>
      <c r="B84">
        <f t="shared" si="3"/>
        <v>3</v>
      </c>
      <c r="C84">
        <f t="shared" si="4"/>
        <v>0</v>
      </c>
      <c r="D84" t="str">
        <f t="shared" si="5"/>
        <v/>
      </c>
      <c r="E84" t="s">
        <v>118</v>
      </c>
    </row>
    <row r="85" spans="1:5" x14ac:dyDescent="0.2">
      <c r="A85" t="str" cm="1">
        <f t="array" ref="A85">CHOOSE(2,"a","b","c")</f>
        <v>b</v>
      </c>
      <c r="B85">
        <f t="shared" si="3"/>
        <v>-3</v>
      </c>
      <c r="C85">
        <f t="shared" si="4"/>
        <v>0</v>
      </c>
      <c r="D85" t="str">
        <f t="shared" si="5"/>
        <v>b</v>
      </c>
      <c r="E85" t="s">
        <v>119</v>
      </c>
    </row>
    <row r="86" spans="1:5" x14ac:dyDescent="0.2">
      <c r="A86" t="e" cm="1">
        <f t="array" ref="A86">COLUMNS(_xlfn.T.DIST.RT(1.959999998,#DIV/0!))</f>
        <v>#DIV/0!</v>
      </c>
      <c r="B86">
        <f t="shared" si="3"/>
        <v>2</v>
      </c>
      <c r="C86">
        <f t="shared" si="4"/>
        <v>0</v>
      </c>
      <c r="D86" t="str">
        <f t="shared" si="5"/>
        <v/>
      </c>
      <c r="E86" t="s">
        <v>120</v>
      </c>
    </row>
    <row r="87" spans="1:5" x14ac:dyDescent="0.2">
      <c r="A87" t="e" cm="1">
        <f t="array" ref="A87">_xlfn.F.TEST(D!B1:B8,TRUE)</f>
        <v>#DIV/0!</v>
      </c>
      <c r="B87">
        <f t="shared" si="3"/>
        <v>2</v>
      </c>
      <c r="C87">
        <f t="shared" si="4"/>
        <v>0</v>
      </c>
      <c r="D87" t="str">
        <f t="shared" si="5"/>
        <v/>
      </c>
      <c r="E87" t="s">
        <v>121</v>
      </c>
    </row>
    <row r="88" spans="1:5" x14ac:dyDescent="0.2">
      <c r="A88" t="e" cm="1">
        <f t="array" ref="A88">SUM(CONVERT(D!A1,D!M2,"kg"))</f>
        <v>#N/A</v>
      </c>
      <c r="B88">
        <f t="shared" si="3"/>
        <v>7</v>
      </c>
      <c r="C88">
        <f t="shared" si="4"/>
        <v>0</v>
      </c>
      <c r="D88" t="str">
        <f t="shared" si="5"/>
        <v/>
      </c>
      <c r="E88" t="s">
        <v>122</v>
      </c>
    </row>
    <row r="89" spans="1:5" x14ac:dyDescent="0.2">
      <c r="A89" t="e" cm="1">
        <f t="array" ref="A89">POWER(5,2)*GESTEP(D!A12,PERCENTRANK(D!A8,_xlfn.BETA.INV(0.685470581,"x y",10,1,4)))</f>
        <v>#VALUE!</v>
      </c>
      <c r="B89">
        <f t="shared" si="3"/>
        <v>3</v>
      </c>
      <c r="C89">
        <f t="shared" si="4"/>
        <v>0</v>
      </c>
      <c r="D89" t="str">
        <f t="shared" si="5"/>
        <v/>
      </c>
      <c r="E89" t="s">
        <v>123</v>
      </c>
    </row>
    <row r="90" spans="1:5" x14ac:dyDescent="0.2">
      <c r="A90" t="e" cm="1">
        <f t="array" ref="A90">LOGINV(1,2.5,1.2)</f>
        <v>#NUM!</v>
      </c>
      <c r="B90">
        <f t="shared" si="3"/>
        <v>6</v>
      </c>
      <c r="C90">
        <f t="shared" si="4"/>
        <v>0</v>
      </c>
      <c r="D90" t="str">
        <f t="shared" si="5"/>
        <v/>
      </c>
      <c r="E90" t="s">
        <v>124</v>
      </c>
    </row>
    <row r="91" spans="1:5" x14ac:dyDescent="0.2">
      <c r="A91" t="e" cm="1">
        <f t="array" ref="A91">LCM({"a","b"},2)</f>
        <v>#VALUE!</v>
      </c>
      <c r="B91">
        <f t="shared" si="3"/>
        <v>3</v>
      </c>
      <c r="C91">
        <f t="shared" si="4"/>
        <v>0</v>
      </c>
      <c r="D91" t="str">
        <f t="shared" si="5"/>
        <v/>
      </c>
      <c r="E91" t="s">
        <v>125</v>
      </c>
    </row>
    <row r="92" spans="1:5" x14ac:dyDescent="0.2">
      <c r="A92" t="e" cm="1">
        <f t="array" ref="A92">MIRR(D!I1:I5,2,ROMAN(1,0))&lt;_xlfn.WRAPCOLS(D!B1:B8,0)</f>
        <v>#VALUE!</v>
      </c>
      <c r="B92">
        <f t="shared" si="3"/>
        <v>3</v>
      </c>
      <c r="C92">
        <f t="shared" si="4"/>
        <v>0</v>
      </c>
      <c r="D92" t="str">
        <f t="shared" si="5"/>
        <v/>
      </c>
      <c r="E92" t="s">
        <v>126</v>
      </c>
    </row>
    <row r="93" spans="1:5" x14ac:dyDescent="0.2">
      <c r="A93" cm="1">
        <f t="array" ref="A93">LCM(5,2)</f>
        <v>10</v>
      </c>
      <c r="B93">
        <f t="shared" si="3"/>
        <v>0</v>
      </c>
      <c r="C93">
        <f t="shared" si="4"/>
        <v>10</v>
      </c>
      <c r="D93" t="str">
        <f t="shared" si="5"/>
        <v/>
      </c>
      <c r="E93" t="s">
        <v>127</v>
      </c>
    </row>
    <row r="94" spans="1:5" x14ac:dyDescent="0.2">
      <c r="A94" cm="1">
        <f t="array" ref="A94">SUM(ATAN(1))</f>
        <v>0.78539816339744828</v>
      </c>
      <c r="B94">
        <f t="shared" si="3"/>
        <v>0</v>
      </c>
      <c r="C94">
        <f t="shared" si="4"/>
        <v>0.78539816339744828</v>
      </c>
      <c r="D94" t="str">
        <f t="shared" si="5"/>
        <v/>
      </c>
      <c r="E94" t="s">
        <v>128</v>
      </c>
    </row>
    <row r="95" spans="1:5" x14ac:dyDescent="0.2">
      <c r="A95" t="e" cm="1">
        <f t="array" ref="A95">TBILLPRICE(7,"A","x y")</f>
        <v>#VALUE!</v>
      </c>
      <c r="B95">
        <f t="shared" si="3"/>
        <v>3</v>
      </c>
      <c r="C95">
        <f t="shared" si="4"/>
        <v>0</v>
      </c>
      <c r="D95" t="str">
        <f t="shared" si="5"/>
        <v/>
      </c>
      <c r="E95" t="s">
        <v>129</v>
      </c>
    </row>
    <row r="96" spans="1:5" x14ac:dyDescent="0.2">
      <c r="A96" t="e" cm="1">
        <f t="array" ref="A96">_xlfn.IMSINH(45688.75)&gt;=_xlfn.ACOT(2)</f>
        <v>#NUM!</v>
      </c>
      <c r="B96">
        <f t="shared" si="3"/>
        <v>6</v>
      </c>
      <c r="C96">
        <f t="shared" si="4"/>
        <v>0</v>
      </c>
      <c r="D96" t="str">
        <f t="shared" si="5"/>
        <v/>
      </c>
      <c r="E96" t="s">
        <v>130</v>
      </c>
    </row>
    <row r="97" spans="1:5" x14ac:dyDescent="0.2">
      <c r="A97" t="e" cm="1">
        <f t="array" ref="A97">LOGEST(D!BB1:BB6,{1,2,3})</f>
        <v>#REF!</v>
      </c>
      <c r="B97">
        <f t="shared" si="3"/>
        <v>4</v>
      </c>
      <c r="C97">
        <f t="shared" si="4"/>
        <v>0</v>
      </c>
      <c r="D97" t="str">
        <f t="shared" si="5"/>
        <v/>
      </c>
      <c r="E97" t="s">
        <v>131</v>
      </c>
    </row>
    <row r="98" spans="1:5" x14ac:dyDescent="0.2">
      <c r="A98" t="str" cm="1">
        <f t="array" ref="A98">_xlfn.ARRAYTOTEXT(D!L1:N2,0)</f>
        <v>1, one, 10, 2, two, 20</v>
      </c>
      <c r="B98">
        <f t="shared" si="3"/>
        <v>-3</v>
      </c>
      <c r="C98">
        <f t="shared" si="4"/>
        <v>0</v>
      </c>
      <c r="D98" t="str">
        <f t="shared" si="5"/>
        <v>1, one, 10, 2, two, 20</v>
      </c>
      <c r="E98" t="s">
        <v>132</v>
      </c>
    </row>
    <row r="99" spans="1:5" x14ac:dyDescent="0.2">
      <c r="A99" cm="1">
        <f t="array" ref="A99">MINA(D!B1:B8)</f>
        <v>-3.5</v>
      </c>
      <c r="B99">
        <f t="shared" si="3"/>
        <v>0</v>
      </c>
      <c r="C99">
        <f t="shared" si="4"/>
        <v>-3.5</v>
      </c>
      <c r="D99" t="str">
        <f t="shared" si="5"/>
        <v/>
      </c>
      <c r="E99" t="s">
        <v>133</v>
      </c>
    </row>
    <row r="100" spans="1:5" x14ac:dyDescent="0.2">
      <c r="A100" t="e" cm="1" vm="4">
        <f t="array" aca="1" ref="A100" ca="1">SQRTPI(D!A10&lt;_xlfn.UNIQUE(D!AS1:AS8))</f>
        <v>#VALUE!</v>
      </c>
      <c r="B100">
        <f t="shared" ca="1" si="3"/>
        <v>9</v>
      </c>
      <c r="C100">
        <f t="shared" ca="1" si="4"/>
        <v>0</v>
      </c>
      <c r="D100" t="str">
        <f t="shared" ca="1" si="5"/>
        <v/>
      </c>
      <c r="E100" t="s">
        <v>134</v>
      </c>
    </row>
    <row r="101" spans="1:5" x14ac:dyDescent="0.2">
      <c r="A101" t="e" cm="1">
        <f t="array" ref="A101">BETAINV(0.685470581,8,LN(-1),0.25,3)</f>
        <v>#NUM!</v>
      </c>
      <c r="B101">
        <f t="shared" si="3"/>
        <v>6</v>
      </c>
      <c r="C101">
        <f t="shared" si="4"/>
        <v>0</v>
      </c>
      <c r="D101" t="str">
        <f t="shared" si="5"/>
        <v/>
      </c>
      <c r="E101" t="s">
        <v>135</v>
      </c>
    </row>
    <row r="102" spans="1:5" x14ac:dyDescent="0.2">
      <c r="A102" t="e" cm="1" vm="5">
        <f t="array" aca="1" ref="A102" ca="1">_xlfn.TAKE({1,2,3},1)</f>
        <v>#VALUE!</v>
      </c>
      <c r="B102">
        <f t="shared" ca="1" si="3"/>
        <v>9</v>
      </c>
      <c r="C102">
        <f t="shared" ca="1" si="4"/>
        <v>0</v>
      </c>
      <c r="D102" t="str">
        <f t="shared" ca="1" si="5"/>
        <v/>
      </c>
      <c r="E102" t="s">
        <v>136</v>
      </c>
    </row>
    <row r="103" spans="1:5" x14ac:dyDescent="0.2">
      <c r="A103" t="e" cm="1" vm="3">
        <f t="array" aca="1" ref="A103" ca="1">DATE(2025,1,#NAME?)&gt;MINVERSE(D!P1:Q2)</f>
        <v>#VALUE!</v>
      </c>
      <c r="B103">
        <f t="shared" ca="1" si="3"/>
        <v>9</v>
      </c>
      <c r="C103">
        <f t="shared" ca="1" si="4"/>
        <v>0</v>
      </c>
      <c r="D103" t="str">
        <f t="shared" ca="1" si="5"/>
        <v/>
      </c>
      <c r="E103" t="s">
        <v>137</v>
      </c>
    </row>
    <row r="104" spans="1:5" x14ac:dyDescent="0.2">
      <c r="A104" cm="1">
        <f t="array" ref="A104">FISHERINV(0.972955)-CHITEST(D!AK1:AL3,D!AM1:AN3)</f>
        <v>0.74969177537714016</v>
      </c>
      <c r="B104">
        <f t="shared" si="3"/>
        <v>0</v>
      </c>
      <c r="C104">
        <f t="shared" si="4"/>
        <v>0.74969177537714016</v>
      </c>
      <c r="D104" t="str">
        <f t="shared" si="5"/>
        <v/>
      </c>
      <c r="E104" t="s">
        <v>138</v>
      </c>
    </row>
    <row r="105" spans="1:5" x14ac:dyDescent="0.2">
      <c r="A105" t="e" cm="1">
        <f t="array" ref="A105">EXPONDIST(0.2,-1.5,EDATE(40558,1000))</f>
        <v>#NUM!</v>
      </c>
      <c r="B105">
        <f t="shared" si="3"/>
        <v>6</v>
      </c>
      <c r="C105">
        <f t="shared" si="4"/>
        <v>0</v>
      </c>
      <c r="D105" t="str">
        <f t="shared" si="5"/>
        <v/>
      </c>
      <c r="E105" t="s">
        <v>139</v>
      </c>
    </row>
    <row r="106" spans="1:5" x14ac:dyDescent="0.2">
      <c r="A106" cm="1">
        <f t="array" ref="A106">YEARFRAC(40909,D!C2,4)</f>
        <v>111.98333333333333</v>
      </c>
      <c r="B106">
        <f t="shared" si="3"/>
        <v>0</v>
      </c>
      <c r="C106">
        <f t="shared" si="4"/>
        <v>111.98333333333333</v>
      </c>
      <c r="D106" t="str">
        <f t="shared" si="5"/>
        <v/>
      </c>
      <c r="E106" t="s">
        <v>140</v>
      </c>
    </row>
    <row r="107" spans="1:5" x14ac:dyDescent="0.2">
      <c r="A107" cm="1">
        <f t="array" ref="A107">GAMMADIST(D!A12,9,"31-Jan-2025",TRUE)</f>
        <v>0</v>
      </c>
      <c r="B107">
        <f t="shared" si="3"/>
        <v>0</v>
      </c>
      <c r="C107">
        <f t="shared" si="4"/>
        <v>0</v>
      </c>
      <c r="D107" t="str">
        <f t="shared" si="5"/>
        <v/>
      </c>
      <c r="E107" t="s">
        <v>141</v>
      </c>
    </row>
    <row r="108" spans="1:5" x14ac:dyDescent="0.2">
      <c r="A108" t="b" cm="1">
        <f t="array" ref="A108">OR(D!I1:I5,TRUE)</f>
        <v>1</v>
      </c>
      <c r="B108">
        <f t="shared" si="3"/>
        <v>-1</v>
      </c>
      <c r="C108">
        <f t="shared" si="4"/>
        <v>0</v>
      </c>
      <c r="D108" t="str">
        <f t="shared" si="5"/>
        <v/>
      </c>
      <c r="E108" t="s">
        <v>142</v>
      </c>
    </row>
    <row r="109" spans="1:5" x14ac:dyDescent="0.2">
      <c r="A109" t="e" cm="1">
        <f t="array" ref="A109">IMSQRT(ATAN2(1,D!A3))</f>
        <v>#VALUE!</v>
      </c>
      <c r="B109">
        <f t="shared" si="3"/>
        <v>3</v>
      </c>
      <c r="C109">
        <f t="shared" si="4"/>
        <v>0</v>
      </c>
      <c r="D109" t="str">
        <f t="shared" si="5"/>
        <v/>
      </c>
      <c r="E109" t="s">
        <v>143</v>
      </c>
    </row>
    <row r="110" spans="1:5" x14ac:dyDescent="0.2">
      <c r="A110" cm="1">
        <f t="array" ref="A110">COLUMN(D!F1:F7)*NETWORKDAYS.INTL(38718,38748)</f>
        <v>132</v>
      </c>
      <c r="B110">
        <f t="shared" si="3"/>
        <v>0</v>
      </c>
      <c r="C110">
        <f t="shared" si="4"/>
        <v>132</v>
      </c>
      <c r="D110" t="str">
        <f t="shared" si="5"/>
        <v/>
      </c>
      <c r="E110" t="s">
        <v>144</v>
      </c>
    </row>
    <row r="111" spans="1:5" x14ac:dyDescent="0.2">
      <c r="A111" t="e" cm="1">
        <f t="array" ref="A111">TRUE()/QUOTIENT(D!L4,_xlfn.IMCSC("4+3i"))</f>
        <v>#VALUE!</v>
      </c>
      <c r="B111">
        <f t="shared" si="3"/>
        <v>3</v>
      </c>
      <c r="C111">
        <f t="shared" si="4"/>
        <v>0</v>
      </c>
      <c r="D111" t="str">
        <f t="shared" si="5"/>
        <v/>
      </c>
      <c r="E111" t="s">
        <v>145</v>
      </c>
    </row>
    <row r="112" spans="1:5" x14ac:dyDescent="0.2">
      <c r="A112" t="e" cm="1">
        <f t="array" ref="A112">SUM(_xlfn.FORECAST.LINEAR(30,COUNTIFS(D!AV1:AV7,D!A10),D!AZ1:AZ5))</f>
        <v>#N/A</v>
      </c>
      <c r="B112">
        <f t="shared" si="3"/>
        <v>7</v>
      </c>
      <c r="C112">
        <f t="shared" si="4"/>
        <v>0</v>
      </c>
      <c r="D112" t="str">
        <f t="shared" si="5"/>
        <v/>
      </c>
      <c r="E112" t="s">
        <v>146</v>
      </c>
    </row>
    <row r="113" spans="1:5" x14ac:dyDescent="0.2">
      <c r="A113" t="e" cm="1">
        <f t="array" ref="A113">_xlfn.BITLSHIFT(0.25,D!A15)</f>
        <v>#NUM!</v>
      </c>
      <c r="B113">
        <f t="shared" si="3"/>
        <v>6</v>
      </c>
      <c r="C113">
        <f t="shared" si="4"/>
        <v>0</v>
      </c>
      <c r="D113" t="str">
        <f t="shared" si="5"/>
        <v/>
      </c>
      <c r="E113" t="s">
        <v>147</v>
      </c>
    </row>
    <row r="114" spans="1:5" x14ac:dyDescent="0.2">
      <c r="A114" t="e" cm="1">
        <f t="array" ref="A114">COSH(_xlfn.BETA.DIST(2.5,0.5,10,TRUE,-1))</f>
        <v>#NUM!</v>
      </c>
      <c r="B114">
        <f t="shared" si="3"/>
        <v>6</v>
      </c>
      <c r="C114">
        <f t="shared" si="4"/>
        <v>0</v>
      </c>
      <c r="D114" t="str">
        <f t="shared" si="5"/>
        <v/>
      </c>
      <c r="E114" t="s">
        <v>148</v>
      </c>
    </row>
    <row r="115" spans="1:5" x14ac:dyDescent="0.2">
      <c r="A115" cm="1">
        <f t="array" ref="A115">RATE(1000%&lt;_xlfn.TEXTBEFORE("a-b-c","-"),-200,"1.5")</f>
        <v>132.33333333333331</v>
      </c>
      <c r="B115">
        <f t="shared" si="3"/>
        <v>0</v>
      </c>
      <c r="C115">
        <f t="shared" si="4"/>
        <v>132.33333333333331</v>
      </c>
      <c r="D115" t="str">
        <f t="shared" si="5"/>
        <v/>
      </c>
      <c r="E115" t="s">
        <v>149</v>
      </c>
    </row>
    <row r="116" spans="1:5" x14ac:dyDescent="0.2">
      <c r="A116" cm="1">
        <f t="array" ref="A116">_xlfn.MUNIT(1)</f>
        <v>1</v>
      </c>
      <c r="B116">
        <f t="shared" si="3"/>
        <v>0</v>
      </c>
      <c r="C116">
        <f t="shared" si="4"/>
        <v>1</v>
      </c>
      <c r="D116" t="str">
        <f t="shared" si="5"/>
        <v/>
      </c>
      <c r="E116" t="s">
        <v>150</v>
      </c>
    </row>
    <row r="117" spans="1:5" x14ac:dyDescent="0.2">
      <c r="A117" t="e" cm="1">
        <f t="array" ref="A117">SUMXMY2(D!B1:B8,D!AY1:AY5)</f>
        <v>#N/A</v>
      </c>
      <c r="B117">
        <f t="shared" si="3"/>
        <v>7</v>
      </c>
      <c r="C117">
        <f t="shared" si="4"/>
        <v>0</v>
      </c>
      <c r="D117" t="str">
        <f t="shared" si="5"/>
        <v/>
      </c>
      <c r="E117" t="s">
        <v>151</v>
      </c>
    </row>
    <row r="118" spans="1:5" x14ac:dyDescent="0.2">
      <c r="A118" cm="1">
        <f t="array" ref="A118">COLUMNS(BINOMDIST(6,10,0.5,FALSE))</f>
        <v>1</v>
      </c>
      <c r="B118">
        <f t="shared" si="3"/>
        <v>0</v>
      </c>
      <c r="C118">
        <f t="shared" si="4"/>
        <v>1</v>
      </c>
      <c r="D118" t="str">
        <f t="shared" si="5"/>
        <v/>
      </c>
      <c r="E118" t="s">
        <v>152</v>
      </c>
    </row>
    <row r="119" spans="1:5" x14ac:dyDescent="0.2">
      <c r="A119" t="e" cm="1">
        <f t="array" ref="A119">ODDFPRICE(DATE(2008,11,11),DATE(2021,3,1),DATE(2008,10,15),D!A5,D!N2,61,100,D!F1,1)</f>
        <v>#VALUE!</v>
      </c>
      <c r="B119">
        <f t="shared" si="3"/>
        <v>3</v>
      </c>
      <c r="C119">
        <f t="shared" si="4"/>
        <v>0</v>
      </c>
      <c r="D119" t="str">
        <f t="shared" si="5"/>
        <v/>
      </c>
      <c r="E119" t="s">
        <v>153</v>
      </c>
    </row>
    <row r="120" spans="1:5" x14ac:dyDescent="0.2">
      <c r="A120" t="e" cm="1">
        <f t="array" ref="A120">TBILLPRICE(D!B2:B3,39600,0.09)</f>
        <v>#VALUE!</v>
      </c>
      <c r="B120">
        <f t="shared" si="3"/>
        <v>3</v>
      </c>
      <c r="C120">
        <f t="shared" si="4"/>
        <v>0</v>
      </c>
      <c r="D120" t="str">
        <f t="shared" si="5"/>
        <v/>
      </c>
      <c r="E120" t="s">
        <v>154</v>
      </c>
    </row>
    <row r="121" spans="1:5" x14ac:dyDescent="0.2">
      <c r="A121" t="e" cm="1">
        <f t="array" ref="A121">_xlfn.BETA.DIST(2,8,LOGINV(0,3.5,1.2),TRUE,#VALUE!,3)</f>
        <v>#NUM!</v>
      </c>
      <c r="B121">
        <f t="shared" si="3"/>
        <v>6</v>
      </c>
      <c r="C121">
        <f t="shared" si="4"/>
        <v>0</v>
      </c>
      <c r="D121" t="str">
        <f t="shared" si="5"/>
        <v/>
      </c>
      <c r="E121" t="s">
        <v>155</v>
      </c>
    </row>
    <row r="122" spans="1:5" x14ac:dyDescent="0.2">
      <c r="A122" cm="1">
        <f t="array" ref="A122">ROWS(LARGE(D!B1:B8,3))</f>
        <v>1</v>
      </c>
      <c r="B122">
        <f t="shared" si="3"/>
        <v>0</v>
      </c>
      <c r="C122">
        <f t="shared" si="4"/>
        <v>1</v>
      </c>
      <c r="D122" t="str">
        <f t="shared" si="5"/>
        <v/>
      </c>
      <c r="E122" t="s">
        <v>156</v>
      </c>
    </row>
    <row r="123" spans="1:5" x14ac:dyDescent="0.2">
      <c r="A123" t="e" cm="1">
        <f t="array" ref="A123">DVARP(D!A1:A5,D!C2,D!B2:B3)</f>
        <v>#VALUE!</v>
      </c>
      <c r="B123">
        <f t="shared" si="3"/>
        <v>3</v>
      </c>
      <c r="C123">
        <f t="shared" si="4"/>
        <v>0</v>
      </c>
      <c r="D123" t="str">
        <f t="shared" si="5"/>
        <v/>
      </c>
      <c r="E123" t="s">
        <v>157</v>
      </c>
    </row>
    <row r="124" spans="1:5" x14ac:dyDescent="0.2">
      <c r="A124" t="str" cm="1">
        <f t="array" ref="A124">CLEAN(D!A14)</f>
        <v>abc</v>
      </c>
      <c r="B124">
        <f t="shared" si="3"/>
        <v>-3</v>
      </c>
      <c r="C124">
        <f t="shared" si="4"/>
        <v>0</v>
      </c>
      <c r="D124" t="str">
        <f t="shared" si="5"/>
        <v>abc</v>
      </c>
      <c r="E124" t="s">
        <v>158</v>
      </c>
    </row>
    <row r="125" spans="1:5" x14ac:dyDescent="0.2">
      <c r="A125" t="e" cm="1">
        <f t="array" ref="A125">_xlfn.CSCH("$1,000")&gt;DMIN(D!F1:F7,"Yield",D!I1:I5)</f>
        <v>#VALUE!</v>
      </c>
      <c r="B125">
        <f t="shared" si="3"/>
        <v>3</v>
      </c>
      <c r="C125">
        <f t="shared" si="4"/>
        <v>0</v>
      </c>
      <c r="D125" t="str">
        <f t="shared" si="5"/>
        <v/>
      </c>
      <c r="E125" t="s">
        <v>159</v>
      </c>
    </row>
    <row r="126" spans="1:5" x14ac:dyDescent="0.2">
      <c r="A126" t="e" cm="1">
        <f t="array" ref="A126">_xlfn.PERCENTILE.EXC(D!A7,#NAME?)</f>
        <v>#NAME?</v>
      </c>
      <c r="B126">
        <f t="shared" si="3"/>
        <v>5</v>
      </c>
      <c r="C126">
        <f t="shared" si="4"/>
        <v>0</v>
      </c>
      <c r="D126" t="str">
        <f t="shared" si="5"/>
        <v/>
      </c>
      <c r="E126" t="s">
        <v>160</v>
      </c>
    </row>
    <row r="127" spans="1:5" x14ac:dyDescent="0.2">
      <c r="A127" t="e" cm="1" vm="2">
        <f t="array" aca="1" ref="A127" ca="1">SERIESSUM({1;2;3},-1,2,2.5)</f>
        <v>#VALUE!</v>
      </c>
      <c r="B127">
        <f t="shared" ca="1" si="3"/>
        <v>9</v>
      </c>
      <c r="C127">
        <f t="shared" ca="1" si="4"/>
        <v>0</v>
      </c>
      <c r="D127" t="str">
        <f t="shared" ca="1" si="5"/>
        <v/>
      </c>
      <c r="E127" t="s">
        <v>161</v>
      </c>
    </row>
    <row r="128" spans="1:5" x14ac:dyDescent="0.2">
      <c r="A128" t="e" cm="1">
        <f t="array" ref="A128">REPLACE(" 2 ",-1.5,D!A15,"*")</f>
        <v>#VALUE!</v>
      </c>
      <c r="B128">
        <f t="shared" si="3"/>
        <v>3</v>
      </c>
      <c r="C128">
        <f t="shared" si="4"/>
        <v>0</v>
      </c>
      <c r="D128" t="str">
        <f t="shared" si="5"/>
        <v/>
      </c>
      <c r="E128" t="s">
        <v>162</v>
      </c>
    </row>
    <row r="129" spans="1:5" x14ac:dyDescent="0.2">
      <c r="A129" t="e" cm="1">
        <f t="array" ref="A129">_xlfn.TEXTJOIN(";",FALSE,BIN2DEC(#N/A&amp;D!A1))</f>
        <v>#N/A</v>
      </c>
      <c r="B129">
        <f t="shared" ref="B129:B192" si="6">IF(ISERROR(A129),ERROR.TYPE(A129),IF(ISNUMBER(A129),0,IF(ISLOGICAL(A129),IF(A129,-1,-2),IF(ISTEXT(A129),-3,-4))))</f>
        <v>7</v>
      </c>
      <c r="C129">
        <f t="shared" ref="C129:C192" si="7">IF(ISNUMBER(A129),A129,0)</f>
        <v>0</v>
      </c>
      <c r="D129" t="str">
        <f t="shared" ref="D129:D192" si="8">IF(ISTEXT(A129),A129,"")</f>
        <v/>
      </c>
      <c r="E129" t="s">
        <v>163</v>
      </c>
    </row>
    <row r="130" spans="1:5" x14ac:dyDescent="0.2">
      <c r="A130" t="e" cm="1">
        <f t="array" ref="A130">NEGBINOMDIST(D!A13,5,0.25)</f>
        <v>#VALUE!</v>
      </c>
      <c r="B130">
        <f t="shared" si="6"/>
        <v>3</v>
      </c>
      <c r="C130">
        <f t="shared" si="7"/>
        <v>0</v>
      </c>
      <c r="D130" t="str">
        <f t="shared" si="8"/>
        <v/>
      </c>
      <c r="E130" t="s">
        <v>164</v>
      </c>
    </row>
    <row r="131" spans="1:5" x14ac:dyDescent="0.2">
      <c r="A131" cm="1">
        <f t="array" ref="A131">COLUMNS(MEDIAN(D!B1:B8))</f>
        <v>1</v>
      </c>
      <c r="B131">
        <f t="shared" si="6"/>
        <v>0</v>
      </c>
      <c r="C131">
        <f t="shared" si="7"/>
        <v>1</v>
      </c>
      <c r="D131" t="str">
        <f t="shared" si="8"/>
        <v/>
      </c>
      <c r="E131" t="s">
        <v>165</v>
      </c>
    </row>
    <row r="132" spans="1:5" x14ac:dyDescent="0.2">
      <c r="A132" cm="1">
        <f t="array" ref="A132">LCM(5,2)</f>
        <v>10</v>
      </c>
      <c r="B132">
        <f t="shared" si="6"/>
        <v>0</v>
      </c>
      <c r="C132">
        <f t="shared" si="7"/>
        <v>10</v>
      </c>
      <c r="D132" t="str">
        <f t="shared" si="8"/>
        <v/>
      </c>
      <c r="E132" t="s">
        <v>166</v>
      </c>
    </row>
    <row r="133" spans="1:5" x14ac:dyDescent="0.2">
      <c r="A133" t="e" cm="1">
        <f t="array" ref="A133">DSTDEVP(D!C1:C8,TRUE,D!B1)</f>
        <v>#VALUE!</v>
      </c>
      <c r="B133">
        <f t="shared" si="6"/>
        <v>3</v>
      </c>
      <c r="C133">
        <f t="shared" si="7"/>
        <v>0</v>
      </c>
      <c r="D133" t="str">
        <f t="shared" si="8"/>
        <v/>
      </c>
      <c r="E133" t="s">
        <v>167</v>
      </c>
    </row>
    <row r="134" spans="1:5" x14ac:dyDescent="0.2">
      <c r="A134" cm="1">
        <f t="array" ref="A134">_xlfn.T.DIST.RT(1.959999998,60)</f>
        <v>2.7322464987960478E-2</v>
      </c>
      <c r="B134">
        <f t="shared" si="6"/>
        <v>0</v>
      </c>
      <c r="C134">
        <f t="shared" si="7"/>
        <v>2.7322464987960478E-2</v>
      </c>
      <c r="D134" t="str">
        <f t="shared" si="8"/>
        <v/>
      </c>
      <c r="E134" t="s">
        <v>168</v>
      </c>
    </row>
    <row r="135" spans="1:5" x14ac:dyDescent="0.2">
      <c r="A135" t="e" cm="1">
        <f t="array" ref="A135">STANDARDIZE(D!A15,0.25,D!C2)&lt;=AMORLINC(2400,DATE(2008,8,19),DATE(2008,12,31),D!N2,1,#DIV/0!,1)</f>
        <v>#DIV/0!</v>
      </c>
      <c r="B135">
        <f t="shared" si="6"/>
        <v>2</v>
      </c>
      <c r="C135">
        <f t="shared" si="7"/>
        <v>0</v>
      </c>
      <c r="D135" t="str">
        <f t="shared" si="8"/>
        <v/>
      </c>
      <c r="E135" t="s">
        <v>169</v>
      </c>
    </row>
    <row r="136" spans="1:5" x14ac:dyDescent="0.2">
      <c r="A136" t="b" cm="1">
        <f t="array" ref="A136">TRUE()</f>
        <v>1</v>
      </c>
      <c r="B136">
        <f t="shared" si="6"/>
        <v>-1</v>
      </c>
      <c r="C136">
        <f t="shared" si="7"/>
        <v>0</v>
      </c>
      <c r="D136" t="str">
        <f t="shared" si="8"/>
        <v/>
      </c>
      <c r="E136" t="s">
        <v>170</v>
      </c>
    </row>
    <row r="137" spans="1:5" x14ac:dyDescent="0.2">
      <c r="A137" cm="1">
        <f t="array" ref="A137">NORMSINV(0.908789)</f>
        <v>1.3333346730441071</v>
      </c>
      <c r="B137">
        <f t="shared" si="6"/>
        <v>0</v>
      </c>
      <c r="C137">
        <f t="shared" si="7"/>
        <v>1.3333346730441071</v>
      </c>
      <c r="D137" t="str">
        <f t="shared" si="8"/>
        <v/>
      </c>
      <c r="E137" t="s">
        <v>171</v>
      </c>
    </row>
    <row r="138" spans="1:5" x14ac:dyDescent="0.2">
      <c r="A138" cm="1">
        <f t="array" ref="A138">COLUMNS(COLUMN(D!C1:C8))</f>
        <v>1</v>
      </c>
      <c r="B138">
        <f t="shared" si="6"/>
        <v>0</v>
      </c>
      <c r="C138">
        <f t="shared" si="7"/>
        <v>1</v>
      </c>
      <c r="D138" t="str">
        <f t="shared" si="8"/>
        <v/>
      </c>
      <c r="E138" t="s">
        <v>172</v>
      </c>
    </row>
    <row r="139" spans="1:5" x14ac:dyDescent="0.2">
      <c r="A139" t="e" cm="1">
        <f t="array" ref="A139">_xlfn.LOGNORM.INV(0.039084,"$1,000",1.2)</f>
        <v>#NUM!</v>
      </c>
      <c r="B139">
        <f t="shared" si="6"/>
        <v>6</v>
      </c>
      <c r="C139">
        <f t="shared" si="7"/>
        <v>0</v>
      </c>
      <c r="D139" t="str">
        <f t="shared" si="8"/>
        <v/>
      </c>
      <c r="E139" t="s">
        <v>173</v>
      </c>
    </row>
    <row r="140" spans="1:5" x14ac:dyDescent="0.2">
      <c r="A140" t="e" cm="1">
        <f t="array" ref="A140">_xlfn.CHISQ.TEST(D!A1:A5,D!B1:B8)</f>
        <v>#N/A</v>
      </c>
      <c r="B140">
        <f t="shared" si="6"/>
        <v>7</v>
      </c>
      <c r="C140">
        <f t="shared" si="7"/>
        <v>0</v>
      </c>
      <c r="D140" t="str">
        <f t="shared" si="8"/>
        <v/>
      </c>
      <c r="E140" t="s">
        <v>174</v>
      </c>
    </row>
    <row r="141" spans="1:5" x14ac:dyDescent="0.2">
      <c r="A141" t="e" cm="1" vm="6">
        <f t="array" aca="1" ref="A141" ca="1">FREQUENCY(D!B1:B8,D!P4:R5)</f>
        <v>#VALUE!</v>
      </c>
      <c r="B141">
        <f t="shared" ca="1" si="6"/>
        <v>9</v>
      </c>
      <c r="C141">
        <f t="shared" ca="1" si="7"/>
        <v>0</v>
      </c>
      <c r="D141" t="str">
        <f t="shared" ca="1" si="8"/>
        <v/>
      </c>
      <c r="E141" t="s">
        <v>175</v>
      </c>
    </row>
    <row r="142" spans="1:5" x14ac:dyDescent="0.2">
      <c r="A142" t="e" cm="1">
        <f t="array" ref="A142">ROMAN(499,"Привет")</f>
        <v>#VALUE!</v>
      </c>
      <c r="B142">
        <f t="shared" si="6"/>
        <v>3</v>
      </c>
      <c r="C142">
        <f t="shared" si="7"/>
        <v>0</v>
      </c>
      <c r="D142" t="str">
        <f t="shared" si="8"/>
        <v/>
      </c>
      <c r="E142" t="s">
        <v>176</v>
      </c>
    </row>
    <row r="143" spans="1:5" x14ac:dyDescent="0.2">
      <c r="A143" t="e" cm="1" vm="7">
        <f t="array" aca="1" ref="A143" ca="1">PERCENTILE(" 2 ",{"a","b"})</f>
        <v>#VALUE!</v>
      </c>
      <c r="B143">
        <f t="shared" ca="1" si="6"/>
        <v>9</v>
      </c>
      <c r="C143">
        <f t="shared" ca="1" si="7"/>
        <v>0</v>
      </c>
      <c r="D143" t="str">
        <f t="shared" ca="1" si="8"/>
        <v/>
      </c>
      <c r="E143" t="s">
        <v>177</v>
      </c>
    </row>
    <row r="144" spans="1:5" x14ac:dyDescent="0.2">
      <c r="A144" t="e" cm="1">
        <f t="array" ref="A144">_xlfn.T.INV.2T(LOG10(1000),IMSUB(D!B7,TRUE))&gt;=TANH(-2)</f>
        <v>#VALUE!</v>
      </c>
      <c r="B144">
        <f t="shared" si="6"/>
        <v>3</v>
      </c>
      <c r="C144">
        <f t="shared" si="7"/>
        <v>0</v>
      </c>
      <c r="D144" t="str">
        <f t="shared" si="8"/>
        <v/>
      </c>
      <c r="E144" t="s">
        <v>178</v>
      </c>
    </row>
    <row r="145" spans="1:5" x14ac:dyDescent="0.2">
      <c r="A145" t="e" cm="1">
        <f t="array" ref="A145">MDETERM(D!B1:C8)</f>
        <v>#VALUE!</v>
      </c>
      <c r="B145">
        <f t="shared" si="6"/>
        <v>3</v>
      </c>
      <c r="C145">
        <f t="shared" si="7"/>
        <v>0</v>
      </c>
      <c r="D145" t="str">
        <f t="shared" si="8"/>
        <v/>
      </c>
      <c r="E145" t="s">
        <v>179</v>
      </c>
    </row>
    <row r="146" spans="1:5" x14ac:dyDescent="0.2">
      <c r="A146" t="e" cm="1" vm="7">
        <f t="array" aca="1" ref="A146" ca="1">_xlfn.BITRSHIFT(LOGEST(D!BB1:BB6,D!BC1:BC6),100)</f>
        <v>#VALUE!</v>
      </c>
      <c r="B146">
        <f t="shared" ca="1" si="6"/>
        <v>9</v>
      </c>
      <c r="C146">
        <f t="shared" ca="1" si="7"/>
        <v>0</v>
      </c>
      <c r="D146" t="str">
        <f t="shared" ca="1" si="8"/>
        <v/>
      </c>
      <c r="E146" t="s">
        <v>180</v>
      </c>
    </row>
    <row r="147" spans="1:5" x14ac:dyDescent="0.2">
      <c r="A147" cm="1">
        <f t="array" ref="A147">SUM(WEEKDAY(39492))</f>
        <v>5</v>
      </c>
      <c r="B147">
        <f t="shared" si="6"/>
        <v>0</v>
      </c>
      <c r="C147">
        <f t="shared" si="7"/>
        <v>5</v>
      </c>
      <c r="D147" t="str">
        <f t="shared" si="8"/>
        <v/>
      </c>
      <c r="E147" t="s">
        <v>181</v>
      </c>
    </row>
    <row r="148" spans="1:5" x14ac:dyDescent="0.2">
      <c r="A148" t="e" cm="1">
        <f t="array" ref="A148">INDEX(LCM(GROWTH({1,2,3}&lt;=VALUE(#REF!),D!AS1:AS8,ACCRINTM(DATE(2008,4,1),D!A9,0.1,1000,3)),2),1,1)</f>
        <v>#VALUE!</v>
      </c>
      <c r="B148">
        <f t="shared" si="6"/>
        <v>3</v>
      </c>
      <c r="C148">
        <f t="shared" si="7"/>
        <v>0</v>
      </c>
      <c r="D148" t="str">
        <f t="shared" si="8"/>
        <v/>
      </c>
      <c r="E148" t="s">
        <v>182</v>
      </c>
    </row>
    <row r="149" spans="1:5" x14ac:dyDescent="0.2">
      <c r="A149" t="e" cm="1">
        <f t="array" ref="A149">ODDLPRICE(D!C2,DATE(2008,6,15),DATE(2007,10,15),0.0375,0.0405,3,2)&lt;&gt;MIN(D!B1:B8,{"a","b"},TRIMMEAN(D!B1:B8,0.2))</f>
        <v>#NUM!</v>
      </c>
      <c r="B149">
        <f t="shared" si="6"/>
        <v>6</v>
      </c>
      <c r="C149">
        <f t="shared" si="7"/>
        <v>0</v>
      </c>
      <c r="D149" t="str">
        <f t="shared" si="8"/>
        <v/>
      </c>
      <c r="E149" t="s">
        <v>183</v>
      </c>
    </row>
    <row r="150" spans="1:5" x14ac:dyDescent="0.2">
      <c r="A150" t="e" cm="1">
        <f t="array" ref="A150">_xlfn.GAUSS(2)^SLOPE(TTEST({3,1,2},D!C1:C8,2,1)*"abc",D!B1:B8)</f>
        <v>#N/A</v>
      </c>
      <c r="B150">
        <f t="shared" si="6"/>
        <v>7</v>
      </c>
      <c r="C150">
        <f t="shared" si="7"/>
        <v>0</v>
      </c>
      <c r="D150" t="str">
        <f t="shared" si="8"/>
        <v/>
      </c>
      <c r="E150" t="s">
        <v>184</v>
      </c>
    </row>
    <row r="151" spans="1:5" x14ac:dyDescent="0.2">
      <c r="A151" cm="1">
        <f t="array" ref="A151">NORMSDIST(1.333333)</f>
        <v>0.90878872560409507</v>
      </c>
      <c r="B151">
        <f t="shared" si="6"/>
        <v>0</v>
      </c>
      <c r="C151">
        <f t="shared" si="7"/>
        <v>0.90878872560409507</v>
      </c>
      <c r="D151" t="str">
        <f t="shared" si="8"/>
        <v/>
      </c>
      <c r="E151" t="s">
        <v>185</v>
      </c>
    </row>
    <row r="152" spans="1:5" x14ac:dyDescent="0.2">
      <c r="A152" t="e" cm="1">
        <f t="array" ref="A152">SECOND(0.5)+ROUND("abc",1)</f>
        <v>#VALUE!</v>
      </c>
      <c r="B152">
        <f t="shared" si="6"/>
        <v>3</v>
      </c>
      <c r="C152">
        <f t="shared" si="7"/>
        <v>0</v>
      </c>
      <c r="D152" t="str">
        <f t="shared" si="8"/>
        <v/>
      </c>
      <c r="E152" t="s">
        <v>186</v>
      </c>
    </row>
    <row r="153" spans="1:5" x14ac:dyDescent="0.2">
      <c r="A153" cm="1">
        <f t="array" ref="A153">SUM(D!B1:B8)</f>
        <v>114.75</v>
      </c>
      <c r="B153">
        <f t="shared" si="6"/>
        <v>0</v>
      </c>
      <c r="C153">
        <f t="shared" si="7"/>
        <v>114.75</v>
      </c>
      <c r="D153" t="str">
        <f t="shared" si="8"/>
        <v/>
      </c>
      <c r="E153" t="s">
        <v>187</v>
      </c>
    </row>
    <row r="154" spans="1:5" x14ac:dyDescent="0.2">
      <c r="A154" t="e" cm="1">
        <f t="array" ref="A154">SUM(_xlfn.IMCSC("4+3i"))</f>
        <v>#VALUE!</v>
      </c>
      <c r="B154">
        <f t="shared" si="6"/>
        <v>3</v>
      </c>
      <c r="C154">
        <f t="shared" si="7"/>
        <v>0</v>
      </c>
      <c r="D154" t="str">
        <f t="shared" si="8"/>
        <v/>
      </c>
      <c r="E154" t="s">
        <v>188</v>
      </c>
    </row>
    <row r="155" spans="1:5" x14ac:dyDescent="0.2">
      <c r="A155" t="str" cm="1">
        <f t="array" ref="A155">IMCONJUGATE("3+4i")</f>
        <v>3-4i</v>
      </c>
      <c r="B155">
        <f t="shared" si="6"/>
        <v>-3</v>
      </c>
      <c r="C155">
        <f t="shared" si="7"/>
        <v>0</v>
      </c>
      <c r="D155" t="str">
        <f t="shared" si="8"/>
        <v>3-4i</v>
      </c>
      <c r="E155" t="s">
        <v>189</v>
      </c>
    </row>
    <row r="156" spans="1:5" x14ac:dyDescent="0.2">
      <c r="A156" t="str" cm="1">
        <f t="array" ref="A156">LOWER("E. E. Cummings")</f>
        <v>e. e. cummings</v>
      </c>
      <c r="B156">
        <f t="shared" si="6"/>
        <v>-3</v>
      </c>
      <c r="C156">
        <f t="shared" si="7"/>
        <v>0</v>
      </c>
      <c r="D156" t="str">
        <f t="shared" si="8"/>
        <v>e. e. cummings</v>
      </c>
      <c r="E156" t="s">
        <v>190</v>
      </c>
    </row>
    <row r="157" spans="1:5" x14ac:dyDescent="0.2">
      <c r="A157" cm="1">
        <f t="array" ref="A157">ROWS(_xlfn.ERF.PRECISE(0.745))</f>
        <v>1</v>
      </c>
      <c r="B157">
        <f t="shared" si="6"/>
        <v>0</v>
      </c>
      <c r="C157">
        <f t="shared" si="7"/>
        <v>1</v>
      </c>
      <c r="D157" t="str">
        <f t="shared" si="8"/>
        <v/>
      </c>
      <c r="E157" t="s">
        <v>191</v>
      </c>
    </row>
    <row r="158" spans="1:5" x14ac:dyDescent="0.2">
      <c r="A158" t="e" cm="1">
        <f t="array" ref="A158">ROWS(_xlfn.T.INV.2T(7,2^D!A9))</f>
        <v>#VALUE!</v>
      </c>
      <c r="B158">
        <f t="shared" si="6"/>
        <v>3</v>
      </c>
      <c r="C158">
        <f t="shared" si="7"/>
        <v>0</v>
      </c>
      <c r="D158" t="str">
        <f t="shared" si="8"/>
        <v/>
      </c>
      <c r="E158" t="s">
        <v>192</v>
      </c>
    </row>
    <row r="159" spans="1:5" x14ac:dyDescent="0.2">
      <c r="A159" t="str" cm="1">
        <f t="array" ref="A159">_xlfn.TEXTJOIN(D!AV1:AV7,TRUE,D!K1:K8)</f>
        <v/>
      </c>
      <c r="B159">
        <f t="shared" si="6"/>
        <v>-3</v>
      </c>
      <c r="C159">
        <f t="shared" si="7"/>
        <v>0</v>
      </c>
      <c r="D159" t="str">
        <f t="shared" si="8"/>
        <v/>
      </c>
      <c r="E159" t="s">
        <v>193</v>
      </c>
    </row>
    <row r="160" spans="1:5" x14ac:dyDescent="0.2">
      <c r="A160" cm="1">
        <f t="array" ref="A160">FDIST(15.2069,{1},D!L4)</f>
        <v>1.141386305322801E-2</v>
      </c>
      <c r="B160">
        <f t="shared" si="6"/>
        <v>0</v>
      </c>
      <c r="C160">
        <f t="shared" si="7"/>
        <v>1.141386305322801E-2</v>
      </c>
      <c r="D160" t="str">
        <f t="shared" si="8"/>
        <v/>
      </c>
      <c r="E160" t="s">
        <v>194</v>
      </c>
    </row>
    <row r="161" spans="1:5" x14ac:dyDescent="0.2">
      <c r="A161" t="e" cm="1" vm="8">
        <f t="array" aca="1" ref="A161" ca="1">IF(EXP(1),D!N1:N6)</f>
        <v>#VALUE!</v>
      </c>
      <c r="B161">
        <f t="shared" ca="1" si="6"/>
        <v>9</v>
      </c>
      <c r="C161">
        <f t="shared" ca="1" si="7"/>
        <v>0</v>
      </c>
      <c r="D161" t="str">
        <f t="shared" ca="1" si="8"/>
        <v/>
      </c>
      <c r="E161" t="s">
        <v>195</v>
      </c>
    </row>
    <row r="162" spans="1:5" x14ac:dyDescent="0.2">
      <c r="A162" t="e" cm="1">
        <f t="array" ref="A162">SUM(_xlfn.NORM.S.DIST(0,_xlfn.IFNA("50%","nf")))</f>
        <v>#VALUE!</v>
      </c>
      <c r="B162">
        <f t="shared" si="6"/>
        <v>3</v>
      </c>
      <c r="C162">
        <f t="shared" si="7"/>
        <v>0</v>
      </c>
      <c r="D162" t="str">
        <f t="shared" si="8"/>
        <v/>
      </c>
      <c r="E162" t="s">
        <v>196</v>
      </c>
    </row>
    <row r="163" spans="1:5" x14ac:dyDescent="0.2">
      <c r="A163" cm="1">
        <f t="array" ref="A163">INDEX(_xlfn.VAR.S(D!B1:B8),1,1)</f>
        <v>189.33816964285714</v>
      </c>
      <c r="B163">
        <f t="shared" si="6"/>
        <v>0</v>
      </c>
      <c r="C163">
        <f t="shared" si="7"/>
        <v>189.33816964285714</v>
      </c>
      <c r="D163" t="str">
        <f t="shared" si="8"/>
        <v/>
      </c>
      <c r="E163" t="s">
        <v>197</v>
      </c>
    </row>
    <row r="164" spans="1:5" x14ac:dyDescent="0.2">
      <c r="A164" t="str" cm="1">
        <f t="array" ref="A164">_xlfn.IMCOT("4+3i")</f>
        <v>0.00490118239430447-0.999266927805902i</v>
      </c>
      <c r="B164">
        <f t="shared" si="6"/>
        <v>-3</v>
      </c>
      <c r="C164">
        <f t="shared" si="7"/>
        <v>0</v>
      </c>
      <c r="D164" t="str">
        <f t="shared" si="8"/>
        <v>0.00490118239430447-0.999266927805902i</v>
      </c>
      <c r="E164" t="s">
        <v>198</v>
      </c>
    </row>
    <row r="165" spans="1:5" x14ac:dyDescent="0.2">
      <c r="A165" t="e" cm="1">
        <f t="array" ref="A165">SUMX2PY2(TRANSPOSE(D!P4:R5),LINEST(D!AY1:AY5))</f>
        <v>#N/A</v>
      </c>
      <c r="B165">
        <f t="shared" si="6"/>
        <v>7</v>
      </c>
      <c r="C165">
        <f t="shared" si="7"/>
        <v>0</v>
      </c>
      <c r="D165" t="str">
        <f t="shared" si="8"/>
        <v/>
      </c>
      <c r="E165" t="s">
        <v>199</v>
      </c>
    </row>
    <row r="166" spans="1:5" x14ac:dyDescent="0.2">
      <c r="A166" t="e" cm="1">
        <f t="array" ref="A166">_xlfn.PERCENTRANK.EXC(D!M1:M6,-1.5)</f>
        <v>#N/A</v>
      </c>
      <c r="B166">
        <f t="shared" si="6"/>
        <v>7</v>
      </c>
      <c r="C166">
        <f t="shared" si="7"/>
        <v>0</v>
      </c>
      <c r="D166" t="str">
        <f t="shared" si="8"/>
        <v/>
      </c>
      <c r="E166" t="s">
        <v>200</v>
      </c>
    </row>
    <row r="167" spans="1:5" x14ac:dyDescent="0.2">
      <c r="A167" cm="1">
        <f t="array" ref="A167">SUM(ROUND(FALSE,ROUND(2.15,1)))</f>
        <v>0</v>
      </c>
      <c r="B167">
        <f t="shared" si="6"/>
        <v>0</v>
      </c>
      <c r="C167">
        <f t="shared" si="7"/>
        <v>0</v>
      </c>
      <c r="D167" t="str">
        <f t="shared" si="8"/>
        <v/>
      </c>
      <c r="E167" t="s">
        <v>201</v>
      </c>
    </row>
    <row r="168" spans="1:5" x14ac:dyDescent="0.2">
      <c r="A168" t="e" cm="1">
        <f t="array" ref="A168">_xlfn.STDEV.S(D!B1:B8,PRICEDISC(39494,0,D!A9,D!F1),_xlfn.WRAPROWS(D!B1:B8,5),{3,1,2})</f>
        <v>#VALUE!</v>
      </c>
      <c r="B168">
        <f t="shared" si="6"/>
        <v>3</v>
      </c>
      <c r="C168">
        <f t="shared" si="7"/>
        <v>0</v>
      </c>
      <c r="D168" t="str">
        <f t="shared" si="8"/>
        <v/>
      </c>
      <c r="E168" t="s">
        <v>202</v>
      </c>
    </row>
    <row r="169" spans="1:5" x14ac:dyDescent="0.2">
      <c r="A169" t="e" cm="1">
        <f t="array" ref="A169">COMPLEX(D!A9,1000,"")</f>
        <v>#VALUE!</v>
      </c>
      <c r="B169">
        <f t="shared" si="6"/>
        <v>3</v>
      </c>
      <c r="C169">
        <f t="shared" si="7"/>
        <v>0</v>
      </c>
      <c r="D169" t="str">
        <f t="shared" si="8"/>
        <v/>
      </c>
      <c r="E169" t="s">
        <v>203</v>
      </c>
    </row>
    <row r="170" spans="1:5" x14ac:dyDescent="0.2">
      <c r="A170" cm="1">
        <f t="array" ref="A170">ROWS(SUM(D!A12=ERROR.TYPE(D!A7)))</f>
        <v>1</v>
      </c>
      <c r="B170">
        <f t="shared" si="6"/>
        <v>0</v>
      </c>
      <c r="C170">
        <f t="shared" si="7"/>
        <v>1</v>
      </c>
      <c r="D170" t="str">
        <f t="shared" si="8"/>
        <v/>
      </c>
      <c r="E170" t="s">
        <v>204</v>
      </c>
    </row>
    <row r="171" spans="1:5" x14ac:dyDescent="0.2">
      <c r="A171" t="b" cm="1">
        <f t="array" ref="A171">AND(7,TRUE)</f>
        <v>1</v>
      </c>
      <c r="B171">
        <f t="shared" si="6"/>
        <v>-1</v>
      </c>
      <c r="C171">
        <f t="shared" si="7"/>
        <v>0</v>
      </c>
      <c r="D171" t="str">
        <f t="shared" si="8"/>
        <v/>
      </c>
      <c r="E171" t="s">
        <v>205</v>
      </c>
    </row>
    <row r="172" spans="1:5" x14ac:dyDescent="0.2">
      <c r="A172" cm="1">
        <f t="array" ref="A172">INDEX(NPV(D!N1:N6&gt;4,D!A1:A5,{"a","b"},4200,_xlfn.ERFC.PRECISE(1)),1,1)</f>
        <v>2100.0393248017626</v>
      </c>
      <c r="B172">
        <f t="shared" si="6"/>
        <v>0</v>
      </c>
      <c r="C172">
        <f t="shared" si="7"/>
        <v>2100.0393248017626</v>
      </c>
      <c r="D172" t="str">
        <f t="shared" si="8"/>
        <v/>
      </c>
      <c r="E172" t="s">
        <v>206</v>
      </c>
    </row>
    <row r="173" spans="1:5" x14ac:dyDescent="0.2">
      <c r="A173" cm="1">
        <f t="array" ref="A173">DAY(40648)</f>
        <v>15</v>
      </c>
      <c r="B173">
        <f t="shared" si="6"/>
        <v>0</v>
      </c>
      <c r="C173">
        <f t="shared" si="7"/>
        <v>15</v>
      </c>
      <c r="D173" t="str">
        <f t="shared" si="8"/>
        <v/>
      </c>
      <c r="E173" t="s">
        <v>207</v>
      </c>
    </row>
    <row r="174" spans="1:5" x14ac:dyDescent="0.2">
      <c r="A174" cm="1">
        <f t="array" ref="A174">COLUMNS(AVERAGE(D!B1:B8))</f>
        <v>1</v>
      </c>
      <c r="B174">
        <f t="shared" si="6"/>
        <v>0</v>
      </c>
      <c r="C174">
        <f t="shared" si="7"/>
        <v>1</v>
      </c>
      <c r="D174" t="str">
        <f t="shared" si="8"/>
        <v/>
      </c>
      <c r="E174" t="s">
        <v>208</v>
      </c>
    </row>
    <row r="175" spans="1:5" x14ac:dyDescent="0.2">
      <c r="A175" cm="1">
        <f t="array" ref="A175">MAX(D!B1:B8,D!D1:D8,D!AW1:AW4)</f>
        <v>42</v>
      </c>
      <c r="B175">
        <f t="shared" si="6"/>
        <v>0</v>
      </c>
      <c r="C175">
        <f t="shared" si="7"/>
        <v>42</v>
      </c>
      <c r="D175" t="str">
        <f t="shared" si="8"/>
        <v/>
      </c>
      <c r="E175" t="s">
        <v>209</v>
      </c>
    </row>
    <row r="176" spans="1:5" x14ac:dyDescent="0.2">
      <c r="A176" t="b" cm="1">
        <f t="array" aca="1" ref="A176" ca="1">_xlfn.UNICODE("B")&lt;=SUMIF(D!H1:H7,D!B3,D!L4)</f>
        <v>0</v>
      </c>
      <c r="B176">
        <f t="shared" ca="1" si="6"/>
        <v>-2</v>
      </c>
      <c r="C176">
        <f t="shared" ca="1" si="7"/>
        <v>0</v>
      </c>
      <c r="D176" t="str">
        <f t="shared" ca="1" si="8"/>
        <v/>
      </c>
      <c r="E176" t="s">
        <v>210</v>
      </c>
    </row>
    <row r="177" spans="1:5" x14ac:dyDescent="0.2">
      <c r="A177" cm="1">
        <f t="array" ref="A177">INDEX(BESSELK(1.5,2),1,1)</f>
        <v>0.58365597416666559</v>
      </c>
      <c r="B177">
        <f t="shared" si="6"/>
        <v>0</v>
      </c>
      <c r="C177">
        <f t="shared" si="7"/>
        <v>0.58365597416666559</v>
      </c>
      <c r="D177" t="str">
        <f t="shared" si="8"/>
        <v/>
      </c>
      <c r="E177" t="s">
        <v>211</v>
      </c>
    </row>
    <row r="178" spans="1:5" x14ac:dyDescent="0.2">
      <c r="A178" cm="1">
        <f t="array" ref="A178">FISHERINV(0.972955)</f>
        <v>0.74999996739414843</v>
      </c>
      <c r="B178">
        <f t="shared" si="6"/>
        <v>0</v>
      </c>
      <c r="C178">
        <f t="shared" si="7"/>
        <v>0.74999996739414843</v>
      </c>
      <c r="D178" t="str">
        <f t="shared" si="8"/>
        <v/>
      </c>
      <c r="E178" t="s">
        <v>212</v>
      </c>
    </row>
    <row r="179" spans="1:5" x14ac:dyDescent="0.2">
      <c r="A179" t="str" cm="1">
        <f t="array" ref="A179">SUMX2MY2(D!B1:B8,D!C1:C8)&amp;ISERROR(SERIESSUM(_xlfn.PERCENTRANK.INC(D!B1:B8,0.25)=_xlfn.WEIBULL.DIST(105,20,TRUE,TRUE),0,RECEIVED("1/2/2025","-4",1000000,D!E1:E8,2),D!F1)+" ")</f>
        <v>313.3125TRUE</v>
      </c>
      <c r="B179">
        <f t="shared" si="6"/>
        <v>-3</v>
      </c>
      <c r="C179">
        <f t="shared" si="7"/>
        <v>0</v>
      </c>
      <c r="D179" t="str">
        <f t="shared" si="8"/>
        <v>313.3125TRUE</v>
      </c>
      <c r="E179" t="s">
        <v>213</v>
      </c>
    </row>
    <row r="180" spans="1:5" x14ac:dyDescent="0.2">
      <c r="A180" t="e" cm="1">
        <f t="array" ref="A180">AMORDEGRC("2024-02-29",DATE(2008,8,19),TRUE,"31-Jan-2025",1,0.15,1)</f>
        <v>#VALUE!</v>
      </c>
      <c r="B180">
        <f t="shared" si="6"/>
        <v>3</v>
      </c>
      <c r="C180">
        <f t="shared" si="7"/>
        <v>0</v>
      </c>
      <c r="D180" t="str">
        <f t="shared" si="8"/>
        <v/>
      </c>
      <c r="E180" t="s">
        <v>214</v>
      </c>
    </row>
    <row r="181" spans="1:5" x14ac:dyDescent="0.2">
      <c r="A181" t="e" cm="1">
        <f t="array" ref="A181">COMPLEX(3,GROWTH(D!BB1:BB6,D!C1:C8,D!D1:D8%+_xlfn.AGGREGATE(9,4,D!G1:G7))&gt;"3",D!A9)</f>
        <v>#VALUE!</v>
      </c>
      <c r="B181">
        <f t="shared" si="6"/>
        <v>3</v>
      </c>
      <c r="C181">
        <f t="shared" si="7"/>
        <v>0</v>
      </c>
      <c r="D181" t="str">
        <f t="shared" si="8"/>
        <v/>
      </c>
      <c r="E181" t="s">
        <v>215</v>
      </c>
    </row>
    <row r="182" spans="1:5" x14ac:dyDescent="0.2">
      <c r="A182" t="e" cm="1">
        <f t="array" ref="A182">DATEDIF(40000,-1,"Y")</f>
        <v>#NUM!</v>
      </c>
      <c r="B182">
        <f t="shared" si="6"/>
        <v>6</v>
      </c>
      <c r="C182">
        <f t="shared" si="7"/>
        <v>0</v>
      </c>
      <c r="D182" t="str">
        <f t="shared" si="8"/>
        <v/>
      </c>
      <c r="E182" t="s">
        <v>216</v>
      </c>
    </row>
    <row r="183" spans="1:5" x14ac:dyDescent="0.2">
      <c r="A183" t="str" cm="1">
        <f t="array" ref="A183">LEFTB("Привет",TRUE)</f>
        <v>П</v>
      </c>
      <c r="B183">
        <f t="shared" si="6"/>
        <v>-3</v>
      </c>
      <c r="C183">
        <f t="shared" si="7"/>
        <v>0</v>
      </c>
      <c r="D183" t="str">
        <f t="shared" si="8"/>
        <v>П</v>
      </c>
      <c r="E183" t="s">
        <v>217</v>
      </c>
    </row>
    <row r="184" spans="1:5" x14ac:dyDescent="0.2">
      <c r="A184" t="e" cm="1">
        <f t="array" ref="A184">_xlfn.IMSEC(D!A4)</f>
        <v>#VALUE!</v>
      </c>
      <c r="B184">
        <f t="shared" si="6"/>
        <v>3</v>
      </c>
      <c r="C184">
        <f t="shared" si="7"/>
        <v>0</v>
      </c>
      <c r="D184" t="str">
        <f t="shared" si="8"/>
        <v/>
      </c>
      <c r="E184" t="s">
        <v>218</v>
      </c>
    </row>
    <row r="185" spans="1:5" x14ac:dyDescent="0.2">
      <c r="A185" t="e" cm="1">
        <f t="array" ref="A185">_xlfn.CHISQ.TEST(MINVERSE(1),D!AM1:AN3)</f>
        <v>#N/A</v>
      </c>
      <c r="B185">
        <f t="shared" si="6"/>
        <v>7</v>
      </c>
      <c r="C185">
        <f t="shared" si="7"/>
        <v>0</v>
      </c>
      <c r="D185" t="str">
        <f t="shared" si="8"/>
        <v/>
      </c>
      <c r="E185" t="s">
        <v>219</v>
      </c>
    </row>
    <row r="186" spans="1:5" x14ac:dyDescent="0.2">
      <c r="A186" t="b" cm="1">
        <f t="array" ref="A186">OR(D!M1:M6,D!A12,D!A12,D!C2)</f>
        <v>1</v>
      </c>
      <c r="B186">
        <f t="shared" si="6"/>
        <v>-1</v>
      </c>
      <c r="C186">
        <f t="shared" si="7"/>
        <v>0</v>
      </c>
      <c r="D186" t="str">
        <f t="shared" si="8"/>
        <v/>
      </c>
      <c r="E186" t="s">
        <v>220</v>
      </c>
    </row>
    <row r="187" spans="1:5" x14ac:dyDescent="0.2">
      <c r="A187" t="e" cm="1">
        <f t="array" ref="A187">_xlfn.CEILING.MATH(TBILLPRICE(39538,0.5,"abc"),2.5&lt;&gt;DGET(D!I1:I5,"Yield",D!M1:M6),D!L4)</f>
        <v>#VALUE!</v>
      </c>
      <c r="B187">
        <f t="shared" si="6"/>
        <v>3</v>
      </c>
      <c r="C187">
        <f t="shared" si="7"/>
        <v>0</v>
      </c>
      <c r="D187" t="str">
        <f t="shared" si="8"/>
        <v/>
      </c>
      <c r="E187" t="s">
        <v>221</v>
      </c>
    </row>
    <row r="188" spans="1:5" x14ac:dyDescent="0.2">
      <c r="A188" t="e" cm="1">
        <f t="array" ref="A188">BESSELI(ACCRINTM(DATE(2008,4,1),0.5,_xlfn.PERCENTRANK.EXC(D!B1:B8,"aBc"),"x y",TRIM("  First Quarter Earnings  ")),2)</f>
        <v>#VALUE!</v>
      </c>
      <c r="B188">
        <f t="shared" si="6"/>
        <v>3</v>
      </c>
      <c r="C188">
        <f t="shared" si="7"/>
        <v>0</v>
      </c>
      <c r="D188" t="str">
        <f t="shared" si="8"/>
        <v/>
      </c>
      <c r="E188" t="s">
        <v>222</v>
      </c>
    </row>
    <row r="189" spans="1:5" x14ac:dyDescent="0.2">
      <c r="A189" t="e" cm="1" vm="1">
        <f t="array" aca="1" ref="A189" ca="1">_xlfn._xlws.SORT(D!B1:B8)</f>
        <v>#VALUE!</v>
      </c>
      <c r="B189">
        <f t="shared" ca="1" si="6"/>
        <v>9</v>
      </c>
      <c r="C189">
        <f t="shared" ca="1" si="7"/>
        <v>0</v>
      </c>
      <c r="D189" t="str">
        <f t="shared" ca="1" si="8"/>
        <v/>
      </c>
      <c r="E189" t="s">
        <v>223</v>
      </c>
    </row>
    <row r="190" spans="1:5" x14ac:dyDescent="0.2">
      <c r="A190" t="e" cm="1">
        <f t="array" ref="A190">_xlfn.NORM.INV(0.908789,"?",1.5)</f>
        <v>#VALUE!</v>
      </c>
      <c r="B190">
        <f t="shared" si="6"/>
        <v>3</v>
      </c>
      <c r="C190">
        <f t="shared" si="7"/>
        <v>0</v>
      </c>
      <c r="D190" t="str">
        <f t="shared" si="8"/>
        <v/>
      </c>
      <c r="E190" t="s">
        <v>224</v>
      </c>
    </row>
    <row r="191" spans="1:5" x14ac:dyDescent="0.2">
      <c r="A191" t="str" cm="1">
        <f t="array" ref="A191">_xlfn.IMCSCH("4+3i")</f>
        <v>-0.036275889628626-0.0051744731840194i</v>
      </c>
      <c r="B191">
        <f t="shared" si="6"/>
        <v>-3</v>
      </c>
      <c r="C191">
        <f t="shared" si="7"/>
        <v>0</v>
      </c>
      <c r="D191" t="str">
        <f t="shared" si="8"/>
        <v>-0.036275889628626-0.0051744731840194i</v>
      </c>
      <c r="E191" t="s">
        <v>225</v>
      </c>
    </row>
    <row r="192" spans="1:5" x14ac:dyDescent="0.2">
      <c r="A192" t="str" cm="1">
        <f t="array" ref="A192">_xlfn.IMCOT("4+3i")</f>
        <v>0.00490118239430447-0.999266927805902i</v>
      </c>
      <c r="B192">
        <f t="shared" si="6"/>
        <v>-3</v>
      </c>
      <c r="C192">
        <f t="shared" si="7"/>
        <v>0</v>
      </c>
      <c r="D192" t="str">
        <f t="shared" si="8"/>
        <v>0.00490118239430447-0.999266927805902i</v>
      </c>
      <c r="E192" t="s">
        <v>226</v>
      </c>
    </row>
    <row r="193" spans="1:5" x14ac:dyDescent="0.2">
      <c r="A193" t="e" cm="1">
        <f t="array" ref="A193">INDEX(WEIBULL(-1.5,20,100,FALSE),1,1)</f>
        <v>#NUM!</v>
      </c>
      <c r="B193">
        <f t="shared" ref="B193:B256" si="9">IF(ISERROR(A193),ERROR.TYPE(A193),IF(ISNUMBER(A193),0,IF(ISLOGICAL(A193),IF(A193,-1,-2),IF(ISTEXT(A193),-3,-4))))</f>
        <v>6</v>
      </c>
      <c r="C193">
        <f t="shared" ref="C193:C256" si="10">IF(ISNUMBER(A193),A193,0)</f>
        <v>0</v>
      </c>
      <c r="D193" t="str">
        <f t="shared" ref="D193:D256" si="11">IF(ISTEXT(A193),A193,"")</f>
        <v/>
      </c>
      <c r="E193" t="s">
        <v>227</v>
      </c>
    </row>
    <row r="194" spans="1:5" x14ac:dyDescent="0.2">
      <c r="A194" t="str" cm="1">
        <f t="array" ref="A194">IMPOWER(1000,3)</f>
        <v>1000000000</v>
      </c>
      <c r="B194">
        <f t="shared" si="9"/>
        <v>-3</v>
      </c>
      <c r="C194">
        <f t="shared" si="10"/>
        <v>0</v>
      </c>
      <c r="D194" t="str">
        <f t="shared" si="11"/>
        <v>1000000000</v>
      </c>
      <c r="E194" t="s">
        <v>228</v>
      </c>
    </row>
    <row r="195" spans="1:5" x14ac:dyDescent="0.2">
      <c r="A195" t="str" cm="1">
        <f t="array" ref="A195">_xlfn.IMSINH(0)</f>
        <v>0</v>
      </c>
      <c r="B195">
        <f t="shared" si="9"/>
        <v>-3</v>
      </c>
      <c r="C195">
        <f t="shared" si="10"/>
        <v>0</v>
      </c>
      <c r="D195" t="str">
        <f t="shared" si="11"/>
        <v>0</v>
      </c>
      <c r="E195" t="s">
        <v>229</v>
      </c>
    </row>
    <row r="196" spans="1:5" x14ac:dyDescent="0.2">
      <c r="A196" cm="1">
        <f t="array" ref="A196">SECOND(0)</f>
        <v>0</v>
      </c>
      <c r="B196">
        <f t="shared" si="9"/>
        <v>0</v>
      </c>
      <c r="C196">
        <f t="shared" si="10"/>
        <v>0</v>
      </c>
      <c r="D196" t="str">
        <f t="shared" si="11"/>
        <v/>
      </c>
      <c r="E196" t="s">
        <v>230</v>
      </c>
    </row>
    <row r="197" spans="1:5" x14ac:dyDescent="0.2">
      <c r="A197" cm="1">
        <f t="array" ref="A197">_xlfn.CONFIDENCE.NORM(0.05,3,50)</f>
        <v>0.83154229460980644</v>
      </c>
      <c r="B197">
        <f t="shared" si="9"/>
        <v>0</v>
      </c>
      <c r="C197">
        <f t="shared" si="10"/>
        <v>0.83154229460980644</v>
      </c>
      <c r="D197" t="str">
        <f t="shared" si="11"/>
        <v/>
      </c>
      <c r="E197" t="s">
        <v>231</v>
      </c>
    </row>
    <row r="198" spans="1:5" x14ac:dyDescent="0.2">
      <c r="A198" cm="1">
        <f t="array" ref="A198">POISSON(2,TRUE,TRUE)</f>
        <v>0.91969860292860584</v>
      </c>
      <c r="B198">
        <f t="shared" si="9"/>
        <v>0</v>
      </c>
      <c r="C198">
        <f t="shared" si="10"/>
        <v>0.91969860292860584</v>
      </c>
      <c r="D198" t="str">
        <f t="shared" si="11"/>
        <v/>
      </c>
      <c r="E198" t="s">
        <v>232</v>
      </c>
    </row>
    <row r="199" spans="1:5" x14ac:dyDescent="0.2">
      <c r="A199" t="e" cm="1" vm="5">
        <f t="array" aca="1" ref="A199" ca="1">_xlfn.POISSON.DIST({1,2,3},"x y",TRUE)</f>
        <v>#VALUE!</v>
      </c>
      <c r="B199">
        <f t="shared" ca="1" si="9"/>
        <v>9</v>
      </c>
      <c r="C199">
        <f t="shared" ca="1" si="10"/>
        <v>0</v>
      </c>
      <c r="D199" t="str">
        <f t="shared" ca="1" si="11"/>
        <v/>
      </c>
      <c r="E199" t="s">
        <v>233</v>
      </c>
    </row>
    <row r="200" spans="1:5" x14ac:dyDescent="0.2">
      <c r="A200" t="b" cm="1">
        <f t="array" ref="A200">NOT(FALSE)</f>
        <v>1</v>
      </c>
      <c r="B200">
        <f t="shared" si="9"/>
        <v>-1</v>
      </c>
      <c r="C200">
        <f t="shared" si="10"/>
        <v>0</v>
      </c>
      <c r="D200" t="str">
        <f t="shared" si="11"/>
        <v/>
      </c>
      <c r="E200" t="s">
        <v>234</v>
      </c>
    </row>
    <row r="201" spans="1:5" x14ac:dyDescent="0.2">
      <c r="A201" t="e" cm="1">
        <f t="array" ref="A201">POWER(5,2)&lt;=SUMPRODUCT({1,2;3,4},D!G4)</f>
        <v>#VALUE!</v>
      </c>
      <c r="B201">
        <f t="shared" si="9"/>
        <v>3</v>
      </c>
      <c r="C201">
        <f t="shared" si="10"/>
        <v>0</v>
      </c>
      <c r="D201" t="str">
        <f t="shared" si="11"/>
        <v/>
      </c>
      <c r="E201" t="s">
        <v>235</v>
      </c>
    </row>
    <row r="202" spans="1:5" x14ac:dyDescent="0.2">
      <c r="A202" t="e" cm="1">
        <f t="array" ref="A202">_xlfn.RANK.AVG(PROPER("abc"),D!G1:G7)</f>
        <v>#VALUE!</v>
      </c>
      <c r="B202">
        <f t="shared" si="9"/>
        <v>3</v>
      </c>
      <c r="C202">
        <f t="shared" si="10"/>
        <v>0</v>
      </c>
      <c r="D202" t="str">
        <f t="shared" si="11"/>
        <v/>
      </c>
      <c r="E202" t="s">
        <v>236</v>
      </c>
    </row>
    <row r="203" spans="1:5" x14ac:dyDescent="0.2">
      <c r="A203" t="e" cm="1" vm="3">
        <f t="array" aca="1" ref="A203" ca="1">MDURATION(DATE(2018,7,1),FALSE,0.08,0.09,2,{2,"a";TRUE,#N/A})</f>
        <v>#VALUE!</v>
      </c>
      <c r="B203">
        <f t="shared" ca="1" si="9"/>
        <v>9</v>
      </c>
      <c r="C203">
        <f t="shared" ca="1" si="10"/>
        <v>0</v>
      </c>
      <c r="D203" t="str">
        <f t="shared" ca="1" si="11"/>
        <v/>
      </c>
      <c r="E203" t="s">
        <v>237</v>
      </c>
    </row>
    <row r="204" spans="1:5" x14ac:dyDescent="0.2">
      <c r="A204" t="e" cm="1" vm="3">
        <f t="array" aca="1" ref="A204" ca="1">MINVERSE(D!P1:Q2)</f>
        <v>#VALUE!</v>
      </c>
      <c r="B204">
        <f t="shared" ca="1" si="9"/>
        <v>9</v>
      </c>
      <c r="C204">
        <f t="shared" ca="1" si="10"/>
        <v>0</v>
      </c>
      <c r="D204" t="str">
        <f t="shared" ca="1" si="11"/>
        <v/>
      </c>
      <c r="E204" t="s">
        <v>238</v>
      </c>
    </row>
    <row r="205" spans="1:5" x14ac:dyDescent="0.2">
      <c r="A205" cm="1">
        <f t="array" ref="A205">_xlfn.COT(30)</f>
        <v>-0.15611995216165919</v>
      </c>
      <c r="B205">
        <f t="shared" si="9"/>
        <v>0</v>
      </c>
      <c r="C205">
        <f t="shared" si="10"/>
        <v>-0.15611995216165919</v>
      </c>
      <c r="D205" t="str">
        <f t="shared" si="11"/>
        <v/>
      </c>
      <c r="E205" t="s">
        <v>239</v>
      </c>
    </row>
    <row r="206" spans="1:5" x14ac:dyDescent="0.2">
      <c r="A206" t="e" cm="1">
        <f t="array" ref="A206">PRICEMAT(DATE(2008,2,15),1,#VALUE!,0.061,0.061,0)</f>
        <v>#VALUE!</v>
      </c>
      <c r="B206">
        <f t="shared" si="9"/>
        <v>3</v>
      </c>
      <c r="C206">
        <f t="shared" si="10"/>
        <v>0</v>
      </c>
      <c r="D206" t="str">
        <f t="shared" si="11"/>
        <v/>
      </c>
      <c r="E206" t="s">
        <v>240</v>
      </c>
    </row>
    <row r="207" spans="1:5" x14ac:dyDescent="0.2">
      <c r="A207" t="e" cm="1">
        <f t="array" ref="A207">RSQ(D!AA1:AB2,D!C1:C8)</f>
        <v>#N/A</v>
      </c>
      <c r="B207">
        <f t="shared" si="9"/>
        <v>7</v>
      </c>
      <c r="C207">
        <f t="shared" si="10"/>
        <v>0</v>
      </c>
      <c r="D207" t="str">
        <f t="shared" si="11"/>
        <v/>
      </c>
      <c r="E207" t="s">
        <v>241</v>
      </c>
    </row>
    <row r="208" spans="1:5" x14ac:dyDescent="0.2">
      <c r="A208" cm="1">
        <f t="array" ref="A208">ATAN(1)</f>
        <v>0.78539816339744828</v>
      </c>
      <c r="B208">
        <f t="shared" si="9"/>
        <v>0</v>
      </c>
      <c r="C208">
        <f t="shared" si="10"/>
        <v>0.78539816339744828</v>
      </c>
      <c r="D208" t="str">
        <f t="shared" si="11"/>
        <v/>
      </c>
      <c r="E208" t="s">
        <v>242</v>
      </c>
    </row>
    <row r="209" spans="1:5" x14ac:dyDescent="0.2">
      <c r="A209" t="e" cm="1">
        <f t="array" ref="A209">ROWS(DPRODUCT(D!K1:K8,"Yield",D!A1:A5))</f>
        <v>#VALUE!</v>
      </c>
      <c r="B209">
        <f t="shared" si="9"/>
        <v>3</v>
      </c>
      <c r="C209">
        <f t="shared" si="10"/>
        <v>0</v>
      </c>
      <c r="D209" t="str">
        <f t="shared" si="11"/>
        <v/>
      </c>
      <c r="E209" t="s">
        <v>243</v>
      </c>
    </row>
    <row r="210" spans="1:5" x14ac:dyDescent="0.2">
      <c r="A210" cm="1">
        <f t="array" ref="A210">MODE(1,2,2)</f>
        <v>2</v>
      </c>
      <c r="B210">
        <f t="shared" si="9"/>
        <v>0</v>
      </c>
      <c r="C210">
        <f t="shared" si="10"/>
        <v>2</v>
      </c>
      <c r="D210" t="str">
        <f t="shared" si="11"/>
        <v/>
      </c>
      <c r="E210" t="s">
        <v>244</v>
      </c>
    </row>
    <row r="211" spans="1:5" x14ac:dyDescent="0.2">
      <c r="A211" cm="1">
        <f t="array" ref="A211">SUM(OCT2HEX("100",4))</f>
        <v>40</v>
      </c>
      <c r="B211">
        <f t="shared" si="9"/>
        <v>0</v>
      </c>
      <c r="C211">
        <f t="shared" si="10"/>
        <v>40</v>
      </c>
      <c r="D211" t="str">
        <f t="shared" si="11"/>
        <v/>
      </c>
      <c r="E211" t="s">
        <v>245</v>
      </c>
    </row>
    <row r="212" spans="1:5" x14ac:dyDescent="0.2">
      <c r="A212" t="e" cm="1">
        <f t="array" ref="A212">NA()</f>
        <v>#N/A</v>
      </c>
      <c r="B212">
        <f t="shared" si="9"/>
        <v>7</v>
      </c>
      <c r="C212">
        <f t="shared" si="10"/>
        <v>0</v>
      </c>
      <c r="D212" t="str">
        <f t="shared" si="11"/>
        <v/>
      </c>
      <c r="E212" t="s">
        <v>246</v>
      </c>
    </row>
    <row r="213" spans="1:5" x14ac:dyDescent="0.2">
      <c r="A213" cm="1">
        <f t="array" ref="A213">SUM(ISNUMBER(2.5))</f>
        <v>1</v>
      </c>
      <c r="B213">
        <f t="shared" si="9"/>
        <v>0</v>
      </c>
      <c r="C213">
        <f t="shared" si="10"/>
        <v>1</v>
      </c>
      <c r="D213" t="str">
        <f t="shared" si="11"/>
        <v/>
      </c>
      <c r="E213" t="s">
        <v>247</v>
      </c>
    </row>
    <row r="214" spans="1:5" x14ac:dyDescent="0.2">
      <c r="A214" cm="1">
        <f t="array" ref="A214">ROUNDDOWN(3.2,0)+COUPNCD(DATE(2011,1,25),DATE(2011,11,15),2,0.5)</f>
        <v>40681</v>
      </c>
      <c r="B214">
        <f t="shared" si="9"/>
        <v>0</v>
      </c>
      <c r="C214">
        <f t="shared" si="10"/>
        <v>40681</v>
      </c>
      <c r="D214" t="str">
        <f t="shared" si="11"/>
        <v/>
      </c>
      <c r="E214" t="s">
        <v>248</v>
      </c>
    </row>
    <row r="215" spans="1:5" x14ac:dyDescent="0.2">
      <c r="A215" t="e" cm="1">
        <f t="array" ref="A215">COLUMNS(VLOOKUP(5,D!B1:C8,_xlfn.CHISQ.INV(0.93,1),FALSE))</f>
        <v>#N/A</v>
      </c>
      <c r="B215">
        <f t="shared" si="9"/>
        <v>7</v>
      </c>
      <c r="C215">
        <f t="shared" si="10"/>
        <v>0</v>
      </c>
      <c r="D215" t="str">
        <f t="shared" si="11"/>
        <v/>
      </c>
      <c r="E215" t="s">
        <v>249</v>
      </c>
    </row>
    <row r="216" spans="1:5" x14ac:dyDescent="0.2">
      <c r="A216" t="e" cm="1">
        <f t="array" ref="A216">XNPV(0.09,D!B1:B3,D!AU1:AU5)</f>
        <v>#NUM!</v>
      </c>
      <c r="B216">
        <f t="shared" si="9"/>
        <v>6</v>
      </c>
      <c r="C216">
        <f t="shared" si="10"/>
        <v>0</v>
      </c>
      <c r="D216" t="str">
        <f t="shared" si="11"/>
        <v/>
      </c>
      <c r="E216" t="s">
        <v>250</v>
      </c>
    </row>
    <row r="217" spans="1:5" x14ac:dyDescent="0.2">
      <c r="A217" t="e" cm="1">
        <f t="array" aca="1" ref="A217" ca="1">SUMX2PY2(D!B1:B8,-SUMIF(D!B1:B8,"&gt;4",D!B3)*#REF!)&lt;&gt;CHITEST(10*_xlfn.GAMMA(2.5),D!AM1:AN3)</f>
        <v>#REF!</v>
      </c>
      <c r="B217">
        <f t="shared" ca="1" si="9"/>
        <v>4</v>
      </c>
      <c r="C217">
        <f t="shared" ca="1" si="10"/>
        <v>0</v>
      </c>
      <c r="D217" t="str">
        <f t="shared" ca="1" si="11"/>
        <v/>
      </c>
      <c r="E217" t="s">
        <v>251</v>
      </c>
    </row>
    <row r="218" spans="1:5" x14ac:dyDescent="0.2">
      <c r="A218" cm="1">
        <f t="array" ref="A218">_xlfn.CEILING.PRECISE(4.3)</f>
        <v>5</v>
      </c>
      <c r="B218">
        <f t="shared" si="9"/>
        <v>0</v>
      </c>
      <c r="C218">
        <f t="shared" si="10"/>
        <v>5</v>
      </c>
      <c r="D218" t="str">
        <f t="shared" si="11"/>
        <v/>
      </c>
      <c r="E218" t="s">
        <v>252</v>
      </c>
    </row>
    <row r="219" spans="1:5" x14ac:dyDescent="0.2">
      <c r="A219" t="e" cm="1">
        <f t="array" ref="A219">LOOKUP(4.19,D!L1:L6,MINVERSE(D!P1:Q2))</f>
        <v>#N/A</v>
      </c>
      <c r="B219">
        <f t="shared" si="9"/>
        <v>7</v>
      </c>
      <c r="C219">
        <f t="shared" si="10"/>
        <v>0</v>
      </c>
      <c r="D219" t="str">
        <f t="shared" si="11"/>
        <v/>
      </c>
      <c r="E219" t="s">
        <v>253</v>
      </c>
    </row>
    <row r="220" spans="1:5" x14ac:dyDescent="0.2">
      <c r="A220" t="b" cm="1">
        <f t="array" ref="A220">ISNONTEXT(2.5)</f>
        <v>1</v>
      </c>
      <c r="B220">
        <f t="shared" si="9"/>
        <v>-1</v>
      </c>
      <c r="C220">
        <f t="shared" si="10"/>
        <v>0</v>
      </c>
      <c r="D220" t="str">
        <f t="shared" si="11"/>
        <v/>
      </c>
      <c r="E220" t="s">
        <v>254</v>
      </c>
    </row>
    <row r="221" spans="1:5" x14ac:dyDescent="0.2">
      <c r="A221" cm="1">
        <f t="array" ref="A221">COLUMNS(SUBSTITUTE("Sales Data","Sales","Cost"))</f>
        <v>1</v>
      </c>
      <c r="B221">
        <f t="shared" si="9"/>
        <v>0</v>
      </c>
      <c r="C221">
        <f t="shared" si="10"/>
        <v>1</v>
      </c>
      <c r="D221" t="str">
        <f t="shared" si="11"/>
        <v/>
      </c>
      <c r="E221" t="s">
        <v>255</v>
      </c>
    </row>
    <row r="222" spans="1:5" x14ac:dyDescent="0.2">
      <c r="A222" cm="1">
        <f t="array" ref="A222">MULTINOMIAL(2,3)</f>
        <v>9.9999999999999982</v>
      </c>
      <c r="B222">
        <f t="shared" si="9"/>
        <v>0</v>
      </c>
      <c r="C222">
        <f t="shared" si="10"/>
        <v>9.9999999999999982</v>
      </c>
      <c r="D222" t="str">
        <f t="shared" si="11"/>
        <v/>
      </c>
      <c r="E222" t="s">
        <v>256</v>
      </c>
    </row>
    <row r="223" spans="1:5" x14ac:dyDescent="0.2">
      <c r="A223" t="e" cm="1" vm="9">
        <f t="array" ref="A223">_xlfn.DROP(D!A2,5)</f>
        <v>#VALUE!</v>
      </c>
      <c r="B223">
        <f t="shared" si="9"/>
        <v>14</v>
      </c>
      <c r="C223">
        <f t="shared" si="10"/>
        <v>0</v>
      </c>
      <c r="D223" t="str">
        <f t="shared" si="11"/>
        <v/>
      </c>
      <c r="E223" t="s">
        <v>257</v>
      </c>
    </row>
    <row r="224" spans="1:5" x14ac:dyDescent="0.2">
      <c r="A224" cm="1">
        <f t="array" ref="A224">_xlfn.T.INV(0.75,2)</f>
        <v>0.81649658092772592</v>
      </c>
      <c r="B224">
        <f t="shared" si="9"/>
        <v>0</v>
      </c>
      <c r="C224">
        <f t="shared" si="10"/>
        <v>0.81649658092772592</v>
      </c>
      <c r="D224" t="str">
        <f t="shared" si="11"/>
        <v/>
      </c>
      <c r="E224" t="s">
        <v>258</v>
      </c>
    </row>
    <row r="225" spans="1:5" x14ac:dyDescent="0.2">
      <c r="A225" t="e" cm="1">
        <f t="array" ref="A225">INDEX(SQRT(_xlfn.RANK.AVG(94,D!B1,D!M1:M6)),1,1)</f>
        <v>#VALUE!</v>
      </c>
      <c r="B225">
        <f t="shared" si="9"/>
        <v>3</v>
      </c>
      <c r="C225">
        <f t="shared" si="10"/>
        <v>0</v>
      </c>
      <c r="D225" t="str">
        <f t="shared" si="11"/>
        <v/>
      </c>
      <c r="E225" t="s">
        <v>259</v>
      </c>
    </row>
    <row r="226" spans="1:5" x14ac:dyDescent="0.2">
      <c r="A226" cm="1">
        <f t="array" ref="A226">SUM(_xlfn.CHOOSECOLS(D!L1:N6,2))</f>
        <v>0</v>
      </c>
      <c r="B226">
        <f t="shared" si="9"/>
        <v>0</v>
      </c>
      <c r="C226">
        <f t="shared" si="10"/>
        <v>0</v>
      </c>
      <c r="D226" t="str">
        <f t="shared" si="11"/>
        <v/>
      </c>
      <c r="E226" t="s">
        <v>260</v>
      </c>
    </row>
    <row r="227" spans="1:5" x14ac:dyDescent="0.2">
      <c r="A227" t="b" cm="1">
        <f t="array" ref="A227">IF(TRUE,FDIST(D!G4,"1.5",1000)&lt;_xlfn.IMSECH("4+3i"))</f>
        <v>1</v>
      </c>
      <c r="B227">
        <f t="shared" si="9"/>
        <v>-1</v>
      </c>
      <c r="C227">
        <f t="shared" si="10"/>
        <v>0</v>
      </c>
      <c r="D227" t="str">
        <f t="shared" si="11"/>
        <v/>
      </c>
      <c r="E227" t="s">
        <v>261</v>
      </c>
    </row>
    <row r="228" spans="1:5" x14ac:dyDescent="0.2">
      <c r="A228" cm="1">
        <f t="array" ref="A228">PRODUCT(0.5)</f>
        <v>0.5</v>
      </c>
      <c r="B228">
        <f t="shared" si="9"/>
        <v>0</v>
      </c>
      <c r="C228">
        <f t="shared" si="10"/>
        <v>0.5</v>
      </c>
      <c r="D228" t="str">
        <f t="shared" si="11"/>
        <v/>
      </c>
      <c r="E228" t="s">
        <v>262</v>
      </c>
    </row>
    <row r="229" spans="1:5" x14ac:dyDescent="0.2">
      <c r="A229" t="str" cm="1">
        <f t="array" ref="A229">_xlfn.TEXTJOIN(";",FALSE,IMAGINARY("3+4i"))</f>
        <v>4</v>
      </c>
      <c r="B229">
        <f t="shared" si="9"/>
        <v>-3</v>
      </c>
      <c r="C229">
        <f t="shared" si="10"/>
        <v>0</v>
      </c>
      <c r="D229" t="str">
        <f t="shared" si="11"/>
        <v>4</v>
      </c>
      <c r="E229" t="s">
        <v>263</v>
      </c>
    </row>
    <row r="230" spans="1:5" x14ac:dyDescent="0.2">
      <c r="A230" t="str" cm="1">
        <f t="array" ref="A230">_xlfn.CONCAT("a","b","c")</f>
        <v>abc</v>
      </c>
      <c r="B230">
        <f t="shared" si="9"/>
        <v>-3</v>
      </c>
      <c r="C230">
        <f t="shared" si="10"/>
        <v>0</v>
      </c>
      <c r="D230" t="str">
        <f t="shared" si="11"/>
        <v>abc</v>
      </c>
      <c r="E230" t="s">
        <v>264</v>
      </c>
    </row>
    <row r="231" spans="1:5" x14ac:dyDescent="0.2">
      <c r="A231" t="b" cm="1">
        <f t="array" ref="A231">ISODD(_xlfn.ERF.PRECISE(D!C2))</f>
        <v>1</v>
      </c>
      <c r="B231">
        <f t="shared" si="9"/>
        <v>-1</v>
      </c>
      <c r="C231">
        <f t="shared" si="10"/>
        <v>0</v>
      </c>
      <c r="D231" t="str">
        <f t="shared" si="11"/>
        <v/>
      </c>
      <c r="E231" t="s">
        <v>265</v>
      </c>
    </row>
    <row r="232" spans="1:5" x14ac:dyDescent="0.2">
      <c r="A232" t="str" cm="1">
        <f t="array" ref="A232">MID("50%",1,5)</f>
        <v>50%</v>
      </c>
      <c r="B232">
        <f t="shared" si="9"/>
        <v>-3</v>
      </c>
      <c r="C232">
        <f t="shared" si="10"/>
        <v>0</v>
      </c>
      <c r="D232" t="str">
        <f t="shared" si="11"/>
        <v>50%</v>
      </c>
      <c r="E232" t="s">
        <v>266</v>
      </c>
    </row>
    <row r="233" spans="1:5" x14ac:dyDescent="0.2">
      <c r="A233" t="e" cm="1">
        <f t="array" ref="A233">INDEX(_xlfn.CONCAT({"a","b"},YIELDDISC({3,1,2},"1/2/2025",99.795,{1,2;3,4},2),MMULT(D!K1:K8,D!R1:S2)),1,1)</f>
        <v>#VALUE!</v>
      </c>
      <c r="B233">
        <f t="shared" si="9"/>
        <v>3</v>
      </c>
      <c r="C233">
        <f t="shared" si="10"/>
        <v>0</v>
      </c>
      <c r="D233" t="str">
        <f t="shared" si="11"/>
        <v/>
      </c>
      <c r="E233" t="s">
        <v>267</v>
      </c>
    </row>
    <row r="234" spans="1:5" x14ac:dyDescent="0.2">
      <c r="A234" t="str" cm="1">
        <f t="array" ref="A234">IMPOWER(-1.5,3)</f>
        <v>-3.375+1.23995488413669E-15i</v>
      </c>
      <c r="B234">
        <f t="shared" si="9"/>
        <v>-3</v>
      </c>
      <c r="C234">
        <f t="shared" si="10"/>
        <v>0</v>
      </c>
      <c r="D234" t="str">
        <f t="shared" si="11"/>
        <v>-3.375+1.23995488413669E-15i</v>
      </c>
      <c r="E234" t="s">
        <v>268</v>
      </c>
    </row>
    <row r="235" spans="1:5" x14ac:dyDescent="0.2">
      <c r="A235" t="e" cm="1" vm="4">
        <f t="array" aca="1" ref="A235" ca="1">_xlfn.UNIQUE(D!AS1:AS8)</f>
        <v>#VALUE!</v>
      </c>
      <c r="B235">
        <f t="shared" ca="1" si="9"/>
        <v>9</v>
      </c>
      <c r="C235">
        <f t="shared" ca="1" si="10"/>
        <v>0</v>
      </c>
      <c r="D235" t="str">
        <f t="shared" ca="1" si="11"/>
        <v/>
      </c>
      <c r="E235" t="s">
        <v>269</v>
      </c>
    </row>
    <row r="236" spans="1:5" x14ac:dyDescent="0.2">
      <c r="A236" t="e" cm="1">
        <f t="array" ref="A236">ODDLPRICE(DATE(2008,2,7),DATE(2008,6,15),FALSE-2,D!A15,1000,3,D!C2&lt;1,0)</f>
        <v>#NUM!</v>
      </c>
      <c r="B236">
        <f t="shared" si="9"/>
        <v>6</v>
      </c>
      <c r="C236">
        <f t="shared" si="10"/>
        <v>0</v>
      </c>
      <c r="D236" t="str">
        <f t="shared" si="11"/>
        <v/>
      </c>
      <c r="E236" t="s">
        <v>270</v>
      </c>
    </row>
    <row r="237" spans="1:5" x14ac:dyDescent="0.2">
      <c r="A237" cm="1">
        <f t="array" ref="A237">_xlfn.STDEV.P(D!B1:B8)</f>
        <v>12.871320772846119</v>
      </c>
      <c r="B237">
        <f t="shared" si="9"/>
        <v>0</v>
      </c>
      <c r="C237">
        <f t="shared" si="10"/>
        <v>12.871320772846119</v>
      </c>
      <c r="D237" t="str">
        <f t="shared" si="11"/>
        <v/>
      </c>
      <c r="E237" t="s">
        <v>271</v>
      </c>
    </row>
    <row r="238" spans="1:5" x14ac:dyDescent="0.2">
      <c r="A238" cm="1">
        <f t="array" ref="A238">FINV(0.01,4,1)</f>
        <v>5624.5833296294431</v>
      </c>
      <c r="B238">
        <f t="shared" si="9"/>
        <v>0</v>
      </c>
      <c r="C238">
        <f t="shared" si="10"/>
        <v>5624.5833296294431</v>
      </c>
      <c r="D238" t="str">
        <f t="shared" si="11"/>
        <v/>
      </c>
      <c r="E238" t="s">
        <v>272</v>
      </c>
    </row>
    <row r="239" spans="1:5" x14ac:dyDescent="0.2">
      <c r="A239" t="e" cm="1">
        <f t="array" ref="A239">COLUMNS(SUMXMY2(EVEN(1.5)&lt;&gt;BETAINV(0.685470581,0,10,D!AY1:AY5,3),D!C1:C8))</f>
        <v>#N/A</v>
      </c>
      <c r="B239">
        <f t="shared" si="9"/>
        <v>7</v>
      </c>
      <c r="C239">
        <f t="shared" si="10"/>
        <v>0</v>
      </c>
      <c r="D239" t="str">
        <f t="shared" si="11"/>
        <v/>
      </c>
      <c r="E239" t="s">
        <v>273</v>
      </c>
    </row>
    <row r="240" spans="1:5" x14ac:dyDescent="0.2">
      <c r="A240" cm="1">
        <f t="array" ref="A240">SUBTOTAL(9,D!B2:B3,D!B1:B8,D!B3,D!B3)</f>
        <v>167.75</v>
      </c>
      <c r="B240">
        <f t="shared" si="9"/>
        <v>0</v>
      </c>
      <c r="C240">
        <f t="shared" si="10"/>
        <v>167.75</v>
      </c>
      <c r="D240" t="str">
        <f t="shared" si="11"/>
        <v/>
      </c>
      <c r="E240" t="s">
        <v>274</v>
      </c>
    </row>
    <row r="241" spans="1:5" x14ac:dyDescent="0.2">
      <c r="A241" t="e" cm="1">
        <f t="array" ref="A241">DMIN(D!B3,"Yield",D!B1:B3)</f>
        <v>#VALUE!</v>
      </c>
      <c r="B241">
        <f t="shared" si="9"/>
        <v>3</v>
      </c>
      <c r="C241">
        <f t="shared" si="10"/>
        <v>0</v>
      </c>
      <c r="D241" t="str">
        <f t="shared" si="11"/>
        <v/>
      </c>
      <c r="E241" t="s">
        <v>275</v>
      </c>
    </row>
    <row r="242" spans="1:5" x14ac:dyDescent="0.2">
      <c r="A242" cm="1">
        <f t="array" ref="A242">_xlfn.CEILING.PRECISE(4.3)</f>
        <v>5</v>
      </c>
      <c r="B242">
        <f t="shared" si="9"/>
        <v>0</v>
      </c>
      <c r="C242">
        <f t="shared" si="10"/>
        <v>5</v>
      </c>
      <c r="D242" t="str">
        <f t="shared" si="11"/>
        <v/>
      </c>
      <c r="E242" t="s">
        <v>276</v>
      </c>
    </row>
    <row r="243" spans="1:5" x14ac:dyDescent="0.2">
      <c r="A243" t="e" cm="1">
        <f t="array" ref="A243">SUM(_xlfn.SEQUENCE(2,-1,IRR(D!B1:C8)))</f>
        <v>#NUM!</v>
      </c>
      <c r="B243">
        <f t="shared" si="9"/>
        <v>6</v>
      </c>
      <c r="C243">
        <f t="shared" si="10"/>
        <v>0</v>
      </c>
      <c r="D243" t="str">
        <f t="shared" si="11"/>
        <v/>
      </c>
      <c r="E243" t="s">
        <v>277</v>
      </c>
    </row>
    <row r="244" spans="1:5" x14ac:dyDescent="0.2">
      <c r="A244" cm="1">
        <f t="array" ref="A244">BESSELJ(1.9,1)</f>
        <v>0.5811570728301696</v>
      </c>
      <c r="B244">
        <f t="shared" si="9"/>
        <v>0</v>
      </c>
      <c r="C244">
        <f t="shared" si="10"/>
        <v>0.5811570728301696</v>
      </c>
      <c r="D244" t="str">
        <f t="shared" si="11"/>
        <v/>
      </c>
      <c r="E244" t="s">
        <v>278</v>
      </c>
    </row>
    <row r="245" spans="1:5" x14ac:dyDescent="0.2">
      <c r="A245" cm="1">
        <f t="array" ref="A245">SUM(_xlfn.FLOOR.MATH(100,5))</f>
        <v>100</v>
      </c>
      <c r="B245">
        <f t="shared" si="9"/>
        <v>0</v>
      </c>
      <c r="C245">
        <f t="shared" si="10"/>
        <v>100</v>
      </c>
      <c r="D245" t="str">
        <f t="shared" si="11"/>
        <v/>
      </c>
      <c r="E245" t="s">
        <v>279</v>
      </c>
    </row>
    <row r="246" spans="1:5" x14ac:dyDescent="0.2">
      <c r="A246" cm="1">
        <f t="array" ref="A246">MAXA(2)</f>
        <v>2</v>
      </c>
      <c r="B246">
        <f t="shared" si="9"/>
        <v>0</v>
      </c>
      <c r="C246">
        <f t="shared" si="10"/>
        <v>2</v>
      </c>
      <c r="D246" t="str">
        <f t="shared" si="11"/>
        <v/>
      </c>
      <c r="E246" t="s">
        <v>280</v>
      </c>
    </row>
    <row r="247" spans="1:5" x14ac:dyDescent="0.2">
      <c r="A247" t="e" cm="1">
        <f t="array" ref="A247">DGET(D!B7,D!A15,D!B2:B3)</f>
        <v>#VALUE!</v>
      </c>
      <c r="B247">
        <f t="shared" si="9"/>
        <v>3</v>
      </c>
      <c r="C247">
        <f t="shared" si="10"/>
        <v>0</v>
      </c>
      <c r="D247" t="str">
        <f t="shared" si="11"/>
        <v/>
      </c>
      <c r="E247" t="s">
        <v>281</v>
      </c>
    </row>
    <row r="248" spans="1:5" x14ac:dyDescent="0.2">
      <c r="A248" cm="1">
        <f t="array" ref="A248">COUNTBLANK(D!F1:F7)</f>
        <v>0</v>
      </c>
      <c r="B248">
        <f t="shared" si="9"/>
        <v>0</v>
      </c>
      <c r="C248">
        <f t="shared" si="10"/>
        <v>0</v>
      </c>
      <c r="D248" t="str">
        <f t="shared" si="11"/>
        <v/>
      </c>
      <c r="E248" t="s">
        <v>282</v>
      </c>
    </row>
    <row r="249" spans="1:5" x14ac:dyDescent="0.2">
      <c r="A249" cm="1">
        <f t="array" ref="A249">_xlfn.MODE.SNGL(D!BF1:BF6,D!U1:Y7,{45658,45689})</f>
        <v>2</v>
      </c>
      <c r="B249">
        <f t="shared" si="9"/>
        <v>0</v>
      </c>
      <c r="C249">
        <f t="shared" si="10"/>
        <v>2</v>
      </c>
      <c r="D249" t="str">
        <f t="shared" si="11"/>
        <v/>
      </c>
      <c r="E249" t="s">
        <v>283</v>
      </c>
    </row>
    <row r="250" spans="1:5" x14ac:dyDescent="0.2">
      <c r="A250" cm="1">
        <f t="array" ref="A250">STANDARDIZE(42,2.5-1000,1.5)</f>
        <v>693</v>
      </c>
      <c r="B250">
        <f t="shared" si="9"/>
        <v>0</v>
      </c>
      <c r="C250">
        <f t="shared" si="10"/>
        <v>693</v>
      </c>
      <c r="D250" t="str">
        <f t="shared" si="11"/>
        <v/>
      </c>
      <c r="E250" t="s">
        <v>284</v>
      </c>
    </row>
    <row r="251" spans="1:5" x14ac:dyDescent="0.2">
      <c r="A251" t="e" cm="1">
        <f t="array" ref="A251">RECEIVED(D!A2,DATE(2008,5,15),D!B3,0.0575,"31-Jan-2025")</f>
        <v>#NUM!</v>
      </c>
      <c r="B251">
        <f t="shared" si="9"/>
        <v>6</v>
      </c>
      <c r="C251">
        <f t="shared" si="10"/>
        <v>0</v>
      </c>
      <c r="D251" t="str">
        <f t="shared" si="11"/>
        <v/>
      </c>
      <c r="E251" t="s">
        <v>285</v>
      </c>
    </row>
    <row r="252" spans="1:5" x14ac:dyDescent="0.2">
      <c r="A252" t="e" cm="1">
        <f t="array" ref="A252">_xlfn.T.INV.2T(#REF!,60)^_xlfn.BITLSHIFT(D!A12,2)</f>
        <v>#REF!</v>
      </c>
      <c r="B252">
        <f t="shared" si="9"/>
        <v>4</v>
      </c>
      <c r="C252">
        <f t="shared" si="10"/>
        <v>0</v>
      </c>
      <c r="D252" t="str">
        <f t="shared" si="11"/>
        <v/>
      </c>
      <c r="E252" t="s">
        <v>286</v>
      </c>
    </row>
    <row r="253" spans="1:5" x14ac:dyDescent="0.2">
      <c r="A253" t="e" cm="1">
        <f t="array" ref="A253">SUM(INTRATE(-1,DATE(2008,5,15),#DIV/0!,BESSELJ(D!B3,1),2))</f>
        <v>#NUM!</v>
      </c>
      <c r="B253">
        <f t="shared" si="9"/>
        <v>6</v>
      </c>
      <c r="C253">
        <f t="shared" si="10"/>
        <v>0</v>
      </c>
      <c r="D253" t="str">
        <f t="shared" si="11"/>
        <v/>
      </c>
      <c r="E253" t="s">
        <v>287</v>
      </c>
    </row>
    <row r="254" spans="1:5" x14ac:dyDescent="0.2">
      <c r="A254" t="e" cm="1">
        <f t="array" ref="A254">SERIESSUM(1000,#VALUE!,2,D!AR1:AR4)</f>
        <v>#VALUE!</v>
      </c>
      <c r="B254">
        <f t="shared" si="9"/>
        <v>3</v>
      </c>
      <c r="C254">
        <f t="shared" si="10"/>
        <v>0</v>
      </c>
      <c r="D254" t="str">
        <f t="shared" si="11"/>
        <v/>
      </c>
      <c r="E254" t="s">
        <v>288</v>
      </c>
    </row>
    <row r="255" spans="1:5" x14ac:dyDescent="0.2">
      <c r="A255" cm="1">
        <f t="array" ref="A255">_xlfn.ERFC.PRECISE(1)</f>
        <v>0.15729920705028513</v>
      </c>
      <c r="B255">
        <f t="shared" si="9"/>
        <v>0</v>
      </c>
      <c r="C255">
        <f t="shared" si="10"/>
        <v>0.15729920705028513</v>
      </c>
      <c r="D255" t="str">
        <f t="shared" si="11"/>
        <v/>
      </c>
      <c r="E255" t="s">
        <v>289</v>
      </c>
    </row>
    <row r="256" spans="1:5" x14ac:dyDescent="0.2">
      <c r="A256" cm="1">
        <f t="array" ref="A256">QUOTIENT(40000,3)</f>
        <v>13333</v>
      </c>
      <c r="B256">
        <f t="shared" si="9"/>
        <v>0</v>
      </c>
      <c r="C256">
        <f t="shared" si="10"/>
        <v>13333</v>
      </c>
      <c r="D256" t="str">
        <f t="shared" si="11"/>
        <v/>
      </c>
      <c r="E256" t="s">
        <v>290</v>
      </c>
    </row>
    <row r="257" spans="1:5" x14ac:dyDescent="0.2">
      <c r="A257" t="e" cm="1">
        <f t="array" ref="A257">_xlfn.T.INV.2T(2,60)</f>
        <v>#NUM!</v>
      </c>
      <c r="B257">
        <f t="shared" ref="B257:B320" si="12">IF(ISERROR(A257),ERROR.TYPE(A257),IF(ISNUMBER(A257),0,IF(ISLOGICAL(A257),IF(A257,-1,-2),IF(ISTEXT(A257),-3,-4))))</f>
        <v>6</v>
      </c>
      <c r="C257">
        <f t="shared" ref="C257:C320" si="13">IF(ISNUMBER(A257),A257,0)</f>
        <v>0</v>
      </c>
      <c r="D257" t="str">
        <f t="shared" ref="D257:D320" si="14">IF(ISTEXT(A257),A257,"")</f>
        <v/>
      </c>
      <c r="E257" t="s">
        <v>291</v>
      </c>
    </row>
    <row r="258" spans="1:5" x14ac:dyDescent="0.2">
      <c r="A258" t="e" cm="1">
        <f t="array" ref="A258">_xlfn.AGGREGATE(9,4,D!B2:B3)&amp;_xlfn.DAYS(_xlfn.TEXTJOIN(", ","?",D!H1:H7,{1},"b"),44228)</f>
        <v>#VALUE!</v>
      </c>
      <c r="B258">
        <f t="shared" si="12"/>
        <v>3</v>
      </c>
      <c r="C258">
        <f t="shared" si="13"/>
        <v>0</v>
      </c>
      <c r="D258" t="str">
        <f t="shared" si="14"/>
        <v/>
      </c>
      <c r="E258" t="s">
        <v>292</v>
      </c>
    </row>
    <row r="259" spans="1:5" x14ac:dyDescent="0.2">
      <c r="A259" cm="1">
        <f t="array" ref="A259">ROWS(COS(1.047))</f>
        <v>1</v>
      </c>
      <c r="B259">
        <f t="shared" si="12"/>
        <v>0</v>
      </c>
      <c r="C259">
        <f t="shared" si="13"/>
        <v>1</v>
      </c>
      <c r="D259" t="str">
        <f t="shared" si="14"/>
        <v/>
      </c>
      <c r="E259" t="s">
        <v>293</v>
      </c>
    </row>
    <row r="260" spans="1:5" x14ac:dyDescent="0.2">
      <c r="A260" cm="1">
        <f t="array" ref="A260">IMREAL("6-9i")</f>
        <v>6</v>
      </c>
      <c r="B260">
        <f t="shared" si="12"/>
        <v>0</v>
      </c>
      <c r="C260">
        <f t="shared" si="13"/>
        <v>6</v>
      </c>
      <c r="D260" t="str">
        <f t="shared" si="14"/>
        <v/>
      </c>
      <c r="E260" t="s">
        <v>294</v>
      </c>
    </row>
    <row r="261" spans="1:5" x14ac:dyDescent="0.2">
      <c r="A261" t="b" cm="1">
        <f t="array" ref="A261">TAN(0.785)&gt;TANH(-2)</f>
        <v>1</v>
      </c>
      <c r="B261">
        <f t="shared" si="12"/>
        <v>-1</v>
      </c>
      <c r="C261">
        <f t="shared" si="13"/>
        <v>0</v>
      </c>
      <c r="D261" t="str">
        <f t="shared" si="14"/>
        <v/>
      </c>
      <c r="E261" t="s">
        <v>295</v>
      </c>
    </row>
    <row r="262" spans="1:5" x14ac:dyDescent="0.2">
      <c r="A262" t="e" cm="1">
        <f t="array" ref="A262">ODDFPRICE(61,D!G4,D!A13,DATE(2009,3,1),0.0785,0.0625,100,2,"31-Jan-2025")</f>
        <v>#VALUE!</v>
      </c>
      <c r="B262">
        <f t="shared" si="12"/>
        <v>3</v>
      </c>
      <c r="C262">
        <f t="shared" si="13"/>
        <v>0</v>
      </c>
      <c r="D262" t="str">
        <f t="shared" si="14"/>
        <v/>
      </c>
      <c r="E262" t="s">
        <v>296</v>
      </c>
    </row>
    <row r="263" spans="1:5" x14ac:dyDescent="0.2">
      <c r="A263" t="e" cm="1">
        <f t="array" ref="A263">_xlfn.RANK.EQ(94,D!AZ1:AZ5)</f>
        <v>#N/A</v>
      </c>
      <c r="B263">
        <f t="shared" si="12"/>
        <v>7</v>
      </c>
      <c r="C263">
        <f t="shared" si="13"/>
        <v>0</v>
      </c>
      <c r="D263" t="str">
        <f t="shared" si="14"/>
        <v/>
      </c>
      <c r="E263" t="s">
        <v>297</v>
      </c>
    </row>
    <row r="264" spans="1:5" x14ac:dyDescent="0.2">
      <c r="A264" t="e" cm="1" vm="10">
        <f t="array" aca="1" ref="A264" ca="1">BIN2HEX(_xlfn.VSTACK({"a","b"},D!N1:N6),IMEXP("1+i"))</f>
        <v>#VALUE!</v>
      </c>
      <c r="B264">
        <f t="shared" ca="1" si="12"/>
        <v>9</v>
      </c>
      <c r="C264">
        <f t="shared" ca="1" si="13"/>
        <v>0</v>
      </c>
      <c r="D264" t="str">
        <f t="shared" ca="1" si="14"/>
        <v/>
      </c>
      <c r="E264" t="s">
        <v>298</v>
      </c>
    </row>
    <row r="265" spans="1:5" x14ac:dyDescent="0.2">
      <c r="A265" t="e" cm="1">
        <f t="array" ref="A265">SUM(_xlfn.CHOOSECOLS(D!L1:N6,5,-1))</f>
        <v>#VALUE!</v>
      </c>
      <c r="B265">
        <f t="shared" si="12"/>
        <v>3</v>
      </c>
      <c r="C265">
        <f t="shared" si="13"/>
        <v>0</v>
      </c>
      <c r="D265" t="str">
        <f t="shared" si="14"/>
        <v/>
      </c>
      <c r="E265" t="s">
        <v>299</v>
      </c>
    </row>
    <row r="266" spans="1:5" x14ac:dyDescent="0.2">
      <c r="A266" t="e" cm="1">
        <f t="array" ref="A266">COMPLEX(-1&lt;T("1E2"),0.5)</f>
        <v>#VALUE!</v>
      </c>
      <c r="B266">
        <f t="shared" si="12"/>
        <v>3</v>
      </c>
      <c r="C266">
        <f t="shared" si="13"/>
        <v>0</v>
      </c>
      <c r="D266" t="str">
        <f t="shared" si="14"/>
        <v/>
      </c>
      <c r="E266" t="s">
        <v>300</v>
      </c>
    </row>
    <row r="267" spans="1:5" x14ac:dyDescent="0.2">
      <c r="A267" t="e" cm="1">
        <f t="array" ref="A267">BETAINV(0.685470581,CUMIPMT(0.0075,_xlfn.TEXTSPLIT(#NAME?,D!N1:N6),125000,D!B1:B8,24,0),D!A9%&amp;"a*",-1,3)</f>
        <v>#NAME?</v>
      </c>
      <c r="B267">
        <f t="shared" si="12"/>
        <v>5</v>
      </c>
      <c r="C267">
        <f t="shared" si="13"/>
        <v>0</v>
      </c>
      <c r="D267" t="str">
        <f t="shared" si="14"/>
        <v/>
      </c>
      <c r="E267" t="s">
        <v>301</v>
      </c>
    </row>
    <row r="268" spans="1:5" x14ac:dyDescent="0.2">
      <c r="A268" t="e" cm="1">
        <f t="array" ref="A268">SUM(TTEST({"x";""},D!C1:C8,2,100))</f>
        <v>#NUM!</v>
      </c>
      <c r="B268">
        <f t="shared" si="12"/>
        <v>6</v>
      </c>
      <c r="C268">
        <f t="shared" si="13"/>
        <v>0</v>
      </c>
      <c r="D268" t="str">
        <f t="shared" si="14"/>
        <v/>
      </c>
      <c r="E268" t="s">
        <v>302</v>
      </c>
    </row>
    <row r="269" spans="1:5" x14ac:dyDescent="0.2">
      <c r="A269" t="e" cm="1">
        <f t="array" ref="A269">_xlfn.TOCOL(D!P4:R5,-1.5)</f>
        <v>#VALUE!</v>
      </c>
      <c r="B269">
        <f t="shared" si="12"/>
        <v>3</v>
      </c>
      <c r="C269">
        <f t="shared" si="13"/>
        <v>0</v>
      </c>
      <c r="D269" t="str">
        <f t="shared" si="14"/>
        <v/>
      </c>
      <c r="E269" t="s">
        <v>303</v>
      </c>
    </row>
    <row r="270" spans="1:5" x14ac:dyDescent="0.2">
      <c r="A270" t="e" cm="1">
        <f t="array" ref="A270">COLUMNS(SUMIFS(D!N2,D!AW1:AW4,"&gt;4"))</f>
        <v>#VALUE!</v>
      </c>
      <c r="B270">
        <f t="shared" si="12"/>
        <v>3</v>
      </c>
      <c r="C270">
        <f t="shared" si="13"/>
        <v>0</v>
      </c>
      <c r="D270" t="str">
        <f t="shared" si="14"/>
        <v/>
      </c>
      <c r="E270" t="s">
        <v>304</v>
      </c>
    </row>
    <row r="271" spans="1:5" x14ac:dyDescent="0.2">
      <c r="A271" cm="1">
        <f t="array" ref="A271">COUNTA(D!B1:B8)</f>
        <v>8</v>
      </c>
      <c r="B271">
        <f t="shared" si="12"/>
        <v>0</v>
      </c>
      <c r="C271">
        <f t="shared" si="13"/>
        <v>8</v>
      </c>
      <c r="D271" t="str">
        <f t="shared" si="14"/>
        <v/>
      </c>
      <c r="E271" t="s">
        <v>305</v>
      </c>
    </row>
    <row r="272" spans="1:5" x14ac:dyDescent="0.2">
      <c r="A272" t="e" cm="1">
        <f t="array" ref="A272">_xlfn.TEXTJOIN(";",FALSE,TREND(D!H1:H7,INDEX(D!P4:R5,2,3,3),D!D1:D8))</f>
        <v>#REF!</v>
      </c>
      <c r="B272">
        <f t="shared" si="12"/>
        <v>4</v>
      </c>
      <c r="C272">
        <f t="shared" si="13"/>
        <v>0</v>
      </c>
      <c r="D272" t="str">
        <f t="shared" si="14"/>
        <v/>
      </c>
      <c r="E272" t="s">
        <v>306</v>
      </c>
    </row>
    <row r="273" spans="1:5" x14ac:dyDescent="0.2">
      <c r="A273" t="e" cm="1" vm="11">
        <f t="array" aca="1" ref="A273" ca="1">_xlfn.TOROW(D!I1:I5&gt;TBILLPRICE(39538,"6:35 AM",DSTDEVP(D!B1:B3,D!B3,D!AW1:AW4)))-FV(D!B7-"1.5",10,-200,"-4","2025-01-31 12:00")</f>
        <v>#VALUE!</v>
      </c>
      <c r="B273">
        <f t="shared" ca="1" si="12"/>
        <v>9</v>
      </c>
      <c r="C273">
        <f t="shared" ca="1" si="13"/>
        <v>0</v>
      </c>
      <c r="D273" t="str">
        <f t="shared" ca="1" si="14"/>
        <v/>
      </c>
      <c r="E273" t="s">
        <v>307</v>
      </c>
    </row>
    <row r="274" spans="1:5" x14ac:dyDescent="0.2">
      <c r="A274" t="e" cm="1">
        <f t="array" ref="A274">ROWS(_xlfn.PERCENTRANK.EXC(D!B3,8))</f>
        <v>#N/A</v>
      </c>
      <c r="B274">
        <f t="shared" si="12"/>
        <v>7</v>
      </c>
      <c r="C274">
        <f t="shared" si="13"/>
        <v>0</v>
      </c>
      <c r="D274" t="str">
        <f t="shared" si="14"/>
        <v/>
      </c>
      <c r="E274" t="s">
        <v>308</v>
      </c>
    </row>
    <row r="275" spans="1:5" x14ac:dyDescent="0.2">
      <c r="A275" t="e" cm="1">
        <f t="array" ref="A275">SUM(VAR(1,2,_xlfn.TEXTSPLIT("Привет",D!L1:L6,D!D1:D8/_xlfn.BINOM.DIST.RANGE(D!B1,0.75,"A"))))</f>
        <v>#VALUE!</v>
      </c>
      <c r="B275">
        <f t="shared" si="12"/>
        <v>3</v>
      </c>
      <c r="C275">
        <f t="shared" si="13"/>
        <v>0</v>
      </c>
      <c r="D275" t="str">
        <f t="shared" si="14"/>
        <v/>
      </c>
      <c r="E275" t="s">
        <v>309</v>
      </c>
    </row>
    <row r="276" spans="1:5" x14ac:dyDescent="0.2">
      <c r="A276" cm="1">
        <f t="array" ref="A276">_xlfn.AGGREGATE(9,4,D!AV1:AV7)</f>
        <v>42</v>
      </c>
      <c r="B276">
        <f t="shared" si="12"/>
        <v>0</v>
      </c>
      <c r="C276">
        <f t="shared" si="13"/>
        <v>42</v>
      </c>
      <c r="D276" t="str">
        <f t="shared" si="14"/>
        <v/>
      </c>
      <c r="E276" t="s">
        <v>310</v>
      </c>
    </row>
    <row r="277" spans="1:5" x14ac:dyDescent="0.2">
      <c r="A277" t="e" cm="1">
        <f t="array" ref="A277">DCOUNTA(D!AY1:AY5,D!A7,D!AZ1:AZ5)</f>
        <v>#VALUE!</v>
      </c>
      <c r="B277">
        <f t="shared" si="12"/>
        <v>3</v>
      </c>
      <c r="C277">
        <f t="shared" si="13"/>
        <v>0</v>
      </c>
      <c r="D277" t="str">
        <f t="shared" si="14"/>
        <v/>
      </c>
      <c r="E277" t="s">
        <v>311</v>
      </c>
    </row>
    <row r="278" spans="1:5" x14ac:dyDescent="0.2">
      <c r="A278" cm="1">
        <f t="array" ref="A278">STDEVA(D!B1:B8)</f>
        <v>13.760020699216158</v>
      </c>
      <c r="B278">
        <f t="shared" si="12"/>
        <v>0</v>
      </c>
      <c r="C278">
        <f t="shared" si="13"/>
        <v>13.760020699216158</v>
      </c>
      <c r="D278" t="str">
        <f t="shared" si="14"/>
        <v/>
      </c>
      <c r="E278" t="s">
        <v>312</v>
      </c>
    </row>
    <row r="279" spans="1:5" x14ac:dyDescent="0.2">
      <c r="A279" cm="1">
        <f t="array" ref="A279">_xlfn.BITAND(HOUR("6:35 AM"),5)</f>
        <v>4</v>
      </c>
      <c r="B279">
        <f t="shared" si="12"/>
        <v>0</v>
      </c>
      <c r="C279">
        <f t="shared" si="13"/>
        <v>4</v>
      </c>
      <c r="D279" t="str">
        <f t="shared" si="14"/>
        <v/>
      </c>
      <c r="E279" t="s">
        <v>313</v>
      </c>
    </row>
    <row r="280" spans="1:5" x14ac:dyDescent="0.2">
      <c r="A280" t="e" cm="1">
        <f t="array" ref="A280">COLUMNS(DVAR(D!AW1:AW4,"TRUE"&lt;=" 2 ",D!A12))</f>
        <v>#VALUE!</v>
      </c>
      <c r="B280">
        <f t="shared" si="12"/>
        <v>3</v>
      </c>
      <c r="C280">
        <f t="shared" si="13"/>
        <v>0</v>
      </c>
      <c r="D280" t="str">
        <f t="shared" si="14"/>
        <v/>
      </c>
      <c r="E280" t="s">
        <v>314</v>
      </c>
    </row>
    <row r="281" spans="1:5" x14ac:dyDescent="0.2">
      <c r="A281" cm="1">
        <f t="array" ref="A281">SQRTPI(1)</f>
        <v>1.7724538509055159</v>
      </c>
      <c r="B281">
        <f t="shared" si="12"/>
        <v>0</v>
      </c>
      <c r="C281">
        <f t="shared" si="13"/>
        <v>1.7724538509055159</v>
      </c>
      <c r="D281" t="str">
        <f t="shared" si="14"/>
        <v/>
      </c>
      <c r="E281" t="s">
        <v>315</v>
      </c>
    </row>
    <row r="282" spans="1:5" x14ac:dyDescent="0.2">
      <c r="A282" cm="1">
        <f t="array" ref="A282">ROUND(2.15,1)</f>
        <v>2.2000000000000002</v>
      </c>
      <c r="B282">
        <f t="shared" si="12"/>
        <v>0</v>
      </c>
      <c r="C282">
        <f t="shared" si="13"/>
        <v>2.2000000000000002</v>
      </c>
      <c r="D282" t="str">
        <f t="shared" si="14"/>
        <v/>
      </c>
      <c r="E282" t="s">
        <v>316</v>
      </c>
    </row>
    <row r="283" spans="1:5" x14ac:dyDescent="0.2">
      <c r="A283" cm="1">
        <f t="array" ref="A283">SQRT(D!G4)</f>
        <v>2.8284271247461903</v>
      </c>
      <c r="B283">
        <f t="shared" si="12"/>
        <v>0</v>
      </c>
      <c r="C283">
        <f t="shared" si="13"/>
        <v>2.8284271247461903</v>
      </c>
      <c r="D283" t="str">
        <f t="shared" si="14"/>
        <v/>
      </c>
      <c r="E283" t="s">
        <v>317</v>
      </c>
    </row>
    <row r="284" spans="1:5" x14ac:dyDescent="0.2">
      <c r="A284" t="e" cm="1">
        <f t="array" ref="A284">DEVSQ({"x";""})</f>
        <v>#NUM!</v>
      </c>
      <c r="B284">
        <f t="shared" si="12"/>
        <v>6</v>
      </c>
      <c r="C284">
        <f t="shared" si="13"/>
        <v>0</v>
      </c>
      <c r="D284" t="str">
        <f t="shared" si="14"/>
        <v/>
      </c>
      <c r="E284" t="s">
        <v>318</v>
      </c>
    </row>
    <row r="285" spans="1:5" x14ac:dyDescent="0.2">
      <c r="A285" t="e" cm="1">
        <f t="array" ref="A285">DOLLARFR(1.125,"aBc")</f>
        <v>#VALUE!</v>
      </c>
      <c r="B285">
        <f t="shared" si="12"/>
        <v>3</v>
      </c>
      <c r="C285">
        <f t="shared" si="13"/>
        <v>0</v>
      </c>
      <c r="D285" t="str">
        <f t="shared" si="14"/>
        <v/>
      </c>
      <c r="E285" t="s">
        <v>319</v>
      </c>
    </row>
    <row r="286" spans="1:5" x14ac:dyDescent="0.2">
      <c r="A286" cm="1">
        <f t="array" ref="A286">_xlfn.COT("1E2")</f>
        <v>-1.7029569194264691</v>
      </c>
      <c r="B286">
        <f t="shared" si="12"/>
        <v>0</v>
      </c>
      <c r="C286">
        <f t="shared" si="13"/>
        <v>-1.7029569194264691</v>
      </c>
      <c r="D286" t="str">
        <f t="shared" si="14"/>
        <v/>
      </c>
      <c r="E286" t="s">
        <v>320</v>
      </c>
    </row>
    <row r="287" spans="1:5" x14ac:dyDescent="0.2">
      <c r="A287" cm="1">
        <f t="array" ref="A287">MOD(2,1)</f>
        <v>0</v>
      </c>
      <c r="B287">
        <f t="shared" si="12"/>
        <v>0</v>
      </c>
      <c r="C287">
        <f t="shared" si="13"/>
        <v>0</v>
      </c>
      <c r="D287" t="str">
        <f t="shared" si="14"/>
        <v/>
      </c>
      <c r="E287" t="s">
        <v>321</v>
      </c>
    </row>
    <row r="288" spans="1:5" x14ac:dyDescent="0.2">
      <c r="A288" t="str" cm="1">
        <f t="array" ref="A288">LOWER("abc")</f>
        <v>abc</v>
      </c>
      <c r="B288">
        <f t="shared" si="12"/>
        <v>-3</v>
      </c>
      <c r="C288">
        <f t="shared" si="13"/>
        <v>0</v>
      </c>
      <c r="D288" t="str">
        <f t="shared" si="14"/>
        <v>abc</v>
      </c>
      <c r="E288" t="s">
        <v>322</v>
      </c>
    </row>
    <row r="289" spans="1:5" x14ac:dyDescent="0.2">
      <c r="A289" cm="1">
        <f t="array" ref="A289">ROWS(_xlfn.IMCOSH("4+3i"))</f>
        <v>1</v>
      </c>
      <c r="B289">
        <f t="shared" si="12"/>
        <v>0</v>
      </c>
      <c r="C289">
        <f t="shared" si="13"/>
        <v>1</v>
      </c>
      <c r="D289" t="str">
        <f t="shared" si="14"/>
        <v/>
      </c>
      <c r="E289" t="s">
        <v>323</v>
      </c>
    </row>
    <row r="290" spans="1:5" x14ac:dyDescent="0.2">
      <c r="A290" t="e" cm="1">
        <f t="array" ref="A290">PRICEDISC(39494,"x y",0.0525,D!N2&gt;0,D!G4)</f>
        <v>#NUM!</v>
      </c>
      <c r="B290">
        <f t="shared" si="12"/>
        <v>6</v>
      </c>
      <c r="C290">
        <f t="shared" si="13"/>
        <v>0</v>
      </c>
      <c r="D290" t="str">
        <f t="shared" si="14"/>
        <v/>
      </c>
      <c r="E290" t="s">
        <v>324</v>
      </c>
    </row>
    <row r="291" spans="1:5" x14ac:dyDescent="0.2">
      <c r="A291" t="e" cm="1">
        <f t="array" ref="A291">DATEVALUE(FALSE)</f>
        <v>#VALUE!</v>
      </c>
      <c r="B291">
        <f t="shared" si="12"/>
        <v>3</v>
      </c>
      <c r="C291">
        <f t="shared" si="13"/>
        <v>0</v>
      </c>
      <c r="D291" t="str">
        <f t="shared" si="14"/>
        <v/>
      </c>
      <c r="E291" t="s">
        <v>325</v>
      </c>
    </row>
    <row r="292" spans="1:5" x14ac:dyDescent="0.2">
      <c r="A292" t="e" cm="1">
        <f t="array" ref="A292">ACOSH("x y")&lt;=PRODUCT(D!D1:D8)</f>
        <v>#VALUE!</v>
      </c>
      <c r="B292">
        <f t="shared" si="12"/>
        <v>3</v>
      </c>
      <c r="C292">
        <f t="shared" si="13"/>
        <v>0</v>
      </c>
      <c r="D292" t="str">
        <f t="shared" si="14"/>
        <v/>
      </c>
      <c r="E292" t="s">
        <v>326</v>
      </c>
    </row>
    <row r="293" spans="1:5" x14ac:dyDescent="0.2">
      <c r="A293" t="e" cm="1">
        <f t="array" ref="A293">_xlfn.TEXTJOIN(";",FALSE,_xlfn.CHOOSEROWS(D!L1:N6,0,5,-1))</f>
        <v>#VALUE!</v>
      </c>
      <c r="B293">
        <f t="shared" si="12"/>
        <v>3</v>
      </c>
      <c r="C293">
        <f t="shared" si="13"/>
        <v>0</v>
      </c>
      <c r="D293" t="str">
        <f t="shared" si="14"/>
        <v/>
      </c>
      <c r="E293" t="s">
        <v>327</v>
      </c>
    </row>
    <row r="294" spans="1:5" x14ac:dyDescent="0.2">
      <c r="A294" t="e" cm="1">
        <f t="array" ref="A294">SEARCHB(MIDB("",2,3)," ",45658)</f>
        <v>#VALUE!</v>
      </c>
      <c r="B294">
        <f t="shared" si="12"/>
        <v>3</v>
      </c>
      <c r="C294">
        <f t="shared" si="13"/>
        <v>0</v>
      </c>
      <c r="D294" t="str">
        <f t="shared" si="14"/>
        <v/>
      </c>
      <c r="E294" t="s">
        <v>328</v>
      </c>
    </row>
    <row r="295" spans="1:5" x14ac:dyDescent="0.2">
      <c r="A295" t="e" cm="1">
        <f t="array" ref="A295">EXPONDIST(D!A13,10,TRUE)</f>
        <v>#VALUE!</v>
      </c>
      <c r="B295">
        <f t="shared" si="12"/>
        <v>3</v>
      </c>
      <c r="C295">
        <f t="shared" si="13"/>
        <v>0</v>
      </c>
      <c r="D295" t="str">
        <f t="shared" si="14"/>
        <v/>
      </c>
      <c r="E295" t="s">
        <v>329</v>
      </c>
    </row>
    <row r="296" spans="1:5" x14ac:dyDescent="0.2">
      <c r="A296" cm="1">
        <f t="array" ref="A296">ROWS(ISTEXT(2.5))</f>
        <v>1</v>
      </c>
      <c r="B296">
        <f t="shared" si="12"/>
        <v>0</v>
      </c>
      <c r="C296">
        <f t="shared" si="13"/>
        <v>1</v>
      </c>
      <c r="D296" t="str">
        <f t="shared" si="14"/>
        <v/>
      </c>
      <c r="E296" t="s">
        <v>330</v>
      </c>
    </row>
    <row r="297" spans="1:5" x14ac:dyDescent="0.2">
      <c r="A297" cm="1">
        <f t="array" aca="1" ref="A297" ca="1">INDEX(LOOKUP(4.19,D!L1:L6,D!B2:B3),1,1)</f>
        <v>16</v>
      </c>
      <c r="B297">
        <f t="shared" ca="1" si="12"/>
        <v>0</v>
      </c>
      <c r="C297">
        <f t="shared" ca="1" si="13"/>
        <v>16</v>
      </c>
      <c r="D297" t="str">
        <f t="shared" ca="1" si="14"/>
        <v/>
      </c>
      <c r="E297" t="s">
        <v>331</v>
      </c>
    </row>
    <row r="298" spans="1:5" x14ac:dyDescent="0.2">
      <c r="A298" cm="1">
        <f t="array" ref="A298">DAY(40648)</f>
        <v>15</v>
      </c>
      <c r="B298">
        <f t="shared" si="12"/>
        <v>0</v>
      </c>
      <c r="C298">
        <f t="shared" si="13"/>
        <v>15</v>
      </c>
      <c r="D298" t="str">
        <f t="shared" si="14"/>
        <v/>
      </c>
      <c r="E298" t="s">
        <v>332</v>
      </c>
    </row>
    <row r="299" spans="1:5" x14ac:dyDescent="0.2">
      <c r="A299" cm="1">
        <f t="array" ref="A299">COLUMNS(SUMIF(D!AW1:AW4,D!A3,D!AY1:AY5))</f>
        <v>1</v>
      </c>
      <c r="B299">
        <f t="shared" si="12"/>
        <v>0</v>
      </c>
      <c r="C299">
        <f t="shared" si="13"/>
        <v>1</v>
      </c>
      <c r="D299" t="str">
        <f t="shared" si="14"/>
        <v/>
      </c>
      <c r="E299" t="s">
        <v>333</v>
      </c>
    </row>
    <row r="300" spans="1:5" x14ac:dyDescent="0.2">
      <c r="A300" t="e" cm="1">
        <f t="array" ref="A300">_xlfn.XLOOKUP("A",_xlfn.GAMMALN.PRECISE(4),_xlfn.VSTACK(D!P1:Q2,D!B3),_xlfn._xlws.FILTER({1},D!B1:B8&gt;10))</f>
        <v>#VALUE!</v>
      </c>
      <c r="B300">
        <f t="shared" si="12"/>
        <v>3</v>
      </c>
      <c r="C300">
        <f t="shared" si="13"/>
        <v>0</v>
      </c>
      <c r="D300" t="str">
        <f t="shared" si="14"/>
        <v/>
      </c>
      <c r="E300" t="s">
        <v>334</v>
      </c>
    </row>
    <row r="301" spans="1:5" x14ac:dyDescent="0.2">
      <c r="A301" t="e" cm="1">
        <f t="array" ref="A301">ODDFPRICE(D!B1,1000,DATE(2008,10,15),DATE(2009,3,1),0.0785,0.0625,100,2)</f>
        <v>#NUM!</v>
      </c>
      <c r="B301">
        <f t="shared" si="12"/>
        <v>6</v>
      </c>
      <c r="C301">
        <f t="shared" si="13"/>
        <v>0</v>
      </c>
      <c r="D301" t="str">
        <f t="shared" si="14"/>
        <v/>
      </c>
      <c r="E301" t="s">
        <v>335</v>
      </c>
    </row>
    <row r="302" spans="1:5" x14ac:dyDescent="0.2">
      <c r="A302" t="e" cm="1">
        <f t="array" ref="A302">ROWS(_xlfn.STDEV.S(D!AY1:AY5,D!F1:F7*TRUE,D!AS1:AS8,_xlfn.SEQUENCE(1,5)))</f>
        <v>#VALUE!</v>
      </c>
      <c r="B302">
        <f t="shared" si="12"/>
        <v>3</v>
      </c>
      <c r="C302">
        <f t="shared" si="13"/>
        <v>0</v>
      </c>
      <c r="D302" t="str">
        <f t="shared" si="14"/>
        <v/>
      </c>
      <c r="E302" t="s">
        <v>336</v>
      </c>
    </row>
    <row r="303" spans="1:5" x14ac:dyDescent="0.2">
      <c r="A303" t="e" cm="1" vm="3">
        <f t="array" aca="1" ref="A303" ca="1">MINVERSE(D!P1:Q2)</f>
        <v>#VALUE!</v>
      </c>
      <c r="B303">
        <f t="shared" ca="1" si="12"/>
        <v>9</v>
      </c>
      <c r="C303">
        <f t="shared" ca="1" si="13"/>
        <v>0</v>
      </c>
      <c r="D303" t="str">
        <f t="shared" ca="1" si="14"/>
        <v/>
      </c>
      <c r="E303" t="s">
        <v>337</v>
      </c>
    </row>
    <row r="304" spans="1:5" x14ac:dyDescent="0.2">
      <c r="A304" cm="1">
        <f t="array" ref="A304">OCT2DEC("54")</f>
        <v>44</v>
      </c>
      <c r="B304">
        <f t="shared" si="12"/>
        <v>0</v>
      </c>
      <c r="C304">
        <f t="shared" si="13"/>
        <v>44</v>
      </c>
      <c r="D304" t="str">
        <f t="shared" si="14"/>
        <v/>
      </c>
      <c r="E304" t="s">
        <v>338</v>
      </c>
    </row>
    <row r="305" spans="1:5" x14ac:dyDescent="0.2">
      <c r="A305" cm="1">
        <f t="array" ref="A305">LN(86)</f>
        <v>4.4543472962535073</v>
      </c>
      <c r="B305">
        <f t="shared" si="12"/>
        <v>0</v>
      </c>
      <c r="C305">
        <f t="shared" si="13"/>
        <v>4.4543472962535073</v>
      </c>
      <c r="D305" t="str">
        <f t="shared" si="14"/>
        <v/>
      </c>
      <c r="E305" t="s">
        <v>339</v>
      </c>
    </row>
    <row r="306" spans="1:5" x14ac:dyDescent="0.2">
      <c r="A306" t="e" cm="1">
        <f t="array" ref="A306">FINDB("a,b","abc",-1.5)</f>
        <v>#VALUE!</v>
      </c>
      <c r="B306">
        <f t="shared" si="12"/>
        <v>3</v>
      </c>
      <c r="C306">
        <f t="shared" si="13"/>
        <v>0</v>
      </c>
      <c r="D306" t="str">
        <f t="shared" si="14"/>
        <v/>
      </c>
      <c r="E306" t="s">
        <v>340</v>
      </c>
    </row>
    <row r="307" spans="1:5" x14ac:dyDescent="0.2">
      <c r="A307" cm="1">
        <f t="array" ref="A307">KURT(D!B1:B8,D!G1:G7,{1,2,3})</f>
        <v>3.3945723432032828</v>
      </c>
      <c r="B307">
        <f t="shared" si="12"/>
        <v>0</v>
      </c>
      <c r="C307">
        <f t="shared" si="13"/>
        <v>3.3945723432032828</v>
      </c>
      <c r="D307" t="str">
        <f t="shared" si="14"/>
        <v/>
      </c>
      <c r="E307" t="s">
        <v>341</v>
      </c>
    </row>
    <row r="308" spans="1:5" x14ac:dyDescent="0.2">
      <c r="A308" cm="1">
        <f t="array" ref="A308">SUM({0.5;-1})</f>
        <v>-0.5</v>
      </c>
      <c r="B308">
        <f t="shared" si="12"/>
        <v>0</v>
      </c>
      <c r="C308">
        <f t="shared" si="13"/>
        <v>-0.5</v>
      </c>
      <c r="D308" t="str">
        <f t="shared" si="14"/>
        <v/>
      </c>
      <c r="E308" t="s">
        <v>342</v>
      </c>
    </row>
    <row r="309" spans="1:5" x14ac:dyDescent="0.2">
      <c r="A309" t="str" cm="1">
        <f t="array" ref="A309">IF(DEGREES(3.14159265358979)&gt;=D!A1,D!A10,D!N2)</f>
        <v>1.5</v>
      </c>
      <c r="B309">
        <f t="shared" si="12"/>
        <v>-3</v>
      </c>
      <c r="C309">
        <f t="shared" si="13"/>
        <v>0</v>
      </c>
      <c r="D309" t="str">
        <f t="shared" si="14"/>
        <v>1.5</v>
      </c>
      <c r="E309" t="s">
        <v>343</v>
      </c>
    </row>
    <row r="310" spans="1:5" x14ac:dyDescent="0.2">
      <c r="A310" t="e" cm="1" vm="7">
        <f t="array" aca="1" ref="A310" ca="1">_xlfn.IMCOSH({45658,45689})/DELTA(100,4)</f>
        <v>#VALUE!</v>
      </c>
      <c r="B310">
        <f t="shared" ca="1" si="12"/>
        <v>9</v>
      </c>
      <c r="C310">
        <f t="shared" ca="1" si="13"/>
        <v>0</v>
      </c>
      <c r="D310" t="str">
        <f t="shared" ca="1" si="14"/>
        <v/>
      </c>
      <c r="E310" t="s">
        <v>344</v>
      </c>
    </row>
    <row r="311" spans="1:5" x14ac:dyDescent="0.2">
      <c r="A311" cm="1">
        <f t="array" ref="A311">SUM(LENB("abc"))</f>
        <v>3</v>
      </c>
      <c r="B311">
        <f t="shared" si="12"/>
        <v>0</v>
      </c>
      <c r="C311">
        <f t="shared" si="13"/>
        <v>3</v>
      </c>
      <c r="D311" t="str">
        <f t="shared" si="14"/>
        <v/>
      </c>
      <c r="E311" t="s">
        <v>345</v>
      </c>
    </row>
    <row r="312" spans="1:5" x14ac:dyDescent="0.2">
      <c r="A312" t="b" cm="1">
        <f t="array" ref="A312">_xlfn.IMSEC("4+3i")&lt;=LOG10(86)</f>
        <v>0</v>
      </c>
      <c r="B312">
        <f t="shared" si="12"/>
        <v>-2</v>
      </c>
      <c r="C312">
        <f t="shared" si="13"/>
        <v>0</v>
      </c>
      <c r="D312" t="str">
        <f t="shared" si="14"/>
        <v/>
      </c>
      <c r="E312" t="s">
        <v>346</v>
      </c>
    </row>
    <row r="313" spans="1:5" x14ac:dyDescent="0.2">
      <c r="A313" t="b" cm="1">
        <f t="array" ref="A313">FALSE()</f>
        <v>0</v>
      </c>
      <c r="B313">
        <f t="shared" si="12"/>
        <v>-2</v>
      </c>
      <c r="C313">
        <f t="shared" si="13"/>
        <v>0</v>
      </c>
      <c r="D313" t="str">
        <f t="shared" si="14"/>
        <v/>
      </c>
      <c r="E313" t="s">
        <v>347</v>
      </c>
    </row>
    <row r="314" spans="1:5" x14ac:dyDescent="0.2">
      <c r="A314" cm="1">
        <f t="array" ref="A314">SUM(_xlfn.NORM.S.INV(0.908789))</f>
        <v>1.3333346730441071</v>
      </c>
      <c r="B314">
        <f t="shared" si="12"/>
        <v>0</v>
      </c>
      <c r="C314">
        <f t="shared" si="13"/>
        <v>1.3333346730441071</v>
      </c>
      <c r="D314" t="str">
        <f t="shared" si="14"/>
        <v/>
      </c>
      <c r="E314" t="s">
        <v>348</v>
      </c>
    </row>
    <row r="315" spans="1:5" x14ac:dyDescent="0.2">
      <c r="A315" cm="1">
        <f t="array" ref="A315">_xlfn.ACOTH(10)</f>
        <v>0.10033534773107559</v>
      </c>
      <c r="B315">
        <f t="shared" si="12"/>
        <v>0</v>
      </c>
      <c r="C315">
        <f t="shared" si="13"/>
        <v>0.10033534773107559</v>
      </c>
      <c r="D315" t="str">
        <f t="shared" si="14"/>
        <v/>
      </c>
      <c r="E315" t="s">
        <v>349</v>
      </c>
    </row>
    <row r="316" spans="1:5" x14ac:dyDescent="0.2">
      <c r="A316" t="e" cm="1">
        <f t="array" ref="A316">CHITEST(D!B1:B3,D!AM1:AN3)</f>
        <v>#N/A</v>
      </c>
      <c r="B316">
        <f t="shared" si="12"/>
        <v>7</v>
      </c>
      <c r="C316">
        <f t="shared" si="13"/>
        <v>0</v>
      </c>
      <c r="D316" t="str">
        <f t="shared" si="14"/>
        <v/>
      </c>
      <c r="E316" t="s">
        <v>350</v>
      </c>
    </row>
    <row r="317" spans="1:5" x14ac:dyDescent="0.2">
      <c r="A317" cm="1">
        <f t="array" ref="A317">INDEX(LOGNORMDIST(D!N2,D!A10,1.2),1,1)</f>
        <v>0.89369920141809489</v>
      </c>
      <c r="B317">
        <f t="shared" si="12"/>
        <v>0</v>
      </c>
      <c r="C317">
        <f t="shared" si="13"/>
        <v>0.89369920141809489</v>
      </c>
      <c r="D317" t="str">
        <f t="shared" si="14"/>
        <v/>
      </c>
      <c r="E317" t="s">
        <v>351</v>
      </c>
    </row>
    <row r="318" spans="1:5" x14ac:dyDescent="0.2">
      <c r="A318" cm="1">
        <f t="array" ref="A318">ZTEST(D!B1:B8,40000)</f>
        <v>1</v>
      </c>
      <c r="B318">
        <f t="shared" si="12"/>
        <v>0</v>
      </c>
      <c r="C318">
        <f t="shared" si="13"/>
        <v>1</v>
      </c>
      <c r="D318" t="str">
        <f t="shared" si="14"/>
        <v/>
      </c>
      <c r="E318" t="s">
        <v>352</v>
      </c>
    </row>
    <row r="319" spans="1:5" x14ac:dyDescent="0.2">
      <c r="A319" cm="1">
        <f t="array" ref="A319">COLUMNS(_xlfn.CONFIDENCE.NORM(0.05,2.5,4))</f>
        <v>1</v>
      </c>
      <c r="B319">
        <f t="shared" si="12"/>
        <v>0</v>
      </c>
      <c r="C319">
        <f t="shared" si="13"/>
        <v>1</v>
      </c>
      <c r="D319" t="str">
        <f t="shared" si="14"/>
        <v/>
      </c>
      <c r="E319" t="s">
        <v>353</v>
      </c>
    </row>
    <row r="320" spans="1:5" x14ac:dyDescent="0.2">
      <c r="A320" t="str" cm="1">
        <f t="array" ref="A320">TRIM(COUNTA(#VALUE!))</f>
        <v>1</v>
      </c>
      <c r="B320">
        <f t="shared" si="12"/>
        <v>-3</v>
      </c>
      <c r="C320">
        <f t="shared" si="13"/>
        <v>0</v>
      </c>
      <c r="D320" t="str">
        <f t="shared" si="14"/>
        <v>1</v>
      </c>
      <c r="E320" t="s">
        <v>354</v>
      </c>
    </row>
    <row r="321" spans="1:5" x14ac:dyDescent="0.2">
      <c r="A321" t="e" cm="1">
        <f t="array" ref="A321">SUM(_xlfn.RANK.AVG(#NAME?,D!G4))</f>
        <v>#NAME?</v>
      </c>
      <c r="B321">
        <f t="shared" ref="B321:B384" si="15">IF(ISERROR(A321),ERROR.TYPE(A321),IF(ISNUMBER(A321),0,IF(ISLOGICAL(A321),IF(A321,-1,-2),IF(ISTEXT(A321),-3,-4))))</f>
        <v>5</v>
      </c>
      <c r="C321">
        <f t="shared" ref="C321:C384" si="16">IF(ISNUMBER(A321),A321,0)</f>
        <v>0</v>
      </c>
      <c r="D321" t="str">
        <f t="shared" ref="D321:D384" si="17">IF(ISTEXT(A321),A321,"")</f>
        <v/>
      </c>
      <c r="E321" t="s">
        <v>355</v>
      </c>
    </row>
    <row r="322" spans="1:5" x14ac:dyDescent="0.2">
      <c r="A322" t="e" cm="1" vm="12">
        <f t="array" aca="1" ref="A322" ca="1">_xlfn.WRAPCOLS(D!B1:B8,2)</f>
        <v>#VALUE!</v>
      </c>
      <c r="B322">
        <f t="shared" ca="1" si="15"/>
        <v>9</v>
      </c>
      <c r="C322">
        <f t="shared" ca="1" si="16"/>
        <v>0</v>
      </c>
      <c r="D322" t="str">
        <f t="shared" ca="1" si="17"/>
        <v/>
      </c>
      <c r="E322" t="s">
        <v>356</v>
      </c>
    </row>
    <row r="323" spans="1:5" x14ac:dyDescent="0.2">
      <c r="A323" cm="1">
        <f t="array" ref="A323">TRIMMEAN(D!B1:B8,0.2)</f>
        <v>14.34375</v>
      </c>
      <c r="B323">
        <f t="shared" si="15"/>
        <v>0</v>
      </c>
      <c r="C323">
        <f t="shared" si="16"/>
        <v>14.34375</v>
      </c>
      <c r="D323" t="str">
        <f t="shared" si="17"/>
        <v/>
      </c>
      <c r="E323" t="s">
        <v>357</v>
      </c>
    </row>
    <row r="324" spans="1:5" x14ac:dyDescent="0.2">
      <c r="A324" t="b" cm="1">
        <f t="array" ref="A324">FISHERINV(0.972955)&gt;=FACT(5)</f>
        <v>0</v>
      </c>
      <c r="B324">
        <f t="shared" si="15"/>
        <v>-2</v>
      </c>
      <c r="C324">
        <f t="shared" si="16"/>
        <v>0</v>
      </c>
      <c r="D324" t="str">
        <f t="shared" si="17"/>
        <v/>
      </c>
      <c r="E324" t="s">
        <v>358</v>
      </c>
    </row>
    <row r="325" spans="1:5" x14ac:dyDescent="0.2">
      <c r="A325" t="e" cm="1" vm="5">
        <f t="array" aca="1" ref="A325" ca="1">YIELD(DATE(2008,2,15),DATE(2016,11,15),WEEKDAY(39492,ASINH({1,2,3})),95.04287,100,2,0)</f>
        <v>#VALUE!</v>
      </c>
      <c r="B325">
        <f t="shared" ca="1" si="15"/>
        <v>9</v>
      </c>
      <c r="C325">
        <f t="shared" ca="1" si="16"/>
        <v>0</v>
      </c>
      <c r="D325" t="str">
        <f t="shared" ca="1" si="17"/>
        <v/>
      </c>
      <c r="E325" t="s">
        <v>359</v>
      </c>
    </row>
    <row r="326" spans="1:5" x14ac:dyDescent="0.2">
      <c r="A326" cm="1">
        <f t="array" ref="A326">_xlfn.CHISQ.TEST(D!AK1:AL3,D!AM1:AN3)</f>
        <v>3.0819201700830936E-4</v>
      </c>
      <c r="B326">
        <f t="shared" si="15"/>
        <v>0</v>
      </c>
      <c r="C326">
        <f t="shared" si="16"/>
        <v>3.0819201700830936E-4</v>
      </c>
      <c r="D326" t="str">
        <f t="shared" si="17"/>
        <v/>
      </c>
      <c r="E326" t="s">
        <v>360</v>
      </c>
    </row>
    <row r="327" spans="1:5" x14ac:dyDescent="0.2">
      <c r="A327" t="str" cm="1">
        <f t="array" ref="A327">CONCATENATE(LEN("Phoenix, AZ"))</f>
        <v>11</v>
      </c>
      <c r="B327">
        <f t="shared" si="15"/>
        <v>-3</v>
      </c>
      <c r="C327">
        <f t="shared" si="16"/>
        <v>0</v>
      </c>
      <c r="D327" t="str">
        <f t="shared" si="17"/>
        <v>11</v>
      </c>
      <c r="E327" t="s">
        <v>361</v>
      </c>
    </row>
    <row r="328" spans="1:5" x14ac:dyDescent="0.2">
      <c r="A328" t="e" cm="1">
        <f t="array" ref="A328">_xlfn.HYPGEOM.DIST(D!A12,"31-Jan-2025",8,20,"3")</f>
        <v>#VALUE!</v>
      </c>
      <c r="B328">
        <f t="shared" si="15"/>
        <v>3</v>
      </c>
      <c r="C328">
        <f t="shared" si="16"/>
        <v>0</v>
      </c>
      <c r="D328" t="str">
        <f t="shared" si="17"/>
        <v/>
      </c>
      <c r="E328" t="s">
        <v>362</v>
      </c>
    </row>
    <row r="329" spans="1:5" x14ac:dyDescent="0.2">
      <c r="A329" cm="1">
        <f t="array" ref="A329">_xlfn.CSCH(MOD(3,2))</f>
        <v>0.85091812823932156</v>
      </c>
      <c r="B329">
        <f t="shared" si="15"/>
        <v>0</v>
      </c>
      <c r="C329">
        <f t="shared" si="16"/>
        <v>0.85091812823932156</v>
      </c>
      <c r="D329" t="str">
        <f t="shared" si="17"/>
        <v/>
      </c>
      <c r="E329" t="s">
        <v>363</v>
      </c>
    </row>
    <row r="330" spans="1:5" x14ac:dyDescent="0.2">
      <c r="A330" t="e" cm="1">
        <f t="array" ref="A330">BESSELJ(FALSE,0)</f>
        <v>#VALUE!</v>
      </c>
      <c r="B330">
        <f t="shared" si="15"/>
        <v>3</v>
      </c>
      <c r="C330">
        <f t="shared" si="16"/>
        <v>0</v>
      </c>
      <c r="D330" t="str">
        <f t="shared" si="17"/>
        <v/>
      </c>
      <c r="E330" t="s">
        <v>364</v>
      </c>
    </row>
    <row r="331" spans="1:5" x14ac:dyDescent="0.2">
      <c r="A331" cm="1">
        <f t="array" ref="A331">ROW(D!B3)</f>
        <v>3</v>
      </c>
      <c r="B331">
        <f t="shared" si="15"/>
        <v>0</v>
      </c>
      <c r="C331">
        <f t="shared" si="16"/>
        <v>3</v>
      </c>
      <c r="D331" t="str">
        <f t="shared" si="17"/>
        <v/>
      </c>
      <c r="E331" t="s">
        <v>365</v>
      </c>
    </row>
    <row r="332" spans="1:5" x14ac:dyDescent="0.2">
      <c r="A332" t="e" cm="1">
        <f t="array" ref="A332">ROWS(NOMINAL(_xlfn.F.DIST(4,6,4,FALSE),NORMSINV(-1)))</f>
        <v>#NUM!</v>
      </c>
      <c r="B332">
        <f t="shared" si="15"/>
        <v>6</v>
      </c>
      <c r="C332">
        <f t="shared" si="16"/>
        <v>0</v>
      </c>
      <c r="D332" t="str">
        <f t="shared" si="17"/>
        <v/>
      </c>
      <c r="E332" t="s">
        <v>366</v>
      </c>
    </row>
    <row r="333" spans="1:5" x14ac:dyDescent="0.2">
      <c r="A333" cm="1">
        <f t="array" ref="A333">_xlfn.XMATCH(3,D!L1:L6)</f>
        <v>3</v>
      </c>
      <c r="B333">
        <f t="shared" si="15"/>
        <v>0</v>
      </c>
      <c r="C333">
        <f t="shared" si="16"/>
        <v>3</v>
      </c>
      <c r="D333" t="str">
        <f t="shared" si="17"/>
        <v/>
      </c>
      <c r="E333" t="s">
        <v>367</v>
      </c>
    </row>
    <row r="334" spans="1:5" x14ac:dyDescent="0.2">
      <c r="A334" cm="1">
        <f t="array" ref="A334">DOLLARFR(1.125,16)</f>
        <v>1.02</v>
      </c>
      <c r="B334">
        <f t="shared" si="15"/>
        <v>0</v>
      </c>
      <c r="C334">
        <f t="shared" si="16"/>
        <v>1.02</v>
      </c>
      <c r="D334" t="str">
        <f t="shared" si="17"/>
        <v/>
      </c>
      <c r="E334" t="s">
        <v>368</v>
      </c>
    </row>
    <row r="335" spans="1:5" x14ac:dyDescent="0.2">
      <c r="A335" t="e" cm="1">
        <f t="array" ref="A335">COLUMNS(_xlfn.F.DIST.RT(#N/A,6,0.5))</f>
        <v>#N/A</v>
      </c>
      <c r="B335">
        <f t="shared" si="15"/>
        <v>7</v>
      </c>
      <c r="C335">
        <f t="shared" si="16"/>
        <v>0</v>
      </c>
      <c r="D335" t="str">
        <f t="shared" si="17"/>
        <v/>
      </c>
      <c r="E335" t="s">
        <v>369</v>
      </c>
    </row>
    <row r="336" spans="1:5" x14ac:dyDescent="0.2">
      <c r="A336" cm="1">
        <f t="array" ref="A336">_xlfn.DAYS(44270,D!A15)</f>
        <v>-1418</v>
      </c>
      <c r="B336">
        <f t="shared" si="15"/>
        <v>0</v>
      </c>
      <c r="C336">
        <f t="shared" si="16"/>
        <v>-1418</v>
      </c>
      <c r="D336" t="str">
        <f t="shared" si="17"/>
        <v/>
      </c>
      <c r="E336" t="s">
        <v>370</v>
      </c>
    </row>
    <row r="337" spans="1:5" x14ac:dyDescent="0.2">
      <c r="A337" cm="1">
        <f t="array" ref="A337">FACTDOUBLE(6)</f>
        <v>48</v>
      </c>
      <c r="B337">
        <f t="shared" si="15"/>
        <v>0</v>
      </c>
      <c r="C337">
        <f t="shared" si="16"/>
        <v>48</v>
      </c>
      <c r="D337" t="str">
        <f t="shared" si="17"/>
        <v/>
      </c>
      <c r="E337" t="s">
        <v>371</v>
      </c>
    </row>
    <row r="338" spans="1:5" x14ac:dyDescent="0.2">
      <c r="A338" t="e" cm="1">
        <f t="array" ref="A338">_xlfn.SKEW.P("x y")</f>
        <v>#VALUE!</v>
      </c>
      <c r="B338">
        <f t="shared" si="15"/>
        <v>3</v>
      </c>
      <c r="C338">
        <f t="shared" si="16"/>
        <v>0</v>
      </c>
      <c r="D338" t="str">
        <f t="shared" si="17"/>
        <v/>
      </c>
      <c r="E338" t="s">
        <v>372</v>
      </c>
    </row>
    <row r="339" spans="1:5" x14ac:dyDescent="0.2">
      <c r="A339" t="e" cm="1">
        <f t="array" ref="A339">_xlfn.FORECAST.LINEAR(MMULT(D!C1:C8,D!R1:S2),D!M1:M6,CHIINV(0.050001," 2 "))&gt;=PROB(D!AH1:AH4,D!AI1:AI4,3,1000)</f>
        <v>#VALUE!</v>
      </c>
      <c r="B339">
        <f t="shared" si="15"/>
        <v>3</v>
      </c>
      <c r="C339">
        <f t="shared" si="16"/>
        <v>0</v>
      </c>
      <c r="D339" t="str">
        <f t="shared" si="17"/>
        <v/>
      </c>
      <c r="E339" t="s">
        <v>373</v>
      </c>
    </row>
    <row r="340" spans="1:5" x14ac:dyDescent="0.2">
      <c r="A340" t="e" cm="1">
        <f t="array" ref="A340">INDEX(DGET(D!F1:F7,PROPER("a,b"),D!K1:K8),1,1)</f>
        <v>#VALUE!</v>
      </c>
      <c r="B340">
        <f t="shared" si="15"/>
        <v>3</v>
      </c>
      <c r="C340">
        <f t="shared" si="16"/>
        <v>0</v>
      </c>
      <c r="D340" t="str">
        <f t="shared" si="17"/>
        <v/>
      </c>
      <c r="E340" t="s">
        <v>374</v>
      </c>
    </row>
    <row r="341" spans="1:5" x14ac:dyDescent="0.2">
      <c r="A341" t="e" cm="1" vm="7">
        <f t="array" aca="1" ref="A341" ca="1">FLOOR(LOGEST(D!AK1:AL3),IMPOWER("2+3i",3))</f>
        <v>#VALUE!</v>
      </c>
      <c r="B341">
        <f t="shared" ca="1" si="15"/>
        <v>9</v>
      </c>
      <c r="C341">
        <f t="shared" ca="1" si="16"/>
        <v>0</v>
      </c>
      <c r="D341" t="str">
        <f t="shared" ca="1" si="17"/>
        <v/>
      </c>
      <c r="E341" t="s">
        <v>375</v>
      </c>
    </row>
    <row r="342" spans="1:5" x14ac:dyDescent="0.2">
      <c r="A342" cm="1">
        <f t="array" ref="A342">_xlfn.PHI(0.75)</f>
        <v>0.30113743215480443</v>
      </c>
      <c r="B342">
        <f t="shared" si="15"/>
        <v>0</v>
      </c>
      <c r="C342">
        <f t="shared" si="16"/>
        <v>0.30113743215480443</v>
      </c>
      <c r="D342" t="str">
        <f t="shared" si="17"/>
        <v/>
      </c>
      <c r="E342" t="s">
        <v>376</v>
      </c>
    </row>
    <row r="343" spans="1:5" x14ac:dyDescent="0.2">
      <c r="A343" t="e" cm="1" vm="4">
        <f t="array" aca="1" ref="A343" ca="1">_xlfn.UNIQUE(D!AS1:AS8)</f>
        <v>#VALUE!</v>
      </c>
      <c r="B343">
        <f t="shared" ca="1" si="15"/>
        <v>9</v>
      </c>
      <c r="C343">
        <f t="shared" ca="1" si="16"/>
        <v>0</v>
      </c>
      <c r="D343" t="str">
        <f t="shared" ca="1" si="17"/>
        <v/>
      </c>
      <c r="E343" t="s">
        <v>377</v>
      </c>
    </row>
    <row r="344" spans="1:5" x14ac:dyDescent="0.2">
      <c r="A344" t="e" cm="1">
        <f t="array" ref="A344">DURATION(DATE(2018,7,1),"abc",0.08,4,D!A13,1)</f>
        <v>#VALUE!</v>
      </c>
      <c r="B344">
        <f t="shared" si="15"/>
        <v>3</v>
      </c>
      <c r="C344">
        <f t="shared" si="16"/>
        <v>0</v>
      </c>
      <c r="D344" t="str">
        <f t="shared" si="17"/>
        <v/>
      </c>
      <c r="E344" t="s">
        <v>378</v>
      </c>
    </row>
    <row r="345" spans="1:5" x14ac:dyDescent="0.2">
      <c r="A345" t="e" cm="1">
        <f t="array" ref="A345">CONVERT(_xlfn.ERF.PRECISE(#NAME?),"lbm","kg")</f>
        <v>#NAME?</v>
      </c>
      <c r="B345">
        <f t="shared" si="15"/>
        <v>5</v>
      </c>
      <c r="C345">
        <f t="shared" si="16"/>
        <v>0</v>
      </c>
      <c r="D345" t="str">
        <f t="shared" si="17"/>
        <v/>
      </c>
      <c r="E345" t="s">
        <v>379</v>
      </c>
    </row>
    <row r="346" spans="1:5" x14ac:dyDescent="0.2">
      <c r="A346" cm="1">
        <f t="array" ref="A346">FINV(0.01,6,4)</f>
        <v>15.206864861157531</v>
      </c>
      <c r="B346">
        <f t="shared" si="15"/>
        <v>0</v>
      </c>
      <c r="C346">
        <f t="shared" si="16"/>
        <v>15.206864861157531</v>
      </c>
      <c r="D346" t="str">
        <f t="shared" si="17"/>
        <v/>
      </c>
      <c r="E346" t="s">
        <v>380</v>
      </c>
    </row>
    <row r="347" spans="1:5" x14ac:dyDescent="0.2">
      <c r="A347" cm="1">
        <f t="array" ref="A347">_xlfn.SEC(D!C2)</f>
        <v>1.3264319004737049</v>
      </c>
      <c r="B347">
        <f t="shared" si="15"/>
        <v>0</v>
      </c>
      <c r="C347">
        <f t="shared" si="16"/>
        <v>1.3264319004737049</v>
      </c>
      <c r="D347" t="str">
        <f t="shared" si="17"/>
        <v/>
      </c>
      <c r="E347" t="s">
        <v>381</v>
      </c>
    </row>
    <row r="348" spans="1:5" x14ac:dyDescent="0.2">
      <c r="A348" cm="1">
        <f t="array" ref="A348">ASINH(-2.5)</f>
        <v>-1.6472311463710958</v>
      </c>
      <c r="B348">
        <f t="shared" si="15"/>
        <v>0</v>
      </c>
      <c r="C348">
        <f t="shared" si="16"/>
        <v>-1.6472311463710958</v>
      </c>
      <c r="D348" t="str">
        <f t="shared" si="17"/>
        <v/>
      </c>
      <c r="E348" t="s">
        <v>382</v>
      </c>
    </row>
    <row r="349" spans="1:5" x14ac:dyDescent="0.2">
      <c r="A349" cm="1">
        <f t="array" ref="A349">_xlfn.STDEV.S(D!B1:B8)</f>
        <v>13.760020699216158</v>
      </c>
      <c r="B349">
        <f t="shared" si="15"/>
        <v>0</v>
      </c>
      <c r="C349">
        <f t="shared" si="16"/>
        <v>13.760020699216158</v>
      </c>
      <c r="D349" t="str">
        <f t="shared" si="17"/>
        <v/>
      </c>
      <c r="E349" t="s">
        <v>383</v>
      </c>
    </row>
    <row r="350" spans="1:5" x14ac:dyDescent="0.2">
      <c r="A350" t="e" cm="1" vm="7">
        <f t="array" aca="1" ref="A350" ca="1">_xlfn.HSTACK("a*","31-Jan-2025")</f>
        <v>#VALUE!</v>
      </c>
      <c r="B350">
        <f t="shared" ca="1" si="15"/>
        <v>9</v>
      </c>
      <c r="C350">
        <f t="shared" ca="1" si="16"/>
        <v>0</v>
      </c>
      <c r="D350" t="str">
        <f t="shared" ca="1" si="17"/>
        <v/>
      </c>
      <c r="E350" t="s">
        <v>384</v>
      </c>
    </row>
    <row r="351" spans="1:5" x14ac:dyDescent="0.2">
      <c r="A351" cm="1">
        <f t="array" ref="A351">_xlfn.BINOM.INV(STDEVA(D!L1:L6),0.5,0.75)</f>
        <v>3</v>
      </c>
      <c r="B351">
        <f t="shared" si="15"/>
        <v>0</v>
      </c>
      <c r="C351">
        <f t="shared" si="16"/>
        <v>3</v>
      </c>
      <c r="D351" t="str">
        <f t="shared" si="17"/>
        <v/>
      </c>
      <c r="E351" t="s">
        <v>385</v>
      </c>
    </row>
    <row r="352" spans="1:5" x14ac:dyDescent="0.2">
      <c r="A352" cm="1">
        <f t="array" ref="A352">SUM(MIN(D!B1:B8))</f>
        <v>-3.5</v>
      </c>
      <c r="B352">
        <f t="shared" si="15"/>
        <v>0</v>
      </c>
      <c r="C352">
        <f t="shared" si="16"/>
        <v>-3.5</v>
      </c>
      <c r="D352" t="str">
        <f t="shared" si="17"/>
        <v/>
      </c>
      <c r="E352" t="s">
        <v>386</v>
      </c>
    </row>
    <row r="353" spans="1:5" x14ac:dyDescent="0.2">
      <c r="A353" t="e" cm="1">
        <f t="array" ref="A353">SUM(DEC2OCT(3,TDIST(1.959999998,60,100)&lt;=D!B7))</f>
        <v>#NUM!</v>
      </c>
      <c r="B353">
        <f t="shared" si="15"/>
        <v>6</v>
      </c>
      <c r="C353">
        <f t="shared" si="16"/>
        <v>0</v>
      </c>
      <c r="D353" t="str">
        <f t="shared" si="17"/>
        <v/>
      </c>
      <c r="E353" t="s">
        <v>387</v>
      </c>
    </row>
    <row r="354" spans="1:5" x14ac:dyDescent="0.2">
      <c r="A354" t="e" cm="1">
        <f t="array" ref="A354">_xlfn.TEXTJOIN(";",FALSE,DOLLARFR(3,_xlfn.CONCAT(1000,"b")))</f>
        <v>#VALUE!</v>
      </c>
      <c r="B354">
        <f t="shared" si="15"/>
        <v>3</v>
      </c>
      <c r="C354">
        <f t="shared" si="16"/>
        <v>0</v>
      </c>
      <c r="D354" t="str">
        <f t="shared" si="17"/>
        <v/>
      </c>
      <c r="E354" t="s">
        <v>388</v>
      </c>
    </row>
    <row r="355" spans="1:5" x14ac:dyDescent="0.2">
      <c r="A355" t="e" cm="1">
        <f t="array" ref="A355">IMPRODUCT("3+4i",{1,2,3}=45351,D!AK1:AL3)</f>
        <v>#VALUE!</v>
      </c>
      <c r="B355">
        <f t="shared" si="15"/>
        <v>3</v>
      </c>
      <c r="C355">
        <f t="shared" si="16"/>
        <v>0</v>
      </c>
      <c r="D355" t="str">
        <f t="shared" si="17"/>
        <v/>
      </c>
      <c r="E355" t="s">
        <v>389</v>
      </c>
    </row>
    <row r="356" spans="1:5" x14ac:dyDescent="0.2">
      <c r="A356" cm="1">
        <f t="array" ref="A356">TDIST(2.5,D!L4,2)</f>
        <v>5.4490099342376232E-2</v>
      </c>
      <c r="B356">
        <f t="shared" si="15"/>
        <v>0</v>
      </c>
      <c r="C356">
        <f t="shared" si="16"/>
        <v>5.4490099342376232E-2</v>
      </c>
      <c r="D356" t="str">
        <f t="shared" si="17"/>
        <v/>
      </c>
      <c r="E356" t="s">
        <v>390</v>
      </c>
    </row>
    <row r="357" spans="1:5" x14ac:dyDescent="0.2">
      <c r="A357" t="e" cm="1" vm="3">
        <f t="array" aca="1" ref="A357" ca="1">MMULT(D!P1:Q2,D!R1:S2)</f>
        <v>#VALUE!</v>
      </c>
      <c r="B357">
        <f t="shared" ca="1" si="15"/>
        <v>9</v>
      </c>
      <c r="C357">
        <f t="shared" ca="1" si="16"/>
        <v>0</v>
      </c>
      <c r="D357" t="str">
        <f t="shared" ca="1" si="17"/>
        <v/>
      </c>
      <c r="E357" t="s">
        <v>391</v>
      </c>
    </row>
    <row r="358" spans="1:5" x14ac:dyDescent="0.2">
      <c r="A358" cm="1">
        <f t="array" ref="A358">_xlfn.SEC(45)</f>
        <v>1.9035944074044246</v>
      </c>
      <c r="B358">
        <f t="shared" si="15"/>
        <v>0</v>
      </c>
      <c r="C358">
        <f t="shared" si="16"/>
        <v>1.9035944074044246</v>
      </c>
      <c r="D358" t="str">
        <f t="shared" si="17"/>
        <v/>
      </c>
      <c r="E358" t="s">
        <v>392</v>
      </c>
    </row>
    <row r="359" spans="1:5" x14ac:dyDescent="0.2">
      <c r="A359" t="e" cm="1">
        <f t="array" ref="A359">MDURATION(DATE(2018,7,1),DATE(2048,1,1),"abc",0.09,2)</f>
        <v>#VALUE!</v>
      </c>
      <c r="B359">
        <f t="shared" si="15"/>
        <v>3</v>
      </c>
      <c r="C359">
        <f t="shared" si="16"/>
        <v>0</v>
      </c>
      <c r="D359" t="str">
        <f t="shared" si="17"/>
        <v/>
      </c>
      <c r="E359" t="s">
        <v>393</v>
      </c>
    </row>
    <row r="360" spans="1:5" x14ac:dyDescent="0.2">
      <c r="A360" t="str" cm="1">
        <f t="array" ref="A360">LEFTB(FALSE,2)</f>
        <v>FA</v>
      </c>
      <c r="B360">
        <f t="shared" si="15"/>
        <v>-3</v>
      </c>
      <c r="C360">
        <f t="shared" si="16"/>
        <v>0</v>
      </c>
      <c r="D360" t="str">
        <f t="shared" si="17"/>
        <v>FA</v>
      </c>
      <c r="E360" t="s">
        <v>394</v>
      </c>
    </row>
    <row r="361" spans="1:5" x14ac:dyDescent="0.2">
      <c r="A361" t="e" cm="1">
        <f t="array" ref="A361">_xlfn.PERCENTILE.INC(D!B1:B8,10)</f>
        <v>#NUM!</v>
      </c>
      <c r="B361">
        <f t="shared" si="15"/>
        <v>6</v>
      </c>
      <c r="C361">
        <f t="shared" si="16"/>
        <v>0</v>
      </c>
      <c r="D361" t="str">
        <f t="shared" si="17"/>
        <v/>
      </c>
      <c r="E361" t="s">
        <v>395</v>
      </c>
    </row>
    <row r="362" spans="1:5" x14ac:dyDescent="0.2">
      <c r="A362" t="e" cm="1">
        <f t="array" ref="A362">COUPPCD(DATE(2011,1,25),DATE(2011,11,15),D!A12,#VALUE!)</f>
        <v>#NUM!</v>
      </c>
      <c r="B362">
        <f t="shared" si="15"/>
        <v>6</v>
      </c>
      <c r="C362">
        <f t="shared" si="16"/>
        <v>0</v>
      </c>
      <c r="D362" t="str">
        <f t="shared" si="17"/>
        <v/>
      </c>
      <c r="E362" t="s">
        <v>396</v>
      </c>
    </row>
    <row r="363" spans="1:5" x14ac:dyDescent="0.2">
      <c r="A363" cm="1">
        <f t="array" ref="A363">_xlfn.PDURATION(0.025,2000,2200)</f>
        <v>3.8598661626226551</v>
      </c>
      <c r="B363">
        <f t="shared" si="15"/>
        <v>0</v>
      </c>
      <c r="C363">
        <f t="shared" si="16"/>
        <v>3.8598661626226551</v>
      </c>
      <c r="D363" t="str">
        <f t="shared" si="17"/>
        <v/>
      </c>
      <c r="E363" t="s">
        <v>397</v>
      </c>
    </row>
    <row r="364" spans="1:5" x14ac:dyDescent="0.2">
      <c r="A364" cm="1">
        <f t="array" ref="A364">SUM(DAYS360(40573,{1},FALSE))</f>
        <v>-39989</v>
      </c>
      <c r="B364">
        <f t="shared" si="15"/>
        <v>0</v>
      </c>
      <c r="C364">
        <f t="shared" si="16"/>
        <v>-39989</v>
      </c>
      <c r="D364" t="str">
        <f t="shared" si="17"/>
        <v/>
      </c>
      <c r="E364" t="s">
        <v>398</v>
      </c>
    </row>
    <row r="365" spans="1:5" x14ac:dyDescent="0.2">
      <c r="A365" cm="1">
        <f t="array" ref="A365">PERMUT(1000,3)</f>
        <v>997002000</v>
      </c>
      <c r="B365">
        <f t="shared" si="15"/>
        <v>0</v>
      </c>
      <c r="C365">
        <f t="shared" si="16"/>
        <v>997002000</v>
      </c>
      <c r="D365" t="str">
        <f t="shared" si="17"/>
        <v/>
      </c>
      <c r="E365" t="s">
        <v>399</v>
      </c>
    </row>
    <row r="366" spans="1:5" x14ac:dyDescent="0.2">
      <c r="A366" t="str" cm="1">
        <f t="array" ref="A366">IMCONJUGATE(4)</f>
        <v>4</v>
      </c>
      <c r="B366">
        <f t="shared" si="15"/>
        <v>-3</v>
      </c>
      <c r="C366">
        <f t="shared" si="16"/>
        <v>0</v>
      </c>
      <c r="D366" t="str">
        <f t="shared" si="17"/>
        <v>4</v>
      </c>
      <c r="E366" t="s">
        <v>400</v>
      </c>
    </row>
    <row r="367" spans="1:5" x14ac:dyDescent="0.2">
      <c r="A367" cm="1">
        <f t="array" ref="A367">_xlfn.CHISQ.TEST(D!AK1:AL3,D!AM1:AN3)</f>
        <v>3.0819201700830936E-4</v>
      </c>
      <c r="B367">
        <f t="shared" si="15"/>
        <v>0</v>
      </c>
      <c r="C367">
        <f t="shared" si="16"/>
        <v>3.0819201700830936E-4</v>
      </c>
      <c r="D367" t="str">
        <f t="shared" si="17"/>
        <v/>
      </c>
      <c r="E367" t="s">
        <v>401</v>
      </c>
    </row>
    <row r="368" spans="1:5" x14ac:dyDescent="0.2">
      <c r="A368" cm="1">
        <f t="array" ref="A368">ROWS(FALSE())</f>
        <v>1</v>
      </c>
      <c r="B368">
        <f t="shared" si="15"/>
        <v>0</v>
      </c>
      <c r="C368">
        <f t="shared" si="16"/>
        <v>1</v>
      </c>
      <c r="D368" t="str">
        <f t="shared" si="17"/>
        <v/>
      </c>
      <c r="E368" t="s">
        <v>402</v>
      </c>
    </row>
    <row r="369" spans="1:5" x14ac:dyDescent="0.2">
      <c r="A369" t="e" cm="1">
        <f t="array" ref="A369">DATE(2025,"a,b",100)</f>
        <v>#VALUE!</v>
      </c>
      <c r="B369">
        <f t="shared" si="15"/>
        <v>3</v>
      </c>
      <c r="C369">
        <f t="shared" si="16"/>
        <v>0</v>
      </c>
      <c r="D369" t="str">
        <f t="shared" si="17"/>
        <v/>
      </c>
      <c r="E369" t="s">
        <v>403</v>
      </c>
    </row>
    <row r="370" spans="1:5" x14ac:dyDescent="0.2">
      <c r="A370" cm="1">
        <f t="array" ref="A370">_xlfn.IFNA(0,"nf")</f>
        <v>0</v>
      </c>
      <c r="B370">
        <f t="shared" si="15"/>
        <v>0</v>
      </c>
      <c r="C370">
        <f t="shared" si="16"/>
        <v>0</v>
      </c>
      <c r="D370" t="str">
        <f t="shared" si="17"/>
        <v/>
      </c>
      <c r="E370" t="s">
        <v>404</v>
      </c>
    </row>
    <row r="371" spans="1:5" x14ac:dyDescent="0.2">
      <c r="A371" cm="1">
        <f t="array" ref="A371">MOD(3,2)</f>
        <v>1</v>
      </c>
      <c r="B371">
        <f t="shared" si="15"/>
        <v>0</v>
      </c>
      <c r="C371">
        <f t="shared" si="16"/>
        <v>1</v>
      </c>
      <c r="D371" t="str">
        <f t="shared" si="17"/>
        <v/>
      </c>
      <c r="E371" t="s">
        <v>405</v>
      </c>
    </row>
    <row r="372" spans="1:5" x14ac:dyDescent="0.2">
      <c r="A372" cm="1">
        <f t="array" ref="A372">_xlfn.GAMMA.DIST(3,9,2,FALSE)</f>
        <v>7.0914954811403748E-5</v>
      </c>
      <c r="B372">
        <f t="shared" si="15"/>
        <v>0</v>
      </c>
      <c r="C372">
        <f t="shared" si="16"/>
        <v>7.0914954811403748E-5</v>
      </c>
      <c r="D372" t="str">
        <f t="shared" si="17"/>
        <v/>
      </c>
      <c r="E372" t="s">
        <v>406</v>
      </c>
    </row>
    <row r="373" spans="1:5" x14ac:dyDescent="0.2">
      <c r="A373" cm="1">
        <f t="array" ref="A373">DEGREES(3.14159265358979)</f>
        <v>179.99999999999983</v>
      </c>
      <c r="B373">
        <f t="shared" si="15"/>
        <v>0</v>
      </c>
      <c r="C373">
        <f t="shared" si="16"/>
        <v>179.99999999999983</v>
      </c>
      <c r="D373" t="str">
        <f t="shared" si="17"/>
        <v/>
      </c>
      <c r="E373" t="s">
        <v>407</v>
      </c>
    </row>
    <row r="374" spans="1:5" x14ac:dyDescent="0.2">
      <c r="A374" t="str" cm="1">
        <f t="array" ref="A374">PROPER("this is a TITLE")</f>
        <v>This Is A Title</v>
      </c>
      <c r="B374">
        <f t="shared" si="15"/>
        <v>-3</v>
      </c>
      <c r="C374">
        <f t="shared" si="16"/>
        <v>0</v>
      </c>
      <c r="D374" t="str">
        <f t="shared" si="17"/>
        <v>This Is A Title</v>
      </c>
      <c r="E374" t="s">
        <v>408</v>
      </c>
    </row>
    <row r="375" spans="1:5" x14ac:dyDescent="0.2">
      <c r="A375" t="e" cm="1">
        <f t="array" ref="A375">INDEX(DPRODUCT(D!A1:A5,_xlfn.COVARIANCE.S({"x";""},D!C1:C8),D!E1:E8),1,1)</f>
        <v>#N/A</v>
      </c>
      <c r="B375">
        <f t="shared" si="15"/>
        <v>7</v>
      </c>
      <c r="C375">
        <f t="shared" si="16"/>
        <v>0</v>
      </c>
      <c r="D375" t="str">
        <f t="shared" si="17"/>
        <v/>
      </c>
      <c r="E375" t="s">
        <v>409</v>
      </c>
    </row>
    <row r="376" spans="1:5" x14ac:dyDescent="0.2">
      <c r="A376" t="e" cm="1" vm="4">
        <f t="array" aca="1" ref="A376" ca="1">ROW(D!AY1:AY5)</f>
        <v>#VALUE!</v>
      </c>
      <c r="B376">
        <f t="shared" ca="1" si="15"/>
        <v>9</v>
      </c>
      <c r="C376">
        <f t="shared" ca="1" si="16"/>
        <v>0</v>
      </c>
      <c r="D376" t="str">
        <f t="shared" ca="1" si="17"/>
        <v/>
      </c>
      <c r="E376" t="s">
        <v>410</v>
      </c>
    </row>
    <row r="377" spans="1:5" x14ac:dyDescent="0.2">
      <c r="A377" t="b" cm="1">
        <f t="array" ref="A377">OCT2HEX("100","3")=PRODUCT(D!AS1:AS8)</f>
        <v>0</v>
      </c>
      <c r="B377">
        <f t="shared" si="15"/>
        <v>-2</v>
      </c>
      <c r="C377">
        <f t="shared" si="16"/>
        <v>0</v>
      </c>
      <c r="D377" t="str">
        <f t="shared" si="17"/>
        <v/>
      </c>
      <c r="E377" t="s">
        <v>411</v>
      </c>
    </row>
    <row r="378" spans="1:5" x14ac:dyDescent="0.2">
      <c r="A378" cm="1">
        <f t="array" ref="A378">INDEX(IMARGUMENT({1,2;3,4}),1,1)</f>
        <v>0</v>
      </c>
      <c r="B378">
        <f t="shared" si="15"/>
        <v>0</v>
      </c>
      <c r="C378">
        <f t="shared" si="16"/>
        <v>0</v>
      </c>
      <c r="D378" t="str">
        <f t="shared" si="17"/>
        <v/>
      </c>
      <c r="E378" t="s">
        <v>412</v>
      </c>
    </row>
    <row r="379" spans="1:5" x14ac:dyDescent="0.2">
      <c r="A379" cm="1">
        <f t="array" ref="A379">RADIANS(270)-_xlfn.EXPON.DIST(FALSE,3,FALSE())</f>
        <v>1.7123889803846897</v>
      </c>
      <c r="B379">
        <f t="shared" si="15"/>
        <v>0</v>
      </c>
      <c r="C379">
        <f t="shared" si="16"/>
        <v>1.7123889803846897</v>
      </c>
      <c r="D379" t="str">
        <f t="shared" si="17"/>
        <v/>
      </c>
      <c r="E379" t="s">
        <v>413</v>
      </c>
    </row>
    <row r="380" spans="1:5" x14ac:dyDescent="0.2">
      <c r="A380" t="b" cm="1">
        <f t="array" ref="A380">ISNONTEXT(2.5)</f>
        <v>1</v>
      </c>
      <c r="B380">
        <f t="shared" si="15"/>
        <v>-1</v>
      </c>
      <c r="C380">
        <f t="shared" si="16"/>
        <v>0</v>
      </c>
      <c r="D380" t="str">
        <f t="shared" si="17"/>
        <v/>
      </c>
      <c r="E380" t="s">
        <v>414</v>
      </c>
    </row>
    <row r="381" spans="1:5" x14ac:dyDescent="0.2">
      <c r="A381" t="e" cm="1">
        <f t="array" ref="A381">_xlfn.TEXTJOIN(";",FALSE,ODDFYIELD(#REF!,"18:30",DATE(2008,10,15),MINA(D!AS1:AS8)^" ",0.0575,84.5,CONFIDENCE(0.05,4,50),_xlfn.BETA.INV(0.685470581,8,45658,1,D!B3)*1))</f>
        <v>#REF!</v>
      </c>
      <c r="B381">
        <f t="shared" si="15"/>
        <v>4</v>
      </c>
      <c r="C381">
        <f t="shared" si="16"/>
        <v>0</v>
      </c>
      <c r="D381" t="str">
        <f t="shared" si="17"/>
        <v/>
      </c>
      <c r="E381" t="s">
        <v>415</v>
      </c>
    </row>
    <row r="382" spans="1:5" x14ac:dyDescent="0.2">
      <c r="A382" t="e" cm="1">
        <f t="array" ref="A382">INDEX(ACCRINT(39508,"2025-01-31",39569,0.1,D!G4," ",D!G4&lt;&gt;"TRUE"),1,1)</f>
        <v>#VALUE!</v>
      </c>
      <c r="B382">
        <f t="shared" si="15"/>
        <v>3</v>
      </c>
      <c r="C382">
        <f t="shared" si="16"/>
        <v>0</v>
      </c>
      <c r="D382" t="str">
        <f t="shared" si="17"/>
        <v/>
      </c>
      <c r="E382" t="s">
        <v>416</v>
      </c>
    </row>
    <row r="383" spans="1:5" x14ac:dyDescent="0.2">
      <c r="A383" t="e" cm="1" vm="5">
        <f t="array" aca="1" ref="A383" ca="1">PPMT(0.00833333333333333,0,{3,1,2},-1)</f>
        <v>#VALUE!</v>
      </c>
      <c r="B383">
        <f t="shared" ca="1" si="15"/>
        <v>9</v>
      </c>
      <c r="C383">
        <f t="shared" ca="1" si="16"/>
        <v>0</v>
      </c>
      <c r="D383" t="str">
        <f t="shared" ca="1" si="17"/>
        <v/>
      </c>
      <c r="E383" t="s">
        <v>417</v>
      </c>
    </row>
    <row r="384" spans="1:5" x14ac:dyDescent="0.2">
      <c r="A384" t="e" cm="1">
        <f t="array" ref="A384">DPRODUCT(D!B1,"a*",D!C1:C8)</f>
        <v>#VALUE!</v>
      </c>
      <c r="B384">
        <f t="shared" si="15"/>
        <v>3</v>
      </c>
      <c r="C384">
        <f t="shared" si="16"/>
        <v>0</v>
      </c>
      <c r="D384" t="str">
        <f t="shared" si="17"/>
        <v/>
      </c>
      <c r="E384" t="s">
        <v>418</v>
      </c>
    </row>
    <row r="385" spans="1:5" x14ac:dyDescent="0.2">
      <c r="A385" t="str" cm="1">
        <f t="array" ref="A385">_xlfn.IMCOT("4+3i")</f>
        <v>0.00490118239430447-0.999266927805902i</v>
      </c>
      <c r="B385">
        <f t="shared" ref="B385:B448" si="18">IF(ISERROR(A385),ERROR.TYPE(A385),IF(ISNUMBER(A385),0,IF(ISLOGICAL(A385),IF(A385,-1,-2),IF(ISTEXT(A385),-3,-4))))</f>
        <v>-3</v>
      </c>
      <c r="C385">
        <f t="shared" ref="C385:C400" si="19">IF(ISNUMBER(A385),A385,0)</f>
        <v>0</v>
      </c>
      <c r="D385" t="str">
        <f t="shared" ref="D385:D400" si="20">IF(ISTEXT(A385),A385,"")</f>
        <v>0.00490118239430447-0.999266927805902i</v>
      </c>
      <c r="E385" t="s">
        <v>419</v>
      </c>
    </row>
    <row r="386" spans="1:5" x14ac:dyDescent="0.2">
      <c r="A386" t="str" cm="1">
        <f t="array" ref="A386">UPPER("total")</f>
        <v>TOTAL</v>
      </c>
      <c r="B386">
        <f t="shared" si="18"/>
        <v>-3</v>
      </c>
      <c r="C386">
        <f t="shared" si="19"/>
        <v>0</v>
      </c>
      <c r="D386" t="str">
        <f t="shared" si="20"/>
        <v>TOTAL</v>
      </c>
      <c r="E386" t="s">
        <v>420</v>
      </c>
    </row>
    <row r="387" spans="1:5" x14ac:dyDescent="0.2">
      <c r="A387" cm="1">
        <f t="array" ref="A387">DDB(_xlfn.SECH(45),300,3650,1)</f>
        <v>0</v>
      </c>
      <c r="B387">
        <f t="shared" si="18"/>
        <v>0</v>
      </c>
      <c r="C387">
        <f t="shared" si="19"/>
        <v>0</v>
      </c>
      <c r="D387" t="str">
        <f t="shared" si="20"/>
        <v/>
      </c>
      <c r="E387" t="s">
        <v>421</v>
      </c>
    </row>
    <row r="388" spans="1:5" x14ac:dyDescent="0.2">
      <c r="A388" cm="1">
        <f t="array" ref="A388">ACCRINTM(D!A10,D!N2,D!B3,1000,3)</f>
        <v>780.82191780821915</v>
      </c>
      <c r="B388">
        <f t="shared" si="18"/>
        <v>0</v>
      </c>
      <c r="C388">
        <f t="shared" si="19"/>
        <v>780.82191780821915</v>
      </c>
      <c r="D388" t="str">
        <f t="shared" si="20"/>
        <v/>
      </c>
      <c r="E388" t="s">
        <v>422</v>
      </c>
    </row>
    <row r="389" spans="1:5" x14ac:dyDescent="0.2">
      <c r="A389" t="str" cm="1">
        <f t="array" ref="A389">_xlfn.TEXTJOIN(";",FALSE,EXACT("word",7))</f>
        <v>FALSE</v>
      </c>
      <c r="B389">
        <f t="shared" si="18"/>
        <v>-3</v>
      </c>
      <c r="C389">
        <f t="shared" si="19"/>
        <v>0</v>
      </c>
      <c r="D389" t="str">
        <f t="shared" si="20"/>
        <v>FALSE</v>
      </c>
      <c r="E389" t="s">
        <v>423</v>
      </c>
    </row>
    <row r="390" spans="1:5" x14ac:dyDescent="0.2">
      <c r="A390" cm="1">
        <f t="array" ref="A390">INDEX(MIN(D!L4,0,D!D1:D8),1,1)</f>
        <v>0</v>
      </c>
      <c r="B390">
        <f t="shared" si="18"/>
        <v>0</v>
      </c>
      <c r="C390">
        <f t="shared" si="19"/>
        <v>0</v>
      </c>
      <c r="D390" t="str">
        <f t="shared" si="20"/>
        <v/>
      </c>
      <c r="E390" t="s">
        <v>424</v>
      </c>
    </row>
    <row r="391" spans="1:5" x14ac:dyDescent="0.2">
      <c r="A391" cm="1">
        <f t="array" ref="A391">COMBIN(8,_xlfn.T.DIST(1,1,TRUE))</f>
        <v>1</v>
      </c>
      <c r="B391">
        <f t="shared" si="18"/>
        <v>0</v>
      </c>
      <c r="C391">
        <f t="shared" si="19"/>
        <v>1</v>
      </c>
      <c r="D391" t="str">
        <f t="shared" si="20"/>
        <v/>
      </c>
      <c r="E391" t="s">
        <v>425</v>
      </c>
    </row>
    <row r="392" spans="1:5" x14ac:dyDescent="0.2">
      <c r="A392" cm="1">
        <f t="array" ref="A392">ROWS(COUNTIF(D!B1:B3,TRUE))</f>
        <v>1</v>
      </c>
      <c r="B392">
        <f t="shared" si="18"/>
        <v>0</v>
      </c>
      <c r="C392">
        <f t="shared" si="19"/>
        <v>1</v>
      </c>
      <c r="D392" t="str">
        <f t="shared" si="20"/>
        <v/>
      </c>
      <c r="E392" t="s">
        <v>426</v>
      </c>
    </row>
    <row r="393" spans="1:5" x14ac:dyDescent="0.2">
      <c r="A393" t="e" cm="1">
        <f t="array" ref="A393">COLUMNS(T(OCT2BIN(D!L4,"-4")))</f>
        <v>#NUM!</v>
      </c>
      <c r="B393">
        <f t="shared" si="18"/>
        <v>6</v>
      </c>
      <c r="C393">
        <f t="shared" si="19"/>
        <v>0</v>
      </c>
      <c r="D393" t="str">
        <f t="shared" si="20"/>
        <v/>
      </c>
      <c r="E393" t="s">
        <v>427</v>
      </c>
    </row>
    <row r="394" spans="1:5" x14ac:dyDescent="0.2">
      <c r="A394" t="str" cm="1">
        <f t="array" ref="A394">_xlfn.TEXTJOIN(";",FALSE,AVERAGE(D!B1:B8))</f>
        <v>14.34375</v>
      </c>
      <c r="B394">
        <f t="shared" si="18"/>
        <v>-3</v>
      </c>
      <c r="C394">
        <f t="shared" si="19"/>
        <v>0</v>
      </c>
      <c r="D394" t="str">
        <f t="shared" si="20"/>
        <v>14.34375</v>
      </c>
      <c r="E394" t="s">
        <v>428</v>
      </c>
    </row>
    <row r="395" spans="1:5" x14ac:dyDescent="0.2">
      <c r="A395" t="e" cm="1">
        <f t="array" ref="A395">FINDB("x y","abc")&gt;DB(PERCENTRANK(D!B1:B8,15)=DEVSQ(D!B1:B8),100000,D!B7,"50%",7)</f>
        <v>#VALUE!</v>
      </c>
      <c r="B395">
        <f t="shared" si="18"/>
        <v>3</v>
      </c>
      <c r="C395">
        <f t="shared" si="19"/>
        <v>0</v>
      </c>
      <c r="D395" t="str">
        <f t="shared" si="20"/>
        <v/>
      </c>
      <c r="E395" t="s">
        <v>429</v>
      </c>
    </row>
    <row r="396" spans="1:5" x14ac:dyDescent="0.2">
      <c r="A396" t="b" cm="1">
        <f t="array" ref="A396">REPLACE(D!A3,6,"3","*")&lt;&gt;_xlfn.FLOOR.MATH(24.3,5)</f>
        <v>1</v>
      </c>
      <c r="B396">
        <f t="shared" si="18"/>
        <v>-1</v>
      </c>
      <c r="C396">
        <f t="shared" si="19"/>
        <v>0</v>
      </c>
      <c r="D396" t="str">
        <f t="shared" si="20"/>
        <v/>
      </c>
      <c r="E396" t="s">
        <v>430</v>
      </c>
    </row>
    <row r="397" spans="1:5" x14ac:dyDescent="0.2">
      <c r="A397" cm="1">
        <f t="array" ref="A397">YEAR(39634)</f>
        <v>2008</v>
      </c>
      <c r="B397">
        <f t="shared" si="18"/>
        <v>0</v>
      </c>
      <c r="C397">
        <f t="shared" si="19"/>
        <v>2008</v>
      </c>
      <c r="D397" t="str">
        <f t="shared" si="20"/>
        <v/>
      </c>
      <c r="E397" t="s">
        <v>431</v>
      </c>
    </row>
    <row r="398" spans="1:5" x14ac:dyDescent="0.2">
      <c r="A398" t="e" cm="1">
        <f t="array" ref="A398">SUM(IMARGUMENT("abc"))</f>
        <v>#NUM!</v>
      </c>
      <c r="B398">
        <f t="shared" si="18"/>
        <v>6</v>
      </c>
      <c r="C398">
        <f t="shared" si="19"/>
        <v>0</v>
      </c>
      <c r="D398" t="str">
        <f t="shared" si="20"/>
        <v/>
      </c>
      <c r="E398" t="s">
        <v>432</v>
      </c>
    </row>
    <row r="399" spans="1:5" x14ac:dyDescent="0.2">
      <c r="A399" t="e" cm="1">
        <f t="array" ref="A399">_xlfn.TEXTJOIN(";",FALSE,KURT(TRUE))</f>
        <v>#DIV/0!</v>
      </c>
      <c r="B399">
        <f t="shared" si="18"/>
        <v>2</v>
      </c>
      <c r="C399">
        <f t="shared" si="19"/>
        <v>0</v>
      </c>
      <c r="D399" t="str">
        <f t="shared" si="20"/>
        <v/>
      </c>
      <c r="E399" t="s">
        <v>433</v>
      </c>
    </row>
    <row r="400" spans="1:5" x14ac:dyDescent="0.2">
      <c r="A400" t="e" cm="1">
        <f t="array" ref="A400">_xlfn.FLOOR.MATH(7,D!B7&lt;&gt;D!B1,"1/2/2025")^IMSUM(D!M1:N6,"5-3i")</f>
        <v>#NUM!</v>
      </c>
      <c r="B400">
        <f t="shared" si="18"/>
        <v>6</v>
      </c>
      <c r="C400">
        <f t="shared" si="19"/>
        <v>0</v>
      </c>
      <c r="D400" t="str">
        <f t="shared" si="20"/>
        <v/>
      </c>
      <c r="E400" t="s">
        <v>434</v>
      </c>
    </row>
    <row r="401" spans="1:1" x14ac:dyDescent="0.2">
      <c r="A401" t="s">
        <v>435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2026-10-07T05:15:36Z</dcterms:created>
  <dcterms:modified xsi:type="dcterms:W3CDTF">2026-10-07T05:15:36Z</dcterms:modified>
  <cp:category/>
</cp:coreProperties>
</file>