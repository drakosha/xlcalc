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9D144B9F-2648-6947-A329-0A62B1BF163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2" l="1" a="1"/>
  <c r="A41" i="2" s="1"/>
  <c r="A40" i="2" a="1"/>
  <c r="A40" i="2" s="1"/>
  <c r="D40" i="2" s="1"/>
  <c r="A38" i="2" a="1"/>
  <c r="A38" i="2" s="1"/>
  <c r="D38" i="2" s="1"/>
  <c r="A31" i="2" a="1"/>
  <c r="A31" i="2"/>
  <c r="C31" i="2" s="1"/>
  <c r="A30" i="2" a="1"/>
  <c r="A30" i="2" s="1"/>
  <c r="A28" i="2" a="1"/>
  <c r="A28" i="2" s="1"/>
  <c r="A27" i="2" a="1"/>
  <c r="A27" i="2" s="1"/>
  <c r="C27" i="2" s="1"/>
  <c r="A22" i="2" a="1"/>
  <c r="A22" i="2" s="1"/>
  <c r="D22" i="2" s="1"/>
  <c r="A21" i="2" a="1"/>
  <c r="A21" i="2"/>
  <c r="C21" i="2" s="1"/>
  <c r="A20" i="2" a="1"/>
  <c r="A20" i="2"/>
  <c r="D20" i="2" s="1"/>
  <c r="A19" i="2" a="1"/>
  <c r="A19" i="2" s="1"/>
  <c r="A18" i="2" a="1"/>
  <c r="A18" i="2" s="1"/>
  <c r="A17" i="2" a="1"/>
  <c r="A17" i="2"/>
  <c r="D17" i="2" s="1"/>
  <c r="A16" i="2" a="1"/>
  <c r="A16" i="2" s="1"/>
  <c r="A15" i="2" a="1"/>
  <c r="A15" i="2"/>
  <c r="C15" i="2" s="1"/>
  <c r="A14" i="2" a="1"/>
  <c r="A14" i="2" s="1"/>
  <c r="D14" i="2" s="1"/>
  <c r="A13" i="2" a="1"/>
  <c r="A13" i="2" s="1"/>
  <c r="C13" i="2" s="1"/>
  <c r="A12" i="2" a="1"/>
  <c r="A12" i="2" s="1"/>
  <c r="A11" i="2" a="1"/>
  <c r="A11" i="2" s="1"/>
  <c r="B11" i="2" s="1"/>
  <c r="A10" i="2" a="1"/>
  <c r="A10" i="2"/>
  <c r="D10" i="2" s="1"/>
  <c r="A9" i="2" a="1"/>
  <c r="A9" i="2" s="1"/>
  <c r="A8" i="2" a="1"/>
  <c r="A8" i="2"/>
  <c r="D8" i="2" s="1"/>
  <c r="A7" i="2" a="1"/>
  <c r="A7" i="2"/>
  <c r="C7" i="2" s="1"/>
  <c r="A6" i="2" a="1"/>
  <c r="A6" i="2" s="1"/>
  <c r="A5" i="2" a="1"/>
  <c r="A5" i="2" s="1"/>
  <c r="A4" i="2" a="1"/>
  <c r="A4" i="2" s="1"/>
  <c r="D4" i="2" s="1"/>
  <c r="A3" i="2" a="1"/>
  <c r="A3" i="2" s="1"/>
  <c r="D3" i="2" s="1"/>
  <c r="A2" i="2" a="1"/>
  <c r="A2" i="2"/>
  <c r="C2" i="2" s="1"/>
  <c r="A1" i="2" a="1"/>
  <c r="A1" i="2" s="1"/>
  <c r="I15" i="1"/>
  <c r="A14" i="1"/>
  <c r="A13" i="1"/>
  <c r="AL10" i="1"/>
  <c r="A8" i="1"/>
  <c r="A7" i="1"/>
  <c r="A23" i="2" s="1" a="1"/>
  <c r="A23" i="2" s="1"/>
  <c r="E3" i="1"/>
  <c r="A39" i="2" s="1" a="1"/>
  <c r="A39" i="2" s="1"/>
  <c r="D5" i="2" l="1"/>
  <c r="C5" i="2"/>
  <c r="B5" i="2"/>
  <c r="B30" i="2"/>
  <c r="D30" i="2"/>
  <c r="C30" i="2"/>
  <c r="A34" i="2" a="1"/>
  <c r="A34" i="2" s="1"/>
  <c r="B34" i="2" s="1"/>
  <c r="A35" i="2" a="1"/>
  <c r="A35" i="2" s="1"/>
  <c r="B35" i="2" s="1"/>
  <c r="A24" i="2" a="1"/>
  <c r="A24" i="2" s="1"/>
  <c r="C24" i="2" s="1"/>
  <c r="A37" i="2" a="1"/>
  <c r="A37" i="2" s="1"/>
  <c r="D37" i="2" s="1"/>
  <c r="A42" i="2" a="1"/>
  <c r="A42" i="2" s="1"/>
  <c r="D42" i="2" s="1"/>
  <c r="D23" i="2"/>
  <c r="C23" i="2"/>
  <c r="B23" i="2"/>
  <c r="C6" i="2"/>
  <c r="B6" i="2"/>
  <c r="D6" i="2"/>
  <c r="D18" i="2"/>
  <c r="C18" i="2"/>
  <c r="B18" i="2"/>
  <c r="C19" i="2"/>
  <c r="D19" i="2"/>
  <c r="B19" i="2"/>
  <c r="B12" i="2"/>
  <c r="D12" i="2"/>
  <c r="C12" i="2"/>
  <c r="D41" i="2"/>
  <c r="B41" i="2"/>
  <c r="C41" i="2"/>
  <c r="D28" i="2"/>
  <c r="C28" i="2"/>
  <c r="B28" i="2"/>
  <c r="C37" i="2"/>
  <c r="C1" i="2"/>
  <c r="B1" i="2"/>
  <c r="D1" i="2"/>
  <c r="C39" i="2"/>
  <c r="D39" i="2"/>
  <c r="B39" i="2"/>
  <c r="D16" i="2"/>
  <c r="C16" i="2"/>
  <c r="B16" i="2"/>
  <c r="D9" i="2"/>
  <c r="B9" i="2"/>
  <c r="C9" i="2"/>
  <c r="D13" i="2"/>
  <c r="C17" i="2"/>
  <c r="A32" i="2" a="1"/>
  <c r="A32" i="2" s="1"/>
  <c r="D35" i="2"/>
  <c r="B2" i="2"/>
  <c r="B13" i="2"/>
  <c r="D27" i="2"/>
  <c r="B10" i="2"/>
  <c r="B27" i="2"/>
  <c r="B31" i="2"/>
  <c r="B17" i="2"/>
  <c r="C10" i="2"/>
  <c r="B7" i="2"/>
  <c r="C14" i="2"/>
  <c r="D21" i="2"/>
  <c r="A29" i="2" a="1"/>
  <c r="A29" i="2" s="1"/>
  <c r="B4" i="2"/>
  <c r="C11" i="2"/>
  <c r="B22" i="2"/>
  <c r="A33" i="2" a="1"/>
  <c r="A33" i="2" s="1"/>
  <c r="B40" i="2"/>
  <c r="C4" i="2"/>
  <c r="D11" i="2"/>
  <c r="B15" i="2"/>
  <c r="C22" i="2"/>
  <c r="A26" i="2" a="1"/>
  <c r="A26" i="2" s="1"/>
  <c r="C40" i="2"/>
  <c r="A44" i="2" a="1"/>
  <c r="A44" i="2" s="1"/>
  <c r="D7" i="2"/>
  <c r="B20" i="2"/>
  <c r="B38" i="2"/>
  <c r="C20" i="2"/>
  <c r="C38" i="2"/>
  <c r="D2" i="2"/>
  <c r="D31" i="2"/>
  <c r="C3" i="2"/>
  <c r="A36" i="2" a="1"/>
  <c r="A36" i="2" s="1"/>
  <c r="D15" i="2"/>
  <c r="B3" i="2"/>
  <c r="B21" i="2"/>
  <c r="B14" i="2"/>
  <c r="A25" i="2" a="1"/>
  <c r="A25" i="2" s="1"/>
  <c r="A43" i="2" a="1"/>
  <c r="A43" i="2" s="1"/>
  <c r="B8" i="2"/>
  <c r="C8" i="2"/>
  <c r="B42" i="2" l="1"/>
  <c r="C42" i="2"/>
  <c r="D34" i="2"/>
  <c r="C35" i="2"/>
  <c r="B24" i="2"/>
  <c r="C34" i="2"/>
  <c r="B37" i="2"/>
  <c r="D24" i="2"/>
  <c r="B36" i="2"/>
  <c r="D36" i="2"/>
  <c r="C36" i="2"/>
  <c r="D44" i="2"/>
  <c r="C44" i="2"/>
  <c r="B44" i="2"/>
  <c r="D43" i="2"/>
  <c r="B43" i="2"/>
  <c r="C43" i="2"/>
  <c r="D33" i="2"/>
  <c r="C33" i="2"/>
  <c r="B33" i="2"/>
  <c r="B32" i="2"/>
  <c r="D32" i="2"/>
  <c r="C32" i="2"/>
  <c r="D25" i="2"/>
  <c r="C25" i="2"/>
  <c r="B25" i="2"/>
  <c r="D29" i="2"/>
  <c r="C29" i="2"/>
  <c r="B29" i="2"/>
  <c r="D26" i="2"/>
  <c r="C26" i="2"/>
  <c r="B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<sst xmlns="http://schemas.openxmlformats.org/spreadsheetml/2006/main" count="103" uniqueCount="80">
  <si>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</si>
  <si>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</si>
  <si>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</si>
  <si>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</si>
  <si>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</si>
  <si>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</si>
  <si>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</si>
  <si>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</si>
  <si>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</si>
  <si>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</si>
  <si>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</si>
  <si>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</si>
  <si>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</si>
  <si>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</si>
  <si>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</si>
  <si>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</si>
  <si>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</si>
  <si>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</si>
  <si>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</si>
  <si>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</si>
  <si>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</si>
  <si>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</si>
  <si>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</si>
  <si>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</si>
  <si>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</si>
  <si>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</si>
  <si>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</si>
  <si>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</si>
  <si>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</si>
  <si>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</si>
  <si>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</si>
  <si>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</si>
  <si>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</si>
  <si>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</si>
  <si>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</si>
  <si>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BINOM.DIST.RANGE#1</t>
  </si>
  <si>
    <t>BINOM.DIST.RANGE#2</t>
  </si>
  <si>
    <t>BINOM.DIST.RANGE#3</t>
  </si>
  <si>
    <t>BINOM.DIST.RANGE#4</t>
  </si>
  <si>
    <t>BINOM.DIST#1</t>
  </si>
  <si>
    <t>BINOM.DIST.RANGE#5</t>
  </si>
  <si>
    <t>BINOM.DIST.RANGE#6</t>
  </si>
  <si>
    <t>BINOM.DIST.RANGE#7</t>
  </si>
  <si>
    <t>BINOM.DIST.RANGE#8</t>
  </si>
  <si>
    <t>BINOM.DIST.RANGE#9</t>
  </si>
  <si>
    <t>BINOM.DIST.RANGE#10</t>
  </si>
  <si>
    <t>BINOM.DIST.RANGE#11</t>
  </si>
  <si>
    <t>BINOM.DIST.RANGE#12</t>
  </si>
  <si>
    <t>BINOM.DIST.RANGE#13</t>
  </si>
  <si>
    <t>BINOM.DIST.RANGE#14</t>
  </si>
  <si>
    <t>BINOM.DIST.RANGE#15</t>
  </si>
  <si>
    <t>BINOM.DIST.RANGE#16</t>
  </si>
  <si>
    <t>BINOM.DIST.RANGE#17</t>
  </si>
  <si>
    <t>BINOM.DIST.RANGE#18</t>
  </si>
  <si>
    <t>BINOM.DIST.RANGE#19</t>
  </si>
  <si>
    <t>BINOM.DIST.RANGE#20</t>
  </si>
  <si>
    <t>BINOM.DIST.RANGE#21</t>
  </si>
  <si>
    <t>SUMX2MY2#1</t>
  </si>
  <si>
    <t>SUMX2MY2#2</t>
  </si>
  <si>
    <t>SUMXMY2#1</t>
  </si>
  <si>
    <t>SUMXMY2#2</t>
  </si>
  <si>
    <t>SUMX2PY2#1</t>
  </si>
  <si>
    <t>SUMX2PY2#2</t>
  </si>
  <si>
    <t>SUMX2MY2#3</t>
  </si>
  <si>
    <t>SUMX2MY2#4</t>
  </si>
  <si>
    <t>SUMX2MY2#5</t>
  </si>
  <si>
    <t>SUMX2MY2#6</t>
  </si>
  <si>
    <t>SUMX2MY2#7</t>
  </si>
  <si>
    <t>SUMX2MY2#8</t>
  </si>
  <si>
    <t>SUMX2MY2#9</t>
  </si>
  <si>
    <t>SUMX2MY2#10</t>
  </si>
  <si>
    <t>SUMX2MY2#11</t>
  </si>
  <si>
    <t>SUMX2MY2#12</t>
  </si>
  <si>
    <t>SUMX2MY2#13</t>
  </si>
  <si>
    <t>SUMX2MY2#14</t>
  </si>
  <si>
    <t>SUMX2MY2#15</t>
  </si>
  <si>
    <t>CORREL#1</t>
  </si>
  <si>
    <t>PEARSON#1</t>
  </si>
  <si>
    <t>SUMPRODUCT#1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</si>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</sst>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_xlfn.BINOM.DIST.RANGE(60,0.75,48)</f>
        <v>8.3974967429047503E-2</v>
      </c>
      <c r="B1">
        <f t="shared" ref="B1:B44" si="0">IF(ISERROR(A1),ERROR.TYPE(A1),IF(ISNUMBER(A1),0,IF(ISLOGICAL(A1),IF(A1,-1,-2),IF(ISTEXT(A1),-3,-4))))</f>
        <v>0</v>
      </c>
      <c r="C1">
        <f t="shared" ref="C1:C44" si="1">IF(ISNUMBER(A1),A1,0)</f>
        <v>8.3974967429047503E-2</v>
      </c>
      <c r="D1" t="str">
        <f t="shared" ref="D1:D44" si="2">IF(ISTEXT(A1),A1,"")</f>
        <v/>
      </c>
      <c r="E1" t="s">
        <v>35</v>
      </c>
    </row>
    <row r="2" spans="1:5" x14ac:dyDescent="0.2">
      <c r="A2" cm="1">
        <f t="array" ref="A2">_xlfn.BINOM.DIST.RANGE(170,0.5,85)</f>
        <v>6.110502640760504E-2</v>
      </c>
      <c r="B2">
        <f t="shared" si="0"/>
        <v>0</v>
      </c>
      <c r="C2">
        <f t="shared" si="1"/>
        <v>6.110502640760504E-2</v>
      </c>
      <c r="D2" t="str">
        <f t="shared" si="2"/>
        <v/>
      </c>
      <c r="E2" t="s">
        <v>36</v>
      </c>
    </row>
    <row r="3" spans="1:5" x14ac:dyDescent="0.2">
      <c r="A3" cm="1">
        <f t="array" ref="A3">_xlfn.BINOM.DIST.RANGE(171,0.5,85)</f>
        <v>6.0749764626165492E-2</v>
      </c>
      <c r="B3">
        <f t="shared" si="0"/>
        <v>0</v>
      </c>
      <c r="C3">
        <f t="shared" si="1"/>
        <v>6.0749764626165492E-2</v>
      </c>
      <c r="D3" t="str">
        <f t="shared" si="2"/>
        <v/>
      </c>
      <c r="E3" t="s">
        <v>37</v>
      </c>
    </row>
    <row r="4" spans="1:5" x14ac:dyDescent="0.2">
      <c r="A4" cm="1">
        <f t="array" ref="A4">_xlfn.BINOM.DIST.RANGE(200,0.5,100)</f>
        <v>5.6348479009256387E-2</v>
      </c>
      <c r="B4">
        <f t="shared" si="0"/>
        <v>0</v>
      </c>
      <c r="C4">
        <f t="shared" si="1"/>
        <v>5.6348479009256387E-2</v>
      </c>
      <c r="D4" t="str">
        <f t="shared" si="2"/>
        <v/>
      </c>
      <c r="E4" t="s">
        <v>38</v>
      </c>
    </row>
    <row r="5" spans="1:5" x14ac:dyDescent="0.2">
      <c r="A5" cm="1">
        <f t="array" ref="A5">_xlfn.BINOM.DIST(100,200,0.5,FALSE)</f>
        <v>5.6348479009256387E-2</v>
      </c>
      <c r="B5">
        <f t="shared" si="0"/>
        <v>0</v>
      </c>
      <c r="C5">
        <f t="shared" si="1"/>
        <v>5.6348479009256387E-2</v>
      </c>
      <c r="D5" t="str">
        <f t="shared" si="2"/>
        <v/>
      </c>
      <c r="E5" t="s">
        <v>39</v>
      </c>
    </row>
    <row r="6" spans="1:5" x14ac:dyDescent="0.2">
      <c r="A6" cm="1">
        <f t="array" ref="A6">_xlfn.BINOM.DIST.RANGE(200,0.5,90,110)</f>
        <v>0.86263334913136935</v>
      </c>
      <c r="B6">
        <f t="shared" si="0"/>
        <v>0</v>
      </c>
      <c r="C6">
        <f t="shared" si="1"/>
        <v>0.86263334913136935</v>
      </c>
      <c r="D6" t="str">
        <f t="shared" si="2"/>
        <v/>
      </c>
      <c r="E6" t="s">
        <v>40</v>
      </c>
    </row>
    <row r="7" spans="1:5" x14ac:dyDescent="0.2">
      <c r="A7" cm="1">
        <f t="array" ref="A7">_xlfn.BINOM.DIST.RANGE(200.7,0.5,100.9)</f>
        <v>5.6348479009256387E-2</v>
      </c>
      <c r="B7">
        <f t="shared" si="0"/>
        <v>0</v>
      </c>
      <c r="C7">
        <f t="shared" si="1"/>
        <v>5.6348479009256387E-2</v>
      </c>
      <c r="D7" t="str">
        <f t="shared" si="2"/>
        <v/>
      </c>
      <c r="E7" t="s">
        <v>41</v>
      </c>
    </row>
    <row r="8" spans="1:5" x14ac:dyDescent="0.2">
      <c r="A8" cm="1">
        <f t="array" ref="A8">_xlfn.BINOM.DIST.RANGE(1000,0.5,500)</f>
        <v>2.5225018178360807E-2</v>
      </c>
      <c r="B8">
        <f t="shared" si="0"/>
        <v>0</v>
      </c>
      <c r="C8">
        <f t="shared" si="1"/>
        <v>2.5225018178360807E-2</v>
      </c>
      <c r="D8" t="str">
        <f t="shared" si="2"/>
        <v/>
      </c>
      <c r="E8" t="s">
        <v>42</v>
      </c>
    </row>
    <row r="9" spans="1:5" x14ac:dyDescent="0.2">
      <c r="A9" cm="1">
        <f t="array" ref="A9">_xlfn.BINOM.DIST.RANGE(1000,0.3,0,300)</f>
        <v>0.51559351981411983</v>
      </c>
      <c r="B9">
        <f t="shared" si="0"/>
        <v>0</v>
      </c>
      <c r="C9">
        <f t="shared" si="1"/>
        <v>0.51559351981411983</v>
      </c>
      <c r="D9" t="str">
        <f t="shared" si="2"/>
        <v/>
      </c>
      <c r="E9" t="s">
        <v>43</v>
      </c>
    </row>
    <row r="10" spans="1:5" x14ac:dyDescent="0.2">
      <c r="A10" cm="1">
        <f t="array" ref="A10">_xlfn.BINOM.DIST.RANGE(1030,0.5,515)</f>
        <v>2.4855129936574464E-2</v>
      </c>
      <c r="B10">
        <f t="shared" si="0"/>
        <v>0</v>
      </c>
      <c r="C10">
        <f t="shared" si="1"/>
        <v>2.4855129936574464E-2</v>
      </c>
      <c r="D10" t="str">
        <f t="shared" si="2"/>
        <v/>
      </c>
      <c r="E10" t="s">
        <v>44</v>
      </c>
    </row>
    <row r="11" spans="1:5" x14ac:dyDescent="0.2">
      <c r="A11" cm="1">
        <f t="array" ref="A11">_xlfn.BINOM.DIST.RANGE(2000,0.5,1000)</f>
        <v>1.783901114585432E-2</v>
      </c>
      <c r="B11">
        <f t="shared" si="0"/>
        <v>0</v>
      </c>
      <c r="C11">
        <f t="shared" si="1"/>
        <v>1.783901114585432E-2</v>
      </c>
      <c r="D11" t="str">
        <f t="shared" si="2"/>
        <v/>
      </c>
      <c r="E11" t="s">
        <v>45</v>
      </c>
    </row>
    <row r="12" spans="1:5" x14ac:dyDescent="0.2">
      <c r="A12" cm="1">
        <f t="array" ref="A12">_xlfn.BINOM.DIST.RANGE(10000,0.5,4900,5100)</f>
        <v>0.9555742009539191</v>
      </c>
      <c r="B12">
        <f t="shared" si="0"/>
        <v>0</v>
      </c>
      <c r="C12">
        <f t="shared" si="1"/>
        <v>0.9555742009539191</v>
      </c>
      <c r="D12" t="str">
        <f t="shared" si="2"/>
        <v/>
      </c>
      <c r="E12" t="s">
        <v>46</v>
      </c>
    </row>
    <row r="13" spans="1:5" x14ac:dyDescent="0.2">
      <c r="A13" cm="1">
        <f t="array" ref="A13">_xlfn.BINOM.DIST.RANGE(100000,0.01,1000)</f>
        <v>1.2678161323544587E-2</v>
      </c>
      <c r="B13">
        <f t="shared" si="0"/>
        <v>0</v>
      </c>
      <c r="C13">
        <f t="shared" si="1"/>
        <v>1.2678161323544587E-2</v>
      </c>
      <c r="D13" t="str">
        <f t="shared" si="2"/>
        <v/>
      </c>
      <c r="E13" t="s">
        <v>47</v>
      </c>
    </row>
    <row r="14" spans="1:5" x14ac:dyDescent="0.2">
      <c r="A14" cm="1">
        <f t="array" ref="A14">_xlfn.BINOM.DIST.RANGE(1000,0.5,0,1000)</f>
        <v>1</v>
      </c>
      <c r="B14">
        <f t="shared" si="0"/>
        <v>0</v>
      </c>
      <c r="C14">
        <f t="shared" si="1"/>
        <v>1</v>
      </c>
      <c r="D14" t="str">
        <f t="shared" si="2"/>
        <v/>
      </c>
      <c r="E14" t="s">
        <v>48</v>
      </c>
    </row>
    <row r="15" spans="1:5" x14ac:dyDescent="0.2">
      <c r="A15" cm="1">
        <f t="array" ref="A15">_xlfn.BINOM.DIST.RANGE(1000,0.001,0)</f>
        <v>0.36769542477096406</v>
      </c>
      <c r="B15">
        <f t="shared" si="0"/>
        <v>0</v>
      </c>
      <c r="C15">
        <f t="shared" si="1"/>
        <v>0.36769542477096406</v>
      </c>
      <c r="D15" t="str">
        <f t="shared" si="2"/>
        <v/>
      </c>
      <c r="E15" t="s">
        <v>49</v>
      </c>
    </row>
    <row r="16" spans="1:5" x14ac:dyDescent="0.2">
      <c r="A16" cm="1">
        <f t="array" ref="A16">_xlfn.BINOM.DIST.RANGE(200,0.5,0)</f>
        <v>6.223015277861121E-61</v>
      </c>
      <c r="B16">
        <f t="shared" si="0"/>
        <v>0</v>
      </c>
      <c r="C16">
        <f t="shared" si="1"/>
        <v>6.223015277861121E-61</v>
      </c>
      <c r="D16" t="str">
        <f t="shared" si="2"/>
        <v/>
      </c>
      <c r="E16" t="s">
        <v>50</v>
      </c>
    </row>
    <row r="17" spans="1:5" x14ac:dyDescent="0.2">
      <c r="A17" cm="1">
        <f t="array" ref="A17">_xlfn.BINOM.DIST.RANGE(2000,0.5,0)</f>
        <v>0</v>
      </c>
      <c r="B17">
        <f t="shared" si="0"/>
        <v>0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_xlfn.BINOM.DIST.RANGE(300,0.2,250,300)</f>
        <v>8.4585703959527588E-123</v>
      </c>
      <c r="B18">
        <f t="shared" si="0"/>
        <v>0</v>
      </c>
      <c r="C18">
        <f t="shared" si="1"/>
        <v>8.4585703959527588E-123</v>
      </c>
      <c r="D18" t="str">
        <f t="shared" si="2"/>
        <v/>
      </c>
      <c r="E18" t="s">
        <v>52</v>
      </c>
    </row>
    <row r="19" spans="1:5" x14ac:dyDescent="0.2">
      <c r="A19" cm="1">
        <f t="array" ref="A19">_xlfn.BINOM.DIST.RANGE(1000000,0.5,499000,501000)</f>
        <v>0.95460766409065578</v>
      </c>
      <c r="B19">
        <f t="shared" si="0"/>
        <v>0</v>
      </c>
      <c r="C19">
        <f t="shared" si="1"/>
        <v>0.95460766409065578</v>
      </c>
      <c r="D19" t="str">
        <f t="shared" si="2"/>
        <v/>
      </c>
      <c r="E19" t="s">
        <v>53</v>
      </c>
    </row>
    <row r="20" spans="1:5" x14ac:dyDescent="0.2">
      <c r="A20" cm="1">
        <f t="array" ref="A20">_xlfn.BINOM.DIST.RANGE(1000000,0.5,500000)</f>
        <v>7.9788436133175044E-4</v>
      </c>
      <c r="B20">
        <f t="shared" si="0"/>
        <v>0</v>
      </c>
      <c r="C20">
        <f t="shared" si="1"/>
        <v>7.9788436133175044E-4</v>
      </c>
      <c r="D20" t="str">
        <f t="shared" si="2"/>
        <v/>
      </c>
      <c r="E20" t="s">
        <v>54</v>
      </c>
    </row>
    <row r="21" spans="1:5" x14ac:dyDescent="0.2">
      <c r="A21" cm="1">
        <f t="array" ref="A21">_xlfn.BINOM.DIST.RANGE(2147483646,0.5,1073741823)</f>
        <v>1.7217699699243103E-5</v>
      </c>
      <c r="B21">
        <f t="shared" si="0"/>
        <v>0</v>
      </c>
      <c r="C21">
        <f t="shared" si="1"/>
        <v>1.7217699699243103E-5</v>
      </c>
      <c r="D21" t="str">
        <f t="shared" si="2"/>
        <v/>
      </c>
      <c r="E21" t="s">
        <v>55</v>
      </c>
    </row>
    <row r="22" spans="1:5" x14ac:dyDescent="0.2">
      <c r="A22" t="e" cm="1">
        <f t="array" ref="A22">_xlfn.BINOM.DIST.RANGE(2147483647,0.5,1)</f>
        <v>#NUM!</v>
      </c>
      <c r="B22">
        <f t="shared" si="0"/>
        <v>6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SUMX2MY2(D!A7,D!B1:B2)</f>
        <v>#DIV/0!</v>
      </c>
      <c r="B23">
        <f t="shared" si="0"/>
        <v>2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SUMX2MY2(D!B1:B2,D!A7)</f>
        <v>#DIV/0!</v>
      </c>
      <c r="B24">
        <f t="shared" si="0"/>
        <v>2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SUMXMY2(D!A7,D!B1:B2)</f>
        <v>#DIV/0!</v>
      </c>
      <c r="B25">
        <f t="shared" si="0"/>
        <v>2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SUMXMY2(D!B1:B3,D!A8)</f>
        <v>#N/A</v>
      </c>
      <c r="B26">
        <f t="shared" si="0"/>
        <v>7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SUMX2PY2(D!A8,D!B1:B2)</f>
        <v>#N/A</v>
      </c>
      <c r="B27">
        <f t="shared" si="0"/>
        <v>7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SUMX2PY2(D!B1:B2,D!A7)</f>
        <v>#DIV/0!</v>
      </c>
      <c r="B28">
        <f t="shared" si="0"/>
        <v>2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SUMX2MY2(D!A7:A7,D!B1:B2)</f>
        <v>#DIV/0!</v>
      </c>
      <c r="B29">
        <f t="shared" si="0"/>
        <v>2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SUMX2MY2({#DIV/0!},{1,2})</f>
        <v>#N/A</v>
      </c>
      <c r="B30">
        <f t="shared" si="0"/>
        <v>7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SUMX2MY2(1/0,D!B1:B2)</f>
        <v>#DIV/0!</v>
      </c>
      <c r="B31">
        <f t="shared" si="0"/>
        <v>2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SUMX2MY2(IF(TRUE,D!A7),D!B1:B2)</f>
        <v>#DIV/0!</v>
      </c>
      <c r="B32">
        <f t="shared" si="0"/>
        <v>2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SUMX2MY2({1,2,3},D!A7)</f>
        <v>#DIV/0!</v>
      </c>
      <c r="B33">
        <f t="shared" si="0"/>
        <v>2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e" cm="1">
        <f t="array" ref="A34">SUMX2MY2(D!A7,{1,2,3})</f>
        <v>#DIV/0!</v>
      </c>
      <c r="B34">
        <f t="shared" si="0"/>
        <v>2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SUMX2MY2(D!A7,D!B1)</f>
        <v>#DIV/0!</v>
      </c>
      <c r="B35">
        <f t="shared" si="0"/>
        <v>2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SUMX2MY2(D!A7,D!A8)</f>
        <v>#DIV/0!</v>
      </c>
      <c r="B36">
        <f t="shared" si="0"/>
        <v>2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e" cm="1">
        <f t="array" ref="A37">SUMX2MY2(D!A8,D!A7)</f>
        <v>#N/A</v>
      </c>
      <c r="B37">
        <f t="shared" si="0"/>
        <v>7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t="e" cm="1">
        <f t="array" ref="A38">SUMX2MY2(D!E1:E8,D!B1:B7)</f>
        <v>#N/A</v>
      </c>
      <c r="B38">
        <f t="shared" si="0"/>
        <v>7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e" cm="1">
        <f t="array" ref="A39">SUMX2MY2(D!E1:E8,D!B1:B8)</f>
        <v>#DIV/0!</v>
      </c>
      <c r="B39">
        <f t="shared" si="0"/>
        <v>2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SUMX2MY2(D!A3,D!B1:B2)</f>
        <v>#N/A</v>
      </c>
      <c r="B40">
        <f t="shared" si="0"/>
        <v>7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e" cm="1">
        <f t="array" ref="A41">SUMX2MY2(D!A1,D!B1:B2)</f>
        <v>#VALUE!</v>
      </c>
      <c r="B41">
        <f t="shared" si="0"/>
        <v>3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CORREL(D!A7,D!B1:B2)</f>
        <v>#DIV/0!</v>
      </c>
      <c r="B42">
        <f t="shared" si="0"/>
        <v>2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e" cm="1">
        <f t="array" ref="A43">PEARSON(D!B1:B2,D!A7)</f>
        <v>#DIV/0!</v>
      </c>
      <c r="B43">
        <f t="shared" si="0"/>
        <v>2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t="e" cm="1">
        <f t="array" ref="A44">SUMPRODUCT(D!A7,D!B1:B2)</f>
        <v>#DIV/0!</v>
      </c>
      <c r="B44">
        <f t="shared" si="0"/>
        <v>2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t="s">
        <v>79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2026-10-11T03:16:46Z</dcterms:created>
  <dcterms:modified xsi:type="dcterms:W3CDTF">2026-10-11T03:16:46Z</dcterms:modified>
  <cp:category/>
</cp:coreProperties>
</file>