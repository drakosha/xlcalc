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4"/>
  <workbookPr filterPrivacy="1"/>
  <xr:revisionPtr revIDLastSave="0" documentId="8_{EDDAC195-5551-9345-9CC6-3B1B6DB61271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Jan" sheetId="1" r:id="rId1"/>
    <sheet name="Feb" sheetId="2" r:id="rId2"/>
    <sheet name="Mar" sheetId="3" r:id="rId3"/>
    <sheet name="D" sheetId="4" r:id="rId4"/>
    <sheet name="C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00" i="5" l="1" a="1"/>
  <c r="A400" i="5" s="1"/>
  <c r="A399" i="5" a="1"/>
  <c r="A399" i="5" s="1"/>
  <c r="A398" i="5" a="1"/>
  <c r="A398" i="5"/>
  <c r="D398" i="5" s="1"/>
  <c r="A397" i="5" a="1"/>
  <c r="A397" i="5" s="1"/>
  <c r="D397" i="5" s="1"/>
  <c r="A396" i="5" a="1"/>
  <c r="A396" i="5" s="1"/>
  <c r="D396" i="5" s="1"/>
  <c r="A395" i="5" a="1"/>
  <c r="A395" i="5" s="1"/>
  <c r="A394" i="5" a="1"/>
  <c r="A394" i="5" s="1"/>
  <c r="B394" i="5" s="1"/>
  <c r="A393" i="5" a="1"/>
  <c r="A393" i="5"/>
  <c r="C393" i="5" s="1"/>
  <c r="A392" i="5" a="1"/>
  <c r="A392" i="5"/>
  <c r="A391" i="5" a="1"/>
  <c r="A391" i="5" s="1"/>
  <c r="A390" i="5" a="1"/>
  <c r="A390" i="5" s="1"/>
  <c r="D390" i="5" s="1"/>
  <c r="A389" i="5" a="1"/>
  <c r="A389" i="5" s="1"/>
  <c r="D389" i="5" s="1"/>
  <c r="A388" i="5" a="1"/>
  <c r="A388" i="5" s="1"/>
  <c r="D388" i="5" s="1"/>
  <c r="A387" i="5" a="1"/>
  <c r="A387" i="5" s="1"/>
  <c r="D387" i="5" s="1"/>
  <c r="A386" i="5" a="1"/>
  <c r="A386" i="5" s="1"/>
  <c r="A385" i="5" a="1"/>
  <c r="A385" i="5"/>
  <c r="A384" i="5" a="1"/>
  <c r="A384" i="5"/>
  <c r="A383" i="5" a="1"/>
  <c r="A383" i="5"/>
  <c r="D383" i="5" s="1"/>
  <c r="A382" i="5" a="1"/>
  <c r="A382" i="5" s="1"/>
  <c r="A381" i="5" a="1"/>
  <c r="A381" i="5" s="1"/>
  <c r="A380" i="5" a="1"/>
  <c r="A380" i="5" s="1"/>
  <c r="A379" i="5" a="1"/>
  <c r="A379" i="5" s="1"/>
  <c r="A378" i="5" a="1"/>
  <c r="A378" i="5"/>
  <c r="A377" i="5" a="1"/>
  <c r="A377" i="5" s="1"/>
  <c r="D377" i="5" s="1"/>
  <c r="A376" i="5" a="1"/>
  <c r="A376" i="5"/>
  <c r="D376" i="5" s="1"/>
  <c r="A375" i="5" a="1"/>
  <c r="A375" i="5"/>
  <c r="B375" i="5" s="1"/>
  <c r="A374" i="5" a="1"/>
  <c r="A374" i="5" s="1"/>
  <c r="A373" i="5" a="1"/>
  <c r="A373" i="5" s="1"/>
  <c r="C373" i="5" s="1"/>
  <c r="A372" i="5" a="1"/>
  <c r="A372" i="5" s="1"/>
  <c r="D372" i="5" s="1"/>
  <c r="A371" i="5" a="1"/>
  <c r="A371" i="5"/>
  <c r="D371" i="5" s="1"/>
  <c r="A370" i="5" a="1"/>
  <c r="A370" i="5" s="1"/>
  <c r="D370" i="5" s="1"/>
  <c r="A369" i="5" a="1"/>
  <c r="A369" i="5"/>
  <c r="D369" i="5" s="1"/>
  <c r="A368" i="5" a="1"/>
  <c r="A368" i="5"/>
  <c r="B368" i="5" s="1"/>
  <c r="A367" i="5" a="1"/>
  <c r="A367" i="5"/>
  <c r="D366" i="5"/>
  <c r="A366" i="5" a="1"/>
  <c r="A366" i="5"/>
  <c r="B366" i="5" s="1"/>
  <c r="A365" i="5" a="1"/>
  <c r="A365" i="5"/>
  <c r="A364" i="5" a="1"/>
  <c r="A364" i="5" s="1"/>
  <c r="A363" i="5" a="1"/>
  <c r="A363" i="5" s="1"/>
  <c r="D363" i="5" s="1"/>
  <c r="A362" i="5" a="1"/>
  <c r="A362" i="5" s="1"/>
  <c r="D362" i="5" s="1"/>
  <c r="D361" i="5"/>
  <c r="A361" i="5" a="1"/>
  <c r="A361" i="5" s="1"/>
  <c r="C361" i="5" s="1"/>
  <c r="A360" i="5" a="1"/>
  <c r="A360" i="5"/>
  <c r="A359" i="5" a="1"/>
  <c r="A359" i="5"/>
  <c r="D359" i="5" s="1"/>
  <c r="A358" i="5" a="1"/>
  <c r="A358" i="5"/>
  <c r="D358" i="5" s="1"/>
  <c r="A357" i="5" a="1"/>
  <c r="A357" i="5" s="1"/>
  <c r="A356" i="5" a="1"/>
  <c r="A356" i="5" s="1"/>
  <c r="B356" i="5" s="1"/>
  <c r="A355" i="5" a="1"/>
  <c r="A355" i="5"/>
  <c r="C355" i="5" s="1"/>
  <c r="C354" i="5"/>
  <c r="A354" i="5" a="1"/>
  <c r="A354" i="5" s="1"/>
  <c r="B354" i="5" s="1"/>
  <c r="A353" i="5" a="1"/>
  <c r="A353" i="5" s="1"/>
  <c r="D353" i="5" s="1"/>
  <c r="A352" i="5" a="1"/>
  <c r="A352" i="5" s="1"/>
  <c r="A351" i="5" a="1"/>
  <c r="A351" i="5" s="1"/>
  <c r="A350" i="5" a="1"/>
  <c r="A350" i="5" s="1"/>
  <c r="B350" i="5" s="1"/>
  <c r="A349" i="5" a="1"/>
  <c r="A349" i="5" s="1"/>
  <c r="A348" i="5" a="1"/>
  <c r="A348" i="5" s="1"/>
  <c r="B348" i="5" s="1"/>
  <c r="A347" i="5" a="1"/>
  <c r="A347" i="5" s="1"/>
  <c r="A346" i="5" a="1"/>
  <c r="A346" i="5" s="1"/>
  <c r="A345" i="5" a="1"/>
  <c r="A345" i="5" s="1"/>
  <c r="A344" i="5" a="1"/>
  <c r="A344" i="5" s="1"/>
  <c r="A343" i="5" a="1"/>
  <c r="A343" i="5" s="1"/>
  <c r="D343" i="5" s="1"/>
  <c r="A342" i="5" a="1"/>
  <c r="A342" i="5" s="1"/>
  <c r="A341" i="5" a="1"/>
  <c r="A341" i="5"/>
  <c r="B341" i="5" s="1"/>
  <c r="A340" i="5" a="1"/>
  <c r="A340" i="5"/>
  <c r="D340" i="5" s="1"/>
  <c r="A339" i="5" a="1"/>
  <c r="A339" i="5" s="1"/>
  <c r="A338" i="5" a="1"/>
  <c r="A338" i="5" s="1"/>
  <c r="A337" i="5" a="1"/>
  <c r="A337" i="5" s="1"/>
  <c r="A336" i="5" a="1"/>
  <c r="A336" i="5" s="1"/>
  <c r="C336" i="5" s="1"/>
  <c r="A335" i="5" a="1"/>
  <c r="A335" i="5" s="1"/>
  <c r="D335" i="5" s="1"/>
  <c r="A334" i="5" a="1"/>
  <c r="A334" i="5" s="1"/>
  <c r="D334" i="5" s="1"/>
  <c r="A333" i="5" a="1"/>
  <c r="A333" i="5"/>
  <c r="D333" i="5" s="1"/>
  <c r="A332" i="5" a="1"/>
  <c r="A332" i="5" s="1"/>
  <c r="B332" i="5" s="1"/>
  <c r="A331" i="5" a="1"/>
  <c r="A331" i="5" s="1"/>
  <c r="A330" i="5" a="1"/>
  <c r="A330" i="5" s="1"/>
  <c r="B330" i="5" s="1"/>
  <c r="A329" i="5" a="1"/>
  <c r="A329" i="5" s="1"/>
  <c r="B329" i="5" s="1"/>
  <c r="A328" i="5" a="1"/>
  <c r="A328" i="5" s="1"/>
  <c r="A327" i="5" a="1"/>
  <c r="A327" i="5"/>
  <c r="D327" i="5" s="1"/>
  <c r="A326" i="5" a="1"/>
  <c r="A326" i="5" s="1"/>
  <c r="A325" i="5" a="1"/>
  <c r="A325" i="5"/>
  <c r="D325" i="5" s="1"/>
  <c r="A324" i="5" a="1"/>
  <c r="A324" i="5"/>
  <c r="A323" i="5" a="1"/>
  <c r="A323" i="5"/>
  <c r="D323" i="5" s="1"/>
  <c r="A322" i="5" a="1"/>
  <c r="A322" i="5" s="1"/>
  <c r="A321" i="5" a="1"/>
  <c r="A321" i="5"/>
  <c r="C321" i="5" s="1"/>
  <c r="A320" i="5" a="1"/>
  <c r="A320" i="5" s="1"/>
  <c r="A319" i="5" a="1"/>
  <c r="A319" i="5" s="1"/>
  <c r="A318" i="5" a="1"/>
  <c r="A318" i="5" s="1"/>
  <c r="D318" i="5" s="1"/>
  <c r="A317" i="5" a="1"/>
  <c r="A317" i="5" s="1"/>
  <c r="D317" i="5" s="1"/>
  <c r="A316" i="5" a="1"/>
  <c r="A316" i="5" s="1"/>
  <c r="C316" i="5" s="1"/>
  <c r="A315" i="5" a="1"/>
  <c r="A315" i="5"/>
  <c r="A314" i="5" a="1"/>
  <c r="A314" i="5" s="1"/>
  <c r="B314" i="5" s="1"/>
  <c r="A313" i="5" a="1"/>
  <c r="A313" i="5" s="1"/>
  <c r="A312" i="5" a="1"/>
  <c r="A312" i="5" s="1"/>
  <c r="A311" i="5" a="1"/>
  <c r="A311" i="5" s="1"/>
  <c r="A310" i="5" a="1"/>
  <c r="A310" i="5" s="1"/>
  <c r="A309" i="5" a="1"/>
  <c r="A309" i="5" s="1"/>
  <c r="A308" i="5" a="1"/>
  <c r="A308" i="5" s="1"/>
  <c r="D307" i="5"/>
  <c r="C307" i="5"/>
  <c r="B307" i="5"/>
  <c r="A307" i="5" a="1"/>
  <c r="A307" i="5"/>
  <c r="A306" i="5" a="1"/>
  <c r="A306" i="5"/>
  <c r="A305" i="5" a="1"/>
  <c r="A305" i="5"/>
  <c r="B305" i="5" s="1"/>
  <c r="A304" i="5" a="1"/>
  <c r="A304" i="5"/>
  <c r="C304" i="5" s="1"/>
  <c r="D303" i="5"/>
  <c r="A303" i="5" a="1"/>
  <c r="A303" i="5"/>
  <c r="C303" i="5" s="1"/>
  <c r="A302" i="5" a="1"/>
  <c r="A302" i="5" s="1"/>
  <c r="A301" i="5" a="1"/>
  <c r="A301" i="5"/>
  <c r="C301" i="5" s="1"/>
  <c r="D300" i="5"/>
  <c r="A300" i="5" a="1"/>
  <c r="A300" i="5" s="1"/>
  <c r="C300" i="5" s="1"/>
  <c r="A299" i="5" a="1"/>
  <c r="A299" i="5"/>
  <c r="A298" i="5" a="1"/>
  <c r="A298" i="5" s="1"/>
  <c r="D298" i="5" s="1"/>
  <c r="A297" i="5" a="1"/>
  <c r="A297" i="5"/>
  <c r="D297" i="5" s="1"/>
  <c r="A296" i="5" a="1"/>
  <c r="A296" i="5" s="1"/>
  <c r="B296" i="5" s="1"/>
  <c r="A295" i="5" a="1"/>
  <c r="A295" i="5"/>
  <c r="A294" i="5" a="1"/>
  <c r="A294" i="5"/>
  <c r="B294" i="5" s="1"/>
  <c r="A293" i="5" a="1"/>
  <c r="A293" i="5" s="1"/>
  <c r="A292" i="5" a="1"/>
  <c r="A292" i="5" s="1"/>
  <c r="A291" i="5" a="1"/>
  <c r="A291" i="5" s="1"/>
  <c r="D291" i="5" s="1"/>
  <c r="A290" i="5" a="1"/>
  <c r="A290" i="5" s="1"/>
  <c r="A289" i="5" a="1"/>
  <c r="A289" i="5"/>
  <c r="C289" i="5" s="1"/>
  <c r="A288" i="5" a="1"/>
  <c r="A288" i="5"/>
  <c r="D287" i="5"/>
  <c r="C287" i="5"/>
  <c r="A287" i="5" a="1"/>
  <c r="A287" i="5"/>
  <c r="B287" i="5" s="1"/>
  <c r="A286" i="5" a="1"/>
  <c r="A286" i="5"/>
  <c r="A285" i="5" a="1"/>
  <c r="A285" i="5" s="1"/>
  <c r="A284" i="5" a="1"/>
  <c r="A284" i="5" s="1"/>
  <c r="D284" i="5" s="1"/>
  <c r="A283" i="5" a="1"/>
  <c r="A283" i="5"/>
  <c r="C283" i="5" s="1"/>
  <c r="A282" i="5" a="1"/>
  <c r="A282" i="5" s="1"/>
  <c r="B282" i="5" s="1"/>
  <c r="A281" i="5" a="1"/>
  <c r="A281" i="5"/>
  <c r="A280" i="5" a="1"/>
  <c r="A280" i="5" s="1"/>
  <c r="D280" i="5" s="1"/>
  <c r="A279" i="5" a="1"/>
  <c r="A279" i="5" s="1"/>
  <c r="A278" i="5" a="1"/>
  <c r="A278" i="5" s="1"/>
  <c r="B278" i="5" s="1"/>
  <c r="A277" i="5" a="1"/>
  <c r="A277" i="5"/>
  <c r="C276" i="5"/>
  <c r="A276" i="5" a="1"/>
  <c r="A276" i="5" s="1"/>
  <c r="A275" i="5" a="1"/>
  <c r="A275" i="5"/>
  <c r="D275" i="5" s="1"/>
  <c r="A274" i="5" a="1"/>
  <c r="A274" i="5" s="1"/>
  <c r="A273" i="5" a="1"/>
  <c r="A273" i="5"/>
  <c r="D273" i="5" s="1"/>
  <c r="A272" i="5" a="1"/>
  <c r="A272" i="5"/>
  <c r="D272" i="5" s="1"/>
  <c r="A271" i="5" a="1"/>
  <c r="A271" i="5"/>
  <c r="D271" i="5" s="1"/>
  <c r="A270" i="5" a="1"/>
  <c r="A270" i="5" s="1"/>
  <c r="A269" i="5" a="1"/>
  <c r="A269" i="5" s="1"/>
  <c r="A268" i="5" a="1"/>
  <c r="A268" i="5" s="1"/>
  <c r="D268" i="5" s="1"/>
  <c r="A267" i="5" a="1"/>
  <c r="A267" i="5"/>
  <c r="C267" i="5" s="1"/>
  <c r="A266" i="5" a="1"/>
  <c r="A266" i="5" s="1"/>
  <c r="A265" i="5" a="1"/>
  <c r="A265" i="5" s="1"/>
  <c r="A264" i="5" a="1"/>
  <c r="A264" i="5" s="1"/>
  <c r="D264" i="5" s="1"/>
  <c r="A263" i="5" a="1"/>
  <c r="A263" i="5"/>
  <c r="A262" i="5" a="1"/>
  <c r="A262" i="5" s="1"/>
  <c r="B262" i="5" s="1"/>
  <c r="A261" i="5" a="1"/>
  <c r="A261" i="5" s="1"/>
  <c r="D261" i="5" s="1"/>
  <c r="C260" i="5"/>
  <c r="A260" i="5" a="1"/>
  <c r="A260" i="5" s="1"/>
  <c r="B260" i="5" s="1"/>
  <c r="A259" i="5" a="1"/>
  <c r="A259" i="5" s="1"/>
  <c r="A258" i="5" a="1"/>
  <c r="A258" i="5"/>
  <c r="A257" i="5" a="1"/>
  <c r="A257" i="5"/>
  <c r="C257" i="5" s="1"/>
  <c r="A256" i="5" a="1"/>
  <c r="A256" i="5" s="1"/>
  <c r="A255" i="5" a="1"/>
  <c r="A255" i="5" s="1"/>
  <c r="A254" i="5" a="1"/>
  <c r="A254" i="5"/>
  <c r="D254" i="5" s="1"/>
  <c r="A253" i="5" a="1"/>
  <c r="A253" i="5" s="1"/>
  <c r="A252" i="5" a="1"/>
  <c r="A252" i="5" s="1"/>
  <c r="A251" i="5" a="1"/>
  <c r="A251" i="5"/>
  <c r="D251" i="5" s="1"/>
  <c r="A250" i="5" a="1"/>
  <c r="A250" i="5" s="1"/>
  <c r="A249" i="5" a="1"/>
  <c r="A249" i="5"/>
  <c r="C249" i="5" s="1"/>
  <c r="A248" i="5" a="1"/>
  <c r="A248" i="5" s="1"/>
  <c r="A247" i="5" a="1"/>
  <c r="A247" i="5"/>
  <c r="C247" i="5" s="1"/>
  <c r="D246" i="5"/>
  <c r="C246" i="5"/>
  <c r="B246" i="5"/>
  <c r="A246" i="5" a="1"/>
  <c r="A246" i="5" s="1"/>
  <c r="A245" i="5" a="1"/>
  <c r="A245" i="5" s="1"/>
  <c r="A244" i="5" a="1"/>
  <c r="A244" i="5" s="1"/>
  <c r="A243" i="5" a="1"/>
  <c r="A243" i="5"/>
  <c r="C243" i="5" s="1"/>
  <c r="A242" i="5" a="1"/>
  <c r="A242" i="5" s="1"/>
  <c r="B242" i="5" s="1"/>
  <c r="A241" i="5" a="1"/>
  <c r="A241" i="5" s="1"/>
  <c r="A240" i="5" a="1"/>
  <c r="A240" i="5" s="1"/>
  <c r="B240" i="5" s="1"/>
  <c r="A239" i="5" a="1"/>
  <c r="A239" i="5" s="1"/>
  <c r="A238" i="5" a="1"/>
  <c r="A238" i="5" s="1"/>
  <c r="A237" i="5" a="1"/>
  <c r="A237" i="5"/>
  <c r="D237" i="5" s="1"/>
  <c r="A236" i="5" a="1"/>
  <c r="A236" i="5" s="1"/>
  <c r="A235" i="5" a="1"/>
  <c r="A235" i="5" s="1"/>
  <c r="A234" i="5" a="1"/>
  <c r="A234" i="5"/>
  <c r="A233" i="5" a="1"/>
  <c r="A233" i="5"/>
  <c r="D233" i="5" s="1"/>
  <c r="A232" i="5" a="1"/>
  <c r="A232" i="5" s="1"/>
  <c r="D231" i="5"/>
  <c r="A231" i="5" a="1"/>
  <c r="A231" i="5"/>
  <c r="C231" i="5" s="1"/>
  <c r="A230" i="5" a="1"/>
  <c r="A230" i="5" s="1"/>
  <c r="A229" i="5" a="1"/>
  <c r="A229" i="5" s="1"/>
  <c r="A228" i="5" a="1"/>
  <c r="A228" i="5" s="1"/>
  <c r="D228" i="5" s="1"/>
  <c r="A227" i="5" a="1"/>
  <c r="A227" i="5"/>
  <c r="A226" i="5" a="1"/>
  <c r="A226" i="5" s="1"/>
  <c r="D226" i="5" s="1"/>
  <c r="A225" i="5" a="1"/>
  <c r="A225" i="5"/>
  <c r="B225" i="5" s="1"/>
  <c r="A224" i="5" a="1"/>
  <c r="A224" i="5" s="1"/>
  <c r="A223" i="5" a="1"/>
  <c r="A223" i="5" s="1"/>
  <c r="A222" i="5" a="1"/>
  <c r="A222" i="5"/>
  <c r="B222" i="5" s="1"/>
  <c r="A221" i="5" a="1"/>
  <c r="A221" i="5" s="1"/>
  <c r="A220" i="5" a="1"/>
  <c r="A220" i="5" s="1"/>
  <c r="A219" i="5" a="1"/>
  <c r="A219" i="5" s="1"/>
  <c r="D219" i="5" s="1"/>
  <c r="A218" i="5" a="1"/>
  <c r="A218" i="5" s="1"/>
  <c r="A217" i="5" a="1"/>
  <c r="A217" i="5"/>
  <c r="B217" i="5" s="1"/>
  <c r="A216" i="5" a="1"/>
  <c r="A216" i="5" s="1"/>
  <c r="A215" i="5" a="1"/>
  <c r="A215" i="5"/>
  <c r="B215" i="5" s="1"/>
  <c r="A214" i="5" a="1"/>
  <c r="A214" i="5" s="1"/>
  <c r="C214" i="5" s="1"/>
  <c r="D213" i="5"/>
  <c r="A213" i="5" a="1"/>
  <c r="A213" i="5" s="1"/>
  <c r="A212" i="5" a="1"/>
  <c r="A212" i="5" s="1"/>
  <c r="D212" i="5" s="1"/>
  <c r="A211" i="5" a="1"/>
  <c r="A211" i="5"/>
  <c r="A210" i="5" a="1"/>
  <c r="A210" i="5" s="1"/>
  <c r="D210" i="5" s="1"/>
  <c r="A209" i="5" a="1"/>
  <c r="A209" i="5"/>
  <c r="C208" i="5"/>
  <c r="B208" i="5"/>
  <c r="A208" i="5" a="1"/>
  <c r="A208" i="5" s="1"/>
  <c r="D208" i="5" s="1"/>
  <c r="A207" i="5" a="1"/>
  <c r="A207" i="5" s="1"/>
  <c r="D207" i="5" s="1"/>
  <c r="A206" i="5" a="1"/>
  <c r="A206" i="5" s="1"/>
  <c r="A205" i="5" a="1"/>
  <c r="A205" i="5"/>
  <c r="A204" i="5" a="1"/>
  <c r="A204" i="5" s="1"/>
  <c r="B204" i="5" s="1"/>
  <c r="A203" i="5" a="1"/>
  <c r="A203" i="5"/>
  <c r="D203" i="5" s="1"/>
  <c r="A202" i="5" a="1"/>
  <c r="A202" i="5"/>
  <c r="B202" i="5" s="1"/>
  <c r="A201" i="5" a="1"/>
  <c r="A201" i="5" s="1"/>
  <c r="A200" i="5" a="1"/>
  <c r="A200" i="5"/>
  <c r="D200" i="5" s="1"/>
  <c r="C199" i="5"/>
  <c r="A199" i="5" a="1"/>
  <c r="A199" i="5"/>
  <c r="D199" i="5" s="1"/>
  <c r="A198" i="5" a="1"/>
  <c r="A198" i="5"/>
  <c r="A197" i="5" a="1"/>
  <c r="A197" i="5"/>
  <c r="C197" i="5" s="1"/>
  <c r="A196" i="5" a="1"/>
  <c r="A196" i="5" s="1"/>
  <c r="A195" i="5" a="1"/>
  <c r="A195" i="5" s="1"/>
  <c r="D195" i="5" s="1"/>
  <c r="A194" i="5" a="1"/>
  <c r="A194" i="5"/>
  <c r="D194" i="5" s="1"/>
  <c r="A193" i="5" a="1"/>
  <c r="A193" i="5"/>
  <c r="C193" i="5" s="1"/>
  <c r="A192" i="5" a="1"/>
  <c r="A192" i="5" s="1"/>
  <c r="B192" i="5" s="1"/>
  <c r="A191" i="5" a="1"/>
  <c r="A191" i="5"/>
  <c r="A190" i="5" a="1"/>
  <c r="A190" i="5" s="1"/>
  <c r="D190" i="5" s="1"/>
  <c r="A189" i="5" a="1"/>
  <c r="A189" i="5"/>
  <c r="B189" i="5" s="1"/>
  <c r="A188" i="5" a="1"/>
  <c r="A188" i="5" s="1"/>
  <c r="B188" i="5" s="1"/>
  <c r="A187" i="5" a="1"/>
  <c r="A187" i="5" s="1"/>
  <c r="B187" i="5" s="1"/>
  <c r="A186" i="5" a="1"/>
  <c r="A186" i="5" s="1"/>
  <c r="B186" i="5" s="1"/>
  <c r="A185" i="5" a="1"/>
  <c r="A185" i="5" s="1"/>
  <c r="A184" i="5" a="1"/>
  <c r="A184" i="5" s="1"/>
  <c r="A183" i="5" a="1"/>
  <c r="A183" i="5" s="1"/>
  <c r="D183" i="5" s="1"/>
  <c r="A182" i="5" a="1"/>
  <c r="A182" i="5" s="1"/>
  <c r="A181" i="5" a="1"/>
  <c r="A181" i="5"/>
  <c r="D181" i="5" s="1"/>
  <c r="A180" i="5" a="1"/>
  <c r="A180" i="5" s="1"/>
  <c r="A179" i="5" a="1"/>
  <c r="A179" i="5" s="1"/>
  <c r="A178" i="5" a="1"/>
  <c r="A178" i="5" s="1"/>
  <c r="B178" i="5" s="1"/>
  <c r="A177" i="5" a="1"/>
  <c r="A177" i="5" s="1"/>
  <c r="A176" i="5" a="1"/>
  <c r="A176" i="5"/>
  <c r="D176" i="5" s="1"/>
  <c r="A175" i="5" a="1"/>
  <c r="A175" i="5" s="1"/>
  <c r="A174" i="5" a="1"/>
  <c r="A174" i="5" s="1"/>
  <c r="D174" i="5" s="1"/>
  <c r="A173" i="5" a="1"/>
  <c r="A173" i="5" s="1"/>
  <c r="A172" i="5" a="1"/>
  <c r="A172" i="5" s="1"/>
  <c r="C172" i="5" s="1"/>
  <c r="A171" i="5" a="1"/>
  <c r="A171" i="5"/>
  <c r="D171" i="5" s="1"/>
  <c r="A170" i="5" a="1"/>
  <c r="A170" i="5" s="1"/>
  <c r="B170" i="5" s="1"/>
  <c r="A169" i="5" a="1"/>
  <c r="A169" i="5" s="1"/>
  <c r="A168" i="5" a="1"/>
  <c r="A168" i="5" s="1"/>
  <c r="A167" i="5" a="1"/>
  <c r="A167" i="5"/>
  <c r="D167" i="5" s="1"/>
  <c r="A166" i="5" a="1"/>
  <c r="A166" i="5" s="1"/>
  <c r="A165" i="5" a="1"/>
  <c r="A165" i="5"/>
  <c r="B165" i="5" s="1"/>
  <c r="A164" i="5" a="1"/>
  <c r="A164" i="5"/>
  <c r="A163" i="5" a="1"/>
  <c r="A163" i="5" s="1"/>
  <c r="A162" i="5" a="1"/>
  <c r="A162" i="5" s="1"/>
  <c r="A161" i="5" a="1"/>
  <c r="A161" i="5"/>
  <c r="D161" i="5" s="1"/>
  <c r="A160" i="5" a="1"/>
  <c r="A160" i="5" s="1"/>
  <c r="D160" i="5" s="1"/>
  <c r="A159" i="5" a="1"/>
  <c r="A159" i="5" s="1"/>
  <c r="D159" i="5" s="1"/>
  <c r="A158" i="5" a="1"/>
  <c r="A158" i="5"/>
  <c r="D158" i="5" s="1"/>
  <c r="A157" i="5" a="1"/>
  <c r="A157" i="5"/>
  <c r="C157" i="5" s="1"/>
  <c r="A156" i="5" a="1"/>
  <c r="A156" i="5" s="1"/>
  <c r="B156" i="5" s="1"/>
  <c r="A155" i="5" a="1"/>
  <c r="A155" i="5" s="1"/>
  <c r="B154" i="5"/>
  <c r="A154" i="5" a="1"/>
  <c r="A154" i="5" s="1"/>
  <c r="A153" i="5" a="1"/>
  <c r="A153" i="5"/>
  <c r="D153" i="5" s="1"/>
  <c r="A152" i="5" a="1"/>
  <c r="A152" i="5" s="1"/>
  <c r="A151" i="5" a="1"/>
  <c r="A151" i="5"/>
  <c r="B151" i="5" s="1"/>
  <c r="A150" i="5" a="1"/>
  <c r="A150" i="5"/>
  <c r="B150" i="5" s="1"/>
  <c r="A149" i="5" a="1"/>
  <c r="A149" i="5"/>
  <c r="B149" i="5" s="1"/>
  <c r="A148" i="5" a="1"/>
  <c r="A148" i="5" s="1"/>
  <c r="A147" i="5" a="1"/>
  <c r="A147" i="5" s="1"/>
  <c r="A146" i="5" a="1"/>
  <c r="A146" i="5"/>
  <c r="D146" i="5" s="1"/>
  <c r="C145" i="5"/>
  <c r="B145" i="5"/>
  <c r="A145" i="5" a="1"/>
  <c r="A145" i="5"/>
  <c r="D145" i="5" s="1"/>
  <c r="A144" i="5" a="1"/>
  <c r="A144" i="5"/>
  <c r="A143" i="5" a="1"/>
  <c r="A143" i="5"/>
  <c r="D143" i="5" s="1"/>
  <c r="A142" i="5" a="1"/>
  <c r="A142" i="5" s="1"/>
  <c r="D141" i="5"/>
  <c r="A141" i="5" a="1"/>
  <c r="A141" i="5" s="1"/>
  <c r="A140" i="5" a="1"/>
  <c r="A140" i="5"/>
  <c r="A139" i="5" a="1"/>
  <c r="A139" i="5"/>
  <c r="C139" i="5" s="1"/>
  <c r="A138" i="5" a="1"/>
  <c r="A138" i="5" s="1"/>
  <c r="D138" i="5" s="1"/>
  <c r="A137" i="5" a="1"/>
  <c r="A137" i="5"/>
  <c r="A136" i="5" a="1"/>
  <c r="A136" i="5" s="1"/>
  <c r="D136" i="5" s="1"/>
  <c r="A135" i="5" a="1"/>
  <c r="A135" i="5" s="1"/>
  <c r="A134" i="5" a="1"/>
  <c r="A134" i="5"/>
  <c r="B134" i="5" s="1"/>
  <c r="A133" i="5" a="1"/>
  <c r="A133" i="5" s="1"/>
  <c r="B133" i="5" s="1"/>
  <c r="A132" i="5" a="1"/>
  <c r="A132" i="5"/>
  <c r="B132" i="5" s="1"/>
  <c r="A131" i="5" a="1"/>
  <c r="A131" i="5"/>
  <c r="A130" i="5" a="1"/>
  <c r="A130" i="5" s="1"/>
  <c r="A129" i="5" a="1"/>
  <c r="A129" i="5"/>
  <c r="D129" i="5" s="1"/>
  <c r="A128" i="5" a="1"/>
  <c r="A128" i="5" s="1"/>
  <c r="A127" i="5" a="1"/>
  <c r="A127" i="5" s="1"/>
  <c r="C127" i="5" s="1"/>
  <c r="A126" i="5" a="1"/>
  <c r="A126" i="5"/>
  <c r="A125" i="5" a="1"/>
  <c r="A125" i="5" s="1"/>
  <c r="A124" i="5" a="1"/>
  <c r="A124" i="5"/>
  <c r="C124" i="5" s="1"/>
  <c r="A123" i="5" a="1"/>
  <c r="A123" i="5" s="1"/>
  <c r="D123" i="5" s="1"/>
  <c r="A122" i="5" a="1"/>
  <c r="A122" i="5" s="1"/>
  <c r="A121" i="5" a="1"/>
  <c r="A121" i="5" s="1"/>
  <c r="A120" i="5" a="1"/>
  <c r="A120" i="5" s="1"/>
  <c r="C120" i="5" s="1"/>
  <c r="A119" i="5" a="1"/>
  <c r="A119" i="5"/>
  <c r="A118" i="5" a="1"/>
  <c r="A118" i="5" s="1"/>
  <c r="D118" i="5" s="1"/>
  <c r="A117" i="5" a="1"/>
  <c r="A117" i="5" s="1"/>
  <c r="A116" i="5" a="1"/>
  <c r="A116" i="5"/>
  <c r="B116" i="5" s="1"/>
  <c r="A115" i="5" a="1"/>
  <c r="A115" i="5"/>
  <c r="A114" i="5" a="1"/>
  <c r="A114" i="5"/>
  <c r="B114" i="5" s="1"/>
  <c r="A113" i="5" a="1"/>
  <c r="A113" i="5"/>
  <c r="D113" i="5" s="1"/>
  <c r="A112" i="5" a="1"/>
  <c r="A112" i="5" s="1"/>
  <c r="A111" i="5" a="1"/>
  <c r="A111" i="5" s="1"/>
  <c r="A110" i="5" a="1"/>
  <c r="A110" i="5"/>
  <c r="D110" i="5" s="1"/>
  <c r="A109" i="5" a="1"/>
  <c r="A109" i="5" s="1"/>
  <c r="D109" i="5" s="1"/>
  <c r="A108" i="5" a="1"/>
  <c r="A108" i="5" s="1"/>
  <c r="A107" i="5" a="1"/>
  <c r="A107" i="5" s="1"/>
  <c r="D107" i="5" s="1"/>
  <c r="A106" i="5" a="1"/>
  <c r="A106" i="5"/>
  <c r="D106" i="5" s="1"/>
  <c r="A105" i="5" a="1"/>
  <c r="A105" i="5" s="1"/>
  <c r="D105" i="5" s="1"/>
  <c r="A104" i="5" a="1"/>
  <c r="A104" i="5" s="1"/>
  <c r="D104" i="5" s="1"/>
  <c r="A103" i="5" a="1"/>
  <c r="A103" i="5"/>
  <c r="C103" i="5" s="1"/>
  <c r="A102" i="5" a="1"/>
  <c r="A102" i="5" s="1"/>
  <c r="D102" i="5" s="1"/>
  <c r="A101" i="5" a="1"/>
  <c r="A101" i="5"/>
  <c r="A100" i="5" a="1"/>
  <c r="A100" i="5" s="1"/>
  <c r="D100" i="5" s="1"/>
  <c r="A99" i="5" a="1"/>
  <c r="A99" i="5" s="1"/>
  <c r="A98" i="5" a="1"/>
  <c r="A98" i="5"/>
  <c r="B98" i="5" s="1"/>
  <c r="A97" i="5" a="1"/>
  <c r="A97" i="5"/>
  <c r="B97" i="5" s="1"/>
  <c r="A96" i="5" a="1"/>
  <c r="A96" i="5"/>
  <c r="B96" i="5" s="1"/>
  <c r="A95" i="5" a="1"/>
  <c r="A95" i="5"/>
  <c r="D95" i="5" s="1"/>
  <c r="A94" i="5" a="1"/>
  <c r="A94" i="5"/>
  <c r="D94" i="5" s="1"/>
  <c r="A93" i="5" a="1"/>
  <c r="A93" i="5" s="1"/>
  <c r="A92" i="5" a="1"/>
  <c r="A92" i="5" s="1"/>
  <c r="A91" i="5" a="1"/>
  <c r="A91" i="5" s="1"/>
  <c r="D91" i="5" s="1"/>
  <c r="A90" i="5" a="1"/>
  <c r="A90" i="5" s="1"/>
  <c r="A89" i="5" a="1"/>
  <c r="A89" i="5"/>
  <c r="C89" i="5" s="1"/>
  <c r="A88" i="5" a="1"/>
  <c r="A88" i="5" s="1"/>
  <c r="D88" i="5" s="1"/>
  <c r="A87" i="5" a="1"/>
  <c r="A87" i="5" s="1"/>
  <c r="A86" i="5" a="1"/>
  <c r="A86" i="5"/>
  <c r="D86" i="5" s="1"/>
  <c r="A85" i="5" a="1"/>
  <c r="A85" i="5"/>
  <c r="C85" i="5" s="1"/>
  <c r="A84" i="5" a="1"/>
  <c r="A84" i="5" s="1"/>
  <c r="B84" i="5" s="1"/>
  <c r="A83" i="5" a="1"/>
  <c r="A83" i="5" s="1"/>
  <c r="A82" i="5" a="1"/>
  <c r="A82" i="5" s="1"/>
  <c r="A81" i="5" a="1"/>
  <c r="A81" i="5"/>
  <c r="D81" i="5" s="1"/>
  <c r="A80" i="5" a="1"/>
  <c r="A80" i="5"/>
  <c r="B80" i="5" s="1"/>
  <c r="A79" i="5" a="1"/>
  <c r="A79" i="5" s="1"/>
  <c r="B79" i="5" s="1"/>
  <c r="A78" i="5" a="1"/>
  <c r="A78" i="5"/>
  <c r="B78" i="5" s="1"/>
  <c r="A77" i="5" a="1"/>
  <c r="A77" i="5"/>
  <c r="B77" i="5" s="1"/>
  <c r="A76" i="5" a="1"/>
  <c r="A76" i="5" s="1"/>
  <c r="D76" i="5" s="1"/>
  <c r="A75" i="5" a="1"/>
  <c r="A75" i="5" s="1"/>
  <c r="A74" i="5" a="1"/>
  <c r="A74" i="5" s="1"/>
  <c r="A73" i="5" a="1"/>
  <c r="A73" i="5" s="1"/>
  <c r="B73" i="5" s="1"/>
  <c r="A72" i="5" a="1"/>
  <c r="A72" i="5"/>
  <c r="A71" i="5" a="1"/>
  <c r="A71" i="5" s="1"/>
  <c r="D71" i="5" s="1"/>
  <c r="A70" i="5" a="1"/>
  <c r="A70" i="5"/>
  <c r="D70" i="5" s="1"/>
  <c r="A69" i="5" a="1"/>
  <c r="A69" i="5" s="1"/>
  <c r="D69" i="5" s="1"/>
  <c r="A68" i="5" a="1"/>
  <c r="A68" i="5"/>
  <c r="A67" i="5" a="1"/>
  <c r="A67" i="5" s="1"/>
  <c r="D67" i="5" s="1"/>
  <c r="B66" i="5"/>
  <c r="A66" i="5" a="1"/>
  <c r="A66" i="5" s="1"/>
  <c r="D66" i="5" s="1"/>
  <c r="A65" i="5" a="1"/>
  <c r="A65" i="5"/>
  <c r="A64" i="5" a="1"/>
  <c r="A64" i="5"/>
  <c r="D64" i="5" s="1"/>
  <c r="A63" i="5" a="1"/>
  <c r="A63" i="5" s="1"/>
  <c r="A62" i="5" a="1"/>
  <c r="A62" i="5"/>
  <c r="B62" i="5" s="1"/>
  <c r="A61" i="5" a="1"/>
  <c r="A61" i="5" s="1"/>
  <c r="A60" i="5" a="1"/>
  <c r="A60" i="5"/>
  <c r="D60" i="5" s="1"/>
  <c r="A59" i="5" a="1"/>
  <c r="A59" i="5"/>
  <c r="D59" i="5" s="1"/>
  <c r="A58" i="5" a="1"/>
  <c r="A58" i="5"/>
  <c r="D58" i="5" s="1"/>
  <c r="A57" i="5" a="1"/>
  <c r="A57" i="5" s="1"/>
  <c r="A56" i="5" a="1"/>
  <c r="A56" i="5" s="1"/>
  <c r="A55" i="5" a="1"/>
  <c r="A55" i="5" s="1"/>
  <c r="A54" i="5" a="1"/>
  <c r="A54" i="5"/>
  <c r="A53" i="5" a="1"/>
  <c r="A53" i="5"/>
  <c r="D53" i="5" s="1"/>
  <c r="A52" i="5" a="1"/>
  <c r="A52" i="5" s="1"/>
  <c r="D51" i="5"/>
  <c r="A51" i="5" a="1"/>
  <c r="A51" i="5" s="1"/>
  <c r="A50" i="5" a="1"/>
  <c r="A50" i="5" s="1"/>
  <c r="A49" i="5" a="1"/>
  <c r="A49" i="5"/>
  <c r="D49" i="5" s="1"/>
  <c r="A48" i="5" a="1"/>
  <c r="A48" i="5" s="1"/>
  <c r="D48" i="5" s="1"/>
  <c r="A47" i="5" a="1"/>
  <c r="A47" i="5"/>
  <c r="A46" i="5" a="1"/>
  <c r="A46" i="5"/>
  <c r="D46" i="5" s="1"/>
  <c r="A45" i="5" a="1"/>
  <c r="A45" i="5"/>
  <c r="B45" i="5" s="1"/>
  <c r="D44" i="5"/>
  <c r="C44" i="5"/>
  <c r="A44" i="5" a="1"/>
  <c r="A44" i="5"/>
  <c r="B44" i="5" s="1"/>
  <c r="A43" i="5" a="1"/>
  <c r="A43" i="5" s="1"/>
  <c r="A42" i="5" a="1"/>
  <c r="A42" i="5"/>
  <c r="D42" i="5" s="1"/>
  <c r="A41" i="5" a="1"/>
  <c r="A41" i="5"/>
  <c r="D41" i="5" s="1"/>
  <c r="A40" i="5" a="1"/>
  <c r="A40" i="5"/>
  <c r="D40" i="5" s="1"/>
  <c r="A39" i="5" a="1"/>
  <c r="A39" i="5" s="1"/>
  <c r="A38" i="5" a="1"/>
  <c r="A38" i="5" s="1"/>
  <c r="A37" i="5" a="1"/>
  <c r="A37" i="5" s="1"/>
  <c r="B37" i="5" s="1"/>
  <c r="A36" i="5" a="1"/>
  <c r="A36" i="5"/>
  <c r="A35" i="5" a="1"/>
  <c r="A35" i="5" s="1"/>
  <c r="D35" i="5" s="1"/>
  <c r="A34" i="5" a="1"/>
  <c r="A34" i="5"/>
  <c r="D34" i="5" s="1"/>
  <c r="A33" i="5" a="1"/>
  <c r="A33" i="5" s="1"/>
  <c r="D33" i="5" s="1"/>
  <c r="A32" i="5" a="1"/>
  <c r="A32" i="5"/>
  <c r="A31" i="5" a="1"/>
  <c r="A31" i="5"/>
  <c r="D31" i="5" s="1"/>
  <c r="A30" i="5" a="1"/>
  <c r="A30" i="5" s="1"/>
  <c r="D30" i="5" s="1"/>
  <c r="A29" i="5" a="1"/>
  <c r="A29" i="5"/>
  <c r="A28" i="5" a="1"/>
  <c r="A28" i="5"/>
  <c r="D28" i="5" s="1"/>
  <c r="A27" i="5" a="1"/>
  <c r="A27" i="5"/>
  <c r="B27" i="5" s="1"/>
  <c r="A26" i="5" a="1"/>
  <c r="A26" i="5"/>
  <c r="B26" i="5" s="1"/>
  <c r="A25" i="5" a="1"/>
  <c r="A25" i="5" s="1"/>
  <c r="A24" i="5" a="1"/>
  <c r="A24" i="5" s="1"/>
  <c r="D24" i="5" s="1"/>
  <c r="A23" i="5" a="1"/>
  <c r="A23" i="5"/>
  <c r="C23" i="5" s="1"/>
  <c r="A22" i="5" a="1"/>
  <c r="A22" i="5"/>
  <c r="D22" i="5" s="1"/>
  <c r="A21" i="5" a="1"/>
  <c r="A21" i="5" s="1"/>
  <c r="A20" i="5" a="1"/>
  <c r="A20" i="5" s="1"/>
  <c r="A19" i="5" a="1"/>
  <c r="A19" i="5" s="1"/>
  <c r="A18" i="5" a="1"/>
  <c r="A18" i="5"/>
  <c r="A17" i="5" a="1"/>
  <c r="A17" i="5"/>
  <c r="D17" i="5" s="1"/>
  <c r="A16" i="5" a="1"/>
  <c r="A16" i="5"/>
  <c r="D16" i="5" s="1"/>
  <c r="A15" i="5" a="1"/>
  <c r="A15" i="5" s="1"/>
  <c r="D15" i="5" s="1"/>
  <c r="A14" i="5" a="1"/>
  <c r="A14" i="5"/>
  <c r="A13" i="5" a="1"/>
  <c r="A13" i="5"/>
  <c r="D13" i="5" s="1"/>
  <c r="A12" i="5" a="1"/>
  <c r="A12" i="5" s="1"/>
  <c r="B12" i="5" s="1"/>
  <c r="A11" i="5" a="1"/>
  <c r="A11" i="5" s="1"/>
  <c r="A10" i="5" a="1"/>
  <c r="A10" i="5"/>
  <c r="D10" i="5" s="1"/>
  <c r="A9" i="5" a="1"/>
  <c r="A9" i="5" s="1"/>
  <c r="C8" i="5"/>
  <c r="A8" i="5" a="1"/>
  <c r="A8" i="5" s="1"/>
  <c r="B8" i="5" s="1"/>
  <c r="A7" i="5" a="1"/>
  <c r="A7" i="5" s="1"/>
  <c r="A6" i="5" a="1"/>
  <c r="A6" i="5" s="1"/>
  <c r="A5" i="5" a="1"/>
  <c r="A5" i="5" s="1"/>
  <c r="A4" i="5" a="1"/>
  <c r="A4" i="5"/>
  <c r="D4" i="5" s="1"/>
  <c r="A3" i="5" a="1"/>
  <c r="A3" i="5"/>
  <c r="D3" i="5" s="1"/>
  <c r="A2" i="5" a="1"/>
  <c r="A2" i="5"/>
  <c r="B2" i="5" s="1"/>
  <c r="A1" i="5" a="1"/>
  <c r="A1" i="5" s="1"/>
  <c r="I15" i="4"/>
  <c r="A14" i="4"/>
  <c r="A13" i="4"/>
  <c r="AL10" i="4"/>
  <c r="A8" i="4"/>
  <c r="A7" i="4"/>
  <c r="E3" i="4"/>
  <c r="C179" i="5" l="1"/>
  <c r="D179" i="5"/>
  <c r="D322" i="5"/>
  <c r="B322" i="5"/>
  <c r="D386" i="5"/>
  <c r="C386" i="5"/>
  <c r="B386" i="5"/>
  <c r="C142" i="5"/>
  <c r="D142" i="5"/>
  <c r="B142" i="5"/>
  <c r="B152" i="5"/>
  <c r="D152" i="5"/>
  <c r="C152" i="5"/>
  <c r="C339" i="5"/>
  <c r="B339" i="5"/>
  <c r="D339" i="5"/>
  <c r="D182" i="5"/>
  <c r="C182" i="5"/>
  <c r="B182" i="5"/>
  <c r="B63" i="5"/>
  <c r="D63" i="5"/>
  <c r="C63" i="5"/>
  <c r="D125" i="5"/>
  <c r="C125" i="5"/>
  <c r="B125" i="5"/>
  <c r="C253" i="5"/>
  <c r="D253" i="5"/>
  <c r="B253" i="5"/>
  <c r="D235" i="5"/>
  <c r="C235" i="5"/>
  <c r="B235" i="5"/>
  <c r="C285" i="5"/>
  <c r="D285" i="5"/>
  <c r="B285" i="5"/>
  <c r="B224" i="5"/>
  <c r="C224" i="5"/>
  <c r="D224" i="5"/>
  <c r="D248" i="5"/>
  <c r="C248" i="5"/>
  <c r="D166" i="5"/>
  <c r="C166" i="5"/>
  <c r="B52" i="5"/>
  <c r="C52" i="5"/>
  <c r="D52" i="5"/>
  <c r="D122" i="5"/>
  <c r="C122" i="5"/>
  <c r="B9" i="5"/>
  <c r="D9" i="5"/>
  <c r="C9" i="5"/>
  <c r="B201" i="5"/>
  <c r="C201" i="5"/>
  <c r="D201" i="5"/>
  <c r="D269" i="5"/>
  <c r="B269" i="5"/>
  <c r="C163" i="5"/>
  <c r="B163" i="5"/>
  <c r="D163" i="5"/>
  <c r="B297" i="5"/>
  <c r="D202" i="5"/>
  <c r="C375" i="5"/>
  <c r="B30" i="5"/>
  <c r="D103" i="5"/>
  <c r="D393" i="5"/>
  <c r="B70" i="5"/>
  <c r="B113" i="5"/>
  <c r="B136" i="5"/>
  <c r="B203" i="5"/>
  <c r="D289" i="5"/>
  <c r="B334" i="5"/>
  <c r="C341" i="5"/>
  <c r="D368" i="5"/>
  <c r="B359" i="5"/>
  <c r="D149" i="5"/>
  <c r="C217" i="5"/>
  <c r="D197" i="5"/>
  <c r="C273" i="5"/>
  <c r="B289" i="5"/>
  <c r="D225" i="5"/>
  <c r="D267" i="5"/>
  <c r="B16" i="5"/>
  <c r="C70" i="5"/>
  <c r="C96" i="5"/>
  <c r="C113" i="5"/>
  <c r="C203" i="5"/>
  <c r="B325" i="5"/>
  <c r="C334" i="5"/>
  <c r="D341" i="5"/>
  <c r="B376" i="5"/>
  <c r="B118" i="5"/>
  <c r="C134" i="5"/>
  <c r="C297" i="5"/>
  <c r="D304" i="5"/>
  <c r="B273" i="5"/>
  <c r="C62" i="5"/>
  <c r="D23" i="5"/>
  <c r="D120" i="5"/>
  <c r="C165" i="5"/>
  <c r="C16" i="5"/>
  <c r="D96" i="5"/>
  <c r="D165" i="5"/>
  <c r="C192" i="5"/>
  <c r="D260" i="5"/>
  <c r="B300" i="5"/>
  <c r="C325" i="5"/>
  <c r="D354" i="5"/>
  <c r="C376" i="5"/>
  <c r="C149" i="5"/>
  <c r="B249" i="5"/>
  <c r="B197" i="5"/>
  <c r="C202" i="5"/>
  <c r="D249" i="5"/>
  <c r="C359" i="5"/>
  <c r="B181" i="5"/>
  <c r="B267" i="5"/>
  <c r="D45" i="5"/>
  <c r="D217" i="5"/>
  <c r="D316" i="5"/>
  <c r="D192" i="5"/>
  <c r="B199" i="5"/>
  <c r="B369" i="5"/>
  <c r="C170" i="5"/>
  <c r="D172" i="5"/>
  <c r="C368" i="5"/>
  <c r="B41" i="5"/>
  <c r="B228" i="5"/>
  <c r="C369" i="5"/>
  <c r="C314" i="5"/>
  <c r="C77" i="5"/>
  <c r="C181" i="5"/>
  <c r="C225" i="5"/>
  <c r="D243" i="5"/>
  <c r="B283" i="5"/>
  <c r="D283" i="5"/>
  <c r="C41" i="5"/>
  <c r="C84" i="5"/>
  <c r="D375" i="5"/>
  <c r="C26" i="5"/>
  <c r="C80" i="5"/>
  <c r="B106" i="5"/>
  <c r="C106" i="5"/>
  <c r="C161" i="5"/>
  <c r="C222" i="5"/>
  <c r="D262" i="5"/>
  <c r="C156" i="5"/>
  <c r="D170" i="5"/>
  <c r="C189" i="5"/>
  <c r="D257" i="5"/>
  <c r="C45" i="5"/>
  <c r="D134" i="5"/>
  <c r="D80" i="5"/>
  <c r="B161" i="5"/>
  <c r="B34" i="5"/>
  <c r="C34" i="5"/>
  <c r="B59" i="5"/>
  <c r="D89" i="5"/>
  <c r="D98" i="5"/>
  <c r="C132" i="5"/>
  <c r="C146" i="5"/>
  <c r="B194" i="5"/>
  <c r="C215" i="5"/>
  <c r="D222" i="5"/>
  <c r="B271" i="5"/>
  <c r="D278" i="5"/>
  <c r="B321" i="5"/>
  <c r="C388" i="5"/>
  <c r="D84" i="5"/>
  <c r="D156" i="5"/>
  <c r="B23" i="5"/>
  <c r="D77" i="5"/>
  <c r="B233" i="5"/>
  <c r="B103" i="5"/>
  <c r="D62" i="5"/>
  <c r="D127" i="5"/>
  <c r="B48" i="5"/>
  <c r="B89" i="5"/>
  <c r="D336" i="5"/>
  <c r="C98" i="5"/>
  <c r="C2" i="5"/>
  <c r="C27" i="5"/>
  <c r="C59" i="5"/>
  <c r="C116" i="5"/>
  <c r="D132" i="5"/>
  <c r="C194" i="5"/>
  <c r="D215" i="5"/>
  <c r="B231" i="5"/>
  <c r="B254" i="5"/>
  <c r="C271" i="5"/>
  <c r="D321" i="5"/>
  <c r="C332" i="5"/>
  <c r="D189" i="5"/>
  <c r="D26" i="5"/>
  <c r="C262" i="5"/>
  <c r="D2" i="5"/>
  <c r="D27" i="5"/>
  <c r="D116" i="5"/>
  <c r="B303" i="5"/>
  <c r="B111" i="5"/>
  <c r="D111" i="5"/>
  <c r="C111" i="5"/>
  <c r="D344" i="5"/>
  <c r="B344" i="5"/>
  <c r="C344" i="5"/>
  <c r="D50" i="5"/>
  <c r="B50" i="5"/>
  <c r="C50" i="5"/>
  <c r="D92" i="5"/>
  <c r="C92" i="5"/>
  <c r="B92" i="5"/>
  <c r="C5" i="5"/>
  <c r="D5" i="5"/>
  <c r="C75" i="5"/>
  <c r="D75" i="5"/>
  <c r="B75" i="5"/>
  <c r="D90" i="5"/>
  <c r="C90" i="5"/>
  <c r="B90" i="5"/>
  <c r="B221" i="5"/>
  <c r="D221" i="5"/>
  <c r="C221" i="5"/>
  <c r="D290" i="5"/>
  <c r="C290" i="5"/>
  <c r="D7" i="5"/>
  <c r="C7" i="5"/>
  <c r="B7" i="5"/>
  <c r="D38" i="5"/>
  <c r="C38" i="5"/>
  <c r="B38" i="5"/>
  <c r="D61" i="5"/>
  <c r="C61" i="5"/>
  <c r="B61" i="5"/>
  <c r="D99" i="5"/>
  <c r="B99" i="5"/>
  <c r="C99" i="5"/>
  <c r="B290" i="5"/>
  <c r="D39" i="5"/>
  <c r="C39" i="5"/>
  <c r="B39" i="5"/>
  <c r="D108" i="5"/>
  <c r="C108" i="5"/>
  <c r="B108" i="5"/>
  <c r="C154" i="5"/>
  <c r="D154" i="5"/>
  <c r="C178" i="5"/>
  <c r="D178" i="5"/>
  <c r="D185" i="5"/>
  <c r="C185" i="5"/>
  <c r="B185" i="5"/>
  <c r="C229" i="5"/>
  <c r="D229" i="5"/>
  <c r="B229" i="5"/>
  <c r="B276" i="5"/>
  <c r="D276" i="5"/>
  <c r="C394" i="5"/>
  <c r="D394" i="5"/>
  <c r="D374" i="5"/>
  <c r="C374" i="5"/>
  <c r="B374" i="5"/>
  <c r="C211" i="5"/>
  <c r="B211" i="5"/>
  <c r="D211" i="5"/>
  <c r="C73" i="5"/>
  <c r="D73" i="5"/>
  <c r="D173" i="5"/>
  <c r="C173" i="5"/>
  <c r="B173" i="5"/>
  <c r="D324" i="5"/>
  <c r="C324" i="5"/>
  <c r="B324" i="5"/>
  <c r="D331" i="5"/>
  <c r="C331" i="5"/>
  <c r="B331" i="5"/>
  <c r="B258" i="5"/>
  <c r="D258" i="5"/>
  <c r="C258" i="5"/>
  <c r="D74" i="5"/>
  <c r="C74" i="5"/>
  <c r="B74" i="5"/>
  <c r="B206" i="5"/>
  <c r="D206" i="5"/>
  <c r="D169" i="5"/>
  <c r="C169" i="5"/>
  <c r="B169" i="5"/>
  <c r="C286" i="5"/>
  <c r="B286" i="5"/>
  <c r="D286" i="5"/>
  <c r="C55" i="5"/>
  <c r="D55" i="5"/>
  <c r="D223" i="5"/>
  <c r="C223" i="5"/>
  <c r="B223" i="5"/>
  <c r="D308" i="5"/>
  <c r="C308" i="5"/>
  <c r="B308" i="5"/>
  <c r="B349" i="5"/>
  <c r="D349" i="5"/>
  <c r="C349" i="5"/>
  <c r="D351" i="5"/>
  <c r="C351" i="5"/>
  <c r="B351" i="5"/>
  <c r="D147" i="5"/>
  <c r="C147" i="5"/>
  <c r="B147" i="5"/>
  <c r="D93" i="5"/>
  <c r="C93" i="5"/>
  <c r="B93" i="5"/>
  <c r="D117" i="5"/>
  <c r="C117" i="5"/>
  <c r="B117" i="5"/>
  <c r="D270" i="5"/>
  <c r="C270" i="5"/>
  <c r="B270" i="5"/>
  <c r="D180" i="5"/>
  <c r="C180" i="5"/>
  <c r="B180" i="5"/>
  <c r="D196" i="5"/>
  <c r="C196" i="5"/>
  <c r="B196" i="5"/>
  <c r="C239" i="5"/>
  <c r="D239" i="5"/>
  <c r="D302" i="5"/>
  <c r="C302" i="5"/>
  <c r="B302" i="5"/>
  <c r="D309" i="5"/>
  <c r="C309" i="5"/>
  <c r="B309" i="5"/>
  <c r="D293" i="5"/>
  <c r="C293" i="5"/>
  <c r="B293" i="5"/>
  <c r="B55" i="5"/>
  <c r="D56" i="5"/>
  <c r="C56" i="5"/>
  <c r="B56" i="5"/>
  <c r="B239" i="5"/>
  <c r="D279" i="5"/>
  <c r="C279" i="5"/>
  <c r="B279" i="5"/>
  <c r="D295" i="5"/>
  <c r="C295" i="5"/>
  <c r="B295" i="5"/>
  <c r="C337" i="5"/>
  <c r="D337" i="5"/>
  <c r="B337" i="5"/>
  <c r="D345" i="5"/>
  <c r="C345" i="5"/>
  <c r="B345" i="5"/>
  <c r="C82" i="5"/>
  <c r="D82" i="5"/>
  <c r="C244" i="5"/>
  <c r="B244" i="5"/>
  <c r="D244" i="5"/>
  <c r="B5" i="5"/>
  <c r="D230" i="5"/>
  <c r="C230" i="5"/>
  <c r="D32" i="5"/>
  <c r="C32" i="5"/>
  <c r="B32" i="5"/>
  <c r="D25" i="5"/>
  <c r="C25" i="5"/>
  <c r="B25" i="5"/>
  <c r="D187" i="5"/>
  <c r="C187" i="5"/>
  <c r="B1" i="5"/>
  <c r="C1" i="5"/>
  <c r="D1" i="5"/>
  <c r="D57" i="5"/>
  <c r="B57" i="5"/>
  <c r="C57" i="5"/>
  <c r="C87" i="5"/>
  <c r="B87" i="5"/>
  <c r="D135" i="5"/>
  <c r="C135" i="5"/>
  <c r="D255" i="5"/>
  <c r="C255" i="5"/>
  <c r="B255" i="5"/>
  <c r="D311" i="5"/>
  <c r="C311" i="5"/>
  <c r="B311" i="5"/>
  <c r="D329" i="5"/>
  <c r="C329" i="5"/>
  <c r="C338" i="5"/>
  <c r="D338" i="5"/>
  <c r="B338" i="5"/>
  <c r="B365" i="5"/>
  <c r="D365" i="5"/>
  <c r="C365" i="5"/>
  <c r="C159" i="5"/>
  <c r="B159" i="5"/>
  <c r="D218" i="5"/>
  <c r="C218" i="5"/>
  <c r="B218" i="5"/>
  <c r="B82" i="5"/>
  <c r="D6" i="5"/>
  <c r="C6" i="5"/>
  <c r="B6" i="5"/>
  <c r="D140" i="5"/>
  <c r="B140" i="5"/>
  <c r="C140" i="5"/>
  <c r="D101" i="5"/>
  <c r="C101" i="5"/>
  <c r="B101" i="5"/>
  <c r="B168" i="5"/>
  <c r="C168" i="5"/>
  <c r="D168" i="5"/>
  <c r="D236" i="5"/>
  <c r="C236" i="5"/>
  <c r="B236" i="5"/>
  <c r="C319" i="5"/>
  <c r="B319" i="5"/>
  <c r="D326" i="5"/>
  <c r="C326" i="5"/>
  <c r="B326" i="5"/>
  <c r="D19" i="5"/>
  <c r="C19" i="5"/>
  <c r="D87" i="5"/>
  <c r="B135" i="5"/>
  <c r="D164" i="5"/>
  <c r="C164" i="5"/>
  <c r="B164" i="5"/>
  <c r="D232" i="5"/>
  <c r="C232" i="5"/>
  <c r="B232" i="5"/>
  <c r="C265" i="5"/>
  <c r="B265" i="5"/>
  <c r="D265" i="5"/>
  <c r="D281" i="5"/>
  <c r="C281" i="5"/>
  <c r="B281" i="5"/>
  <c r="B312" i="5"/>
  <c r="D312" i="5"/>
  <c r="C312" i="5"/>
  <c r="D347" i="5"/>
  <c r="C347" i="5"/>
  <c r="B347" i="5"/>
  <c r="D379" i="5"/>
  <c r="C379" i="5"/>
  <c r="B379" i="5"/>
  <c r="D21" i="5"/>
  <c r="C21" i="5"/>
  <c r="B21" i="5"/>
  <c r="D130" i="5"/>
  <c r="C130" i="5"/>
  <c r="B130" i="5"/>
  <c r="D234" i="5"/>
  <c r="C234" i="5"/>
  <c r="B234" i="5"/>
  <c r="C175" i="5"/>
  <c r="D175" i="5"/>
  <c r="B175" i="5"/>
  <c r="D259" i="5"/>
  <c r="C259" i="5"/>
  <c r="B259" i="5"/>
  <c r="D352" i="5"/>
  <c r="C352" i="5"/>
  <c r="B352" i="5"/>
  <c r="D162" i="5"/>
  <c r="C162" i="5"/>
  <c r="B162" i="5"/>
  <c r="C206" i="5"/>
  <c r="B230" i="5"/>
  <c r="D319" i="5"/>
  <c r="B19" i="5"/>
  <c r="C121" i="5"/>
  <c r="B121" i="5"/>
  <c r="D121" i="5"/>
  <c r="D128" i="5"/>
  <c r="C128" i="5"/>
  <c r="B128" i="5"/>
  <c r="D241" i="5"/>
  <c r="C241" i="5"/>
  <c r="B241" i="5"/>
  <c r="D266" i="5"/>
  <c r="C266" i="5"/>
  <c r="B266" i="5"/>
  <c r="B313" i="5"/>
  <c r="D313" i="5"/>
  <c r="C313" i="5"/>
  <c r="D380" i="5"/>
  <c r="C380" i="5"/>
  <c r="B380" i="5"/>
  <c r="D250" i="5"/>
  <c r="C250" i="5"/>
  <c r="B250" i="5"/>
  <c r="B315" i="5"/>
  <c r="C315" i="5"/>
  <c r="D315" i="5"/>
  <c r="C391" i="5"/>
  <c r="D391" i="5"/>
  <c r="B391" i="5"/>
  <c r="D14" i="5"/>
  <c r="B14" i="5"/>
  <c r="C14" i="5"/>
  <c r="B131" i="5"/>
  <c r="D131" i="5"/>
  <c r="C131" i="5"/>
  <c r="B384" i="5"/>
  <c r="D384" i="5"/>
  <c r="C384" i="5"/>
  <c r="D37" i="5"/>
  <c r="C37" i="5"/>
  <c r="D220" i="5"/>
  <c r="C220" i="5"/>
  <c r="B220" i="5"/>
  <c r="D68" i="5"/>
  <c r="B68" i="5"/>
  <c r="C68" i="5"/>
  <c r="D20" i="5"/>
  <c r="C20" i="5"/>
  <c r="B20" i="5"/>
  <c r="D43" i="5"/>
  <c r="C43" i="5"/>
  <c r="B43" i="5"/>
  <c r="D381" i="5"/>
  <c r="C381" i="5"/>
  <c r="B381" i="5"/>
  <c r="D320" i="5"/>
  <c r="C320" i="5"/>
  <c r="D310" i="5"/>
  <c r="C310" i="5"/>
  <c r="B310" i="5"/>
  <c r="D395" i="5"/>
  <c r="B395" i="5"/>
  <c r="B10" i="5"/>
  <c r="C15" i="5"/>
  <c r="B15" i="5"/>
  <c r="B28" i="5"/>
  <c r="C33" i="5"/>
  <c r="B33" i="5"/>
  <c r="B46" i="5"/>
  <c r="C51" i="5"/>
  <c r="B51" i="5"/>
  <c r="B64" i="5"/>
  <c r="C69" i="5"/>
  <c r="B69" i="5"/>
  <c r="C78" i="5"/>
  <c r="D83" i="5"/>
  <c r="C83" i="5"/>
  <c r="B83" i="5"/>
  <c r="B88" i="5"/>
  <c r="C102" i="5"/>
  <c r="C141" i="5"/>
  <c r="B141" i="5"/>
  <c r="C150" i="5"/>
  <c r="D155" i="5"/>
  <c r="C155" i="5"/>
  <c r="B155" i="5"/>
  <c r="B160" i="5"/>
  <c r="B174" i="5"/>
  <c r="B183" i="5"/>
  <c r="D188" i="5"/>
  <c r="B193" i="5"/>
  <c r="D198" i="5"/>
  <c r="C198" i="5"/>
  <c r="B198" i="5"/>
  <c r="B226" i="5"/>
  <c r="B272" i="5"/>
  <c r="C282" i="5"/>
  <c r="C296" i="5"/>
  <c r="C305" i="5"/>
  <c r="B340" i="5"/>
  <c r="D350" i="5"/>
  <c r="B355" i="5"/>
  <c r="B370" i="5"/>
  <c r="D385" i="5"/>
  <c r="C385" i="5"/>
  <c r="B385" i="5"/>
  <c r="B390" i="5"/>
  <c r="B102" i="5"/>
  <c r="D126" i="5"/>
  <c r="C126" i="5"/>
  <c r="B126" i="5"/>
  <c r="D277" i="5"/>
  <c r="C277" i="5"/>
  <c r="C10" i="5"/>
  <c r="C28" i="5"/>
  <c r="B42" i="5"/>
  <c r="B60" i="5"/>
  <c r="D78" i="5"/>
  <c r="C88" i="5"/>
  <c r="B107" i="5"/>
  <c r="D112" i="5"/>
  <c r="C112" i="5"/>
  <c r="B112" i="5"/>
  <c r="D150" i="5"/>
  <c r="C160" i="5"/>
  <c r="C174" i="5"/>
  <c r="C183" i="5"/>
  <c r="D193" i="5"/>
  <c r="B207" i="5"/>
  <c r="C226" i="5"/>
  <c r="D245" i="5"/>
  <c r="C245" i="5"/>
  <c r="B245" i="5"/>
  <c r="B264" i="5"/>
  <c r="B268" i="5"/>
  <c r="C272" i="5"/>
  <c r="B277" i="5"/>
  <c r="D282" i="5"/>
  <c r="B291" i="5"/>
  <c r="D296" i="5"/>
  <c r="B301" i="5"/>
  <c r="D305" i="5"/>
  <c r="C330" i="5"/>
  <c r="C340" i="5"/>
  <c r="D355" i="5"/>
  <c r="C370" i="5"/>
  <c r="C390" i="5"/>
  <c r="C395" i="5"/>
  <c r="B24" i="5"/>
  <c r="C46" i="5"/>
  <c r="C64" i="5"/>
  <c r="C60" i="5"/>
  <c r="C107" i="5"/>
  <c r="B127" i="5"/>
  <c r="C136" i="5"/>
  <c r="D151" i="5"/>
  <c r="C151" i="5"/>
  <c r="B179" i="5"/>
  <c r="C207" i="5"/>
  <c r="B212" i="5"/>
  <c r="C240" i="5"/>
  <c r="C264" i="5"/>
  <c r="C268" i="5"/>
  <c r="C291" i="5"/>
  <c r="D301" i="5"/>
  <c r="D306" i="5"/>
  <c r="C306" i="5"/>
  <c r="B306" i="5"/>
  <c r="B316" i="5"/>
  <c r="D330" i="5"/>
  <c r="B336" i="5"/>
  <c r="D356" i="5"/>
  <c r="C356" i="5"/>
  <c r="B361" i="5"/>
  <c r="D263" i="5"/>
  <c r="C263" i="5"/>
  <c r="B263" i="5"/>
  <c r="C188" i="5"/>
  <c r="B320" i="5"/>
  <c r="C350" i="5"/>
  <c r="D360" i="5"/>
  <c r="C360" i="5"/>
  <c r="B360" i="5"/>
  <c r="C24" i="5"/>
  <c r="C42" i="5"/>
  <c r="D79" i="5"/>
  <c r="C79" i="5"/>
  <c r="D11" i="5"/>
  <c r="C11" i="5"/>
  <c r="B11" i="5"/>
  <c r="D29" i="5"/>
  <c r="C29" i="5"/>
  <c r="B29" i="5"/>
  <c r="D47" i="5"/>
  <c r="C47" i="5"/>
  <c r="B47" i="5"/>
  <c r="D65" i="5"/>
  <c r="C65" i="5"/>
  <c r="B65" i="5"/>
  <c r="B122" i="5"/>
  <c r="B146" i="5"/>
  <c r="D184" i="5"/>
  <c r="C184" i="5"/>
  <c r="B184" i="5"/>
  <c r="C212" i="5"/>
  <c r="D227" i="5"/>
  <c r="C227" i="5"/>
  <c r="B227" i="5"/>
  <c r="D240" i="5"/>
  <c r="C254" i="5"/>
  <c r="C278" i="5"/>
  <c r="C366" i="5"/>
  <c r="D216" i="5"/>
  <c r="C216" i="5"/>
  <c r="B216" i="5"/>
  <c r="D137" i="5"/>
  <c r="C137" i="5"/>
  <c r="B137" i="5"/>
  <c r="C213" i="5"/>
  <c r="B213" i="5"/>
  <c r="D292" i="5"/>
  <c r="C292" i="5"/>
  <c r="B292" i="5"/>
  <c r="D346" i="5"/>
  <c r="C346" i="5"/>
  <c r="B346" i="5"/>
  <c r="C123" i="5"/>
  <c r="B123" i="5"/>
  <c r="C357" i="5"/>
  <c r="B357" i="5"/>
  <c r="D367" i="5"/>
  <c r="C367" i="5"/>
  <c r="B367" i="5"/>
  <c r="B397" i="5"/>
  <c r="D288" i="5"/>
  <c r="C288" i="5"/>
  <c r="B288" i="5"/>
  <c r="D357" i="5"/>
  <c r="B372" i="5"/>
  <c r="C397" i="5"/>
  <c r="C12" i="5"/>
  <c r="C118" i="5"/>
  <c r="B138" i="5"/>
  <c r="B190" i="5"/>
  <c r="C228" i="5"/>
  <c r="C269" i="5"/>
  <c r="D274" i="5"/>
  <c r="C274" i="5"/>
  <c r="B274" i="5"/>
  <c r="C322" i="5"/>
  <c r="D332" i="5"/>
  <c r="B362" i="5"/>
  <c r="C372" i="5"/>
  <c r="D392" i="5"/>
  <c r="C392" i="5"/>
  <c r="B392" i="5"/>
  <c r="C195" i="5"/>
  <c r="B195" i="5"/>
  <c r="C30" i="5"/>
  <c r="C48" i="5"/>
  <c r="C66" i="5"/>
  <c r="B109" i="5"/>
  <c r="B3" i="5"/>
  <c r="D12" i="5"/>
  <c r="B85" i="5"/>
  <c r="B104" i="5"/>
  <c r="C109" i="5"/>
  <c r="C138" i="5"/>
  <c r="B157" i="5"/>
  <c r="B171" i="5"/>
  <c r="C190" i="5"/>
  <c r="D209" i="5"/>
  <c r="C209" i="5"/>
  <c r="B209" i="5"/>
  <c r="B214" i="5"/>
  <c r="C242" i="5"/>
  <c r="B251" i="5"/>
  <c r="B284" i="5"/>
  <c r="B298" i="5"/>
  <c r="B318" i="5"/>
  <c r="D342" i="5"/>
  <c r="C342" i="5"/>
  <c r="B342" i="5"/>
  <c r="C362" i="5"/>
  <c r="D382" i="5"/>
  <c r="C382" i="5"/>
  <c r="B382" i="5"/>
  <c r="B237" i="5"/>
  <c r="D242" i="5"/>
  <c r="B247" i="5"/>
  <c r="C251" i="5"/>
  <c r="D256" i="5"/>
  <c r="C256" i="5"/>
  <c r="B256" i="5"/>
  <c r="B261" i="5"/>
  <c r="C284" i="5"/>
  <c r="C298" i="5"/>
  <c r="C318" i="5"/>
  <c r="B327" i="5"/>
  <c r="B358" i="5"/>
  <c r="B377" i="5"/>
  <c r="B387" i="5"/>
  <c r="C237" i="5"/>
  <c r="D247" i="5"/>
  <c r="C261" i="5"/>
  <c r="B275" i="5"/>
  <c r="C327" i="5"/>
  <c r="B333" i="5"/>
  <c r="C358" i="5"/>
  <c r="C377" i="5"/>
  <c r="C387" i="5"/>
  <c r="B398" i="5"/>
  <c r="D252" i="5"/>
  <c r="C252" i="5"/>
  <c r="B252" i="5"/>
  <c r="C275" i="5"/>
  <c r="B280" i="5"/>
  <c r="D299" i="5"/>
  <c r="C299" i="5"/>
  <c r="B299" i="5"/>
  <c r="B323" i="5"/>
  <c r="D328" i="5"/>
  <c r="C328" i="5"/>
  <c r="B328" i="5"/>
  <c r="C333" i="5"/>
  <c r="B343" i="5"/>
  <c r="B363" i="5"/>
  <c r="B373" i="5"/>
  <c r="B383" i="5"/>
  <c r="C398" i="5"/>
  <c r="D97" i="5"/>
  <c r="C97" i="5"/>
  <c r="C3" i="5"/>
  <c r="D85" i="5"/>
  <c r="B95" i="5"/>
  <c r="C104" i="5"/>
  <c r="D119" i="5"/>
  <c r="C119" i="5"/>
  <c r="B119" i="5"/>
  <c r="B143" i="5"/>
  <c r="D157" i="5"/>
  <c r="B176" i="5"/>
  <c r="B200" i="5"/>
  <c r="C204" i="5"/>
  <c r="C35" i="5"/>
  <c r="C71" i="5"/>
  <c r="C95" i="5"/>
  <c r="C143" i="5"/>
  <c r="D148" i="5"/>
  <c r="C148" i="5"/>
  <c r="B148" i="5"/>
  <c r="D191" i="5"/>
  <c r="C191" i="5"/>
  <c r="B191" i="5"/>
  <c r="C200" i="5"/>
  <c r="D204" i="5"/>
  <c r="D214" i="5"/>
  <c r="B31" i="5"/>
  <c r="D124" i="5"/>
  <c r="B153" i="5"/>
  <c r="C177" i="5"/>
  <c r="B177" i="5"/>
  <c r="C186" i="5"/>
  <c r="D205" i="5"/>
  <c r="C205" i="5"/>
  <c r="B210" i="5"/>
  <c r="C31" i="5"/>
  <c r="D36" i="5"/>
  <c r="C36" i="5"/>
  <c r="B36" i="5"/>
  <c r="C49" i="5"/>
  <c r="D54" i="5"/>
  <c r="C54" i="5"/>
  <c r="B54" i="5"/>
  <c r="C67" i="5"/>
  <c r="D72" i="5"/>
  <c r="C72" i="5"/>
  <c r="B72" i="5"/>
  <c r="C81" i="5"/>
  <c r="B86" i="5"/>
  <c r="C91" i="5"/>
  <c r="C100" i="5"/>
  <c r="B110" i="5"/>
  <c r="B120" i="5"/>
  <c r="C129" i="5"/>
  <c r="B139" i="5"/>
  <c r="D144" i="5"/>
  <c r="C144" i="5"/>
  <c r="B144" i="5"/>
  <c r="C153" i="5"/>
  <c r="B158" i="5"/>
  <c r="C167" i="5"/>
  <c r="B172" i="5"/>
  <c r="D177" i="5"/>
  <c r="D186" i="5"/>
  <c r="C210" i="5"/>
  <c r="C219" i="5"/>
  <c r="C233" i="5"/>
  <c r="D238" i="5"/>
  <c r="C238" i="5"/>
  <c r="B238" i="5"/>
  <c r="B243" i="5"/>
  <c r="B257" i="5"/>
  <c r="C280" i="5"/>
  <c r="C294" i="5"/>
  <c r="B304" i="5"/>
  <c r="C323" i="5"/>
  <c r="C343" i="5"/>
  <c r="C348" i="5"/>
  <c r="C363" i="5"/>
  <c r="D373" i="5"/>
  <c r="D378" i="5"/>
  <c r="C378" i="5"/>
  <c r="B378" i="5"/>
  <c r="C383" i="5"/>
  <c r="D399" i="5"/>
  <c r="C399" i="5"/>
  <c r="B399" i="5"/>
  <c r="D133" i="5"/>
  <c r="C133" i="5"/>
  <c r="B17" i="5"/>
  <c r="B35" i="5"/>
  <c r="B53" i="5"/>
  <c r="B71" i="5"/>
  <c r="C114" i="5"/>
  <c r="B124" i="5"/>
  <c r="C171" i="5"/>
  <c r="D8" i="5"/>
  <c r="C17" i="5"/>
  <c r="C53" i="5"/>
  <c r="C105" i="5"/>
  <c r="B105" i="5"/>
  <c r="D114" i="5"/>
  <c r="C176" i="5"/>
  <c r="B13" i="5"/>
  <c r="B49" i="5"/>
  <c r="B67" i="5"/>
  <c r="B81" i="5"/>
  <c r="B91" i="5"/>
  <c r="B100" i="5"/>
  <c r="D115" i="5"/>
  <c r="C115" i="5"/>
  <c r="B129" i="5"/>
  <c r="B167" i="5"/>
  <c r="B219" i="5"/>
  <c r="C13" i="5"/>
  <c r="D18" i="5"/>
  <c r="C18" i="5"/>
  <c r="B18" i="5"/>
  <c r="C86" i="5"/>
  <c r="C110" i="5"/>
  <c r="B115" i="5"/>
  <c r="D139" i="5"/>
  <c r="C158" i="5"/>
  <c r="B205" i="5"/>
  <c r="B248" i="5"/>
  <c r="D294" i="5"/>
  <c r="D314" i="5"/>
  <c r="D348" i="5"/>
  <c r="D364" i="5"/>
  <c r="C364" i="5"/>
  <c r="B364" i="5"/>
  <c r="B388" i="5"/>
  <c r="D400" i="5"/>
  <c r="C400" i="5"/>
  <c r="B400" i="5"/>
  <c r="B396" i="5"/>
  <c r="B317" i="5"/>
  <c r="B335" i="5"/>
  <c r="B353" i="5"/>
  <c r="B371" i="5"/>
  <c r="B389" i="5"/>
  <c r="C396" i="5"/>
  <c r="B4" i="5"/>
  <c r="B22" i="5"/>
  <c r="B40" i="5"/>
  <c r="B58" i="5"/>
  <c r="B76" i="5"/>
  <c r="B94" i="5"/>
  <c r="B166" i="5"/>
  <c r="C317" i="5"/>
  <c r="C335" i="5"/>
  <c r="C353" i="5"/>
  <c r="C371" i="5"/>
  <c r="C389" i="5"/>
  <c r="C4" i="5"/>
  <c r="C22" i="5"/>
  <c r="C40" i="5"/>
  <c r="C58" i="5"/>
  <c r="C76" i="5"/>
  <c r="C94" i="5"/>
  <c r="B393" i="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<sst xmlns="http://schemas.openxmlformats.org/spreadsheetml/2006/main" count="460" uniqueCount="437">
  <si>
    <t>x</t>
  </si>
  <si>
    <t>Аренда</t>
  </si>
  <si>
    <t>one</t>
  </si>
  <si>
    <t>Tree</t>
  </si>
  <si>
    <t>Height</t>
  </si>
  <si>
    <t>Age</t>
  </si>
  <si>
    <t>Yield</t>
  </si>
  <si>
    <t>Profit</t>
  </si>
  <si>
    <t>a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</si>
  <si>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</si>
  <si>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</si>
  <si>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</si>
  <si>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</si>
  <si>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</si>
  <si>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</si>
  <si>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</si>
  <si>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</si>
  <si>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</si>
  <si>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</si>
  <si>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</si>
  <si>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</si>
  <si>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</si>
  <si>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</si>
  <si>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</si>
  <si>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</si>
  <si>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</si>
  <si>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</si>
  <si>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</si>
  <si>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</si>
  <si>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</si>
  <si>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</si>
  <si>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</si>
  <si>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b</t>
  </si>
  <si>
    <t>Привет Мир</t>
  </si>
  <si>
    <t>1.5</t>
  </si>
  <si>
    <t>1,5</t>
  </si>
  <si>
    <t>fn:union#201</t>
  </si>
  <si>
    <t>fn:cube#201</t>
  </si>
  <si>
    <t>fn:union#202</t>
  </si>
  <si>
    <t>fn:cube#202</t>
  </si>
  <si>
    <t>fn:union#203</t>
  </si>
  <si>
    <t>fn:cube#203</t>
  </si>
  <si>
    <t>fn:union#204</t>
  </si>
  <si>
    <t>fn:cube#204</t>
  </si>
  <si>
    <t>fn:union#205</t>
  </si>
  <si>
    <t>fn:cube#205</t>
  </si>
  <si>
    <t>fn:union#206</t>
  </si>
  <si>
    <t>fn:cube#206</t>
  </si>
  <si>
    <t>fn:union#207</t>
  </si>
  <si>
    <t>fn:cube#207</t>
  </si>
  <si>
    <t>fn:union#208</t>
  </si>
  <si>
    <t>fn:cube#208</t>
  </si>
  <si>
    <t>fn:union#209</t>
  </si>
  <si>
    <t>fn:cube#209</t>
  </si>
  <si>
    <t>fn:union#210</t>
  </si>
  <si>
    <t>fn:cube#210</t>
  </si>
  <si>
    <t>fn:union#211</t>
  </si>
  <si>
    <t>fn:cube#211</t>
  </si>
  <si>
    <t>fn:union#212</t>
  </si>
  <si>
    <t>fn:cube#212</t>
  </si>
  <si>
    <t>fn:union#213</t>
  </si>
  <si>
    <t>fn:cube#213</t>
  </si>
  <si>
    <t>fn:union#214</t>
  </si>
  <si>
    <t>fn:cube#214</t>
  </si>
  <si>
    <t>fn:union#215</t>
  </si>
  <si>
    <t>fn:cube#215</t>
  </si>
  <si>
    <t>fn:union#216</t>
  </si>
  <si>
    <t>fn:cube#216</t>
  </si>
  <si>
    <t>fn:union#217</t>
  </si>
  <si>
    <t>fn:cube#217</t>
  </si>
  <si>
    <t>fn:union#218</t>
  </si>
  <si>
    <t>fn:cube#218</t>
  </si>
  <si>
    <t>fn:union#219</t>
  </si>
  <si>
    <t>fn:cube#219</t>
  </si>
  <si>
    <t>fn:union#220</t>
  </si>
  <si>
    <t>fn:cube#220</t>
  </si>
  <si>
    <t>fn:union#221</t>
  </si>
  <si>
    <t>fn:cube#221</t>
  </si>
  <si>
    <t>fn:union#222</t>
  </si>
  <si>
    <t>fn:cube#222</t>
  </si>
  <si>
    <t>fn:union#223</t>
  </si>
  <si>
    <t>fn:cube#223</t>
  </si>
  <si>
    <t>fn:union#224</t>
  </si>
  <si>
    <t>fn:cube#224</t>
  </si>
  <si>
    <t>fn:union#225</t>
  </si>
  <si>
    <t>fn:cube#225</t>
  </si>
  <si>
    <t>fn:union#226</t>
  </si>
  <si>
    <t>fn:cube#226</t>
  </si>
  <si>
    <t>fn:union#227</t>
  </si>
  <si>
    <t>fn:cube#227</t>
  </si>
  <si>
    <t>fn:union#228</t>
  </si>
  <si>
    <t>fn:cube#228</t>
  </si>
  <si>
    <t>fn:union#229</t>
  </si>
  <si>
    <t>fn:cube#229</t>
  </si>
  <si>
    <t>fn:union#230</t>
  </si>
  <si>
    <t>fn:cube#230</t>
  </si>
  <si>
    <t>fn:union#231</t>
  </si>
  <si>
    <t>fn:cube#231</t>
  </si>
  <si>
    <t>fn:union#232</t>
  </si>
  <si>
    <t>fn:cube#232</t>
  </si>
  <si>
    <t>fn:union#233</t>
  </si>
  <si>
    <t>fn:cube#233</t>
  </si>
  <si>
    <t>fn:union#234</t>
  </si>
  <si>
    <t>fn:cube#234</t>
  </si>
  <si>
    <t>fn:union#235</t>
  </si>
  <si>
    <t>fn:cube#235</t>
  </si>
  <si>
    <t>fn:union#236</t>
  </si>
  <si>
    <t>fn:cube#236</t>
  </si>
  <si>
    <t>fn:union#237</t>
  </si>
  <si>
    <t>fn:cube#237</t>
  </si>
  <si>
    <t>fn:union#238</t>
  </si>
  <si>
    <t>fn:cube#238</t>
  </si>
  <si>
    <t>fn:union#239</t>
  </si>
  <si>
    <t>fn:cube#239</t>
  </si>
  <si>
    <t>fn:union#240</t>
  </si>
  <si>
    <t>fn:cube#240</t>
  </si>
  <si>
    <t>fn:union#241</t>
  </si>
  <si>
    <t>fn:cube#241</t>
  </si>
  <si>
    <t>fn:union#242</t>
  </si>
  <si>
    <t>fn:cube#242</t>
  </si>
  <si>
    <t>fn:union#243</t>
  </si>
  <si>
    <t>fn:cube#243</t>
  </si>
  <si>
    <t>fn:union#244</t>
  </si>
  <si>
    <t>fn:cube#244</t>
  </si>
  <si>
    <t>fn:union#245</t>
  </si>
  <si>
    <t>fn:cube#245</t>
  </si>
  <si>
    <t>fn:union#246</t>
  </si>
  <si>
    <t>fn:cube#246</t>
  </si>
  <si>
    <t>fn:union#247</t>
  </si>
  <si>
    <t>fn:cube#247</t>
  </si>
  <si>
    <t>fn:union#248</t>
  </si>
  <si>
    <t>fn:cube#248</t>
  </si>
  <si>
    <t>fn:union#249</t>
  </si>
  <si>
    <t>fn:cube#249</t>
  </si>
  <si>
    <t>fn:union#250</t>
  </si>
  <si>
    <t>fn:cube#250</t>
  </si>
  <si>
    <t>fn:union#251</t>
  </si>
  <si>
    <t>fn:cube#251</t>
  </si>
  <si>
    <t>fn:union#252</t>
  </si>
  <si>
    <t>fn:cube#252</t>
  </si>
  <si>
    <t>fn:union#253</t>
  </si>
  <si>
    <t>fn:cube#253</t>
  </si>
  <si>
    <t>fn:union#254</t>
  </si>
  <si>
    <t>fn:cube#254</t>
  </si>
  <si>
    <t>fn:union#255</t>
  </si>
  <si>
    <t>fn:cube#255</t>
  </si>
  <si>
    <t>fn:union#256</t>
  </si>
  <si>
    <t>fn:cube#256</t>
  </si>
  <si>
    <t>fn:union#257</t>
  </si>
  <si>
    <t>fn:cube#257</t>
  </si>
  <si>
    <t>fn:union#258</t>
  </si>
  <si>
    <t>fn:cube#258</t>
  </si>
  <si>
    <t>fn:union#259</t>
  </si>
  <si>
    <t>fn:cube#259</t>
  </si>
  <si>
    <t>fn:union#260</t>
  </si>
  <si>
    <t>fn:cube#260</t>
  </si>
  <si>
    <t>fn:union#261</t>
  </si>
  <si>
    <t>fn:cube#261</t>
  </si>
  <si>
    <t>fn:union#262</t>
  </si>
  <si>
    <t>fn:cube#262</t>
  </si>
  <si>
    <t>fn:union#263</t>
  </si>
  <si>
    <t>fn:cube#263</t>
  </si>
  <si>
    <t>fn:union#264</t>
  </si>
  <si>
    <t>fn:cube#264</t>
  </si>
  <si>
    <t>fn:union#265</t>
  </si>
  <si>
    <t>fn:cube#265</t>
  </si>
  <si>
    <t>fn:union#266</t>
  </si>
  <si>
    <t>fn:cube#266</t>
  </si>
  <si>
    <t>fn:union#267</t>
  </si>
  <si>
    <t>fn:cube#267</t>
  </si>
  <si>
    <t>fn:union#268</t>
  </si>
  <si>
    <t>fn:cube#268</t>
  </si>
  <si>
    <t>fn:union#269</t>
  </si>
  <si>
    <t>fn:cube#269</t>
  </si>
  <si>
    <t>fn:union#270</t>
  </si>
  <si>
    <t>fn:cube#270</t>
  </si>
  <si>
    <t>fn:union#271</t>
  </si>
  <si>
    <t>fn:cube#271</t>
  </si>
  <si>
    <t>fn:union#272</t>
  </si>
  <si>
    <t>fn:cube#272</t>
  </si>
  <si>
    <t>fn:union#273</t>
  </si>
  <si>
    <t>fn:cube#273</t>
  </si>
  <si>
    <t>fn:union#274</t>
  </si>
  <si>
    <t>fn:cube#274</t>
  </si>
  <si>
    <t>fn:union#275</t>
  </si>
  <si>
    <t>fn:cube#275</t>
  </si>
  <si>
    <t>fn:union#276</t>
  </si>
  <si>
    <t>fn:cube#276</t>
  </si>
  <si>
    <t>fn:union#277</t>
  </si>
  <si>
    <t>fn:cube#277</t>
  </si>
  <si>
    <t>fn:union#278</t>
  </si>
  <si>
    <t>fn:cube#278</t>
  </si>
  <si>
    <t>fn:union#279</t>
  </si>
  <si>
    <t>fn:cube#279</t>
  </si>
  <si>
    <t>fn:union#280</t>
  </si>
  <si>
    <t>fn:cube#280</t>
  </si>
  <si>
    <t>fn:union#281</t>
  </si>
  <si>
    <t>fn:cube#281</t>
  </si>
  <si>
    <t>fn:union#282</t>
  </si>
  <si>
    <t>fn:cube#282</t>
  </si>
  <si>
    <t>fn:union#283</t>
  </si>
  <si>
    <t>fn:cube#283</t>
  </si>
  <si>
    <t>fn:union#284</t>
  </si>
  <si>
    <t>fn:cube#284</t>
  </si>
  <si>
    <t>fn:union#285</t>
  </si>
  <si>
    <t>fn:cube#285</t>
  </si>
  <si>
    <t>fn:union#286</t>
  </si>
  <si>
    <t>fn:cube#286</t>
  </si>
  <si>
    <t>fn:union#287</t>
  </si>
  <si>
    <t>fn:cube#287</t>
  </si>
  <si>
    <t>fn:union#288</t>
  </si>
  <si>
    <t>fn:cube#288</t>
  </si>
  <si>
    <t>fn:union#289</t>
  </si>
  <si>
    <t>fn:cube#289</t>
  </si>
  <si>
    <t>fn:union#290</t>
  </si>
  <si>
    <t>fn:cube#290</t>
  </si>
  <si>
    <t>fn:union#291</t>
  </si>
  <si>
    <t>fn:cube#291</t>
  </si>
  <si>
    <t>fn:union#292</t>
  </si>
  <si>
    <t>fn:cube#292</t>
  </si>
  <si>
    <t>fn:union#293</t>
  </si>
  <si>
    <t>fn:cube#293</t>
  </si>
  <si>
    <t>fn:union#294</t>
  </si>
  <si>
    <t>fn:cube#294</t>
  </si>
  <si>
    <t>fn:union#295</t>
  </si>
  <si>
    <t>fn:cube#295</t>
  </si>
  <si>
    <t>fn:union#296</t>
  </si>
  <si>
    <t>fn:cube#296</t>
  </si>
  <si>
    <t>fn:union#297</t>
  </si>
  <si>
    <t>fn:cube#297</t>
  </si>
  <si>
    <t>fn:union#298</t>
  </si>
  <si>
    <t>fn:cube#298</t>
  </si>
  <si>
    <t>fn:union#299</t>
  </si>
  <si>
    <t>fn:cube#299</t>
  </si>
  <si>
    <t>fn:union#300</t>
  </si>
  <si>
    <t>fn:cube#300</t>
  </si>
  <si>
    <t>fn:union#301</t>
  </si>
  <si>
    <t>fn:cube#301</t>
  </si>
  <si>
    <t>fn:union#302</t>
  </si>
  <si>
    <t>fn:cube#302</t>
  </si>
  <si>
    <t>fn:union#303</t>
  </si>
  <si>
    <t>fn:cube#303</t>
  </si>
  <si>
    <t>fn:union#304</t>
  </si>
  <si>
    <t>fn:cube#304</t>
  </si>
  <si>
    <t>fn:union#305</t>
  </si>
  <si>
    <t>fn:cube#305</t>
  </si>
  <si>
    <t>fn:union#306</t>
  </si>
  <si>
    <t>fn:cube#306</t>
  </si>
  <si>
    <t>fn:union#307</t>
  </si>
  <si>
    <t>fn:cube#307</t>
  </si>
  <si>
    <t>fn:union#308</t>
  </si>
  <si>
    <t>fn:cube#308</t>
  </si>
  <si>
    <t>fn:union#309</t>
  </si>
  <si>
    <t>fn:cube#309</t>
  </si>
  <si>
    <t>fn:union#310</t>
  </si>
  <si>
    <t>fn:cube#310</t>
  </si>
  <si>
    <t>fn:union#311</t>
  </si>
  <si>
    <t>fn:cube#311</t>
  </si>
  <si>
    <t>fn:union#312</t>
  </si>
  <si>
    <t>fn:cube#312</t>
  </si>
  <si>
    <t>fn:union#313</t>
  </si>
  <si>
    <t>fn:cube#313</t>
  </si>
  <si>
    <t>fn:union#314</t>
  </si>
  <si>
    <t>fn:cube#314</t>
  </si>
  <si>
    <t>fn:union#315</t>
  </si>
  <si>
    <t>fn:cube#315</t>
  </si>
  <si>
    <t>fn:union#316</t>
  </si>
  <si>
    <t>fn:cube#316</t>
  </si>
  <si>
    <t>fn:union#317</t>
  </si>
  <si>
    <t>fn:cube#317</t>
  </si>
  <si>
    <t>fn:union#318</t>
  </si>
  <si>
    <t>fn:cube#318</t>
  </si>
  <si>
    <t>fn:union#319</t>
  </si>
  <si>
    <t>fn:cube#319</t>
  </si>
  <si>
    <t>fn:union#320</t>
  </si>
  <si>
    <t>fn:cube#320</t>
  </si>
  <si>
    <t>fn:union#321</t>
  </si>
  <si>
    <t>fn:cube#321</t>
  </si>
  <si>
    <t>fn:union#322</t>
  </si>
  <si>
    <t>fn:cube#322</t>
  </si>
  <si>
    <t>fn:union#323</t>
  </si>
  <si>
    <t>fn:cube#323</t>
  </si>
  <si>
    <t>fn:union#324</t>
  </si>
  <si>
    <t>fn:cube#324</t>
  </si>
  <si>
    <t>fn:union#325</t>
  </si>
  <si>
    <t>fn:cube#325</t>
  </si>
  <si>
    <t>fn:union#326</t>
  </si>
  <si>
    <t>fn:cube#326</t>
  </si>
  <si>
    <t>fn:union#327</t>
  </si>
  <si>
    <t>fn:cube#327</t>
  </si>
  <si>
    <t>fn:union#328</t>
  </si>
  <si>
    <t>fn:cube#328</t>
  </si>
  <si>
    <t>fn:union#329</t>
  </si>
  <si>
    <t>fn:cube#329</t>
  </si>
  <si>
    <t>fn:union#330</t>
  </si>
  <si>
    <t>fn:cube#330</t>
  </si>
  <si>
    <t>fn:union#331</t>
  </si>
  <si>
    <t>fn:cube#331</t>
  </si>
  <si>
    <t>fn:union#332</t>
  </si>
  <si>
    <t>fn:cube#332</t>
  </si>
  <si>
    <t>fn:union#333</t>
  </si>
  <si>
    <t>fn:cube#333</t>
  </si>
  <si>
    <t>fn:union#334</t>
  </si>
  <si>
    <t>fn:cube#334</t>
  </si>
  <si>
    <t>fn:union#335</t>
  </si>
  <si>
    <t>fn:cube#335</t>
  </si>
  <si>
    <t>fn:union#336</t>
  </si>
  <si>
    <t>fn:cube#336</t>
  </si>
  <si>
    <t>fn:union#337</t>
  </si>
  <si>
    <t>fn:cube#337</t>
  </si>
  <si>
    <t>fn:union#338</t>
  </si>
  <si>
    <t>fn:cube#338</t>
  </si>
  <si>
    <t>fn:union#339</t>
  </si>
  <si>
    <t>fn:cube#339</t>
  </si>
  <si>
    <t>fn:union#340</t>
  </si>
  <si>
    <t>fn:cube#340</t>
  </si>
  <si>
    <t>fn:union#341</t>
  </si>
  <si>
    <t>fn:cube#341</t>
  </si>
  <si>
    <t>fn:union#342</t>
  </si>
  <si>
    <t>fn:cube#342</t>
  </si>
  <si>
    <t>fn:union#343</t>
  </si>
  <si>
    <t>fn:cube#343</t>
  </si>
  <si>
    <t>fn:union#344</t>
  </si>
  <si>
    <t>fn:cube#344</t>
  </si>
  <si>
    <t>fn:union#345</t>
  </si>
  <si>
    <t>fn:cube#345</t>
  </si>
  <si>
    <t>fn:union#346</t>
  </si>
  <si>
    <t>fn:cube#346</t>
  </si>
  <si>
    <t>fn:union#347</t>
  </si>
  <si>
    <t>fn:cube#347</t>
  </si>
  <si>
    <t>fn:union#348</t>
  </si>
  <si>
    <t>fn:cube#348</t>
  </si>
  <si>
    <t>fn:union#349</t>
  </si>
  <si>
    <t>fn:cube#349</t>
  </si>
  <si>
    <t>fn:union#350</t>
  </si>
  <si>
    <t>fn:cube#350</t>
  </si>
  <si>
    <t>fn:union#351</t>
  </si>
  <si>
    <t>fn:cube#351</t>
  </si>
  <si>
    <t>fn:union#352</t>
  </si>
  <si>
    <t>fn:cube#352</t>
  </si>
  <si>
    <t>fn:union#353</t>
  </si>
  <si>
    <t>fn:cube#353</t>
  </si>
  <si>
    <t>fn:union#354</t>
  </si>
  <si>
    <t>fn:cube#354</t>
  </si>
  <si>
    <t>fn:union#355</t>
  </si>
  <si>
    <t>fn:cube#355</t>
  </si>
  <si>
    <t>fn:union#356</t>
  </si>
  <si>
    <t>fn:cube#356</t>
  </si>
  <si>
    <t>fn:union#357</t>
  </si>
  <si>
    <t>fn:cube#357</t>
  </si>
  <si>
    <t>fn:union#358</t>
  </si>
  <si>
    <t>fn:cube#358</t>
  </si>
  <si>
    <t>fn:union#359</t>
  </si>
  <si>
    <t>fn:cube#359</t>
  </si>
  <si>
    <t>fn:union#360</t>
  </si>
  <si>
    <t>fn:cube#360</t>
  </si>
  <si>
    <t>fn:union#361</t>
  </si>
  <si>
    <t>fn:cube#361</t>
  </si>
  <si>
    <t>fn:union#362</t>
  </si>
  <si>
    <t>fn:cube#362</t>
  </si>
  <si>
    <t>fn:union#363</t>
  </si>
  <si>
    <t>fn:cube#363</t>
  </si>
  <si>
    <t>fn:union#364</t>
  </si>
  <si>
    <t>fn:cube#364</t>
  </si>
  <si>
    <t>fn:union#365</t>
  </si>
  <si>
    <t>fn:cube#365</t>
  </si>
  <si>
    <t>fn:union#366</t>
  </si>
  <si>
    <t>fn:cube#366</t>
  </si>
  <si>
    <t>fn:union#367</t>
  </si>
  <si>
    <t>fn:cube#367</t>
  </si>
  <si>
    <t>fn:union#368</t>
  </si>
  <si>
    <t>fn:cube#368</t>
  </si>
  <si>
    <t>fn:union#369</t>
  </si>
  <si>
    <t>fn:cube#369</t>
  </si>
  <si>
    <t>fn:union#370</t>
  </si>
  <si>
    <t>fn:cube#370</t>
  </si>
  <si>
    <t>fn:union#371</t>
  </si>
  <si>
    <t>fn:cube#371</t>
  </si>
  <si>
    <t>fn:union#372</t>
  </si>
  <si>
    <t>fn:cube#372</t>
  </si>
  <si>
    <t>fn:union#373</t>
  </si>
  <si>
    <t>fn:cube#373</t>
  </si>
  <si>
    <t>fn:union#374</t>
  </si>
  <si>
    <t>fn:cube#374</t>
  </si>
  <si>
    <t>fn:union#375</t>
  </si>
  <si>
    <t>fn:cube#375</t>
  </si>
  <si>
    <t>fn:union#376</t>
  </si>
  <si>
    <t>fn:cube#376</t>
  </si>
  <si>
    <t>fn:union#377</t>
  </si>
  <si>
    <t>fn:cube#377</t>
  </si>
  <si>
    <t>fn:union#378</t>
  </si>
  <si>
    <t>fn:cube#378</t>
  </si>
  <si>
    <t>fn:union#379</t>
  </si>
  <si>
    <t>fn:cube#379</t>
  </si>
  <si>
    <t>fn:union#380</t>
  </si>
  <si>
    <t>fn:cube#380</t>
  </si>
  <si>
    <t>fn:union#381</t>
  </si>
  <si>
    <t>fn:cube#381</t>
  </si>
  <si>
    <t>fn:union#382</t>
  </si>
  <si>
    <t>fn:cube#382</t>
  </si>
  <si>
    <t>fn:union#383</t>
  </si>
  <si>
    <t>fn:cube#383</t>
  </si>
  <si>
    <t>fn:union#384</t>
  </si>
  <si>
    <t>fn:cube#384</t>
  </si>
  <si>
    <t>fn:union#385</t>
  </si>
  <si>
    <t>fn:cube#385</t>
  </si>
  <si>
    <t>fn:union#386</t>
  </si>
  <si>
    <t>fn:cube#386</t>
  </si>
  <si>
    <t>fn:union#387</t>
  </si>
  <si>
    <t>fn:cube#387</t>
  </si>
  <si>
    <t>fn:union#388</t>
  </si>
  <si>
    <t>fn:cube#388</t>
  </si>
  <si>
    <t>fn:union#389</t>
  </si>
  <si>
    <t>fn:cube#389</t>
  </si>
  <si>
    <t>fn:union#390</t>
  </si>
  <si>
    <t>fn:cube#390</t>
  </si>
  <si>
    <t>fn:union#391</t>
  </si>
  <si>
    <t>fn:cube#391</t>
  </si>
  <si>
    <t>fn:union#392</t>
  </si>
  <si>
    <t>fn:cube#392</t>
  </si>
  <si>
    <t>fn:union#393</t>
  </si>
  <si>
    <t>fn:cube#393</t>
  </si>
  <si>
    <t>fn:union#394</t>
  </si>
  <si>
    <t>fn:cube#394</t>
  </si>
  <si>
    <t>fn:union#395</t>
  </si>
  <si>
    <t>fn:cube#395</t>
  </si>
  <si>
    <t>fn:union#396</t>
  </si>
  <si>
    <t>fn:cube#396</t>
  </si>
  <si>
    <t>fn:union#397</t>
  </si>
  <si>
    <t>fn:cube#397</t>
  </si>
  <si>
    <t>fn:union#398</t>
  </si>
  <si>
    <t>fn:cube#398</t>
  </si>
  <si>
    <t>fn:union#399</t>
  </si>
  <si>
    <t>fn:cube#399</t>
  </si>
  <si>
    <t>fn:union#400</t>
  </si>
  <si>
    <t>fn:cube#400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</si>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</sst>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Structure" Target="richData/rdrichvaluestructure.xml"/><Relationship Id="rId5" Type="http://schemas.openxmlformats.org/officeDocument/2006/relationships/worksheet" Target="worksheets/sheet5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8</v>
    <v>1</v>
    <v>1</v>
  </rv>
  <rv s="0">
    <v>0</v>
    <v>8</v>
    <v>6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/>
  </sheetViews>
  <sheetFormatPr baseColWidth="10" defaultColWidth="8.83203125" defaultRowHeight="15" x14ac:dyDescent="0.2"/>
  <sheetData>
    <row r="1" spans="1:2" x14ac:dyDescent="0.2">
      <c r="A1">
        <v>1</v>
      </c>
      <c r="B1">
        <v>10</v>
      </c>
    </row>
    <row r="2" spans="1:2" x14ac:dyDescent="0.2">
      <c r="A2">
        <v>2</v>
      </c>
      <c r="B2" t="s">
        <v>0</v>
      </c>
    </row>
    <row r="3" spans="1:2" x14ac:dyDescent="0.2">
      <c r="A3">
        <v>3</v>
      </c>
      <c r="B3" t="b">
        <v>1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baseColWidth="10" defaultColWidth="8.83203125" defaultRowHeight="15" x14ac:dyDescent="0.2"/>
  <sheetData>
    <row r="1" spans="1:2" x14ac:dyDescent="0.2">
      <c r="A1">
        <v>4</v>
      </c>
      <c r="B1">
        <v>20</v>
      </c>
    </row>
    <row r="2" spans="1:2" x14ac:dyDescent="0.2">
      <c r="A2">
        <v>5</v>
      </c>
      <c r="B2">
        <v>40</v>
      </c>
    </row>
    <row r="3" spans="1:2" x14ac:dyDescent="0.2">
      <c r="A3">
        <v>6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/>
  </sheetViews>
  <sheetFormatPr baseColWidth="10" defaultColWidth="8.83203125" defaultRowHeight="15" x14ac:dyDescent="0.2"/>
  <sheetData>
    <row r="1" spans="1:2" x14ac:dyDescent="0.2">
      <c r="A1">
        <v>7</v>
      </c>
      <c r="B1">
        <v>30</v>
      </c>
    </row>
    <row r="2" spans="1:2" x14ac:dyDescent="0.2">
      <c r="A2">
        <v>8</v>
      </c>
      <c r="B2">
        <v>60</v>
      </c>
    </row>
    <row r="3" spans="1:2" x14ac:dyDescent="0.2">
      <c r="A3">
        <v>9</v>
      </c>
      <c r="B3">
        <v>90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H17"/>
  <sheetViews>
    <sheetView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1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2</v>
      </c>
      <c r="N1">
        <v>10</v>
      </c>
      <c r="P1">
        <v>1</v>
      </c>
      <c r="Q1">
        <v>2</v>
      </c>
      <c r="R1">
        <v>5</v>
      </c>
      <c r="S1">
        <v>6</v>
      </c>
      <c r="U1" t="s">
        <v>3</v>
      </c>
      <c r="V1" t="s">
        <v>4</v>
      </c>
      <c r="W1" t="s">
        <v>5</v>
      </c>
      <c r="X1" t="s">
        <v>6</v>
      </c>
      <c r="Y1" t="s">
        <v>7</v>
      </c>
      <c r="AA1" t="s">
        <v>3</v>
      </c>
      <c r="AB1" t="s">
        <v>4</v>
      </c>
      <c r="AC1" t="s">
        <v>3</v>
      </c>
      <c r="AD1" t="s">
        <v>3</v>
      </c>
      <c r="AE1" t="s">
        <v>3</v>
      </c>
      <c r="AF1" t="s">
        <v>3</v>
      </c>
      <c r="AG1" t="s">
        <v>3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8</v>
      </c>
    </row>
    <row r="2" spans="1:60" x14ac:dyDescent="0.2">
      <c r="A2" t="s">
        <v>9</v>
      </c>
      <c r="B2">
        <v>8</v>
      </c>
      <c r="C2">
        <v>7</v>
      </c>
      <c r="D2" t="s">
        <v>9</v>
      </c>
      <c r="E2">
        <v>2</v>
      </c>
      <c r="F2" t="s">
        <v>10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11</v>
      </c>
      <c r="N2">
        <v>20</v>
      </c>
      <c r="P2">
        <v>3</v>
      </c>
      <c r="Q2">
        <v>4</v>
      </c>
      <c r="R2">
        <v>7</v>
      </c>
      <c r="S2">
        <v>8</v>
      </c>
      <c r="U2" t="s">
        <v>12</v>
      </c>
      <c r="V2">
        <v>18</v>
      </c>
      <c r="W2">
        <v>20</v>
      </c>
      <c r="X2">
        <v>14</v>
      </c>
      <c r="Y2">
        <v>105</v>
      </c>
      <c r="AA2" t="s">
        <v>12</v>
      </c>
      <c r="AB2" t="s">
        <v>13</v>
      </c>
      <c r="AC2" t="s">
        <v>14</v>
      </c>
      <c r="AD2" t="s">
        <v>15</v>
      </c>
      <c r="AE2" t="s">
        <v>16</v>
      </c>
      <c r="AF2" t="s">
        <v>17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18</v>
      </c>
      <c r="B3">
        <v>15</v>
      </c>
      <c r="C3">
        <v>11</v>
      </c>
      <c r="D3" t="s">
        <v>18</v>
      </c>
      <c r="E3" t="e">
        <f>1/0</f>
        <v>#DIV/0!</v>
      </c>
      <c r="F3" t="s">
        <v>19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20</v>
      </c>
      <c r="N3">
        <v>30</v>
      </c>
      <c r="U3" t="s">
        <v>14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18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21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22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23</v>
      </c>
      <c r="N4">
        <v>50</v>
      </c>
      <c r="P4">
        <v>1</v>
      </c>
      <c r="Q4">
        <v>2</v>
      </c>
      <c r="R4">
        <v>3</v>
      </c>
      <c r="U4" t="s">
        <v>16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8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24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25</v>
      </c>
      <c r="N5">
        <v>80</v>
      </c>
      <c r="P5">
        <v>4</v>
      </c>
      <c r="Q5">
        <v>5</v>
      </c>
      <c r="R5">
        <v>6</v>
      </c>
      <c r="U5" t="s">
        <v>12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26</v>
      </c>
      <c r="AP5" s="1">
        <v>39786</v>
      </c>
      <c r="AS5" t="s">
        <v>27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28</v>
      </c>
      <c r="G6">
        <v>32</v>
      </c>
      <c r="H6" s="1">
        <v>45473</v>
      </c>
      <c r="L6">
        <v>13</v>
      </c>
      <c r="M6" t="s">
        <v>29</v>
      </c>
      <c r="N6">
        <v>130</v>
      </c>
      <c r="U6" t="s">
        <v>14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30</v>
      </c>
      <c r="G7">
        <v>64</v>
      </c>
      <c r="H7" s="1">
        <v>46022</v>
      </c>
      <c r="I7">
        <v>-10000</v>
      </c>
      <c r="J7">
        <v>100</v>
      </c>
      <c r="U7" t="s">
        <v>12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31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32</v>
      </c>
      <c r="AU8" s="1">
        <v>39448</v>
      </c>
      <c r="BG8">
        <v>2</v>
      </c>
    </row>
    <row r="9" spans="1:60" x14ac:dyDescent="0.2">
      <c r="A9" t="s">
        <v>33</v>
      </c>
      <c r="I9">
        <v>4200</v>
      </c>
      <c r="J9">
        <v>300</v>
      </c>
      <c r="L9" t="s">
        <v>2</v>
      </c>
      <c r="M9" t="s">
        <v>11</v>
      </c>
      <c r="N9" t="s">
        <v>20</v>
      </c>
      <c r="O9" t="s">
        <v>23</v>
      </c>
      <c r="P9" t="s">
        <v>25</v>
      </c>
      <c r="Q9" t="s">
        <v>29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34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35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01"/>
  <sheetViews>
    <sheetView workbookViewId="0"/>
  </sheetViews>
  <sheetFormatPr baseColWidth="10" defaultColWidth="8.83203125" defaultRowHeight="15" x14ac:dyDescent="0.2"/>
  <sheetData>
    <row r="1" spans="1:5" x14ac:dyDescent="0.2">
      <c r="A1" cm="1">
        <f t="array" ref="A1">KURT(3,4,5,2,3,4,(D!B1:B3,D!C1:C3),6,4,7)</f>
        <v>2.3450427688654845</v>
      </c>
      <c r="B1">
        <f t="shared" ref="B1:B64" si="0">IF(ISERROR(A1),ERROR.TYPE(A1),IF(ISNUMBER(A1),0,IF(ISLOGICAL(A1),IF(A1,-1,-2),IF(ISTEXT(A1),-3,-4))))</f>
        <v>0</v>
      </c>
      <c r="C1">
        <f t="shared" ref="C1:C64" si="1">IF(ISNUMBER(A1),A1,0)</f>
        <v>2.3450427688654845</v>
      </c>
      <c r="D1" t="str">
        <f t="shared" ref="D1:D64" si="2">IF(ISTEXT(A1),A1,"")</f>
        <v/>
      </c>
      <c r="E1" t="s">
        <v>36</v>
      </c>
    </row>
    <row r="2" spans="1:5" x14ac:dyDescent="0.2">
      <c r="A2" cm="1">
        <f t="array" ref="A2">KURT(3,4,5,2,3,4,Jan:Mar!A1:A3,6,4,7)</f>
        <v>-0.53737200579384892</v>
      </c>
      <c r="B2">
        <f t="shared" si="0"/>
        <v>0</v>
      </c>
      <c r="C2">
        <f t="shared" si="1"/>
        <v>-0.53737200579384892</v>
      </c>
      <c r="D2" t="str">
        <f t="shared" si="2"/>
        <v/>
      </c>
      <c r="E2" t="s">
        <v>37</v>
      </c>
    </row>
    <row r="3" spans="1:5" x14ac:dyDescent="0.2">
      <c r="A3" cm="1">
        <f t="array" ref="A3">KURT(3,4,5,2,3,4,5,(D!B1:B3,D!C1:C3),4,7)</f>
        <v>2.4805678859732909</v>
      </c>
      <c r="B3">
        <f t="shared" si="0"/>
        <v>0</v>
      </c>
      <c r="C3">
        <f t="shared" si="1"/>
        <v>2.4805678859732909</v>
      </c>
      <c r="D3" t="str">
        <f t="shared" si="2"/>
        <v/>
      </c>
      <c r="E3" t="s">
        <v>38</v>
      </c>
    </row>
    <row r="4" spans="1:5" x14ac:dyDescent="0.2">
      <c r="A4" cm="1">
        <f t="array" ref="A4">KURT(3,4,5,2,3,4,5,Jan:Mar!A1:A3,4,7)</f>
        <v>-0.35610176734531818</v>
      </c>
      <c r="B4">
        <f t="shared" si="0"/>
        <v>0</v>
      </c>
      <c r="C4">
        <f t="shared" si="1"/>
        <v>-0.35610176734531818</v>
      </c>
      <c r="D4" t="str">
        <f t="shared" si="2"/>
        <v/>
      </c>
      <c r="E4" t="s">
        <v>39</v>
      </c>
    </row>
    <row r="5" spans="1:5" x14ac:dyDescent="0.2">
      <c r="A5" cm="1">
        <f t="array" ref="A5">KURT(3,4,5,2,3,4,5,6,(D!B1:B3,D!C1:C3),7)</f>
        <v>2.3559444069464135</v>
      </c>
      <c r="B5">
        <f t="shared" si="0"/>
        <v>0</v>
      </c>
      <c r="C5">
        <f t="shared" si="1"/>
        <v>2.3559444069464135</v>
      </c>
      <c r="D5" t="str">
        <f t="shared" si="2"/>
        <v/>
      </c>
      <c r="E5" t="s">
        <v>40</v>
      </c>
    </row>
    <row r="6" spans="1:5" x14ac:dyDescent="0.2">
      <c r="A6" cm="1">
        <f t="array" ref="A6">KURT(3,4,5,2,3,4,5,6,Jan:Mar!A1:A3,7)</f>
        <v>-0.559756097560975</v>
      </c>
      <c r="B6">
        <f t="shared" si="0"/>
        <v>0</v>
      </c>
      <c r="C6">
        <f t="shared" si="1"/>
        <v>-0.559756097560975</v>
      </c>
      <c r="D6" t="str">
        <f t="shared" si="2"/>
        <v/>
      </c>
      <c r="E6" t="s">
        <v>41</v>
      </c>
    </row>
    <row r="7" spans="1:5" x14ac:dyDescent="0.2">
      <c r="A7" cm="1">
        <f t="array" ref="A7">KURT(3,4,5,2,3,4,5,6,4,(D!B1:B3,D!C1:C3))</f>
        <v>2.7744877341912408</v>
      </c>
      <c r="B7">
        <f t="shared" si="0"/>
        <v>0</v>
      </c>
      <c r="C7">
        <f t="shared" si="1"/>
        <v>2.7744877341912408</v>
      </c>
      <c r="D7" t="str">
        <f t="shared" si="2"/>
        <v/>
      </c>
      <c r="E7" t="s">
        <v>42</v>
      </c>
    </row>
    <row r="8" spans="1:5" x14ac:dyDescent="0.2">
      <c r="A8" cm="1">
        <f t="array" ref="A8">KURT(3,4,5,2,3,4,5,6,4,Jan:Mar!A1:A3)</f>
        <v>-8.1045751633985308E-2</v>
      </c>
      <c r="B8">
        <f t="shared" si="0"/>
        <v>0</v>
      </c>
      <c r="C8">
        <f t="shared" si="1"/>
        <v>-8.1045751633985308E-2</v>
      </c>
      <c r="D8" t="str">
        <f t="shared" si="2"/>
        <v/>
      </c>
      <c r="E8" t="s">
        <v>43</v>
      </c>
    </row>
    <row r="9" spans="1:5" x14ac:dyDescent="0.2">
      <c r="A9" cm="1">
        <f t="array" ref="A9">LARGE((D!B1:B3,D!C1:C3),3)</f>
        <v>8</v>
      </c>
      <c r="B9">
        <f t="shared" si="0"/>
        <v>0</v>
      </c>
      <c r="C9">
        <f t="shared" si="1"/>
        <v>8</v>
      </c>
      <c r="D9" t="str">
        <f t="shared" si="2"/>
        <v/>
      </c>
      <c r="E9" t="s">
        <v>44</v>
      </c>
    </row>
    <row r="10" spans="1:5" x14ac:dyDescent="0.2">
      <c r="A10" cm="1">
        <f t="array" ref="A10">LARGE(Jan:Mar!A1:A3,3)</f>
        <v>7</v>
      </c>
      <c r="B10">
        <f t="shared" si="0"/>
        <v>0</v>
      </c>
      <c r="C10">
        <f t="shared" si="1"/>
        <v>7</v>
      </c>
      <c r="D10" t="str">
        <f t="shared" si="2"/>
        <v/>
      </c>
      <c r="E10" t="s">
        <v>45</v>
      </c>
    </row>
    <row r="11" spans="1:5" x14ac:dyDescent="0.2">
      <c r="A11" t="e" cm="1">
        <f t="array" ref="A11">LCM((D!B1:B3,D!C1:C3),2,3,4,5,6,7,8,9,10)</f>
        <v>#VALUE!</v>
      </c>
      <c r="B11">
        <f t="shared" si="0"/>
        <v>3</v>
      </c>
      <c r="C11">
        <f t="shared" si="1"/>
        <v>0</v>
      </c>
      <c r="D11" t="str">
        <f t="shared" si="2"/>
        <v/>
      </c>
      <c r="E11" t="s">
        <v>46</v>
      </c>
    </row>
    <row r="12" spans="1:5" x14ac:dyDescent="0.2">
      <c r="A12" t="e" cm="1">
        <f t="array" ref="A12">LCM(Jan:Mar!A1:A3,2,3,4,5,6,7,8,9,10)</f>
        <v>#VALUE!</v>
      </c>
      <c r="B12">
        <f t="shared" si="0"/>
        <v>3</v>
      </c>
      <c r="C12">
        <f t="shared" si="1"/>
        <v>0</v>
      </c>
      <c r="D12" t="str">
        <f t="shared" si="2"/>
        <v/>
      </c>
      <c r="E12" t="s">
        <v>47</v>
      </c>
    </row>
    <row r="13" spans="1:5" x14ac:dyDescent="0.2">
      <c r="A13" t="e" cm="1">
        <f t="array" ref="A13">LCM(1,(D!B1:B3,D!C1:C3),3,4,5,6,7,8,9,10)</f>
        <v>#VALUE!</v>
      </c>
      <c r="B13">
        <f t="shared" si="0"/>
        <v>3</v>
      </c>
      <c r="C13">
        <f t="shared" si="1"/>
        <v>0</v>
      </c>
      <c r="D13" t="str">
        <f t="shared" si="2"/>
        <v/>
      </c>
      <c r="E13" t="s">
        <v>48</v>
      </c>
    </row>
    <row r="14" spans="1:5" x14ac:dyDescent="0.2">
      <c r="A14" t="e" cm="1">
        <f t="array" ref="A14">LCM(1,Jan:Mar!A1:A3,3,4,5,6,7,8,9,10)</f>
        <v>#VALUE!</v>
      </c>
      <c r="B14">
        <f t="shared" si="0"/>
        <v>3</v>
      </c>
      <c r="C14">
        <f t="shared" si="1"/>
        <v>0</v>
      </c>
      <c r="D14" t="str">
        <f t="shared" si="2"/>
        <v/>
      </c>
      <c r="E14" t="s">
        <v>49</v>
      </c>
    </row>
    <row r="15" spans="1:5" x14ac:dyDescent="0.2">
      <c r="A15" t="e" cm="1">
        <f t="array" ref="A15">LCM(1,2,(D!B1:B3,D!C1:C3),4,5,6,7,8,9,10)</f>
        <v>#VALUE!</v>
      </c>
      <c r="B15">
        <f t="shared" si="0"/>
        <v>3</v>
      </c>
      <c r="C15">
        <f t="shared" si="1"/>
        <v>0</v>
      </c>
      <c r="D15" t="str">
        <f t="shared" si="2"/>
        <v/>
      </c>
      <c r="E15" t="s">
        <v>50</v>
      </c>
    </row>
    <row r="16" spans="1:5" x14ac:dyDescent="0.2">
      <c r="A16" t="e" cm="1">
        <f t="array" ref="A16">LCM(1,2,Jan:Mar!A1:A3,4,5,6,7,8,9,10)</f>
        <v>#VALUE!</v>
      </c>
      <c r="B16">
        <f t="shared" si="0"/>
        <v>3</v>
      </c>
      <c r="C16">
        <f t="shared" si="1"/>
        <v>0</v>
      </c>
      <c r="D16" t="str">
        <f t="shared" si="2"/>
        <v/>
      </c>
      <c r="E16" t="s">
        <v>51</v>
      </c>
    </row>
    <row r="17" spans="1:5" x14ac:dyDescent="0.2">
      <c r="A17" t="e" cm="1">
        <f t="array" ref="A17">LCM(1,2,3,(D!B1:B3,D!C1:C3),5,6,7,8,9,10)</f>
        <v>#VALUE!</v>
      </c>
      <c r="B17">
        <f t="shared" si="0"/>
        <v>3</v>
      </c>
      <c r="C17">
        <f t="shared" si="1"/>
        <v>0</v>
      </c>
      <c r="D17" t="str">
        <f t="shared" si="2"/>
        <v/>
      </c>
      <c r="E17" t="s">
        <v>52</v>
      </c>
    </row>
    <row r="18" spans="1:5" x14ac:dyDescent="0.2">
      <c r="A18" t="e" cm="1">
        <f t="array" ref="A18">LCM(1,2,3,Jan:Mar!A1:A3,5,6,7,8,9,10)</f>
        <v>#VALUE!</v>
      </c>
      <c r="B18">
        <f t="shared" si="0"/>
        <v>3</v>
      </c>
      <c r="C18">
        <f t="shared" si="1"/>
        <v>0</v>
      </c>
      <c r="D18" t="str">
        <f t="shared" si="2"/>
        <v/>
      </c>
      <c r="E18" t="s">
        <v>53</v>
      </c>
    </row>
    <row r="19" spans="1:5" x14ac:dyDescent="0.2">
      <c r="A19" t="e" cm="1">
        <f t="array" ref="A19">LCM(1,2,3,4,(D!B1:B3,D!C1:C3),6,7,8,9,10)</f>
        <v>#VALUE!</v>
      </c>
      <c r="B19">
        <f t="shared" si="0"/>
        <v>3</v>
      </c>
      <c r="C19">
        <f t="shared" si="1"/>
        <v>0</v>
      </c>
      <c r="D19" t="str">
        <f t="shared" si="2"/>
        <v/>
      </c>
      <c r="E19" t="s">
        <v>54</v>
      </c>
    </row>
    <row r="20" spans="1:5" x14ac:dyDescent="0.2">
      <c r="A20" t="e" cm="1">
        <f t="array" ref="A20">LCM(1,2,3,4,Jan:Mar!A1:A3,6,7,8,9,10)</f>
        <v>#VALUE!</v>
      </c>
      <c r="B20">
        <f t="shared" si="0"/>
        <v>3</v>
      </c>
      <c r="C20">
        <f t="shared" si="1"/>
        <v>0</v>
      </c>
      <c r="D20" t="str">
        <f t="shared" si="2"/>
        <v/>
      </c>
      <c r="E20" t="s">
        <v>55</v>
      </c>
    </row>
    <row r="21" spans="1:5" x14ac:dyDescent="0.2">
      <c r="A21" t="e" cm="1">
        <f t="array" ref="A21">LCM(1,2,3,4,5,(D!B1:B3,D!C1:C3),7,8,9,10)</f>
        <v>#VALUE!</v>
      </c>
      <c r="B21">
        <f t="shared" si="0"/>
        <v>3</v>
      </c>
      <c r="C21">
        <f t="shared" si="1"/>
        <v>0</v>
      </c>
      <c r="D21" t="str">
        <f t="shared" si="2"/>
        <v/>
      </c>
      <c r="E21" t="s">
        <v>56</v>
      </c>
    </row>
    <row r="22" spans="1:5" x14ac:dyDescent="0.2">
      <c r="A22" t="e" cm="1">
        <f t="array" ref="A22">LCM(1,2,3,4,5,Jan:Mar!A1:A3,7,8,9,10)</f>
        <v>#VALUE!</v>
      </c>
      <c r="B22">
        <f t="shared" si="0"/>
        <v>3</v>
      </c>
      <c r="C22">
        <f t="shared" si="1"/>
        <v>0</v>
      </c>
      <c r="D22" t="str">
        <f t="shared" si="2"/>
        <v/>
      </c>
      <c r="E22" t="s">
        <v>57</v>
      </c>
    </row>
    <row r="23" spans="1:5" x14ac:dyDescent="0.2">
      <c r="A23" t="e" cm="1">
        <f t="array" ref="A23">LCM(1,2,3,4,5,6,(D!B1:B3,D!C1:C3),8,9,10)</f>
        <v>#VALUE!</v>
      </c>
      <c r="B23">
        <f t="shared" si="0"/>
        <v>3</v>
      </c>
      <c r="C23">
        <f t="shared" si="1"/>
        <v>0</v>
      </c>
      <c r="D23" t="str">
        <f t="shared" si="2"/>
        <v/>
      </c>
      <c r="E23" t="s">
        <v>58</v>
      </c>
    </row>
    <row r="24" spans="1:5" x14ac:dyDescent="0.2">
      <c r="A24" t="e" cm="1">
        <f t="array" ref="A24">LCM(1,2,3,4,5,6,Jan:Mar!A1:A3,8,9,10)</f>
        <v>#VALUE!</v>
      </c>
      <c r="B24">
        <f t="shared" si="0"/>
        <v>3</v>
      </c>
      <c r="C24">
        <f t="shared" si="1"/>
        <v>0</v>
      </c>
      <c r="D24" t="str">
        <f t="shared" si="2"/>
        <v/>
      </c>
      <c r="E24" t="s">
        <v>59</v>
      </c>
    </row>
    <row r="25" spans="1:5" x14ac:dyDescent="0.2">
      <c r="A25" t="e" cm="1">
        <f t="array" ref="A25">LCM(1,2,3,4,5,6,7,(D!B1:B3,D!C1:C3),9,10)</f>
        <v>#VALUE!</v>
      </c>
      <c r="B25">
        <f t="shared" si="0"/>
        <v>3</v>
      </c>
      <c r="C25">
        <f t="shared" si="1"/>
        <v>0</v>
      </c>
      <c r="D25" t="str">
        <f t="shared" si="2"/>
        <v/>
      </c>
      <c r="E25" t="s">
        <v>60</v>
      </c>
    </row>
    <row r="26" spans="1:5" x14ac:dyDescent="0.2">
      <c r="A26" t="e" cm="1">
        <f t="array" ref="A26">LCM(1,2,3,4,5,6,7,Jan:Mar!A1:A3,9,10)</f>
        <v>#VALUE!</v>
      </c>
      <c r="B26">
        <f t="shared" si="0"/>
        <v>3</v>
      </c>
      <c r="C26">
        <f t="shared" si="1"/>
        <v>0</v>
      </c>
      <c r="D26" t="str">
        <f t="shared" si="2"/>
        <v/>
      </c>
      <c r="E26" t="s">
        <v>61</v>
      </c>
    </row>
    <row r="27" spans="1:5" x14ac:dyDescent="0.2">
      <c r="A27" t="e" cm="1">
        <f t="array" ref="A27">LCM(1,2,3,4,5,6,7,8,(D!B1:B3,D!C1:C3),10)</f>
        <v>#VALUE!</v>
      </c>
      <c r="B27">
        <f t="shared" si="0"/>
        <v>3</v>
      </c>
      <c r="C27">
        <f t="shared" si="1"/>
        <v>0</v>
      </c>
      <c r="D27" t="str">
        <f t="shared" si="2"/>
        <v/>
      </c>
      <c r="E27" t="s">
        <v>62</v>
      </c>
    </row>
    <row r="28" spans="1:5" x14ac:dyDescent="0.2">
      <c r="A28" t="e" cm="1">
        <f t="array" ref="A28">LCM(1,2,3,4,5,6,7,8,Jan:Mar!A1:A3,10)</f>
        <v>#VALUE!</v>
      </c>
      <c r="B28">
        <f t="shared" si="0"/>
        <v>3</v>
      </c>
      <c r="C28">
        <f t="shared" si="1"/>
        <v>0</v>
      </c>
      <c r="D28" t="str">
        <f t="shared" si="2"/>
        <v/>
      </c>
      <c r="E28" t="s">
        <v>63</v>
      </c>
    </row>
    <row r="29" spans="1:5" x14ac:dyDescent="0.2">
      <c r="A29" t="e" cm="1">
        <f t="array" ref="A29">LCM(1,2,3,4,5,6,7,8,9,(D!B1:B3,D!C1:C3))</f>
        <v>#VALUE!</v>
      </c>
      <c r="B29">
        <f t="shared" si="0"/>
        <v>3</v>
      </c>
      <c r="C29">
        <f t="shared" si="1"/>
        <v>0</v>
      </c>
      <c r="D29" t="str">
        <f t="shared" si="2"/>
        <v/>
      </c>
      <c r="E29" t="s">
        <v>64</v>
      </c>
    </row>
    <row r="30" spans="1:5" x14ac:dyDescent="0.2">
      <c r="A30" t="e" cm="1">
        <f t="array" ref="A30">LCM(1,2,3,4,5,6,7,8,9,Jan:Mar!A1:A3)</f>
        <v>#VALUE!</v>
      </c>
      <c r="B30">
        <f t="shared" si="0"/>
        <v>3</v>
      </c>
      <c r="C30">
        <f t="shared" si="1"/>
        <v>0</v>
      </c>
      <c r="D30" t="str">
        <f t="shared" si="2"/>
        <v/>
      </c>
      <c r="E30" t="s">
        <v>65</v>
      </c>
    </row>
    <row r="31" spans="1:5" x14ac:dyDescent="0.2">
      <c r="A31" t="e" cm="1">
        <f t="array" ref="A31">LINEST((D!B1:B3,D!C1:C3),D!R1:S2)</f>
        <v>#REF!</v>
      </c>
      <c r="B31">
        <f t="shared" si="0"/>
        <v>4</v>
      </c>
      <c r="C31">
        <f t="shared" si="1"/>
        <v>0</v>
      </c>
      <c r="D31" t="str">
        <f t="shared" si="2"/>
        <v/>
      </c>
      <c r="E31" t="s">
        <v>66</v>
      </c>
    </row>
    <row r="32" spans="1:5" x14ac:dyDescent="0.2">
      <c r="A32" t="e" cm="1">
        <f t="array" ref="A32">LINEST(Jan:Mar!A1:A3,D!R1:S2)</f>
        <v>#VALUE!</v>
      </c>
      <c r="B32">
        <f t="shared" si="0"/>
        <v>3</v>
      </c>
      <c r="C32">
        <f t="shared" si="1"/>
        <v>0</v>
      </c>
      <c r="D32" t="str">
        <f t="shared" si="2"/>
        <v/>
      </c>
      <c r="E32" t="s">
        <v>67</v>
      </c>
    </row>
    <row r="33" spans="1:5" x14ac:dyDescent="0.2">
      <c r="A33" t="e" cm="1">
        <f t="array" ref="A33">LINEST(D!AY1:AY5,(D!B1:B3,D!C1:C3))</f>
        <v>#REF!</v>
      </c>
      <c r="B33">
        <f t="shared" si="0"/>
        <v>4</v>
      </c>
      <c r="C33">
        <f t="shared" si="1"/>
        <v>0</v>
      </c>
      <c r="D33" t="str">
        <f t="shared" si="2"/>
        <v/>
      </c>
      <c r="E33" t="s">
        <v>68</v>
      </c>
    </row>
    <row r="34" spans="1:5" x14ac:dyDescent="0.2">
      <c r="A34" t="e" cm="1">
        <f t="array" ref="A34">LINEST(D!AY1:AY5,Jan:Mar!A1:A3)</f>
        <v>#VALUE!</v>
      </c>
      <c r="B34">
        <f t="shared" si="0"/>
        <v>3</v>
      </c>
      <c r="C34">
        <f t="shared" si="1"/>
        <v>0</v>
      </c>
      <c r="D34" t="str">
        <f t="shared" si="2"/>
        <v/>
      </c>
      <c r="E34" t="s">
        <v>69</v>
      </c>
    </row>
    <row r="35" spans="1:5" x14ac:dyDescent="0.2">
      <c r="A35" t="e" cm="1">
        <f t="array" ref="A35">LOGEST((D!B1:B3,D!C1:C3),D!K1:K8,100,"aBc")</f>
        <v>#VALUE!</v>
      </c>
      <c r="B35">
        <f t="shared" si="0"/>
        <v>3</v>
      </c>
      <c r="C35">
        <f t="shared" si="1"/>
        <v>0</v>
      </c>
      <c r="D35" t="str">
        <f t="shared" si="2"/>
        <v/>
      </c>
      <c r="E35" t="s">
        <v>70</v>
      </c>
    </row>
    <row r="36" spans="1:5" x14ac:dyDescent="0.2">
      <c r="A36" t="e" cm="1">
        <f t="array" ref="A36">LOGEST(Jan:Mar!A1:A3,D!K1:K8,100,"aBc")</f>
        <v>#VALUE!</v>
      </c>
      <c r="B36">
        <f t="shared" si="0"/>
        <v>3</v>
      </c>
      <c r="C36">
        <f t="shared" si="1"/>
        <v>0</v>
      </c>
      <c r="D36" t="str">
        <f t="shared" si="2"/>
        <v/>
      </c>
      <c r="E36" t="s">
        <v>71</v>
      </c>
    </row>
    <row r="37" spans="1:5" x14ac:dyDescent="0.2">
      <c r="A37" t="e" cm="1">
        <f t="array" ref="A37">LOGEST({1;2;3},(D!B1:B3,D!C1:C3),100,"aBc")</f>
        <v>#VALUE!</v>
      </c>
      <c r="B37">
        <f t="shared" si="0"/>
        <v>3</v>
      </c>
      <c r="C37">
        <f t="shared" si="1"/>
        <v>0</v>
      </c>
      <c r="D37" t="str">
        <f t="shared" si="2"/>
        <v/>
      </c>
      <c r="E37" t="s">
        <v>72</v>
      </c>
    </row>
    <row r="38" spans="1:5" x14ac:dyDescent="0.2">
      <c r="A38" t="e" cm="1">
        <f t="array" ref="A38">LOGEST({1;2;3},Jan:Mar!A1:A3,100,"aBc")</f>
        <v>#VALUE!</v>
      </c>
      <c r="B38">
        <f t="shared" si="0"/>
        <v>3</v>
      </c>
      <c r="C38">
        <f t="shared" si="1"/>
        <v>0</v>
      </c>
      <c r="D38" t="str">
        <f t="shared" si="2"/>
        <v/>
      </c>
      <c r="E38" t="s">
        <v>73</v>
      </c>
    </row>
    <row r="39" spans="1:5" x14ac:dyDescent="0.2">
      <c r="A39" t="e" cm="1">
        <f t="array" ref="A39">LOOKUP(4.19,(D!B1:B3,D!C1:C3),D!N1:N6)</f>
        <v>#N/A</v>
      </c>
      <c r="B39">
        <f t="shared" si="0"/>
        <v>7</v>
      </c>
      <c r="C39">
        <f t="shared" si="1"/>
        <v>0</v>
      </c>
      <c r="D39" t="str">
        <f t="shared" si="2"/>
        <v/>
      </c>
      <c r="E39" t="s">
        <v>74</v>
      </c>
    </row>
    <row r="40" spans="1:5" x14ac:dyDescent="0.2">
      <c r="A40" t="e" cm="1">
        <f t="array" ref="A40">LOOKUP(4.19,Jan:Mar!A1:A3,D!N1:N6)</f>
        <v>#VALUE!</v>
      </c>
      <c r="B40">
        <f t="shared" si="0"/>
        <v>3</v>
      </c>
      <c r="C40">
        <f t="shared" si="1"/>
        <v>0</v>
      </c>
      <c r="D40" t="str">
        <f t="shared" si="2"/>
        <v/>
      </c>
      <c r="E40" t="s">
        <v>75</v>
      </c>
    </row>
    <row r="41" spans="1:5" x14ac:dyDescent="0.2">
      <c r="A41" t="e" cm="1">
        <f t="array" ref="A41">LOOKUP(4.19,D!L1:L6,(D!B1:B3,D!C1:C3))</f>
        <v>#N/A</v>
      </c>
      <c r="B41">
        <f t="shared" si="0"/>
        <v>7</v>
      </c>
      <c r="C41">
        <f t="shared" si="1"/>
        <v>0</v>
      </c>
      <c r="D41" t="str">
        <f t="shared" si="2"/>
        <v/>
      </c>
      <c r="E41" t="s">
        <v>76</v>
      </c>
    </row>
    <row r="42" spans="1:5" x14ac:dyDescent="0.2">
      <c r="A42" t="e" cm="1">
        <f t="array" ref="A42">LOOKUP(4.19,D!L1:L6,Jan:Mar!A1:A3)</f>
        <v>#VALUE!</v>
      </c>
      <c r="B42">
        <f t="shared" si="0"/>
        <v>3</v>
      </c>
      <c r="C42">
        <f t="shared" si="1"/>
        <v>0</v>
      </c>
      <c r="D42" t="str">
        <f t="shared" si="2"/>
        <v/>
      </c>
      <c r="E42" t="s">
        <v>77</v>
      </c>
    </row>
    <row r="43" spans="1:5" x14ac:dyDescent="0.2">
      <c r="A43" t="e" cm="1">
        <f t="array" ref="A43">MATCH(5,(D!B1:B3,D!C1:C3),0)</f>
        <v>#N/A</v>
      </c>
      <c r="B43">
        <f t="shared" si="0"/>
        <v>7</v>
      </c>
      <c r="C43">
        <f t="shared" si="1"/>
        <v>0</v>
      </c>
      <c r="D43" t="str">
        <f t="shared" si="2"/>
        <v/>
      </c>
      <c r="E43" t="s">
        <v>78</v>
      </c>
    </row>
    <row r="44" spans="1:5" x14ac:dyDescent="0.2">
      <c r="A44" t="e" cm="1">
        <f t="array" ref="A44">MATCH(5,Jan:Mar!A1:A3,0)</f>
        <v>#VALUE!</v>
      </c>
      <c r="B44">
        <f t="shared" si="0"/>
        <v>3</v>
      </c>
      <c r="C44">
        <f t="shared" si="1"/>
        <v>0</v>
      </c>
      <c r="D44" t="str">
        <f t="shared" si="2"/>
        <v/>
      </c>
      <c r="E44" t="s">
        <v>79</v>
      </c>
    </row>
    <row r="45" spans="1:5" x14ac:dyDescent="0.2">
      <c r="A45" t="e" cm="1">
        <f t="array" ref="A45">MATCH(5,D!L1:L6,(D!B1:B3,D!C1:C3))</f>
        <v>#REF!</v>
      </c>
      <c r="B45">
        <f t="shared" si="0"/>
        <v>4</v>
      </c>
      <c r="C45">
        <f t="shared" si="1"/>
        <v>0</v>
      </c>
      <c r="D45" t="str">
        <f t="shared" si="2"/>
        <v/>
      </c>
      <c r="E45" t="s">
        <v>80</v>
      </c>
    </row>
    <row r="46" spans="1:5" x14ac:dyDescent="0.2">
      <c r="A46" t="e" cm="1">
        <f t="array" ref="A46">MATCH(5,D!L1:L6,Jan:Mar!A1:A3)</f>
        <v>#VALUE!</v>
      </c>
      <c r="B46">
        <f t="shared" si="0"/>
        <v>3</v>
      </c>
      <c r="C46">
        <f t="shared" si="1"/>
        <v>0</v>
      </c>
      <c r="D46" t="str">
        <f t="shared" si="2"/>
        <v/>
      </c>
      <c r="E46" t="s">
        <v>81</v>
      </c>
    </row>
    <row r="47" spans="1:5" x14ac:dyDescent="0.2">
      <c r="A47" cm="1">
        <f t="array" ref="A47">MAX((D!B1:B3,D!C1:C3),7,9,27,2)</f>
        <v>27</v>
      </c>
      <c r="B47">
        <f t="shared" si="0"/>
        <v>0</v>
      </c>
      <c r="C47">
        <f t="shared" si="1"/>
        <v>27</v>
      </c>
      <c r="D47" t="str">
        <f t="shared" si="2"/>
        <v/>
      </c>
      <c r="E47" t="s">
        <v>82</v>
      </c>
    </row>
    <row r="48" spans="1:5" x14ac:dyDescent="0.2">
      <c r="A48" cm="1">
        <f t="array" ref="A48">MAX(Jan:Mar!A1:A3,7,9,27,2)</f>
        <v>27</v>
      </c>
      <c r="B48">
        <f t="shared" si="0"/>
        <v>0</v>
      </c>
      <c r="C48">
        <f t="shared" si="1"/>
        <v>27</v>
      </c>
      <c r="D48" t="str">
        <f t="shared" si="2"/>
        <v/>
      </c>
      <c r="E48" t="s">
        <v>83</v>
      </c>
    </row>
    <row r="49" spans="1:5" x14ac:dyDescent="0.2">
      <c r="A49" cm="1">
        <f t="array" ref="A49">MAX(10,(D!B1:B3,D!C1:C3),9,27,2)</f>
        <v>27</v>
      </c>
      <c r="B49">
        <f t="shared" si="0"/>
        <v>0</v>
      </c>
      <c r="C49">
        <f t="shared" si="1"/>
        <v>27</v>
      </c>
      <c r="D49" t="str">
        <f t="shared" si="2"/>
        <v/>
      </c>
      <c r="E49" t="s">
        <v>84</v>
      </c>
    </row>
    <row r="50" spans="1:5" x14ac:dyDescent="0.2">
      <c r="A50" cm="1">
        <f t="array" ref="A50">MAX(10,Jan:Mar!A1:A3,9,27,2)</f>
        <v>27</v>
      </c>
      <c r="B50">
        <f t="shared" si="0"/>
        <v>0</v>
      </c>
      <c r="C50">
        <f t="shared" si="1"/>
        <v>27</v>
      </c>
      <c r="D50" t="str">
        <f t="shared" si="2"/>
        <v/>
      </c>
      <c r="E50" t="s">
        <v>85</v>
      </c>
    </row>
    <row r="51" spans="1:5" x14ac:dyDescent="0.2">
      <c r="A51" cm="1">
        <f t="array" ref="A51">MAX(10,7,(D!B1:B3,D!C1:C3),27,2)</f>
        <v>27</v>
      </c>
      <c r="B51">
        <f t="shared" si="0"/>
        <v>0</v>
      </c>
      <c r="C51">
        <f t="shared" si="1"/>
        <v>27</v>
      </c>
      <c r="D51" t="str">
        <f t="shared" si="2"/>
        <v/>
      </c>
      <c r="E51" t="s">
        <v>86</v>
      </c>
    </row>
    <row r="52" spans="1:5" x14ac:dyDescent="0.2">
      <c r="A52" cm="1">
        <f t="array" ref="A52">MAX(10,7,Jan:Mar!A1:A3,27,2)</f>
        <v>27</v>
      </c>
      <c r="B52">
        <f t="shared" si="0"/>
        <v>0</v>
      </c>
      <c r="C52">
        <f t="shared" si="1"/>
        <v>27</v>
      </c>
      <c r="D52" t="str">
        <f t="shared" si="2"/>
        <v/>
      </c>
      <c r="E52" t="s">
        <v>87</v>
      </c>
    </row>
    <row r="53" spans="1:5" x14ac:dyDescent="0.2">
      <c r="A53" cm="1">
        <f t="array" ref="A53">MAX(10,7,9,(D!B1:B3,D!C1:C3),2)</f>
        <v>15</v>
      </c>
      <c r="B53">
        <f t="shared" si="0"/>
        <v>0</v>
      </c>
      <c r="C53">
        <f t="shared" si="1"/>
        <v>15</v>
      </c>
      <c r="D53" t="str">
        <f t="shared" si="2"/>
        <v/>
      </c>
      <c r="E53" t="s">
        <v>88</v>
      </c>
    </row>
    <row r="54" spans="1:5" x14ac:dyDescent="0.2">
      <c r="A54" cm="1">
        <f t="array" ref="A54">MAX(10,7,9,Jan:Mar!A1:A3,2)</f>
        <v>10</v>
      </c>
      <c r="B54">
        <f t="shared" si="0"/>
        <v>0</v>
      </c>
      <c r="C54">
        <f t="shared" si="1"/>
        <v>10</v>
      </c>
      <c r="D54" t="str">
        <f t="shared" si="2"/>
        <v/>
      </c>
      <c r="E54" t="s">
        <v>89</v>
      </c>
    </row>
    <row r="55" spans="1:5" x14ac:dyDescent="0.2">
      <c r="A55" cm="1">
        <f t="array" ref="A55">MAX(10,7,9,27,(D!B1:B3,D!C1:C3))</f>
        <v>27</v>
      </c>
      <c r="B55">
        <f t="shared" si="0"/>
        <v>0</v>
      </c>
      <c r="C55">
        <f t="shared" si="1"/>
        <v>27</v>
      </c>
      <c r="D55" t="str">
        <f t="shared" si="2"/>
        <v/>
      </c>
      <c r="E55" t="s">
        <v>90</v>
      </c>
    </row>
    <row r="56" spans="1:5" x14ac:dyDescent="0.2">
      <c r="A56" cm="1">
        <f t="array" ref="A56">MAX(10,7,9,27,Jan:Mar!A1:A3)</f>
        <v>27</v>
      </c>
      <c r="B56">
        <f t="shared" si="0"/>
        <v>0</v>
      </c>
      <c r="C56">
        <f t="shared" si="1"/>
        <v>27</v>
      </c>
      <c r="D56" t="str">
        <f t="shared" si="2"/>
        <v/>
      </c>
      <c r="E56" t="s">
        <v>91</v>
      </c>
    </row>
    <row r="57" spans="1:5" x14ac:dyDescent="0.2">
      <c r="A57" cm="1">
        <f t="array" ref="A57">MAXA((D!B1:B3,D!C1:C3),7,9,27,2)</f>
        <v>27</v>
      </c>
      <c r="B57">
        <f t="shared" si="0"/>
        <v>0</v>
      </c>
      <c r="C57">
        <f t="shared" si="1"/>
        <v>27</v>
      </c>
      <c r="D57" t="str">
        <f t="shared" si="2"/>
        <v/>
      </c>
      <c r="E57" t="s">
        <v>92</v>
      </c>
    </row>
    <row r="58" spans="1:5" x14ac:dyDescent="0.2">
      <c r="A58" cm="1">
        <f t="array" ref="A58">MAXA(Jan:Mar!A1:A3,7,9,27,2)</f>
        <v>27</v>
      </c>
      <c r="B58">
        <f t="shared" si="0"/>
        <v>0</v>
      </c>
      <c r="C58">
        <f t="shared" si="1"/>
        <v>27</v>
      </c>
      <c r="D58" t="str">
        <f t="shared" si="2"/>
        <v/>
      </c>
      <c r="E58" t="s">
        <v>93</v>
      </c>
    </row>
    <row r="59" spans="1:5" x14ac:dyDescent="0.2">
      <c r="A59" cm="1">
        <f t="array" ref="A59">MAXA(10,(D!B1:B3,D!C1:C3),9,27,2)</f>
        <v>27</v>
      </c>
      <c r="B59">
        <f t="shared" si="0"/>
        <v>0</v>
      </c>
      <c r="C59">
        <f t="shared" si="1"/>
        <v>27</v>
      </c>
      <c r="D59" t="str">
        <f t="shared" si="2"/>
        <v/>
      </c>
      <c r="E59" t="s">
        <v>94</v>
      </c>
    </row>
    <row r="60" spans="1:5" x14ac:dyDescent="0.2">
      <c r="A60" cm="1">
        <f t="array" ref="A60">MAXA(10,Jan:Mar!A1:A3,9,27,2)</f>
        <v>27</v>
      </c>
      <c r="B60">
        <f t="shared" si="0"/>
        <v>0</v>
      </c>
      <c r="C60">
        <f t="shared" si="1"/>
        <v>27</v>
      </c>
      <c r="D60" t="str">
        <f t="shared" si="2"/>
        <v/>
      </c>
      <c r="E60" t="s">
        <v>95</v>
      </c>
    </row>
    <row r="61" spans="1:5" x14ac:dyDescent="0.2">
      <c r="A61" cm="1">
        <f t="array" ref="A61">MAXA(10,7,(D!B1:B3,D!C1:C3),27,2)</f>
        <v>27</v>
      </c>
      <c r="B61">
        <f t="shared" si="0"/>
        <v>0</v>
      </c>
      <c r="C61">
        <f t="shared" si="1"/>
        <v>27</v>
      </c>
      <c r="D61" t="str">
        <f t="shared" si="2"/>
        <v/>
      </c>
      <c r="E61" t="s">
        <v>96</v>
      </c>
    </row>
    <row r="62" spans="1:5" x14ac:dyDescent="0.2">
      <c r="A62" cm="1">
        <f t="array" ref="A62">MAXA(10,7,Jan:Mar!A1:A3,27,2)</f>
        <v>27</v>
      </c>
      <c r="B62">
        <f t="shared" si="0"/>
        <v>0</v>
      </c>
      <c r="C62">
        <f t="shared" si="1"/>
        <v>27</v>
      </c>
      <c r="D62" t="str">
        <f t="shared" si="2"/>
        <v/>
      </c>
      <c r="E62" t="s">
        <v>97</v>
      </c>
    </row>
    <row r="63" spans="1:5" x14ac:dyDescent="0.2">
      <c r="A63" cm="1">
        <f t="array" ref="A63">MAXA(10,7,9,(D!B1:B3,D!C1:C3),2)</f>
        <v>15</v>
      </c>
      <c r="B63">
        <f t="shared" si="0"/>
        <v>0</v>
      </c>
      <c r="C63">
        <f t="shared" si="1"/>
        <v>15</v>
      </c>
      <c r="D63" t="str">
        <f t="shared" si="2"/>
        <v/>
      </c>
      <c r="E63" t="s">
        <v>98</v>
      </c>
    </row>
    <row r="64" spans="1:5" x14ac:dyDescent="0.2">
      <c r="A64" cm="1">
        <f t="array" ref="A64">MAXA(10,7,9,Jan:Mar!A1:A3,2)</f>
        <v>10</v>
      </c>
      <c r="B64">
        <f t="shared" si="0"/>
        <v>0</v>
      </c>
      <c r="C64">
        <f t="shared" si="1"/>
        <v>10</v>
      </c>
      <c r="D64" t="str">
        <f t="shared" si="2"/>
        <v/>
      </c>
      <c r="E64" t="s">
        <v>99</v>
      </c>
    </row>
    <row r="65" spans="1:5" x14ac:dyDescent="0.2">
      <c r="A65" cm="1">
        <f t="array" ref="A65">MAXA(10,7,9,27,(D!B1:B3,D!C1:C3))</f>
        <v>27</v>
      </c>
      <c r="B65">
        <f t="shared" ref="B65:B128" si="3">IF(ISERROR(A65),ERROR.TYPE(A65),IF(ISNUMBER(A65),0,IF(ISLOGICAL(A65),IF(A65,-1,-2),IF(ISTEXT(A65),-3,-4))))</f>
        <v>0</v>
      </c>
      <c r="C65">
        <f t="shared" ref="C65:C128" si="4">IF(ISNUMBER(A65),A65,0)</f>
        <v>27</v>
      </c>
      <c r="D65" t="str">
        <f t="shared" ref="D65:D128" si="5">IF(ISTEXT(A65),A65,"")</f>
        <v/>
      </c>
      <c r="E65" t="s">
        <v>100</v>
      </c>
    </row>
    <row r="66" spans="1:5" x14ac:dyDescent="0.2">
      <c r="A66" cm="1">
        <f t="array" ref="A66">MAXA(10,7,9,27,Jan:Mar!A1:A3)</f>
        <v>27</v>
      </c>
      <c r="B66">
        <f t="shared" si="3"/>
        <v>0</v>
      </c>
      <c r="C66">
        <f t="shared" si="4"/>
        <v>27</v>
      </c>
      <c r="D66" t="str">
        <f t="shared" si="5"/>
        <v/>
      </c>
      <c r="E66" t="s">
        <v>101</v>
      </c>
    </row>
    <row r="67" spans="1:5" x14ac:dyDescent="0.2">
      <c r="A67" t="e" cm="1">
        <f t="array" ref="A67">_xlfn.MAXIFS((D!B1:B3,D!C1:C3),D!F1:F7,"Ар*",D!G1:G7,"&gt;1")</f>
        <v>#VALUE!</v>
      </c>
      <c r="B67">
        <f t="shared" si="3"/>
        <v>3</v>
      </c>
      <c r="C67">
        <f t="shared" si="4"/>
        <v>0</v>
      </c>
      <c r="D67" t="str">
        <f t="shared" si="5"/>
        <v/>
      </c>
      <c r="E67" t="s">
        <v>102</v>
      </c>
    </row>
    <row r="68" spans="1:5" x14ac:dyDescent="0.2">
      <c r="A68" t="e" cm="1">
        <f t="array" ref="A68">_xlfn.MAXIFS(Jan:Mar!A1:A3,D!F1:F7,"Ар*",D!G1:G7,"&gt;1")</f>
        <v>#VALUE!</v>
      </c>
      <c r="B68">
        <f t="shared" si="3"/>
        <v>3</v>
      </c>
      <c r="C68">
        <f t="shared" si="4"/>
        <v>0</v>
      </c>
      <c r="D68" t="str">
        <f t="shared" si="5"/>
        <v/>
      </c>
      <c r="E68" t="s">
        <v>103</v>
      </c>
    </row>
    <row r="69" spans="1:5" x14ac:dyDescent="0.2">
      <c r="A69" t="e" cm="1">
        <f t="array" ref="A69">_xlfn.MAXIFS(D!G1:G7,(D!B1:B3,D!C1:C3),"Ар*",D!G1:G7,"&gt;1")</f>
        <v>#VALUE!</v>
      </c>
      <c r="B69">
        <f t="shared" si="3"/>
        <v>3</v>
      </c>
      <c r="C69">
        <f t="shared" si="4"/>
        <v>0</v>
      </c>
      <c r="D69" t="str">
        <f t="shared" si="5"/>
        <v/>
      </c>
      <c r="E69" t="s">
        <v>104</v>
      </c>
    </row>
    <row r="70" spans="1:5" x14ac:dyDescent="0.2">
      <c r="A70" t="e" cm="1">
        <f t="array" ref="A70">_xlfn.MAXIFS(D!G1:G7,Jan:Mar!A1:A3,"Ар*",D!G1:G7,"&gt;1")</f>
        <v>#VALUE!</v>
      </c>
      <c r="B70">
        <f t="shared" si="3"/>
        <v>3</v>
      </c>
      <c r="C70">
        <f t="shared" si="4"/>
        <v>0</v>
      </c>
      <c r="D70" t="str">
        <f t="shared" si="5"/>
        <v/>
      </c>
      <c r="E70" t="s">
        <v>105</v>
      </c>
    </row>
    <row r="71" spans="1:5" x14ac:dyDescent="0.2">
      <c r="A71" t="e" cm="1">
        <f t="array" ref="A71">_xlfn.MAXIFS(D!G1:G7,D!F1:F7,"Ар*",(D!B1:B3,D!C1:C3),"&gt;1")</f>
        <v>#VALUE!</v>
      </c>
      <c r="B71">
        <f t="shared" si="3"/>
        <v>3</v>
      </c>
      <c r="C71">
        <f t="shared" si="4"/>
        <v>0</v>
      </c>
      <c r="D71" t="str">
        <f t="shared" si="5"/>
        <v/>
      </c>
      <c r="E71" t="s">
        <v>106</v>
      </c>
    </row>
    <row r="72" spans="1:5" x14ac:dyDescent="0.2">
      <c r="A72" t="e" cm="1">
        <f t="array" ref="A72">_xlfn.MAXIFS(D!G1:G7,D!F1:F7,"Ар*",Jan:Mar!A1:A3,"&gt;1")</f>
        <v>#VALUE!</v>
      </c>
      <c r="B72">
        <f t="shared" si="3"/>
        <v>3</v>
      </c>
      <c r="C72">
        <f t="shared" si="4"/>
        <v>0</v>
      </c>
      <c r="D72" t="str">
        <f t="shared" si="5"/>
        <v/>
      </c>
      <c r="E72" t="s">
        <v>107</v>
      </c>
    </row>
    <row r="73" spans="1:5" x14ac:dyDescent="0.2">
      <c r="A73" t="e" cm="1">
        <f t="array" ref="A73">MDETERM((D!B1:B3,D!C1:C3))</f>
        <v>#VALUE!</v>
      </c>
      <c r="B73">
        <f t="shared" si="3"/>
        <v>3</v>
      </c>
      <c r="C73">
        <f t="shared" si="4"/>
        <v>0</v>
      </c>
      <c r="D73" t="str">
        <f t="shared" si="5"/>
        <v/>
      </c>
      <c r="E73" t="s">
        <v>108</v>
      </c>
    </row>
    <row r="74" spans="1:5" x14ac:dyDescent="0.2">
      <c r="A74" t="e" cm="1">
        <f t="array" ref="A74">MDETERM(Jan:Mar!A1:A3)</f>
        <v>#REF!</v>
      </c>
      <c r="B74">
        <f t="shared" si="3"/>
        <v>4</v>
      </c>
      <c r="C74">
        <f t="shared" si="4"/>
        <v>0</v>
      </c>
      <c r="D74" t="str">
        <f t="shared" si="5"/>
        <v/>
      </c>
      <c r="E74" t="s">
        <v>109</v>
      </c>
    </row>
    <row r="75" spans="1:5" x14ac:dyDescent="0.2">
      <c r="A75" t="e" cm="1">
        <f t="array" ref="A75">MDURATION((D!B1:B3,D!C1:C3),DATE(2048,1,1),0.08,0.09,2,1)</f>
        <v>#VALUE!</v>
      </c>
      <c r="B75">
        <f t="shared" si="3"/>
        <v>3</v>
      </c>
      <c r="C75">
        <f t="shared" si="4"/>
        <v>0</v>
      </c>
      <c r="D75" t="str">
        <f t="shared" si="5"/>
        <v/>
      </c>
      <c r="E75" t="s">
        <v>110</v>
      </c>
    </row>
    <row r="76" spans="1:5" x14ac:dyDescent="0.2">
      <c r="A76" t="e" cm="1">
        <f t="array" ref="A76">MDURATION(Jan:Mar!A1:A3,DATE(2048,1,1),0.08,0.09,2,1)</f>
        <v>#VALUE!</v>
      </c>
      <c r="B76">
        <f t="shared" si="3"/>
        <v>3</v>
      </c>
      <c r="C76">
        <f t="shared" si="4"/>
        <v>0</v>
      </c>
      <c r="D76" t="str">
        <f t="shared" si="5"/>
        <v/>
      </c>
      <c r="E76" t="s">
        <v>111</v>
      </c>
    </row>
    <row r="77" spans="1:5" x14ac:dyDescent="0.2">
      <c r="A77" t="e" cm="1">
        <f t="array" ref="A77">MDURATION(D!B1:B2,(D!B1:B3,D!C1:C3),0.08,0.09,2,1)</f>
        <v>#VALUE!</v>
      </c>
      <c r="B77">
        <f t="shared" si="3"/>
        <v>3</v>
      </c>
      <c r="C77">
        <f t="shared" si="4"/>
        <v>0</v>
      </c>
      <c r="D77" t="str">
        <f t="shared" si="5"/>
        <v/>
      </c>
      <c r="E77" t="s">
        <v>112</v>
      </c>
    </row>
    <row r="78" spans="1:5" x14ac:dyDescent="0.2">
      <c r="A78" t="e" cm="1">
        <f t="array" ref="A78">MDURATION(D!B1:B2,Jan:Mar!A1:A3,0.08,0.09,2,1)</f>
        <v>#VALUE!</v>
      </c>
      <c r="B78">
        <f t="shared" si="3"/>
        <v>3</v>
      </c>
      <c r="C78">
        <f t="shared" si="4"/>
        <v>0</v>
      </c>
      <c r="D78" t="str">
        <f t="shared" si="5"/>
        <v/>
      </c>
      <c r="E78" t="s">
        <v>113</v>
      </c>
    </row>
    <row r="79" spans="1:5" x14ac:dyDescent="0.2">
      <c r="A79" cm="1">
        <f t="array" ref="A79">MEDIAN((D!B1:B3,D!C1:C3),2,3,4,5)</f>
        <v>4.5</v>
      </c>
      <c r="B79">
        <f t="shared" si="3"/>
        <v>0</v>
      </c>
      <c r="C79">
        <f t="shared" si="4"/>
        <v>4.5</v>
      </c>
      <c r="D79" t="str">
        <f t="shared" si="5"/>
        <v/>
      </c>
      <c r="E79" t="s">
        <v>114</v>
      </c>
    </row>
    <row r="80" spans="1:5" x14ac:dyDescent="0.2">
      <c r="A80" cm="1">
        <f t="array" ref="A80">MEDIAN(Jan:Mar!A1:A3,2,3,4,5)</f>
        <v>4</v>
      </c>
      <c r="B80">
        <f t="shared" si="3"/>
        <v>0</v>
      </c>
      <c r="C80">
        <f t="shared" si="4"/>
        <v>4</v>
      </c>
      <c r="D80" t="str">
        <f t="shared" si="5"/>
        <v/>
      </c>
      <c r="E80" t="s">
        <v>115</v>
      </c>
    </row>
    <row r="81" spans="1:5" x14ac:dyDescent="0.2">
      <c r="A81" cm="1">
        <f t="array" ref="A81">MEDIAN(1,(D!B1:B3,D!C1:C3),3,4,5)</f>
        <v>4.5</v>
      </c>
      <c r="B81">
        <f t="shared" si="3"/>
        <v>0</v>
      </c>
      <c r="C81">
        <f t="shared" si="4"/>
        <v>4.5</v>
      </c>
      <c r="D81" t="str">
        <f t="shared" si="5"/>
        <v/>
      </c>
      <c r="E81" t="s">
        <v>116</v>
      </c>
    </row>
    <row r="82" spans="1:5" x14ac:dyDescent="0.2">
      <c r="A82" cm="1">
        <f t="array" ref="A82">MEDIAN(1,Jan:Mar!A1:A3,3,4,5)</f>
        <v>4</v>
      </c>
      <c r="B82">
        <f t="shared" si="3"/>
        <v>0</v>
      </c>
      <c r="C82">
        <f t="shared" si="4"/>
        <v>4</v>
      </c>
      <c r="D82" t="str">
        <f t="shared" si="5"/>
        <v/>
      </c>
      <c r="E82" t="s">
        <v>117</v>
      </c>
    </row>
    <row r="83" spans="1:5" x14ac:dyDescent="0.2">
      <c r="A83" cm="1">
        <f t="array" ref="A83">MEDIAN(1,2,(D!B1:B3,D!C1:C3),4,5)</f>
        <v>4.5</v>
      </c>
      <c r="B83">
        <f t="shared" si="3"/>
        <v>0</v>
      </c>
      <c r="C83">
        <f t="shared" si="4"/>
        <v>4.5</v>
      </c>
      <c r="D83" t="str">
        <f t="shared" si="5"/>
        <v/>
      </c>
      <c r="E83" t="s">
        <v>118</v>
      </c>
    </row>
    <row r="84" spans="1:5" x14ac:dyDescent="0.2">
      <c r="A84" cm="1">
        <f t="array" ref="A84">MEDIAN(1,2,Jan:Mar!A1:A3,4,5)</f>
        <v>4</v>
      </c>
      <c r="B84">
        <f t="shared" si="3"/>
        <v>0</v>
      </c>
      <c r="C84">
        <f t="shared" si="4"/>
        <v>4</v>
      </c>
      <c r="D84" t="str">
        <f t="shared" si="5"/>
        <v/>
      </c>
      <c r="E84" t="s">
        <v>119</v>
      </c>
    </row>
    <row r="85" spans="1:5" x14ac:dyDescent="0.2">
      <c r="A85" cm="1">
        <f t="array" ref="A85">MEDIAN(1,2,3,(D!B1:B3,D!C1:C3),5)</f>
        <v>4.5</v>
      </c>
      <c r="B85">
        <f t="shared" si="3"/>
        <v>0</v>
      </c>
      <c r="C85">
        <f t="shared" si="4"/>
        <v>4.5</v>
      </c>
      <c r="D85" t="str">
        <f t="shared" si="5"/>
        <v/>
      </c>
      <c r="E85" t="s">
        <v>120</v>
      </c>
    </row>
    <row r="86" spans="1:5" x14ac:dyDescent="0.2">
      <c r="A86" cm="1">
        <f t="array" ref="A86">MEDIAN(1,2,3,Jan:Mar!A1:A3,5)</f>
        <v>4</v>
      </c>
      <c r="B86">
        <f t="shared" si="3"/>
        <v>0</v>
      </c>
      <c r="C86">
        <f t="shared" si="4"/>
        <v>4</v>
      </c>
      <c r="D86" t="str">
        <f t="shared" si="5"/>
        <v/>
      </c>
      <c r="E86" t="s">
        <v>121</v>
      </c>
    </row>
    <row r="87" spans="1:5" x14ac:dyDescent="0.2">
      <c r="A87" cm="1">
        <f t="array" ref="A87">MEDIAN(1,2,3,4,(D!B1:B3,D!C1:C3))</f>
        <v>4</v>
      </c>
      <c r="B87">
        <f t="shared" si="3"/>
        <v>0</v>
      </c>
      <c r="C87">
        <f t="shared" si="4"/>
        <v>4</v>
      </c>
      <c r="D87" t="str">
        <f t="shared" si="5"/>
        <v/>
      </c>
      <c r="E87" t="s">
        <v>122</v>
      </c>
    </row>
    <row r="88" spans="1:5" x14ac:dyDescent="0.2">
      <c r="A88" cm="1">
        <f t="array" ref="A88">MEDIAN(1,2,3,4,Jan:Mar!A1:A3)</f>
        <v>4</v>
      </c>
      <c r="B88">
        <f t="shared" si="3"/>
        <v>0</v>
      </c>
      <c r="C88">
        <f t="shared" si="4"/>
        <v>4</v>
      </c>
      <c r="D88" t="str">
        <f t="shared" si="5"/>
        <v/>
      </c>
      <c r="E88" t="s">
        <v>123</v>
      </c>
    </row>
    <row r="89" spans="1:5" x14ac:dyDescent="0.2">
      <c r="A89" cm="1">
        <f t="array" ref="A89">MIN((D!B1:B3,D!C1:C3),7,9,27,2)</f>
        <v>2</v>
      </c>
      <c r="B89">
        <f t="shared" si="3"/>
        <v>0</v>
      </c>
      <c r="C89">
        <f t="shared" si="4"/>
        <v>2</v>
      </c>
      <c r="D89" t="str">
        <f t="shared" si="5"/>
        <v/>
      </c>
      <c r="E89" t="s">
        <v>124</v>
      </c>
    </row>
    <row r="90" spans="1:5" x14ac:dyDescent="0.2">
      <c r="A90" cm="1">
        <f t="array" ref="A90">MIN(Jan:Mar!A1:A3,7,9,27,2)</f>
        <v>1</v>
      </c>
      <c r="B90">
        <f t="shared" si="3"/>
        <v>0</v>
      </c>
      <c r="C90">
        <f t="shared" si="4"/>
        <v>1</v>
      </c>
      <c r="D90" t="str">
        <f t="shared" si="5"/>
        <v/>
      </c>
      <c r="E90" t="s">
        <v>125</v>
      </c>
    </row>
    <row r="91" spans="1:5" x14ac:dyDescent="0.2">
      <c r="A91" cm="1">
        <f t="array" ref="A91">MIN(10,(D!B1:B3,D!C1:C3),9,27,2)</f>
        <v>2</v>
      </c>
      <c r="B91">
        <f t="shared" si="3"/>
        <v>0</v>
      </c>
      <c r="C91">
        <f t="shared" si="4"/>
        <v>2</v>
      </c>
      <c r="D91" t="str">
        <f t="shared" si="5"/>
        <v/>
      </c>
      <c r="E91" t="s">
        <v>126</v>
      </c>
    </row>
    <row r="92" spans="1:5" x14ac:dyDescent="0.2">
      <c r="A92" cm="1">
        <f t="array" ref="A92">MIN(10,Jan:Mar!A1:A3,9,27,2)</f>
        <v>1</v>
      </c>
      <c r="B92">
        <f t="shared" si="3"/>
        <v>0</v>
      </c>
      <c r="C92">
        <f t="shared" si="4"/>
        <v>1</v>
      </c>
      <c r="D92" t="str">
        <f t="shared" si="5"/>
        <v/>
      </c>
      <c r="E92" t="s">
        <v>127</v>
      </c>
    </row>
    <row r="93" spans="1:5" x14ac:dyDescent="0.2">
      <c r="A93" cm="1">
        <f t="array" ref="A93">MIN(10,7,(D!B1:B3,D!C1:C3),27,2)</f>
        <v>2</v>
      </c>
      <c r="B93">
        <f t="shared" si="3"/>
        <v>0</v>
      </c>
      <c r="C93">
        <f t="shared" si="4"/>
        <v>2</v>
      </c>
      <c r="D93" t="str">
        <f t="shared" si="5"/>
        <v/>
      </c>
      <c r="E93" t="s">
        <v>128</v>
      </c>
    </row>
    <row r="94" spans="1:5" x14ac:dyDescent="0.2">
      <c r="A94" cm="1">
        <f t="array" ref="A94">MIN(10,7,Jan:Mar!A1:A3,27,2)</f>
        <v>1</v>
      </c>
      <c r="B94">
        <f t="shared" si="3"/>
        <v>0</v>
      </c>
      <c r="C94">
        <f t="shared" si="4"/>
        <v>1</v>
      </c>
      <c r="D94" t="str">
        <f t="shared" si="5"/>
        <v/>
      </c>
      <c r="E94" t="s">
        <v>129</v>
      </c>
    </row>
    <row r="95" spans="1:5" x14ac:dyDescent="0.2">
      <c r="A95" cm="1">
        <f t="array" ref="A95">MIN(10,7,9,(D!B1:B3,D!C1:C3),2)</f>
        <v>2</v>
      </c>
      <c r="B95">
        <f t="shared" si="3"/>
        <v>0</v>
      </c>
      <c r="C95">
        <f t="shared" si="4"/>
        <v>2</v>
      </c>
      <c r="D95" t="str">
        <f t="shared" si="5"/>
        <v/>
      </c>
      <c r="E95" t="s">
        <v>130</v>
      </c>
    </row>
    <row r="96" spans="1:5" x14ac:dyDescent="0.2">
      <c r="A96" cm="1">
        <f t="array" ref="A96">MIN(10,7,9,Jan:Mar!A1:A3,2)</f>
        <v>1</v>
      </c>
      <c r="B96">
        <f t="shared" si="3"/>
        <v>0</v>
      </c>
      <c r="C96">
        <f t="shared" si="4"/>
        <v>1</v>
      </c>
      <c r="D96" t="str">
        <f t="shared" si="5"/>
        <v/>
      </c>
      <c r="E96" t="s">
        <v>131</v>
      </c>
    </row>
    <row r="97" spans="1:5" x14ac:dyDescent="0.2">
      <c r="A97" cm="1">
        <f t="array" ref="A97">MIN(10,7,9,27,(D!B1:B3,D!C1:C3))</f>
        <v>2</v>
      </c>
      <c r="B97">
        <f t="shared" si="3"/>
        <v>0</v>
      </c>
      <c r="C97">
        <f t="shared" si="4"/>
        <v>2</v>
      </c>
      <c r="D97" t="str">
        <f t="shared" si="5"/>
        <v/>
      </c>
      <c r="E97" t="s">
        <v>132</v>
      </c>
    </row>
    <row r="98" spans="1:5" x14ac:dyDescent="0.2">
      <c r="A98" cm="1">
        <f t="array" ref="A98">MIN(10,7,9,27,Jan:Mar!A1:A3)</f>
        <v>1</v>
      </c>
      <c r="B98">
        <f t="shared" si="3"/>
        <v>0</v>
      </c>
      <c r="C98">
        <f t="shared" si="4"/>
        <v>1</v>
      </c>
      <c r="D98" t="str">
        <f t="shared" si="5"/>
        <v/>
      </c>
      <c r="E98" t="s">
        <v>133</v>
      </c>
    </row>
    <row r="99" spans="1:5" x14ac:dyDescent="0.2">
      <c r="A99" cm="1">
        <f t="array" ref="A99">MINA((D!B1:B3,D!C1:C3),7,9,27,2)</f>
        <v>2</v>
      </c>
      <c r="B99">
        <f t="shared" si="3"/>
        <v>0</v>
      </c>
      <c r="C99">
        <f t="shared" si="4"/>
        <v>2</v>
      </c>
      <c r="D99" t="str">
        <f t="shared" si="5"/>
        <v/>
      </c>
      <c r="E99" t="s">
        <v>134</v>
      </c>
    </row>
    <row r="100" spans="1:5" x14ac:dyDescent="0.2">
      <c r="A100" cm="1">
        <f t="array" ref="A100">MINA(Jan:Mar!A1:A3,7,9,27,2)</f>
        <v>1</v>
      </c>
      <c r="B100">
        <f t="shared" si="3"/>
        <v>0</v>
      </c>
      <c r="C100">
        <f t="shared" si="4"/>
        <v>1</v>
      </c>
      <c r="D100" t="str">
        <f t="shared" si="5"/>
        <v/>
      </c>
      <c r="E100" t="s">
        <v>135</v>
      </c>
    </row>
    <row r="101" spans="1:5" x14ac:dyDescent="0.2">
      <c r="A101" cm="1">
        <f t="array" ref="A101">MINA(10,(D!B1:B3,D!C1:C3),9,27,2)</f>
        <v>2</v>
      </c>
      <c r="B101">
        <f t="shared" si="3"/>
        <v>0</v>
      </c>
      <c r="C101">
        <f t="shared" si="4"/>
        <v>2</v>
      </c>
      <c r="D101" t="str">
        <f t="shared" si="5"/>
        <v/>
      </c>
      <c r="E101" t="s">
        <v>136</v>
      </c>
    </row>
    <row r="102" spans="1:5" x14ac:dyDescent="0.2">
      <c r="A102" cm="1">
        <f t="array" ref="A102">MINA(10,Jan:Mar!A1:A3,9,27,2)</f>
        <v>1</v>
      </c>
      <c r="B102">
        <f t="shared" si="3"/>
        <v>0</v>
      </c>
      <c r="C102">
        <f t="shared" si="4"/>
        <v>1</v>
      </c>
      <c r="D102" t="str">
        <f t="shared" si="5"/>
        <v/>
      </c>
      <c r="E102" t="s">
        <v>137</v>
      </c>
    </row>
    <row r="103" spans="1:5" x14ac:dyDescent="0.2">
      <c r="A103" cm="1">
        <f t="array" ref="A103">MINA(10,7,(D!B1:B3,D!C1:C3),27,2)</f>
        <v>2</v>
      </c>
      <c r="B103">
        <f t="shared" si="3"/>
        <v>0</v>
      </c>
      <c r="C103">
        <f t="shared" si="4"/>
        <v>2</v>
      </c>
      <c r="D103" t="str">
        <f t="shared" si="5"/>
        <v/>
      </c>
      <c r="E103" t="s">
        <v>138</v>
      </c>
    </row>
    <row r="104" spans="1:5" x14ac:dyDescent="0.2">
      <c r="A104" cm="1">
        <f t="array" ref="A104">MINA(10,7,Jan:Mar!A1:A3,27,2)</f>
        <v>1</v>
      </c>
      <c r="B104">
        <f t="shared" si="3"/>
        <v>0</v>
      </c>
      <c r="C104">
        <f t="shared" si="4"/>
        <v>1</v>
      </c>
      <c r="D104" t="str">
        <f t="shared" si="5"/>
        <v/>
      </c>
      <c r="E104" t="s">
        <v>139</v>
      </c>
    </row>
    <row r="105" spans="1:5" x14ac:dyDescent="0.2">
      <c r="A105" cm="1">
        <f t="array" ref="A105">MINA(10,7,9,(D!B1:B3,D!C1:C3),2)</f>
        <v>2</v>
      </c>
      <c r="B105">
        <f t="shared" si="3"/>
        <v>0</v>
      </c>
      <c r="C105">
        <f t="shared" si="4"/>
        <v>2</v>
      </c>
      <c r="D105" t="str">
        <f t="shared" si="5"/>
        <v/>
      </c>
      <c r="E105" t="s">
        <v>140</v>
      </c>
    </row>
    <row r="106" spans="1:5" x14ac:dyDescent="0.2">
      <c r="A106" cm="1">
        <f t="array" ref="A106">MINA(10,7,9,Jan:Mar!A1:A3,2)</f>
        <v>1</v>
      </c>
      <c r="B106">
        <f t="shared" si="3"/>
        <v>0</v>
      </c>
      <c r="C106">
        <f t="shared" si="4"/>
        <v>1</v>
      </c>
      <c r="D106" t="str">
        <f t="shared" si="5"/>
        <v/>
      </c>
      <c r="E106" t="s">
        <v>141</v>
      </c>
    </row>
    <row r="107" spans="1:5" x14ac:dyDescent="0.2">
      <c r="A107" cm="1">
        <f t="array" ref="A107">MINA(10,7,9,27,(D!B1:B3,D!C1:C3))</f>
        <v>2</v>
      </c>
      <c r="B107">
        <f t="shared" si="3"/>
        <v>0</v>
      </c>
      <c r="C107">
        <f t="shared" si="4"/>
        <v>2</v>
      </c>
      <c r="D107" t="str">
        <f t="shared" si="5"/>
        <v/>
      </c>
      <c r="E107" t="s">
        <v>142</v>
      </c>
    </row>
    <row r="108" spans="1:5" x14ac:dyDescent="0.2">
      <c r="A108" cm="1">
        <f t="array" ref="A108">MINA(10,7,9,27,Jan:Mar!A1:A3)</f>
        <v>1</v>
      </c>
      <c r="B108">
        <f t="shared" si="3"/>
        <v>0</v>
      </c>
      <c r="C108">
        <f t="shared" si="4"/>
        <v>1</v>
      </c>
      <c r="D108" t="str">
        <f t="shared" si="5"/>
        <v/>
      </c>
      <c r="E108" t="s">
        <v>143</v>
      </c>
    </row>
    <row r="109" spans="1:5" x14ac:dyDescent="0.2">
      <c r="A109" t="e" cm="1">
        <f t="array" ref="A109">_xlfn.MINIFS((D!B1:B3,D!C1:C3),D!N2,3,D!N2,"2024-02-29",D!I1:I5,"a*")</f>
        <v>#VALUE!</v>
      </c>
      <c r="B109">
        <f t="shared" si="3"/>
        <v>3</v>
      </c>
      <c r="C109">
        <f t="shared" si="4"/>
        <v>0</v>
      </c>
      <c r="D109" t="str">
        <f t="shared" si="5"/>
        <v/>
      </c>
      <c r="E109" t="s">
        <v>144</v>
      </c>
    </row>
    <row r="110" spans="1:5" x14ac:dyDescent="0.2">
      <c r="A110" t="e" cm="1">
        <f t="array" ref="A110">_xlfn.MINIFS(Jan:Mar!A1:A3,D!N2,3,D!N2,"2024-02-29",D!I1:I5,"a*")</f>
        <v>#VALUE!</v>
      </c>
      <c r="B110">
        <f t="shared" si="3"/>
        <v>3</v>
      </c>
      <c r="C110">
        <f t="shared" si="4"/>
        <v>0</v>
      </c>
      <c r="D110" t="str">
        <f t="shared" si="5"/>
        <v/>
      </c>
      <c r="E110" t="s">
        <v>145</v>
      </c>
    </row>
    <row r="111" spans="1:5" x14ac:dyDescent="0.2">
      <c r="A111" t="e" cm="1">
        <f t="array" ref="A111">_xlfn.MINIFS(D!E1:E8,(D!B1:B3,D!C1:C3),3,D!N2,"2024-02-29",D!I1:I5,"a*")</f>
        <v>#VALUE!</v>
      </c>
      <c r="B111">
        <f t="shared" si="3"/>
        <v>3</v>
      </c>
      <c r="C111">
        <f t="shared" si="4"/>
        <v>0</v>
      </c>
      <c r="D111" t="str">
        <f t="shared" si="5"/>
        <v/>
      </c>
      <c r="E111" t="s">
        <v>146</v>
      </c>
    </row>
    <row r="112" spans="1:5" x14ac:dyDescent="0.2">
      <c r="A112" t="e" cm="1">
        <f t="array" ref="A112">_xlfn.MINIFS(D!E1:E8,Jan:Mar!A1:A3,3,D!N2,"2024-02-29",D!I1:I5,"a*")</f>
        <v>#VALUE!</v>
      </c>
      <c r="B112">
        <f t="shared" si="3"/>
        <v>3</v>
      </c>
      <c r="C112">
        <f t="shared" si="4"/>
        <v>0</v>
      </c>
      <c r="D112" t="str">
        <f t="shared" si="5"/>
        <v/>
      </c>
      <c r="E112" t="s">
        <v>147</v>
      </c>
    </row>
    <row r="113" spans="1:5" x14ac:dyDescent="0.2">
      <c r="A113" t="e" cm="1">
        <f t="array" ref="A113">_xlfn.MINIFS(D!E1:E8,D!N2,3,(D!B1:B3,D!C1:C3),"2024-02-29",D!I1:I5,"a*")</f>
        <v>#VALUE!</v>
      </c>
      <c r="B113">
        <f t="shared" si="3"/>
        <v>3</v>
      </c>
      <c r="C113">
        <f t="shared" si="4"/>
        <v>0</v>
      </c>
      <c r="D113" t="str">
        <f t="shared" si="5"/>
        <v/>
      </c>
      <c r="E113" t="s">
        <v>148</v>
      </c>
    </row>
    <row r="114" spans="1:5" x14ac:dyDescent="0.2">
      <c r="A114" t="e" cm="1">
        <f t="array" ref="A114">_xlfn.MINIFS(D!E1:E8,D!N2,3,Jan:Mar!A1:A3,"2024-02-29",D!I1:I5,"a*")</f>
        <v>#VALUE!</v>
      </c>
      <c r="B114">
        <f t="shared" si="3"/>
        <v>3</v>
      </c>
      <c r="C114">
        <f t="shared" si="4"/>
        <v>0</v>
      </c>
      <c r="D114" t="str">
        <f t="shared" si="5"/>
        <v/>
      </c>
      <c r="E114" t="s">
        <v>149</v>
      </c>
    </row>
    <row r="115" spans="1:5" x14ac:dyDescent="0.2">
      <c r="A115" t="e" cm="1">
        <f t="array" ref="A115">_xlfn.MINIFS(D!E1:E8,D!N2,3,D!N2,"2024-02-29",(D!B1:B3,D!C1:C3),"a*")</f>
        <v>#VALUE!</v>
      </c>
      <c r="B115">
        <f t="shared" si="3"/>
        <v>3</v>
      </c>
      <c r="C115">
        <f t="shared" si="4"/>
        <v>0</v>
      </c>
      <c r="D115" t="str">
        <f t="shared" si="5"/>
        <v/>
      </c>
      <c r="E115" t="s">
        <v>150</v>
      </c>
    </row>
    <row r="116" spans="1:5" x14ac:dyDescent="0.2">
      <c r="A116" t="e" cm="1">
        <f t="array" ref="A116">_xlfn.MINIFS(D!E1:E8,D!N2,3,D!N2,"2024-02-29",Jan:Mar!A1:A3,"a*")</f>
        <v>#VALUE!</v>
      </c>
      <c r="B116">
        <f t="shared" si="3"/>
        <v>3</v>
      </c>
      <c r="C116">
        <f t="shared" si="4"/>
        <v>0</v>
      </c>
      <c r="D116" t="str">
        <f t="shared" si="5"/>
        <v/>
      </c>
      <c r="E116" t="s">
        <v>151</v>
      </c>
    </row>
    <row r="117" spans="1:5" x14ac:dyDescent="0.2">
      <c r="A117" t="e" cm="1">
        <f t="array" ref="A117">MINVERSE((D!B1:B3,D!C1:C3))</f>
        <v>#VALUE!</v>
      </c>
      <c r="B117">
        <f t="shared" si="3"/>
        <v>3</v>
      </c>
      <c r="C117">
        <f t="shared" si="4"/>
        <v>0</v>
      </c>
      <c r="D117" t="str">
        <f t="shared" si="5"/>
        <v/>
      </c>
      <c r="E117" t="s">
        <v>152</v>
      </c>
    </row>
    <row r="118" spans="1:5" x14ac:dyDescent="0.2">
      <c r="A118" t="e" cm="1">
        <f t="array" ref="A118">MINVERSE(Jan:Mar!A1:A3)</f>
        <v>#REF!</v>
      </c>
      <c r="B118">
        <f t="shared" si="3"/>
        <v>4</v>
      </c>
      <c r="C118">
        <f t="shared" si="4"/>
        <v>0</v>
      </c>
      <c r="D118" t="str">
        <f t="shared" si="5"/>
        <v/>
      </c>
      <c r="E118" t="s">
        <v>153</v>
      </c>
    </row>
    <row r="119" spans="1:5" x14ac:dyDescent="0.2">
      <c r="A119" t="e" cm="1">
        <f t="array" ref="A119">MIRR((D!B1:B3,D!C1:C3),0.1,0.12)</f>
        <v>#DIV/0!</v>
      </c>
      <c r="B119">
        <f t="shared" si="3"/>
        <v>2</v>
      </c>
      <c r="C119">
        <f t="shared" si="4"/>
        <v>0</v>
      </c>
      <c r="D119" t="str">
        <f t="shared" si="5"/>
        <v/>
      </c>
      <c r="E119" t="s">
        <v>154</v>
      </c>
    </row>
    <row r="120" spans="1:5" x14ac:dyDescent="0.2">
      <c r="A120" t="e" cm="1">
        <f t="array" ref="A120">MIRR(Jan:Mar!A1:A3,0.1,0.12)</f>
        <v>#DIV/0!</v>
      </c>
      <c r="B120">
        <f t="shared" si="3"/>
        <v>2</v>
      </c>
      <c r="C120">
        <f t="shared" si="4"/>
        <v>0</v>
      </c>
      <c r="D120" t="str">
        <f t="shared" si="5"/>
        <v/>
      </c>
      <c r="E120" t="s">
        <v>155</v>
      </c>
    </row>
    <row r="121" spans="1:5" x14ac:dyDescent="0.2">
      <c r="A121" t="e" cm="1">
        <f t="array" ref="A121">MMULT((D!B1:B3,D!C1:C3),{3;4})</f>
        <v>#VALUE!</v>
      </c>
      <c r="B121">
        <f t="shared" si="3"/>
        <v>3</v>
      </c>
      <c r="C121">
        <f t="shared" si="4"/>
        <v>0</v>
      </c>
      <c r="D121" t="str">
        <f t="shared" si="5"/>
        <v/>
      </c>
      <c r="E121" t="s">
        <v>156</v>
      </c>
    </row>
    <row r="122" spans="1:5" x14ac:dyDescent="0.2">
      <c r="A122" t="e" cm="1">
        <f t="array" ref="A122">MMULT(Jan:Mar!A1:A3,{3;4})</f>
        <v>#REF!</v>
      </c>
      <c r="B122">
        <f t="shared" si="3"/>
        <v>4</v>
      </c>
      <c r="C122">
        <f t="shared" si="4"/>
        <v>0</v>
      </c>
      <c r="D122" t="str">
        <f t="shared" si="5"/>
        <v/>
      </c>
      <c r="E122" t="s">
        <v>157</v>
      </c>
    </row>
    <row r="123" spans="1:5" x14ac:dyDescent="0.2">
      <c r="A123" t="e" cm="1">
        <f t="array" ref="A123">MMULT({1,2},(D!B1:B3,D!C1:C3))</f>
        <v>#VALUE!</v>
      </c>
      <c r="B123">
        <f t="shared" si="3"/>
        <v>3</v>
      </c>
      <c r="C123">
        <f t="shared" si="4"/>
        <v>0</v>
      </c>
      <c r="D123" t="str">
        <f t="shared" si="5"/>
        <v/>
      </c>
      <c r="E123" t="s">
        <v>158</v>
      </c>
    </row>
    <row r="124" spans="1:5" x14ac:dyDescent="0.2">
      <c r="A124" t="e" cm="1">
        <f t="array" ref="A124">MMULT({1,2},Jan:Mar!A1:A3)</f>
        <v>#REF!</v>
      </c>
      <c r="B124">
        <f t="shared" si="3"/>
        <v>4</v>
      </c>
      <c r="C124">
        <f t="shared" si="4"/>
        <v>0</v>
      </c>
      <c r="D124" t="str">
        <f t="shared" si="5"/>
        <v/>
      </c>
      <c r="E124" t="s">
        <v>159</v>
      </c>
    </row>
    <row r="125" spans="1:5" x14ac:dyDescent="0.2">
      <c r="A125" t="e" cm="1">
        <f t="array" ref="A125">MODE((D!B1:B3,D!C1:C3),4,4,3,2,4)</f>
        <v>#VALUE!</v>
      </c>
      <c r="B125">
        <f t="shared" si="3"/>
        <v>3</v>
      </c>
      <c r="C125">
        <f t="shared" si="4"/>
        <v>0</v>
      </c>
      <c r="D125" t="str">
        <f t="shared" si="5"/>
        <v/>
      </c>
      <c r="E125" t="s">
        <v>160</v>
      </c>
    </row>
    <row r="126" spans="1:5" x14ac:dyDescent="0.2">
      <c r="A126" t="e" cm="1">
        <f t="array" ref="A126">MODE(Jan:Mar!A1:A3,4,4,3,2,4)</f>
        <v>#REF!</v>
      </c>
      <c r="B126">
        <f t="shared" si="3"/>
        <v>4</v>
      </c>
      <c r="C126">
        <f t="shared" si="4"/>
        <v>0</v>
      </c>
      <c r="D126" t="str">
        <f t="shared" si="5"/>
        <v/>
      </c>
      <c r="E126" t="s">
        <v>161</v>
      </c>
    </row>
    <row r="127" spans="1:5" x14ac:dyDescent="0.2">
      <c r="A127" t="e" cm="1">
        <f t="array" ref="A127">MODE(5.6,(D!B1:B3,D!C1:C3),4,3,2,4)</f>
        <v>#VALUE!</v>
      </c>
      <c r="B127">
        <f t="shared" si="3"/>
        <v>3</v>
      </c>
      <c r="C127">
        <f t="shared" si="4"/>
        <v>0</v>
      </c>
      <c r="D127" t="str">
        <f t="shared" si="5"/>
        <v/>
      </c>
      <c r="E127" t="s">
        <v>162</v>
      </c>
    </row>
    <row r="128" spans="1:5" x14ac:dyDescent="0.2">
      <c r="A128" t="e" cm="1">
        <f t="array" ref="A128">MODE(5.6,Jan:Mar!A1:A3,4,3,2,4)</f>
        <v>#REF!</v>
      </c>
      <c r="B128">
        <f t="shared" si="3"/>
        <v>4</v>
      </c>
      <c r="C128">
        <f t="shared" si="4"/>
        <v>0</v>
      </c>
      <c r="D128" t="str">
        <f t="shared" si="5"/>
        <v/>
      </c>
      <c r="E128" t="s">
        <v>163</v>
      </c>
    </row>
    <row r="129" spans="1:5" x14ac:dyDescent="0.2">
      <c r="A129" t="e" cm="1">
        <f t="array" ref="A129">MODE(5.6,4,(D!B1:B3,D!C1:C3),3,2,4)</f>
        <v>#VALUE!</v>
      </c>
      <c r="B129">
        <f t="shared" ref="B129:B192" si="6">IF(ISERROR(A129),ERROR.TYPE(A129),IF(ISNUMBER(A129),0,IF(ISLOGICAL(A129),IF(A129,-1,-2),IF(ISTEXT(A129),-3,-4))))</f>
        <v>3</v>
      </c>
      <c r="C129">
        <f t="shared" ref="C129:C192" si="7">IF(ISNUMBER(A129),A129,0)</f>
        <v>0</v>
      </c>
      <c r="D129" t="str">
        <f t="shared" ref="D129:D192" si="8">IF(ISTEXT(A129),A129,"")</f>
        <v/>
      </c>
      <c r="E129" t="s">
        <v>164</v>
      </c>
    </row>
    <row r="130" spans="1:5" x14ac:dyDescent="0.2">
      <c r="A130" t="e" cm="1">
        <f t="array" ref="A130">MODE(5.6,4,Jan:Mar!A1:A3,3,2,4)</f>
        <v>#REF!</v>
      </c>
      <c r="B130">
        <f t="shared" si="6"/>
        <v>4</v>
      </c>
      <c r="C130">
        <f t="shared" si="7"/>
        <v>0</v>
      </c>
      <c r="D130" t="str">
        <f t="shared" si="8"/>
        <v/>
      </c>
      <c r="E130" t="s">
        <v>165</v>
      </c>
    </row>
    <row r="131" spans="1:5" x14ac:dyDescent="0.2">
      <c r="A131" t="e" cm="1">
        <f t="array" ref="A131">MODE(5.6,4,4,(D!B1:B3,D!C1:C3),2,4)</f>
        <v>#VALUE!</v>
      </c>
      <c r="B131">
        <f t="shared" si="6"/>
        <v>3</v>
      </c>
      <c r="C131">
        <f t="shared" si="7"/>
        <v>0</v>
      </c>
      <c r="D131" t="str">
        <f t="shared" si="8"/>
        <v/>
      </c>
      <c r="E131" t="s">
        <v>166</v>
      </c>
    </row>
    <row r="132" spans="1:5" x14ac:dyDescent="0.2">
      <c r="A132" t="e" cm="1">
        <f t="array" ref="A132">MODE(5.6,4,4,Jan:Mar!A1:A3,2,4)</f>
        <v>#REF!</v>
      </c>
      <c r="B132">
        <f t="shared" si="6"/>
        <v>4</v>
      </c>
      <c r="C132">
        <f t="shared" si="7"/>
        <v>0</v>
      </c>
      <c r="D132" t="str">
        <f t="shared" si="8"/>
        <v/>
      </c>
      <c r="E132" t="s">
        <v>167</v>
      </c>
    </row>
    <row r="133" spans="1:5" x14ac:dyDescent="0.2">
      <c r="A133" t="e" cm="1">
        <f t="array" ref="A133">MODE(5.6,4,4,3,(D!B1:B3,D!C1:C3),4)</f>
        <v>#VALUE!</v>
      </c>
      <c r="B133">
        <f t="shared" si="6"/>
        <v>3</v>
      </c>
      <c r="C133">
        <f t="shared" si="7"/>
        <v>0</v>
      </c>
      <c r="D133" t="str">
        <f t="shared" si="8"/>
        <v/>
      </c>
      <c r="E133" t="s">
        <v>168</v>
      </c>
    </row>
    <row r="134" spans="1:5" x14ac:dyDescent="0.2">
      <c r="A134" t="e" cm="1">
        <f t="array" ref="A134">MODE(5.6,4,4,3,Jan:Mar!A1:A3,4)</f>
        <v>#REF!</v>
      </c>
      <c r="B134">
        <f t="shared" si="6"/>
        <v>4</v>
      </c>
      <c r="C134">
        <f t="shared" si="7"/>
        <v>0</v>
      </c>
      <c r="D134" t="str">
        <f t="shared" si="8"/>
        <v/>
      </c>
      <c r="E134" t="s">
        <v>169</v>
      </c>
    </row>
    <row r="135" spans="1:5" x14ac:dyDescent="0.2">
      <c r="A135" t="e" cm="1">
        <f t="array" ref="A135">MODE(5.6,4,4,3,2,(D!B1:B3,D!C1:C3))</f>
        <v>#VALUE!</v>
      </c>
      <c r="B135">
        <f t="shared" si="6"/>
        <v>3</v>
      </c>
      <c r="C135">
        <f t="shared" si="7"/>
        <v>0</v>
      </c>
      <c r="D135" t="str">
        <f t="shared" si="8"/>
        <v/>
      </c>
      <c r="E135" t="s">
        <v>170</v>
      </c>
    </row>
    <row r="136" spans="1:5" x14ac:dyDescent="0.2">
      <c r="A136" t="e" cm="1">
        <f t="array" ref="A136">MODE(5.6,4,4,3,2,Jan:Mar!A1:A3)</f>
        <v>#REF!</v>
      </c>
      <c r="B136">
        <f t="shared" si="6"/>
        <v>4</v>
      </c>
      <c r="C136">
        <f t="shared" si="7"/>
        <v>0</v>
      </c>
      <c r="D136" t="str">
        <f t="shared" si="8"/>
        <v/>
      </c>
      <c r="E136" t="s">
        <v>171</v>
      </c>
    </row>
    <row r="137" spans="1:5" x14ac:dyDescent="0.2">
      <c r="A137" t="e" cm="1">
        <f t="array" ref="A137">_xlfn.MODE.MULT((D!B1:B3,D!C1:C3),5)</f>
        <v>#VALUE!</v>
      </c>
      <c r="B137">
        <f t="shared" si="6"/>
        <v>3</v>
      </c>
      <c r="C137">
        <f t="shared" si="7"/>
        <v>0</v>
      </c>
      <c r="D137" t="str">
        <f t="shared" si="8"/>
        <v/>
      </c>
      <c r="E137" t="s">
        <v>172</v>
      </c>
    </row>
    <row r="138" spans="1:5" x14ac:dyDescent="0.2">
      <c r="A138" t="e" cm="1">
        <f t="array" ref="A138">_xlfn.MODE.MULT(Jan:Mar!A1:A3,5)</f>
        <v>#REF!</v>
      </c>
      <c r="B138">
        <f t="shared" si="6"/>
        <v>4</v>
      </c>
      <c r="C138">
        <f t="shared" si="7"/>
        <v>0</v>
      </c>
      <c r="D138" t="str">
        <f t="shared" si="8"/>
        <v/>
      </c>
      <c r="E138" t="s">
        <v>173</v>
      </c>
    </row>
    <row r="139" spans="1:5" x14ac:dyDescent="0.2">
      <c r="A139" t="e" cm="1">
        <f t="array" ref="A139">_xlfn.MODE.MULT(5,(D!B1:B3,D!C1:C3))</f>
        <v>#VALUE!</v>
      </c>
      <c r="B139">
        <f t="shared" si="6"/>
        <v>3</v>
      </c>
      <c r="C139">
        <f t="shared" si="7"/>
        <v>0</v>
      </c>
      <c r="D139" t="str">
        <f t="shared" si="8"/>
        <v/>
      </c>
      <c r="E139" t="s">
        <v>174</v>
      </c>
    </row>
    <row r="140" spans="1:5" x14ac:dyDescent="0.2">
      <c r="A140" t="e" cm="1">
        <f t="array" ref="A140">_xlfn.MODE.MULT(5,Jan:Mar!A1:A3)</f>
        <v>#REF!</v>
      </c>
      <c r="B140">
        <f t="shared" si="6"/>
        <v>4</v>
      </c>
      <c r="C140">
        <f t="shared" si="7"/>
        <v>0</v>
      </c>
      <c r="D140" t="str">
        <f t="shared" si="8"/>
        <v/>
      </c>
      <c r="E140" t="s">
        <v>175</v>
      </c>
    </row>
    <row r="141" spans="1:5" x14ac:dyDescent="0.2">
      <c r="A141" t="e" cm="1">
        <f t="array" ref="A141">_xlfn.MODE.SNGL((D!B1:B3,D!C1:C3),4,4,3,2,4)</f>
        <v>#VALUE!</v>
      </c>
      <c r="B141">
        <f t="shared" si="6"/>
        <v>3</v>
      </c>
      <c r="C141">
        <f t="shared" si="7"/>
        <v>0</v>
      </c>
      <c r="D141" t="str">
        <f t="shared" si="8"/>
        <v/>
      </c>
      <c r="E141" t="s">
        <v>176</v>
      </c>
    </row>
    <row r="142" spans="1:5" x14ac:dyDescent="0.2">
      <c r="A142" t="e" cm="1">
        <f t="array" ref="A142">_xlfn.MODE.SNGL(Jan:Mar!A1:A3,4,4,3,2,4)</f>
        <v>#REF!</v>
      </c>
      <c r="B142">
        <f t="shared" si="6"/>
        <v>4</v>
      </c>
      <c r="C142">
        <f t="shared" si="7"/>
        <v>0</v>
      </c>
      <c r="D142" t="str">
        <f t="shared" si="8"/>
        <v/>
      </c>
      <c r="E142" t="s">
        <v>177</v>
      </c>
    </row>
    <row r="143" spans="1:5" x14ac:dyDescent="0.2">
      <c r="A143" t="e" cm="1">
        <f t="array" ref="A143">_xlfn.MODE.SNGL(5.6,(D!B1:B3,D!C1:C3),4,3,2,4)</f>
        <v>#VALUE!</v>
      </c>
      <c r="B143">
        <f t="shared" si="6"/>
        <v>3</v>
      </c>
      <c r="C143">
        <f t="shared" si="7"/>
        <v>0</v>
      </c>
      <c r="D143" t="str">
        <f t="shared" si="8"/>
        <v/>
      </c>
      <c r="E143" t="s">
        <v>178</v>
      </c>
    </row>
    <row r="144" spans="1:5" x14ac:dyDescent="0.2">
      <c r="A144" t="e" cm="1">
        <f t="array" ref="A144">_xlfn.MODE.SNGL(5.6,Jan:Mar!A1:A3,4,3,2,4)</f>
        <v>#REF!</v>
      </c>
      <c r="B144">
        <f t="shared" si="6"/>
        <v>4</v>
      </c>
      <c r="C144">
        <f t="shared" si="7"/>
        <v>0</v>
      </c>
      <c r="D144" t="str">
        <f t="shared" si="8"/>
        <v/>
      </c>
      <c r="E144" t="s">
        <v>179</v>
      </c>
    </row>
    <row r="145" spans="1:5" x14ac:dyDescent="0.2">
      <c r="A145" t="e" cm="1">
        <f t="array" ref="A145">_xlfn.MODE.SNGL(5.6,4,(D!B1:B3,D!C1:C3),3,2,4)</f>
        <v>#VALUE!</v>
      </c>
      <c r="B145">
        <f t="shared" si="6"/>
        <v>3</v>
      </c>
      <c r="C145">
        <f t="shared" si="7"/>
        <v>0</v>
      </c>
      <c r="D145" t="str">
        <f t="shared" si="8"/>
        <v/>
      </c>
      <c r="E145" t="s">
        <v>180</v>
      </c>
    </row>
    <row r="146" spans="1:5" x14ac:dyDescent="0.2">
      <c r="A146" t="e" cm="1">
        <f t="array" ref="A146">_xlfn.MODE.SNGL(5.6,4,Jan:Mar!A1:A3,3,2,4)</f>
        <v>#REF!</v>
      </c>
      <c r="B146">
        <f t="shared" si="6"/>
        <v>4</v>
      </c>
      <c r="C146">
        <f t="shared" si="7"/>
        <v>0</v>
      </c>
      <c r="D146" t="str">
        <f t="shared" si="8"/>
        <v/>
      </c>
      <c r="E146" t="s">
        <v>181</v>
      </c>
    </row>
    <row r="147" spans="1:5" x14ac:dyDescent="0.2">
      <c r="A147" t="e" cm="1">
        <f t="array" ref="A147">_xlfn.MODE.SNGL(5.6,4,4,(D!B1:B3,D!C1:C3),2,4)</f>
        <v>#VALUE!</v>
      </c>
      <c r="B147">
        <f t="shared" si="6"/>
        <v>3</v>
      </c>
      <c r="C147">
        <f t="shared" si="7"/>
        <v>0</v>
      </c>
      <c r="D147" t="str">
        <f t="shared" si="8"/>
        <v/>
      </c>
      <c r="E147" t="s">
        <v>182</v>
      </c>
    </row>
    <row r="148" spans="1:5" x14ac:dyDescent="0.2">
      <c r="A148" t="e" cm="1">
        <f t="array" ref="A148">_xlfn.MODE.SNGL(5.6,4,4,Jan:Mar!A1:A3,2,4)</f>
        <v>#REF!</v>
      </c>
      <c r="B148">
        <f t="shared" si="6"/>
        <v>4</v>
      </c>
      <c r="C148">
        <f t="shared" si="7"/>
        <v>0</v>
      </c>
      <c r="D148" t="str">
        <f t="shared" si="8"/>
        <v/>
      </c>
      <c r="E148" t="s">
        <v>183</v>
      </c>
    </row>
    <row r="149" spans="1:5" x14ac:dyDescent="0.2">
      <c r="A149" t="e" cm="1">
        <f t="array" ref="A149">_xlfn.MODE.SNGL(5.6,4,4,3,(D!B1:B3,D!C1:C3),4)</f>
        <v>#VALUE!</v>
      </c>
      <c r="B149">
        <f t="shared" si="6"/>
        <v>3</v>
      </c>
      <c r="C149">
        <f t="shared" si="7"/>
        <v>0</v>
      </c>
      <c r="D149" t="str">
        <f t="shared" si="8"/>
        <v/>
      </c>
      <c r="E149" t="s">
        <v>184</v>
      </c>
    </row>
    <row r="150" spans="1:5" x14ac:dyDescent="0.2">
      <c r="A150" t="e" cm="1">
        <f t="array" ref="A150">_xlfn.MODE.SNGL(5.6,4,4,3,Jan:Mar!A1:A3,4)</f>
        <v>#REF!</v>
      </c>
      <c r="B150">
        <f t="shared" si="6"/>
        <v>4</v>
      </c>
      <c r="C150">
        <f t="shared" si="7"/>
        <v>0</v>
      </c>
      <c r="D150" t="str">
        <f t="shared" si="8"/>
        <v/>
      </c>
      <c r="E150" t="s">
        <v>185</v>
      </c>
    </row>
    <row r="151" spans="1:5" x14ac:dyDescent="0.2">
      <c r="A151" t="e" cm="1">
        <f t="array" ref="A151">_xlfn.MODE.SNGL(5.6,4,4,3,2,(D!B1:B3,D!C1:C3))</f>
        <v>#VALUE!</v>
      </c>
      <c r="B151">
        <f t="shared" si="6"/>
        <v>3</v>
      </c>
      <c r="C151">
        <f t="shared" si="7"/>
        <v>0</v>
      </c>
      <c r="D151" t="str">
        <f t="shared" si="8"/>
        <v/>
      </c>
      <c r="E151" t="s">
        <v>186</v>
      </c>
    </row>
    <row r="152" spans="1:5" x14ac:dyDescent="0.2">
      <c r="A152" t="e" cm="1">
        <f t="array" ref="A152">_xlfn.MODE.SNGL(5.6,4,4,3,2,Jan:Mar!A1:A3)</f>
        <v>#REF!</v>
      </c>
      <c r="B152">
        <f t="shared" si="6"/>
        <v>4</v>
      </c>
      <c r="C152">
        <f t="shared" si="7"/>
        <v>0</v>
      </c>
      <c r="D152" t="str">
        <f t="shared" si="8"/>
        <v/>
      </c>
      <c r="E152" t="s">
        <v>187</v>
      </c>
    </row>
    <row r="153" spans="1:5" x14ac:dyDescent="0.2">
      <c r="A153" t="e" cm="1">
        <f t="array" ref="A153">MULTINOMIAL((D!B1:B3,D!C1:C3),D!F1:F7,4,D!M1:N6)</f>
        <v>#VALUE!</v>
      </c>
      <c r="B153">
        <f t="shared" si="6"/>
        <v>3</v>
      </c>
      <c r="C153">
        <f t="shared" si="7"/>
        <v>0</v>
      </c>
      <c r="D153" t="str">
        <f t="shared" si="8"/>
        <v/>
      </c>
      <c r="E153" t="s">
        <v>188</v>
      </c>
    </row>
    <row r="154" spans="1:5" x14ac:dyDescent="0.2">
      <c r="A154" t="e" cm="1">
        <f t="array" ref="A154">MULTINOMIAL(Jan:Mar!A1:A3,D!F1:F7,4,D!M1:N6)</f>
        <v>#VALUE!</v>
      </c>
      <c r="B154">
        <f t="shared" si="6"/>
        <v>3</v>
      </c>
      <c r="C154">
        <f t="shared" si="7"/>
        <v>0</v>
      </c>
      <c r="D154" t="str">
        <f t="shared" si="8"/>
        <v/>
      </c>
      <c r="E154" t="s">
        <v>189</v>
      </c>
    </row>
    <row r="155" spans="1:5" x14ac:dyDescent="0.2">
      <c r="A155" t="e" cm="1">
        <f t="array" ref="A155">MULTINOMIAL(2,(D!B1:B3,D!C1:C3),4,D!M1:N6)</f>
        <v>#VALUE!</v>
      </c>
      <c r="B155">
        <f t="shared" si="6"/>
        <v>3</v>
      </c>
      <c r="C155">
        <f t="shared" si="7"/>
        <v>0</v>
      </c>
      <c r="D155" t="str">
        <f t="shared" si="8"/>
        <v/>
      </c>
      <c r="E155" t="s">
        <v>190</v>
      </c>
    </row>
    <row r="156" spans="1:5" x14ac:dyDescent="0.2">
      <c r="A156" t="e" cm="1">
        <f t="array" ref="A156">MULTINOMIAL(2,Jan:Mar!A1:A3,4,D!M1:N6)</f>
        <v>#VALUE!</v>
      </c>
      <c r="B156">
        <f t="shared" si="6"/>
        <v>3</v>
      </c>
      <c r="C156">
        <f t="shared" si="7"/>
        <v>0</v>
      </c>
      <c r="D156" t="str">
        <f t="shared" si="8"/>
        <v/>
      </c>
      <c r="E156" t="s">
        <v>191</v>
      </c>
    </row>
    <row r="157" spans="1:5" x14ac:dyDescent="0.2">
      <c r="A157" t="e" cm="1">
        <f t="array" ref="A157">MULTINOMIAL(2,D!F1:F7,(D!B1:B3,D!C1:C3),D!M1:N6)</f>
        <v>#VALUE!</v>
      </c>
      <c r="B157">
        <f t="shared" si="6"/>
        <v>3</v>
      </c>
      <c r="C157">
        <f t="shared" si="7"/>
        <v>0</v>
      </c>
      <c r="D157" t="str">
        <f t="shared" si="8"/>
        <v/>
      </c>
      <c r="E157" t="s">
        <v>192</v>
      </c>
    </row>
    <row r="158" spans="1:5" x14ac:dyDescent="0.2">
      <c r="A158" t="e" cm="1">
        <f t="array" ref="A158">MULTINOMIAL(2,D!F1:F7,Jan:Mar!A1:A3,D!M1:N6)</f>
        <v>#VALUE!</v>
      </c>
      <c r="B158">
        <f t="shared" si="6"/>
        <v>3</v>
      </c>
      <c r="C158">
        <f t="shared" si="7"/>
        <v>0</v>
      </c>
      <c r="D158" t="str">
        <f t="shared" si="8"/>
        <v/>
      </c>
      <c r="E158" t="s">
        <v>193</v>
      </c>
    </row>
    <row r="159" spans="1:5" x14ac:dyDescent="0.2">
      <c r="A159" t="e" cm="1">
        <f t="array" ref="A159">MULTINOMIAL(2,D!F1:F7,4,(D!B1:B3,D!C1:C3))</f>
        <v>#VALUE!</v>
      </c>
      <c r="B159">
        <f t="shared" si="6"/>
        <v>3</v>
      </c>
      <c r="C159">
        <f t="shared" si="7"/>
        <v>0</v>
      </c>
      <c r="D159" t="str">
        <f t="shared" si="8"/>
        <v/>
      </c>
      <c r="E159" t="s">
        <v>194</v>
      </c>
    </row>
    <row r="160" spans="1:5" x14ac:dyDescent="0.2">
      <c r="A160" t="e" cm="1">
        <f t="array" ref="A160">MULTINOMIAL(2,D!F1:F7,4,Jan:Mar!A1:A3)</f>
        <v>#VALUE!</v>
      </c>
      <c r="B160">
        <f t="shared" si="6"/>
        <v>3</v>
      </c>
      <c r="C160">
        <f t="shared" si="7"/>
        <v>0</v>
      </c>
      <c r="D160" t="str">
        <f t="shared" si="8"/>
        <v/>
      </c>
      <c r="E160" t="s">
        <v>195</v>
      </c>
    </row>
    <row r="161" spans="1:5" x14ac:dyDescent="0.2">
      <c r="A161" t="e" cm="1">
        <f t="array" ref="A161">NETWORKDAYS((D!B1:B3,D!C1:C3),41334,D!AP1:AP8)</f>
        <v>#VALUE!</v>
      </c>
      <c r="B161">
        <f t="shared" si="6"/>
        <v>3</v>
      </c>
      <c r="C161">
        <f t="shared" si="7"/>
        <v>0</v>
      </c>
      <c r="D161" t="str">
        <f t="shared" si="8"/>
        <v/>
      </c>
      <c r="E161" t="s">
        <v>196</v>
      </c>
    </row>
    <row r="162" spans="1:5" x14ac:dyDescent="0.2">
      <c r="A162" t="e" cm="1">
        <f t="array" ref="A162">NETWORKDAYS(Jan:Mar!A1:A3,41334,D!AP1:AP8)</f>
        <v>#VALUE!</v>
      </c>
      <c r="B162">
        <f t="shared" si="6"/>
        <v>3</v>
      </c>
      <c r="C162">
        <f t="shared" si="7"/>
        <v>0</v>
      </c>
      <c r="D162" t="str">
        <f t="shared" si="8"/>
        <v/>
      </c>
      <c r="E162" t="s">
        <v>197</v>
      </c>
    </row>
    <row r="163" spans="1:5" x14ac:dyDescent="0.2">
      <c r="A163" t="e" cm="1">
        <f t="array" ref="A163">NETWORKDAYS(41183,(D!B1:B3,D!C1:C3),D!AP1:AP8)</f>
        <v>#VALUE!</v>
      </c>
      <c r="B163">
        <f t="shared" si="6"/>
        <v>3</v>
      </c>
      <c r="C163">
        <f t="shared" si="7"/>
        <v>0</v>
      </c>
      <c r="D163" t="str">
        <f t="shared" si="8"/>
        <v/>
      </c>
      <c r="E163" t="s">
        <v>198</v>
      </c>
    </row>
    <row r="164" spans="1:5" x14ac:dyDescent="0.2">
      <c r="A164" t="e" cm="1">
        <f t="array" ref="A164">NETWORKDAYS(41183,Jan:Mar!A1:A3,D!AP1:AP8)</f>
        <v>#VALUE!</v>
      </c>
      <c r="B164">
        <f t="shared" si="6"/>
        <v>3</v>
      </c>
      <c r="C164">
        <f t="shared" si="7"/>
        <v>0</v>
      </c>
      <c r="D164" t="str">
        <f t="shared" si="8"/>
        <v/>
      </c>
      <c r="E164" t="s">
        <v>199</v>
      </c>
    </row>
    <row r="165" spans="1:5" x14ac:dyDescent="0.2">
      <c r="A165" t="e" cm="1">
        <f t="array" ref="A165">NETWORKDAYS(41183,41334,(D!B1:B3,D!C1:C3))</f>
        <v>#VALUE!</v>
      </c>
      <c r="B165">
        <f t="shared" si="6"/>
        <v>3</v>
      </c>
      <c r="C165">
        <f t="shared" si="7"/>
        <v>0</v>
      </c>
      <c r="D165" t="str">
        <f t="shared" si="8"/>
        <v/>
      </c>
      <c r="E165" t="s">
        <v>200</v>
      </c>
    </row>
    <row r="166" spans="1:5" x14ac:dyDescent="0.2">
      <c r="A166" t="e" cm="1">
        <f t="array" ref="A166">NETWORKDAYS(41183,41334,Jan:Mar!A1:A3)</f>
        <v>#VALUE!</v>
      </c>
      <c r="B166">
        <f t="shared" si="6"/>
        <v>3</v>
      </c>
      <c r="C166">
        <f t="shared" si="7"/>
        <v>0</v>
      </c>
      <c r="D166" t="str">
        <f t="shared" si="8"/>
        <v/>
      </c>
      <c r="E166" t="s">
        <v>201</v>
      </c>
    </row>
    <row r="167" spans="1:5" x14ac:dyDescent="0.2">
      <c r="A167" t="e" cm="1">
        <f t="array" ref="A167">NETWORKDAYS.INTL((D!B1:B3,D!C1:C3),38749,7,D!AP1:AP8)</f>
        <v>#VALUE!</v>
      </c>
      <c r="B167">
        <f t="shared" si="6"/>
        <v>3</v>
      </c>
      <c r="C167">
        <f t="shared" si="7"/>
        <v>0</v>
      </c>
      <c r="D167" t="str">
        <f t="shared" si="8"/>
        <v/>
      </c>
      <c r="E167" t="s">
        <v>202</v>
      </c>
    </row>
    <row r="168" spans="1:5" x14ac:dyDescent="0.2">
      <c r="A168" t="e" cm="1">
        <f t="array" ref="A168">NETWORKDAYS.INTL(Jan:Mar!A1:A3,38749,7,D!AP1:AP8)</f>
        <v>#VALUE!</v>
      </c>
      <c r="B168">
        <f t="shared" si="6"/>
        <v>3</v>
      </c>
      <c r="C168">
        <f t="shared" si="7"/>
        <v>0</v>
      </c>
      <c r="D168" t="str">
        <f t="shared" si="8"/>
        <v/>
      </c>
      <c r="E168" t="s">
        <v>203</v>
      </c>
    </row>
    <row r="169" spans="1:5" x14ac:dyDescent="0.2">
      <c r="A169" t="e" cm="1">
        <f t="array" ref="A169">NETWORKDAYS.INTL(38718,(D!B1:B3,D!C1:C3),7,D!AP1:AP8)</f>
        <v>#VALUE!</v>
      </c>
      <c r="B169">
        <f t="shared" si="6"/>
        <v>3</v>
      </c>
      <c r="C169">
        <f t="shared" si="7"/>
        <v>0</v>
      </c>
      <c r="D169" t="str">
        <f t="shared" si="8"/>
        <v/>
      </c>
      <c r="E169" t="s">
        <v>204</v>
      </c>
    </row>
    <row r="170" spans="1:5" x14ac:dyDescent="0.2">
      <c r="A170" t="e" cm="1">
        <f t="array" ref="A170">NETWORKDAYS.INTL(38718,Jan:Mar!A1:A3,7,D!AP1:AP8)</f>
        <v>#VALUE!</v>
      </c>
      <c r="B170">
        <f t="shared" si="6"/>
        <v>3</v>
      </c>
      <c r="C170">
        <f t="shared" si="7"/>
        <v>0</v>
      </c>
      <c r="D170" t="str">
        <f t="shared" si="8"/>
        <v/>
      </c>
      <c r="E170" t="s">
        <v>205</v>
      </c>
    </row>
    <row r="171" spans="1:5" x14ac:dyDescent="0.2">
      <c r="A171" t="e" cm="1">
        <f t="array" ref="A171">NETWORKDAYS.INTL(38718,38749,7,(D!B1:B3,D!C1:C3))</f>
        <v>#VALUE!</v>
      </c>
      <c r="B171">
        <f t="shared" si="6"/>
        <v>3</v>
      </c>
      <c r="C171">
        <f t="shared" si="7"/>
        <v>0</v>
      </c>
      <c r="D171" t="str">
        <f t="shared" si="8"/>
        <v/>
      </c>
      <c r="E171" t="s">
        <v>206</v>
      </c>
    </row>
    <row r="172" spans="1:5" x14ac:dyDescent="0.2">
      <c r="A172" t="e" cm="1">
        <f t="array" ref="A172">NETWORKDAYS.INTL(38718,38749,7,Jan:Mar!A1:A3)</f>
        <v>#VALUE!</v>
      </c>
      <c r="B172">
        <f t="shared" si="6"/>
        <v>3</v>
      </c>
      <c r="C172">
        <f t="shared" si="7"/>
        <v>0</v>
      </c>
      <c r="D172" t="str">
        <f t="shared" si="8"/>
        <v/>
      </c>
      <c r="E172" t="s">
        <v>207</v>
      </c>
    </row>
    <row r="173" spans="1:5" x14ac:dyDescent="0.2">
      <c r="A173" cm="1">
        <f t="array" ref="A173">NPV(0.1,(D!B1:B3,D!C1:C3),3000,4200,6800,)</f>
        <v>6416.1085018064505</v>
      </c>
      <c r="B173">
        <f t="shared" si="6"/>
        <v>0</v>
      </c>
      <c r="C173">
        <f t="shared" si="7"/>
        <v>6416.1085018064505</v>
      </c>
      <c r="D173" t="str">
        <f t="shared" si="8"/>
        <v/>
      </c>
      <c r="E173" t="s">
        <v>208</v>
      </c>
    </row>
    <row r="174" spans="1:5" x14ac:dyDescent="0.2">
      <c r="A174" cm="1">
        <f t="array" ref="A174">NPV(0.1,Jan:Mar!A1:A3,3000,4200,6800,)</f>
        <v>4820.5742828663679</v>
      </c>
      <c r="B174">
        <f t="shared" si="6"/>
        <v>0</v>
      </c>
      <c r="C174">
        <f t="shared" si="7"/>
        <v>4820.5742828663679</v>
      </c>
      <c r="D174" t="str">
        <f t="shared" si="8"/>
        <v/>
      </c>
      <c r="E174" t="s">
        <v>209</v>
      </c>
    </row>
    <row r="175" spans="1:5" x14ac:dyDescent="0.2">
      <c r="A175" cm="1">
        <f t="array" ref="A175">NPV(0.1,-10000,(D!B1:B3,D!C1:C3),4200,6800,)</f>
        <v>-4217.3148842766286</v>
      </c>
      <c r="B175">
        <f t="shared" si="6"/>
        <v>0</v>
      </c>
      <c r="C175">
        <f t="shared" si="7"/>
        <v>-4217.3148842766286</v>
      </c>
      <c r="D175" t="str">
        <f t="shared" si="8"/>
        <v/>
      </c>
      <c r="E175" t="s">
        <v>210</v>
      </c>
    </row>
    <row r="176" spans="1:5" x14ac:dyDescent="0.2">
      <c r="A176" cm="1">
        <f t="array" ref="A176">NPV(0.1,-10000,Jan:Mar!A1:A3,4200,6800,)</f>
        <v>-5429.2538105427238</v>
      </c>
      <c r="B176">
        <f t="shared" si="6"/>
        <v>0</v>
      </c>
      <c r="C176">
        <f t="shared" si="7"/>
        <v>-5429.2538105427238</v>
      </c>
      <c r="D176" t="str">
        <f t="shared" si="8"/>
        <v/>
      </c>
      <c r="E176" t="s">
        <v>211</v>
      </c>
    </row>
    <row r="177" spans="1:5" x14ac:dyDescent="0.2">
      <c r="A177" cm="1">
        <f t="array" ref="A177">NPV(0.1,-10000,3000,(D!B1:B3,D!C1:C3),6800,)</f>
        <v>-3700.0706204385451</v>
      </c>
      <c r="B177">
        <f t="shared" si="6"/>
        <v>0</v>
      </c>
      <c r="C177">
        <f t="shared" si="7"/>
        <v>-3700.0706204385451</v>
      </c>
      <c r="D177" t="str">
        <f t="shared" si="8"/>
        <v/>
      </c>
      <c r="E177" t="s">
        <v>212</v>
      </c>
    </row>
    <row r="178" spans="1:5" x14ac:dyDescent="0.2">
      <c r="A178" cm="1">
        <f t="array" ref="A178">NPV(0.1,-10000,3000,Jan:Mar!A1:A3,6800,)</f>
        <v>-4424.0703764906484</v>
      </c>
      <c r="B178">
        <f t="shared" si="6"/>
        <v>0</v>
      </c>
      <c r="C178">
        <f t="shared" si="7"/>
        <v>-4424.0703764906484</v>
      </c>
      <c r="D178" t="str">
        <f t="shared" si="8"/>
        <v/>
      </c>
      <c r="E178" t="s">
        <v>213</v>
      </c>
    </row>
    <row r="179" spans="1:5" x14ac:dyDescent="0.2">
      <c r="A179" cm="1">
        <f t="array" ref="A179">NPV(0.1,-10000,3000,4200,(D!B1:B3,D!C1:C3),)</f>
        <v>-3430.9246090904912</v>
      </c>
      <c r="B179">
        <f t="shared" si="6"/>
        <v>0</v>
      </c>
      <c r="C179">
        <f t="shared" si="7"/>
        <v>-3430.9246090904912</v>
      </c>
      <c r="D179" t="str">
        <f t="shared" si="8"/>
        <v/>
      </c>
      <c r="E179" t="s">
        <v>214</v>
      </c>
    </row>
    <row r="180" spans="1:5" x14ac:dyDescent="0.2">
      <c r="A180" cm="1">
        <f t="array" ref="A180">NPV(0.1,-10000,3000,4200,Jan:Mar!A1:A3,)</f>
        <v>-3437.1296195901564</v>
      </c>
      <c r="B180">
        <f t="shared" si="6"/>
        <v>0</v>
      </c>
      <c r="C180">
        <f t="shared" si="7"/>
        <v>-3437.1296195901564</v>
      </c>
      <c r="D180" t="str">
        <f t="shared" si="8"/>
        <v/>
      </c>
      <c r="E180" t="s">
        <v>215</v>
      </c>
    </row>
    <row r="181" spans="1:5" x14ac:dyDescent="0.2">
      <c r="A181" cm="1">
        <f t="array" ref="A181">NPV(0.1,-10000,3000,4200,6800,(D!B1:B3,D!C1:C3))</f>
        <v>1211.2829351141002</v>
      </c>
      <c r="B181">
        <f t="shared" si="6"/>
        <v>0</v>
      </c>
      <c r="C181">
        <f t="shared" si="7"/>
        <v>1211.2829351141002</v>
      </c>
      <c r="D181" t="str">
        <f t="shared" si="8"/>
        <v/>
      </c>
      <c r="E181" t="s">
        <v>216</v>
      </c>
    </row>
    <row r="182" spans="1:5" x14ac:dyDescent="0.2">
      <c r="A182" cm="1">
        <f t="array" ref="A182">NPV(0.1,-10000,3000,4200,6800,Jan:Mar!A1:A3)</f>
        <v>1205.6420164780411</v>
      </c>
      <c r="B182">
        <f t="shared" si="6"/>
        <v>0</v>
      </c>
      <c r="C182">
        <f t="shared" si="7"/>
        <v>1205.6420164780411</v>
      </c>
      <c r="D182" t="str">
        <f t="shared" si="8"/>
        <v/>
      </c>
      <c r="E182" t="s">
        <v>217</v>
      </c>
    </row>
    <row r="183" spans="1:5" x14ac:dyDescent="0.2">
      <c r="A183" t="e" cm="1">
        <f t="array" ref="A183">ODDFPRICE((D!B1:B3,D!C1:C3),DATE(2021,3,1),DATE(2008,10,15),DATE(2009,3,1),0.0785,0.0625,100,2,1)</f>
        <v>#VALUE!</v>
      </c>
      <c r="B183">
        <f t="shared" si="6"/>
        <v>3</v>
      </c>
      <c r="C183">
        <f t="shared" si="7"/>
        <v>0</v>
      </c>
      <c r="D183" t="str">
        <f t="shared" si="8"/>
        <v/>
      </c>
      <c r="E183" t="s">
        <v>218</v>
      </c>
    </row>
    <row r="184" spans="1:5" x14ac:dyDescent="0.2">
      <c r="A184" t="e" cm="1">
        <f t="array" ref="A184">ODDFPRICE(Jan:Mar!A1:A3,DATE(2021,3,1),DATE(2008,10,15),DATE(2009,3,1),0.0785,0.0625,100,2,1)</f>
        <v>#VALUE!</v>
      </c>
      <c r="B184">
        <f t="shared" si="6"/>
        <v>3</v>
      </c>
      <c r="C184">
        <f t="shared" si="7"/>
        <v>0</v>
      </c>
      <c r="D184" t="str">
        <f t="shared" si="8"/>
        <v/>
      </c>
      <c r="E184" t="s">
        <v>219</v>
      </c>
    </row>
    <row r="185" spans="1:5" x14ac:dyDescent="0.2">
      <c r="A185" t="e" cm="1">
        <f t="array" ref="A185">ODDFPRICE(D!B1:B2,(D!B1:B3,D!C1:C3),DATE(2008,10,15),DATE(2009,3,1),0.0785,0.0625,100,2,1)</f>
        <v>#VALUE!</v>
      </c>
      <c r="B185">
        <f t="shared" si="6"/>
        <v>3</v>
      </c>
      <c r="C185">
        <f t="shared" si="7"/>
        <v>0</v>
      </c>
      <c r="D185" t="str">
        <f t="shared" si="8"/>
        <v/>
      </c>
      <c r="E185" t="s">
        <v>220</v>
      </c>
    </row>
    <row r="186" spans="1:5" x14ac:dyDescent="0.2">
      <c r="A186" t="e" cm="1">
        <f t="array" ref="A186">ODDFPRICE(D!B1:B2,Jan:Mar!A1:A3,DATE(2008,10,15),DATE(2009,3,1),0.0785,0.0625,100,2,1)</f>
        <v>#VALUE!</v>
      </c>
      <c r="B186">
        <f t="shared" si="6"/>
        <v>3</v>
      </c>
      <c r="C186">
        <f t="shared" si="7"/>
        <v>0</v>
      </c>
      <c r="D186" t="str">
        <f t="shared" si="8"/>
        <v/>
      </c>
      <c r="E186" t="s">
        <v>221</v>
      </c>
    </row>
    <row r="187" spans="1:5" x14ac:dyDescent="0.2">
      <c r="A187" t="e" cm="1">
        <f t="array" ref="A187">ODDFPRICE(D!B1:B2,DATE(2021,3,1),(D!B1:B3,D!C1:C3),DATE(2009,3,1),0.0785,0.0625,100,2,1)</f>
        <v>#VALUE!</v>
      </c>
      <c r="B187">
        <f t="shared" si="6"/>
        <v>3</v>
      </c>
      <c r="C187">
        <f t="shared" si="7"/>
        <v>0</v>
      </c>
      <c r="D187" t="str">
        <f t="shared" si="8"/>
        <v/>
      </c>
      <c r="E187" t="s">
        <v>222</v>
      </c>
    </row>
    <row r="188" spans="1:5" x14ac:dyDescent="0.2">
      <c r="A188" t="e" cm="1">
        <f t="array" ref="A188">ODDFPRICE(D!B1:B2,DATE(2021,3,1),Jan:Mar!A1:A3,DATE(2009,3,1),0.0785,0.0625,100,2,1)</f>
        <v>#VALUE!</v>
      </c>
      <c r="B188">
        <f t="shared" si="6"/>
        <v>3</v>
      </c>
      <c r="C188">
        <f t="shared" si="7"/>
        <v>0</v>
      </c>
      <c r="D188" t="str">
        <f t="shared" si="8"/>
        <v/>
      </c>
      <c r="E188" t="s">
        <v>223</v>
      </c>
    </row>
    <row r="189" spans="1:5" x14ac:dyDescent="0.2">
      <c r="A189" t="e" cm="1">
        <f t="array" ref="A189">ODDFPRICE(D!B1:B2,DATE(2021,3,1),DATE(2008,10,15),(D!B1:B3,D!C1:C3),0.0785,0.0625,100,2,1)</f>
        <v>#VALUE!</v>
      </c>
      <c r="B189">
        <f t="shared" si="6"/>
        <v>3</v>
      </c>
      <c r="C189">
        <f t="shared" si="7"/>
        <v>0</v>
      </c>
      <c r="D189" t="str">
        <f t="shared" si="8"/>
        <v/>
      </c>
      <c r="E189" t="s">
        <v>224</v>
      </c>
    </row>
    <row r="190" spans="1:5" x14ac:dyDescent="0.2">
      <c r="A190" t="e" cm="1">
        <f t="array" ref="A190">ODDFPRICE(D!B1:B2,DATE(2021,3,1),DATE(2008,10,15),Jan:Mar!A1:A3,0.0785,0.0625,100,2,1)</f>
        <v>#VALUE!</v>
      </c>
      <c r="B190">
        <f t="shared" si="6"/>
        <v>3</v>
      </c>
      <c r="C190">
        <f t="shared" si="7"/>
        <v>0</v>
      </c>
      <c r="D190" t="str">
        <f t="shared" si="8"/>
        <v/>
      </c>
      <c r="E190" t="s">
        <v>225</v>
      </c>
    </row>
    <row r="191" spans="1:5" x14ac:dyDescent="0.2">
      <c r="A191" t="e" cm="1">
        <f t="array" ref="A191">ODDFYIELD((D!B1:B3,D!C1:C3),DATE(2021,3,1),DATE(2008,10,15),DATE(2009,3,1),0.0575,84.5,100,2,0)</f>
        <v>#VALUE!</v>
      </c>
      <c r="B191">
        <f t="shared" si="6"/>
        <v>3</v>
      </c>
      <c r="C191">
        <f t="shared" si="7"/>
        <v>0</v>
      </c>
      <c r="D191" t="str">
        <f t="shared" si="8"/>
        <v/>
      </c>
      <c r="E191" t="s">
        <v>226</v>
      </c>
    </row>
    <row r="192" spans="1:5" x14ac:dyDescent="0.2">
      <c r="A192" t="e" cm="1">
        <f t="array" ref="A192">ODDFYIELD(Jan:Mar!A1:A3,DATE(2021,3,1),DATE(2008,10,15),DATE(2009,3,1),0.0575,84.5,100,2,0)</f>
        <v>#VALUE!</v>
      </c>
      <c r="B192">
        <f t="shared" si="6"/>
        <v>3</v>
      </c>
      <c r="C192">
        <f t="shared" si="7"/>
        <v>0</v>
      </c>
      <c r="D192" t="str">
        <f t="shared" si="8"/>
        <v/>
      </c>
      <c r="E192" t="s">
        <v>227</v>
      </c>
    </row>
    <row r="193" spans="1:5" x14ac:dyDescent="0.2">
      <c r="A193" t="e" cm="1">
        <f t="array" ref="A193">ODDFYIELD(D!B1:B2,(D!B1:B3,D!C1:C3),DATE(2008,10,15),DATE(2009,3,1),0.0575,84.5,100,2,0)</f>
        <v>#VALUE!</v>
      </c>
      <c r="B193">
        <f t="shared" ref="B193:B256" si="9">IF(ISERROR(A193),ERROR.TYPE(A193),IF(ISNUMBER(A193),0,IF(ISLOGICAL(A193),IF(A193,-1,-2),IF(ISTEXT(A193),-3,-4))))</f>
        <v>3</v>
      </c>
      <c r="C193">
        <f t="shared" ref="C193:C256" si="10">IF(ISNUMBER(A193),A193,0)</f>
        <v>0</v>
      </c>
      <c r="D193" t="str">
        <f t="shared" ref="D193:D256" si="11">IF(ISTEXT(A193),A193,"")</f>
        <v/>
      </c>
      <c r="E193" t="s">
        <v>228</v>
      </c>
    </row>
    <row r="194" spans="1:5" x14ac:dyDescent="0.2">
      <c r="A194" t="e" cm="1">
        <f t="array" ref="A194">ODDFYIELD(D!B1:B2,Jan:Mar!A1:A3,DATE(2008,10,15),DATE(2009,3,1),0.0575,84.5,100,2,0)</f>
        <v>#VALUE!</v>
      </c>
      <c r="B194">
        <f t="shared" si="9"/>
        <v>3</v>
      </c>
      <c r="C194">
        <f t="shared" si="10"/>
        <v>0</v>
      </c>
      <c r="D194" t="str">
        <f t="shared" si="11"/>
        <v/>
      </c>
      <c r="E194" t="s">
        <v>229</v>
      </c>
    </row>
    <row r="195" spans="1:5" x14ac:dyDescent="0.2">
      <c r="A195" t="e" cm="1">
        <f t="array" ref="A195">ODDFYIELD(D!B1:B2,DATE(2021,3,1),(D!B1:B3,D!C1:C3),DATE(2009,3,1),0.0575,84.5,100,2,0)</f>
        <v>#VALUE!</v>
      </c>
      <c r="B195">
        <f t="shared" si="9"/>
        <v>3</v>
      </c>
      <c r="C195">
        <f t="shared" si="10"/>
        <v>0</v>
      </c>
      <c r="D195" t="str">
        <f t="shared" si="11"/>
        <v/>
      </c>
      <c r="E195" t="s">
        <v>230</v>
      </c>
    </row>
    <row r="196" spans="1:5" x14ac:dyDescent="0.2">
      <c r="A196" t="e" cm="1">
        <f t="array" ref="A196">ODDFYIELD(D!B1:B2,DATE(2021,3,1),Jan:Mar!A1:A3,DATE(2009,3,1),0.0575,84.5,100,2,0)</f>
        <v>#VALUE!</v>
      </c>
      <c r="B196">
        <f t="shared" si="9"/>
        <v>3</v>
      </c>
      <c r="C196">
        <f t="shared" si="10"/>
        <v>0</v>
      </c>
      <c r="D196" t="str">
        <f t="shared" si="11"/>
        <v/>
      </c>
      <c r="E196" t="s">
        <v>231</v>
      </c>
    </row>
    <row r="197" spans="1:5" x14ac:dyDescent="0.2">
      <c r="A197" t="e" cm="1">
        <f t="array" ref="A197">ODDFYIELD(D!B1:B2,DATE(2021,3,1),DATE(2008,10,15),(D!B1:B3,D!C1:C3),0.0575,84.5,100,2,0)</f>
        <v>#VALUE!</v>
      </c>
      <c r="B197">
        <f t="shared" si="9"/>
        <v>3</v>
      </c>
      <c r="C197">
        <f t="shared" si="10"/>
        <v>0</v>
      </c>
      <c r="D197" t="str">
        <f t="shared" si="11"/>
        <v/>
      </c>
      <c r="E197" t="s">
        <v>232</v>
      </c>
    </row>
    <row r="198" spans="1:5" x14ac:dyDescent="0.2">
      <c r="A198" t="e" cm="1">
        <f t="array" ref="A198">ODDFYIELD(D!B1:B2,DATE(2021,3,1),DATE(2008,10,15),Jan:Mar!A1:A3,0.0575,84.5,100,2,0)</f>
        <v>#VALUE!</v>
      </c>
      <c r="B198">
        <f t="shared" si="9"/>
        <v>3</v>
      </c>
      <c r="C198">
        <f t="shared" si="10"/>
        <v>0</v>
      </c>
      <c r="D198" t="str">
        <f t="shared" si="11"/>
        <v/>
      </c>
      <c r="E198" t="s">
        <v>233</v>
      </c>
    </row>
    <row r="199" spans="1:5" x14ac:dyDescent="0.2">
      <c r="A199" t="e" cm="1">
        <f t="array" ref="A199">ODDLPRICE((D!B1:B3,D!C1:C3),DATE(2008,6,15),DATE(2007,10,15),0.0375,0.0405,100,2,0)</f>
        <v>#VALUE!</v>
      </c>
      <c r="B199">
        <f t="shared" si="9"/>
        <v>3</v>
      </c>
      <c r="C199">
        <f t="shared" si="10"/>
        <v>0</v>
      </c>
      <c r="D199" t="str">
        <f t="shared" si="11"/>
        <v/>
      </c>
      <c r="E199" t="s">
        <v>234</v>
      </c>
    </row>
    <row r="200" spans="1:5" x14ac:dyDescent="0.2">
      <c r="A200" t="e" cm="1">
        <f t="array" ref="A200">ODDLPRICE(Jan:Mar!A1:A3,DATE(2008,6,15),DATE(2007,10,15),0.0375,0.0405,100,2,0)</f>
        <v>#VALUE!</v>
      </c>
      <c r="B200">
        <f t="shared" si="9"/>
        <v>3</v>
      </c>
      <c r="C200">
        <f t="shared" si="10"/>
        <v>0</v>
      </c>
      <c r="D200" t="str">
        <f t="shared" si="11"/>
        <v/>
      </c>
      <c r="E200" t="s">
        <v>235</v>
      </c>
    </row>
    <row r="201" spans="1:5" x14ac:dyDescent="0.2">
      <c r="A201" t="e" cm="1">
        <f t="array" ref="A201">ODDLPRICE(D!B1:B2,(D!B1:B3,D!C1:C3),DATE(2007,10,15),0.0375,0.0405,100,2,0)</f>
        <v>#VALUE!</v>
      </c>
      <c r="B201">
        <f t="shared" si="9"/>
        <v>3</v>
      </c>
      <c r="C201">
        <f t="shared" si="10"/>
        <v>0</v>
      </c>
      <c r="D201" t="str">
        <f t="shared" si="11"/>
        <v/>
      </c>
      <c r="E201" t="s">
        <v>236</v>
      </c>
    </row>
    <row r="202" spans="1:5" x14ac:dyDescent="0.2">
      <c r="A202" t="e" cm="1">
        <f t="array" ref="A202">ODDLPRICE(D!B1:B2,Jan:Mar!A1:A3,DATE(2007,10,15),0.0375,0.0405,100,2,0)</f>
        <v>#VALUE!</v>
      </c>
      <c r="B202">
        <f t="shared" si="9"/>
        <v>3</v>
      </c>
      <c r="C202">
        <f t="shared" si="10"/>
        <v>0</v>
      </c>
      <c r="D202" t="str">
        <f t="shared" si="11"/>
        <v/>
      </c>
      <c r="E202" t="s">
        <v>237</v>
      </c>
    </row>
    <row r="203" spans="1:5" x14ac:dyDescent="0.2">
      <c r="A203" t="e" cm="1">
        <f t="array" ref="A203">ODDLPRICE(D!B1:B2,DATE(2008,6,15),(D!B1:B3,D!C1:C3),0.0375,0.0405,100,2,0)</f>
        <v>#VALUE!</v>
      </c>
      <c r="B203">
        <f t="shared" si="9"/>
        <v>3</v>
      </c>
      <c r="C203">
        <f t="shared" si="10"/>
        <v>0</v>
      </c>
      <c r="D203" t="str">
        <f t="shared" si="11"/>
        <v/>
      </c>
      <c r="E203" t="s">
        <v>238</v>
      </c>
    </row>
    <row r="204" spans="1:5" x14ac:dyDescent="0.2">
      <c r="A204" t="e" cm="1">
        <f t="array" ref="A204">ODDLPRICE(D!B1:B2,DATE(2008,6,15),Jan:Mar!A1:A3,0.0375,0.0405,100,2,0)</f>
        <v>#VALUE!</v>
      </c>
      <c r="B204">
        <f t="shared" si="9"/>
        <v>3</v>
      </c>
      <c r="C204">
        <f t="shared" si="10"/>
        <v>0</v>
      </c>
      <c r="D204" t="str">
        <f t="shared" si="11"/>
        <v/>
      </c>
      <c r="E204" t="s">
        <v>239</v>
      </c>
    </row>
    <row r="205" spans="1:5" x14ac:dyDescent="0.2">
      <c r="A205" t="e" cm="1">
        <f t="array" ref="A205">ODDLYIELD((D!B1:B3,D!C1:C3),DATE(2008,6,15),DATE(2007,12,24),0.0375,99.875,100,2,0)</f>
        <v>#VALUE!</v>
      </c>
      <c r="B205">
        <f t="shared" si="9"/>
        <v>3</v>
      </c>
      <c r="C205">
        <f t="shared" si="10"/>
        <v>0</v>
      </c>
      <c r="D205" t="str">
        <f t="shared" si="11"/>
        <v/>
      </c>
      <c r="E205" t="s">
        <v>240</v>
      </c>
    </row>
    <row r="206" spans="1:5" x14ac:dyDescent="0.2">
      <c r="A206" t="e" cm="1">
        <f t="array" ref="A206">ODDLYIELD(Jan:Mar!A1:A3,DATE(2008,6,15),DATE(2007,12,24),0.0375,99.875,100,2,0)</f>
        <v>#VALUE!</v>
      </c>
      <c r="B206">
        <f t="shared" si="9"/>
        <v>3</v>
      </c>
      <c r="C206">
        <f t="shared" si="10"/>
        <v>0</v>
      </c>
      <c r="D206" t="str">
        <f t="shared" si="11"/>
        <v/>
      </c>
      <c r="E206" t="s">
        <v>241</v>
      </c>
    </row>
    <row r="207" spans="1:5" x14ac:dyDescent="0.2">
      <c r="A207" t="e" cm="1">
        <f t="array" ref="A207">ODDLYIELD(D!B1:B2,(D!B1:B3,D!C1:C3),DATE(2007,12,24),0.0375,99.875,100,2,0)</f>
        <v>#VALUE!</v>
      </c>
      <c r="B207">
        <f t="shared" si="9"/>
        <v>3</v>
      </c>
      <c r="C207">
        <f t="shared" si="10"/>
        <v>0</v>
      </c>
      <c r="D207" t="str">
        <f t="shared" si="11"/>
        <v/>
      </c>
      <c r="E207" t="s">
        <v>242</v>
      </c>
    </row>
    <row r="208" spans="1:5" x14ac:dyDescent="0.2">
      <c r="A208" t="e" cm="1">
        <f t="array" ref="A208">ODDLYIELD(D!B1:B2,Jan:Mar!A1:A3,DATE(2007,12,24),0.0375,99.875,100,2,0)</f>
        <v>#VALUE!</v>
      </c>
      <c r="B208">
        <f t="shared" si="9"/>
        <v>3</v>
      </c>
      <c r="C208">
        <f t="shared" si="10"/>
        <v>0</v>
      </c>
      <c r="D208" t="str">
        <f t="shared" si="11"/>
        <v/>
      </c>
      <c r="E208" t="s">
        <v>243</v>
      </c>
    </row>
    <row r="209" spans="1:5" x14ac:dyDescent="0.2">
      <c r="A209" t="e" cm="1">
        <f t="array" ref="A209">ODDLYIELD(D!B1:B2,DATE(2008,6,15),(D!B1:B3,D!C1:C3),0.0375,99.875,100,2,0)</f>
        <v>#VALUE!</v>
      </c>
      <c r="B209">
        <f t="shared" si="9"/>
        <v>3</v>
      </c>
      <c r="C209">
        <f t="shared" si="10"/>
        <v>0</v>
      </c>
      <c r="D209" t="str">
        <f t="shared" si="11"/>
        <v/>
      </c>
      <c r="E209" t="s">
        <v>244</v>
      </c>
    </row>
    <row r="210" spans="1:5" x14ac:dyDescent="0.2">
      <c r="A210" t="e" cm="1">
        <f t="array" ref="A210">ODDLYIELD(D!B1:B2,DATE(2008,6,15),Jan:Mar!A1:A3,0.0375,99.875,100,2,0)</f>
        <v>#VALUE!</v>
      </c>
      <c r="B210">
        <f t="shared" si="9"/>
        <v>3</v>
      </c>
      <c r="C210">
        <f t="shared" si="10"/>
        <v>0</v>
      </c>
      <c r="D210" t="str">
        <f t="shared" si="11"/>
        <v/>
      </c>
      <c r="E210" t="s">
        <v>245</v>
      </c>
    </row>
    <row r="211" spans="1:5" x14ac:dyDescent="0.2">
      <c r="A211" t="b" cm="1">
        <f t="array" ref="A211">OR((D!B1:B3,D!C1:C3),D!A12,D!A12,D!C2)</f>
        <v>1</v>
      </c>
      <c r="B211">
        <f t="shared" si="9"/>
        <v>-1</v>
      </c>
      <c r="C211">
        <f t="shared" si="10"/>
        <v>0</v>
      </c>
      <c r="D211" t="str">
        <f t="shared" si="11"/>
        <v/>
      </c>
      <c r="E211" t="s">
        <v>246</v>
      </c>
    </row>
    <row r="212" spans="1:5" x14ac:dyDescent="0.2">
      <c r="A212" t="b" cm="1">
        <f t="array" ref="A212">OR(Jan:Mar!A1:A3,D!A12,D!A12,D!C2)</f>
        <v>1</v>
      </c>
      <c r="B212">
        <f t="shared" si="9"/>
        <v>-1</v>
      </c>
      <c r="C212">
        <f t="shared" si="10"/>
        <v>0</v>
      </c>
      <c r="D212" t="str">
        <f t="shared" si="11"/>
        <v/>
      </c>
      <c r="E212" t="s">
        <v>247</v>
      </c>
    </row>
    <row r="213" spans="1:5" x14ac:dyDescent="0.2">
      <c r="A213" t="b" cm="1">
        <f t="array" ref="A213">OR(D!M1:M6,(D!B1:B3,D!C1:C3),D!A12,D!C2)</f>
        <v>1</v>
      </c>
      <c r="B213">
        <f t="shared" si="9"/>
        <v>-1</v>
      </c>
      <c r="C213">
        <f t="shared" si="10"/>
        <v>0</v>
      </c>
      <c r="D213" t="str">
        <f t="shared" si="11"/>
        <v/>
      </c>
      <c r="E213" t="s">
        <v>248</v>
      </c>
    </row>
    <row r="214" spans="1:5" x14ac:dyDescent="0.2">
      <c r="A214" t="b" cm="1">
        <f t="array" ref="A214">OR(D!M1:M6,Jan:Mar!A1:A3,D!A12,D!C2)</f>
        <v>1</v>
      </c>
      <c r="B214">
        <f t="shared" si="9"/>
        <v>-1</v>
      </c>
      <c r="C214">
        <f t="shared" si="10"/>
        <v>0</v>
      </c>
      <c r="D214" t="str">
        <f t="shared" si="11"/>
        <v/>
      </c>
      <c r="E214" t="s">
        <v>249</v>
      </c>
    </row>
    <row r="215" spans="1:5" x14ac:dyDescent="0.2">
      <c r="A215" t="b" cm="1">
        <f t="array" ref="A215">OR(D!M1:M6,D!A12,(D!B1:B3,D!C1:C3),D!C2)</f>
        <v>1</v>
      </c>
      <c r="B215">
        <f t="shared" si="9"/>
        <v>-1</v>
      </c>
      <c r="C215">
        <f t="shared" si="10"/>
        <v>0</v>
      </c>
      <c r="D215" t="str">
        <f t="shared" si="11"/>
        <v/>
      </c>
      <c r="E215" t="s">
        <v>250</v>
      </c>
    </row>
    <row r="216" spans="1:5" x14ac:dyDescent="0.2">
      <c r="A216" t="b" cm="1">
        <f t="array" ref="A216">OR(D!M1:M6,D!A12,Jan:Mar!A1:A3,D!C2)</f>
        <v>1</v>
      </c>
      <c r="B216">
        <f t="shared" si="9"/>
        <v>-1</v>
      </c>
      <c r="C216">
        <f t="shared" si="10"/>
        <v>0</v>
      </c>
      <c r="D216" t="str">
        <f t="shared" si="11"/>
        <v/>
      </c>
      <c r="E216" t="s">
        <v>251</v>
      </c>
    </row>
    <row r="217" spans="1:5" x14ac:dyDescent="0.2">
      <c r="A217" t="b" cm="1">
        <f t="array" ref="A217">OR(D!M1:M6,D!A12,D!A12,(D!B1:B3,D!C1:C3))</f>
        <v>1</v>
      </c>
      <c r="B217">
        <f t="shared" si="9"/>
        <v>-1</v>
      </c>
      <c r="C217">
        <f t="shared" si="10"/>
        <v>0</v>
      </c>
      <c r="D217" t="str">
        <f t="shared" si="11"/>
        <v/>
      </c>
      <c r="E217" t="s">
        <v>252</v>
      </c>
    </row>
    <row r="218" spans="1:5" x14ac:dyDescent="0.2">
      <c r="A218" t="b" cm="1">
        <f t="array" ref="A218">OR(D!M1:M6,D!A12,D!A12,Jan:Mar!A1:A3)</f>
        <v>1</v>
      </c>
      <c r="B218">
        <f t="shared" si="9"/>
        <v>-1</v>
      </c>
      <c r="C218">
        <f t="shared" si="10"/>
        <v>0</v>
      </c>
      <c r="D218" t="str">
        <f t="shared" si="11"/>
        <v/>
      </c>
      <c r="E218" t="s">
        <v>253</v>
      </c>
    </row>
    <row r="219" spans="1:5" x14ac:dyDescent="0.2">
      <c r="A219" t="e" cm="1">
        <f t="array" ref="A219">PEARSON((D!B1:B3,D!C1:C3),D!C1:C8)</f>
        <v>#VALUE!</v>
      </c>
      <c r="B219">
        <f t="shared" si="9"/>
        <v>3</v>
      </c>
      <c r="C219">
        <f t="shared" si="10"/>
        <v>0</v>
      </c>
      <c r="D219" t="str">
        <f t="shared" si="11"/>
        <v/>
      </c>
      <c r="E219" t="s">
        <v>254</v>
      </c>
    </row>
    <row r="220" spans="1:5" x14ac:dyDescent="0.2">
      <c r="A220" t="e" cm="1">
        <f t="array" ref="A220">PEARSON(Jan:Mar!A1:A3,D!C1:C8)</f>
        <v>#REF!</v>
      </c>
      <c r="B220">
        <f t="shared" si="9"/>
        <v>4</v>
      </c>
      <c r="C220">
        <f t="shared" si="10"/>
        <v>0</v>
      </c>
      <c r="D220" t="str">
        <f t="shared" si="11"/>
        <v/>
      </c>
      <c r="E220" t="s">
        <v>255</v>
      </c>
    </row>
    <row r="221" spans="1:5" x14ac:dyDescent="0.2">
      <c r="A221" t="e" cm="1">
        <f t="array" ref="A221">PEARSON(D!B1:B8,(D!B1:B3,D!C1:C3))</f>
        <v>#VALUE!</v>
      </c>
      <c r="B221">
        <f t="shared" si="9"/>
        <v>3</v>
      </c>
      <c r="C221">
        <f t="shared" si="10"/>
        <v>0</v>
      </c>
      <c r="D221" t="str">
        <f t="shared" si="11"/>
        <v/>
      </c>
      <c r="E221" t="s">
        <v>256</v>
      </c>
    </row>
    <row r="222" spans="1:5" x14ac:dyDescent="0.2">
      <c r="A222" t="e" cm="1">
        <f t="array" ref="A222">PEARSON(D!B1:B8,Jan:Mar!A1:A3)</f>
        <v>#REF!</v>
      </c>
      <c r="B222">
        <f t="shared" si="9"/>
        <v>4</v>
      </c>
      <c r="C222">
        <f t="shared" si="10"/>
        <v>0</v>
      </c>
      <c r="D222" t="str">
        <f t="shared" si="11"/>
        <v/>
      </c>
      <c r="E222" t="s">
        <v>257</v>
      </c>
    </row>
    <row r="223" spans="1:5" x14ac:dyDescent="0.2">
      <c r="A223" t="e" cm="1" vm="1">
        <f t="array" aca="1" ref="A223" ca="1">PERCENTILE((D!B1:B3,D!C1:C3),D!B1:B2)</f>
        <v>#VALUE!</v>
      </c>
      <c r="B223">
        <f t="shared" ca="1" si="9"/>
        <v>9</v>
      </c>
      <c r="C223">
        <f t="shared" ca="1" si="10"/>
        <v>0</v>
      </c>
      <c r="D223" t="str">
        <f t="shared" ca="1" si="11"/>
        <v/>
      </c>
      <c r="E223" t="s">
        <v>258</v>
      </c>
    </row>
    <row r="224" spans="1:5" x14ac:dyDescent="0.2">
      <c r="A224" t="e" cm="1" vm="1">
        <f t="array" aca="1" ref="A224" ca="1">PERCENTILE(Jan:Mar!A1:A3,D!B1:B2)</f>
        <v>#VALUE!</v>
      </c>
      <c r="B224">
        <f t="shared" ca="1" si="9"/>
        <v>9</v>
      </c>
      <c r="C224">
        <f t="shared" ca="1" si="10"/>
        <v>0</v>
      </c>
      <c r="D224" t="str">
        <f t="shared" ca="1" si="11"/>
        <v/>
      </c>
      <c r="E224" t="s">
        <v>259</v>
      </c>
    </row>
    <row r="225" spans="1:5" x14ac:dyDescent="0.2">
      <c r="A225" cm="1">
        <f t="array" ref="A225">_xlfn.PERCENTILE.EXC((D!B1:B3,D!C1:C3),0.25)</f>
        <v>3.5</v>
      </c>
      <c r="B225">
        <f t="shared" si="9"/>
        <v>0</v>
      </c>
      <c r="C225">
        <f t="shared" si="10"/>
        <v>3.5</v>
      </c>
      <c r="D225" t="str">
        <f t="shared" si="11"/>
        <v/>
      </c>
      <c r="E225" t="s">
        <v>260</v>
      </c>
    </row>
    <row r="226" spans="1:5" x14ac:dyDescent="0.2">
      <c r="A226" cm="1">
        <f t="array" ref="A226">_xlfn.PERCENTILE.EXC(Jan:Mar!A1:A3,0.25)</f>
        <v>2.5</v>
      </c>
      <c r="B226">
        <f t="shared" si="9"/>
        <v>0</v>
      </c>
      <c r="C226">
        <f t="shared" si="10"/>
        <v>2.5</v>
      </c>
      <c r="D226" t="str">
        <f t="shared" si="11"/>
        <v/>
      </c>
      <c r="E226" t="s">
        <v>261</v>
      </c>
    </row>
    <row r="227" spans="1:5" x14ac:dyDescent="0.2">
      <c r="A227" cm="1">
        <f t="array" ref="A227">_xlfn.PERCENTILE.INC((D!B1:B3,D!C1:C3),0.3)</f>
        <v>5.5</v>
      </c>
      <c r="B227">
        <f t="shared" si="9"/>
        <v>0</v>
      </c>
      <c r="C227">
        <f t="shared" si="10"/>
        <v>5.5</v>
      </c>
      <c r="D227" t="str">
        <f t="shared" si="11"/>
        <v/>
      </c>
      <c r="E227" t="s">
        <v>262</v>
      </c>
    </row>
    <row r="228" spans="1:5" x14ac:dyDescent="0.2">
      <c r="A228" cm="1">
        <f t="array" ref="A228">_xlfn.PERCENTILE.INC(Jan:Mar!A1:A3,0.3)</f>
        <v>3.4</v>
      </c>
      <c r="B228">
        <f t="shared" si="9"/>
        <v>0</v>
      </c>
      <c r="C228">
        <f t="shared" si="10"/>
        <v>3.4</v>
      </c>
      <c r="D228" t="str">
        <f t="shared" si="11"/>
        <v/>
      </c>
      <c r="E228" t="s">
        <v>263</v>
      </c>
    </row>
    <row r="229" spans="1:5" x14ac:dyDescent="0.2">
      <c r="A229" cm="1">
        <f t="array" ref="A229">_xlfn.PERCENTOF((D!B1:B3,D!C1:C3),4)</f>
        <v>11.75</v>
      </c>
      <c r="B229">
        <f t="shared" si="9"/>
        <v>0</v>
      </c>
      <c r="C229">
        <f t="shared" si="10"/>
        <v>11.75</v>
      </c>
      <c r="D229" t="str">
        <f t="shared" si="11"/>
        <v/>
      </c>
      <c r="E229" t="s">
        <v>264</v>
      </c>
    </row>
    <row r="230" spans="1:5" x14ac:dyDescent="0.2">
      <c r="A230" t="e" cm="1">
        <f t="array" ref="A230">_xlfn.PERCENTOF(Jan:Mar!A1:A3,4)</f>
        <v>#VALUE!</v>
      </c>
      <c r="B230">
        <f t="shared" si="9"/>
        <v>3</v>
      </c>
      <c r="C230">
        <f t="shared" si="10"/>
        <v>0</v>
      </c>
      <c r="D230" t="str">
        <f t="shared" si="11"/>
        <v/>
      </c>
      <c r="E230" t="s">
        <v>265</v>
      </c>
    </row>
    <row r="231" spans="1:5" x14ac:dyDescent="0.2">
      <c r="A231" cm="1">
        <f t="array" ref="A231">_xlfn.PERCENTOF(D!B1:B2,(D!B1:B3,D!C1:C3))</f>
        <v>0.25531914893617019</v>
      </c>
      <c r="B231">
        <f t="shared" si="9"/>
        <v>0</v>
      </c>
      <c r="C231">
        <f t="shared" si="10"/>
        <v>0.25531914893617019</v>
      </c>
      <c r="D231" t="str">
        <f t="shared" si="11"/>
        <v/>
      </c>
      <c r="E231" t="s">
        <v>266</v>
      </c>
    </row>
    <row r="232" spans="1:5" x14ac:dyDescent="0.2">
      <c r="A232" t="e" cm="1">
        <f t="array" ref="A232">_xlfn.PERCENTOF(D!B1:B2,Jan:Mar!A1:A3)</f>
        <v>#VALUE!</v>
      </c>
      <c r="B232">
        <f t="shared" si="9"/>
        <v>3</v>
      </c>
      <c r="C232">
        <f t="shared" si="10"/>
        <v>0</v>
      </c>
      <c r="D232" t="str">
        <f t="shared" si="11"/>
        <v/>
      </c>
      <c r="E232" t="s">
        <v>267</v>
      </c>
    </row>
    <row r="233" spans="1:5" x14ac:dyDescent="0.2">
      <c r="A233" cm="1">
        <f t="array" ref="A233">PERCENTRANK((D!B1:B3,D!C1:C3),15,3)</f>
        <v>1</v>
      </c>
      <c r="B233">
        <f t="shared" si="9"/>
        <v>0</v>
      </c>
      <c r="C233">
        <f t="shared" si="10"/>
        <v>1</v>
      </c>
      <c r="D233" t="str">
        <f t="shared" si="11"/>
        <v/>
      </c>
      <c r="E233" t="s">
        <v>268</v>
      </c>
    </row>
    <row r="234" spans="1:5" x14ac:dyDescent="0.2">
      <c r="A234" t="e" cm="1">
        <f t="array" ref="A234">PERCENTRANK(Jan:Mar!A1:A3,15,3)</f>
        <v>#N/A</v>
      </c>
      <c r="B234">
        <f t="shared" si="9"/>
        <v>7</v>
      </c>
      <c r="C234">
        <f t="shared" si="10"/>
        <v>0</v>
      </c>
      <c r="D234" t="str">
        <f t="shared" si="11"/>
        <v/>
      </c>
      <c r="E234" t="s">
        <v>269</v>
      </c>
    </row>
    <row r="235" spans="1:5" x14ac:dyDescent="0.2">
      <c r="A235" cm="1">
        <f t="array" ref="A235">_xlfn.PERCENTRANK.EXC((D!B1:B3,D!C1:C3),8,2)</f>
        <v>0.56999999999999995</v>
      </c>
      <c r="B235">
        <f t="shared" si="9"/>
        <v>0</v>
      </c>
      <c r="C235">
        <f t="shared" si="10"/>
        <v>0.56999999999999995</v>
      </c>
      <c r="D235" t="str">
        <f t="shared" si="11"/>
        <v/>
      </c>
      <c r="E235" t="s">
        <v>270</v>
      </c>
    </row>
    <row r="236" spans="1:5" x14ac:dyDescent="0.2">
      <c r="A236" cm="1">
        <f t="array" ref="A236">_xlfn.PERCENTRANK.EXC(Jan:Mar!A1:A3,8,2)</f>
        <v>0.8</v>
      </c>
      <c r="B236">
        <f t="shared" si="9"/>
        <v>0</v>
      </c>
      <c r="C236">
        <f t="shared" si="10"/>
        <v>0.8</v>
      </c>
      <c r="D236" t="str">
        <f t="shared" si="11"/>
        <v/>
      </c>
      <c r="E236" t="s">
        <v>271</v>
      </c>
    </row>
    <row r="237" spans="1:5" x14ac:dyDescent="0.2">
      <c r="A237" cm="1">
        <f t="array" ref="A237">_xlfn.PERCENTRANK.INC((D!B1:B3,D!C1:C3),5.5,2)</f>
        <v>0.3</v>
      </c>
      <c r="B237">
        <f t="shared" si="9"/>
        <v>0</v>
      </c>
      <c r="C237">
        <f t="shared" si="10"/>
        <v>0.3</v>
      </c>
      <c r="D237" t="str">
        <f t="shared" si="11"/>
        <v/>
      </c>
      <c r="E237" t="s">
        <v>272</v>
      </c>
    </row>
    <row r="238" spans="1:5" x14ac:dyDescent="0.2">
      <c r="A238" cm="1">
        <f t="array" ref="A238">_xlfn.PERCENTRANK.INC(Jan:Mar!A1:A3,5.5,2)</f>
        <v>0.56000000000000005</v>
      </c>
      <c r="B238">
        <f t="shared" si="9"/>
        <v>0</v>
      </c>
      <c r="C238">
        <f t="shared" si="10"/>
        <v>0.56000000000000005</v>
      </c>
      <c r="D238" t="str">
        <f t="shared" si="11"/>
        <v/>
      </c>
      <c r="E238" t="s">
        <v>273</v>
      </c>
    </row>
    <row r="239" spans="1:5" x14ac:dyDescent="0.2">
      <c r="A239" t="e" cm="1">
        <f t="array" ref="A239">PRICE((D!B1:B3,D!C1:C3),DATE(2017,11,15),0.0575,0.065,100,2,0)</f>
        <v>#VALUE!</v>
      </c>
      <c r="B239">
        <f t="shared" si="9"/>
        <v>3</v>
      </c>
      <c r="C239">
        <f t="shared" si="10"/>
        <v>0</v>
      </c>
      <c r="D239" t="str">
        <f t="shared" si="11"/>
        <v/>
      </c>
      <c r="E239" t="s">
        <v>274</v>
      </c>
    </row>
    <row r="240" spans="1:5" x14ac:dyDescent="0.2">
      <c r="A240" t="e" cm="1">
        <f t="array" ref="A240">PRICE(Jan:Mar!A1:A3,DATE(2017,11,15),0.0575,0.065,100,2,0)</f>
        <v>#VALUE!</v>
      </c>
      <c r="B240">
        <f t="shared" si="9"/>
        <v>3</v>
      </c>
      <c r="C240">
        <f t="shared" si="10"/>
        <v>0</v>
      </c>
      <c r="D240" t="str">
        <f t="shared" si="11"/>
        <v/>
      </c>
      <c r="E240" t="s">
        <v>275</v>
      </c>
    </row>
    <row r="241" spans="1:5" x14ac:dyDescent="0.2">
      <c r="A241" t="e" cm="1">
        <f t="array" ref="A241">PRICE(D!B1:B2,(D!B1:B3,D!C1:C3),0.0575,0.065,100,2,0)</f>
        <v>#VALUE!</v>
      </c>
      <c r="B241">
        <f t="shared" si="9"/>
        <v>3</v>
      </c>
      <c r="C241">
        <f t="shared" si="10"/>
        <v>0</v>
      </c>
      <c r="D241" t="str">
        <f t="shared" si="11"/>
        <v/>
      </c>
      <c r="E241" t="s">
        <v>276</v>
      </c>
    </row>
    <row r="242" spans="1:5" x14ac:dyDescent="0.2">
      <c r="A242" t="e" cm="1">
        <f t="array" ref="A242">PRICE(D!B1:B2,Jan:Mar!A1:A3,0.0575,0.065,100,2,0)</f>
        <v>#VALUE!</v>
      </c>
      <c r="B242">
        <f t="shared" si="9"/>
        <v>3</v>
      </c>
      <c r="C242">
        <f t="shared" si="10"/>
        <v>0</v>
      </c>
      <c r="D242" t="str">
        <f t="shared" si="11"/>
        <v/>
      </c>
      <c r="E242" t="s">
        <v>277</v>
      </c>
    </row>
    <row r="243" spans="1:5" x14ac:dyDescent="0.2">
      <c r="A243" t="e" cm="1">
        <f t="array" ref="A243">PRICEDISC((D!B1:B3,D!C1:C3),39508,0.0525,100,2)</f>
        <v>#VALUE!</v>
      </c>
      <c r="B243">
        <f t="shared" si="9"/>
        <v>3</v>
      </c>
      <c r="C243">
        <f t="shared" si="10"/>
        <v>0</v>
      </c>
      <c r="D243" t="str">
        <f t="shared" si="11"/>
        <v/>
      </c>
      <c r="E243" t="s">
        <v>278</v>
      </c>
    </row>
    <row r="244" spans="1:5" x14ac:dyDescent="0.2">
      <c r="A244" t="e" cm="1">
        <f t="array" ref="A244">PRICEDISC(Jan:Mar!A1:A3,39508,0.0525,100,2)</f>
        <v>#VALUE!</v>
      </c>
      <c r="B244">
        <f t="shared" si="9"/>
        <v>3</v>
      </c>
      <c r="C244">
        <f t="shared" si="10"/>
        <v>0</v>
      </c>
      <c r="D244" t="str">
        <f t="shared" si="11"/>
        <v/>
      </c>
      <c r="E244" t="s">
        <v>279</v>
      </c>
    </row>
    <row r="245" spans="1:5" x14ac:dyDescent="0.2">
      <c r="A245" t="e" cm="1">
        <f t="array" ref="A245">PRICEDISC(39494,(D!B1:B3,D!C1:C3),0.0525,100,2)</f>
        <v>#VALUE!</v>
      </c>
      <c r="B245">
        <f t="shared" si="9"/>
        <v>3</v>
      </c>
      <c r="C245">
        <f t="shared" si="10"/>
        <v>0</v>
      </c>
      <c r="D245" t="str">
        <f t="shared" si="11"/>
        <v/>
      </c>
      <c r="E245" t="s">
        <v>280</v>
      </c>
    </row>
    <row r="246" spans="1:5" x14ac:dyDescent="0.2">
      <c r="A246" t="e" cm="1">
        <f t="array" ref="A246">PRICEDISC(39494,Jan:Mar!A1:A3,0.0525,100,2)</f>
        <v>#VALUE!</v>
      </c>
      <c r="B246">
        <f t="shared" si="9"/>
        <v>3</v>
      </c>
      <c r="C246">
        <f t="shared" si="10"/>
        <v>0</v>
      </c>
      <c r="D246" t="str">
        <f t="shared" si="11"/>
        <v/>
      </c>
      <c r="E246" t="s">
        <v>281</v>
      </c>
    </row>
    <row r="247" spans="1:5" x14ac:dyDescent="0.2">
      <c r="A247" t="e" cm="1">
        <f t="array" ref="A247">PRICEMAT((D!B1:B3,D!C1:C3),DATE(2008,4,13),DATE(2007,11,11),0.061,0.061,0)</f>
        <v>#VALUE!</v>
      </c>
      <c r="B247">
        <f t="shared" si="9"/>
        <v>3</v>
      </c>
      <c r="C247">
        <f t="shared" si="10"/>
        <v>0</v>
      </c>
      <c r="D247" t="str">
        <f t="shared" si="11"/>
        <v/>
      </c>
      <c r="E247" t="s">
        <v>282</v>
      </c>
    </row>
    <row r="248" spans="1:5" x14ac:dyDescent="0.2">
      <c r="A248" t="e" cm="1">
        <f t="array" ref="A248">PRICEMAT(Jan:Mar!A1:A3,DATE(2008,4,13),DATE(2007,11,11),0.061,0.061,0)</f>
        <v>#VALUE!</v>
      </c>
      <c r="B248">
        <f t="shared" si="9"/>
        <v>3</v>
      </c>
      <c r="C248">
        <f t="shared" si="10"/>
        <v>0</v>
      </c>
      <c r="D248" t="str">
        <f t="shared" si="11"/>
        <v/>
      </c>
      <c r="E248" t="s">
        <v>283</v>
      </c>
    </row>
    <row r="249" spans="1:5" x14ac:dyDescent="0.2">
      <c r="A249" t="e" cm="1">
        <f t="array" ref="A249">PRICEMAT(D!B1:B2,(D!B1:B3,D!C1:C3),DATE(2007,11,11),0.061,0.061,0)</f>
        <v>#VALUE!</v>
      </c>
      <c r="B249">
        <f t="shared" si="9"/>
        <v>3</v>
      </c>
      <c r="C249">
        <f t="shared" si="10"/>
        <v>0</v>
      </c>
      <c r="D249" t="str">
        <f t="shared" si="11"/>
        <v/>
      </c>
      <c r="E249" t="s">
        <v>284</v>
      </c>
    </row>
    <row r="250" spans="1:5" x14ac:dyDescent="0.2">
      <c r="A250" t="e" cm="1">
        <f t="array" ref="A250">PRICEMAT(D!B1:B2,Jan:Mar!A1:A3,DATE(2007,11,11),0.061,0.061,0)</f>
        <v>#VALUE!</v>
      </c>
      <c r="B250">
        <f t="shared" si="9"/>
        <v>3</v>
      </c>
      <c r="C250">
        <f t="shared" si="10"/>
        <v>0</v>
      </c>
      <c r="D250" t="str">
        <f t="shared" si="11"/>
        <v/>
      </c>
      <c r="E250" t="s">
        <v>285</v>
      </c>
    </row>
    <row r="251" spans="1:5" x14ac:dyDescent="0.2">
      <c r="A251" t="e" cm="1">
        <f t="array" ref="A251">PRICEMAT(D!B1:B2,DATE(2008,4,13),(D!B1:B3,D!C1:C3),0.061,0.061,0)</f>
        <v>#VALUE!</v>
      </c>
      <c r="B251">
        <f t="shared" si="9"/>
        <v>3</v>
      </c>
      <c r="C251">
        <f t="shared" si="10"/>
        <v>0</v>
      </c>
      <c r="D251" t="str">
        <f t="shared" si="11"/>
        <v/>
      </c>
      <c r="E251" t="s">
        <v>286</v>
      </c>
    </row>
    <row r="252" spans="1:5" x14ac:dyDescent="0.2">
      <c r="A252" t="e" cm="1">
        <f t="array" ref="A252">PRICEMAT(D!B1:B2,DATE(2008,4,13),Jan:Mar!A1:A3,0.061,0.061,0)</f>
        <v>#VALUE!</v>
      </c>
      <c r="B252">
        <f t="shared" si="9"/>
        <v>3</v>
      </c>
      <c r="C252">
        <f t="shared" si="10"/>
        <v>0</v>
      </c>
      <c r="D252" t="str">
        <f t="shared" si="11"/>
        <v/>
      </c>
      <c r="E252" t="s">
        <v>287</v>
      </c>
    </row>
    <row r="253" spans="1:5" x14ac:dyDescent="0.2">
      <c r="A253" t="e" cm="1">
        <f t="array" ref="A253">PROB((D!B1:B3,D!C1:C3),D!AI1:AI4,1,3)</f>
        <v>#VALUE!</v>
      </c>
      <c r="B253">
        <f t="shared" si="9"/>
        <v>3</v>
      </c>
      <c r="C253">
        <f t="shared" si="10"/>
        <v>0</v>
      </c>
      <c r="D253" t="str">
        <f t="shared" si="11"/>
        <v/>
      </c>
      <c r="E253" t="s">
        <v>288</v>
      </c>
    </row>
    <row r="254" spans="1:5" x14ac:dyDescent="0.2">
      <c r="A254" t="e" cm="1">
        <f t="array" ref="A254">PROB(Jan:Mar!A1:A3,D!AI1:AI4,1,3)</f>
        <v>#REF!</v>
      </c>
      <c r="B254">
        <f t="shared" si="9"/>
        <v>4</v>
      </c>
      <c r="C254">
        <f t="shared" si="10"/>
        <v>0</v>
      </c>
      <c r="D254" t="str">
        <f t="shared" si="11"/>
        <v/>
      </c>
      <c r="E254" t="s">
        <v>289</v>
      </c>
    </row>
    <row r="255" spans="1:5" x14ac:dyDescent="0.2">
      <c r="A255" t="e" cm="1">
        <f t="array" ref="A255">PROB(D!AH1:AH4,(D!B1:B3,D!C1:C3),1,3)</f>
        <v>#VALUE!</v>
      </c>
      <c r="B255">
        <f t="shared" si="9"/>
        <v>3</v>
      </c>
      <c r="C255">
        <f t="shared" si="10"/>
        <v>0</v>
      </c>
      <c r="D255" t="str">
        <f t="shared" si="11"/>
        <v/>
      </c>
      <c r="E255" t="s">
        <v>290</v>
      </c>
    </row>
    <row r="256" spans="1:5" x14ac:dyDescent="0.2">
      <c r="A256" t="e" cm="1">
        <f t="array" ref="A256">PROB(D!AH1:AH4,Jan:Mar!A1:A3,1,3)</f>
        <v>#REF!</v>
      </c>
      <c r="B256">
        <f t="shared" si="9"/>
        <v>4</v>
      </c>
      <c r="C256">
        <f t="shared" si="10"/>
        <v>0</v>
      </c>
      <c r="D256" t="str">
        <f t="shared" si="11"/>
        <v/>
      </c>
      <c r="E256" t="s">
        <v>291</v>
      </c>
    </row>
    <row r="257" spans="1:5" x14ac:dyDescent="0.2">
      <c r="A257" t="e" cm="1">
        <f t="array" ref="A257">PRODUCT((D!B1:B3,D!C1:C3),"FALSE",_xlfn.CHOOSEROWS(_xlfn.DROP(D!M1:N6&gt;100,1),1),D!G1:G7)</f>
        <v>#VALUE!</v>
      </c>
      <c r="B257">
        <f t="shared" ref="B257:B320" si="12">IF(ISERROR(A257),ERROR.TYPE(A257),IF(ISNUMBER(A257),0,IF(ISLOGICAL(A257),IF(A257,-1,-2),IF(ISTEXT(A257),-3,-4))))</f>
        <v>3</v>
      </c>
      <c r="C257">
        <f t="shared" ref="C257:C320" si="13">IF(ISNUMBER(A257),A257,0)</f>
        <v>0</v>
      </c>
      <c r="D257" t="str">
        <f t="shared" ref="D257:D320" si="14">IF(ISTEXT(A257),A257,"")</f>
        <v/>
      </c>
      <c r="E257" t="s">
        <v>292</v>
      </c>
    </row>
    <row r="258" spans="1:5" x14ac:dyDescent="0.2">
      <c r="A258" t="e" cm="1">
        <f t="array" ref="A258">PRODUCT(Jan:Mar!A1:A3,"FALSE",_xlfn.CHOOSEROWS(_xlfn.DROP(D!M1:N6&gt;100,1),1),D!G1:G7)</f>
        <v>#VALUE!</v>
      </c>
      <c r="B258">
        <f t="shared" si="12"/>
        <v>3</v>
      </c>
      <c r="C258">
        <f t="shared" si="13"/>
        <v>0</v>
      </c>
      <c r="D258" t="str">
        <f t="shared" si="14"/>
        <v/>
      </c>
      <c r="E258" t="s">
        <v>293</v>
      </c>
    </row>
    <row r="259" spans="1:5" x14ac:dyDescent="0.2">
      <c r="A259" cm="1">
        <f t="array" ref="A259">PRODUCT(D!B1:B8,(D!B1:B3,D!C1:C3),_xlfn.CHOOSEROWS(_xlfn.DROP(D!M1:N6&gt;100,1),1),D!G1:G7)</f>
        <v>-4.1259325444639949E+19</v>
      </c>
      <c r="B259">
        <f t="shared" si="12"/>
        <v>0</v>
      </c>
      <c r="C259">
        <f t="shared" si="13"/>
        <v>-4.1259325444639949E+19</v>
      </c>
      <c r="D259" t="str">
        <f t="shared" si="14"/>
        <v/>
      </c>
      <c r="E259" t="s">
        <v>294</v>
      </c>
    </row>
    <row r="260" spans="1:5" x14ac:dyDescent="0.2">
      <c r="A260" cm="1">
        <f t="array" ref="A260">PRODUCT(D!B1:B8,Jan:Mar!A1:A3,_xlfn.CHOOSEROWS(_xlfn.DROP(D!M1:N6&gt;100,1),1),D!G1:G7)</f>
        <v>-2.025457794555052E+20</v>
      </c>
      <c r="B260">
        <f t="shared" si="12"/>
        <v>0</v>
      </c>
      <c r="C260">
        <f t="shared" si="13"/>
        <v>-2.025457794555052E+20</v>
      </c>
      <c r="D260" t="str">
        <f t="shared" si="14"/>
        <v/>
      </c>
      <c r="E260" t="s">
        <v>295</v>
      </c>
    </row>
    <row r="261" spans="1:5" x14ac:dyDescent="0.2">
      <c r="A261" t="e" cm="1">
        <f t="array" ref="A261">PRODUCT(D!B1:B8,"FALSE",(D!B1:B3,D!C1:C3),D!G1:G7)</f>
        <v>#VALUE!</v>
      </c>
      <c r="B261">
        <f t="shared" si="12"/>
        <v>3</v>
      </c>
      <c r="C261">
        <f t="shared" si="13"/>
        <v>0</v>
      </c>
      <c r="D261" t="str">
        <f t="shared" si="14"/>
        <v/>
      </c>
      <c r="E261" t="s">
        <v>296</v>
      </c>
    </row>
    <row r="262" spans="1:5" x14ac:dyDescent="0.2">
      <c r="A262" t="e" cm="1">
        <f t="array" ref="A262">PRODUCT(D!B1:B8,"FALSE",Jan:Mar!A1:A3,D!G1:G7)</f>
        <v>#VALUE!</v>
      </c>
      <c r="B262">
        <f t="shared" si="12"/>
        <v>3</v>
      </c>
      <c r="C262">
        <f t="shared" si="13"/>
        <v>0</v>
      </c>
      <c r="D262" t="str">
        <f t="shared" si="14"/>
        <v/>
      </c>
      <c r="E262" t="s">
        <v>297</v>
      </c>
    </row>
    <row r="263" spans="1:5" x14ac:dyDescent="0.2">
      <c r="A263" t="e" cm="1">
        <f t="array" ref="A263">PRODUCT(D!B1:B8,"FALSE",_xlfn.CHOOSEROWS(_xlfn.DROP(D!M1:N6&gt;100,1),1),(D!B1:B3,D!C1:C3))</f>
        <v>#VALUE!</v>
      </c>
      <c r="B263">
        <f t="shared" si="12"/>
        <v>3</v>
      </c>
      <c r="C263">
        <f t="shared" si="13"/>
        <v>0</v>
      </c>
      <c r="D263" t="str">
        <f t="shared" si="14"/>
        <v/>
      </c>
      <c r="E263" t="s">
        <v>298</v>
      </c>
    </row>
    <row r="264" spans="1:5" x14ac:dyDescent="0.2">
      <c r="A264" t="e" cm="1">
        <f t="array" ref="A264">PRODUCT(D!B1:B8,"FALSE",_xlfn.CHOOSEROWS(_xlfn.DROP(D!M1:N6&gt;100,1),1),Jan:Mar!A1:A3)</f>
        <v>#VALUE!</v>
      </c>
      <c r="B264">
        <f t="shared" si="12"/>
        <v>3</v>
      </c>
      <c r="C264">
        <f t="shared" si="13"/>
        <v>0</v>
      </c>
      <c r="D264" t="str">
        <f t="shared" si="14"/>
        <v/>
      </c>
      <c r="E264" t="s">
        <v>299</v>
      </c>
    </row>
    <row r="265" spans="1:5" x14ac:dyDescent="0.2">
      <c r="A265" t="e" cm="1" vm="1">
        <f t="array" aca="1" ref="A265" ca="1">QUARTILE((D!B1:B3,D!C1:C3),D!B1:B2)</f>
        <v>#VALUE!</v>
      </c>
      <c r="B265">
        <f t="shared" ca="1" si="12"/>
        <v>9</v>
      </c>
      <c r="C265">
        <f t="shared" ca="1" si="13"/>
        <v>0</v>
      </c>
      <c r="D265" t="str">
        <f t="shared" ca="1" si="14"/>
        <v/>
      </c>
      <c r="E265" t="s">
        <v>300</v>
      </c>
    </row>
    <row r="266" spans="1:5" x14ac:dyDescent="0.2">
      <c r="A266" t="e" cm="1" vm="1">
        <f t="array" aca="1" ref="A266" ca="1">QUARTILE(Jan:Mar!A1:A3,D!B1:B2)</f>
        <v>#VALUE!</v>
      </c>
      <c r="B266">
        <f t="shared" ca="1" si="12"/>
        <v>9</v>
      </c>
      <c r="C266">
        <f t="shared" ca="1" si="13"/>
        <v>0</v>
      </c>
      <c r="D266" t="str">
        <f t="shared" ca="1" si="14"/>
        <v/>
      </c>
      <c r="E266" t="s">
        <v>301</v>
      </c>
    </row>
    <row r="267" spans="1:5" x14ac:dyDescent="0.2">
      <c r="A267" cm="1">
        <f t="array" ref="A267">_xlfn.QUARTILE.EXC((D!B1:B3,D!C1:C3),1)</f>
        <v>3.5</v>
      </c>
      <c r="B267">
        <f t="shared" si="12"/>
        <v>0</v>
      </c>
      <c r="C267">
        <f t="shared" si="13"/>
        <v>3.5</v>
      </c>
      <c r="D267" t="str">
        <f t="shared" si="14"/>
        <v/>
      </c>
      <c r="E267" t="s">
        <v>302</v>
      </c>
    </row>
    <row r="268" spans="1:5" x14ac:dyDescent="0.2">
      <c r="A268" cm="1">
        <f t="array" ref="A268">_xlfn.QUARTILE.EXC(Jan:Mar!A1:A3,1)</f>
        <v>2.5</v>
      </c>
      <c r="B268">
        <f t="shared" si="12"/>
        <v>0</v>
      </c>
      <c r="C268">
        <f t="shared" si="13"/>
        <v>2.5</v>
      </c>
      <c r="D268" t="str">
        <f t="shared" si="14"/>
        <v/>
      </c>
      <c r="E268" t="s">
        <v>303</v>
      </c>
    </row>
    <row r="269" spans="1:5" x14ac:dyDescent="0.2">
      <c r="A269" cm="1">
        <f t="array" ref="A269">_xlfn.QUARTILE.INC((D!B1:B3,D!C1:C3),1)</f>
        <v>4.75</v>
      </c>
      <c r="B269">
        <f t="shared" si="12"/>
        <v>0</v>
      </c>
      <c r="C269">
        <f t="shared" si="13"/>
        <v>4.75</v>
      </c>
      <c r="D269" t="str">
        <f t="shared" si="14"/>
        <v/>
      </c>
      <c r="E269" t="s">
        <v>304</v>
      </c>
    </row>
    <row r="270" spans="1:5" x14ac:dyDescent="0.2">
      <c r="A270" cm="1">
        <f t="array" ref="A270">_xlfn.QUARTILE.INC(Jan:Mar!A1:A3,1)</f>
        <v>3</v>
      </c>
      <c r="B270">
        <f t="shared" si="12"/>
        <v>0</v>
      </c>
      <c r="C270">
        <f t="shared" si="13"/>
        <v>3</v>
      </c>
      <c r="D270" t="str">
        <f t="shared" si="14"/>
        <v/>
      </c>
      <c r="E270" t="s">
        <v>305</v>
      </c>
    </row>
    <row r="271" spans="1:5" x14ac:dyDescent="0.2">
      <c r="A271" t="e" cm="1">
        <f t="array" ref="A271">RANK(D!A3,(D!B1:B3,D!C1:C3),FALSE)</f>
        <v>#VALUE!</v>
      </c>
      <c r="B271">
        <f t="shared" si="12"/>
        <v>3</v>
      </c>
      <c r="C271">
        <f t="shared" si="13"/>
        <v>0</v>
      </c>
      <c r="D271" t="str">
        <f t="shared" si="14"/>
        <v/>
      </c>
      <c r="E271" t="s">
        <v>306</v>
      </c>
    </row>
    <row r="272" spans="1:5" x14ac:dyDescent="0.2">
      <c r="A272" t="e" cm="1">
        <f t="array" ref="A272">RANK(D!A3,Jan:Mar!A1:A3,FALSE)</f>
        <v>#VALUE!</v>
      </c>
      <c r="B272">
        <f t="shared" si="12"/>
        <v>3</v>
      </c>
      <c r="C272">
        <f t="shared" si="13"/>
        <v>0</v>
      </c>
      <c r="D272" t="str">
        <f t="shared" si="14"/>
        <v/>
      </c>
      <c r="E272" t="s">
        <v>307</v>
      </c>
    </row>
    <row r="273" spans="1:5" x14ac:dyDescent="0.2">
      <c r="A273" cm="1">
        <f t="array" ref="A273">_xlfn.RANK.AVG(2,(D!B1:B3,D!C1:C3),1)</f>
        <v>1</v>
      </c>
      <c r="B273">
        <f t="shared" si="12"/>
        <v>0</v>
      </c>
      <c r="C273">
        <f t="shared" si="13"/>
        <v>1</v>
      </c>
      <c r="D273" t="str">
        <f t="shared" si="14"/>
        <v/>
      </c>
      <c r="E273" t="s">
        <v>308</v>
      </c>
    </row>
    <row r="274" spans="1:5" x14ac:dyDescent="0.2">
      <c r="A274" cm="1">
        <f t="array" ref="A274">_xlfn.RANK.AVG(2,Jan:Mar!A1:A3,1)</f>
        <v>2</v>
      </c>
      <c r="B274">
        <f t="shared" si="12"/>
        <v>0</v>
      </c>
      <c r="C274">
        <f t="shared" si="13"/>
        <v>2</v>
      </c>
      <c r="D274" t="str">
        <f t="shared" si="14"/>
        <v/>
      </c>
      <c r="E274" t="s">
        <v>309</v>
      </c>
    </row>
    <row r="275" spans="1:5" x14ac:dyDescent="0.2">
      <c r="A275" cm="1">
        <f t="array" ref="A275">_xlfn.RANK.EQ(2,(D!B1:B3,D!C1:C3),1)</f>
        <v>1</v>
      </c>
      <c r="B275">
        <f t="shared" si="12"/>
        <v>0</v>
      </c>
      <c r="C275">
        <f t="shared" si="13"/>
        <v>1</v>
      </c>
      <c r="D275" t="str">
        <f t="shared" si="14"/>
        <v/>
      </c>
      <c r="E275" t="s">
        <v>310</v>
      </c>
    </row>
    <row r="276" spans="1:5" x14ac:dyDescent="0.2">
      <c r="A276" cm="1">
        <f t="array" ref="A276">_xlfn.RANK.EQ(2,Jan:Mar!A1:A3,1)</f>
        <v>2</v>
      </c>
      <c r="B276">
        <f t="shared" si="12"/>
        <v>0</v>
      </c>
      <c r="C276">
        <f t="shared" si="13"/>
        <v>2</v>
      </c>
      <c r="D276" t="str">
        <f t="shared" si="14"/>
        <v/>
      </c>
      <c r="E276" t="s">
        <v>311</v>
      </c>
    </row>
    <row r="277" spans="1:5" x14ac:dyDescent="0.2">
      <c r="A277" t="e" cm="1">
        <f t="array" ref="A277">RECEIVED((D!B1:B3,D!C1:C3),DATE(2008,5,15),1000000,0.0575,2)</f>
        <v>#VALUE!</v>
      </c>
      <c r="B277">
        <f t="shared" si="12"/>
        <v>3</v>
      </c>
      <c r="C277">
        <f t="shared" si="13"/>
        <v>0</v>
      </c>
      <c r="D277" t="str">
        <f t="shared" si="14"/>
        <v/>
      </c>
      <c r="E277" t="s">
        <v>312</v>
      </c>
    </row>
    <row r="278" spans="1:5" x14ac:dyDescent="0.2">
      <c r="A278" t="e" cm="1">
        <f t="array" ref="A278">RECEIVED(Jan:Mar!A1:A3,DATE(2008,5,15),1000000,0.0575,2)</f>
        <v>#VALUE!</v>
      </c>
      <c r="B278">
        <f t="shared" si="12"/>
        <v>3</v>
      </c>
      <c r="C278">
        <f t="shared" si="13"/>
        <v>0</v>
      </c>
      <c r="D278" t="str">
        <f t="shared" si="14"/>
        <v/>
      </c>
      <c r="E278" t="s">
        <v>313</v>
      </c>
    </row>
    <row r="279" spans="1:5" x14ac:dyDescent="0.2">
      <c r="A279" t="e" cm="1">
        <f t="array" ref="A279">RECEIVED(D!B1:B2,(D!B1:B3,D!C1:C3),1000000,0.0575,2)</f>
        <v>#VALUE!</v>
      </c>
      <c r="B279">
        <f t="shared" si="12"/>
        <v>3</v>
      </c>
      <c r="C279">
        <f t="shared" si="13"/>
        <v>0</v>
      </c>
      <c r="D279" t="str">
        <f t="shared" si="14"/>
        <v/>
      </c>
      <c r="E279" t="s">
        <v>314</v>
      </c>
    </row>
    <row r="280" spans="1:5" x14ac:dyDescent="0.2">
      <c r="A280" t="e" cm="1">
        <f t="array" ref="A280">RECEIVED(D!B1:B2,Jan:Mar!A1:A3,1000000,0.0575,2)</f>
        <v>#VALUE!</v>
      </c>
      <c r="B280">
        <f t="shared" si="12"/>
        <v>3</v>
      </c>
      <c r="C280">
        <f t="shared" si="13"/>
        <v>0</v>
      </c>
      <c r="D280" t="str">
        <f t="shared" si="14"/>
        <v/>
      </c>
      <c r="E280" t="s">
        <v>315</v>
      </c>
    </row>
    <row r="281" spans="1:5" x14ac:dyDescent="0.2">
      <c r="A281" t="e" cm="1">
        <f t="array" ref="A281">ROW((D!B1:B3,D!C1:C3))</f>
        <v>#REF!</v>
      </c>
      <c r="B281">
        <f t="shared" si="12"/>
        <v>4</v>
      </c>
      <c r="C281">
        <f t="shared" si="13"/>
        <v>0</v>
      </c>
      <c r="D281" t="str">
        <f t="shared" si="14"/>
        <v/>
      </c>
      <c r="E281" t="s">
        <v>316</v>
      </c>
    </row>
    <row r="282" spans="1:5" x14ac:dyDescent="0.2">
      <c r="A282" t="e" cm="1">
        <f t="array" ref="A282">ROW(Jan:Mar!A1:A3)</f>
        <v>#VALUE!</v>
      </c>
      <c r="B282">
        <f t="shared" si="12"/>
        <v>3</v>
      </c>
      <c r="C282">
        <f t="shared" si="13"/>
        <v>0</v>
      </c>
      <c r="D282" t="str">
        <f t="shared" si="14"/>
        <v/>
      </c>
      <c r="E282" t="s">
        <v>317</v>
      </c>
    </row>
    <row r="283" spans="1:5" x14ac:dyDescent="0.2">
      <c r="A283" t="e" cm="1">
        <f t="array" ref="A283">ROWS((D!B1:B3,D!C1:C3))</f>
        <v>#REF!</v>
      </c>
      <c r="B283">
        <f t="shared" si="12"/>
        <v>4</v>
      </c>
      <c r="C283">
        <f t="shared" si="13"/>
        <v>0</v>
      </c>
      <c r="D283" t="str">
        <f t="shared" si="14"/>
        <v/>
      </c>
      <c r="E283" t="s">
        <v>318</v>
      </c>
    </row>
    <row r="284" spans="1:5" x14ac:dyDescent="0.2">
      <c r="A284" t="e" cm="1">
        <f t="array" ref="A284">ROWS(Jan:Mar!A1:A3)</f>
        <v>#VALUE!</v>
      </c>
      <c r="B284">
        <f t="shared" si="12"/>
        <v>3</v>
      </c>
      <c r="C284">
        <f t="shared" si="13"/>
        <v>0</v>
      </c>
      <c r="D284" t="str">
        <f t="shared" si="14"/>
        <v/>
      </c>
      <c r="E284" t="s">
        <v>319</v>
      </c>
    </row>
    <row r="285" spans="1:5" x14ac:dyDescent="0.2">
      <c r="A285" t="e" cm="1">
        <f t="array" ref="A285">RSQ((D!B1:B3,D!C1:C3),D!C1:C8)</f>
        <v>#VALUE!</v>
      </c>
      <c r="B285">
        <f t="shared" si="12"/>
        <v>3</v>
      </c>
      <c r="C285">
        <f t="shared" si="13"/>
        <v>0</v>
      </c>
      <c r="D285" t="str">
        <f t="shared" si="14"/>
        <v/>
      </c>
      <c r="E285" t="s">
        <v>320</v>
      </c>
    </row>
    <row r="286" spans="1:5" x14ac:dyDescent="0.2">
      <c r="A286" t="e" cm="1">
        <f t="array" ref="A286">RSQ(Jan:Mar!A1:A3,D!C1:C8)</f>
        <v>#REF!</v>
      </c>
      <c r="B286">
        <f t="shared" si="12"/>
        <v>4</v>
      </c>
      <c r="C286">
        <f t="shared" si="13"/>
        <v>0</v>
      </c>
      <c r="D286" t="str">
        <f t="shared" si="14"/>
        <v/>
      </c>
      <c r="E286" t="s">
        <v>321</v>
      </c>
    </row>
    <row r="287" spans="1:5" x14ac:dyDescent="0.2">
      <c r="A287" t="e" cm="1">
        <f t="array" ref="A287">RSQ(D!B1:B8,(D!B1:B3,D!C1:C3))</f>
        <v>#VALUE!</v>
      </c>
      <c r="B287">
        <f t="shared" si="12"/>
        <v>3</v>
      </c>
      <c r="C287">
        <f t="shared" si="13"/>
        <v>0</v>
      </c>
      <c r="D287" t="str">
        <f t="shared" si="14"/>
        <v/>
      </c>
      <c r="E287" t="s">
        <v>322</v>
      </c>
    </row>
    <row r="288" spans="1:5" x14ac:dyDescent="0.2">
      <c r="A288" t="e" cm="1">
        <f t="array" ref="A288">RSQ(D!B1:B8,Jan:Mar!A1:A3)</f>
        <v>#REF!</v>
      </c>
      <c r="B288">
        <f t="shared" si="12"/>
        <v>4</v>
      </c>
      <c r="C288">
        <f t="shared" si="13"/>
        <v>0</v>
      </c>
      <c r="D288" t="str">
        <f t="shared" si="14"/>
        <v/>
      </c>
      <c r="E288" t="s">
        <v>323</v>
      </c>
    </row>
    <row r="289" spans="1:5" x14ac:dyDescent="0.2">
      <c r="A289" t="e" cm="1">
        <f t="array" ref="A289">SERIESSUM(0.785398163,0,2,(D!B1:B3,D!C1:C3))</f>
        <v>#VALUE!</v>
      </c>
      <c r="B289">
        <f t="shared" si="12"/>
        <v>3</v>
      </c>
      <c r="C289">
        <f t="shared" si="13"/>
        <v>0</v>
      </c>
      <c r="D289" t="str">
        <f t="shared" si="14"/>
        <v/>
      </c>
      <c r="E289" t="s">
        <v>324</v>
      </c>
    </row>
    <row r="290" spans="1:5" x14ac:dyDescent="0.2">
      <c r="A290" t="e" cm="1">
        <f t="array" ref="A290">SERIESSUM(0.785398163,0,2,Jan:Mar!A1:A3)</f>
        <v>#VALUE!</v>
      </c>
      <c r="B290">
        <f t="shared" si="12"/>
        <v>3</v>
      </c>
      <c r="C290">
        <f t="shared" si="13"/>
        <v>0</v>
      </c>
      <c r="D290" t="str">
        <f t="shared" si="14"/>
        <v/>
      </c>
      <c r="E290" t="s">
        <v>325</v>
      </c>
    </row>
    <row r="291" spans="1:5" x14ac:dyDescent="0.2">
      <c r="A291" cm="1">
        <f t="array" ref="A291">SKEW((D!B1:B3,D!C1:C3),4,5,2,3,4,5,6,4,7)</f>
        <v>1.5087932368034778</v>
      </c>
      <c r="B291">
        <f t="shared" si="12"/>
        <v>0</v>
      </c>
      <c r="C291">
        <f t="shared" si="13"/>
        <v>1.5087932368034778</v>
      </c>
      <c r="D291" t="str">
        <f t="shared" si="14"/>
        <v/>
      </c>
      <c r="E291" t="s">
        <v>326</v>
      </c>
    </row>
    <row r="292" spans="1:5" x14ac:dyDescent="0.2">
      <c r="A292" cm="1">
        <f t="array" ref="A292">SKEW(Jan:Mar!A1:A3,4,5,2,3,4,5,6,4,7)</f>
        <v>0.24636827698848299</v>
      </c>
      <c r="B292">
        <f t="shared" si="12"/>
        <v>0</v>
      </c>
      <c r="C292">
        <f t="shared" si="13"/>
        <v>0.24636827698848299</v>
      </c>
      <c r="D292" t="str">
        <f t="shared" si="14"/>
        <v/>
      </c>
      <c r="E292" t="s">
        <v>327</v>
      </c>
    </row>
    <row r="293" spans="1:5" x14ac:dyDescent="0.2">
      <c r="A293" cm="1">
        <f t="array" ref="A293">SKEW(3,(D!B1:B3,D!C1:C3),5,2,3,4,5,6,4,7)</f>
        <v>1.4857379268988915</v>
      </c>
      <c r="B293">
        <f t="shared" si="12"/>
        <v>0</v>
      </c>
      <c r="C293">
        <f t="shared" si="13"/>
        <v>1.4857379268988915</v>
      </c>
      <c r="D293" t="str">
        <f t="shared" si="14"/>
        <v/>
      </c>
      <c r="E293" t="s">
        <v>328</v>
      </c>
    </row>
    <row r="294" spans="1:5" x14ac:dyDescent="0.2">
      <c r="A294" cm="1">
        <f t="array" ref="A294">SKEW(3,Jan:Mar!A1:A3,5,2,3,4,5,6,4,7)</f>
        <v>0.29151639556401199</v>
      </c>
      <c r="B294">
        <f t="shared" si="12"/>
        <v>0</v>
      </c>
      <c r="C294">
        <f t="shared" si="13"/>
        <v>0.29151639556401199</v>
      </c>
      <c r="D294" t="str">
        <f t="shared" si="14"/>
        <v/>
      </c>
      <c r="E294" t="s">
        <v>329</v>
      </c>
    </row>
    <row r="295" spans="1:5" x14ac:dyDescent="0.2">
      <c r="A295" cm="1">
        <f t="array" ref="A295">SKEW(3,4,(D!B1:B3,D!C1:C3),2,3,4,5,6,4,7)</f>
        <v>1.5117275035694684</v>
      </c>
      <c r="B295">
        <f t="shared" si="12"/>
        <v>0</v>
      </c>
      <c r="C295">
        <f t="shared" si="13"/>
        <v>1.5117275035694684</v>
      </c>
      <c r="D295" t="str">
        <f t="shared" si="14"/>
        <v/>
      </c>
      <c r="E295" t="s">
        <v>330</v>
      </c>
    </row>
    <row r="296" spans="1:5" x14ac:dyDescent="0.2">
      <c r="A296" cm="1">
        <f t="array" ref="A296">SKEW(3,4,Jan:Mar!A1:A3,2,3,4,5,6,4,7)</f>
        <v>0.37321724302561476</v>
      </c>
      <c r="B296">
        <f t="shared" si="12"/>
        <v>0</v>
      </c>
      <c r="C296">
        <f t="shared" si="13"/>
        <v>0.37321724302561476</v>
      </c>
      <c r="D296" t="str">
        <f t="shared" si="14"/>
        <v/>
      </c>
      <c r="E296" t="s">
        <v>331</v>
      </c>
    </row>
    <row r="297" spans="1:5" x14ac:dyDescent="0.2">
      <c r="A297" cm="1">
        <f t="array" ref="A297">SKEW(3,4,5,(D!B1:B3,D!C1:C3),3,4,5,6,4,7)</f>
        <v>1.6022224163647669</v>
      </c>
      <c r="B297">
        <f t="shared" si="12"/>
        <v>0</v>
      </c>
      <c r="C297">
        <f t="shared" si="13"/>
        <v>1.6022224163647669</v>
      </c>
      <c r="D297" t="str">
        <f t="shared" si="14"/>
        <v/>
      </c>
      <c r="E297" t="s">
        <v>332</v>
      </c>
    </row>
    <row r="298" spans="1:5" x14ac:dyDescent="0.2">
      <c r="A298" cm="1">
        <f t="array" ref="A298">SKEW(3,4,5,Jan:Mar!A1:A3,3,4,5,6,4,7)</f>
        <v>0.28695886188762004</v>
      </c>
      <c r="B298">
        <f t="shared" si="12"/>
        <v>0</v>
      </c>
      <c r="C298">
        <f t="shared" si="13"/>
        <v>0.28695886188762004</v>
      </c>
      <c r="D298" t="str">
        <f t="shared" si="14"/>
        <v/>
      </c>
      <c r="E298" t="s">
        <v>333</v>
      </c>
    </row>
    <row r="299" spans="1:5" x14ac:dyDescent="0.2">
      <c r="A299" cm="1">
        <f t="array" ref="A299">SKEW(3,4,5,2,(D!B1:B3,D!C1:C3),4,5,6,4,7)</f>
        <v>1.508793236803478</v>
      </c>
      <c r="B299">
        <f t="shared" si="12"/>
        <v>0</v>
      </c>
      <c r="C299">
        <f t="shared" si="13"/>
        <v>1.508793236803478</v>
      </c>
      <c r="D299" t="str">
        <f t="shared" si="14"/>
        <v/>
      </c>
      <c r="E299" t="s">
        <v>334</v>
      </c>
    </row>
    <row r="300" spans="1:5" x14ac:dyDescent="0.2">
      <c r="A300" cm="1">
        <f t="array" ref="A300">SKEW(3,4,5,2,Jan:Mar!A1:A3,4,5,6,4,7)</f>
        <v>0.24636827698848299</v>
      </c>
      <c r="B300">
        <f t="shared" si="12"/>
        <v>0</v>
      </c>
      <c r="C300">
        <f t="shared" si="13"/>
        <v>0.24636827698848299</v>
      </c>
      <c r="D300" t="str">
        <f t="shared" si="14"/>
        <v/>
      </c>
      <c r="E300" t="s">
        <v>335</v>
      </c>
    </row>
    <row r="301" spans="1:5" x14ac:dyDescent="0.2">
      <c r="A301" cm="1">
        <f t="array" ref="A301">SKEW(3,4,5,2,3,(D!B1:B3,D!C1:C3),5,6,4,7)</f>
        <v>1.4857379268988913</v>
      </c>
      <c r="B301">
        <f t="shared" si="12"/>
        <v>0</v>
      </c>
      <c r="C301">
        <f t="shared" si="13"/>
        <v>1.4857379268988913</v>
      </c>
      <c r="D301" t="str">
        <f t="shared" si="14"/>
        <v/>
      </c>
      <c r="E301" t="s">
        <v>336</v>
      </c>
    </row>
    <row r="302" spans="1:5" x14ac:dyDescent="0.2">
      <c r="A302" cm="1">
        <f t="array" ref="A302">SKEW(3,4,5,2,3,Jan:Mar!A1:A3,5,6,4,7)</f>
        <v>0.29151639556401188</v>
      </c>
      <c r="B302">
        <f t="shared" si="12"/>
        <v>0</v>
      </c>
      <c r="C302">
        <f t="shared" si="13"/>
        <v>0.29151639556401188</v>
      </c>
      <c r="D302" t="str">
        <f t="shared" si="14"/>
        <v/>
      </c>
      <c r="E302" t="s">
        <v>337</v>
      </c>
    </row>
    <row r="303" spans="1:5" x14ac:dyDescent="0.2">
      <c r="A303" cm="1">
        <f t="array" ref="A303">SKEW(3,4,5,2,3,4,(D!B1:B3,D!C1:C3),6,4,7)</f>
        <v>1.5117275035694691</v>
      </c>
      <c r="B303">
        <f t="shared" si="12"/>
        <v>0</v>
      </c>
      <c r="C303">
        <f t="shared" si="13"/>
        <v>1.5117275035694691</v>
      </c>
      <c r="D303" t="str">
        <f t="shared" si="14"/>
        <v/>
      </c>
      <c r="E303" t="s">
        <v>338</v>
      </c>
    </row>
    <row r="304" spans="1:5" x14ac:dyDescent="0.2">
      <c r="A304" cm="1">
        <f t="array" ref="A304">SKEW(3,4,5,2,3,4,Jan:Mar!A1:A3,6,4,7)</f>
        <v>0.37321724302561476</v>
      </c>
      <c r="B304">
        <f t="shared" si="12"/>
        <v>0</v>
      </c>
      <c r="C304">
        <f t="shared" si="13"/>
        <v>0.37321724302561476</v>
      </c>
      <c r="D304" t="str">
        <f t="shared" si="14"/>
        <v/>
      </c>
      <c r="E304" t="s">
        <v>339</v>
      </c>
    </row>
    <row r="305" spans="1:5" x14ac:dyDescent="0.2">
      <c r="A305" cm="1">
        <f t="array" ref="A305">SKEW(3,4,5,2,3,4,5,(D!B1:B3,D!C1:C3),4,7)</f>
        <v>1.5725159244747076</v>
      </c>
      <c r="B305">
        <f t="shared" si="12"/>
        <v>0</v>
      </c>
      <c r="C305">
        <f t="shared" si="13"/>
        <v>1.5725159244747076</v>
      </c>
      <c r="D305" t="str">
        <f t="shared" si="14"/>
        <v/>
      </c>
      <c r="E305" t="s">
        <v>340</v>
      </c>
    </row>
    <row r="306" spans="1:5" x14ac:dyDescent="0.2">
      <c r="A306" cm="1">
        <f t="array" ref="A306">SKEW(3,4,5,2,3,4,5,Jan:Mar!A1:A3,4,7)</f>
        <v>0.45541614527801028</v>
      </c>
      <c r="B306">
        <f t="shared" si="12"/>
        <v>0</v>
      </c>
      <c r="C306">
        <f t="shared" si="13"/>
        <v>0.45541614527801028</v>
      </c>
      <c r="D306" t="str">
        <f t="shared" si="14"/>
        <v/>
      </c>
      <c r="E306" t="s">
        <v>341</v>
      </c>
    </row>
    <row r="307" spans="1:5" x14ac:dyDescent="0.2">
      <c r="A307" cm="1">
        <f t="array" ref="A307">SKEW(3,4,5,2,3,4,5,6,(D!B1:B3,D!C1:C3),7)</f>
        <v>1.4857379268988913</v>
      </c>
      <c r="B307">
        <f t="shared" si="12"/>
        <v>0</v>
      </c>
      <c r="C307">
        <f t="shared" si="13"/>
        <v>1.4857379268988913</v>
      </c>
      <c r="D307" t="str">
        <f t="shared" si="14"/>
        <v/>
      </c>
      <c r="E307" t="s">
        <v>342</v>
      </c>
    </row>
    <row r="308" spans="1:5" x14ac:dyDescent="0.2">
      <c r="A308" cm="1">
        <f t="array" ref="A308">SKEW(3,4,5,2,3,4,5,6,Jan:Mar!A1:A3,7)</f>
        <v>0.29151639556401182</v>
      </c>
      <c r="B308">
        <f t="shared" si="12"/>
        <v>0</v>
      </c>
      <c r="C308">
        <f t="shared" si="13"/>
        <v>0.29151639556401182</v>
      </c>
      <c r="D308" t="str">
        <f t="shared" si="14"/>
        <v/>
      </c>
      <c r="E308" t="s">
        <v>343</v>
      </c>
    </row>
    <row r="309" spans="1:5" x14ac:dyDescent="0.2">
      <c r="A309" cm="1">
        <f t="array" ref="A309">SKEW(3,4,5,2,3,4,5,6,4,(D!B1:B3,D!C1:C3))</f>
        <v>1.6578142324684464</v>
      </c>
      <c r="B309">
        <f t="shared" si="12"/>
        <v>0</v>
      </c>
      <c r="C309">
        <f t="shared" si="13"/>
        <v>1.6578142324684464</v>
      </c>
      <c r="D309" t="str">
        <f t="shared" si="14"/>
        <v/>
      </c>
      <c r="E309" t="s">
        <v>344</v>
      </c>
    </row>
    <row r="310" spans="1:5" x14ac:dyDescent="0.2">
      <c r="A310" cm="1">
        <f t="array" ref="A310">SKEW(3,4,5,2,3,4,5,6,4,Jan:Mar!A1:A3)</f>
        <v>0.49913419848462198</v>
      </c>
      <c r="B310">
        <f t="shared" si="12"/>
        <v>0</v>
      </c>
      <c r="C310">
        <f t="shared" si="13"/>
        <v>0.49913419848462198</v>
      </c>
      <c r="D310" t="str">
        <f t="shared" si="14"/>
        <v/>
      </c>
      <c r="E310" t="s">
        <v>345</v>
      </c>
    </row>
    <row r="311" spans="1:5" x14ac:dyDescent="0.2">
      <c r="A311" cm="1">
        <f t="array" ref="A311">_xlfn.SKEW.P((D!B1:B3,D!C1:C3),4,5,2,3,4,5,6,4,7)</f>
        <v>1.3535161235527791</v>
      </c>
      <c r="B311">
        <f t="shared" si="12"/>
        <v>0</v>
      </c>
      <c r="C311">
        <f t="shared" si="13"/>
        <v>1.3535161235527791</v>
      </c>
      <c r="D311" t="str">
        <f t="shared" si="14"/>
        <v/>
      </c>
      <c r="E311" t="s">
        <v>346</v>
      </c>
    </row>
    <row r="312" spans="1:5" x14ac:dyDescent="0.2">
      <c r="A312" cm="1">
        <f t="array" ref="A312">_xlfn.SKEW.P(Jan:Mar!A1:A3,4,5,2,3,4,5,6,4,7)</f>
        <v>0.22534299161345381</v>
      </c>
      <c r="B312">
        <f t="shared" si="12"/>
        <v>0</v>
      </c>
      <c r="C312">
        <f t="shared" si="13"/>
        <v>0.22534299161345381</v>
      </c>
      <c r="D312" t="str">
        <f t="shared" si="14"/>
        <v/>
      </c>
      <c r="E312" t="s">
        <v>347</v>
      </c>
    </row>
    <row r="313" spans="1:5" x14ac:dyDescent="0.2">
      <c r="A313" cm="1">
        <f t="array" ref="A313">_xlfn.SKEW.P(3,(D!B1:B3,D!C1:C3),5,2,3,4,5,6,4,7)</f>
        <v>1.332833545630123</v>
      </c>
      <c r="B313">
        <f t="shared" si="12"/>
        <v>0</v>
      </c>
      <c r="C313">
        <f t="shared" si="13"/>
        <v>1.332833545630123</v>
      </c>
      <c r="D313" t="str">
        <f t="shared" si="14"/>
        <v/>
      </c>
      <c r="E313" t="s">
        <v>348</v>
      </c>
    </row>
    <row r="314" spans="1:5" x14ac:dyDescent="0.2">
      <c r="A314" cm="1">
        <f t="array" ref="A314">_xlfn.SKEW.P(3,Jan:Mar!A1:A3,5,2,3,4,5,6,4,7)</f>
        <v>0.26663813005371745</v>
      </c>
      <c r="B314">
        <f t="shared" si="12"/>
        <v>0</v>
      </c>
      <c r="C314">
        <f t="shared" si="13"/>
        <v>0.26663813005371745</v>
      </c>
      <c r="D314" t="str">
        <f t="shared" si="14"/>
        <v/>
      </c>
      <c r="E314" t="s">
        <v>349</v>
      </c>
    </row>
    <row r="315" spans="1:5" x14ac:dyDescent="0.2">
      <c r="A315" cm="1">
        <f t="array" ref="A315">_xlfn.SKEW.P(3,4,(D!B1:B3,D!C1:C3),2,3,4,5,6,4,7)</f>
        <v>1.3561484109210515</v>
      </c>
      <c r="B315">
        <f t="shared" si="12"/>
        <v>0</v>
      </c>
      <c r="C315">
        <f t="shared" si="13"/>
        <v>1.3561484109210515</v>
      </c>
      <c r="D315" t="str">
        <f t="shared" si="14"/>
        <v/>
      </c>
      <c r="E315" t="s">
        <v>350</v>
      </c>
    </row>
    <row r="316" spans="1:5" x14ac:dyDescent="0.2">
      <c r="A316" cm="1">
        <f t="array" ref="A316">_xlfn.SKEW.P(3,4,Jan:Mar!A1:A3,2,3,4,5,6,4,7)</f>
        <v>0.34136655535829757</v>
      </c>
      <c r="B316">
        <f t="shared" si="12"/>
        <v>0</v>
      </c>
      <c r="C316">
        <f t="shared" si="13"/>
        <v>0.34136655535829757</v>
      </c>
      <c r="D316" t="str">
        <f t="shared" si="14"/>
        <v/>
      </c>
      <c r="E316" t="s">
        <v>351</v>
      </c>
    </row>
    <row r="317" spans="1:5" x14ac:dyDescent="0.2">
      <c r="A317" cm="1">
        <f t="array" ref="A317">_xlfn.SKEW.P(3,4,5,(D!B1:B3,D!C1:C3),3,4,5,6,4,7)</f>
        <v>1.4373300603214956</v>
      </c>
      <c r="B317">
        <f t="shared" si="12"/>
        <v>0</v>
      </c>
      <c r="C317">
        <f t="shared" si="13"/>
        <v>1.4373300603214956</v>
      </c>
      <c r="D317" t="str">
        <f t="shared" si="14"/>
        <v/>
      </c>
      <c r="E317" t="s">
        <v>352</v>
      </c>
    </row>
    <row r="318" spans="1:5" x14ac:dyDescent="0.2">
      <c r="A318" cm="1">
        <f t="array" ref="A318">_xlfn.SKEW.P(3,4,5,Jan:Mar!A1:A3,3,4,5,6,4,7)</f>
        <v>0.26246954030843417</v>
      </c>
      <c r="B318">
        <f t="shared" si="12"/>
        <v>0</v>
      </c>
      <c r="C318">
        <f t="shared" si="13"/>
        <v>0.26246954030843417</v>
      </c>
      <c r="D318" t="str">
        <f t="shared" si="14"/>
        <v/>
      </c>
      <c r="E318" t="s">
        <v>353</v>
      </c>
    </row>
    <row r="319" spans="1:5" x14ac:dyDescent="0.2">
      <c r="A319" cm="1">
        <f t="array" ref="A319">_xlfn.SKEW.P(3,4,5,2,(D!B1:B3,D!C1:C3),4,5,6,4,7)</f>
        <v>1.3535161235527791</v>
      </c>
      <c r="B319">
        <f t="shared" si="12"/>
        <v>0</v>
      </c>
      <c r="C319">
        <f t="shared" si="13"/>
        <v>1.3535161235527791</v>
      </c>
      <c r="D319" t="str">
        <f t="shared" si="14"/>
        <v/>
      </c>
      <c r="E319" t="s">
        <v>354</v>
      </c>
    </row>
    <row r="320" spans="1:5" x14ac:dyDescent="0.2">
      <c r="A320" cm="1">
        <f t="array" ref="A320">_xlfn.SKEW.P(3,4,5,2,Jan:Mar!A1:A3,4,5,6,4,7)</f>
        <v>0.22534299161345361</v>
      </c>
      <c r="B320">
        <f t="shared" si="12"/>
        <v>0</v>
      </c>
      <c r="C320">
        <f t="shared" si="13"/>
        <v>0.22534299161345361</v>
      </c>
      <c r="D320" t="str">
        <f t="shared" si="14"/>
        <v/>
      </c>
      <c r="E320" t="s">
        <v>355</v>
      </c>
    </row>
    <row r="321" spans="1:5" x14ac:dyDescent="0.2">
      <c r="A321" cm="1">
        <f t="array" ref="A321">_xlfn.SKEW.P(3,4,5,2,3,(D!B1:B3,D!C1:C3),5,6,4,7)</f>
        <v>1.3328335456301226</v>
      </c>
      <c r="B321">
        <f t="shared" ref="B321:B384" si="15">IF(ISERROR(A321),ERROR.TYPE(A321),IF(ISNUMBER(A321),0,IF(ISLOGICAL(A321),IF(A321,-1,-2),IF(ISTEXT(A321),-3,-4))))</f>
        <v>0</v>
      </c>
      <c r="C321">
        <f t="shared" ref="C321:C384" si="16">IF(ISNUMBER(A321),A321,0)</f>
        <v>1.3328335456301226</v>
      </c>
      <c r="D321" t="str">
        <f t="shared" ref="D321:D384" si="17">IF(ISTEXT(A321),A321,"")</f>
        <v/>
      </c>
      <c r="E321" t="s">
        <v>356</v>
      </c>
    </row>
    <row r="322" spans="1:5" x14ac:dyDescent="0.2">
      <c r="A322" cm="1">
        <f t="array" ref="A322">_xlfn.SKEW.P(3,4,5,2,3,Jan:Mar!A1:A3,5,6,4,7)</f>
        <v>0.26663813005371728</v>
      </c>
      <c r="B322">
        <f t="shared" si="15"/>
        <v>0</v>
      </c>
      <c r="C322">
        <f t="shared" si="16"/>
        <v>0.26663813005371728</v>
      </c>
      <c r="D322" t="str">
        <f t="shared" si="17"/>
        <v/>
      </c>
      <c r="E322" t="s">
        <v>357</v>
      </c>
    </row>
    <row r="323" spans="1:5" x14ac:dyDescent="0.2">
      <c r="A323" cm="1">
        <f t="array" ref="A323">_xlfn.SKEW.P(3,4,5,2,3,4,(D!B1:B3,D!C1:C3),6,4,7)</f>
        <v>1.3561484109210522</v>
      </c>
      <c r="B323">
        <f t="shared" si="15"/>
        <v>0</v>
      </c>
      <c r="C323">
        <f t="shared" si="16"/>
        <v>1.3561484109210522</v>
      </c>
      <c r="D323" t="str">
        <f t="shared" si="17"/>
        <v/>
      </c>
      <c r="E323" t="s">
        <v>358</v>
      </c>
    </row>
    <row r="324" spans="1:5" x14ac:dyDescent="0.2">
      <c r="A324" cm="1">
        <f t="array" ref="A324">_xlfn.SKEW.P(3,4,5,2,3,4,Jan:Mar!A1:A3,6,4,7)</f>
        <v>0.34136655535829791</v>
      </c>
      <c r="B324">
        <f t="shared" si="15"/>
        <v>0</v>
      </c>
      <c r="C324">
        <f t="shared" si="16"/>
        <v>0.34136655535829791</v>
      </c>
      <c r="D324" t="str">
        <f t="shared" si="17"/>
        <v/>
      </c>
      <c r="E324" t="s">
        <v>359</v>
      </c>
    </row>
    <row r="325" spans="1:5" x14ac:dyDescent="0.2">
      <c r="A325" cm="1">
        <f t="array" ref="A325">_xlfn.SKEW.P(3,4,5,2,3,4,5,(D!B1:B3,D!C1:C3),4,7)</f>
        <v>1.4106808052966175</v>
      </c>
      <c r="B325">
        <f t="shared" si="15"/>
        <v>0</v>
      </c>
      <c r="C325">
        <f t="shared" si="16"/>
        <v>1.4106808052966175</v>
      </c>
      <c r="D325" t="str">
        <f t="shared" si="17"/>
        <v/>
      </c>
      <c r="E325" t="s">
        <v>360</v>
      </c>
    </row>
    <row r="326" spans="1:5" x14ac:dyDescent="0.2">
      <c r="A326" cm="1">
        <f t="array" ref="A326">_xlfn.SKEW.P(3,4,5,2,3,4,5,Jan:Mar!A1:A3,4,7)</f>
        <v>0.41655053101991457</v>
      </c>
      <c r="B326">
        <f t="shared" si="15"/>
        <v>0</v>
      </c>
      <c r="C326">
        <f t="shared" si="16"/>
        <v>0.41655053101991457</v>
      </c>
      <c r="D326" t="str">
        <f t="shared" si="17"/>
        <v/>
      </c>
      <c r="E326" t="s">
        <v>361</v>
      </c>
    </row>
    <row r="327" spans="1:5" x14ac:dyDescent="0.2">
      <c r="A327" cm="1">
        <f t="array" ref="A327">_xlfn.SKEW.P(3,4,5,2,3,4,5,6,(D!B1:B3,D!C1:C3),7)</f>
        <v>1.3328335456301228</v>
      </c>
      <c r="B327">
        <f t="shared" si="15"/>
        <v>0</v>
      </c>
      <c r="C327">
        <f t="shared" si="16"/>
        <v>1.3328335456301228</v>
      </c>
      <c r="D327" t="str">
        <f t="shared" si="17"/>
        <v/>
      </c>
      <c r="E327" t="s">
        <v>362</v>
      </c>
    </row>
    <row r="328" spans="1:5" x14ac:dyDescent="0.2">
      <c r="A328" cm="1">
        <f t="array" ref="A328">_xlfn.SKEW.P(3,4,5,2,3,4,5,6,Jan:Mar!A1:A3,7)</f>
        <v>0.26663813005371728</v>
      </c>
      <c r="B328">
        <f t="shared" si="15"/>
        <v>0</v>
      </c>
      <c r="C328">
        <f t="shared" si="16"/>
        <v>0.26663813005371728</v>
      </c>
      <c r="D328" t="str">
        <f t="shared" si="17"/>
        <v/>
      </c>
      <c r="E328" t="s">
        <v>363</v>
      </c>
    </row>
    <row r="329" spans="1:5" x14ac:dyDescent="0.2">
      <c r="A329" cm="1">
        <f t="array" ref="A329">_xlfn.SKEW.P(3,4,5,2,3,4,5,6,4,(D!B1:B3,D!C1:C3))</f>
        <v>1.4872006572982706</v>
      </c>
      <c r="B329">
        <f t="shared" si="15"/>
        <v>0</v>
      </c>
      <c r="C329">
        <f t="shared" si="16"/>
        <v>1.4872006572982706</v>
      </c>
      <c r="D329" t="str">
        <f t="shared" si="17"/>
        <v/>
      </c>
      <c r="E329" t="s">
        <v>364</v>
      </c>
    </row>
    <row r="330" spans="1:5" x14ac:dyDescent="0.2">
      <c r="A330" cm="1">
        <f t="array" ref="A330">_xlfn.SKEW.P(3,4,5,2,3,4,5,6,4,Jan:Mar!A1:A3)</f>
        <v>0.45653764712721501</v>
      </c>
      <c r="B330">
        <f t="shared" si="15"/>
        <v>0</v>
      </c>
      <c r="C330">
        <f t="shared" si="16"/>
        <v>0.45653764712721501</v>
      </c>
      <c r="D330" t="str">
        <f t="shared" si="17"/>
        <v/>
      </c>
      <c r="E330" t="s">
        <v>365</v>
      </c>
    </row>
    <row r="331" spans="1:5" x14ac:dyDescent="0.2">
      <c r="A331" t="e" cm="1">
        <f t="array" ref="A331">SLOPE((D!B1:B3,D!C1:C3),D!B1:B8)</f>
        <v>#VALUE!</v>
      </c>
      <c r="B331">
        <f t="shared" si="15"/>
        <v>3</v>
      </c>
      <c r="C331">
        <f t="shared" si="16"/>
        <v>0</v>
      </c>
      <c r="D331" t="str">
        <f t="shared" si="17"/>
        <v/>
      </c>
      <c r="E331" t="s">
        <v>366</v>
      </c>
    </row>
    <row r="332" spans="1:5" x14ac:dyDescent="0.2">
      <c r="A332" t="e" cm="1">
        <f t="array" ref="A332">SLOPE(Jan:Mar!A1:A3,D!B1:B8)</f>
        <v>#REF!</v>
      </c>
      <c r="B332">
        <f t="shared" si="15"/>
        <v>4</v>
      </c>
      <c r="C332">
        <f t="shared" si="16"/>
        <v>0</v>
      </c>
      <c r="D332" t="str">
        <f t="shared" si="17"/>
        <v/>
      </c>
      <c r="E332" t="s">
        <v>367</v>
      </c>
    </row>
    <row r="333" spans="1:5" x14ac:dyDescent="0.2">
      <c r="A333" t="e" cm="1">
        <f t="array" ref="A333">SLOPE(D!C1:C8,(D!B1:B3,D!C1:C3))</f>
        <v>#VALUE!</v>
      </c>
      <c r="B333">
        <f t="shared" si="15"/>
        <v>3</v>
      </c>
      <c r="C333">
        <f t="shared" si="16"/>
        <v>0</v>
      </c>
      <c r="D333" t="str">
        <f t="shared" si="17"/>
        <v/>
      </c>
      <c r="E333" t="s">
        <v>368</v>
      </c>
    </row>
    <row r="334" spans="1:5" x14ac:dyDescent="0.2">
      <c r="A334" t="e" cm="1">
        <f t="array" ref="A334">SLOPE(D!C1:C8,Jan:Mar!A1:A3)</f>
        <v>#REF!</v>
      </c>
      <c r="B334">
        <f t="shared" si="15"/>
        <v>4</v>
      </c>
      <c r="C334">
        <f t="shared" si="16"/>
        <v>0</v>
      </c>
      <c r="D334" t="str">
        <f t="shared" si="17"/>
        <v/>
      </c>
      <c r="E334" t="s">
        <v>369</v>
      </c>
    </row>
    <row r="335" spans="1:5" x14ac:dyDescent="0.2">
      <c r="A335" cm="1">
        <f t="array" ref="A335">SMALL((D!B1:B3,D!C1:C3),4)</f>
        <v>8</v>
      </c>
      <c r="B335">
        <f t="shared" si="15"/>
        <v>0</v>
      </c>
      <c r="C335">
        <f t="shared" si="16"/>
        <v>8</v>
      </c>
      <c r="D335" t="str">
        <f t="shared" si="17"/>
        <v/>
      </c>
      <c r="E335" t="s">
        <v>370</v>
      </c>
    </row>
    <row r="336" spans="1:5" x14ac:dyDescent="0.2">
      <c r="A336" cm="1">
        <f t="array" ref="A336">SMALL(Jan:Mar!A1:A3,4)</f>
        <v>4</v>
      </c>
      <c r="B336">
        <f t="shared" si="15"/>
        <v>0</v>
      </c>
      <c r="C336">
        <f t="shared" si="16"/>
        <v>4</v>
      </c>
      <c r="D336" t="str">
        <f t="shared" si="17"/>
        <v/>
      </c>
      <c r="E336" t="s">
        <v>371</v>
      </c>
    </row>
    <row r="337" spans="1:5" x14ac:dyDescent="0.2">
      <c r="A337" t="e" cm="1">
        <f t="array" ref="A337">_xlfn._xlws.SORT((D!B1:B3,D!C1:C3),COUNTIF(D!N2,"&gt;4"),_xlfn.EXPAND(-D!P1:Q2/_xlfn.VSTACK(TRUE),1,2)," 2 ")</f>
        <v>#VALUE!</v>
      </c>
      <c r="B337">
        <f t="shared" si="15"/>
        <v>3</v>
      </c>
      <c r="C337">
        <f t="shared" si="16"/>
        <v>0</v>
      </c>
      <c r="D337" t="str">
        <f t="shared" si="17"/>
        <v/>
      </c>
      <c r="E337" t="s">
        <v>372</v>
      </c>
    </row>
    <row r="338" spans="1:5" x14ac:dyDescent="0.2">
      <c r="A338" t="e" cm="1">
        <f t="array" ref="A338">_xlfn._xlws.SORT(Jan:Mar!A1:A3,COUNTIF(D!N2,"&gt;4"),_xlfn.EXPAND(-D!P1:Q2/_xlfn.VSTACK(TRUE),1,2)," 2 ")</f>
        <v>#REF!</v>
      </c>
      <c r="B338">
        <f t="shared" si="15"/>
        <v>4</v>
      </c>
      <c r="C338">
        <f t="shared" si="16"/>
        <v>0</v>
      </c>
      <c r="D338" t="str">
        <f t="shared" si="17"/>
        <v/>
      </c>
      <c r="E338" t="s">
        <v>373</v>
      </c>
    </row>
    <row r="339" spans="1:5" x14ac:dyDescent="0.2">
      <c r="A339" t="e" cm="1">
        <f t="array" ref="A339">_xlfn._xlws.SORT(D!B1:B8,(D!B1:B3,D!C1:C3),_xlfn.EXPAND(-D!P1:Q2/_xlfn.VSTACK(TRUE),1,2)," 2 ")</f>
        <v>#VALUE!</v>
      </c>
      <c r="B339">
        <f t="shared" si="15"/>
        <v>3</v>
      </c>
      <c r="C339">
        <f t="shared" si="16"/>
        <v>0</v>
      </c>
      <c r="D339" t="str">
        <f t="shared" si="17"/>
        <v/>
      </c>
      <c r="E339" t="s">
        <v>374</v>
      </c>
    </row>
    <row r="340" spans="1:5" x14ac:dyDescent="0.2">
      <c r="A340" t="e" cm="1">
        <f t="array" ref="A340">_xlfn._xlws.SORT(D!B1:B8,Jan:Mar!A1:A3,_xlfn.EXPAND(-D!P1:Q2/_xlfn.VSTACK(TRUE),1,2)," 2 ")</f>
        <v>#REF!</v>
      </c>
      <c r="B340">
        <f t="shared" si="15"/>
        <v>4</v>
      </c>
      <c r="C340">
        <f t="shared" si="16"/>
        <v>0</v>
      </c>
      <c r="D340" t="str">
        <f t="shared" si="17"/>
        <v/>
      </c>
      <c r="E340" t="s">
        <v>375</v>
      </c>
    </row>
    <row r="341" spans="1:5" x14ac:dyDescent="0.2">
      <c r="A341" t="e" cm="1">
        <f t="array" ref="A341">_xlfn._xlws.SORT(D!B1:B8,COUNTIF(D!N2,"&gt;4"),(D!B1:B3,D!C1:C3)," 2 ")</f>
        <v>#VALUE!</v>
      </c>
      <c r="B341">
        <f t="shared" si="15"/>
        <v>3</v>
      </c>
      <c r="C341">
        <f t="shared" si="16"/>
        <v>0</v>
      </c>
      <c r="D341" t="str">
        <f t="shared" si="17"/>
        <v/>
      </c>
      <c r="E341" t="s">
        <v>376</v>
      </c>
    </row>
    <row r="342" spans="1:5" x14ac:dyDescent="0.2">
      <c r="A342" t="e" cm="1">
        <f t="array" ref="A342">_xlfn._xlws.SORT(D!B1:B8,COUNTIF(D!N2,"&gt;4"),Jan:Mar!A1:A3," 2 ")</f>
        <v>#REF!</v>
      </c>
      <c r="B342">
        <f t="shared" si="15"/>
        <v>4</v>
      </c>
      <c r="C342">
        <f t="shared" si="16"/>
        <v>0</v>
      </c>
      <c r="D342" t="str">
        <f t="shared" si="17"/>
        <v/>
      </c>
      <c r="E342" t="s">
        <v>377</v>
      </c>
    </row>
    <row r="343" spans="1:5" x14ac:dyDescent="0.2">
      <c r="A343" t="e" cm="1" vm="2">
        <f t="array" aca="1" ref="A343" ca="1">_xlfn.SORTBY((D!B1:B3,D!C1:C3),D!N1:N6,D!F1:F7&gt;XIRR({2,"a";TRUE,#N/A}+"",D!AU1:AU5),FACT(5),RIGHT("Sale Price",5))</f>
        <v>#VALUE!</v>
      </c>
      <c r="B343">
        <f t="shared" ca="1" si="15"/>
        <v>9</v>
      </c>
      <c r="C343">
        <f t="shared" ca="1" si="16"/>
        <v>0</v>
      </c>
      <c r="D343" t="str">
        <f t="shared" ca="1" si="17"/>
        <v/>
      </c>
      <c r="E343" t="s">
        <v>378</v>
      </c>
    </row>
    <row r="344" spans="1:5" x14ac:dyDescent="0.2">
      <c r="A344" t="e" cm="1" vm="2">
        <f t="array" aca="1" ref="A344" ca="1">_xlfn.SORTBY(Jan:Mar!A1:A3,D!N1:N6,D!F1:F7&gt;XIRR({2,"a";TRUE,#N/A}+"",D!AU1:AU5),FACT(5),RIGHT("Sale Price",5))</f>
        <v>#VALUE!</v>
      </c>
      <c r="B344">
        <f t="shared" ca="1" si="15"/>
        <v>9</v>
      </c>
      <c r="C344">
        <f t="shared" ca="1" si="16"/>
        <v>0</v>
      </c>
      <c r="D344" t="str">
        <f t="shared" ca="1" si="17"/>
        <v/>
      </c>
      <c r="E344" t="s">
        <v>379</v>
      </c>
    </row>
    <row r="345" spans="1:5" x14ac:dyDescent="0.2">
      <c r="A345" t="e" cm="1" vm="2">
        <f t="array" aca="1" ref="A345" ca="1">_xlfn.SORTBY(D!M1:M6,(D!B1:B3,D!C1:C3),D!F1:F7&gt;XIRR({2,"a";TRUE,#N/A}+"",D!AU1:AU5),FACT(5),RIGHT("Sale Price",5))</f>
        <v>#VALUE!</v>
      </c>
      <c r="B345">
        <f t="shared" ca="1" si="15"/>
        <v>9</v>
      </c>
      <c r="C345">
        <f t="shared" ca="1" si="16"/>
        <v>0</v>
      </c>
      <c r="D345" t="str">
        <f t="shared" ca="1" si="17"/>
        <v/>
      </c>
      <c r="E345" t="s">
        <v>380</v>
      </c>
    </row>
    <row r="346" spans="1:5" x14ac:dyDescent="0.2">
      <c r="A346" t="e" cm="1" vm="2">
        <f t="array" aca="1" ref="A346" ca="1">_xlfn.SORTBY(D!M1:M6,Jan:Mar!A1:A3,D!F1:F7&gt;XIRR({2,"a";TRUE,#N/A}+"",D!AU1:AU5),FACT(5),RIGHT("Sale Price",5))</f>
        <v>#VALUE!</v>
      </c>
      <c r="B346">
        <f t="shared" ca="1" si="15"/>
        <v>9</v>
      </c>
      <c r="C346">
        <f t="shared" ca="1" si="16"/>
        <v>0</v>
      </c>
      <c r="D346" t="str">
        <f t="shared" ca="1" si="17"/>
        <v/>
      </c>
      <c r="E346" t="s">
        <v>381</v>
      </c>
    </row>
    <row r="347" spans="1:5" x14ac:dyDescent="0.2">
      <c r="A347" t="e" cm="1">
        <f t="array" ref="A347">_xlfn.SORTBY(D!M1:M6,D!N1:N6,(D!B1:B3,D!C1:C3),FACT(5),RIGHT("Sale Price",5))</f>
        <v>#VALUE!</v>
      </c>
      <c r="B347">
        <f t="shared" si="15"/>
        <v>3</v>
      </c>
      <c r="C347">
        <f t="shared" si="16"/>
        <v>0</v>
      </c>
      <c r="D347" t="str">
        <f t="shared" si="17"/>
        <v/>
      </c>
      <c r="E347" t="s">
        <v>382</v>
      </c>
    </row>
    <row r="348" spans="1:5" x14ac:dyDescent="0.2">
      <c r="A348" t="e" cm="1">
        <f t="array" ref="A348">_xlfn.SORTBY(D!M1:M6,D!N1:N6,Jan:Mar!A1:A3,FACT(5),RIGHT("Sale Price",5))</f>
        <v>#REF!</v>
      </c>
      <c r="B348">
        <f t="shared" si="15"/>
        <v>4</v>
      </c>
      <c r="C348">
        <f t="shared" si="16"/>
        <v>0</v>
      </c>
      <c r="D348" t="str">
        <f t="shared" si="17"/>
        <v/>
      </c>
      <c r="E348" t="s">
        <v>383</v>
      </c>
    </row>
    <row r="349" spans="1:5" x14ac:dyDescent="0.2">
      <c r="A349" t="e" cm="1" vm="2">
        <f t="array" aca="1" ref="A349" ca="1">_xlfn.SORTBY(D!M1:M6,D!N1:N6,D!F1:F7&gt;XIRR({2,"a";TRUE,#N/A}+"",D!AU1:AU5),(D!B1:B3,D!C1:C3),RIGHT("Sale Price",5))</f>
        <v>#VALUE!</v>
      </c>
      <c r="B349">
        <f t="shared" ca="1" si="15"/>
        <v>9</v>
      </c>
      <c r="C349">
        <f t="shared" ca="1" si="16"/>
        <v>0</v>
      </c>
      <c r="D349" t="str">
        <f t="shared" ca="1" si="17"/>
        <v/>
      </c>
      <c r="E349" t="s">
        <v>384</v>
      </c>
    </row>
    <row r="350" spans="1:5" x14ac:dyDescent="0.2">
      <c r="A350" t="e" cm="1" vm="2">
        <f t="array" aca="1" ref="A350" ca="1">_xlfn.SORTBY(D!M1:M6,D!N1:N6,D!F1:F7&gt;XIRR({2,"a";TRUE,#N/A}+"",D!AU1:AU5),Jan:Mar!A1:A3,RIGHT("Sale Price",5))</f>
        <v>#VALUE!</v>
      </c>
      <c r="B350">
        <f t="shared" ca="1" si="15"/>
        <v>9</v>
      </c>
      <c r="C350">
        <f t="shared" ca="1" si="16"/>
        <v>0</v>
      </c>
      <c r="D350" t="str">
        <f t="shared" ca="1" si="17"/>
        <v/>
      </c>
      <c r="E350" t="s">
        <v>385</v>
      </c>
    </row>
    <row r="351" spans="1:5" x14ac:dyDescent="0.2">
      <c r="A351" t="e" cm="1" vm="2">
        <f t="array" aca="1" ref="A351" ca="1">_xlfn.SORTBY(D!M1:M6,D!N1:N6,D!F1:F7&gt;XIRR({2,"a";TRUE,#N/A}+"",D!AU1:AU5),FACT(5),(D!B1:B3,D!C1:C3))</f>
        <v>#VALUE!</v>
      </c>
      <c r="B351">
        <f t="shared" ca="1" si="15"/>
        <v>9</v>
      </c>
      <c r="C351">
        <f t="shared" ca="1" si="16"/>
        <v>0</v>
      </c>
      <c r="D351" t="str">
        <f t="shared" ca="1" si="17"/>
        <v/>
      </c>
      <c r="E351" t="s">
        <v>386</v>
      </c>
    </row>
    <row r="352" spans="1:5" x14ac:dyDescent="0.2">
      <c r="A352" t="e" cm="1" vm="2">
        <f t="array" aca="1" ref="A352" ca="1">_xlfn.SORTBY(D!M1:M6,D!N1:N6,D!F1:F7&gt;XIRR({2,"a";TRUE,#N/A}+"",D!AU1:AU5),FACT(5),Jan:Mar!A1:A3)</f>
        <v>#VALUE!</v>
      </c>
      <c r="B352">
        <f t="shared" ca="1" si="15"/>
        <v>9</v>
      </c>
      <c r="C352">
        <f t="shared" ca="1" si="16"/>
        <v>0</v>
      </c>
      <c r="D352" t="str">
        <f t="shared" ca="1" si="17"/>
        <v/>
      </c>
      <c r="E352" t="s">
        <v>387</v>
      </c>
    </row>
    <row r="353" spans="1:5" x14ac:dyDescent="0.2">
      <c r="A353" cm="1">
        <f t="array" ref="A353">STDEV((D!B1:B3,D!C1:C3),1301,1368,1322,1310)</f>
        <v>680.53717344789072</v>
      </c>
      <c r="B353">
        <f t="shared" si="15"/>
        <v>0</v>
      </c>
      <c r="C353">
        <f t="shared" si="16"/>
        <v>680.53717344789072</v>
      </c>
      <c r="D353" t="str">
        <f t="shared" si="17"/>
        <v/>
      </c>
      <c r="E353" t="s">
        <v>388</v>
      </c>
    </row>
    <row r="354" spans="1:5" x14ac:dyDescent="0.2">
      <c r="A354" cm="1">
        <f t="array" ref="A354">STDEV(Jan:Mar!A1:A3,1301,1368,1322,1310)</f>
        <v>634.40617297413837</v>
      </c>
      <c r="B354">
        <f t="shared" si="15"/>
        <v>0</v>
      </c>
      <c r="C354">
        <f t="shared" si="16"/>
        <v>634.40617297413837</v>
      </c>
      <c r="D354" t="str">
        <f t="shared" si="17"/>
        <v/>
      </c>
      <c r="E354" t="s">
        <v>389</v>
      </c>
    </row>
    <row r="355" spans="1:5" x14ac:dyDescent="0.2">
      <c r="A355" cm="1">
        <f t="array" ref="A355">STDEV(1345,(D!B1:B3,D!C1:C3),1368,1322,1310)</f>
        <v>686.16046066337697</v>
      </c>
      <c r="B355">
        <f t="shared" si="15"/>
        <v>0</v>
      </c>
      <c r="C355">
        <f t="shared" si="16"/>
        <v>686.16046066337697</v>
      </c>
      <c r="D355" t="str">
        <f t="shared" si="17"/>
        <v/>
      </c>
      <c r="E355" t="s">
        <v>390</v>
      </c>
    </row>
    <row r="356" spans="1:5" x14ac:dyDescent="0.2">
      <c r="A356" cm="1">
        <f t="array" ref="A356">STDEV(1345,Jan:Mar!A1:A3,1368,1322,1310)</f>
        <v>639.64450262906951</v>
      </c>
      <c r="B356">
        <f t="shared" si="15"/>
        <v>0</v>
      </c>
      <c r="C356">
        <f t="shared" si="16"/>
        <v>639.64450262906951</v>
      </c>
      <c r="D356" t="str">
        <f t="shared" si="17"/>
        <v/>
      </c>
      <c r="E356" t="s">
        <v>391</v>
      </c>
    </row>
    <row r="357" spans="1:5" x14ac:dyDescent="0.2">
      <c r="A357" cm="1">
        <f t="array" ref="A357">STDEV(1345,1301,(D!B1:B3,D!C1:C3),1322,1310)</f>
        <v>677.44015725868121</v>
      </c>
      <c r="B357">
        <f t="shared" si="15"/>
        <v>0</v>
      </c>
      <c r="C357">
        <f t="shared" si="16"/>
        <v>677.44015725868121</v>
      </c>
      <c r="D357" t="str">
        <f t="shared" si="17"/>
        <v/>
      </c>
      <c r="E357" t="s">
        <v>392</v>
      </c>
    </row>
    <row r="358" spans="1:5" x14ac:dyDescent="0.2">
      <c r="A358" cm="1">
        <f t="array" ref="A358">STDEV(1345,1301,Jan:Mar!A1:A3,1322,1310)</f>
        <v>631.54118569636398</v>
      </c>
      <c r="B358">
        <f t="shared" si="15"/>
        <v>0</v>
      </c>
      <c r="C358">
        <f t="shared" si="16"/>
        <v>631.54118569636398</v>
      </c>
      <c r="D358" t="str">
        <f t="shared" si="17"/>
        <v/>
      </c>
      <c r="E358" t="s">
        <v>393</v>
      </c>
    </row>
    <row r="359" spans="1:5" x14ac:dyDescent="0.2">
      <c r="A359" cm="1">
        <f t="array" ref="A359">STDEV(1345,1301,1368,(D!B1:B3,D!C1:C3),1310)</f>
        <v>683.52557458452952</v>
      </c>
      <c r="B359">
        <f t="shared" si="15"/>
        <v>0</v>
      </c>
      <c r="C359">
        <f t="shared" si="16"/>
        <v>683.52557458452952</v>
      </c>
      <c r="D359" t="str">
        <f t="shared" si="17"/>
        <v/>
      </c>
      <c r="E359" t="s">
        <v>394</v>
      </c>
    </row>
    <row r="360" spans="1:5" x14ac:dyDescent="0.2">
      <c r="A360" cm="1">
        <f t="array" ref="A360">STDEV(1345,1301,1368,Jan:Mar!A1:A3,1310)</f>
        <v>637.18377778052911</v>
      </c>
      <c r="B360">
        <f t="shared" si="15"/>
        <v>0</v>
      </c>
      <c r="C360">
        <f t="shared" si="16"/>
        <v>637.18377778052911</v>
      </c>
      <c r="D360" t="str">
        <f t="shared" si="17"/>
        <v/>
      </c>
      <c r="E360" t="s">
        <v>395</v>
      </c>
    </row>
    <row r="361" spans="1:5" x14ac:dyDescent="0.2">
      <c r="A361" cm="1">
        <f t="array" ref="A361">STDEV(1345,1301,1368,1322,(D!B1:B3,D!C1:C3))</f>
        <v>685.04209927403565</v>
      </c>
      <c r="B361">
        <f t="shared" si="15"/>
        <v>0</v>
      </c>
      <c r="C361">
        <f t="shared" si="16"/>
        <v>685.04209927403565</v>
      </c>
      <c r="D361" t="str">
        <f t="shared" si="17"/>
        <v/>
      </c>
      <c r="E361" t="s">
        <v>396</v>
      </c>
    </row>
    <row r="362" spans="1:5" x14ac:dyDescent="0.2">
      <c r="A362" cm="1">
        <f t="array" ref="A362">STDEV(1345,1301,1368,1322,Jan:Mar!A1:A3)</f>
        <v>638.59865611332407</v>
      </c>
      <c r="B362">
        <f t="shared" si="15"/>
        <v>0</v>
      </c>
      <c r="C362">
        <f t="shared" si="16"/>
        <v>638.59865611332407</v>
      </c>
      <c r="D362" t="str">
        <f t="shared" si="17"/>
        <v/>
      </c>
      <c r="E362" t="s">
        <v>397</v>
      </c>
    </row>
    <row r="363" spans="1:5" x14ac:dyDescent="0.2">
      <c r="A363" cm="1">
        <f t="array" ref="A363">_xlfn.STDEV.P((D!B1:B3,D!C1:C3),1301,1368,1322,1310)</f>
        <v>645.6142501525195</v>
      </c>
      <c r="B363">
        <f t="shared" si="15"/>
        <v>0</v>
      </c>
      <c r="C363">
        <f t="shared" si="16"/>
        <v>645.6142501525195</v>
      </c>
      <c r="D363" t="str">
        <f t="shared" si="17"/>
        <v/>
      </c>
      <c r="E363" t="s">
        <v>398</v>
      </c>
    </row>
    <row r="364" spans="1:5" x14ac:dyDescent="0.2">
      <c r="A364" cm="1">
        <f t="array" ref="A364">_xlfn.STDEV.P(Jan:Mar!A1:A3,1301,1368,1322,1310)</f>
        <v>609.51773544539719</v>
      </c>
      <c r="B364">
        <f t="shared" si="15"/>
        <v>0</v>
      </c>
      <c r="C364">
        <f t="shared" si="16"/>
        <v>609.51773544539719</v>
      </c>
      <c r="D364" t="str">
        <f t="shared" si="17"/>
        <v/>
      </c>
      <c r="E364" t="s">
        <v>399</v>
      </c>
    </row>
    <row r="365" spans="1:5" x14ac:dyDescent="0.2">
      <c r="A365" cm="1">
        <f t="array" ref="A365">_xlfn.STDEV.P(1345,(D!B1:B3,D!C1:C3),1368,1322,1310)</f>
        <v>650.94896881399234</v>
      </c>
      <c r="B365">
        <f t="shared" si="15"/>
        <v>0</v>
      </c>
      <c r="C365">
        <f t="shared" si="16"/>
        <v>650.94896881399234</v>
      </c>
      <c r="D365" t="str">
        <f t="shared" si="17"/>
        <v/>
      </c>
      <c r="E365" t="s">
        <v>400</v>
      </c>
    </row>
    <row r="366" spans="1:5" x14ac:dyDescent="0.2">
      <c r="A366" cm="1">
        <f t="array" ref="A366">_xlfn.STDEV.P(1345,Jan:Mar!A1:A3,1368,1322,1310)</f>
        <v>614.55055978539667</v>
      </c>
      <c r="B366">
        <f t="shared" si="15"/>
        <v>0</v>
      </c>
      <c r="C366">
        <f t="shared" si="16"/>
        <v>614.55055978539667</v>
      </c>
      <c r="D366" t="str">
        <f t="shared" si="17"/>
        <v/>
      </c>
      <c r="E366" t="s">
        <v>401</v>
      </c>
    </row>
    <row r="367" spans="1:5" x14ac:dyDescent="0.2">
      <c r="A367" cm="1">
        <f t="array" ref="A367">_xlfn.STDEV.P(1345,1301,(D!B1:B3,D!C1:C3),1322,1310)</f>
        <v>642.67616262002434</v>
      </c>
      <c r="B367">
        <f t="shared" si="15"/>
        <v>0</v>
      </c>
      <c r="C367">
        <f t="shared" si="16"/>
        <v>642.67616262002434</v>
      </c>
      <c r="D367" t="str">
        <f t="shared" si="17"/>
        <v/>
      </c>
      <c r="E367" t="s">
        <v>402</v>
      </c>
    </row>
    <row r="368" spans="1:5" x14ac:dyDescent="0.2">
      <c r="A368" cm="1">
        <f t="array" ref="A368">_xlfn.STDEV.P(1345,1301,Jan:Mar!A1:A3,1322,1310)</f>
        <v>606.76514470460677</v>
      </c>
      <c r="B368">
        <f t="shared" si="15"/>
        <v>0</v>
      </c>
      <c r="C368">
        <f t="shared" si="16"/>
        <v>606.76514470460677</v>
      </c>
      <c r="D368" t="str">
        <f t="shared" si="17"/>
        <v/>
      </c>
      <c r="E368" t="s">
        <v>403</v>
      </c>
    </row>
    <row r="369" spans="1:5" x14ac:dyDescent="0.2">
      <c r="A369" cm="1">
        <f t="array" ref="A369">_xlfn.STDEV.P(1345,1301,1368,(D!B1:B3,D!C1:C3),1310)</f>
        <v>648.44929639872385</v>
      </c>
      <c r="B369">
        <f t="shared" si="15"/>
        <v>0</v>
      </c>
      <c r="C369">
        <f t="shared" si="16"/>
        <v>648.44929639872385</v>
      </c>
      <c r="D369" t="str">
        <f t="shared" si="17"/>
        <v/>
      </c>
      <c r="E369" t="s">
        <v>404</v>
      </c>
    </row>
    <row r="370" spans="1:5" x14ac:dyDescent="0.2">
      <c r="A370" cm="1">
        <f t="array" ref="A370">_xlfn.STDEV.P(1345,1301,1368,Jan:Mar!A1:A3,1310)</f>
        <v>612.18637182328212</v>
      </c>
      <c r="B370">
        <f t="shared" si="15"/>
        <v>0</v>
      </c>
      <c r="C370">
        <f t="shared" si="16"/>
        <v>612.18637182328212</v>
      </c>
      <c r="D370" t="str">
        <f t="shared" si="17"/>
        <v/>
      </c>
      <c r="E370" t="s">
        <v>405</v>
      </c>
    </row>
    <row r="371" spans="1:5" x14ac:dyDescent="0.2">
      <c r="A371" cm="1">
        <f t="array" ref="A371">_xlfn.STDEV.P(1345,1301,1368,1322,(D!B1:B3,D!C1:C3))</f>
        <v>649.8879980427397</v>
      </c>
      <c r="B371">
        <f t="shared" si="15"/>
        <v>0</v>
      </c>
      <c r="C371">
        <f t="shared" si="16"/>
        <v>649.8879980427397</v>
      </c>
      <c r="D371" t="str">
        <f t="shared" si="17"/>
        <v/>
      </c>
      <c r="E371" t="s">
        <v>406</v>
      </c>
    </row>
    <row r="372" spans="1:5" x14ac:dyDescent="0.2">
      <c r="A372" cm="1">
        <f t="array" ref="A372">_xlfn.STDEV.P(1345,1301,1368,1322,Jan:Mar!A1:A3)</f>
        <v>613.54574295501789</v>
      </c>
      <c r="B372">
        <f t="shared" si="15"/>
        <v>0</v>
      </c>
      <c r="C372">
        <f t="shared" si="16"/>
        <v>613.54574295501789</v>
      </c>
      <c r="D372" t="str">
        <f t="shared" si="17"/>
        <v/>
      </c>
      <c r="E372" t="s">
        <v>407</v>
      </c>
    </row>
    <row r="373" spans="1:5" x14ac:dyDescent="0.2">
      <c r="A373" cm="1">
        <f t="array" ref="A373">_xlfn.STDEV.S((D!B1:B3,D!C1:C3),1301,1368,1322,1310)</f>
        <v>680.53717344789072</v>
      </c>
      <c r="B373">
        <f t="shared" si="15"/>
        <v>0</v>
      </c>
      <c r="C373">
        <f t="shared" si="16"/>
        <v>680.53717344789072</v>
      </c>
      <c r="D373" t="str">
        <f t="shared" si="17"/>
        <v/>
      </c>
      <c r="E373" t="s">
        <v>408</v>
      </c>
    </row>
    <row r="374" spans="1:5" x14ac:dyDescent="0.2">
      <c r="A374" cm="1">
        <f t="array" ref="A374">_xlfn.STDEV.S(Jan:Mar!A1:A3,1301,1368,1322,1310)</f>
        <v>634.40617297413837</v>
      </c>
      <c r="B374">
        <f t="shared" si="15"/>
        <v>0</v>
      </c>
      <c r="C374">
        <f t="shared" si="16"/>
        <v>634.40617297413837</v>
      </c>
      <c r="D374" t="str">
        <f t="shared" si="17"/>
        <v/>
      </c>
      <c r="E374" t="s">
        <v>409</v>
      </c>
    </row>
    <row r="375" spans="1:5" x14ac:dyDescent="0.2">
      <c r="A375" cm="1">
        <f t="array" ref="A375">_xlfn.STDEV.S(1345,(D!B1:B3,D!C1:C3),1368,1322,1310)</f>
        <v>686.16046066337697</v>
      </c>
      <c r="B375">
        <f t="shared" si="15"/>
        <v>0</v>
      </c>
      <c r="C375">
        <f t="shared" si="16"/>
        <v>686.16046066337697</v>
      </c>
      <c r="D375" t="str">
        <f t="shared" si="17"/>
        <v/>
      </c>
      <c r="E375" t="s">
        <v>410</v>
      </c>
    </row>
    <row r="376" spans="1:5" x14ac:dyDescent="0.2">
      <c r="A376" cm="1">
        <f t="array" ref="A376">_xlfn.STDEV.S(1345,Jan:Mar!A1:A3,1368,1322,1310)</f>
        <v>639.64450262906951</v>
      </c>
      <c r="B376">
        <f t="shared" si="15"/>
        <v>0</v>
      </c>
      <c r="C376">
        <f t="shared" si="16"/>
        <v>639.64450262906951</v>
      </c>
      <c r="D376" t="str">
        <f t="shared" si="17"/>
        <v/>
      </c>
      <c r="E376" t="s">
        <v>411</v>
      </c>
    </row>
    <row r="377" spans="1:5" x14ac:dyDescent="0.2">
      <c r="A377" cm="1">
        <f t="array" ref="A377">_xlfn.STDEV.S(1345,1301,(D!B1:B3,D!C1:C3),1322,1310)</f>
        <v>677.44015725868121</v>
      </c>
      <c r="B377">
        <f t="shared" si="15"/>
        <v>0</v>
      </c>
      <c r="C377">
        <f t="shared" si="16"/>
        <v>677.44015725868121</v>
      </c>
      <c r="D377" t="str">
        <f t="shared" si="17"/>
        <v/>
      </c>
      <c r="E377" t="s">
        <v>412</v>
      </c>
    </row>
    <row r="378" spans="1:5" x14ac:dyDescent="0.2">
      <c r="A378" cm="1">
        <f t="array" ref="A378">_xlfn.STDEV.S(1345,1301,Jan:Mar!A1:A3,1322,1310)</f>
        <v>631.54118569636398</v>
      </c>
      <c r="B378">
        <f t="shared" si="15"/>
        <v>0</v>
      </c>
      <c r="C378">
        <f t="shared" si="16"/>
        <v>631.54118569636398</v>
      </c>
      <c r="D378" t="str">
        <f t="shared" si="17"/>
        <v/>
      </c>
      <c r="E378" t="s">
        <v>413</v>
      </c>
    </row>
    <row r="379" spans="1:5" x14ac:dyDescent="0.2">
      <c r="A379" cm="1">
        <f t="array" ref="A379">_xlfn.STDEV.S(1345,1301,1368,(D!B1:B3,D!C1:C3),1310)</f>
        <v>683.52557458452952</v>
      </c>
      <c r="B379">
        <f t="shared" si="15"/>
        <v>0</v>
      </c>
      <c r="C379">
        <f t="shared" si="16"/>
        <v>683.52557458452952</v>
      </c>
      <c r="D379" t="str">
        <f t="shared" si="17"/>
        <v/>
      </c>
      <c r="E379" t="s">
        <v>414</v>
      </c>
    </row>
    <row r="380" spans="1:5" x14ac:dyDescent="0.2">
      <c r="A380" cm="1">
        <f t="array" ref="A380">_xlfn.STDEV.S(1345,1301,1368,Jan:Mar!A1:A3,1310)</f>
        <v>637.18377778052911</v>
      </c>
      <c r="B380">
        <f t="shared" si="15"/>
        <v>0</v>
      </c>
      <c r="C380">
        <f t="shared" si="16"/>
        <v>637.18377778052911</v>
      </c>
      <c r="D380" t="str">
        <f t="shared" si="17"/>
        <v/>
      </c>
      <c r="E380" t="s">
        <v>415</v>
      </c>
    </row>
    <row r="381" spans="1:5" x14ac:dyDescent="0.2">
      <c r="A381" cm="1">
        <f t="array" ref="A381">_xlfn.STDEV.S(1345,1301,1368,1322,(D!B1:B3,D!C1:C3))</f>
        <v>685.04209927403565</v>
      </c>
      <c r="B381">
        <f t="shared" si="15"/>
        <v>0</v>
      </c>
      <c r="C381">
        <f t="shared" si="16"/>
        <v>685.04209927403565</v>
      </c>
      <c r="D381" t="str">
        <f t="shared" si="17"/>
        <v/>
      </c>
      <c r="E381" t="s">
        <v>416</v>
      </c>
    </row>
    <row r="382" spans="1:5" x14ac:dyDescent="0.2">
      <c r="A382" cm="1">
        <f t="array" ref="A382">_xlfn.STDEV.S(1345,1301,1368,1322,Jan:Mar!A1:A3)</f>
        <v>638.59865611332407</v>
      </c>
      <c r="B382">
        <f t="shared" si="15"/>
        <v>0</v>
      </c>
      <c r="C382">
        <f t="shared" si="16"/>
        <v>638.59865611332407</v>
      </c>
      <c r="D382" t="str">
        <f t="shared" si="17"/>
        <v/>
      </c>
      <c r="E382" t="s">
        <v>417</v>
      </c>
    </row>
    <row r="383" spans="1:5" x14ac:dyDescent="0.2">
      <c r="A383" cm="1">
        <f t="array" ref="A383">STDEVA((D!B1:B3,D!C1:C3),1301,1368,1322,1310)</f>
        <v>680.53717344789072</v>
      </c>
      <c r="B383">
        <f t="shared" si="15"/>
        <v>0</v>
      </c>
      <c r="C383">
        <f t="shared" si="16"/>
        <v>680.53717344789072</v>
      </c>
      <c r="D383" t="str">
        <f t="shared" si="17"/>
        <v/>
      </c>
      <c r="E383" t="s">
        <v>418</v>
      </c>
    </row>
    <row r="384" spans="1:5" x14ac:dyDescent="0.2">
      <c r="A384" cm="1">
        <f t="array" ref="A384">STDEVA(Jan:Mar!A1:A3,1301,1368,1322,1310)</f>
        <v>634.40617297413837</v>
      </c>
      <c r="B384">
        <f t="shared" si="15"/>
        <v>0</v>
      </c>
      <c r="C384">
        <f t="shared" si="16"/>
        <v>634.40617297413837</v>
      </c>
      <c r="D384" t="str">
        <f t="shared" si="17"/>
        <v/>
      </c>
      <c r="E384" t="s">
        <v>419</v>
      </c>
    </row>
    <row r="385" spans="1:5" x14ac:dyDescent="0.2">
      <c r="A385" cm="1">
        <f t="array" ref="A385">STDEVA(1345,(D!B1:B3,D!C1:C3),1368,1322,1310)</f>
        <v>686.16046066337697</v>
      </c>
      <c r="B385">
        <f t="shared" ref="B385:B448" si="18">IF(ISERROR(A385),ERROR.TYPE(A385),IF(ISNUMBER(A385),0,IF(ISLOGICAL(A385),IF(A385,-1,-2),IF(ISTEXT(A385),-3,-4))))</f>
        <v>0</v>
      </c>
      <c r="C385">
        <f t="shared" ref="C385:C400" si="19">IF(ISNUMBER(A385),A385,0)</f>
        <v>686.16046066337697</v>
      </c>
      <c r="D385" t="str">
        <f t="shared" ref="D385:D400" si="20">IF(ISTEXT(A385),A385,"")</f>
        <v/>
      </c>
      <c r="E385" t="s">
        <v>420</v>
      </c>
    </row>
    <row r="386" spans="1:5" x14ac:dyDescent="0.2">
      <c r="A386" cm="1">
        <f t="array" ref="A386">STDEVA(1345,Jan:Mar!A1:A3,1368,1322,1310)</f>
        <v>639.64450262906951</v>
      </c>
      <c r="B386">
        <f t="shared" si="18"/>
        <v>0</v>
      </c>
      <c r="C386">
        <f t="shared" si="19"/>
        <v>639.64450262906951</v>
      </c>
      <c r="D386" t="str">
        <f t="shared" si="20"/>
        <v/>
      </c>
      <c r="E386" t="s">
        <v>421</v>
      </c>
    </row>
    <row r="387" spans="1:5" x14ac:dyDescent="0.2">
      <c r="A387" cm="1">
        <f t="array" ref="A387">STDEVA(1345,1301,(D!B1:B3,D!C1:C3),1322,1310)</f>
        <v>677.44015725868121</v>
      </c>
      <c r="B387">
        <f t="shared" si="18"/>
        <v>0</v>
      </c>
      <c r="C387">
        <f t="shared" si="19"/>
        <v>677.44015725868121</v>
      </c>
      <c r="D387" t="str">
        <f t="shared" si="20"/>
        <v/>
      </c>
      <c r="E387" t="s">
        <v>422</v>
      </c>
    </row>
    <row r="388" spans="1:5" x14ac:dyDescent="0.2">
      <c r="A388" cm="1">
        <f t="array" ref="A388">STDEVA(1345,1301,Jan:Mar!A1:A3,1322,1310)</f>
        <v>631.54118569636398</v>
      </c>
      <c r="B388">
        <f t="shared" si="18"/>
        <v>0</v>
      </c>
      <c r="C388">
        <f t="shared" si="19"/>
        <v>631.54118569636398</v>
      </c>
      <c r="D388" t="str">
        <f t="shared" si="20"/>
        <v/>
      </c>
      <c r="E388" t="s">
        <v>423</v>
      </c>
    </row>
    <row r="389" spans="1:5" x14ac:dyDescent="0.2">
      <c r="A389" cm="1">
        <f t="array" ref="A389">STDEVA(1345,1301,1368,(D!B1:B3,D!C1:C3),1310)</f>
        <v>683.52557458452952</v>
      </c>
      <c r="B389">
        <f t="shared" si="18"/>
        <v>0</v>
      </c>
      <c r="C389">
        <f t="shared" si="19"/>
        <v>683.52557458452952</v>
      </c>
      <c r="D389" t="str">
        <f t="shared" si="20"/>
        <v/>
      </c>
      <c r="E389" t="s">
        <v>424</v>
      </c>
    </row>
    <row r="390" spans="1:5" x14ac:dyDescent="0.2">
      <c r="A390" cm="1">
        <f t="array" ref="A390">STDEVA(1345,1301,1368,Jan:Mar!A1:A3,1310)</f>
        <v>637.18377778052911</v>
      </c>
      <c r="B390">
        <f t="shared" si="18"/>
        <v>0</v>
      </c>
      <c r="C390">
        <f t="shared" si="19"/>
        <v>637.18377778052911</v>
      </c>
      <c r="D390" t="str">
        <f t="shared" si="20"/>
        <v/>
      </c>
      <c r="E390" t="s">
        <v>425</v>
      </c>
    </row>
    <row r="391" spans="1:5" x14ac:dyDescent="0.2">
      <c r="A391" cm="1">
        <f t="array" ref="A391">STDEVA(1345,1301,1368,1322,(D!B1:B3,D!C1:C3))</f>
        <v>685.04209927403565</v>
      </c>
      <c r="B391">
        <f t="shared" si="18"/>
        <v>0</v>
      </c>
      <c r="C391">
        <f t="shared" si="19"/>
        <v>685.04209927403565</v>
      </c>
      <c r="D391" t="str">
        <f t="shared" si="20"/>
        <v/>
      </c>
      <c r="E391" t="s">
        <v>426</v>
      </c>
    </row>
    <row r="392" spans="1:5" x14ac:dyDescent="0.2">
      <c r="A392" cm="1">
        <f t="array" ref="A392">STDEVA(1345,1301,1368,1322,Jan:Mar!A1:A3)</f>
        <v>638.59865611332407</v>
      </c>
      <c r="B392">
        <f t="shared" si="18"/>
        <v>0</v>
      </c>
      <c r="C392">
        <f t="shared" si="19"/>
        <v>638.59865611332407</v>
      </c>
      <c r="D392" t="str">
        <f t="shared" si="20"/>
        <v/>
      </c>
      <c r="E392" t="s">
        <v>427</v>
      </c>
    </row>
    <row r="393" spans="1:5" x14ac:dyDescent="0.2">
      <c r="A393" cm="1">
        <f t="array" ref="A393">STDEVP((D!B1:B3,D!C1:C3),1301,1368,1322,1310)</f>
        <v>645.6142501525195</v>
      </c>
      <c r="B393">
        <f t="shared" si="18"/>
        <v>0</v>
      </c>
      <c r="C393">
        <f t="shared" si="19"/>
        <v>645.6142501525195</v>
      </c>
      <c r="D393" t="str">
        <f t="shared" si="20"/>
        <v/>
      </c>
      <c r="E393" t="s">
        <v>428</v>
      </c>
    </row>
    <row r="394" spans="1:5" x14ac:dyDescent="0.2">
      <c r="A394" cm="1">
        <f t="array" ref="A394">STDEVP(Jan:Mar!A1:A3,1301,1368,1322,1310)</f>
        <v>609.51773544539719</v>
      </c>
      <c r="B394">
        <f t="shared" si="18"/>
        <v>0</v>
      </c>
      <c r="C394">
        <f t="shared" si="19"/>
        <v>609.51773544539719</v>
      </c>
      <c r="D394" t="str">
        <f t="shared" si="20"/>
        <v/>
      </c>
      <c r="E394" t="s">
        <v>429</v>
      </c>
    </row>
    <row r="395" spans="1:5" x14ac:dyDescent="0.2">
      <c r="A395" cm="1">
        <f t="array" ref="A395">STDEVP(1345,(D!B1:B3,D!C1:C3),1368,1322,1310)</f>
        <v>650.94896881399234</v>
      </c>
      <c r="B395">
        <f t="shared" si="18"/>
        <v>0</v>
      </c>
      <c r="C395">
        <f t="shared" si="19"/>
        <v>650.94896881399234</v>
      </c>
      <c r="D395" t="str">
        <f t="shared" si="20"/>
        <v/>
      </c>
      <c r="E395" t="s">
        <v>430</v>
      </c>
    </row>
    <row r="396" spans="1:5" x14ac:dyDescent="0.2">
      <c r="A396" cm="1">
        <f t="array" ref="A396">STDEVP(1345,Jan:Mar!A1:A3,1368,1322,1310)</f>
        <v>614.55055978539667</v>
      </c>
      <c r="B396">
        <f t="shared" si="18"/>
        <v>0</v>
      </c>
      <c r="C396">
        <f t="shared" si="19"/>
        <v>614.55055978539667</v>
      </c>
      <c r="D396" t="str">
        <f t="shared" si="20"/>
        <v/>
      </c>
      <c r="E396" t="s">
        <v>431</v>
      </c>
    </row>
    <row r="397" spans="1:5" x14ac:dyDescent="0.2">
      <c r="A397" cm="1">
        <f t="array" ref="A397">STDEVP(1345,1301,(D!B1:B3,D!C1:C3),1322,1310)</f>
        <v>642.67616262002434</v>
      </c>
      <c r="B397">
        <f t="shared" si="18"/>
        <v>0</v>
      </c>
      <c r="C397">
        <f t="shared" si="19"/>
        <v>642.67616262002434</v>
      </c>
      <c r="D397" t="str">
        <f t="shared" si="20"/>
        <v/>
      </c>
      <c r="E397" t="s">
        <v>432</v>
      </c>
    </row>
    <row r="398" spans="1:5" x14ac:dyDescent="0.2">
      <c r="A398" cm="1">
        <f t="array" ref="A398">STDEVP(1345,1301,Jan:Mar!A1:A3,1322,1310)</f>
        <v>606.76514470460677</v>
      </c>
      <c r="B398">
        <f t="shared" si="18"/>
        <v>0</v>
      </c>
      <c r="C398">
        <f t="shared" si="19"/>
        <v>606.76514470460677</v>
      </c>
      <c r="D398" t="str">
        <f t="shared" si="20"/>
        <v/>
      </c>
      <c r="E398" t="s">
        <v>433</v>
      </c>
    </row>
    <row r="399" spans="1:5" x14ac:dyDescent="0.2">
      <c r="A399" cm="1">
        <f t="array" ref="A399">STDEVP(1345,1301,1368,(D!B1:B3,D!C1:C3),1310)</f>
        <v>648.44929639872385</v>
      </c>
      <c r="B399">
        <f t="shared" si="18"/>
        <v>0</v>
      </c>
      <c r="C399">
        <f t="shared" si="19"/>
        <v>648.44929639872385</v>
      </c>
      <c r="D399" t="str">
        <f t="shared" si="20"/>
        <v/>
      </c>
      <c r="E399" t="s">
        <v>434</v>
      </c>
    </row>
    <row r="400" spans="1:5" x14ac:dyDescent="0.2">
      <c r="A400" cm="1">
        <f t="array" ref="A400">STDEVP(1345,1301,1368,Jan:Mar!A1:A3,1310)</f>
        <v>612.18637182328212</v>
      </c>
      <c r="B400">
        <f t="shared" si="18"/>
        <v>0</v>
      </c>
      <c r="C400">
        <f t="shared" si="19"/>
        <v>612.18637182328212</v>
      </c>
      <c r="D400" t="str">
        <f t="shared" si="20"/>
        <v/>
      </c>
      <c r="E400" t="s">
        <v>435</v>
      </c>
    </row>
    <row r="401" spans="1:1" x14ac:dyDescent="0.2">
      <c r="A401" t="s">
        <v>436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Jan</vt:lpstr>
      <vt:lpstr>Feb</vt:lpstr>
      <vt:lpstr>Mar</vt:lpstr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2026-10-07T11:17:30Z</dcterms:created>
  <dcterms:modified xsi:type="dcterms:W3CDTF">2026-10-07T11:17:31Z</dcterms:modified>
  <cp:category/>
</cp:coreProperties>
</file>