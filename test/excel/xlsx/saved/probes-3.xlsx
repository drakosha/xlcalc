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7539FBA4-3266-1749-A9E7-A878136F689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2" sheetId="1" r:id="rId1"/>
    <sheet name="S3" sheetId="2" r:id="rId2"/>
    <sheet name="D" sheetId="3" r:id="rId3"/>
    <sheet name="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9" i="4" l="1" a="1"/>
  <c r="A159" i="4" s="1"/>
  <c r="A158" i="4" a="1"/>
  <c r="A158" i="4" s="1"/>
  <c r="A157" i="4" a="1"/>
  <c r="A157" i="4" s="1"/>
  <c r="A156" i="4" a="1"/>
  <c r="A156" i="4" s="1"/>
  <c r="D156" i="4" s="1"/>
  <c r="A155" i="4" a="1"/>
  <c r="A155" i="4" s="1"/>
  <c r="A154" i="4" a="1"/>
  <c r="A154" i="4"/>
  <c r="D154" i="4" s="1"/>
  <c r="A153" i="4" a="1"/>
  <c r="A153" i="4" s="1"/>
  <c r="A152" i="4" a="1"/>
  <c r="A152" i="4" s="1"/>
  <c r="A151" i="4" a="1"/>
  <c r="A151" i="4"/>
  <c r="B151" i="4" s="1"/>
  <c r="A150" i="4" a="1"/>
  <c r="A150" i="4" s="1"/>
  <c r="A149" i="4" a="1"/>
  <c r="A149" i="4" s="1"/>
  <c r="D149" i="4" s="1"/>
  <c r="A148" i="4" a="1"/>
  <c r="A148" i="4" s="1"/>
  <c r="A147" i="4" a="1"/>
  <c r="A147" i="4" s="1"/>
  <c r="A146" i="4" a="1"/>
  <c r="A146" i="4" s="1"/>
  <c r="D146" i="4" s="1"/>
  <c r="A145" i="4" a="1"/>
  <c r="A145" i="4"/>
  <c r="B145" i="4" s="1"/>
  <c r="A144" i="4" a="1"/>
  <c r="A144" i="4"/>
  <c r="D144" i="4" s="1"/>
  <c r="A143" i="4" a="1"/>
  <c r="A143" i="4"/>
  <c r="A142" i="4" a="1"/>
  <c r="A142" i="4"/>
  <c r="C142" i="4" s="1"/>
  <c r="A141" i="4" a="1"/>
  <c r="A141" i="4"/>
  <c r="B140" i="4"/>
  <c r="A140" i="4" a="1"/>
  <c r="A140" i="4" s="1"/>
  <c r="C140" i="4" s="1"/>
  <c r="A139" i="4" a="1"/>
  <c r="A139" i="4" s="1"/>
  <c r="D139" i="4" s="1"/>
  <c r="A138" i="4" a="1"/>
  <c r="A138" i="4" s="1"/>
  <c r="C138" i="4" s="1"/>
  <c r="A137" i="4" a="1"/>
  <c r="A137" i="4" s="1"/>
  <c r="B137" i="4" s="1"/>
  <c r="A136" i="4" a="1"/>
  <c r="A136" i="4"/>
  <c r="B136" i="4" s="1"/>
  <c r="A135" i="4" a="1"/>
  <c r="A135" i="4" s="1"/>
  <c r="A134" i="4" a="1"/>
  <c r="A134" i="4"/>
  <c r="C134" i="4" s="1"/>
  <c r="A133" i="4" a="1"/>
  <c r="A133" i="4" s="1"/>
  <c r="A132" i="4" a="1"/>
  <c r="A132" i="4" s="1"/>
  <c r="B131" i="4"/>
  <c r="A131" i="4" a="1"/>
  <c r="A131" i="4" s="1"/>
  <c r="D131" i="4" s="1"/>
  <c r="A130" i="4" a="1"/>
  <c r="A130" i="4" s="1"/>
  <c r="A129" i="4" a="1"/>
  <c r="A129" i="4"/>
  <c r="D129" i="4" s="1"/>
  <c r="A128" i="4" a="1"/>
  <c r="A128" i="4"/>
  <c r="D128" i="4" s="1"/>
  <c r="A127" i="4" a="1"/>
  <c r="A127" i="4"/>
  <c r="D127" i="4" s="1"/>
  <c r="A126" i="4" a="1"/>
  <c r="A126" i="4"/>
  <c r="D126" i="4" s="1"/>
  <c r="A125" i="4" a="1"/>
  <c r="A125" i="4" s="1"/>
  <c r="A124" i="4" a="1"/>
  <c r="A124" i="4" s="1"/>
  <c r="A123" i="4" a="1"/>
  <c r="A123" i="4" s="1"/>
  <c r="A122" i="4" a="1"/>
  <c r="A122" i="4" s="1"/>
  <c r="D122" i="4" s="1"/>
  <c r="A121" i="4" a="1"/>
  <c r="A121" i="4"/>
  <c r="D121" i="4" s="1"/>
  <c r="A120" i="4" a="1"/>
  <c r="A120" i="4" s="1"/>
  <c r="D120" i="4" s="1"/>
  <c r="A119" i="4" a="1"/>
  <c r="A119" i="4"/>
  <c r="C118" i="4"/>
  <c r="A118" i="4" a="1"/>
  <c r="A118" i="4"/>
  <c r="B118" i="4" s="1"/>
  <c r="A117" i="4" a="1"/>
  <c r="A117" i="4" s="1"/>
  <c r="A116" i="4" a="1"/>
  <c r="A116" i="4"/>
  <c r="C116" i="4" s="1"/>
  <c r="A115" i="4" a="1"/>
  <c r="A115" i="4" s="1"/>
  <c r="A114" i="4" a="1"/>
  <c r="A114" i="4" s="1"/>
  <c r="B114" i="4" s="1"/>
  <c r="A113" i="4" a="1"/>
  <c r="A113" i="4" s="1"/>
  <c r="D113" i="4" s="1"/>
  <c r="A112" i="4" a="1"/>
  <c r="A112" i="4" s="1"/>
  <c r="A111" i="4" a="1"/>
  <c r="A111" i="4"/>
  <c r="C111" i="4" s="1"/>
  <c r="B110" i="4"/>
  <c r="A110" i="4" a="1"/>
  <c r="A110" i="4"/>
  <c r="D110" i="4" s="1"/>
  <c r="A109" i="4" a="1"/>
  <c r="A109" i="4"/>
  <c r="D109" i="4" s="1"/>
  <c r="A108" i="4" a="1"/>
  <c r="A108" i="4" s="1"/>
  <c r="A107" i="4" a="1"/>
  <c r="A107" i="4" s="1"/>
  <c r="A106" i="4" a="1"/>
  <c r="A106" i="4" s="1"/>
  <c r="A105" i="4" a="1"/>
  <c r="A105" i="4" s="1"/>
  <c r="A104" i="4" a="1"/>
  <c r="A104" i="4" s="1"/>
  <c r="B104" i="4" s="1"/>
  <c r="A103" i="4" a="1"/>
  <c r="A103" i="4" s="1"/>
  <c r="A102" i="4" a="1"/>
  <c r="A102" i="4" s="1"/>
  <c r="D102" i="4" s="1"/>
  <c r="A101" i="4" a="1"/>
  <c r="A101" i="4" s="1"/>
  <c r="B101" i="4" s="1"/>
  <c r="A100" i="4" a="1"/>
  <c r="A100" i="4"/>
  <c r="B100" i="4" s="1"/>
  <c r="A99" i="4" a="1"/>
  <c r="A99" i="4"/>
  <c r="D99" i="4" s="1"/>
  <c r="A98" i="4" a="1"/>
  <c r="A98" i="4" s="1"/>
  <c r="A97" i="4" a="1"/>
  <c r="A97" i="4" s="1"/>
  <c r="D97" i="4" s="1"/>
  <c r="A96" i="4" a="1"/>
  <c r="A96" i="4" s="1"/>
  <c r="A95" i="4" a="1"/>
  <c r="A95" i="4" s="1"/>
  <c r="C95" i="4" s="1"/>
  <c r="A94" i="4" a="1"/>
  <c r="A94" i="4"/>
  <c r="A93" i="4" a="1"/>
  <c r="A93" i="4"/>
  <c r="D93" i="4" s="1"/>
  <c r="A92" i="4" a="1"/>
  <c r="A92" i="4" s="1"/>
  <c r="A91" i="4" a="1"/>
  <c r="A91" i="4" s="1"/>
  <c r="A90" i="4" a="1"/>
  <c r="A90" i="4" s="1"/>
  <c r="D90" i="4" s="1"/>
  <c r="A89" i="4" a="1"/>
  <c r="A89" i="4" s="1"/>
  <c r="A88" i="4" a="1"/>
  <c r="A88" i="4"/>
  <c r="D88" i="4" s="1"/>
  <c r="A87" i="4" a="1"/>
  <c r="A87" i="4"/>
  <c r="A86" i="4" a="1"/>
  <c r="A86" i="4" s="1"/>
  <c r="D86" i="4" s="1"/>
  <c r="A85" i="4" a="1"/>
  <c r="A85" i="4"/>
  <c r="D85" i="4" s="1"/>
  <c r="D84" i="4"/>
  <c r="C84" i="4"/>
  <c r="B84" i="4"/>
  <c r="A84" i="4" a="1"/>
  <c r="A84" i="4" s="1"/>
  <c r="A83" i="4" a="1"/>
  <c r="A83" i="4"/>
  <c r="B83" i="4" s="1"/>
  <c r="A82" i="4" a="1"/>
  <c r="A82" i="4" s="1"/>
  <c r="B82" i="4" s="1"/>
  <c r="A81" i="4" a="1"/>
  <c r="A81" i="4"/>
  <c r="C81" i="4" s="1"/>
  <c r="A80" i="4" a="1"/>
  <c r="A80" i="4" s="1"/>
  <c r="A79" i="4" a="1"/>
  <c r="A79" i="4"/>
  <c r="D79" i="4" s="1"/>
  <c r="A78" i="4" a="1"/>
  <c r="A78" i="4" s="1"/>
  <c r="D77" i="4"/>
  <c r="C77" i="4"/>
  <c r="B77" i="4"/>
  <c r="A77" i="4" a="1"/>
  <c r="A77" i="4" s="1"/>
  <c r="A76" i="4" a="1"/>
  <c r="A76" i="4" s="1"/>
  <c r="A75" i="4" a="1"/>
  <c r="A75" i="4"/>
  <c r="B75" i="4" s="1"/>
  <c r="A74" i="4" a="1"/>
  <c r="A74" i="4"/>
  <c r="B74" i="4" s="1"/>
  <c r="A73" i="4" a="1"/>
  <c r="A73" i="4" s="1"/>
  <c r="A72" i="4" a="1"/>
  <c r="A72" i="4"/>
  <c r="D72" i="4" s="1"/>
  <c r="A71" i="4" a="1"/>
  <c r="A71" i="4" s="1"/>
  <c r="A70" i="4" a="1"/>
  <c r="A70" i="4" s="1"/>
  <c r="D70" i="4" s="1"/>
  <c r="A69" i="4" a="1"/>
  <c r="A69" i="4"/>
  <c r="A68" i="4" a="1"/>
  <c r="A68" i="4" s="1"/>
  <c r="D68" i="4" s="1"/>
  <c r="A67" i="4" a="1"/>
  <c r="A67" i="4" s="1"/>
  <c r="D67" i="4" s="1"/>
  <c r="A66" i="4" a="1"/>
  <c r="A66" i="4" s="1"/>
  <c r="D66" i="4" s="1"/>
  <c r="A65" i="4" a="1"/>
  <c r="A65" i="4"/>
  <c r="B65" i="4" s="1"/>
  <c r="A64" i="4" a="1"/>
  <c r="A64" i="4"/>
  <c r="B64" i="4" s="1"/>
  <c r="A63" i="4" a="1"/>
  <c r="A63" i="4" s="1"/>
  <c r="A62" i="4" a="1"/>
  <c r="A62" i="4"/>
  <c r="B62" i="4" s="1"/>
  <c r="A61" i="4" a="1"/>
  <c r="A61" i="4"/>
  <c r="D61" i="4" s="1"/>
  <c r="A60" i="4" a="1"/>
  <c r="A60" i="4"/>
  <c r="A59" i="4" a="1"/>
  <c r="A59" i="4" s="1"/>
  <c r="C59" i="4" s="1"/>
  <c r="A58" i="4" a="1"/>
  <c r="A58" i="4" s="1"/>
  <c r="A57" i="4" a="1"/>
  <c r="A57" i="4" s="1"/>
  <c r="A56" i="4" a="1"/>
  <c r="A56" i="4"/>
  <c r="B56" i="4" s="1"/>
  <c r="A55" i="4" a="1"/>
  <c r="A55" i="4" s="1"/>
  <c r="A54" i="4" a="1"/>
  <c r="A54" i="4"/>
  <c r="D54" i="4" s="1"/>
  <c r="A53" i="4" a="1"/>
  <c r="A53" i="4"/>
  <c r="A52" i="4" a="1"/>
  <c r="A52" i="4" s="1"/>
  <c r="A51" i="4" a="1"/>
  <c r="A51" i="4" s="1"/>
  <c r="A50" i="4" a="1"/>
  <c r="A50" i="4" s="1"/>
  <c r="C50" i="4" s="1"/>
  <c r="A49" i="4" a="1"/>
  <c r="A49" i="4"/>
  <c r="D49" i="4" s="1"/>
  <c r="A48" i="4" a="1"/>
  <c r="A48" i="4" s="1"/>
  <c r="D48" i="4" s="1"/>
  <c r="A47" i="4" a="1"/>
  <c r="A47" i="4"/>
  <c r="B47" i="4" s="1"/>
  <c r="A46" i="4" a="1"/>
  <c r="A46" i="4"/>
  <c r="B46" i="4" s="1"/>
  <c r="A45" i="4" a="1"/>
  <c r="A45" i="4" s="1"/>
  <c r="A44" i="4" a="1"/>
  <c r="A44" i="4"/>
  <c r="B44" i="4" s="1"/>
  <c r="A43" i="4" a="1"/>
  <c r="A43" i="4"/>
  <c r="C43" i="4" s="1"/>
  <c r="A42" i="4" a="1"/>
  <c r="A42" i="4" s="1"/>
  <c r="A41" i="4" a="1"/>
  <c r="A41" i="4" s="1"/>
  <c r="A40" i="4" a="1"/>
  <c r="A40" i="4" s="1"/>
  <c r="A39" i="4" a="1"/>
  <c r="A39" i="4"/>
  <c r="B39" i="4" s="1"/>
  <c r="A38" i="4" a="1"/>
  <c r="A38" i="4" s="1"/>
  <c r="B38" i="4" s="1"/>
  <c r="A37" i="4" a="1"/>
  <c r="A37" i="4"/>
  <c r="C37" i="4" s="1"/>
  <c r="A36" i="4" a="1"/>
  <c r="A36" i="4" s="1"/>
  <c r="D36" i="4" s="1"/>
  <c r="A35" i="4" a="1"/>
  <c r="A35" i="4" s="1"/>
  <c r="A34" i="4" a="1"/>
  <c r="A34" i="4" s="1"/>
  <c r="D34" i="4" s="1"/>
  <c r="A33" i="4" a="1"/>
  <c r="A33" i="4"/>
  <c r="A32" i="4" a="1"/>
  <c r="A32" i="4" s="1"/>
  <c r="D32" i="4" s="1"/>
  <c r="A31" i="4" a="1"/>
  <c r="A31" i="4" s="1"/>
  <c r="D31" i="4" s="1"/>
  <c r="A30" i="4" a="1"/>
  <c r="A30" i="4" s="1"/>
  <c r="D30" i="4" s="1"/>
  <c r="A29" i="4" a="1"/>
  <c r="A29" i="4"/>
  <c r="B29" i="4" s="1"/>
  <c r="A28" i="4" a="1"/>
  <c r="A28" i="4"/>
  <c r="B28" i="4" s="1"/>
  <c r="A27" i="4" a="1"/>
  <c r="A27" i="4" s="1"/>
  <c r="A26" i="4" a="1"/>
  <c r="A26" i="4"/>
  <c r="B26" i="4" s="1"/>
  <c r="A25" i="4" a="1"/>
  <c r="A25" i="4"/>
  <c r="D25" i="4" s="1"/>
  <c r="A24" i="4" a="1"/>
  <c r="A24" i="4"/>
  <c r="D24" i="4" s="1"/>
  <c r="A23" i="4" a="1"/>
  <c r="A23" i="4"/>
  <c r="B23" i="4" s="1"/>
  <c r="A22" i="4" a="1"/>
  <c r="A22" i="4" s="1"/>
  <c r="A21" i="4" a="1"/>
  <c r="A21" i="4" s="1"/>
  <c r="A20" i="4" a="1"/>
  <c r="A20" i="4" s="1"/>
  <c r="A19" i="4" a="1"/>
  <c r="A19" i="4"/>
  <c r="D19" i="4" s="1"/>
  <c r="A18" i="4" a="1"/>
  <c r="A18" i="4"/>
  <c r="B18" i="4" s="1"/>
  <c r="A17" i="4" a="1"/>
  <c r="A17" i="4"/>
  <c r="D17" i="4" s="1"/>
  <c r="A16" i="4" a="1"/>
  <c r="A16" i="4" s="1"/>
  <c r="A15" i="4" a="1"/>
  <c r="A15" i="4" s="1"/>
  <c r="A14" i="4" a="1"/>
  <c r="A14" i="4" s="1"/>
  <c r="B14" i="4" s="1"/>
  <c r="A13" i="4" a="1"/>
  <c r="A13" i="4"/>
  <c r="D13" i="4" s="1"/>
  <c r="A12" i="4" a="1"/>
  <c r="A12" i="4" s="1"/>
  <c r="B12" i="4" s="1"/>
  <c r="A11" i="4" a="1"/>
  <c r="A11" i="4" s="1"/>
  <c r="A10" i="4" a="1"/>
  <c r="A10" i="4"/>
  <c r="D10" i="4" s="1"/>
  <c r="A9" i="4" a="1"/>
  <c r="A9" i="4"/>
  <c r="D9" i="4" s="1"/>
  <c r="A8" i="4" a="1"/>
  <c r="A8" i="4"/>
  <c r="B8" i="4" s="1"/>
  <c r="A7" i="4" a="1"/>
  <c r="A7" i="4"/>
  <c r="C7" i="4" s="1"/>
  <c r="A6" i="4" a="1"/>
  <c r="A6" i="4"/>
  <c r="C6" i="4" s="1"/>
  <c r="A5" i="4" a="1"/>
  <c r="A5" i="4" s="1"/>
  <c r="B5" i="4" s="1"/>
  <c r="A4" i="4" a="1"/>
  <c r="A4" i="4" s="1"/>
  <c r="B4" i="4" s="1"/>
  <c r="A3" i="4" a="1"/>
  <c r="A3" i="4"/>
  <c r="B3" i="4" s="1"/>
  <c r="A2" i="4" a="1"/>
  <c r="A2" i="4"/>
  <c r="D2" i="4" s="1"/>
  <c r="A1" i="4" a="1"/>
  <c r="A1" i="4" s="1"/>
  <c r="I15" i="3"/>
  <c r="A14" i="3"/>
  <c r="A13" i="3"/>
  <c r="AL10" i="3"/>
  <c r="A8" i="3"/>
  <c r="A7" i="3"/>
  <c r="E3" i="3"/>
  <c r="D57" i="4" l="1"/>
  <c r="C57" i="4"/>
  <c r="B57" i="4"/>
  <c r="D21" i="4"/>
  <c r="B21" i="4"/>
  <c r="D63" i="4"/>
  <c r="C63" i="4"/>
  <c r="B63" i="4"/>
  <c r="D27" i="4"/>
  <c r="C27" i="4"/>
  <c r="B27" i="4"/>
  <c r="C91" i="4"/>
  <c r="B91" i="4"/>
  <c r="D91" i="4"/>
  <c r="C73" i="4"/>
  <c r="B73" i="4"/>
  <c r="D73" i="4"/>
  <c r="B98" i="4"/>
  <c r="D98" i="4"/>
  <c r="C98" i="4"/>
  <c r="C55" i="4"/>
  <c r="B55" i="4"/>
  <c r="D55" i="4"/>
  <c r="D147" i="4"/>
  <c r="C147" i="4"/>
  <c r="B147" i="4"/>
  <c r="B80" i="4"/>
  <c r="C80" i="4"/>
  <c r="D80" i="4"/>
  <c r="B1" i="4"/>
  <c r="D1" i="4"/>
  <c r="C1" i="4"/>
  <c r="C109" i="4"/>
  <c r="C54" i="4"/>
  <c r="B127" i="4"/>
  <c r="D134" i="4"/>
  <c r="D7" i="4"/>
  <c r="B86" i="4"/>
  <c r="B93" i="4"/>
  <c r="C127" i="4"/>
  <c r="D118" i="4"/>
  <c r="C154" i="4"/>
  <c r="C23" i="4"/>
  <c r="B7" i="4"/>
  <c r="D23" i="4"/>
  <c r="D59" i="4"/>
  <c r="D37" i="4"/>
  <c r="B68" i="4"/>
  <c r="C19" i="4"/>
  <c r="C32" i="4"/>
  <c r="D39" i="4"/>
  <c r="D62" i="4"/>
  <c r="D81" i="4"/>
  <c r="D95" i="4"/>
  <c r="D104" i="4"/>
  <c r="D111" i="4"/>
  <c r="B129" i="4"/>
  <c r="B138" i="4"/>
  <c r="C145" i="4"/>
  <c r="D3" i="4"/>
  <c r="D75" i="4"/>
  <c r="C129" i="4"/>
  <c r="D138" i="4"/>
  <c r="D145" i="4"/>
  <c r="C28" i="4"/>
  <c r="B59" i="4"/>
  <c r="B37" i="4"/>
  <c r="C93" i="4"/>
  <c r="B32" i="4"/>
  <c r="C68" i="4"/>
  <c r="B111" i="4"/>
  <c r="C75" i="4"/>
  <c r="C49" i="4"/>
  <c r="B109" i="4"/>
  <c r="C44" i="4"/>
  <c r="D142" i="4"/>
  <c r="D44" i="4"/>
  <c r="C86" i="4"/>
  <c r="B19" i="4"/>
  <c r="C39" i="4"/>
  <c r="C104" i="4"/>
  <c r="C3" i="4"/>
  <c r="D26" i="4"/>
  <c r="D116" i="4"/>
  <c r="B66" i="4"/>
  <c r="C26" i="4"/>
  <c r="C62" i="4"/>
  <c r="D52" i="4"/>
  <c r="C52" i="4"/>
  <c r="B52" i="4"/>
  <c r="D16" i="4"/>
  <c r="B16" i="4"/>
  <c r="C16" i="4"/>
  <c r="D153" i="4"/>
  <c r="C153" i="4"/>
  <c r="B153" i="4"/>
  <c r="C15" i="4"/>
  <c r="B15" i="4"/>
  <c r="D15" i="4"/>
  <c r="D132" i="4"/>
  <c r="C132" i="4"/>
  <c r="B132" i="4"/>
  <c r="D150" i="4"/>
  <c r="C150" i="4"/>
  <c r="B150" i="4"/>
  <c r="D58" i="4"/>
  <c r="C58" i="4"/>
  <c r="B58" i="4"/>
  <c r="C125" i="4"/>
  <c r="B125" i="4"/>
  <c r="D125" i="4"/>
  <c r="B133" i="4"/>
  <c r="D133" i="4"/>
  <c r="C133" i="4"/>
  <c r="D135" i="4"/>
  <c r="C135" i="4"/>
  <c r="B135" i="4"/>
  <c r="D148" i="4"/>
  <c r="C148" i="4"/>
  <c r="B148" i="4"/>
  <c r="D103" i="4"/>
  <c r="B103" i="4"/>
  <c r="C103" i="4"/>
  <c r="D96" i="4"/>
  <c r="C96" i="4"/>
  <c r="B96" i="4"/>
  <c r="D20" i="4"/>
  <c r="B20" i="4"/>
  <c r="C20" i="4"/>
  <c r="D115" i="4"/>
  <c r="C115" i="4"/>
  <c r="B115" i="4"/>
  <c r="B92" i="4"/>
  <c r="D92" i="4"/>
  <c r="C92" i="4"/>
  <c r="D41" i="4"/>
  <c r="C41" i="4"/>
  <c r="B41" i="4"/>
  <c r="D106" i="4"/>
  <c r="C106" i="4"/>
  <c r="B106" i="4"/>
  <c r="C89" i="4"/>
  <c r="B89" i="4"/>
  <c r="D89" i="4"/>
  <c r="C35" i="4"/>
  <c r="B35" i="4"/>
  <c r="D35" i="4"/>
  <c r="C107" i="4"/>
  <c r="B107" i="4"/>
  <c r="D107" i="4"/>
  <c r="B117" i="4"/>
  <c r="D117" i="4"/>
  <c r="C117" i="4"/>
  <c r="B45" i="4"/>
  <c r="D45" i="4"/>
  <c r="C45" i="4"/>
  <c r="D11" i="4"/>
  <c r="B11" i="4"/>
  <c r="C11" i="4"/>
  <c r="D108" i="4"/>
  <c r="B108" i="4"/>
  <c r="C108" i="4"/>
  <c r="D124" i="4"/>
  <c r="C124" i="4"/>
  <c r="B124" i="4"/>
  <c r="B50" i="4"/>
  <c r="D105" i="4"/>
  <c r="C105" i="4"/>
  <c r="B105" i="4"/>
  <c r="C143" i="4"/>
  <c r="B143" i="4"/>
  <c r="D78" i="4"/>
  <c r="C78" i="4"/>
  <c r="C100" i="4"/>
  <c r="D119" i="4"/>
  <c r="C119" i="4"/>
  <c r="B128" i="4"/>
  <c r="D114" i="4"/>
  <c r="C114" i="4"/>
  <c r="C33" i="4"/>
  <c r="B33" i="4"/>
  <c r="D60" i="4"/>
  <c r="C60" i="4"/>
  <c r="D69" i="4"/>
  <c r="C69" i="4"/>
  <c r="B69" i="4"/>
  <c r="C82" i="4"/>
  <c r="D100" i="4"/>
  <c r="C128" i="4"/>
  <c r="D143" i="4"/>
  <c r="B119" i="4"/>
  <c r="C110" i="4"/>
  <c r="D4" i="4"/>
  <c r="C4" i="4"/>
  <c r="B88" i="4"/>
  <c r="B97" i="4"/>
  <c r="B120" i="4"/>
  <c r="B144" i="4"/>
  <c r="B149" i="4"/>
  <c r="B70" i="4"/>
  <c r="B79" i="4"/>
  <c r="C88" i="4"/>
  <c r="C97" i="4"/>
  <c r="B139" i="4"/>
  <c r="C144" i="4"/>
  <c r="C149" i="4"/>
  <c r="C155" i="4"/>
  <c r="D155" i="4"/>
  <c r="D50" i="4"/>
  <c r="C8" i="4"/>
  <c r="B24" i="4"/>
  <c r="D8" i="4"/>
  <c r="D28" i="4"/>
  <c r="C74" i="4"/>
  <c r="C120" i="4"/>
  <c r="C5" i="4"/>
  <c r="B9" i="4"/>
  <c r="B13" i="4"/>
  <c r="B17" i="4"/>
  <c r="B25" i="4"/>
  <c r="B34" i="4"/>
  <c r="C38" i="4"/>
  <c r="C56" i="4"/>
  <c r="B61" i="4"/>
  <c r="C70" i="4"/>
  <c r="D74" i="4"/>
  <c r="C79" i="4"/>
  <c r="B102" i="4"/>
  <c r="C139" i="4"/>
  <c r="B155" i="4"/>
  <c r="C12" i="4"/>
  <c r="D42" i="4"/>
  <c r="C42" i="4"/>
  <c r="B78" i="4"/>
  <c r="D12" i="4"/>
  <c r="C46" i="4"/>
  <c r="C9" i="4"/>
  <c r="C17" i="4"/>
  <c r="C34" i="4"/>
  <c r="D38" i="4"/>
  <c r="B43" i="4"/>
  <c r="D56" i="4"/>
  <c r="C61" i="4"/>
  <c r="C102" i="4"/>
  <c r="B42" i="4"/>
  <c r="D5" i="4"/>
  <c r="C13" i="4"/>
  <c r="D130" i="4"/>
  <c r="C130" i="4"/>
  <c r="B130" i="4"/>
  <c r="B156" i="4"/>
  <c r="D51" i="4"/>
  <c r="C51" i="4"/>
  <c r="B51" i="4"/>
  <c r="C64" i="4"/>
  <c r="D83" i="4"/>
  <c r="C83" i="4"/>
  <c r="D46" i="4"/>
  <c r="D47" i="4"/>
  <c r="C47" i="4"/>
  <c r="C25" i="4"/>
  <c r="C21" i="4"/>
  <c r="C30" i="4"/>
  <c r="B48" i="4"/>
  <c r="C53" i="4"/>
  <c r="B53" i="4"/>
  <c r="C66" i="4"/>
  <c r="B121" i="4"/>
  <c r="B126" i="4"/>
  <c r="D140" i="4"/>
  <c r="C156" i="4"/>
  <c r="D87" i="4"/>
  <c r="C87" i="4"/>
  <c r="B87" i="4"/>
  <c r="D112" i="4"/>
  <c r="C112" i="4"/>
  <c r="B112" i="4"/>
  <c r="C121" i="4"/>
  <c r="C126" i="4"/>
  <c r="D141" i="4"/>
  <c r="C141" i="4"/>
  <c r="B141" i="4"/>
  <c r="D101" i="4"/>
  <c r="C101" i="4"/>
  <c r="C24" i="4"/>
  <c r="B60" i="4"/>
  <c r="D43" i="4"/>
  <c r="B6" i="4"/>
  <c r="C151" i="4"/>
  <c r="D157" i="4"/>
  <c r="C157" i="4"/>
  <c r="D64" i="4"/>
  <c r="B30" i="4"/>
  <c r="B2" i="4"/>
  <c r="D6" i="4"/>
  <c r="C10" i="4"/>
  <c r="C14" i="4"/>
  <c r="C18" i="4"/>
  <c r="D76" i="4"/>
  <c r="C76" i="4"/>
  <c r="B76" i="4"/>
  <c r="B85" i="4"/>
  <c r="B90" i="4"/>
  <c r="B122" i="4"/>
  <c r="C131" i="4"/>
  <c r="D151" i="4"/>
  <c r="D82" i="4"/>
  <c r="C71" i="4"/>
  <c r="B71" i="4"/>
  <c r="C48" i="4"/>
  <c r="D14" i="4"/>
  <c r="D18" i="4"/>
  <c r="B31" i="4"/>
  <c r="D40" i="4"/>
  <c r="C40" i="4"/>
  <c r="B40" i="4"/>
  <c r="B67" i="4"/>
  <c r="B72" i="4"/>
  <c r="C85" i="4"/>
  <c r="C90" i="4"/>
  <c r="B99" i="4"/>
  <c r="B113" i="4"/>
  <c r="C122" i="4"/>
  <c r="C136" i="4"/>
  <c r="B146" i="4"/>
  <c r="C152" i="4"/>
  <c r="B152" i="4"/>
  <c r="B157" i="4"/>
  <c r="D33" i="4"/>
  <c r="D71" i="4"/>
  <c r="C2" i="4"/>
  <c r="B10" i="4"/>
  <c r="D22" i="4"/>
  <c r="C22" i="4"/>
  <c r="B22" i="4"/>
  <c r="D53" i="4"/>
  <c r="D94" i="4"/>
  <c r="C94" i="4"/>
  <c r="B94" i="4"/>
  <c r="C31" i="4"/>
  <c r="B36" i="4"/>
  <c r="B49" i="4"/>
  <c r="B54" i="4"/>
  <c r="C67" i="4"/>
  <c r="C72" i="4"/>
  <c r="B81" i="4"/>
  <c r="B95" i="4"/>
  <c r="C99" i="4"/>
  <c r="C113" i="4"/>
  <c r="D136" i="4"/>
  <c r="B142" i="4"/>
  <c r="C146" i="4"/>
  <c r="D152" i="4"/>
  <c r="D158" i="4"/>
  <c r="C158" i="4"/>
  <c r="B158" i="4"/>
  <c r="D29" i="4"/>
  <c r="C29" i="4"/>
  <c r="D65" i="4"/>
  <c r="C65" i="4"/>
  <c r="C36" i="4"/>
  <c r="D123" i="4"/>
  <c r="C123" i="4"/>
  <c r="B123" i="4"/>
  <c r="D137" i="4"/>
  <c r="C137" i="4"/>
  <c r="D159" i="4"/>
  <c r="C159" i="4"/>
  <c r="B159" i="4"/>
  <c r="B154" i="4"/>
  <c r="B116" i="4"/>
  <c r="B13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<sst xmlns="http://schemas.openxmlformats.org/spreadsheetml/2006/main" count="218" uniqueCount="195">
  <si>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</si>
  <si>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</si>
  <si>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</si>
  <si>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</si>
  <si>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</si>
  <si>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</si>
  <si>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</si>
  <si>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</si>
  <si>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</si>
  <si>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</si>
  <si>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</si>
  <si>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</si>
  <si>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</si>
  <si>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</si>
  <si>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</si>
  <si>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</si>
  <si>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</si>
  <si>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</si>
  <si>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</si>
  <si>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</si>
  <si>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</si>
  <si>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</si>
  <si>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</si>
  <si>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</si>
  <si>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</si>
  <si>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</si>
  <si>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</si>
  <si>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</si>
  <si>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</si>
  <si>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</si>
  <si>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</si>
  <si>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</si>
  <si>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</si>
  <si>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</si>
  <si>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</si>
  <si>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general#218</t>
  </si>
  <si>
    <t>general#219</t>
  </si>
  <si>
    <t>general#220</t>
  </si>
  <si>
    <t>general#221</t>
  </si>
  <si>
    <t>general#222</t>
  </si>
  <si>
    <t>general#223</t>
  </si>
  <si>
    <t>general#224</t>
  </si>
  <si>
    <t>general#225</t>
  </si>
  <si>
    <t>general#226</t>
  </si>
  <si>
    <t>general#227</t>
  </si>
  <si>
    <t>general#228</t>
  </si>
  <si>
    <t>general#229</t>
  </si>
  <si>
    <t>general#230</t>
  </si>
  <si>
    <t>general#231</t>
  </si>
  <si>
    <t>general#232</t>
  </si>
  <si>
    <t>general#233</t>
  </si>
  <si>
    <t>general#234</t>
  </si>
  <si>
    <t>general#235</t>
  </si>
  <si>
    <t>general#236</t>
  </si>
  <si>
    <t>general#237</t>
  </si>
  <si>
    <t>general#238</t>
  </si>
  <si>
    <t>general#239</t>
  </si>
  <si>
    <t>general#240</t>
  </si>
  <si>
    <t>general#241</t>
  </si>
  <si>
    <t>general#242</t>
  </si>
  <si>
    <t>general#243</t>
  </si>
  <si>
    <t>general#244</t>
  </si>
  <si>
    <t>general#245</t>
  </si>
  <si>
    <t>general#246</t>
  </si>
  <si>
    <t>general#247</t>
  </si>
  <si>
    <t>general#248</t>
  </si>
  <si>
    <t>general#249</t>
  </si>
  <si>
    <t>general#250</t>
  </si>
  <si>
    <t>general#251</t>
  </si>
  <si>
    <t>general#252</t>
  </si>
  <si>
    <t>general#253</t>
  </si>
  <si>
    <t>general#254</t>
  </si>
  <si>
    <t>general#255</t>
  </si>
  <si>
    <t>general#256</t>
  </si>
  <si>
    <t>general#257</t>
  </si>
  <si>
    <t>general#258</t>
  </si>
  <si>
    <t>general#259</t>
  </si>
  <si>
    <t>general#260</t>
  </si>
  <si>
    <t>general#261</t>
  </si>
  <si>
    <t>general#262</t>
  </si>
  <si>
    <t>general#263</t>
  </si>
  <si>
    <t>general#264</t>
  </si>
  <si>
    <t>general#265</t>
  </si>
  <si>
    <t>general#266</t>
  </si>
  <si>
    <t>general#267</t>
  </si>
  <si>
    <t>general#268</t>
  </si>
  <si>
    <t>general#269</t>
  </si>
  <si>
    <t>general#270</t>
  </si>
  <si>
    <t>general#271</t>
  </si>
  <si>
    <t>general#272</t>
  </si>
  <si>
    <t>general#273</t>
  </si>
  <si>
    <t>general#274</t>
  </si>
  <si>
    <t>general#275</t>
  </si>
  <si>
    <t>general#276</t>
  </si>
  <si>
    <t>general#277</t>
  </si>
  <si>
    <t>general#278</t>
  </si>
  <si>
    <t>general#279</t>
  </si>
  <si>
    <t>general#280</t>
  </si>
  <si>
    <t>general#281</t>
  </si>
  <si>
    <t>general#282</t>
  </si>
  <si>
    <t>general#283</t>
  </si>
  <si>
    <t>general#284</t>
  </si>
  <si>
    <t>general#285</t>
  </si>
  <si>
    <t>general#286</t>
  </si>
  <si>
    <t>general#287</t>
  </si>
  <si>
    <t>general#288</t>
  </si>
  <si>
    <t>general#289</t>
  </si>
  <si>
    <t>general#290</t>
  </si>
  <si>
    <t>general#291</t>
  </si>
  <si>
    <t>general#292</t>
  </si>
  <si>
    <t>general#293</t>
  </si>
  <si>
    <t>general#294</t>
  </si>
  <si>
    <t>general#295</t>
  </si>
  <si>
    <t>general#296</t>
  </si>
  <si>
    <t>general#297</t>
  </si>
  <si>
    <t>general#298</t>
  </si>
  <si>
    <t>general#299</t>
  </si>
  <si>
    <t>general#300</t>
  </si>
  <si>
    <t>general#301</t>
  </si>
  <si>
    <t>general#302</t>
  </si>
  <si>
    <t>general#303</t>
  </si>
  <si>
    <t>general#304</t>
  </si>
  <si>
    <t>general#305</t>
  </si>
  <si>
    <t>general#306</t>
  </si>
  <si>
    <t>general#307</t>
  </si>
  <si>
    <t>general#308</t>
  </si>
  <si>
    <t>general#309</t>
  </si>
  <si>
    <t>general#310</t>
  </si>
  <si>
    <t>general#311</t>
  </si>
  <si>
    <t>general#312</t>
  </si>
  <si>
    <t>general#313</t>
  </si>
  <si>
    <t>general#314</t>
  </si>
  <si>
    <t>general#315</t>
  </si>
  <si>
    <t>general#316</t>
  </si>
  <si>
    <t>general#317</t>
  </si>
  <si>
    <t>general#318</t>
  </si>
  <si>
    <t>general#319</t>
  </si>
  <si>
    <t>general#320</t>
  </si>
  <si>
    <t>general#321</t>
  </si>
  <si>
    <t>general#322</t>
  </si>
  <si>
    <t>general#323</t>
  </si>
  <si>
    <t>general#324</t>
  </si>
  <si>
    <t>general#325</t>
  </si>
  <si>
    <t>general#326</t>
  </si>
  <si>
    <t>general#327</t>
  </si>
  <si>
    <t>general#328</t>
  </si>
  <si>
    <t>general#329</t>
  </si>
  <si>
    <t>general#330</t>
  </si>
  <si>
    <t>general#331</t>
  </si>
  <si>
    <t>general#332</t>
  </si>
  <si>
    <t>general#333</t>
  </si>
  <si>
    <t>text#534</t>
  </si>
  <si>
    <t>text#535</t>
  </si>
  <si>
    <t>text#536</t>
  </si>
  <si>
    <t>text#537</t>
  </si>
  <si>
    <t>text#538</t>
  </si>
  <si>
    <t>text#539</t>
  </si>
  <si>
    <t>text#540</t>
  </si>
  <si>
    <t>text#541</t>
  </si>
  <si>
    <t>text#542</t>
  </si>
  <si>
    <t>text#543</t>
  </si>
  <si>
    <t>text#544</t>
  </si>
  <si>
    <t>text#545</t>
  </si>
  <si>
    <t>text#546</t>
  </si>
  <si>
    <t>text#547</t>
  </si>
  <si>
    <t>text#548</t>
  </si>
  <si>
    <t>text#549</t>
  </si>
  <si>
    <t>general#334</t>
  </si>
  <si>
    <t>general#335</t>
  </si>
  <si>
    <t>general#336</t>
  </si>
  <si>
    <t>general#337</t>
  </si>
  <si>
    <t>parse#1</t>
  </si>
  <si>
    <t>parse#2</t>
  </si>
  <si>
    <t>parse#3</t>
  </si>
  <si>
    <t>parse#4</t>
  </si>
  <si>
    <t>parse#5</t>
  </si>
  <si>
    <t>parse#6</t>
  </si>
  <si>
    <t>parse#7</t>
  </si>
  <si>
    <t>parse#8</t>
  </si>
  <si>
    <t>parse#9</t>
  </si>
  <si>
    <t>parse#10</t>
  </si>
  <si>
    <t>parse#11</t>
  </si>
  <si>
    <t>parse#12</t>
  </si>
  <si>
    <t>parse#13</t>
  </si>
  <si>
    <t>criteria#1</t>
  </si>
  <si>
    <t>criteria#2</t>
  </si>
  <si>
    <t>criteria#3</t>
  </si>
  <si>
    <t>criteria#4</t>
  </si>
  <si>
    <t>criteria#5</t>
  </si>
  <si>
    <t>criteria#6</t>
  </si>
  <si>
    <t>criteria#7</t>
  </si>
  <si>
    <t>criteria#8</t>
  </si>
  <si>
    <t>criteria#9</t>
  </si>
  <si>
    <t>criteria#10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</si>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</sst>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/>
  </sheetViews>
  <sheetFormatPr baseColWidth="10" defaultColWidth="8.83203125" defaultRowHeight="15" x14ac:dyDescent="0.2"/>
  <sheetData>
    <row r="1" spans="2:2" x14ac:dyDescent="0.2">
      <c r="B1">
        <v>1</v>
      </c>
    </row>
    <row r="2" spans="2:2" x14ac:dyDescent="0.2">
      <c r="B2">
        <v>-1</v>
      </c>
    </row>
    <row r="3" spans="2:2" x14ac:dyDescent="0.2">
      <c r="B3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0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TEXT(-1500000000,"General")</f>
        <v>-1500000000</v>
      </c>
      <c r="B1">
        <f t="shared" ref="B1:B32" si="0">IF(ISERROR(A1),ERROR.TYPE(A1),IF(ISNUMBER(A1),0,IF(ISLOGICAL(A1),IF(A1,-1,-2),IF(ISTEXT(A1),-3,-4))))</f>
        <v>-3</v>
      </c>
      <c r="C1">
        <f t="shared" ref="C1:C32" si="1">IF(ISNUMBER(A1),A1,0)</f>
        <v>0</v>
      </c>
      <c r="D1" t="str">
        <f t="shared" ref="D1:D32" si="2">IF(ISTEXT(A1),A1,"")</f>
        <v>-1500000000</v>
      </c>
      <c r="E1" t="s">
        <v>35</v>
      </c>
    </row>
    <row r="2" spans="1:5" x14ac:dyDescent="0.2">
      <c r="A2" t="str" cm="1">
        <f t="array" ref="A2">TEXT(-15000000000,"General")</f>
        <v>-15000000000</v>
      </c>
      <c r="B2">
        <f t="shared" si="0"/>
        <v>-3</v>
      </c>
      <c r="C2">
        <f t="shared" si="1"/>
        <v>0</v>
      </c>
      <c r="D2" t="str">
        <f t="shared" si="2"/>
        <v>-15000000000</v>
      </c>
      <c r="E2" t="s">
        <v>36</v>
      </c>
    </row>
    <row r="3" spans="1:5" x14ac:dyDescent="0.2">
      <c r="A3" t="str" cm="1">
        <f t="array" ref="A3">TEXT(-150000000000,"General")</f>
        <v>-1.5E+11</v>
      </c>
      <c r="B3">
        <f t="shared" si="0"/>
        <v>-3</v>
      </c>
      <c r="C3">
        <f t="shared" si="1"/>
        <v>0</v>
      </c>
      <c r="D3" t="str">
        <f t="shared" si="2"/>
        <v>-1.5E+11</v>
      </c>
      <c r="E3" t="s">
        <v>37</v>
      </c>
    </row>
    <row r="4" spans="1:5" x14ac:dyDescent="0.2">
      <c r="A4" t="str" cm="1">
        <f t="array" ref="A4">TEXT(-1500000000000,"General")</f>
        <v>-1.5E+12</v>
      </c>
      <c r="B4">
        <f t="shared" si="0"/>
        <v>-3</v>
      </c>
      <c r="C4">
        <f t="shared" si="1"/>
        <v>0</v>
      </c>
      <c r="D4" t="str">
        <f t="shared" si="2"/>
        <v>-1.5E+12</v>
      </c>
      <c r="E4" t="s">
        <v>38</v>
      </c>
    </row>
    <row r="5" spans="1:5" x14ac:dyDescent="0.2">
      <c r="A5" t="str" cm="1">
        <f t="array" ref="A5">TEXT(-15000000000000,"General")</f>
        <v>-1.5E+13</v>
      </c>
      <c r="B5">
        <f t="shared" si="0"/>
        <v>-3</v>
      </c>
      <c r="C5">
        <f t="shared" si="1"/>
        <v>0</v>
      </c>
      <c r="D5" t="str">
        <f t="shared" si="2"/>
        <v>-1.5E+13</v>
      </c>
      <c r="E5" t="s">
        <v>39</v>
      </c>
    </row>
    <row r="6" spans="1:5" x14ac:dyDescent="0.2">
      <c r="A6" t="str" cm="1">
        <f t="array" ref="A6">TEXT(-150000000000000,"General")</f>
        <v>-1.5E+14</v>
      </c>
      <c r="B6">
        <f t="shared" si="0"/>
        <v>-3</v>
      </c>
      <c r="C6">
        <f t="shared" si="1"/>
        <v>0</v>
      </c>
      <c r="D6" t="str">
        <f t="shared" si="2"/>
        <v>-1.5E+14</v>
      </c>
      <c r="E6" t="s">
        <v>40</v>
      </c>
    </row>
    <row r="7" spans="1:5" x14ac:dyDescent="0.2">
      <c r="A7" t="str" cm="1">
        <f t="array" ref="A7">TEXT(-1500000000000000,"General")</f>
        <v>-1.5E+15</v>
      </c>
      <c r="B7">
        <f t="shared" si="0"/>
        <v>-3</v>
      </c>
      <c r="C7">
        <f t="shared" si="1"/>
        <v>0</v>
      </c>
      <c r="D7" t="str">
        <f t="shared" si="2"/>
        <v>-1.5E+15</v>
      </c>
      <c r="E7" t="s">
        <v>41</v>
      </c>
    </row>
    <row r="8" spans="1:5" x14ac:dyDescent="0.2">
      <c r="A8" t="str" cm="1">
        <f t="array" ref="A8">TEXT(-1.23456789012345E-12,"General")</f>
        <v>-1.23457E-12</v>
      </c>
      <c r="B8">
        <f t="shared" si="0"/>
        <v>-3</v>
      </c>
      <c r="C8">
        <f t="shared" si="1"/>
        <v>0</v>
      </c>
      <c r="D8" t="str">
        <f t="shared" si="2"/>
        <v>-1.23457E-12</v>
      </c>
      <c r="E8" t="s">
        <v>42</v>
      </c>
    </row>
    <row r="9" spans="1:5" x14ac:dyDescent="0.2">
      <c r="A9" t="str" cm="1">
        <f t="array" ref="A9">TEXT(-1.23456789012345E-11,"General")</f>
        <v>-1.23457E-11</v>
      </c>
      <c r="B9">
        <f t="shared" si="0"/>
        <v>-3</v>
      </c>
      <c r="C9">
        <f t="shared" si="1"/>
        <v>0</v>
      </c>
      <c r="D9" t="str">
        <f t="shared" si="2"/>
        <v>-1.23457E-11</v>
      </c>
      <c r="E9" t="s">
        <v>43</v>
      </c>
    </row>
    <row r="10" spans="1:5" x14ac:dyDescent="0.2">
      <c r="A10" t="str" cm="1">
        <f t="array" ref="A10">TEXT(-1.23456789012345E-10,"General")</f>
        <v>-1.23457E-10</v>
      </c>
      <c r="B10">
        <f t="shared" si="0"/>
        <v>-3</v>
      </c>
      <c r="C10">
        <f t="shared" si="1"/>
        <v>0</v>
      </c>
      <c r="D10" t="str">
        <f t="shared" si="2"/>
        <v>-1.23457E-10</v>
      </c>
      <c r="E10" t="s">
        <v>44</v>
      </c>
    </row>
    <row r="11" spans="1:5" x14ac:dyDescent="0.2">
      <c r="A11" t="str" cm="1">
        <f t="array" ref="A11">TEXT(-1.23456789012345E-09,"General")</f>
        <v>-1.23457E-09</v>
      </c>
      <c r="B11">
        <f t="shared" si="0"/>
        <v>-3</v>
      </c>
      <c r="C11">
        <f t="shared" si="1"/>
        <v>0</v>
      </c>
      <c r="D11" t="str">
        <f t="shared" si="2"/>
        <v>-1.23457E-09</v>
      </c>
      <c r="E11" t="s">
        <v>45</v>
      </c>
    </row>
    <row r="12" spans="1:5" x14ac:dyDescent="0.2">
      <c r="A12" t="str" cm="1">
        <f t="array" ref="A12">TEXT(-1.23456789012345E-08,"General")</f>
        <v>-1.23457E-08</v>
      </c>
      <c r="B12">
        <f t="shared" si="0"/>
        <v>-3</v>
      </c>
      <c r="C12">
        <f t="shared" si="1"/>
        <v>0</v>
      </c>
      <c r="D12" t="str">
        <f t="shared" si="2"/>
        <v>-1.23457E-08</v>
      </c>
      <c r="E12" t="s">
        <v>46</v>
      </c>
    </row>
    <row r="13" spans="1:5" x14ac:dyDescent="0.2">
      <c r="A13" t="str" cm="1">
        <f t="array" ref="A13">TEXT(-1.23456789012345E-07,"General")</f>
        <v>-1.23457E-07</v>
      </c>
      <c r="B13">
        <f t="shared" si="0"/>
        <v>-3</v>
      </c>
      <c r="C13">
        <f t="shared" si="1"/>
        <v>0</v>
      </c>
      <c r="D13" t="str">
        <f t="shared" si="2"/>
        <v>-1.23457E-07</v>
      </c>
      <c r="E13" t="s">
        <v>47</v>
      </c>
    </row>
    <row r="14" spans="1:5" x14ac:dyDescent="0.2">
      <c r="A14" t="str" cm="1">
        <f t="array" ref="A14">TEXT(-1.23456789012345E-06,"General")</f>
        <v>-1.23457E-06</v>
      </c>
      <c r="B14">
        <f t="shared" si="0"/>
        <v>-3</v>
      </c>
      <c r="C14">
        <f t="shared" si="1"/>
        <v>0</v>
      </c>
      <c r="D14" t="str">
        <f t="shared" si="2"/>
        <v>-1.23457E-06</v>
      </c>
      <c r="E14" t="s">
        <v>48</v>
      </c>
    </row>
    <row r="15" spans="1:5" x14ac:dyDescent="0.2">
      <c r="A15" t="str" cm="1">
        <f t="array" ref="A15">TEXT(-0.0000123456789012345,"General")</f>
        <v>-1.23457E-05</v>
      </c>
      <c r="B15">
        <f t="shared" si="0"/>
        <v>-3</v>
      </c>
      <c r="C15">
        <f t="shared" si="1"/>
        <v>0</v>
      </c>
      <c r="D15" t="str">
        <f t="shared" si="2"/>
        <v>-1.23457E-05</v>
      </c>
      <c r="E15" t="s">
        <v>49</v>
      </c>
    </row>
    <row r="16" spans="1:5" x14ac:dyDescent="0.2">
      <c r="A16" t="str" cm="1">
        <f t="array" ref="A16">TEXT(-0.000123456789012345,"General")</f>
        <v>-0.000123457</v>
      </c>
      <c r="B16">
        <f t="shared" si="0"/>
        <v>-3</v>
      </c>
      <c r="C16">
        <f t="shared" si="1"/>
        <v>0</v>
      </c>
      <c r="D16" t="str">
        <f t="shared" si="2"/>
        <v>-0.000123457</v>
      </c>
      <c r="E16" t="s">
        <v>50</v>
      </c>
    </row>
    <row r="17" spans="1:5" x14ac:dyDescent="0.2">
      <c r="A17" t="str" cm="1">
        <f t="array" ref="A17">TEXT(-0.00123456789012345,"General")</f>
        <v>-0.001234568</v>
      </c>
      <c r="B17">
        <f t="shared" si="0"/>
        <v>-3</v>
      </c>
      <c r="C17">
        <f t="shared" si="1"/>
        <v>0</v>
      </c>
      <c r="D17" t="str">
        <f t="shared" si="2"/>
        <v>-0.001234568</v>
      </c>
      <c r="E17" t="s">
        <v>51</v>
      </c>
    </row>
    <row r="18" spans="1:5" x14ac:dyDescent="0.2">
      <c r="A18" t="str" cm="1">
        <f t="array" ref="A18">TEXT(-0.0123456789012345,"General")</f>
        <v>-0.012345679</v>
      </c>
      <c r="B18">
        <f t="shared" si="0"/>
        <v>-3</v>
      </c>
      <c r="C18">
        <f t="shared" si="1"/>
        <v>0</v>
      </c>
      <c r="D18" t="str">
        <f t="shared" si="2"/>
        <v>-0.012345679</v>
      </c>
      <c r="E18" t="s">
        <v>52</v>
      </c>
    </row>
    <row r="19" spans="1:5" x14ac:dyDescent="0.2">
      <c r="A19" t="str" cm="1">
        <f t="array" ref="A19">TEXT(-0.123456789012345,"General")</f>
        <v>-0.123456789</v>
      </c>
      <c r="B19">
        <f t="shared" si="0"/>
        <v>-3</v>
      </c>
      <c r="C19">
        <f t="shared" si="1"/>
        <v>0</v>
      </c>
      <c r="D19" t="str">
        <f t="shared" si="2"/>
        <v>-0.123456789</v>
      </c>
      <c r="E19" t="s">
        <v>53</v>
      </c>
    </row>
    <row r="20" spans="1:5" x14ac:dyDescent="0.2">
      <c r="A20" t="str" cm="1">
        <f t="array" ref="A20">TEXT(-1.23456789012345,"General")</f>
        <v>-1.23456789</v>
      </c>
      <c r="B20">
        <f t="shared" si="0"/>
        <v>-3</v>
      </c>
      <c r="C20">
        <f t="shared" si="1"/>
        <v>0</v>
      </c>
      <c r="D20" t="str">
        <f t="shared" si="2"/>
        <v>-1.23456789</v>
      </c>
      <c r="E20" t="s">
        <v>54</v>
      </c>
    </row>
    <row r="21" spans="1:5" x14ac:dyDescent="0.2">
      <c r="A21" t="str" cm="1">
        <f t="array" ref="A21">TEXT(-12.3456789012345,"General")</f>
        <v>-12.3456789</v>
      </c>
      <c r="B21">
        <f t="shared" si="0"/>
        <v>-3</v>
      </c>
      <c r="C21">
        <f t="shared" si="1"/>
        <v>0</v>
      </c>
      <c r="D21" t="str">
        <f t="shared" si="2"/>
        <v>-12.3456789</v>
      </c>
      <c r="E21" t="s">
        <v>55</v>
      </c>
    </row>
    <row r="22" spans="1:5" x14ac:dyDescent="0.2">
      <c r="A22" t="str" cm="1">
        <f t="array" ref="A22">TEXT(-123.456789012345,"General")</f>
        <v>-123.456789</v>
      </c>
      <c r="B22">
        <f t="shared" si="0"/>
        <v>-3</v>
      </c>
      <c r="C22">
        <f t="shared" si="1"/>
        <v>0</v>
      </c>
      <c r="D22" t="str">
        <f t="shared" si="2"/>
        <v>-123.456789</v>
      </c>
      <c r="E22" t="s">
        <v>56</v>
      </c>
    </row>
    <row r="23" spans="1:5" x14ac:dyDescent="0.2">
      <c r="A23" t="str" cm="1">
        <f t="array" ref="A23">TEXT(-1234.56789012345,"General")</f>
        <v>-1234.56789</v>
      </c>
      <c r="B23">
        <f t="shared" si="0"/>
        <v>-3</v>
      </c>
      <c r="C23">
        <f t="shared" si="1"/>
        <v>0</v>
      </c>
      <c r="D23" t="str">
        <f t="shared" si="2"/>
        <v>-1234.56789</v>
      </c>
      <c r="E23" t="s">
        <v>57</v>
      </c>
    </row>
    <row r="24" spans="1:5" x14ac:dyDescent="0.2">
      <c r="A24" t="str" cm="1">
        <f t="array" ref="A24">TEXT(-12345.6789012345,"General")</f>
        <v>-12345.6789</v>
      </c>
      <c r="B24">
        <f t="shared" si="0"/>
        <v>-3</v>
      </c>
      <c r="C24">
        <f t="shared" si="1"/>
        <v>0</v>
      </c>
      <c r="D24" t="str">
        <f t="shared" si="2"/>
        <v>-12345.6789</v>
      </c>
      <c r="E24" t="s">
        <v>58</v>
      </c>
    </row>
    <row r="25" spans="1:5" x14ac:dyDescent="0.2">
      <c r="A25" t="str" cm="1">
        <f t="array" ref="A25">TEXT(-123456.789012345,"General")</f>
        <v>-123456.789</v>
      </c>
      <c r="B25">
        <f t="shared" si="0"/>
        <v>-3</v>
      </c>
      <c r="C25">
        <f t="shared" si="1"/>
        <v>0</v>
      </c>
      <c r="D25" t="str">
        <f t="shared" si="2"/>
        <v>-123456.789</v>
      </c>
      <c r="E25" t="s">
        <v>59</v>
      </c>
    </row>
    <row r="26" spans="1:5" x14ac:dyDescent="0.2">
      <c r="A26" t="str" cm="1">
        <f t="array" ref="A26">TEXT(-1234567.89012345,"General")</f>
        <v>-1234567.89</v>
      </c>
      <c r="B26">
        <f t="shared" si="0"/>
        <v>-3</v>
      </c>
      <c r="C26">
        <f t="shared" si="1"/>
        <v>0</v>
      </c>
      <c r="D26" t="str">
        <f t="shared" si="2"/>
        <v>-1234567.89</v>
      </c>
      <c r="E26" t="s">
        <v>60</v>
      </c>
    </row>
    <row r="27" spans="1:5" x14ac:dyDescent="0.2">
      <c r="A27" t="str" cm="1">
        <f t="array" ref="A27">TEXT(-12345678.9012345,"General")</f>
        <v>-12345678.9</v>
      </c>
      <c r="B27">
        <f t="shared" si="0"/>
        <v>-3</v>
      </c>
      <c r="C27">
        <f t="shared" si="1"/>
        <v>0</v>
      </c>
      <c r="D27" t="str">
        <f t="shared" si="2"/>
        <v>-12345678.9</v>
      </c>
      <c r="E27" t="s">
        <v>61</v>
      </c>
    </row>
    <row r="28" spans="1:5" x14ac:dyDescent="0.2">
      <c r="A28" t="str" cm="1">
        <f t="array" ref="A28">TEXT(-123456789.012345,"General")</f>
        <v>-123456789</v>
      </c>
      <c r="B28">
        <f t="shared" si="0"/>
        <v>-3</v>
      </c>
      <c r="C28">
        <f t="shared" si="1"/>
        <v>0</v>
      </c>
      <c r="D28" t="str">
        <f t="shared" si="2"/>
        <v>-123456789</v>
      </c>
      <c r="E28" t="s">
        <v>62</v>
      </c>
    </row>
    <row r="29" spans="1:5" x14ac:dyDescent="0.2">
      <c r="A29" t="str" cm="1">
        <f t="array" ref="A29">TEXT(-1234567890.12345,"General")</f>
        <v>-1234567890</v>
      </c>
      <c r="B29">
        <f t="shared" si="0"/>
        <v>-3</v>
      </c>
      <c r="C29">
        <f t="shared" si="1"/>
        <v>0</v>
      </c>
      <c r="D29" t="str">
        <f t="shared" si="2"/>
        <v>-1234567890</v>
      </c>
      <c r="E29" t="s">
        <v>63</v>
      </c>
    </row>
    <row r="30" spans="1:5" x14ac:dyDescent="0.2">
      <c r="A30" t="str" cm="1">
        <f t="array" ref="A30">TEXT(-12345678901.2345,"General")</f>
        <v>-12345678901</v>
      </c>
      <c r="B30">
        <f t="shared" si="0"/>
        <v>-3</v>
      </c>
      <c r="C30">
        <f t="shared" si="1"/>
        <v>0</v>
      </c>
      <c r="D30" t="str">
        <f t="shared" si="2"/>
        <v>-12345678901</v>
      </c>
      <c r="E30" t="s">
        <v>64</v>
      </c>
    </row>
    <row r="31" spans="1:5" x14ac:dyDescent="0.2">
      <c r="A31" t="str" cm="1">
        <f t="array" ref="A31">TEXT(-123456789012.345,"General")</f>
        <v>-1.23457E+11</v>
      </c>
      <c r="B31">
        <f t="shared" si="0"/>
        <v>-3</v>
      </c>
      <c r="C31">
        <f t="shared" si="1"/>
        <v>0</v>
      </c>
      <c r="D31" t="str">
        <f t="shared" si="2"/>
        <v>-1.23457E+11</v>
      </c>
      <c r="E31" t="s">
        <v>65</v>
      </c>
    </row>
    <row r="32" spans="1:5" x14ac:dyDescent="0.2">
      <c r="A32" t="str" cm="1">
        <f t="array" ref="A32">TEXT(-1234567890123.45,"General")</f>
        <v>-1.23457E+12</v>
      </c>
      <c r="B32">
        <f t="shared" si="0"/>
        <v>-3</v>
      </c>
      <c r="C32">
        <f t="shared" si="1"/>
        <v>0</v>
      </c>
      <c r="D32" t="str">
        <f t="shared" si="2"/>
        <v>-1.23457E+12</v>
      </c>
      <c r="E32" t="s">
        <v>66</v>
      </c>
    </row>
    <row r="33" spans="1:5" x14ac:dyDescent="0.2">
      <c r="A33" t="str" cm="1">
        <f t="array" ref="A33">TEXT(-12345678901234.5,"General")</f>
        <v>-1.23457E+13</v>
      </c>
      <c r="B33">
        <f t="shared" ref="B33:B64" si="3">IF(ISERROR(A33),ERROR.TYPE(A33),IF(ISNUMBER(A33),0,IF(ISLOGICAL(A33),IF(A33,-1,-2),IF(ISTEXT(A33),-3,-4))))</f>
        <v>-3</v>
      </c>
      <c r="C33">
        <f t="shared" ref="C33:C64" si="4">IF(ISNUMBER(A33),A33,0)</f>
        <v>0</v>
      </c>
      <c r="D33" t="str">
        <f t="shared" ref="D33:D64" si="5">IF(ISTEXT(A33),A33,"")</f>
        <v>-1.23457E+13</v>
      </c>
      <c r="E33" t="s">
        <v>67</v>
      </c>
    </row>
    <row r="34" spans="1:5" x14ac:dyDescent="0.2">
      <c r="A34" t="str" cm="1">
        <f t="array" ref="A34">TEXT(-123456789012345,"General")</f>
        <v>-1.23457E+14</v>
      </c>
      <c r="B34">
        <f t="shared" si="3"/>
        <v>-3</v>
      </c>
      <c r="C34">
        <f t="shared" si="4"/>
        <v>0</v>
      </c>
      <c r="D34" t="str">
        <f t="shared" si="5"/>
        <v>-1.23457E+14</v>
      </c>
      <c r="E34" t="s">
        <v>68</v>
      </c>
    </row>
    <row r="35" spans="1:5" x14ac:dyDescent="0.2">
      <c r="A35" t="str" cm="1">
        <f t="array" ref="A35">TEXT(-1234567890123450,"General")</f>
        <v>-1.23457E+15</v>
      </c>
      <c r="B35">
        <f t="shared" si="3"/>
        <v>-3</v>
      </c>
      <c r="C35">
        <f t="shared" si="4"/>
        <v>0</v>
      </c>
      <c r="D35" t="str">
        <f t="shared" si="5"/>
        <v>-1.23457E+15</v>
      </c>
      <c r="E35" t="s">
        <v>69</v>
      </c>
    </row>
    <row r="36" spans="1:5" x14ac:dyDescent="0.2">
      <c r="A36" t="str" cm="1">
        <f t="array" ref="A36">TEXT(1/0.000000000003,"General")</f>
        <v>3.33333E+11</v>
      </c>
      <c r="B36">
        <f t="shared" si="3"/>
        <v>-3</v>
      </c>
      <c r="C36">
        <f t="shared" si="4"/>
        <v>0</v>
      </c>
      <c r="D36" t="str">
        <f t="shared" si="5"/>
        <v>3.33333E+11</v>
      </c>
      <c r="E36" t="s">
        <v>70</v>
      </c>
    </row>
    <row r="37" spans="1:5" x14ac:dyDescent="0.2">
      <c r="A37" t="str" cm="1">
        <f t="array" ref="A37">TEXT(1/0.00000000003,"General")</f>
        <v>33333333333</v>
      </c>
      <c r="B37">
        <f t="shared" si="3"/>
        <v>-3</v>
      </c>
      <c r="C37">
        <f t="shared" si="4"/>
        <v>0</v>
      </c>
      <c r="D37" t="str">
        <f t="shared" si="5"/>
        <v>33333333333</v>
      </c>
      <c r="E37" t="s">
        <v>71</v>
      </c>
    </row>
    <row r="38" spans="1:5" x14ac:dyDescent="0.2">
      <c r="A38" t="str" cm="1">
        <f t="array" ref="A38">TEXT(1/0.0000000003,"General")</f>
        <v>3333333333</v>
      </c>
      <c r="B38">
        <f t="shared" si="3"/>
        <v>-3</v>
      </c>
      <c r="C38">
        <f t="shared" si="4"/>
        <v>0</v>
      </c>
      <c r="D38" t="str">
        <f t="shared" si="5"/>
        <v>3333333333</v>
      </c>
      <c r="E38" t="s">
        <v>72</v>
      </c>
    </row>
    <row r="39" spans="1:5" x14ac:dyDescent="0.2">
      <c r="A39" t="str" cm="1">
        <f t="array" ref="A39">TEXT(1/0.000000003,"General")</f>
        <v>333333333.3</v>
      </c>
      <c r="B39">
        <f t="shared" si="3"/>
        <v>-3</v>
      </c>
      <c r="C39">
        <f t="shared" si="4"/>
        <v>0</v>
      </c>
      <c r="D39" t="str">
        <f t="shared" si="5"/>
        <v>333333333.3</v>
      </c>
      <c r="E39" t="s">
        <v>73</v>
      </c>
    </row>
    <row r="40" spans="1:5" x14ac:dyDescent="0.2">
      <c r="A40" t="str" cm="1">
        <f t="array" ref="A40">TEXT(1/0.00000003,"General")</f>
        <v>33333333.33</v>
      </c>
      <c r="B40">
        <f t="shared" si="3"/>
        <v>-3</v>
      </c>
      <c r="C40">
        <f t="shared" si="4"/>
        <v>0</v>
      </c>
      <c r="D40" t="str">
        <f t="shared" si="5"/>
        <v>33333333.33</v>
      </c>
      <c r="E40" t="s">
        <v>74</v>
      </c>
    </row>
    <row r="41" spans="1:5" x14ac:dyDescent="0.2">
      <c r="A41" t="str" cm="1">
        <f t="array" ref="A41">TEXT(1/0.0000003,"General")</f>
        <v>3333333.333</v>
      </c>
      <c r="B41">
        <f t="shared" si="3"/>
        <v>-3</v>
      </c>
      <c r="C41">
        <f t="shared" si="4"/>
        <v>0</v>
      </c>
      <c r="D41" t="str">
        <f t="shared" si="5"/>
        <v>3333333.333</v>
      </c>
      <c r="E41" t="s">
        <v>75</v>
      </c>
    </row>
    <row r="42" spans="1:5" x14ac:dyDescent="0.2">
      <c r="A42" t="str" cm="1">
        <f t="array" ref="A42">TEXT(1/0.000003,"General")</f>
        <v>333333.3333</v>
      </c>
      <c r="B42">
        <f t="shared" si="3"/>
        <v>-3</v>
      </c>
      <c r="C42">
        <f t="shared" si="4"/>
        <v>0</v>
      </c>
      <c r="D42" t="str">
        <f t="shared" si="5"/>
        <v>333333.3333</v>
      </c>
      <c r="E42" t="s">
        <v>76</v>
      </c>
    </row>
    <row r="43" spans="1:5" x14ac:dyDescent="0.2">
      <c r="A43" t="str" cm="1">
        <f t="array" ref="A43">TEXT(1/0.00003,"General")</f>
        <v>33333.33333</v>
      </c>
      <c r="B43">
        <f t="shared" si="3"/>
        <v>-3</v>
      </c>
      <c r="C43">
        <f t="shared" si="4"/>
        <v>0</v>
      </c>
      <c r="D43" t="str">
        <f t="shared" si="5"/>
        <v>33333.33333</v>
      </c>
      <c r="E43" t="s">
        <v>77</v>
      </c>
    </row>
    <row r="44" spans="1:5" x14ac:dyDescent="0.2">
      <c r="A44" t="str" cm="1">
        <f t="array" ref="A44">TEXT(1/0.0003,"General")</f>
        <v>3333.333333</v>
      </c>
      <c r="B44">
        <f t="shared" si="3"/>
        <v>-3</v>
      </c>
      <c r="C44">
        <f t="shared" si="4"/>
        <v>0</v>
      </c>
      <c r="D44" t="str">
        <f t="shared" si="5"/>
        <v>3333.333333</v>
      </c>
      <c r="E44" t="s">
        <v>78</v>
      </c>
    </row>
    <row r="45" spans="1:5" x14ac:dyDescent="0.2">
      <c r="A45" t="str" cm="1">
        <f t="array" ref="A45">TEXT(1/0.003,"General")</f>
        <v>333.3333333</v>
      </c>
      <c r="B45">
        <f t="shared" si="3"/>
        <v>-3</v>
      </c>
      <c r="C45">
        <f t="shared" si="4"/>
        <v>0</v>
      </c>
      <c r="D45" t="str">
        <f t="shared" si="5"/>
        <v>333.3333333</v>
      </c>
      <c r="E45" t="s">
        <v>79</v>
      </c>
    </row>
    <row r="46" spans="1:5" x14ac:dyDescent="0.2">
      <c r="A46" t="str" cm="1">
        <f t="array" ref="A46">TEXT(1/0.03,"General")</f>
        <v>33.33333333</v>
      </c>
      <c r="B46">
        <f t="shared" si="3"/>
        <v>-3</v>
      </c>
      <c r="C46">
        <f t="shared" si="4"/>
        <v>0</v>
      </c>
      <c r="D46" t="str">
        <f t="shared" si="5"/>
        <v>33.33333333</v>
      </c>
      <c r="E46" t="s">
        <v>80</v>
      </c>
    </row>
    <row r="47" spans="1:5" x14ac:dyDescent="0.2">
      <c r="A47" t="str" cm="1">
        <f t="array" ref="A47">TEXT(1/0.3,"General")</f>
        <v>3.333333333</v>
      </c>
      <c r="B47">
        <f t="shared" si="3"/>
        <v>-3</v>
      </c>
      <c r="C47">
        <f t="shared" si="4"/>
        <v>0</v>
      </c>
      <c r="D47" t="str">
        <f t="shared" si="5"/>
        <v>3.333333333</v>
      </c>
      <c r="E47" t="s">
        <v>81</v>
      </c>
    </row>
    <row r="48" spans="1:5" x14ac:dyDescent="0.2">
      <c r="A48" t="str" cm="1">
        <f t="array" ref="A48">TEXT(1/3,"General")</f>
        <v>0.333333333</v>
      </c>
      <c r="B48">
        <f t="shared" si="3"/>
        <v>-3</v>
      </c>
      <c r="C48">
        <f t="shared" si="4"/>
        <v>0</v>
      </c>
      <c r="D48" t="str">
        <f t="shared" si="5"/>
        <v>0.333333333</v>
      </c>
      <c r="E48" t="s">
        <v>82</v>
      </c>
    </row>
    <row r="49" spans="1:5" x14ac:dyDescent="0.2">
      <c r="A49" t="str" cm="1">
        <f t="array" ref="A49">TEXT(1/30,"General")</f>
        <v>0.033333333</v>
      </c>
      <c r="B49">
        <f t="shared" si="3"/>
        <v>-3</v>
      </c>
      <c r="C49">
        <f t="shared" si="4"/>
        <v>0</v>
      </c>
      <c r="D49" t="str">
        <f t="shared" si="5"/>
        <v>0.033333333</v>
      </c>
      <c r="E49" t="s">
        <v>83</v>
      </c>
    </row>
    <row r="50" spans="1:5" x14ac:dyDescent="0.2">
      <c r="A50" t="str" cm="1">
        <f t="array" ref="A50">TEXT(1/300,"General")</f>
        <v>0.003333333</v>
      </c>
      <c r="B50">
        <f t="shared" si="3"/>
        <v>-3</v>
      </c>
      <c r="C50">
        <f t="shared" si="4"/>
        <v>0</v>
      </c>
      <c r="D50" t="str">
        <f t="shared" si="5"/>
        <v>0.003333333</v>
      </c>
      <c r="E50" t="s">
        <v>84</v>
      </c>
    </row>
    <row r="51" spans="1:5" x14ac:dyDescent="0.2">
      <c r="A51" t="str" cm="1">
        <f t="array" ref="A51">TEXT(1/3000,"General")</f>
        <v>0.000333333</v>
      </c>
      <c r="B51">
        <f t="shared" si="3"/>
        <v>-3</v>
      </c>
      <c r="C51">
        <f t="shared" si="4"/>
        <v>0</v>
      </c>
      <c r="D51" t="str">
        <f t="shared" si="5"/>
        <v>0.000333333</v>
      </c>
      <c r="E51" t="s">
        <v>85</v>
      </c>
    </row>
    <row r="52" spans="1:5" x14ac:dyDescent="0.2">
      <c r="A52" t="str" cm="1">
        <f t="array" ref="A52">TEXT(1/30000,"General")</f>
        <v>3.33333E-05</v>
      </c>
      <c r="B52">
        <f t="shared" si="3"/>
        <v>-3</v>
      </c>
      <c r="C52">
        <f t="shared" si="4"/>
        <v>0</v>
      </c>
      <c r="D52" t="str">
        <f t="shared" si="5"/>
        <v>3.33333E-05</v>
      </c>
      <c r="E52" t="s">
        <v>86</v>
      </c>
    </row>
    <row r="53" spans="1:5" x14ac:dyDescent="0.2">
      <c r="A53" t="str" cm="1">
        <f t="array" ref="A53">TEXT(1/300000,"General")</f>
        <v>3.33333E-06</v>
      </c>
      <c r="B53">
        <f t="shared" si="3"/>
        <v>-3</v>
      </c>
      <c r="C53">
        <f t="shared" si="4"/>
        <v>0</v>
      </c>
      <c r="D53" t="str">
        <f t="shared" si="5"/>
        <v>3.33333E-06</v>
      </c>
      <c r="E53" t="s">
        <v>87</v>
      </c>
    </row>
    <row r="54" spans="1:5" x14ac:dyDescent="0.2">
      <c r="A54" t="str" cm="1">
        <f t="array" ref="A54">TEXT(1/3000000,"General")</f>
        <v>3.33333E-07</v>
      </c>
      <c r="B54">
        <f t="shared" si="3"/>
        <v>-3</v>
      </c>
      <c r="C54">
        <f t="shared" si="4"/>
        <v>0</v>
      </c>
      <c r="D54" t="str">
        <f t="shared" si="5"/>
        <v>3.33333E-07</v>
      </c>
      <c r="E54" t="s">
        <v>88</v>
      </c>
    </row>
    <row r="55" spans="1:5" x14ac:dyDescent="0.2">
      <c r="A55" t="str" cm="1">
        <f t="array" ref="A55">TEXT(1/30000000,"General")</f>
        <v>3.33333E-08</v>
      </c>
      <c r="B55">
        <f t="shared" si="3"/>
        <v>-3</v>
      </c>
      <c r="C55">
        <f t="shared" si="4"/>
        <v>0</v>
      </c>
      <c r="D55" t="str">
        <f t="shared" si="5"/>
        <v>3.33333E-08</v>
      </c>
      <c r="E55" t="s">
        <v>89</v>
      </c>
    </row>
    <row r="56" spans="1:5" x14ac:dyDescent="0.2">
      <c r="A56" t="str" cm="1">
        <f t="array" ref="A56">TEXT(1/300000000,"General")</f>
        <v>3.33333E-09</v>
      </c>
      <c r="B56">
        <f t="shared" si="3"/>
        <v>-3</v>
      </c>
      <c r="C56">
        <f t="shared" si="4"/>
        <v>0</v>
      </c>
      <c r="D56" t="str">
        <f t="shared" si="5"/>
        <v>3.33333E-09</v>
      </c>
      <c r="E56" t="s">
        <v>90</v>
      </c>
    </row>
    <row r="57" spans="1:5" x14ac:dyDescent="0.2">
      <c r="A57" t="str" cm="1">
        <f t="array" ref="A57">TEXT(1/3000000000,"General")</f>
        <v>3.33333E-10</v>
      </c>
      <c r="B57">
        <f t="shared" si="3"/>
        <v>-3</v>
      </c>
      <c r="C57">
        <f t="shared" si="4"/>
        <v>0</v>
      </c>
      <c r="D57" t="str">
        <f t="shared" si="5"/>
        <v>3.33333E-10</v>
      </c>
      <c r="E57" t="s">
        <v>91</v>
      </c>
    </row>
    <row r="58" spans="1:5" x14ac:dyDescent="0.2">
      <c r="A58" t="str" cm="1">
        <f t="array" ref="A58">TEXT(1/30000000000,"General")</f>
        <v>3.33333E-11</v>
      </c>
      <c r="B58">
        <f t="shared" si="3"/>
        <v>-3</v>
      </c>
      <c r="C58">
        <f t="shared" si="4"/>
        <v>0</v>
      </c>
      <c r="D58" t="str">
        <f t="shared" si="5"/>
        <v>3.33333E-11</v>
      </c>
      <c r="E58" t="s">
        <v>92</v>
      </c>
    </row>
    <row r="59" spans="1:5" x14ac:dyDescent="0.2">
      <c r="A59" t="str" cm="1">
        <f t="array" ref="A59">TEXT(1/300000000000,"General")</f>
        <v>3.33333E-12</v>
      </c>
      <c r="B59">
        <f t="shared" si="3"/>
        <v>-3</v>
      </c>
      <c r="C59">
        <f t="shared" si="4"/>
        <v>0</v>
      </c>
      <c r="D59" t="str">
        <f t="shared" si="5"/>
        <v>3.33333E-12</v>
      </c>
      <c r="E59" t="s">
        <v>93</v>
      </c>
    </row>
    <row r="60" spans="1:5" x14ac:dyDescent="0.2">
      <c r="A60" t="str" cm="1">
        <f t="array" ref="A60">TEXT(1/3000000000000,"General")</f>
        <v>3.33333E-13</v>
      </c>
      <c r="B60">
        <f t="shared" si="3"/>
        <v>-3</v>
      </c>
      <c r="C60">
        <f t="shared" si="4"/>
        <v>0</v>
      </c>
      <c r="D60" t="str">
        <f t="shared" si="5"/>
        <v>3.33333E-13</v>
      </c>
      <c r="E60" t="s">
        <v>94</v>
      </c>
    </row>
    <row r="61" spans="1:5" x14ac:dyDescent="0.2">
      <c r="A61" t="str" cm="1">
        <f t="array" ref="A61">TEXT(1/30000000000000,"General")</f>
        <v>3.33333E-14</v>
      </c>
      <c r="B61">
        <f t="shared" si="3"/>
        <v>-3</v>
      </c>
      <c r="C61">
        <f t="shared" si="4"/>
        <v>0</v>
      </c>
      <c r="D61" t="str">
        <f t="shared" si="5"/>
        <v>3.33333E-14</v>
      </c>
      <c r="E61" t="s">
        <v>95</v>
      </c>
    </row>
    <row r="62" spans="1:5" x14ac:dyDescent="0.2">
      <c r="A62" t="str" cm="1">
        <f t="array" ref="A62">TEXT(1/300000000000000,"General")</f>
        <v>3.33333E-15</v>
      </c>
      <c r="B62">
        <f t="shared" si="3"/>
        <v>-3</v>
      </c>
      <c r="C62">
        <f t="shared" si="4"/>
        <v>0</v>
      </c>
      <c r="D62" t="str">
        <f t="shared" si="5"/>
        <v>3.33333E-15</v>
      </c>
      <c r="E62" t="s">
        <v>96</v>
      </c>
    </row>
    <row r="63" spans="1:5" x14ac:dyDescent="0.2">
      <c r="A63" t="str" cm="1">
        <f t="array" ref="A63">TEXT(2/0.000000000003,"General")</f>
        <v>6.66667E+11</v>
      </c>
      <c r="B63">
        <f t="shared" si="3"/>
        <v>-3</v>
      </c>
      <c r="C63">
        <f t="shared" si="4"/>
        <v>0</v>
      </c>
      <c r="D63" t="str">
        <f t="shared" si="5"/>
        <v>6.66667E+11</v>
      </c>
      <c r="E63" t="s">
        <v>97</v>
      </c>
    </row>
    <row r="64" spans="1:5" x14ac:dyDescent="0.2">
      <c r="A64" t="str" cm="1">
        <f t="array" ref="A64">TEXT(2/0.00000000003,"General")</f>
        <v>66666666667</v>
      </c>
      <c r="B64">
        <f t="shared" si="3"/>
        <v>-3</v>
      </c>
      <c r="C64">
        <f t="shared" si="4"/>
        <v>0</v>
      </c>
      <c r="D64" t="str">
        <f t="shared" si="5"/>
        <v>66666666667</v>
      </c>
      <c r="E64" t="s">
        <v>98</v>
      </c>
    </row>
    <row r="65" spans="1:5" x14ac:dyDescent="0.2">
      <c r="A65" t="str" cm="1">
        <f t="array" ref="A65">TEXT(2/0.0000000003,"General")</f>
        <v>6666666667</v>
      </c>
      <c r="B65">
        <f t="shared" ref="B65:B96" si="6">IF(ISERROR(A65),ERROR.TYPE(A65),IF(ISNUMBER(A65),0,IF(ISLOGICAL(A65),IF(A65,-1,-2),IF(ISTEXT(A65),-3,-4))))</f>
        <v>-3</v>
      </c>
      <c r="C65">
        <f t="shared" ref="C65:C96" si="7">IF(ISNUMBER(A65),A65,0)</f>
        <v>0</v>
      </c>
      <c r="D65" t="str">
        <f t="shared" ref="D65:D96" si="8">IF(ISTEXT(A65),A65,"")</f>
        <v>6666666667</v>
      </c>
      <c r="E65" t="s">
        <v>99</v>
      </c>
    </row>
    <row r="66" spans="1:5" x14ac:dyDescent="0.2">
      <c r="A66" t="str" cm="1">
        <f t="array" ref="A66">TEXT(2/0.000000003,"General")</f>
        <v>666666666.7</v>
      </c>
      <c r="B66">
        <f t="shared" si="6"/>
        <v>-3</v>
      </c>
      <c r="C66">
        <f t="shared" si="7"/>
        <v>0</v>
      </c>
      <c r="D66" t="str">
        <f t="shared" si="8"/>
        <v>666666666.7</v>
      </c>
      <c r="E66" t="s">
        <v>100</v>
      </c>
    </row>
    <row r="67" spans="1:5" x14ac:dyDescent="0.2">
      <c r="A67" t="str" cm="1">
        <f t="array" ref="A67">TEXT(2/0.00000003,"General")</f>
        <v>66666666.67</v>
      </c>
      <c r="B67">
        <f t="shared" si="6"/>
        <v>-3</v>
      </c>
      <c r="C67">
        <f t="shared" si="7"/>
        <v>0</v>
      </c>
      <c r="D67" t="str">
        <f t="shared" si="8"/>
        <v>66666666.67</v>
      </c>
      <c r="E67" t="s">
        <v>101</v>
      </c>
    </row>
    <row r="68" spans="1:5" x14ac:dyDescent="0.2">
      <c r="A68" t="str" cm="1">
        <f t="array" ref="A68">TEXT(2/0.0000003,"General")</f>
        <v>6666666.667</v>
      </c>
      <c r="B68">
        <f t="shared" si="6"/>
        <v>-3</v>
      </c>
      <c r="C68">
        <f t="shared" si="7"/>
        <v>0</v>
      </c>
      <c r="D68" t="str">
        <f t="shared" si="8"/>
        <v>6666666.667</v>
      </c>
      <c r="E68" t="s">
        <v>102</v>
      </c>
    </row>
    <row r="69" spans="1:5" x14ac:dyDescent="0.2">
      <c r="A69" t="str" cm="1">
        <f t="array" ref="A69">TEXT(2/0.000003,"General")</f>
        <v>666666.6667</v>
      </c>
      <c r="B69">
        <f t="shared" si="6"/>
        <v>-3</v>
      </c>
      <c r="C69">
        <f t="shared" si="7"/>
        <v>0</v>
      </c>
      <c r="D69" t="str">
        <f t="shared" si="8"/>
        <v>666666.6667</v>
      </c>
      <c r="E69" t="s">
        <v>103</v>
      </c>
    </row>
    <row r="70" spans="1:5" x14ac:dyDescent="0.2">
      <c r="A70" t="str" cm="1">
        <f t="array" ref="A70">TEXT(2/0.00003,"General")</f>
        <v>66666.66667</v>
      </c>
      <c r="B70">
        <f t="shared" si="6"/>
        <v>-3</v>
      </c>
      <c r="C70">
        <f t="shared" si="7"/>
        <v>0</v>
      </c>
      <c r="D70" t="str">
        <f t="shared" si="8"/>
        <v>66666.66667</v>
      </c>
      <c r="E70" t="s">
        <v>104</v>
      </c>
    </row>
    <row r="71" spans="1:5" x14ac:dyDescent="0.2">
      <c r="A71" t="str" cm="1">
        <f t="array" ref="A71">TEXT(2/0.0003,"General")</f>
        <v>6666.666667</v>
      </c>
      <c r="B71">
        <f t="shared" si="6"/>
        <v>-3</v>
      </c>
      <c r="C71">
        <f t="shared" si="7"/>
        <v>0</v>
      </c>
      <c r="D71" t="str">
        <f t="shared" si="8"/>
        <v>6666.666667</v>
      </c>
      <c r="E71" t="s">
        <v>105</v>
      </c>
    </row>
    <row r="72" spans="1:5" x14ac:dyDescent="0.2">
      <c r="A72" t="str" cm="1">
        <f t="array" ref="A72">TEXT(2/0.003,"General")</f>
        <v>666.6666667</v>
      </c>
      <c r="B72">
        <f t="shared" si="6"/>
        <v>-3</v>
      </c>
      <c r="C72">
        <f t="shared" si="7"/>
        <v>0</v>
      </c>
      <c r="D72" t="str">
        <f t="shared" si="8"/>
        <v>666.6666667</v>
      </c>
      <c r="E72" t="s">
        <v>106</v>
      </c>
    </row>
    <row r="73" spans="1:5" x14ac:dyDescent="0.2">
      <c r="A73" t="str" cm="1">
        <f t="array" ref="A73">TEXT(2/0.03,"General")</f>
        <v>66.66666667</v>
      </c>
      <c r="B73">
        <f t="shared" si="6"/>
        <v>-3</v>
      </c>
      <c r="C73">
        <f t="shared" si="7"/>
        <v>0</v>
      </c>
      <c r="D73" t="str">
        <f t="shared" si="8"/>
        <v>66.66666667</v>
      </c>
      <c r="E73" t="s">
        <v>107</v>
      </c>
    </row>
    <row r="74" spans="1:5" x14ac:dyDescent="0.2">
      <c r="A74" t="str" cm="1">
        <f t="array" ref="A74">TEXT(2/0.3,"General")</f>
        <v>6.666666667</v>
      </c>
      <c r="B74">
        <f t="shared" si="6"/>
        <v>-3</v>
      </c>
      <c r="C74">
        <f t="shared" si="7"/>
        <v>0</v>
      </c>
      <c r="D74" t="str">
        <f t="shared" si="8"/>
        <v>6.666666667</v>
      </c>
      <c r="E74" t="s">
        <v>108</v>
      </c>
    </row>
    <row r="75" spans="1:5" x14ac:dyDescent="0.2">
      <c r="A75" t="str" cm="1">
        <f t="array" ref="A75">TEXT(2/3,"General")</f>
        <v>0.666666667</v>
      </c>
      <c r="B75">
        <f t="shared" si="6"/>
        <v>-3</v>
      </c>
      <c r="C75">
        <f t="shared" si="7"/>
        <v>0</v>
      </c>
      <c r="D75" t="str">
        <f t="shared" si="8"/>
        <v>0.666666667</v>
      </c>
      <c r="E75" t="s">
        <v>109</v>
      </c>
    </row>
    <row r="76" spans="1:5" x14ac:dyDescent="0.2">
      <c r="A76" t="str" cm="1">
        <f t="array" ref="A76">TEXT(2/30,"General")</f>
        <v>0.066666667</v>
      </c>
      <c r="B76">
        <f t="shared" si="6"/>
        <v>-3</v>
      </c>
      <c r="C76">
        <f t="shared" si="7"/>
        <v>0</v>
      </c>
      <c r="D76" t="str">
        <f t="shared" si="8"/>
        <v>0.066666667</v>
      </c>
      <c r="E76" t="s">
        <v>110</v>
      </c>
    </row>
    <row r="77" spans="1:5" x14ac:dyDescent="0.2">
      <c r="A77" t="str" cm="1">
        <f t="array" ref="A77">TEXT(2/300,"General")</f>
        <v>0.006666667</v>
      </c>
      <c r="B77">
        <f t="shared" si="6"/>
        <v>-3</v>
      </c>
      <c r="C77">
        <f t="shared" si="7"/>
        <v>0</v>
      </c>
      <c r="D77" t="str">
        <f t="shared" si="8"/>
        <v>0.006666667</v>
      </c>
      <c r="E77" t="s">
        <v>111</v>
      </c>
    </row>
    <row r="78" spans="1:5" x14ac:dyDescent="0.2">
      <c r="A78" t="str" cm="1">
        <f t="array" ref="A78">TEXT(2/3000,"General")</f>
        <v>0.000666667</v>
      </c>
      <c r="B78">
        <f t="shared" si="6"/>
        <v>-3</v>
      </c>
      <c r="C78">
        <f t="shared" si="7"/>
        <v>0</v>
      </c>
      <c r="D78" t="str">
        <f t="shared" si="8"/>
        <v>0.000666667</v>
      </c>
      <c r="E78" t="s">
        <v>112</v>
      </c>
    </row>
    <row r="79" spans="1:5" x14ac:dyDescent="0.2">
      <c r="A79" t="str" cm="1">
        <f t="array" ref="A79">TEXT(2/30000,"General")</f>
        <v>6.66667E-05</v>
      </c>
      <c r="B79">
        <f t="shared" si="6"/>
        <v>-3</v>
      </c>
      <c r="C79">
        <f t="shared" si="7"/>
        <v>0</v>
      </c>
      <c r="D79" t="str">
        <f t="shared" si="8"/>
        <v>6.66667E-05</v>
      </c>
      <c r="E79" t="s">
        <v>113</v>
      </c>
    </row>
    <row r="80" spans="1:5" x14ac:dyDescent="0.2">
      <c r="A80" t="str" cm="1">
        <f t="array" ref="A80">TEXT(2/300000,"General")</f>
        <v>6.66667E-06</v>
      </c>
      <c r="B80">
        <f t="shared" si="6"/>
        <v>-3</v>
      </c>
      <c r="C80">
        <f t="shared" si="7"/>
        <v>0</v>
      </c>
      <c r="D80" t="str">
        <f t="shared" si="8"/>
        <v>6.66667E-06</v>
      </c>
      <c r="E80" t="s">
        <v>114</v>
      </c>
    </row>
    <row r="81" spans="1:5" x14ac:dyDescent="0.2">
      <c r="A81" t="str" cm="1">
        <f t="array" ref="A81">TEXT(2/3000000,"General")</f>
        <v>6.66667E-07</v>
      </c>
      <c r="B81">
        <f t="shared" si="6"/>
        <v>-3</v>
      </c>
      <c r="C81">
        <f t="shared" si="7"/>
        <v>0</v>
      </c>
      <c r="D81" t="str">
        <f t="shared" si="8"/>
        <v>6.66667E-07</v>
      </c>
      <c r="E81" t="s">
        <v>115</v>
      </c>
    </row>
    <row r="82" spans="1:5" x14ac:dyDescent="0.2">
      <c r="A82" t="str" cm="1">
        <f t="array" ref="A82">TEXT(2/30000000,"General")</f>
        <v>6.66667E-08</v>
      </c>
      <c r="B82">
        <f t="shared" si="6"/>
        <v>-3</v>
      </c>
      <c r="C82">
        <f t="shared" si="7"/>
        <v>0</v>
      </c>
      <c r="D82" t="str">
        <f t="shared" si="8"/>
        <v>6.66667E-08</v>
      </c>
      <c r="E82" t="s">
        <v>116</v>
      </c>
    </row>
    <row r="83" spans="1:5" x14ac:dyDescent="0.2">
      <c r="A83" t="str" cm="1">
        <f t="array" ref="A83">TEXT(2/300000000,"General")</f>
        <v>6.66667E-09</v>
      </c>
      <c r="B83">
        <f t="shared" si="6"/>
        <v>-3</v>
      </c>
      <c r="C83">
        <f t="shared" si="7"/>
        <v>0</v>
      </c>
      <c r="D83" t="str">
        <f t="shared" si="8"/>
        <v>6.66667E-09</v>
      </c>
      <c r="E83" t="s">
        <v>117</v>
      </c>
    </row>
    <row r="84" spans="1:5" x14ac:dyDescent="0.2">
      <c r="A84" t="str" cm="1">
        <f t="array" ref="A84">TEXT(2/3000000000,"General")</f>
        <v>6.66667E-10</v>
      </c>
      <c r="B84">
        <f t="shared" si="6"/>
        <v>-3</v>
      </c>
      <c r="C84">
        <f t="shared" si="7"/>
        <v>0</v>
      </c>
      <c r="D84" t="str">
        <f t="shared" si="8"/>
        <v>6.66667E-10</v>
      </c>
      <c r="E84" t="s">
        <v>118</v>
      </c>
    </row>
    <row r="85" spans="1:5" x14ac:dyDescent="0.2">
      <c r="A85" t="str" cm="1">
        <f t="array" ref="A85">TEXT(2/30000000000,"General")</f>
        <v>6.66667E-11</v>
      </c>
      <c r="B85">
        <f t="shared" si="6"/>
        <v>-3</v>
      </c>
      <c r="C85">
        <f t="shared" si="7"/>
        <v>0</v>
      </c>
      <c r="D85" t="str">
        <f t="shared" si="8"/>
        <v>6.66667E-11</v>
      </c>
      <c r="E85" t="s">
        <v>119</v>
      </c>
    </row>
    <row r="86" spans="1:5" x14ac:dyDescent="0.2">
      <c r="A86" t="str" cm="1">
        <f t="array" ref="A86">TEXT(2/300000000000,"General")</f>
        <v>6.66667E-12</v>
      </c>
      <c r="B86">
        <f t="shared" si="6"/>
        <v>-3</v>
      </c>
      <c r="C86">
        <f t="shared" si="7"/>
        <v>0</v>
      </c>
      <c r="D86" t="str">
        <f t="shared" si="8"/>
        <v>6.66667E-12</v>
      </c>
      <c r="E86" t="s">
        <v>120</v>
      </c>
    </row>
    <row r="87" spans="1:5" x14ac:dyDescent="0.2">
      <c r="A87" t="str" cm="1">
        <f t="array" ref="A87">TEXT(2/3000000000000,"General")</f>
        <v>6.66667E-13</v>
      </c>
      <c r="B87">
        <f t="shared" si="6"/>
        <v>-3</v>
      </c>
      <c r="C87">
        <f t="shared" si="7"/>
        <v>0</v>
      </c>
      <c r="D87" t="str">
        <f t="shared" si="8"/>
        <v>6.66667E-13</v>
      </c>
      <c r="E87" t="s">
        <v>121</v>
      </c>
    </row>
    <row r="88" spans="1:5" x14ac:dyDescent="0.2">
      <c r="A88" t="str" cm="1">
        <f t="array" ref="A88">TEXT(2/30000000000000,"General")</f>
        <v>6.66667E-14</v>
      </c>
      <c r="B88">
        <f t="shared" si="6"/>
        <v>-3</v>
      </c>
      <c r="C88">
        <f t="shared" si="7"/>
        <v>0</v>
      </c>
      <c r="D88" t="str">
        <f t="shared" si="8"/>
        <v>6.66667E-14</v>
      </c>
      <c r="E88" t="s">
        <v>122</v>
      </c>
    </row>
    <row r="89" spans="1:5" x14ac:dyDescent="0.2">
      <c r="A89" t="str" cm="1">
        <f t="array" ref="A89">TEXT(2/300000000000000,"General")</f>
        <v>6.66667E-15</v>
      </c>
      <c r="B89">
        <f t="shared" si="6"/>
        <v>-3</v>
      </c>
      <c r="C89">
        <f t="shared" si="7"/>
        <v>0</v>
      </c>
      <c r="D89" t="str">
        <f t="shared" si="8"/>
        <v>6.66667E-15</v>
      </c>
      <c r="E89" t="s">
        <v>123</v>
      </c>
    </row>
    <row r="90" spans="1:5" x14ac:dyDescent="0.2">
      <c r="A90" t="str" cm="1">
        <f t="array" ref="A90">TEXT(-1/0.000000000007,"General")</f>
        <v>-1.42857E+11</v>
      </c>
      <c r="B90">
        <f t="shared" si="6"/>
        <v>-3</v>
      </c>
      <c r="C90">
        <f t="shared" si="7"/>
        <v>0</v>
      </c>
      <c r="D90" t="str">
        <f t="shared" si="8"/>
        <v>-1.42857E+11</v>
      </c>
      <c r="E90" t="s">
        <v>124</v>
      </c>
    </row>
    <row r="91" spans="1:5" x14ac:dyDescent="0.2">
      <c r="A91" t="str" cm="1">
        <f t="array" ref="A91">TEXT(-1/0.00000000007,"General")</f>
        <v>-14285714286</v>
      </c>
      <c r="B91">
        <f t="shared" si="6"/>
        <v>-3</v>
      </c>
      <c r="C91">
        <f t="shared" si="7"/>
        <v>0</v>
      </c>
      <c r="D91" t="str">
        <f t="shared" si="8"/>
        <v>-14285714286</v>
      </c>
      <c r="E91" t="s">
        <v>125</v>
      </c>
    </row>
    <row r="92" spans="1:5" x14ac:dyDescent="0.2">
      <c r="A92" t="str" cm="1">
        <f t="array" ref="A92">TEXT(-1/0.0000000007,"General")</f>
        <v>-1428571429</v>
      </c>
      <c r="B92">
        <f t="shared" si="6"/>
        <v>-3</v>
      </c>
      <c r="C92">
        <f t="shared" si="7"/>
        <v>0</v>
      </c>
      <c r="D92" t="str">
        <f t="shared" si="8"/>
        <v>-1428571429</v>
      </c>
      <c r="E92" t="s">
        <v>126</v>
      </c>
    </row>
    <row r="93" spans="1:5" x14ac:dyDescent="0.2">
      <c r="A93" t="str" cm="1">
        <f t="array" ref="A93">TEXT(-1/0.000000007,"General")</f>
        <v>-142857142.9</v>
      </c>
      <c r="B93">
        <f t="shared" si="6"/>
        <v>-3</v>
      </c>
      <c r="C93">
        <f t="shared" si="7"/>
        <v>0</v>
      </c>
      <c r="D93" t="str">
        <f t="shared" si="8"/>
        <v>-142857142.9</v>
      </c>
      <c r="E93" t="s">
        <v>127</v>
      </c>
    </row>
    <row r="94" spans="1:5" x14ac:dyDescent="0.2">
      <c r="A94" t="str" cm="1">
        <f t="array" ref="A94">TEXT(-1/0.00000007,"General")</f>
        <v>-14285714.29</v>
      </c>
      <c r="B94">
        <f t="shared" si="6"/>
        <v>-3</v>
      </c>
      <c r="C94">
        <f t="shared" si="7"/>
        <v>0</v>
      </c>
      <c r="D94" t="str">
        <f t="shared" si="8"/>
        <v>-14285714.29</v>
      </c>
      <c r="E94" t="s">
        <v>128</v>
      </c>
    </row>
    <row r="95" spans="1:5" x14ac:dyDescent="0.2">
      <c r="A95" t="str" cm="1">
        <f t="array" ref="A95">TEXT(-1/0.0000007,"General")</f>
        <v>-1428571.429</v>
      </c>
      <c r="B95">
        <f t="shared" si="6"/>
        <v>-3</v>
      </c>
      <c r="C95">
        <f t="shared" si="7"/>
        <v>0</v>
      </c>
      <c r="D95" t="str">
        <f t="shared" si="8"/>
        <v>-1428571.429</v>
      </c>
      <c r="E95" t="s">
        <v>129</v>
      </c>
    </row>
    <row r="96" spans="1:5" x14ac:dyDescent="0.2">
      <c r="A96" t="str" cm="1">
        <f t="array" ref="A96">TEXT(-1/0.000007,"General")</f>
        <v>-142857.1429</v>
      </c>
      <c r="B96">
        <f t="shared" si="6"/>
        <v>-3</v>
      </c>
      <c r="C96">
        <f t="shared" si="7"/>
        <v>0</v>
      </c>
      <c r="D96" t="str">
        <f t="shared" si="8"/>
        <v>-142857.1429</v>
      </c>
      <c r="E96" t="s">
        <v>130</v>
      </c>
    </row>
    <row r="97" spans="1:5" x14ac:dyDescent="0.2">
      <c r="A97" t="str" cm="1">
        <f t="array" ref="A97">TEXT(-1/0.00007,"General")</f>
        <v>-14285.71429</v>
      </c>
      <c r="B97">
        <f t="shared" ref="B97:B128" si="9">IF(ISERROR(A97),ERROR.TYPE(A97),IF(ISNUMBER(A97),0,IF(ISLOGICAL(A97),IF(A97,-1,-2),IF(ISTEXT(A97),-3,-4))))</f>
        <v>-3</v>
      </c>
      <c r="C97">
        <f t="shared" ref="C97:C128" si="10">IF(ISNUMBER(A97),A97,0)</f>
        <v>0</v>
      </c>
      <c r="D97" t="str">
        <f t="shared" ref="D97:D128" si="11">IF(ISTEXT(A97),A97,"")</f>
        <v>-14285.71429</v>
      </c>
      <c r="E97" t="s">
        <v>131</v>
      </c>
    </row>
    <row r="98" spans="1:5" x14ac:dyDescent="0.2">
      <c r="A98" t="str" cm="1">
        <f t="array" ref="A98">TEXT(-1/0.0007,"General")</f>
        <v>-1428.571429</v>
      </c>
      <c r="B98">
        <f t="shared" si="9"/>
        <v>-3</v>
      </c>
      <c r="C98">
        <f t="shared" si="10"/>
        <v>0</v>
      </c>
      <c r="D98" t="str">
        <f t="shared" si="11"/>
        <v>-1428.571429</v>
      </c>
      <c r="E98" t="s">
        <v>132</v>
      </c>
    </row>
    <row r="99" spans="1:5" x14ac:dyDescent="0.2">
      <c r="A99" t="str" cm="1">
        <f t="array" ref="A99">TEXT(-1/0.007,"General")</f>
        <v>-142.8571429</v>
      </c>
      <c r="B99">
        <f t="shared" si="9"/>
        <v>-3</v>
      </c>
      <c r="C99">
        <f t="shared" si="10"/>
        <v>0</v>
      </c>
      <c r="D99" t="str">
        <f t="shared" si="11"/>
        <v>-142.8571429</v>
      </c>
      <c r="E99" t="s">
        <v>133</v>
      </c>
    </row>
    <row r="100" spans="1:5" x14ac:dyDescent="0.2">
      <c r="A100" t="str" cm="1">
        <f t="array" ref="A100">TEXT(-1/0.07,"General")</f>
        <v>-14.28571429</v>
      </c>
      <c r="B100">
        <f t="shared" si="9"/>
        <v>-3</v>
      </c>
      <c r="C100">
        <f t="shared" si="10"/>
        <v>0</v>
      </c>
      <c r="D100" t="str">
        <f t="shared" si="11"/>
        <v>-14.28571429</v>
      </c>
      <c r="E100" t="s">
        <v>134</v>
      </c>
    </row>
    <row r="101" spans="1:5" x14ac:dyDescent="0.2">
      <c r="A101" t="str" cm="1">
        <f t="array" ref="A101">TEXT(-1/0.7,"General")</f>
        <v>-1.428571429</v>
      </c>
      <c r="B101">
        <f t="shared" si="9"/>
        <v>-3</v>
      </c>
      <c r="C101">
        <f t="shared" si="10"/>
        <v>0</v>
      </c>
      <c r="D101" t="str">
        <f t="shared" si="11"/>
        <v>-1.428571429</v>
      </c>
      <c r="E101" t="s">
        <v>135</v>
      </c>
    </row>
    <row r="102" spans="1:5" x14ac:dyDescent="0.2">
      <c r="A102" t="str" cm="1">
        <f t="array" ref="A102">TEXT(-1/7,"General")</f>
        <v>-0.142857143</v>
      </c>
      <c r="B102">
        <f t="shared" si="9"/>
        <v>-3</v>
      </c>
      <c r="C102">
        <f t="shared" si="10"/>
        <v>0</v>
      </c>
      <c r="D102" t="str">
        <f t="shared" si="11"/>
        <v>-0.142857143</v>
      </c>
      <c r="E102" t="s">
        <v>136</v>
      </c>
    </row>
    <row r="103" spans="1:5" x14ac:dyDescent="0.2">
      <c r="A103" t="str" cm="1">
        <f t="array" ref="A103">TEXT(-1/70,"General")</f>
        <v>-0.014285714</v>
      </c>
      <c r="B103">
        <f t="shared" si="9"/>
        <v>-3</v>
      </c>
      <c r="C103">
        <f t="shared" si="10"/>
        <v>0</v>
      </c>
      <c r="D103" t="str">
        <f t="shared" si="11"/>
        <v>-0.014285714</v>
      </c>
      <c r="E103" t="s">
        <v>137</v>
      </c>
    </row>
    <row r="104" spans="1:5" x14ac:dyDescent="0.2">
      <c r="A104" t="str" cm="1">
        <f t="array" ref="A104">TEXT(-1/700,"General")</f>
        <v>-0.001428571</v>
      </c>
      <c r="B104">
        <f t="shared" si="9"/>
        <v>-3</v>
      </c>
      <c r="C104">
        <f t="shared" si="10"/>
        <v>0</v>
      </c>
      <c r="D104" t="str">
        <f t="shared" si="11"/>
        <v>-0.001428571</v>
      </c>
      <c r="E104" t="s">
        <v>138</v>
      </c>
    </row>
    <row r="105" spans="1:5" x14ac:dyDescent="0.2">
      <c r="A105" t="str" cm="1">
        <f t="array" ref="A105">TEXT(-1/7000,"General")</f>
        <v>-0.000142857</v>
      </c>
      <c r="B105">
        <f t="shared" si="9"/>
        <v>-3</v>
      </c>
      <c r="C105">
        <f t="shared" si="10"/>
        <v>0</v>
      </c>
      <c r="D105" t="str">
        <f t="shared" si="11"/>
        <v>-0.000142857</v>
      </c>
      <c r="E105" t="s">
        <v>139</v>
      </c>
    </row>
    <row r="106" spans="1:5" x14ac:dyDescent="0.2">
      <c r="A106" t="str" cm="1">
        <f t="array" ref="A106">TEXT(-1/70000,"General")</f>
        <v>-1.42857E-05</v>
      </c>
      <c r="B106">
        <f t="shared" si="9"/>
        <v>-3</v>
      </c>
      <c r="C106">
        <f t="shared" si="10"/>
        <v>0</v>
      </c>
      <c r="D106" t="str">
        <f t="shared" si="11"/>
        <v>-1.42857E-05</v>
      </c>
      <c r="E106" t="s">
        <v>140</v>
      </c>
    </row>
    <row r="107" spans="1:5" x14ac:dyDescent="0.2">
      <c r="A107" t="str" cm="1">
        <f t="array" ref="A107">TEXT(-1/700000,"General")</f>
        <v>-1.42857E-06</v>
      </c>
      <c r="B107">
        <f t="shared" si="9"/>
        <v>-3</v>
      </c>
      <c r="C107">
        <f t="shared" si="10"/>
        <v>0</v>
      </c>
      <c r="D107" t="str">
        <f t="shared" si="11"/>
        <v>-1.42857E-06</v>
      </c>
      <c r="E107" t="s">
        <v>141</v>
      </c>
    </row>
    <row r="108" spans="1:5" x14ac:dyDescent="0.2">
      <c r="A108" t="str" cm="1">
        <f t="array" ref="A108">TEXT(-1/7000000,"General")</f>
        <v>-1.42857E-07</v>
      </c>
      <c r="B108">
        <f t="shared" si="9"/>
        <v>-3</v>
      </c>
      <c r="C108">
        <f t="shared" si="10"/>
        <v>0</v>
      </c>
      <c r="D108" t="str">
        <f t="shared" si="11"/>
        <v>-1.42857E-07</v>
      </c>
      <c r="E108" t="s">
        <v>142</v>
      </c>
    </row>
    <row r="109" spans="1:5" x14ac:dyDescent="0.2">
      <c r="A109" t="str" cm="1">
        <f t="array" ref="A109">TEXT(-1/70000000,"General")</f>
        <v>-1.42857E-08</v>
      </c>
      <c r="B109">
        <f t="shared" si="9"/>
        <v>-3</v>
      </c>
      <c r="C109">
        <f t="shared" si="10"/>
        <v>0</v>
      </c>
      <c r="D109" t="str">
        <f t="shared" si="11"/>
        <v>-1.42857E-08</v>
      </c>
      <c r="E109" t="s">
        <v>143</v>
      </c>
    </row>
    <row r="110" spans="1:5" x14ac:dyDescent="0.2">
      <c r="A110" t="str" cm="1">
        <f t="array" ref="A110">TEXT(-1/700000000,"General")</f>
        <v>-1.42857E-09</v>
      </c>
      <c r="B110">
        <f t="shared" si="9"/>
        <v>-3</v>
      </c>
      <c r="C110">
        <f t="shared" si="10"/>
        <v>0</v>
      </c>
      <c r="D110" t="str">
        <f t="shared" si="11"/>
        <v>-1.42857E-09</v>
      </c>
      <c r="E110" t="s">
        <v>144</v>
      </c>
    </row>
    <row r="111" spans="1:5" x14ac:dyDescent="0.2">
      <c r="A111" t="str" cm="1">
        <f t="array" ref="A111">TEXT(-1/7000000000,"General")</f>
        <v>-1.42857E-10</v>
      </c>
      <c r="B111">
        <f t="shared" si="9"/>
        <v>-3</v>
      </c>
      <c r="C111">
        <f t="shared" si="10"/>
        <v>0</v>
      </c>
      <c r="D111" t="str">
        <f t="shared" si="11"/>
        <v>-1.42857E-10</v>
      </c>
      <c r="E111" t="s">
        <v>145</v>
      </c>
    </row>
    <row r="112" spans="1:5" x14ac:dyDescent="0.2">
      <c r="A112" t="str" cm="1">
        <f t="array" ref="A112">TEXT(-1/70000000000,"General")</f>
        <v>-1.42857E-11</v>
      </c>
      <c r="B112">
        <f t="shared" si="9"/>
        <v>-3</v>
      </c>
      <c r="C112">
        <f t="shared" si="10"/>
        <v>0</v>
      </c>
      <c r="D112" t="str">
        <f t="shared" si="11"/>
        <v>-1.42857E-11</v>
      </c>
      <c r="E112" t="s">
        <v>146</v>
      </c>
    </row>
    <row r="113" spans="1:5" x14ac:dyDescent="0.2">
      <c r="A113" t="str" cm="1">
        <f t="array" ref="A113">TEXT(-1/700000000000,"General")</f>
        <v>-1.42857E-12</v>
      </c>
      <c r="B113">
        <f t="shared" si="9"/>
        <v>-3</v>
      </c>
      <c r="C113">
        <f t="shared" si="10"/>
        <v>0</v>
      </c>
      <c r="D113" t="str">
        <f t="shared" si="11"/>
        <v>-1.42857E-12</v>
      </c>
      <c r="E113" t="s">
        <v>147</v>
      </c>
    </row>
    <row r="114" spans="1:5" x14ac:dyDescent="0.2">
      <c r="A114" t="str" cm="1">
        <f t="array" ref="A114">TEXT(-1/7000000000000,"General")</f>
        <v>-1.42857E-13</v>
      </c>
      <c r="B114">
        <f t="shared" si="9"/>
        <v>-3</v>
      </c>
      <c r="C114">
        <f t="shared" si="10"/>
        <v>0</v>
      </c>
      <c r="D114" t="str">
        <f t="shared" si="11"/>
        <v>-1.42857E-13</v>
      </c>
      <c r="E114" t="s">
        <v>148</v>
      </c>
    </row>
    <row r="115" spans="1:5" x14ac:dyDescent="0.2">
      <c r="A115" t="str" cm="1">
        <f t="array" ref="A115">TEXT(-1/70000000000000,"General")</f>
        <v>-1.42857E-14</v>
      </c>
      <c r="B115">
        <f t="shared" si="9"/>
        <v>-3</v>
      </c>
      <c r="C115">
        <f t="shared" si="10"/>
        <v>0</v>
      </c>
      <c r="D115" t="str">
        <f t="shared" si="11"/>
        <v>-1.42857E-14</v>
      </c>
      <c r="E115" t="s">
        <v>149</v>
      </c>
    </row>
    <row r="116" spans="1:5" x14ac:dyDescent="0.2">
      <c r="A116" t="str" cm="1">
        <f t="array" ref="A116">TEXT(-1/700000000000000,"General")</f>
        <v>-1.42857E-15</v>
      </c>
      <c r="B116">
        <f t="shared" si="9"/>
        <v>-3</v>
      </c>
      <c r="C116">
        <f t="shared" si="10"/>
        <v>0</v>
      </c>
      <c r="D116" t="str">
        <f t="shared" si="11"/>
        <v>-1.42857E-15</v>
      </c>
      <c r="E116" t="s">
        <v>150</v>
      </c>
    </row>
    <row r="117" spans="1:5" x14ac:dyDescent="0.2">
      <c r="A117" t="str" cm="1">
        <f t="array" ref="A117">"a"&amp;1E-100</f>
        <v>a1E-100</v>
      </c>
      <c r="B117">
        <f t="shared" si="9"/>
        <v>-3</v>
      </c>
      <c r="C117">
        <f t="shared" si="10"/>
        <v>0</v>
      </c>
      <c r="D117" t="str">
        <f t="shared" si="11"/>
        <v>a1E-100</v>
      </c>
      <c r="E117" t="s">
        <v>151</v>
      </c>
    </row>
    <row r="118" spans="1:5" x14ac:dyDescent="0.2">
      <c r="A118" t="str" cm="1">
        <f t="array" ref="A118">"a"&amp;1.5E+300</f>
        <v>a1.5E+300</v>
      </c>
      <c r="B118">
        <f t="shared" si="9"/>
        <v>-3</v>
      </c>
      <c r="C118">
        <f t="shared" si="10"/>
        <v>0</v>
      </c>
      <c r="D118" t="str">
        <f t="shared" si="11"/>
        <v>a1.5E+300</v>
      </c>
      <c r="E118" t="s">
        <v>152</v>
      </c>
    </row>
    <row r="119" spans="1:5" x14ac:dyDescent="0.2">
      <c r="A119" t="str" cm="1">
        <f t="array" ref="A119">"a"&amp;-1E-300</f>
        <v>a-1E-300</v>
      </c>
      <c r="B119">
        <f t="shared" si="9"/>
        <v>-3</v>
      </c>
      <c r="C119">
        <f t="shared" si="10"/>
        <v>0</v>
      </c>
      <c r="D119" t="str">
        <f t="shared" si="11"/>
        <v>a-1E-300</v>
      </c>
      <c r="E119" t="s">
        <v>153</v>
      </c>
    </row>
    <row r="120" spans="1:5" x14ac:dyDescent="0.2">
      <c r="A120" t="str" cm="1">
        <f t="array" ref="A120">"a"&amp;(1E-300/100000000000000000000)</f>
        <v>a0</v>
      </c>
      <c r="B120">
        <f t="shared" si="9"/>
        <v>-3</v>
      </c>
      <c r="C120">
        <f t="shared" si="10"/>
        <v>0</v>
      </c>
      <c r="D120" t="str">
        <f t="shared" si="11"/>
        <v>a0</v>
      </c>
      <c r="E120" t="s">
        <v>154</v>
      </c>
    </row>
    <row r="121" spans="1:5" x14ac:dyDescent="0.2">
      <c r="A121" t="str" cm="1">
        <f t="array" ref="A121">"a"&amp;99999999999999900000</f>
        <v>a99999999999999900000</v>
      </c>
      <c r="B121">
        <f t="shared" si="9"/>
        <v>-3</v>
      </c>
      <c r="C121">
        <f t="shared" si="10"/>
        <v>0</v>
      </c>
      <c r="D121" t="str">
        <f t="shared" si="11"/>
        <v>a99999999999999900000</v>
      </c>
      <c r="E121" t="s">
        <v>155</v>
      </c>
    </row>
    <row r="122" spans="1:5" x14ac:dyDescent="0.2">
      <c r="A122" t="str" cm="1">
        <f t="array" ref="A122">"a"&amp;99999999999999900000</f>
        <v>a99999999999999900000</v>
      </c>
      <c r="B122">
        <f t="shared" si="9"/>
        <v>-3</v>
      </c>
      <c r="C122">
        <f t="shared" si="10"/>
        <v>0</v>
      </c>
      <c r="D122" t="str">
        <f t="shared" si="11"/>
        <v>a99999999999999900000</v>
      </c>
      <c r="E122" t="s">
        <v>156</v>
      </c>
    </row>
    <row r="123" spans="1:5" x14ac:dyDescent="0.2">
      <c r="A123" t="str" cm="1">
        <f t="array" ref="A123">"a"&amp;(100000000000000000000-1)</f>
        <v>a1E+20</v>
      </c>
      <c r="B123">
        <f t="shared" si="9"/>
        <v>-3</v>
      </c>
      <c r="C123">
        <f t="shared" si="10"/>
        <v>0</v>
      </c>
      <c r="D123" t="str">
        <f t="shared" si="11"/>
        <v>a1E+20</v>
      </c>
      <c r="E123" t="s">
        <v>157</v>
      </c>
    </row>
    <row r="124" spans="1:5" x14ac:dyDescent="0.2">
      <c r="A124" t="str" cm="1">
        <f t="array" ref="A124">"a"&amp;(0.1+0.2)</f>
        <v>a0.3</v>
      </c>
      <c r="B124">
        <f t="shared" si="9"/>
        <v>-3</v>
      </c>
      <c r="C124">
        <f t="shared" si="10"/>
        <v>0</v>
      </c>
      <c r="D124" t="str">
        <f t="shared" si="11"/>
        <v>a0.3</v>
      </c>
      <c r="E124" t="s">
        <v>158</v>
      </c>
    </row>
    <row r="125" spans="1:5" x14ac:dyDescent="0.2">
      <c r="A125" t="str" cm="1">
        <f t="array" ref="A125">"a"&amp;(1/3*3)</f>
        <v>a1</v>
      </c>
      <c r="B125">
        <f t="shared" si="9"/>
        <v>-3</v>
      </c>
      <c r="C125">
        <f t="shared" si="10"/>
        <v>0</v>
      </c>
      <c r="D125" t="str">
        <f t="shared" si="11"/>
        <v>a1</v>
      </c>
      <c r="E125" t="s">
        <v>159</v>
      </c>
    </row>
    <row r="126" spans="1:5" x14ac:dyDescent="0.2">
      <c r="A126" t="str" cm="1">
        <f t="array" ref="A126">"a"&amp;(0.0000999999999999999+0.0000000000000000001)</f>
        <v>a0.0001</v>
      </c>
      <c r="B126">
        <f t="shared" si="9"/>
        <v>-3</v>
      </c>
      <c r="C126">
        <f t="shared" si="10"/>
        <v>0</v>
      </c>
      <c r="D126" t="str">
        <f t="shared" si="11"/>
        <v>a0.0001</v>
      </c>
      <c r="E126" t="s">
        <v>160</v>
      </c>
    </row>
    <row r="127" spans="1:5" x14ac:dyDescent="0.2">
      <c r="A127" t="str" cm="1">
        <f t="array" ref="A127">"a"&amp;(1E-300*0.0000000001)</f>
        <v>a0</v>
      </c>
      <c r="B127">
        <f t="shared" si="9"/>
        <v>-3</v>
      </c>
      <c r="C127">
        <f t="shared" si="10"/>
        <v>0</v>
      </c>
      <c r="D127" t="str">
        <f t="shared" si="11"/>
        <v>a0</v>
      </c>
      <c r="E127" t="s">
        <v>161</v>
      </c>
    </row>
    <row r="128" spans="1:5" x14ac:dyDescent="0.2">
      <c r="A128" t="str" cm="1">
        <f t="array" ref="A128">"a"&amp;(3E-308/2)</f>
        <v>a0</v>
      </c>
      <c r="B128">
        <f t="shared" si="9"/>
        <v>-3</v>
      </c>
      <c r="C128">
        <f t="shared" si="10"/>
        <v>0</v>
      </c>
      <c r="D128" t="str">
        <f t="shared" si="11"/>
        <v>a0</v>
      </c>
      <c r="E128" t="s">
        <v>162</v>
      </c>
    </row>
    <row r="129" spans="1:5" x14ac:dyDescent="0.2">
      <c r="A129" t="str" cm="1">
        <f t="array" ref="A129">"a"&amp;(0*1)</f>
        <v>a0</v>
      </c>
      <c r="B129">
        <f t="shared" ref="B129:B160" si="12">IF(ISERROR(A129),ERROR.TYPE(A129),IF(ISNUMBER(A129),0,IF(ISLOGICAL(A129),IF(A129,-1,-2),IF(ISTEXT(A129),-3,-4))))</f>
        <v>-3</v>
      </c>
      <c r="C129">
        <f t="shared" ref="C129:C159" si="13">IF(ISNUMBER(A129),A129,0)</f>
        <v>0</v>
      </c>
      <c r="D129" t="str">
        <f t="shared" ref="D129:D159" si="14">IF(ISTEXT(A129),A129,"")</f>
        <v>a0</v>
      </c>
      <c r="E129" t="s">
        <v>163</v>
      </c>
    </row>
    <row r="130" spans="1:5" x14ac:dyDescent="0.2">
      <c r="A130" t="str" cm="1">
        <f t="array" ref="A130">"a"&amp;POWER(1E-160,2)</f>
        <v>a0</v>
      </c>
      <c r="B130">
        <f t="shared" si="12"/>
        <v>-3</v>
      </c>
      <c r="C130">
        <f t="shared" si="13"/>
        <v>0</v>
      </c>
      <c r="D130" t="str">
        <f t="shared" si="14"/>
        <v>a0</v>
      </c>
      <c r="E130" t="s">
        <v>164</v>
      </c>
    </row>
    <row r="131" spans="1:5" x14ac:dyDescent="0.2">
      <c r="A131" t="str" cm="1">
        <f t="array" ref="A131">"a"&amp;(-1E-300/1000000000000000)</f>
        <v>a0</v>
      </c>
      <c r="B131">
        <f t="shared" si="12"/>
        <v>-3</v>
      </c>
      <c r="C131">
        <f t="shared" si="13"/>
        <v>0</v>
      </c>
      <c r="D131" t="str">
        <f t="shared" si="14"/>
        <v>a0</v>
      </c>
      <c r="E131" t="s">
        <v>165</v>
      </c>
    </row>
    <row r="132" spans="1:5" x14ac:dyDescent="0.2">
      <c r="A132" t="b" cm="1">
        <f t="array" ref="A132">(1E-300*0.0000000001)=0</f>
        <v>1</v>
      </c>
      <c r="B132">
        <f t="shared" si="12"/>
        <v>-1</v>
      </c>
      <c r="C132">
        <f t="shared" si="13"/>
        <v>0</v>
      </c>
      <c r="D132" t="str">
        <f t="shared" si="14"/>
        <v/>
      </c>
      <c r="E132" t="s">
        <v>166</v>
      </c>
    </row>
    <row r="133" spans="1:5" x14ac:dyDescent="0.2">
      <c r="A133" t="str" cm="1">
        <f t="array" ref="A133">TEXT(1E-100,"General")</f>
        <v>1E-100</v>
      </c>
      <c r="B133">
        <f t="shared" si="12"/>
        <v>-3</v>
      </c>
      <c r="C133">
        <f t="shared" si="13"/>
        <v>0</v>
      </c>
      <c r="D133" t="str">
        <f t="shared" si="14"/>
        <v>1E-100</v>
      </c>
      <c r="E133" t="s">
        <v>167</v>
      </c>
    </row>
    <row r="134" spans="1:5" x14ac:dyDescent="0.2">
      <c r="A134" t="str" cm="1">
        <f t="array" ref="A134">TEXT(1.23456789E-100,"General")</f>
        <v>1.2346E-100</v>
      </c>
      <c r="B134">
        <f t="shared" si="12"/>
        <v>-3</v>
      </c>
      <c r="C134">
        <f t="shared" si="13"/>
        <v>0</v>
      </c>
      <c r="D134" t="str">
        <f t="shared" si="14"/>
        <v>1.2346E-100</v>
      </c>
      <c r="E134" t="s">
        <v>168</v>
      </c>
    </row>
    <row r="135" spans="1:5" x14ac:dyDescent="0.2">
      <c r="A135" t="str" cm="1">
        <f t="array" ref="A135">TEXT(1.5E+300,"General")</f>
        <v>1.5E+300</v>
      </c>
      <c r="B135">
        <f t="shared" si="12"/>
        <v>-3</v>
      </c>
      <c r="C135">
        <f t="shared" si="13"/>
        <v>0</v>
      </c>
      <c r="D135" t="str">
        <f t="shared" si="14"/>
        <v>1.5E+300</v>
      </c>
      <c r="E135" t="s">
        <v>169</v>
      </c>
    </row>
    <row r="136" spans="1:5" x14ac:dyDescent="0.2">
      <c r="A136" t="str" cm="1">
        <f t="array" ref="A136">TEXT(-1.23456789E+200,"General")</f>
        <v>-1.2346E+200</v>
      </c>
      <c r="B136">
        <f t="shared" si="12"/>
        <v>-3</v>
      </c>
      <c r="C136">
        <f t="shared" si="13"/>
        <v>0</v>
      </c>
      <c r="D136" t="str">
        <f t="shared" si="14"/>
        <v>-1.2346E+200</v>
      </c>
      <c r="E136" t="s">
        <v>170</v>
      </c>
    </row>
    <row r="137" spans="1:5" x14ac:dyDescent="0.2">
      <c r="A137" cm="1">
        <f t="array" ref="A137">123456789012345000-123456789012345000</f>
        <v>0</v>
      </c>
      <c r="B137">
        <f t="shared" si="12"/>
        <v>0</v>
      </c>
      <c r="C137">
        <f t="shared" si="13"/>
        <v>0</v>
      </c>
      <c r="D137" t="str">
        <f t="shared" si="14"/>
        <v/>
      </c>
      <c r="E137" t="s">
        <v>171</v>
      </c>
    </row>
    <row r="138" spans="1:5" x14ac:dyDescent="0.2">
      <c r="A138" cm="1">
        <f t="array" ref="A138">-123456789012345000+123456789012345000</f>
        <v>0</v>
      </c>
      <c r="B138">
        <f t="shared" si="12"/>
        <v>0</v>
      </c>
      <c r="C138">
        <f t="shared" si="13"/>
        <v>0</v>
      </c>
      <c r="D138" t="str">
        <f t="shared" si="14"/>
        <v/>
      </c>
      <c r="E138" t="s">
        <v>172</v>
      </c>
    </row>
    <row r="139" spans="1:5" x14ac:dyDescent="0.2">
      <c r="A139" t="b" cm="1">
        <f t="array" ref="A139">1.99999999999999=2</f>
        <v>0</v>
      </c>
      <c r="B139">
        <f t="shared" si="12"/>
        <v>-2</v>
      </c>
      <c r="C139">
        <f t="shared" si="13"/>
        <v>0</v>
      </c>
      <c r="D139" t="str">
        <f t="shared" si="14"/>
        <v/>
      </c>
      <c r="E139" t="s">
        <v>173</v>
      </c>
    </row>
    <row r="140" spans="1:5" x14ac:dyDescent="0.2">
      <c r="A140" cm="1">
        <f t="array" ref="A140">1.99999999999999-1.9999999999999</f>
        <v>8.992806499463768E-14</v>
      </c>
      <c r="B140">
        <f t="shared" si="12"/>
        <v>0</v>
      </c>
      <c r="C140">
        <f t="shared" si="13"/>
        <v>8.992806499463768E-14</v>
      </c>
      <c r="D140" t="str">
        <f t="shared" si="14"/>
        <v/>
      </c>
      <c r="E140" t="s">
        <v>174</v>
      </c>
    </row>
    <row r="141" spans="1:5" x14ac:dyDescent="0.2">
      <c r="A141" t="b" cm="1">
        <f t="array" ref="A141">0.999999999999999=1</f>
        <v>0</v>
      </c>
      <c r="B141">
        <f t="shared" si="12"/>
        <v>-2</v>
      </c>
      <c r="C141">
        <f t="shared" si="13"/>
        <v>0</v>
      </c>
      <c r="D141" t="str">
        <f t="shared" si="14"/>
        <v/>
      </c>
      <c r="E141" t="s">
        <v>175</v>
      </c>
    </row>
    <row r="142" spans="1:5" x14ac:dyDescent="0.2">
      <c r="A142" cm="1">
        <f t="array" ref="A142">9999999999999990-9999999999999990</f>
        <v>0</v>
      </c>
      <c r="B142">
        <f t="shared" si="12"/>
        <v>0</v>
      </c>
      <c r="C142">
        <f t="shared" si="13"/>
        <v>0</v>
      </c>
      <c r="D142" t="str">
        <f t="shared" si="14"/>
        <v/>
      </c>
      <c r="E142" t="s">
        <v>176</v>
      </c>
    </row>
    <row r="143" spans="1:5" x14ac:dyDescent="0.2">
      <c r="A143" t="str" cm="1">
        <f t="array" ref="A143">"a"&amp;123456789012345000</f>
        <v>a123456789012345000</v>
      </c>
      <c r="B143">
        <f t="shared" si="12"/>
        <v>-3</v>
      </c>
      <c r="C143">
        <f t="shared" si="13"/>
        <v>0</v>
      </c>
      <c r="D143" t="str">
        <f t="shared" si="14"/>
        <v>a123456789012345000</v>
      </c>
      <c r="E143" t="s">
        <v>177</v>
      </c>
    </row>
    <row r="144" spans="1:5" x14ac:dyDescent="0.2">
      <c r="A144" t="str" cm="1">
        <f t="array" ref="A144">"a"&amp;0.123456789012345</f>
        <v>a0.123456789012345</v>
      </c>
      <c r="B144">
        <f t="shared" si="12"/>
        <v>-3</v>
      </c>
      <c r="C144">
        <f t="shared" si="13"/>
        <v>0</v>
      </c>
      <c r="D144" t="str">
        <f t="shared" si="14"/>
        <v>a0.123456789012345</v>
      </c>
      <c r="E144" t="s">
        <v>178</v>
      </c>
    </row>
    <row r="145" spans="1:5" x14ac:dyDescent="0.2">
      <c r="A145" t="str" cm="1">
        <f t="array" ref="A145">"a"&amp;1.23456789012345E-10</f>
        <v>a1.23456789012345E-10</v>
      </c>
      <c r="B145">
        <f t="shared" si="12"/>
        <v>-3</v>
      </c>
      <c r="C145">
        <f t="shared" si="13"/>
        <v>0</v>
      </c>
      <c r="D145" t="str">
        <f t="shared" si="14"/>
        <v>a1.23456789012345E-10</v>
      </c>
      <c r="E145" t="s">
        <v>179</v>
      </c>
    </row>
    <row r="146" spans="1:5" x14ac:dyDescent="0.2">
      <c r="A146" t="str" cm="1">
        <f t="array" ref="A146">"a"&amp;1.23456789012345E+22</f>
        <v>a1.23456789012345E+22</v>
      </c>
      <c r="B146">
        <f t="shared" si="12"/>
        <v>-3</v>
      </c>
      <c r="C146">
        <f t="shared" si="13"/>
        <v>0</v>
      </c>
      <c r="D146" t="str">
        <f t="shared" si="14"/>
        <v>a1.23456789012345E+22</v>
      </c>
      <c r="E146" t="s">
        <v>180</v>
      </c>
    </row>
    <row r="147" spans="1:5" x14ac:dyDescent="0.2">
      <c r="A147" cm="1">
        <f t="array" ref="A147">"123456789012345678"*1-123456789012345000</f>
        <v>0</v>
      </c>
      <c r="B147">
        <f t="shared" si="12"/>
        <v>0</v>
      </c>
      <c r="C147">
        <f t="shared" si="13"/>
        <v>0</v>
      </c>
      <c r="D147" t="str">
        <f t="shared" si="14"/>
        <v/>
      </c>
      <c r="E147" t="s">
        <v>181</v>
      </c>
    </row>
    <row r="148" spans="1:5" x14ac:dyDescent="0.2">
      <c r="A148" t="b" cm="1">
        <f t="array" ref="A148">"1.99999999999999999"*1=2</f>
        <v>0</v>
      </c>
      <c r="B148">
        <f t="shared" si="12"/>
        <v>-2</v>
      </c>
      <c r="C148">
        <f t="shared" si="13"/>
        <v>0</v>
      </c>
      <c r="D148" t="str">
        <f t="shared" si="14"/>
        <v/>
      </c>
      <c r="E148" t="s">
        <v>182</v>
      </c>
    </row>
    <row r="149" spans="1:5" x14ac:dyDescent="0.2">
      <c r="A149" t="b" cm="1">
        <f t="array" ref="A149">"0.99999999999999999"+0=1</f>
        <v>0</v>
      </c>
      <c r="B149">
        <f t="shared" si="12"/>
        <v>-2</v>
      </c>
      <c r="C149">
        <f t="shared" si="13"/>
        <v>0</v>
      </c>
      <c r="D149" t="str">
        <f t="shared" si="14"/>
        <v/>
      </c>
      <c r="E149" t="s">
        <v>183</v>
      </c>
    </row>
    <row r="150" spans="1:5" x14ac:dyDescent="0.2">
      <c r="A150" cm="1">
        <f t="array" ref="A150">SUMIFS('S2'!A:A,'S3'!B:B,"&gt;0")</f>
        <v>4</v>
      </c>
      <c r="B150">
        <f t="shared" si="12"/>
        <v>0</v>
      </c>
      <c r="C150">
        <f t="shared" si="13"/>
        <v>4</v>
      </c>
      <c r="D150" t="str">
        <f t="shared" si="14"/>
        <v/>
      </c>
      <c r="E150" t="s">
        <v>184</v>
      </c>
    </row>
    <row r="151" spans="1:5" x14ac:dyDescent="0.2">
      <c r="A151" cm="1">
        <f t="array" ref="A151">SUMIF('S3'!B:B,"&gt;0",'S2'!A:A)</f>
        <v>4</v>
      </c>
      <c r="B151">
        <f t="shared" si="12"/>
        <v>0</v>
      </c>
      <c r="C151">
        <f t="shared" si="13"/>
        <v>4</v>
      </c>
      <c r="D151" t="str">
        <f t="shared" si="14"/>
        <v/>
      </c>
      <c r="E151" t="s">
        <v>185</v>
      </c>
    </row>
    <row r="152" spans="1:5" x14ac:dyDescent="0.2">
      <c r="A152" cm="1">
        <f t="array" ref="A152">COUNTIFS('S3'!B:B,"&gt;0",'S2'!A:A,"&gt;2")</f>
        <v>1</v>
      </c>
      <c r="B152">
        <f t="shared" si="12"/>
        <v>0</v>
      </c>
      <c r="C152">
        <f t="shared" si="13"/>
        <v>1</v>
      </c>
      <c r="D152" t="str">
        <f t="shared" si="14"/>
        <v/>
      </c>
      <c r="E152" t="s">
        <v>186</v>
      </c>
    </row>
    <row r="153" spans="1:5" x14ac:dyDescent="0.2">
      <c r="A153" cm="1">
        <f t="array" ref="A153">SUMIFS('S2'!A:A,'S3'!B:B,"")</f>
        <v>9</v>
      </c>
      <c r="B153">
        <f t="shared" si="12"/>
        <v>0</v>
      </c>
      <c r="C153">
        <f t="shared" si="13"/>
        <v>9</v>
      </c>
      <c r="D153" t="str">
        <f t="shared" si="14"/>
        <v/>
      </c>
      <c r="E153" t="s">
        <v>187</v>
      </c>
    </row>
    <row r="154" spans="1:5" x14ac:dyDescent="0.2">
      <c r="A154" cm="1">
        <f t="array" ref="A154">SUMIFS('S2'!A:A,'S3'!B:B,"&lt;&gt;1")</f>
        <v>11</v>
      </c>
      <c r="B154">
        <f t="shared" si="12"/>
        <v>0</v>
      </c>
      <c r="C154">
        <f t="shared" si="13"/>
        <v>11</v>
      </c>
      <c r="D154" t="str">
        <f t="shared" si="14"/>
        <v/>
      </c>
      <c r="E154" t="s">
        <v>188</v>
      </c>
    </row>
    <row r="155" spans="1:5" x14ac:dyDescent="0.2">
      <c r="A155" cm="1">
        <f t="array" ref="A155">COUNTIFS('S2'!A:A,"")</f>
        <v>1048571</v>
      </c>
      <c r="B155">
        <f t="shared" si="12"/>
        <v>0</v>
      </c>
      <c r="C155">
        <f t="shared" si="13"/>
        <v>1048571</v>
      </c>
      <c r="D155" t="str">
        <f t="shared" si="14"/>
        <v/>
      </c>
      <c r="E155" t="s">
        <v>189</v>
      </c>
    </row>
    <row r="156" spans="1:5" x14ac:dyDescent="0.2">
      <c r="A156" cm="1">
        <f t="array" ref="A156">COUNTIFS('S2'!A:A,"&lt;&gt;3")</f>
        <v>1048575</v>
      </c>
      <c r="B156">
        <f t="shared" si="12"/>
        <v>0</v>
      </c>
      <c r="C156">
        <f t="shared" si="13"/>
        <v>1048575</v>
      </c>
      <c r="D156" t="str">
        <f t="shared" si="14"/>
        <v/>
      </c>
      <c r="E156" t="s">
        <v>190</v>
      </c>
    </row>
    <row r="157" spans="1:5" x14ac:dyDescent="0.2">
      <c r="A157" cm="1">
        <f t="array" ref="A157">COUNTIFS('S2'!A:B,"")</f>
        <v>2097147</v>
      </c>
      <c r="B157">
        <f t="shared" si="12"/>
        <v>0</v>
      </c>
      <c r="C157">
        <f t="shared" si="13"/>
        <v>2097147</v>
      </c>
      <c r="D157" t="str">
        <f t="shared" si="14"/>
        <v/>
      </c>
      <c r="E157" t="s">
        <v>191</v>
      </c>
    </row>
    <row r="158" spans="1:5" x14ac:dyDescent="0.2">
      <c r="A158" t="e" cm="1">
        <f t="array" ref="A158">SUMIFS('S2'!A:A,'S3'!B1:B3,"&gt;0")</f>
        <v>#VALUE!</v>
      </c>
      <c r="B158">
        <f t="shared" si="12"/>
        <v>3</v>
      </c>
      <c r="C158">
        <f t="shared" si="13"/>
        <v>0</v>
      </c>
      <c r="D158" t="str">
        <f t="shared" si="14"/>
        <v/>
      </c>
      <c r="E158" t="s">
        <v>192</v>
      </c>
    </row>
    <row r="159" spans="1:5" x14ac:dyDescent="0.2">
      <c r="A159" cm="1">
        <f t="array" aca="1" ref="A159" ca="1">SUMIF('S3'!B:B,"",'S2'!A1)</f>
        <v>9</v>
      </c>
      <c r="B159">
        <f t="shared" ca="1" si="12"/>
        <v>0</v>
      </c>
      <c r="C159">
        <f t="shared" ca="1" si="13"/>
        <v>9</v>
      </c>
      <c r="D159" t="str">
        <f t="shared" ca="1" si="14"/>
        <v/>
      </c>
      <c r="E159" t="s">
        <v>193</v>
      </c>
    </row>
    <row r="160" spans="1:5" x14ac:dyDescent="0.2">
      <c r="A160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S2</vt:lpstr>
      <vt:lpstr>S3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2026-10-07T05:15:13Z</dcterms:created>
  <dcterms:modified xsi:type="dcterms:W3CDTF">2026-10-07T05:15:14Z</dcterms:modified>
  <cp:category/>
</cp:coreProperties>
</file>