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30E339C7-B030-B747-8BC1-0E882A49344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3" l="1" a="1"/>
  <c r="A65" i="3" s="1"/>
  <c r="A64" i="3" a="1"/>
  <c r="A64" i="3"/>
  <c r="D64" i="3" s="1"/>
  <c r="A63" i="3" a="1"/>
  <c r="A63" i="3" s="1"/>
  <c r="A60" i="3" a="1"/>
  <c r="A60" i="3" s="1"/>
  <c r="D60" i="3" s="1"/>
  <c r="A59" i="3" a="1"/>
  <c r="A59" i="3" s="1"/>
  <c r="A57" i="3" a="1"/>
  <c r="A57" i="3" s="1"/>
  <c r="A55" i="3" a="1"/>
  <c r="A55" i="3" s="1"/>
  <c r="A52" i="3" a="1"/>
  <c r="A52" i="3"/>
  <c r="C52" i="3" s="1"/>
  <c r="A50" i="3" a="1"/>
  <c r="A50" i="3" s="1"/>
  <c r="C50" i="3" s="1"/>
  <c r="A49" i="3" a="1"/>
  <c r="A49" i="3"/>
  <c r="D49" i="3" s="1"/>
  <c r="A39" i="3" a="1"/>
  <c r="A39" i="3" s="1"/>
  <c r="A35" i="3" a="1"/>
  <c r="A35" i="3"/>
  <c r="D35" i="3" s="1"/>
  <c r="A31" i="3" a="1"/>
  <c r="A31" i="3"/>
  <c r="C31" i="3" s="1"/>
  <c r="A28" i="3" a="1"/>
  <c r="A28" i="3"/>
  <c r="C28" i="3" s="1"/>
  <c r="A27" i="3" a="1"/>
  <c r="A27" i="3"/>
  <c r="D27" i="3" s="1"/>
  <c r="A25" i="3" a="1"/>
  <c r="A25" i="3" s="1"/>
  <c r="B25" i="3" s="1"/>
  <c r="A23" i="3" a="1"/>
  <c r="A23" i="3" s="1"/>
  <c r="A22" i="3" a="1"/>
  <c r="A22" i="3"/>
  <c r="D22" i="3" s="1"/>
  <c r="A21" i="3" a="1"/>
  <c r="A21" i="3" s="1"/>
  <c r="A17" i="3" a="1"/>
  <c r="A17" i="3" s="1"/>
  <c r="A16" i="3" a="1"/>
  <c r="A16" i="3"/>
  <c r="D16" i="3" s="1"/>
  <c r="A13" i="3" a="1"/>
  <c r="A13" i="3"/>
  <c r="B13" i="3" s="1"/>
  <c r="A9" i="3" a="1"/>
  <c r="A9" i="3"/>
  <c r="D9" i="3" s="1"/>
  <c r="I15" i="2"/>
  <c r="A14" i="2"/>
  <c r="A13" i="2"/>
  <c r="AL10" i="2"/>
  <c r="A8" i="2"/>
  <c r="A30" i="3" s="1" a="1"/>
  <c r="A30" i="3" s="1"/>
  <c r="A7" i="2"/>
  <c r="A66" i="3" s="1" a="1"/>
  <c r="A66" i="3" s="1"/>
  <c r="E3" i="2"/>
  <c r="A43" i="3" s="1" a="1"/>
  <c r="A43" i="3" s="1"/>
  <c r="A34" i="3" l="1" a="1"/>
  <c r="A34" i="3" s="1"/>
  <c r="C34" i="3" s="1"/>
  <c r="A20" i="3" a="1"/>
  <c r="A20" i="3" s="1"/>
  <c r="C20" i="3" s="1"/>
  <c r="A41" i="3" a="1"/>
  <c r="A41" i="3" s="1"/>
  <c r="A5" i="3" a="1"/>
  <c r="A5" i="3" s="1"/>
  <c r="A24" i="3" a="1"/>
  <c r="A24" i="3" s="1"/>
  <c r="B24" i="3" s="1"/>
  <c r="A42" i="3" a="1"/>
  <c r="A42" i="3" s="1"/>
  <c r="D42" i="3" s="1"/>
  <c r="A18" i="3" a="1"/>
  <c r="A18" i="3" s="1"/>
  <c r="D18" i="3" s="1"/>
  <c r="A56" i="3" a="1"/>
  <c r="A56" i="3" s="1"/>
  <c r="B56" i="3" s="1"/>
  <c r="A38" i="3" a="1"/>
  <c r="A38" i="3" s="1"/>
  <c r="B38" i="3" s="1"/>
  <c r="A3" i="3" a="1"/>
  <c r="A3" i="3" s="1"/>
  <c r="D3" i="3" s="1"/>
  <c r="A2" i="3" a="1"/>
  <c r="A2" i="3" s="1"/>
  <c r="D2" i="3" s="1"/>
  <c r="A6" i="3" a="1"/>
  <c r="A6" i="3" s="1"/>
  <c r="D6" i="3" s="1"/>
  <c r="A45" i="3" a="1"/>
  <c r="A45" i="3" s="1"/>
  <c r="D45" i="3" s="1"/>
  <c r="A67" i="3" a="1"/>
  <c r="A67" i="3" s="1"/>
  <c r="B67" i="3" s="1"/>
  <c r="D66" i="3"/>
  <c r="B66" i="3"/>
  <c r="C66" i="3"/>
  <c r="B23" i="3"/>
  <c r="D23" i="3"/>
  <c r="C23" i="3"/>
  <c r="D63" i="3"/>
  <c r="C63" i="3"/>
  <c r="B63" i="3"/>
  <c r="C5" i="3"/>
  <c r="B5" i="3"/>
  <c r="D5" i="3"/>
  <c r="C30" i="3"/>
  <c r="D30" i="3"/>
  <c r="B30" i="3"/>
  <c r="C59" i="3"/>
  <c r="B59" i="3"/>
  <c r="D59" i="3"/>
  <c r="D39" i="3"/>
  <c r="B39" i="3"/>
  <c r="C39" i="3"/>
  <c r="C41" i="3"/>
  <c r="D41" i="3"/>
  <c r="B41" i="3"/>
  <c r="B65" i="3"/>
  <c r="D65" i="3"/>
  <c r="C65" i="3"/>
  <c r="D43" i="3"/>
  <c r="B43" i="3"/>
  <c r="C43" i="3"/>
  <c r="D17" i="3"/>
  <c r="C17" i="3"/>
  <c r="B17" i="3"/>
  <c r="B55" i="3"/>
  <c r="D55" i="3"/>
  <c r="C55" i="3"/>
  <c r="D57" i="3"/>
  <c r="C57" i="3"/>
  <c r="B57" i="3"/>
  <c r="B21" i="3"/>
  <c r="D21" i="3"/>
  <c r="C21" i="3"/>
  <c r="B34" i="3"/>
  <c r="B9" i="3"/>
  <c r="C27" i="3"/>
  <c r="D52" i="3"/>
  <c r="C2" i="3"/>
  <c r="B31" i="3"/>
  <c r="C38" i="3"/>
  <c r="B49" i="3"/>
  <c r="C13" i="3"/>
  <c r="C49" i="3"/>
  <c r="A53" i="3" a="1"/>
  <c r="A53" i="3" s="1"/>
  <c r="B60" i="3"/>
  <c r="A10" i="3" a="1"/>
  <c r="A10" i="3" s="1"/>
  <c r="D13" i="3"/>
  <c r="C24" i="3"/>
  <c r="D31" i="3"/>
  <c r="B35" i="3"/>
  <c r="C42" i="3"/>
  <c r="A46" i="3" a="1"/>
  <c r="A46" i="3" s="1"/>
  <c r="C60" i="3"/>
  <c r="C16" i="3"/>
  <c r="B64" i="3"/>
  <c r="B50" i="3"/>
  <c r="D20" i="3"/>
  <c r="B28" i="3"/>
  <c r="C64" i="3"/>
  <c r="B20" i="3"/>
  <c r="D24" i="3"/>
  <c r="A7" i="3" a="1"/>
  <c r="A7" i="3" s="1"/>
  <c r="A54" i="3" a="1"/>
  <c r="A54" i="3" s="1"/>
  <c r="A11" i="3" a="1"/>
  <c r="A11" i="3" s="1"/>
  <c r="C25" i="3"/>
  <c r="A29" i="3" a="1"/>
  <c r="A29" i="3" s="1"/>
  <c r="D50" i="3"/>
  <c r="A4" i="3" a="1"/>
  <c r="A4" i="3" s="1"/>
  <c r="A40" i="3" a="1"/>
  <c r="A40" i="3" s="1"/>
  <c r="A15" i="3" a="1"/>
  <c r="A15" i="3" s="1"/>
  <c r="B22" i="3"/>
  <c r="A33" i="3" a="1"/>
  <c r="A33" i="3" s="1"/>
  <c r="A51" i="3" a="1"/>
  <c r="A51" i="3" s="1"/>
  <c r="A69" i="3" a="1"/>
  <c r="A69" i="3" s="1"/>
  <c r="B16" i="3"/>
  <c r="B52" i="3"/>
  <c r="C9" i="3"/>
  <c r="C35" i="3"/>
  <c r="A14" i="3" a="1"/>
  <c r="A14" i="3" s="1"/>
  <c r="A32" i="3" a="1"/>
  <c r="A32" i="3" s="1"/>
  <c r="D28" i="3"/>
  <c r="D25" i="3"/>
  <c r="A8" i="3" a="1"/>
  <c r="A8" i="3" s="1"/>
  <c r="C22" i="3"/>
  <c r="A26" i="3" a="1"/>
  <c r="A26" i="3" s="1"/>
  <c r="A44" i="3" a="1"/>
  <c r="A44" i="3" s="1"/>
  <c r="A62" i="3" a="1"/>
  <c r="A62" i="3" s="1"/>
  <c r="B27" i="3"/>
  <c r="D34" i="3"/>
  <c r="A1" i="3" a="1"/>
  <c r="A1" i="3" s="1"/>
  <c r="A37" i="3" a="1"/>
  <c r="A37" i="3" s="1"/>
  <c r="A68" i="3" a="1"/>
  <c r="A68" i="3" s="1"/>
  <c r="A61" i="3" a="1"/>
  <c r="A61" i="3" s="1"/>
  <c r="A36" i="3" a="1"/>
  <c r="A36" i="3" s="1"/>
  <c r="A47" i="3" a="1"/>
  <c r="A47" i="3" s="1"/>
  <c r="A58" i="3" a="1"/>
  <c r="A58" i="3" s="1"/>
  <c r="A19" i="3" a="1"/>
  <c r="A19" i="3" s="1"/>
  <c r="A12" i="3" a="1"/>
  <c r="A12" i="3" s="1"/>
  <c r="A48" i="3" a="1"/>
  <c r="A48" i="3" s="1"/>
  <c r="C67" i="3" l="1"/>
  <c r="C18" i="3"/>
  <c r="D67" i="3"/>
  <c r="C6" i="3"/>
  <c r="C3" i="3"/>
  <c r="B3" i="3"/>
  <c r="C45" i="3"/>
  <c r="B6" i="3"/>
  <c r="D56" i="3"/>
  <c r="B42" i="3"/>
  <c r="B45" i="3"/>
  <c r="C56" i="3"/>
  <c r="B18" i="3"/>
  <c r="B2" i="3"/>
  <c r="D38" i="3"/>
  <c r="C12" i="3"/>
  <c r="B12" i="3"/>
  <c r="D12" i="3"/>
  <c r="D7" i="3"/>
  <c r="C7" i="3"/>
  <c r="B7" i="3"/>
  <c r="B19" i="3"/>
  <c r="D19" i="3"/>
  <c r="C19" i="3"/>
  <c r="C8" i="3"/>
  <c r="B8" i="3"/>
  <c r="D8" i="3"/>
  <c r="C36" i="3"/>
  <c r="D36" i="3"/>
  <c r="B36" i="3"/>
  <c r="D69" i="3"/>
  <c r="C69" i="3"/>
  <c r="B69" i="3"/>
  <c r="D33" i="3"/>
  <c r="C33" i="3"/>
  <c r="B33" i="3"/>
  <c r="D58" i="3"/>
  <c r="C58" i="3"/>
  <c r="B58" i="3"/>
  <c r="B61" i="3"/>
  <c r="C61" i="3"/>
  <c r="D61" i="3"/>
  <c r="B47" i="3"/>
  <c r="D47" i="3"/>
  <c r="C47" i="3"/>
  <c r="D40" i="3"/>
  <c r="C40" i="3"/>
  <c r="B40" i="3"/>
  <c r="D48" i="3"/>
  <c r="C48" i="3"/>
  <c r="B48" i="3"/>
  <c r="C32" i="3"/>
  <c r="D32" i="3"/>
  <c r="B32" i="3"/>
  <c r="D53" i="3"/>
  <c r="C53" i="3"/>
  <c r="B53" i="3"/>
  <c r="D15" i="3"/>
  <c r="C15" i="3"/>
  <c r="B15" i="3"/>
  <c r="D4" i="3"/>
  <c r="C4" i="3"/>
  <c r="B4" i="3"/>
  <c r="C46" i="3"/>
  <c r="D46" i="3"/>
  <c r="B46" i="3"/>
  <c r="D11" i="3"/>
  <c r="C11" i="3"/>
  <c r="B11" i="3"/>
  <c r="B68" i="3"/>
  <c r="C68" i="3"/>
  <c r="D68" i="3"/>
  <c r="D51" i="3"/>
  <c r="C51" i="3"/>
  <c r="B51" i="3"/>
  <c r="C44" i="3"/>
  <c r="B44" i="3"/>
  <c r="D44" i="3"/>
  <c r="C26" i="3"/>
  <c r="B26" i="3"/>
  <c r="D26" i="3"/>
  <c r="C54" i="3"/>
  <c r="D54" i="3"/>
  <c r="B54" i="3"/>
  <c r="B10" i="3"/>
  <c r="D10" i="3"/>
  <c r="C10" i="3"/>
  <c r="B14" i="3"/>
  <c r="C14" i="3"/>
  <c r="D14" i="3"/>
  <c r="B37" i="3"/>
  <c r="D37" i="3"/>
  <c r="C37" i="3"/>
  <c r="B1" i="3"/>
  <c r="C1" i="3"/>
  <c r="D1" i="3"/>
  <c r="C62" i="3"/>
  <c r="B62" i="3"/>
  <c r="D62" i="3"/>
  <c r="B29" i="3"/>
  <c r="D29" i="3"/>
  <c r="C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<sst xmlns="http://schemas.openxmlformats.org/spreadsheetml/2006/main" count="143" uniqueCount="110">
  <si>
    <t>a</t>
  </si>
  <si>
    <t>#DIV/0!</t>
  </si>
  <si>
    <t>b</t>
  </si>
  <si>
    <t>#N/A</t>
  </si>
  <si>
    <t>&lt;&gt;#DIV/0!</t>
  </si>
  <si>
    <t>#NUM!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</si>
  <si>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</si>
  <si>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</si>
  <si>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</si>
  <si>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</si>
  <si>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</si>
  <si>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</si>
  <si>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</si>
  <si>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</si>
  <si>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</si>
  <si>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</si>
  <si>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</si>
  <si>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</si>
  <si>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</si>
  <si>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</si>
  <si>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</si>
  <si>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</si>
  <si>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</si>
  <si>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</si>
  <si>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</si>
  <si>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</si>
  <si>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</si>
  <si>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</si>
  <si>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</si>
  <si>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</si>
  <si>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</si>
  <si>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</si>
  <si>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</si>
  <si>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</si>
  <si>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</si>
  <si>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</si>
  <si>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</si>
  <si>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</si>
  <si>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</si>
  <si>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</si>
  <si>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COUNTIF#1</t>
  </si>
  <si>
    <t>COUNTIF#2</t>
  </si>
  <si>
    <t>COUNTIF#3</t>
  </si>
  <si>
    <t>COUNTIF#4</t>
  </si>
  <si>
    <t>COUNTIF#5</t>
  </si>
  <si>
    <t>COUNTIF#6</t>
  </si>
  <si>
    <t>COUNTIF#7</t>
  </si>
  <si>
    <t>COUNTIF#8</t>
  </si>
  <si>
    <t>COUNTIF#9</t>
  </si>
  <si>
    <t>COUNTIF#10</t>
  </si>
  <si>
    <t>COUNTIF#11</t>
  </si>
  <si>
    <t>COUNTIF#12</t>
  </si>
  <si>
    <t>COUNTIF#13</t>
  </si>
  <si>
    <t>COUNTIF#14</t>
  </si>
  <si>
    <t>COUNTIF#15</t>
  </si>
  <si>
    <t>COUNTIF#16</t>
  </si>
  <si>
    <t>COUNTIF#17</t>
  </si>
  <si>
    <t>COUNTIF#18</t>
  </si>
  <si>
    <t>COUNTIF#19</t>
  </si>
  <si>
    <t>COUNTIF#20</t>
  </si>
  <si>
    <t>COUNTIF#21</t>
  </si>
  <si>
    <t>COUNTIF#22</t>
  </si>
  <si>
    <t>COUNTIF#23</t>
  </si>
  <si>
    <t>COUNTIF#24</t>
  </si>
  <si>
    <t>COUNTIF#25</t>
  </si>
  <si>
    <t>COUNTIF#26</t>
  </si>
  <si>
    <t>COUNTIF#27</t>
  </si>
  <si>
    <t>ISTEXT#1</t>
  </si>
  <si>
    <t>SUMIF#1</t>
  </si>
  <si>
    <t>SUMIF#2</t>
  </si>
  <si>
    <t>SUMIF#3</t>
  </si>
  <si>
    <t>SUMIF#4</t>
  </si>
  <si>
    <t>SUMIF#5</t>
  </si>
  <si>
    <t>SUMIF#6</t>
  </si>
  <si>
    <t>SUMIF#7</t>
  </si>
  <si>
    <t>SUMIF#8</t>
  </si>
  <si>
    <t>SUMIF#9</t>
  </si>
  <si>
    <t>SUMIF#10</t>
  </si>
  <si>
    <t>SUMIF#11</t>
  </si>
  <si>
    <t>SUMIFS#1</t>
  </si>
  <si>
    <t>SUMIFS#2</t>
  </si>
  <si>
    <t>SUMIFS#3</t>
  </si>
  <si>
    <t>SUMIFS#4</t>
  </si>
  <si>
    <t>COUNTIFS#1</t>
  </si>
  <si>
    <t>COUNTIFS#2</t>
  </si>
  <si>
    <t>COUNTIFS#3</t>
  </si>
  <si>
    <t>COUNTIFS#4</t>
  </si>
  <si>
    <t>AVERAGEIF#1</t>
  </si>
  <si>
    <t>AVERAGEIF#2</t>
  </si>
  <si>
    <t>AVERAGEIF#3</t>
  </si>
  <si>
    <t>AVERAGEIF#4</t>
  </si>
  <si>
    <t>AVERAGEIFS#1</t>
  </si>
  <si>
    <t>AVERAGEIFS#2</t>
  </si>
  <si>
    <t>MAXIFS#1</t>
  </si>
  <si>
    <t>MAXIFS#2</t>
  </si>
  <si>
    <t>MAXIFS#3</t>
  </si>
  <si>
    <t>MINIFS#1</t>
  </si>
  <si>
    <t>MINIFS#2</t>
  </si>
  <si>
    <t>DCOUNTA#1</t>
  </si>
  <si>
    <t>DCOUNTA#2</t>
  </si>
  <si>
    <t>DCOUNTA#3</t>
  </si>
  <si>
    <t>DCOUNTA#4</t>
  </si>
  <si>
    <t>DCOUNTA#5</t>
  </si>
  <si>
    <t>DCOUNTA#6</t>
  </si>
  <si>
    <t>DCOUNTA#7</t>
  </si>
  <si>
    <t>DCOUNT#1</t>
  </si>
  <si>
    <t>DGET#1</t>
  </si>
  <si>
    <t>DGET#2</t>
  </si>
  <si>
    <t>DGET#3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</si>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</sst>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t="s">
        <v>0</v>
      </c>
      <c r="C1" t="s">
        <v>1</v>
      </c>
      <c r="D1">
        <v>10</v>
      </c>
      <c r="E1">
        <v>45688</v>
      </c>
      <c r="F1">
        <v>45688</v>
      </c>
      <c r="G1">
        <v>45688</v>
      </c>
    </row>
    <row r="2" spans="1:7" x14ac:dyDescent="0.2">
      <c r="A2">
        <v>2</v>
      </c>
      <c r="B2" t="s">
        <v>2</v>
      </c>
      <c r="C2" t="s">
        <v>3</v>
      </c>
      <c r="D2">
        <v>20</v>
      </c>
      <c r="E2" t="s">
        <v>3</v>
      </c>
      <c r="F2" t="s">
        <v>1</v>
      </c>
      <c r="G2" t="s">
        <v>4</v>
      </c>
    </row>
    <row r="3" spans="1:7" x14ac:dyDescent="0.2">
      <c r="A3">
        <v>4</v>
      </c>
      <c r="B3" t="s">
        <v>0</v>
      </c>
      <c r="C3" t="s">
        <v>5</v>
      </c>
      <c r="D3">
        <v>30</v>
      </c>
    </row>
    <row r="4" spans="1:7" x14ac:dyDescent="0.2">
      <c r="A4">
        <v>8</v>
      </c>
      <c r="B4" t="s">
        <v>2</v>
      </c>
      <c r="C4" t="s">
        <v>6</v>
      </c>
      <c r="D4">
        <v>40</v>
      </c>
    </row>
    <row r="5" spans="1:7" x14ac:dyDescent="0.2">
      <c r="A5">
        <v>16</v>
      </c>
      <c r="B5" t="s">
        <v>0</v>
      </c>
    </row>
    <row r="6" spans="1:7" x14ac:dyDescent="0.2">
      <c r="A6">
        <v>32</v>
      </c>
      <c r="B6" t="s">
        <v>2</v>
      </c>
    </row>
    <row r="7" spans="1:7" x14ac:dyDescent="0.2">
      <c r="A7">
        <v>64</v>
      </c>
      <c r="B7" t="s">
        <v>0</v>
      </c>
    </row>
    <row r="8" spans="1:7" x14ac:dyDescent="0.2">
      <c r="A8">
        <v>128</v>
      </c>
      <c r="B8" t="s">
        <v>2</v>
      </c>
    </row>
    <row r="9" spans="1:7" x14ac:dyDescent="0.2">
      <c r="A9">
        <v>256</v>
      </c>
    </row>
    <row r="10" spans="1:7" x14ac:dyDescent="0.2">
      <c r="A10">
        <v>512</v>
      </c>
    </row>
    <row r="11" spans="1:7" x14ac:dyDescent="0.2">
      <c r="A11">
        <v>1024</v>
      </c>
    </row>
    <row r="12" spans="1:7" x14ac:dyDescent="0.2">
      <c r="A12">
        <v>2048</v>
      </c>
    </row>
    <row r="13" spans="1:7" x14ac:dyDescent="0.2">
      <c r="A13">
        <v>4096</v>
      </c>
    </row>
    <row r="14" spans="1:7" x14ac:dyDescent="0.2">
      <c r="A14">
        <v>8192</v>
      </c>
    </row>
    <row r="15" spans="1:7" x14ac:dyDescent="0.2">
      <c r="A15">
        <v>16384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8</v>
      </c>
      <c r="N1">
        <v>10</v>
      </c>
      <c r="P1">
        <v>1</v>
      </c>
      <c r="Q1">
        <v>2</v>
      </c>
      <c r="R1">
        <v>5</v>
      </c>
      <c r="S1">
        <v>6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AA1" t="s">
        <v>9</v>
      </c>
      <c r="AB1" t="s">
        <v>10</v>
      </c>
      <c r="AC1" t="s">
        <v>9</v>
      </c>
      <c r="AD1" t="s">
        <v>9</v>
      </c>
      <c r="AE1" t="s">
        <v>9</v>
      </c>
      <c r="AF1" t="s">
        <v>9</v>
      </c>
      <c r="AG1" t="s">
        <v>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14</v>
      </c>
      <c r="B2">
        <v>8</v>
      </c>
      <c r="C2">
        <v>7</v>
      </c>
      <c r="D2" t="s">
        <v>14</v>
      </c>
      <c r="E2">
        <v>2</v>
      </c>
      <c r="F2" t="s">
        <v>15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16</v>
      </c>
      <c r="N2">
        <v>20</v>
      </c>
      <c r="P2">
        <v>3</v>
      </c>
      <c r="Q2">
        <v>4</v>
      </c>
      <c r="R2">
        <v>7</v>
      </c>
      <c r="S2">
        <v>8</v>
      </c>
      <c r="U2" t="s">
        <v>17</v>
      </c>
      <c r="V2">
        <v>18</v>
      </c>
      <c r="W2">
        <v>20</v>
      </c>
      <c r="X2">
        <v>14</v>
      </c>
      <c r="Y2">
        <v>105</v>
      </c>
      <c r="AA2" t="s">
        <v>17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23</v>
      </c>
      <c r="B3">
        <v>15</v>
      </c>
      <c r="C3">
        <v>11</v>
      </c>
      <c r="D3" t="s">
        <v>23</v>
      </c>
      <c r="E3" t="e">
        <f>1/0</f>
        <v>#DIV/0!</v>
      </c>
      <c r="F3" t="s">
        <v>24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25</v>
      </c>
      <c r="N3">
        <v>30</v>
      </c>
      <c r="U3" t="s">
        <v>19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28</v>
      </c>
      <c r="N4">
        <v>50</v>
      </c>
      <c r="P4">
        <v>1</v>
      </c>
      <c r="Q4">
        <v>2</v>
      </c>
      <c r="R4">
        <v>3</v>
      </c>
      <c r="U4" t="s">
        <v>21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30</v>
      </c>
      <c r="N5">
        <v>80</v>
      </c>
      <c r="P5">
        <v>4</v>
      </c>
      <c r="Q5">
        <v>5</v>
      </c>
      <c r="R5">
        <v>6</v>
      </c>
      <c r="U5" t="s">
        <v>17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31</v>
      </c>
      <c r="AP5" s="1">
        <v>39786</v>
      </c>
      <c r="AS5" t="s">
        <v>32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33</v>
      </c>
      <c r="G6">
        <v>32</v>
      </c>
      <c r="H6" s="1">
        <v>45473</v>
      </c>
      <c r="L6">
        <v>13</v>
      </c>
      <c r="M6" t="s">
        <v>34</v>
      </c>
      <c r="N6">
        <v>130</v>
      </c>
      <c r="U6" t="s">
        <v>19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35</v>
      </c>
      <c r="G7">
        <v>64</v>
      </c>
      <c r="H7" s="1">
        <v>46022</v>
      </c>
      <c r="I7">
        <v>-10000</v>
      </c>
      <c r="J7">
        <v>100</v>
      </c>
      <c r="U7" t="s">
        <v>17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36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37</v>
      </c>
      <c r="I9">
        <v>4200</v>
      </c>
      <c r="J9">
        <v>300</v>
      </c>
      <c r="L9" t="s">
        <v>8</v>
      </c>
      <c r="M9" t="s">
        <v>16</v>
      </c>
      <c r="N9" t="s">
        <v>25</v>
      </c>
      <c r="O9" t="s">
        <v>28</v>
      </c>
      <c r="P9" t="s">
        <v>30</v>
      </c>
      <c r="Q9" t="s">
        <v>34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38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39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COUNTIF(D!A1:A15,D!A7)</f>
        <v>1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1</v>
      </c>
      <c r="D1" t="str">
        <f t="shared" ref="D1:D32" si="2">IF(ISTEXT(A1),A1,"")</f>
        <v/>
      </c>
      <c r="E1" t="s">
        <v>40</v>
      </c>
    </row>
    <row r="2" spans="1:5" x14ac:dyDescent="0.2">
      <c r="A2" cm="1">
        <f t="array" ref="A2">COUNTIF(D!A1:A15,D!A8)</f>
        <v>1</v>
      </c>
      <c r="B2">
        <f t="shared" si="0"/>
        <v>0</v>
      </c>
      <c r="C2">
        <f t="shared" si="1"/>
        <v>1</v>
      </c>
      <c r="D2" t="str">
        <f t="shared" si="2"/>
        <v/>
      </c>
      <c r="E2" t="s">
        <v>41</v>
      </c>
    </row>
    <row r="3" spans="1:5" x14ac:dyDescent="0.2">
      <c r="A3" cm="1">
        <f t="array" ref="A3">COUNTIF(D!A1:A15,1/0)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42</v>
      </c>
    </row>
    <row r="4" spans="1:5" x14ac:dyDescent="0.2">
      <c r="A4" cm="1">
        <f t="array" ref="A4">COUNTIF(D!A1:A15,"#DIV/0!")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43</v>
      </c>
    </row>
    <row r="5" spans="1:5" x14ac:dyDescent="0.2">
      <c r="A5" cm="1">
        <f t="array" ref="A5">COUNTIF(D!A1:A15,"=#DIV/0!")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44</v>
      </c>
    </row>
    <row r="6" spans="1:5" x14ac:dyDescent="0.2">
      <c r="A6" cm="1">
        <f t="array" ref="A6">COUNTIF(D!A1:A15,"&lt;&gt;#DIV/0!")</f>
        <v>14</v>
      </c>
      <c r="B6">
        <f t="shared" si="0"/>
        <v>0</v>
      </c>
      <c r="C6">
        <f t="shared" si="1"/>
        <v>14</v>
      </c>
      <c r="D6" t="str">
        <f t="shared" si="2"/>
        <v/>
      </c>
      <c r="E6" t="s">
        <v>45</v>
      </c>
    </row>
    <row r="7" spans="1:5" x14ac:dyDescent="0.2">
      <c r="A7" cm="1">
        <f t="array" ref="A7">COUNTIF(D!A1:A15,"#N/A")</f>
        <v>1</v>
      </c>
      <c r="B7">
        <f t="shared" si="0"/>
        <v>0</v>
      </c>
      <c r="C7">
        <f t="shared" si="1"/>
        <v>1</v>
      </c>
      <c r="D7" t="str">
        <f t="shared" si="2"/>
        <v/>
      </c>
      <c r="E7" t="s">
        <v>46</v>
      </c>
    </row>
    <row r="8" spans="1:5" x14ac:dyDescent="0.2">
      <c r="A8" cm="1">
        <f t="array" ref="A8">COUNTIF(D!A1:A15,"&lt;&gt;#N/A")</f>
        <v>14</v>
      </c>
      <c r="B8">
        <f t="shared" si="0"/>
        <v>0</v>
      </c>
      <c r="C8">
        <f t="shared" si="1"/>
        <v>14</v>
      </c>
      <c r="D8" t="str">
        <f t="shared" si="2"/>
        <v/>
      </c>
      <c r="E8" t="s">
        <v>47</v>
      </c>
    </row>
    <row r="9" spans="1:5" x14ac:dyDescent="0.2">
      <c r="A9" cm="1">
        <f t="array" ref="A9">COUNTIF(D!A1:A15,"=#N/A")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48</v>
      </c>
    </row>
    <row r="10" spans="1:5" x14ac:dyDescent="0.2">
      <c r="A10" cm="1">
        <f t="array" ref="A10">COUNTIF(D!A1:A15,"#n/a")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49</v>
      </c>
    </row>
    <row r="11" spans="1:5" x14ac:dyDescent="0.2">
      <c r="A11" cm="1">
        <f t="array" ref="A11">COUNTIF(D!A1:A15,"#DIV*")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50</v>
      </c>
    </row>
    <row r="12" spans="1:5" x14ac:dyDescent="0.2">
      <c r="A12" cm="1">
        <f t="array" ref="A12">COUNTIF(D!A1:A15,"&gt;#DIV/0!")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51</v>
      </c>
    </row>
    <row r="13" spans="1:5" x14ac:dyDescent="0.2">
      <c r="A13" cm="1">
        <f t="array" ref="A13">COUNTIF(D!A1:A15,"&lt;#N/A")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52</v>
      </c>
    </row>
    <row r="14" spans="1:5" x14ac:dyDescent="0.2">
      <c r="A14" cm="1">
        <f t="array" ref="A14">COUNTIF(D!A1:A15,"#NUM!")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53</v>
      </c>
    </row>
    <row r="15" spans="1:5" x14ac:dyDescent="0.2">
      <c r="A15" cm="1">
        <f t="array" ref="A15">COUNTIF(D!A1:A15,"#NULL!")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54</v>
      </c>
    </row>
    <row r="16" spans="1:5" x14ac:dyDescent="0.2">
      <c r="A16" cm="1">
        <f t="array" ref="A16">COUNTIF(D!A1:A15,"#VALUE!")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55</v>
      </c>
    </row>
    <row r="17" spans="1:5" x14ac:dyDescent="0.2">
      <c r="A17" cm="1">
        <f t="array" ref="A17">COUNTIF(D!A1:A15," #N/A")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56</v>
      </c>
    </row>
    <row r="18" spans="1:5" x14ac:dyDescent="0.2">
      <c r="A18" cm="1">
        <f t="array" ref="A18">COUNTIF(D!A1:A15,"#DIV/0")</f>
        <v>0</v>
      </c>
      <c r="B18">
        <f t="shared" si="0"/>
        <v>0</v>
      </c>
      <c r="C18">
        <f t="shared" si="1"/>
        <v>0</v>
      </c>
      <c r="D18" t="str">
        <f t="shared" si="2"/>
        <v/>
      </c>
      <c r="E18" t="s">
        <v>57</v>
      </c>
    </row>
    <row r="19" spans="1:5" x14ac:dyDescent="0.2">
      <c r="A19" cm="1">
        <f t="array" ref="A19">COUNTIF(D!A:A,D!A7)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58</v>
      </c>
    </row>
    <row r="20" spans="1:5" x14ac:dyDescent="0.2">
      <c r="A20" cm="1">
        <f t="array" ref="A20">COUNTIF(D!A:A,"&lt;&gt;#N/A")</f>
        <v>1048575</v>
      </c>
      <c r="B20">
        <f t="shared" si="0"/>
        <v>0</v>
      </c>
      <c r="C20">
        <f t="shared" si="1"/>
        <v>1048575</v>
      </c>
      <c r="D20" t="str">
        <f t="shared" si="2"/>
        <v/>
      </c>
      <c r="E20" t="s">
        <v>59</v>
      </c>
    </row>
    <row r="21" spans="1:5" x14ac:dyDescent="0.2">
      <c r="A21" cm="1">
        <f t="array" ref="A21">COUNTIF(CR!C1:C4,"#DIV/0!")</f>
        <v>0</v>
      </c>
      <c r="B21">
        <f t="shared" si="0"/>
        <v>0</v>
      </c>
      <c r="C21">
        <f t="shared" si="1"/>
        <v>0</v>
      </c>
      <c r="D21" t="str">
        <f t="shared" si="2"/>
        <v/>
      </c>
      <c r="E21" t="s">
        <v>60</v>
      </c>
    </row>
    <row r="22" spans="1:5" x14ac:dyDescent="0.2">
      <c r="A22" cm="1">
        <f t="array" ref="A22">COUNTIF(CR!C1:C4,"#N/A")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61</v>
      </c>
    </row>
    <row r="23" spans="1:5" x14ac:dyDescent="0.2">
      <c r="A23" cm="1">
        <f t="array" ref="A23">COUNTIF(CR!C1:C4,"#NUM!")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62</v>
      </c>
    </row>
    <row r="24" spans="1:5" x14ac:dyDescent="0.2">
      <c r="A24" cm="1">
        <f t="array" ref="A24">COUNTIF(CR!C1:C4,D!A7)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63</v>
      </c>
    </row>
    <row r="25" spans="1:5" x14ac:dyDescent="0.2">
      <c r="A25" cm="1">
        <f t="array" ref="A25">COUNTIF(CR!C1:C4,"&lt;&gt;#N/A")</f>
        <v>4</v>
      </c>
      <c r="B25">
        <f t="shared" si="0"/>
        <v>0</v>
      </c>
      <c r="C25">
        <f t="shared" si="1"/>
        <v>4</v>
      </c>
      <c r="D25" t="str">
        <f t="shared" si="2"/>
        <v/>
      </c>
      <c r="E25" t="s">
        <v>64</v>
      </c>
    </row>
    <row r="26" spans="1:5" x14ac:dyDescent="0.2">
      <c r="A26" cm="1">
        <f t="array" ref="A26">COUNTIF(D!E1:E8,D!A7)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65</v>
      </c>
    </row>
    <row r="27" spans="1:5" x14ac:dyDescent="0.2">
      <c r="A27" cm="1">
        <f t="array" ref="A27">COUNTIF(D!E1:E8,"&lt;&gt;#DIV/0!")</f>
        <v>7</v>
      </c>
      <c r="B27">
        <f t="shared" si="0"/>
        <v>0</v>
      </c>
      <c r="C27">
        <f t="shared" si="1"/>
        <v>7</v>
      </c>
      <c r="D27" t="str">
        <f t="shared" si="2"/>
        <v/>
      </c>
      <c r="E27" t="s">
        <v>66</v>
      </c>
    </row>
    <row r="28" spans="1:5" x14ac:dyDescent="0.2">
      <c r="A28" t="b" cm="1">
        <f t="array" ref="A28">ISTEXT(CR!C1)</f>
        <v>1</v>
      </c>
      <c r="B28">
        <f t="shared" si="0"/>
        <v>-1</v>
      </c>
      <c r="C28">
        <f t="shared" si="1"/>
        <v>0</v>
      </c>
      <c r="D28" t="str">
        <f t="shared" si="2"/>
        <v/>
      </c>
      <c r="E28" t="s">
        <v>67</v>
      </c>
    </row>
    <row r="29" spans="1:5" x14ac:dyDescent="0.2">
      <c r="A29" cm="1">
        <f t="array" ref="A29">SUMIF(D!A1:A15,D!A7,CR!A1:A15)</f>
        <v>64</v>
      </c>
      <c r="B29">
        <f t="shared" si="0"/>
        <v>0</v>
      </c>
      <c r="C29">
        <f t="shared" si="1"/>
        <v>64</v>
      </c>
      <c r="D29" t="str">
        <f t="shared" si="2"/>
        <v/>
      </c>
      <c r="E29" t="s">
        <v>68</v>
      </c>
    </row>
    <row r="30" spans="1:5" x14ac:dyDescent="0.2">
      <c r="A30" cm="1">
        <f t="array" ref="A30">SUMIF(D!A1:A15,D!A8,CR!A1:A15)</f>
        <v>128</v>
      </c>
      <c r="B30">
        <f t="shared" si="0"/>
        <v>0</v>
      </c>
      <c r="C30">
        <f t="shared" si="1"/>
        <v>128</v>
      </c>
      <c r="D30" t="str">
        <f t="shared" si="2"/>
        <v/>
      </c>
      <c r="E30" t="s">
        <v>69</v>
      </c>
    </row>
    <row r="31" spans="1:5" x14ac:dyDescent="0.2">
      <c r="A31" cm="1">
        <f t="array" ref="A31">SUMIF(D!A1:A15,"#N/A",CR!A1:A15)</f>
        <v>128</v>
      </c>
      <c r="B31">
        <f t="shared" si="0"/>
        <v>0</v>
      </c>
      <c r="C31">
        <f t="shared" si="1"/>
        <v>128</v>
      </c>
      <c r="D31" t="str">
        <f t="shared" si="2"/>
        <v/>
      </c>
      <c r="E31" t="s">
        <v>70</v>
      </c>
    </row>
    <row r="32" spans="1:5" x14ac:dyDescent="0.2">
      <c r="A32" cm="1">
        <f t="array" ref="A32">SUMIF(D!A1:A15,"&lt;&gt;#DIV/0!",CR!A1:A15)</f>
        <v>32703</v>
      </c>
      <c r="B32">
        <f t="shared" si="0"/>
        <v>0</v>
      </c>
      <c r="C32">
        <f t="shared" si="1"/>
        <v>32703</v>
      </c>
      <c r="D32" t="str">
        <f t="shared" si="2"/>
        <v/>
      </c>
      <c r="E32" t="s">
        <v>71</v>
      </c>
    </row>
    <row r="33" spans="1:5" x14ac:dyDescent="0.2">
      <c r="A33" cm="1">
        <f t="array" ref="A33">SUMIF(D!A1:A15,"=#DIV/0!",CR!A1:A15)</f>
        <v>64</v>
      </c>
      <c r="B33">
        <f t="shared" ref="B33:B64" si="3">IF(ISERROR(A33),ERROR.TYPE(A33),IF(ISNUMBER(A33),0,IF(ISLOGICAL(A33),IF(A33,-1,-2),IF(ISTEXT(A33),-3,-4))))</f>
        <v>0</v>
      </c>
      <c r="C33">
        <f t="shared" ref="C33:C69" si="4">IF(ISNUMBER(A33),A33,0)</f>
        <v>64</v>
      </c>
      <c r="D33" t="str">
        <f t="shared" ref="D33:D69" si="5">IF(ISTEXT(A33),A33,"")</f>
        <v/>
      </c>
      <c r="E33" t="s">
        <v>72</v>
      </c>
    </row>
    <row r="34" spans="1:5" x14ac:dyDescent="0.2">
      <c r="A34" cm="1">
        <f t="array" ref="A34">SUMIF(D!A1:A15,"&gt;=#DIV/0!",CR!A1:A15)</f>
        <v>192</v>
      </c>
      <c r="B34">
        <f t="shared" si="3"/>
        <v>0</v>
      </c>
      <c r="C34">
        <f t="shared" si="4"/>
        <v>192</v>
      </c>
      <c r="D34" t="str">
        <f t="shared" si="5"/>
        <v/>
      </c>
      <c r="E34" t="s">
        <v>73</v>
      </c>
    </row>
    <row r="35" spans="1:5" x14ac:dyDescent="0.2">
      <c r="A35" cm="1">
        <f t="array" ref="A35">SUMIF(CR!C1:C4,"#N/A",CR!D1:D4)</f>
        <v>0</v>
      </c>
      <c r="B35">
        <f t="shared" si="3"/>
        <v>0</v>
      </c>
      <c r="C35">
        <f t="shared" si="4"/>
        <v>0</v>
      </c>
      <c r="D35" t="str">
        <f t="shared" si="5"/>
        <v/>
      </c>
      <c r="E35" t="s">
        <v>74</v>
      </c>
    </row>
    <row r="36" spans="1:5" x14ac:dyDescent="0.2">
      <c r="A36" cm="1">
        <f t="array" ref="A36">SUMIF(D!E1:E8,D!A7,D!B1:B8)</f>
        <v>15</v>
      </c>
      <c r="B36">
        <f t="shared" si="3"/>
        <v>0</v>
      </c>
      <c r="C36">
        <f t="shared" si="4"/>
        <v>15</v>
      </c>
      <c r="D36" t="str">
        <f t="shared" si="5"/>
        <v/>
      </c>
      <c r="E36" t="s">
        <v>75</v>
      </c>
    </row>
    <row r="37" spans="1:5" x14ac:dyDescent="0.2">
      <c r="A37" t="e" cm="1">
        <f t="array" ref="A37">SUMIF(D!A1:A15,D!A7)</f>
        <v>#DIV/0!</v>
      </c>
      <c r="B37">
        <f t="shared" si="3"/>
        <v>2</v>
      </c>
      <c r="C37">
        <f t="shared" si="4"/>
        <v>0</v>
      </c>
      <c r="D37" t="str">
        <f t="shared" si="5"/>
        <v/>
      </c>
      <c r="E37" t="s">
        <v>76</v>
      </c>
    </row>
    <row r="38" spans="1:5" x14ac:dyDescent="0.2">
      <c r="A38" t="e" cm="1">
        <f t="array" ref="A38">SUMIF(CR!B1:B8,"a",D!E1:E8)</f>
        <v>#DIV/0!</v>
      </c>
      <c r="B38">
        <f t="shared" si="3"/>
        <v>2</v>
      </c>
      <c r="C38">
        <f t="shared" si="4"/>
        <v>0</v>
      </c>
      <c r="D38" t="str">
        <f t="shared" si="5"/>
        <v/>
      </c>
      <c r="E38" t="s">
        <v>77</v>
      </c>
    </row>
    <row r="39" spans="1:5" x14ac:dyDescent="0.2">
      <c r="A39" cm="1">
        <f t="array" ref="A39">SUMIF(CR!B1:B8,"b",D!E1:E8)</f>
        <v>20</v>
      </c>
      <c r="B39">
        <f t="shared" si="3"/>
        <v>0</v>
      </c>
      <c r="C39">
        <f t="shared" si="4"/>
        <v>20</v>
      </c>
      <c r="D39" t="str">
        <f t="shared" si="5"/>
        <v/>
      </c>
      <c r="E39" t="s">
        <v>78</v>
      </c>
    </row>
    <row r="40" spans="1:5" x14ac:dyDescent="0.2">
      <c r="A40" cm="1">
        <f t="array" ref="A40">SUMIFS(CR!A1:A15,D!A1:A15,D!A7)</f>
        <v>64</v>
      </c>
      <c r="B40">
        <f t="shared" si="3"/>
        <v>0</v>
      </c>
      <c r="C40">
        <f t="shared" si="4"/>
        <v>64</v>
      </c>
      <c r="D40" t="str">
        <f t="shared" si="5"/>
        <v/>
      </c>
      <c r="E40" t="s">
        <v>79</v>
      </c>
    </row>
    <row r="41" spans="1:5" x14ac:dyDescent="0.2">
      <c r="A41" cm="1">
        <f t="array" ref="A41">SUMIFS(CR!A1:A15,D!A1:A15,"&lt;&gt;#N/A",D!A1:A15,"&lt;&gt;#DIV/0!")</f>
        <v>32575</v>
      </c>
      <c r="B41">
        <f t="shared" si="3"/>
        <v>0</v>
      </c>
      <c r="C41">
        <f t="shared" si="4"/>
        <v>32575</v>
      </c>
      <c r="D41" t="str">
        <f t="shared" si="5"/>
        <v/>
      </c>
      <c r="E41" t="s">
        <v>80</v>
      </c>
    </row>
    <row r="42" spans="1:5" x14ac:dyDescent="0.2">
      <c r="A42" t="e" cm="1">
        <f t="array" ref="A42">SUMIFS(D!E1:E8,CR!B1:B8,"a")</f>
        <v>#DIV/0!</v>
      </c>
      <c r="B42">
        <f t="shared" si="3"/>
        <v>2</v>
      </c>
      <c r="C42">
        <f t="shared" si="4"/>
        <v>0</v>
      </c>
      <c r="D42" t="str">
        <f t="shared" si="5"/>
        <v/>
      </c>
      <c r="E42" t="s">
        <v>81</v>
      </c>
    </row>
    <row r="43" spans="1:5" x14ac:dyDescent="0.2">
      <c r="A43" cm="1">
        <f t="array" ref="A43">SUMIFS(D!B1:B8,D!E1:E8,"#DIV/0!")</f>
        <v>15</v>
      </c>
      <c r="B43">
        <f t="shared" si="3"/>
        <v>0</v>
      </c>
      <c r="C43">
        <f t="shared" si="4"/>
        <v>15</v>
      </c>
      <c r="D43" t="str">
        <f t="shared" si="5"/>
        <v/>
      </c>
      <c r="E43" t="s">
        <v>82</v>
      </c>
    </row>
    <row r="44" spans="1:5" x14ac:dyDescent="0.2">
      <c r="A44" cm="1">
        <f t="array" ref="A44">COUNTIFS(D!A1:A15,"#N/A",CR!A1:A15,"&gt;100")</f>
        <v>1</v>
      </c>
      <c r="B44">
        <f t="shared" si="3"/>
        <v>0</v>
      </c>
      <c r="C44">
        <f t="shared" si="4"/>
        <v>1</v>
      </c>
      <c r="D44" t="str">
        <f t="shared" si="5"/>
        <v/>
      </c>
      <c r="E44" t="s">
        <v>83</v>
      </c>
    </row>
    <row r="45" spans="1:5" x14ac:dyDescent="0.2">
      <c r="A45" cm="1">
        <f t="array" ref="A45">COUNTIFS(D!A1:A15,D!A7,D!A1:A15,"&lt;&gt;#N/A")</f>
        <v>1</v>
      </c>
      <c r="B45">
        <f t="shared" si="3"/>
        <v>0</v>
      </c>
      <c r="C45">
        <f t="shared" si="4"/>
        <v>1</v>
      </c>
      <c r="D45" t="str">
        <f t="shared" si="5"/>
        <v/>
      </c>
      <c r="E45" t="s">
        <v>84</v>
      </c>
    </row>
    <row r="46" spans="1:5" x14ac:dyDescent="0.2">
      <c r="A46" cm="1">
        <f t="array" ref="A46">COUNTIFS(D!E1:E8,D!A7)</f>
        <v>1</v>
      </c>
      <c r="B46">
        <f t="shared" si="3"/>
        <v>0</v>
      </c>
      <c r="C46">
        <f t="shared" si="4"/>
        <v>1</v>
      </c>
      <c r="D46" t="str">
        <f t="shared" si="5"/>
        <v/>
      </c>
      <c r="E46" t="s">
        <v>85</v>
      </c>
    </row>
    <row r="47" spans="1:5" x14ac:dyDescent="0.2">
      <c r="A47" cm="1">
        <f t="array" ref="A47">COUNTIFS(D!A:A,"&lt;&gt;#DIV/0!",D!A:A,"&lt;&gt;#N/A")</f>
        <v>1048574</v>
      </c>
      <c r="B47">
        <f t="shared" si="3"/>
        <v>0</v>
      </c>
      <c r="C47">
        <f t="shared" si="4"/>
        <v>1048574</v>
      </c>
      <c r="D47" t="str">
        <f t="shared" si="5"/>
        <v/>
      </c>
      <c r="E47" t="s">
        <v>86</v>
      </c>
    </row>
    <row r="48" spans="1:5" x14ac:dyDescent="0.2">
      <c r="A48" cm="1">
        <f t="array" ref="A48">AVERAGEIF(D!A1:A15,"#N/A",CR!A1:A15)</f>
        <v>128</v>
      </c>
      <c r="B48">
        <f t="shared" si="3"/>
        <v>0</v>
      </c>
      <c r="C48">
        <f t="shared" si="4"/>
        <v>128</v>
      </c>
      <c r="D48" t="str">
        <f t="shared" si="5"/>
        <v/>
      </c>
      <c r="E48" t="s">
        <v>87</v>
      </c>
    </row>
    <row r="49" spans="1:5" x14ac:dyDescent="0.2">
      <c r="A49" t="e" cm="1">
        <f t="array" ref="A49">AVERAGEIF(D!A1:A15,D!A7)</f>
        <v>#DIV/0!</v>
      </c>
      <c r="B49">
        <f t="shared" si="3"/>
        <v>2</v>
      </c>
      <c r="C49">
        <f t="shared" si="4"/>
        <v>0</v>
      </c>
      <c r="D49" t="str">
        <f t="shared" si="5"/>
        <v/>
      </c>
      <c r="E49" t="s">
        <v>88</v>
      </c>
    </row>
    <row r="50" spans="1:5" x14ac:dyDescent="0.2">
      <c r="A50" cm="1">
        <f t="array" ref="A50">AVERAGEIF(CR!B1:B8,"b",D!E1:E8)</f>
        <v>5</v>
      </c>
      <c r="B50">
        <f t="shared" si="3"/>
        <v>0</v>
      </c>
      <c r="C50">
        <f t="shared" si="4"/>
        <v>5</v>
      </c>
      <c r="D50" t="str">
        <f t="shared" si="5"/>
        <v/>
      </c>
      <c r="E50" t="s">
        <v>89</v>
      </c>
    </row>
    <row r="51" spans="1:5" x14ac:dyDescent="0.2">
      <c r="A51" cm="1">
        <f t="array" ref="A51">AVERAGEIF(D!E1:E8,D!A7,D!B1:B8)</f>
        <v>15</v>
      </c>
      <c r="B51">
        <f t="shared" si="3"/>
        <v>0</v>
      </c>
      <c r="C51">
        <f t="shared" si="4"/>
        <v>15</v>
      </c>
      <c r="D51" t="str">
        <f t="shared" si="5"/>
        <v/>
      </c>
      <c r="E51" t="s">
        <v>90</v>
      </c>
    </row>
    <row r="52" spans="1:5" x14ac:dyDescent="0.2">
      <c r="A52" cm="1">
        <f t="array" ref="A52">AVERAGEIFS(CR!A1:A15,D!A1:A15,D!A8)</f>
        <v>128</v>
      </c>
      <c r="B52">
        <f t="shared" si="3"/>
        <v>0</v>
      </c>
      <c r="C52">
        <f t="shared" si="4"/>
        <v>128</v>
      </c>
      <c r="D52" t="str">
        <f t="shared" si="5"/>
        <v/>
      </c>
      <c r="E52" t="s">
        <v>91</v>
      </c>
    </row>
    <row r="53" spans="1:5" x14ac:dyDescent="0.2">
      <c r="A53" cm="1">
        <f t="array" ref="A53">AVERAGEIFS(D!B1:B8,D!E1:E8,"#DIV/0!")</f>
        <v>15</v>
      </c>
      <c r="B53">
        <f t="shared" si="3"/>
        <v>0</v>
      </c>
      <c r="C53">
        <f t="shared" si="4"/>
        <v>15</v>
      </c>
      <c r="D53" t="str">
        <f t="shared" si="5"/>
        <v/>
      </c>
      <c r="E53" t="s">
        <v>92</v>
      </c>
    </row>
    <row r="54" spans="1:5" x14ac:dyDescent="0.2">
      <c r="A54" cm="1">
        <f t="array" ref="A54">_xlfn.MAXIFS(CR!A1:A15,D!A1:A15,"&lt;&gt;#N/A")</f>
        <v>16384</v>
      </c>
      <c r="B54">
        <f t="shared" si="3"/>
        <v>0</v>
      </c>
      <c r="C54">
        <f t="shared" si="4"/>
        <v>16384</v>
      </c>
      <c r="D54" t="str">
        <f t="shared" si="5"/>
        <v/>
      </c>
      <c r="E54" t="s">
        <v>93</v>
      </c>
    </row>
    <row r="55" spans="1:5" x14ac:dyDescent="0.2">
      <c r="A55" cm="1">
        <f t="array" ref="A55">_xlfn.MAXIFS(D!E1:E8,CR!B1:B8,"b")</f>
        <v>8</v>
      </c>
      <c r="B55">
        <f t="shared" si="3"/>
        <v>0</v>
      </c>
      <c r="C55">
        <f t="shared" si="4"/>
        <v>8</v>
      </c>
      <c r="D55" t="str">
        <f t="shared" si="5"/>
        <v/>
      </c>
      <c r="E55" t="s">
        <v>94</v>
      </c>
    </row>
    <row r="56" spans="1:5" x14ac:dyDescent="0.2">
      <c r="A56" t="e" cm="1">
        <f t="array" ref="A56">_xlfn.MAXIFS(D!E1:E8,CR!B1:B8,"a")</f>
        <v>#DIV/0!</v>
      </c>
      <c r="B56">
        <f t="shared" si="3"/>
        <v>2</v>
      </c>
      <c r="C56">
        <f t="shared" si="4"/>
        <v>0</v>
      </c>
      <c r="D56" t="str">
        <f t="shared" si="5"/>
        <v/>
      </c>
      <c r="E56" t="s">
        <v>95</v>
      </c>
    </row>
    <row r="57" spans="1:5" x14ac:dyDescent="0.2">
      <c r="A57" cm="1">
        <f t="array" ref="A57">_xlfn.MINIFS(CR!A1:A15,D!A1:A15,"#DIV/0!")</f>
        <v>64</v>
      </c>
      <c r="B57">
        <f t="shared" si="3"/>
        <v>0</v>
      </c>
      <c r="C57">
        <f t="shared" si="4"/>
        <v>64</v>
      </c>
      <c r="D57" t="str">
        <f t="shared" si="5"/>
        <v/>
      </c>
      <c r="E57" t="s">
        <v>96</v>
      </c>
    </row>
    <row r="58" spans="1:5" x14ac:dyDescent="0.2">
      <c r="A58" cm="1">
        <f t="array" ref="A58">_xlfn.MINIFS(CR!A1:A15,D!A1:A15,"&gt;#DIV/0!")</f>
        <v>128</v>
      </c>
      <c r="B58">
        <f t="shared" si="3"/>
        <v>0</v>
      </c>
      <c r="C58">
        <f t="shared" si="4"/>
        <v>128</v>
      </c>
      <c r="D58" t="str">
        <f t="shared" si="5"/>
        <v/>
      </c>
      <c r="E58" t="s">
        <v>97</v>
      </c>
    </row>
    <row r="59" spans="1:5" x14ac:dyDescent="0.2">
      <c r="A59" cm="1">
        <f t="array" ref="A59">DCOUNTA(D!A6:A8,1,D!A6:A7)</f>
        <v>1</v>
      </c>
      <c r="B59">
        <f t="shared" si="3"/>
        <v>0</v>
      </c>
      <c r="C59">
        <f t="shared" si="4"/>
        <v>1</v>
      </c>
      <c r="D59" t="str">
        <f t="shared" si="5"/>
        <v/>
      </c>
      <c r="E59" t="s">
        <v>98</v>
      </c>
    </row>
    <row r="60" spans="1:5" x14ac:dyDescent="0.2">
      <c r="A60" cm="1">
        <f t="array" ref="A60">DCOUNTA(D!A6:A8,1,D!A6:A8)</f>
        <v>2</v>
      </c>
      <c r="B60">
        <f t="shared" si="3"/>
        <v>0</v>
      </c>
      <c r="C60">
        <f t="shared" si="4"/>
        <v>2</v>
      </c>
      <c r="D60" t="str">
        <f t="shared" si="5"/>
        <v/>
      </c>
      <c r="E60" t="s">
        <v>99</v>
      </c>
    </row>
    <row r="61" spans="1:5" x14ac:dyDescent="0.2">
      <c r="A61" cm="1">
        <f t="array" ref="A61">DCOUNTA(D!A6:A8,1,CR!E1:E2)</f>
        <v>1</v>
      </c>
      <c r="B61">
        <f t="shared" si="3"/>
        <v>0</v>
      </c>
      <c r="C61">
        <f t="shared" si="4"/>
        <v>1</v>
      </c>
      <c r="D61" t="str">
        <f t="shared" si="5"/>
        <v/>
      </c>
      <c r="E61" t="s">
        <v>100</v>
      </c>
    </row>
    <row r="62" spans="1:5" x14ac:dyDescent="0.2">
      <c r="A62" cm="1">
        <f t="array" ref="A62">DCOUNTA(D!A6:A8,1,CR!F1:F2)</f>
        <v>1</v>
      </c>
      <c r="B62">
        <f t="shared" si="3"/>
        <v>0</v>
      </c>
      <c r="C62">
        <f t="shared" si="4"/>
        <v>1</v>
      </c>
      <c r="D62" t="str">
        <f t="shared" si="5"/>
        <v/>
      </c>
      <c r="E62" t="s">
        <v>101</v>
      </c>
    </row>
    <row r="63" spans="1:5" x14ac:dyDescent="0.2">
      <c r="A63" cm="1">
        <f t="array" ref="A63">DCOUNTA(D!A6:A8,1,CR!G1:G2)</f>
        <v>1</v>
      </c>
      <c r="B63">
        <f t="shared" si="3"/>
        <v>0</v>
      </c>
      <c r="C63">
        <f t="shared" si="4"/>
        <v>1</v>
      </c>
      <c r="D63" t="str">
        <f t="shared" si="5"/>
        <v/>
      </c>
      <c r="E63" t="s">
        <v>102</v>
      </c>
    </row>
    <row r="64" spans="1:5" x14ac:dyDescent="0.2">
      <c r="A64" t="e" cm="1">
        <f t="array" ref="A64">DCOUNTA(D!A6:A8,1,CR!E1:E1)</f>
        <v>#VALUE!</v>
      </c>
      <c r="B64">
        <f t="shared" si="3"/>
        <v>3</v>
      </c>
      <c r="C64">
        <f t="shared" si="4"/>
        <v>0</v>
      </c>
      <c r="D64" t="str">
        <f t="shared" si="5"/>
        <v/>
      </c>
      <c r="E64" t="s">
        <v>103</v>
      </c>
    </row>
    <row r="65" spans="1:5" x14ac:dyDescent="0.2">
      <c r="A65" cm="1">
        <f t="array" ref="A65">DCOUNTA(D!A5:A8,1,CR!E1:E2)</f>
        <v>0</v>
      </c>
      <c r="B65">
        <f t="shared" ref="B65:B96" si="6">IF(ISERROR(A65),ERROR.TYPE(A65),IF(ISNUMBER(A65),0,IF(ISLOGICAL(A65),IF(A65,-1,-2),IF(ISTEXT(A65),-3,-4))))</f>
        <v>0</v>
      </c>
      <c r="C65">
        <f t="shared" si="4"/>
        <v>0</v>
      </c>
      <c r="D65" t="str">
        <f t="shared" si="5"/>
        <v/>
      </c>
      <c r="E65" t="s">
        <v>104</v>
      </c>
    </row>
    <row r="66" spans="1:5" x14ac:dyDescent="0.2">
      <c r="A66" cm="1">
        <f t="array" ref="A66">DCOUNT(D!A6:A8,1,CR!E1:E2)</f>
        <v>0</v>
      </c>
      <c r="B66">
        <f t="shared" si="6"/>
        <v>0</v>
      </c>
      <c r="C66">
        <f t="shared" si="4"/>
        <v>0</v>
      </c>
      <c r="D66" t="str">
        <f t="shared" si="5"/>
        <v/>
      </c>
      <c r="E66" t="s">
        <v>105</v>
      </c>
    </row>
    <row r="67" spans="1:5" x14ac:dyDescent="0.2">
      <c r="A67" t="e" cm="1">
        <f t="array" ref="A67">DGET(D!A6:A8,1,CR!E1:E2)</f>
        <v>#N/A</v>
      </c>
      <c r="B67">
        <f t="shared" si="6"/>
        <v>7</v>
      </c>
      <c r="C67">
        <f t="shared" si="4"/>
        <v>0</v>
      </c>
      <c r="D67" t="str">
        <f t="shared" si="5"/>
        <v/>
      </c>
      <c r="E67" t="s">
        <v>106</v>
      </c>
    </row>
    <row r="68" spans="1:5" x14ac:dyDescent="0.2">
      <c r="A68" t="e" cm="1">
        <f t="array" ref="A68">DGET(D!A6:A8,1,D!A6:A7)</f>
        <v>#DIV/0!</v>
      </c>
      <c r="B68">
        <f t="shared" si="6"/>
        <v>2</v>
      </c>
      <c r="C68">
        <f t="shared" si="4"/>
        <v>0</v>
      </c>
      <c r="D68" t="str">
        <f t="shared" si="5"/>
        <v/>
      </c>
      <c r="E68" t="s">
        <v>107</v>
      </c>
    </row>
    <row r="69" spans="1:5" x14ac:dyDescent="0.2">
      <c r="A69" t="e" cm="1">
        <f t="array" ref="A69">DGET(D!A6:A8,1,CR!G1:G2)</f>
        <v>#N/A</v>
      </c>
      <c r="B69">
        <f t="shared" si="6"/>
        <v>7</v>
      </c>
      <c r="C69">
        <f t="shared" si="4"/>
        <v>0</v>
      </c>
      <c r="D69" t="str">
        <f t="shared" si="5"/>
        <v/>
      </c>
      <c r="E69" t="s">
        <v>108</v>
      </c>
    </row>
    <row r="70" spans="1:5" x14ac:dyDescent="0.2">
      <c r="A70" t="s">
        <v>109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2026-10-07T05:15:25Z</dcterms:created>
  <dcterms:modified xsi:type="dcterms:W3CDTF">2026-10-07T05:15:26Z</dcterms:modified>
  <cp:category/>
</cp:coreProperties>
</file>