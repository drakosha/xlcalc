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C2182E1E-69D0-D34A-B9BC-28C4458CD3F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/>
  <c r="C400" i="2" s="1"/>
  <c r="A399" i="2" a="1"/>
  <c r="A399" i="2" s="1"/>
  <c r="A398" i="2" a="1"/>
  <c r="A398" i="2"/>
  <c r="A397" i="2" a="1"/>
  <c r="A397" i="2" s="1"/>
  <c r="D397" i="2" s="1"/>
  <c r="A396" i="2" a="1"/>
  <c r="A396" i="2" s="1"/>
  <c r="A395" i="2" a="1"/>
  <c r="A395" i="2" s="1"/>
  <c r="D395" i="2" s="1"/>
  <c r="A394" i="2" a="1"/>
  <c r="A394" i="2" s="1"/>
  <c r="D394" i="2" s="1"/>
  <c r="D393" i="2"/>
  <c r="A393" i="2" a="1"/>
  <c r="A393" i="2"/>
  <c r="B393" i="2" s="1"/>
  <c r="A392" i="2" a="1"/>
  <c r="A392" i="2"/>
  <c r="A391" i="2" a="1"/>
  <c r="A391" i="2" s="1"/>
  <c r="D391" i="2" s="1"/>
  <c r="A390" i="2" a="1"/>
  <c r="A390" i="2" s="1"/>
  <c r="A389" i="2" a="1"/>
  <c r="A389" i="2" s="1"/>
  <c r="A388" i="2" a="1"/>
  <c r="A388" i="2"/>
  <c r="A387" i="2" a="1"/>
  <c r="A387" i="2" s="1"/>
  <c r="D386" i="2"/>
  <c r="A386" i="2" a="1"/>
  <c r="A386" i="2"/>
  <c r="C386" i="2" s="1"/>
  <c r="A385" i="2" a="1"/>
  <c r="A385" i="2" s="1"/>
  <c r="B385" i="2" s="1"/>
  <c r="A384" i="2" a="1"/>
  <c r="A384" i="2"/>
  <c r="D384" i="2" s="1"/>
  <c r="A383" i="2" a="1"/>
  <c r="A383" i="2" s="1"/>
  <c r="D383" i="2" s="1"/>
  <c r="A382" i="2" a="1"/>
  <c r="A382" i="2" s="1"/>
  <c r="A381" i="2" a="1"/>
  <c r="A381" i="2" s="1"/>
  <c r="D381" i="2" s="1"/>
  <c r="A380" i="2" a="1"/>
  <c r="A380" i="2" s="1"/>
  <c r="D380" i="2" s="1"/>
  <c r="A379" i="2" a="1"/>
  <c r="A379" i="2" s="1"/>
  <c r="D379" i="2" s="1"/>
  <c r="A378" i="2" a="1"/>
  <c r="A378" i="2" s="1"/>
  <c r="A377" i="2" a="1"/>
  <c r="A377" i="2"/>
  <c r="D377" i="2" s="1"/>
  <c r="A376" i="2" a="1"/>
  <c r="A376" i="2" s="1"/>
  <c r="D375" i="2"/>
  <c r="A375" i="2" a="1"/>
  <c r="A375" i="2"/>
  <c r="B375" i="2" s="1"/>
  <c r="A374" i="2" a="1"/>
  <c r="A374" i="2"/>
  <c r="D374" i="2" s="1"/>
  <c r="A373" i="2" a="1"/>
  <c r="A373" i="2" s="1"/>
  <c r="D373" i="2" s="1"/>
  <c r="A372" i="2" a="1"/>
  <c r="A372" i="2" s="1"/>
  <c r="A371" i="2" a="1"/>
  <c r="A371" i="2"/>
  <c r="A370" i="2" a="1"/>
  <c r="A370" i="2"/>
  <c r="A369" i="2" a="1"/>
  <c r="A369" i="2"/>
  <c r="D369" i="2" s="1"/>
  <c r="A368" i="2" a="1"/>
  <c r="A368" i="2" s="1"/>
  <c r="A367" i="2" a="1"/>
  <c r="A367" i="2" s="1"/>
  <c r="D367" i="2" s="1"/>
  <c r="A366" i="2" a="1"/>
  <c r="A366" i="2" s="1"/>
  <c r="A365" i="2" a="1"/>
  <c r="A365" i="2"/>
  <c r="D365" i="2" s="1"/>
  <c r="A364" i="2" a="1"/>
  <c r="A364" i="2"/>
  <c r="D364" i="2" s="1"/>
  <c r="A363" i="2" a="1"/>
  <c r="A363" i="2" s="1"/>
  <c r="D363" i="2" s="1"/>
  <c r="A362" i="2" a="1"/>
  <c r="A362" i="2"/>
  <c r="A361" i="2" a="1"/>
  <c r="A361" i="2" s="1"/>
  <c r="D361" i="2" s="1"/>
  <c r="A360" i="2" a="1"/>
  <c r="A360" i="2" s="1"/>
  <c r="A359" i="2" a="1"/>
  <c r="A359" i="2" s="1"/>
  <c r="A358" i="2" a="1"/>
  <c r="A358" i="2" s="1"/>
  <c r="A357" i="2" a="1"/>
  <c r="A357" i="2"/>
  <c r="B357" i="2" s="1"/>
  <c r="A356" i="2" a="1"/>
  <c r="A356" i="2" s="1"/>
  <c r="D356" i="2" s="1"/>
  <c r="A355" i="2" a="1"/>
  <c r="A355" i="2"/>
  <c r="D355" i="2" s="1"/>
  <c r="A354" i="2" a="1"/>
  <c r="A354" i="2" s="1"/>
  <c r="A353" i="2" a="1"/>
  <c r="A353" i="2"/>
  <c r="A352" i="2" a="1"/>
  <c r="A352" i="2"/>
  <c r="B352" i="2" s="1"/>
  <c r="A351" i="2" a="1"/>
  <c r="A351" i="2" s="1"/>
  <c r="A350" i="2" a="1"/>
  <c r="A350" i="2" s="1"/>
  <c r="D350" i="2" s="1"/>
  <c r="A349" i="2" a="1"/>
  <c r="A349" i="2" s="1"/>
  <c r="D349" i="2" s="1"/>
  <c r="A348" i="2" a="1"/>
  <c r="A348" i="2"/>
  <c r="D348" i="2" s="1"/>
  <c r="A347" i="2" a="1"/>
  <c r="A347" i="2" s="1"/>
  <c r="A346" i="2" a="1"/>
  <c r="A346" i="2"/>
  <c r="A345" i="2" a="1"/>
  <c r="A345" i="2" s="1"/>
  <c r="D345" i="2" s="1"/>
  <c r="D344" i="2"/>
  <c r="C344" i="2"/>
  <c r="A344" i="2" a="1"/>
  <c r="A344" i="2"/>
  <c r="B344" i="2" s="1"/>
  <c r="A343" i="2" a="1"/>
  <c r="A343" i="2" s="1"/>
  <c r="D343" i="2" s="1"/>
  <c r="A342" i="2" a="1"/>
  <c r="A342" i="2"/>
  <c r="A341" i="2" a="1"/>
  <c r="A341" i="2"/>
  <c r="A340" i="2" a="1"/>
  <c r="A340" i="2" s="1"/>
  <c r="D340" i="2" s="1"/>
  <c r="A339" i="2" a="1"/>
  <c r="A339" i="2"/>
  <c r="B339" i="2" s="1"/>
  <c r="A338" i="2" a="1"/>
  <c r="A338" i="2"/>
  <c r="D338" i="2" s="1"/>
  <c r="A337" i="2" a="1"/>
  <c r="A337" i="2" s="1"/>
  <c r="A336" i="2" a="1"/>
  <c r="A336" i="2" s="1"/>
  <c r="D336" i="2" s="1"/>
  <c r="A335" i="2" a="1"/>
  <c r="A335" i="2"/>
  <c r="A334" i="2" a="1"/>
  <c r="A334" i="2"/>
  <c r="D334" i="2" s="1"/>
  <c r="A333" i="2" a="1"/>
  <c r="A333" i="2" s="1"/>
  <c r="A332" i="2" a="1"/>
  <c r="A332" i="2" s="1"/>
  <c r="D332" i="2" s="1"/>
  <c r="C331" i="2"/>
  <c r="A331" i="2" a="1"/>
  <c r="A331" i="2"/>
  <c r="D331" i="2" s="1"/>
  <c r="A330" i="2" a="1"/>
  <c r="A330" i="2"/>
  <c r="D330" i="2" s="1"/>
  <c r="A329" i="2" a="1"/>
  <c r="A329" i="2" s="1"/>
  <c r="B329" i="2" s="1"/>
  <c r="A328" i="2" a="1"/>
  <c r="A328" i="2" s="1"/>
  <c r="D328" i="2" s="1"/>
  <c r="A327" i="2" a="1"/>
  <c r="A327" i="2" s="1"/>
  <c r="A326" i="2" a="1"/>
  <c r="A326" i="2"/>
  <c r="D326" i="2" s="1"/>
  <c r="A325" i="2" a="1"/>
  <c r="A325" i="2" s="1"/>
  <c r="A324" i="2" a="1"/>
  <c r="A324" i="2"/>
  <c r="A323" i="2" a="1"/>
  <c r="A323" i="2" s="1"/>
  <c r="D323" i="2" s="1"/>
  <c r="A322" i="2" a="1"/>
  <c r="A322" i="2" s="1"/>
  <c r="A321" i="2" a="1"/>
  <c r="A321" i="2"/>
  <c r="B321" i="2" s="1"/>
  <c r="A320" i="2" a="1"/>
  <c r="A320" i="2" s="1"/>
  <c r="A319" i="2" a="1"/>
  <c r="A319" i="2" s="1"/>
  <c r="A318" i="2" a="1"/>
  <c r="A318" i="2"/>
  <c r="D318" i="2" s="1"/>
  <c r="A317" i="2" a="1"/>
  <c r="A317" i="2"/>
  <c r="A316" i="2" a="1"/>
  <c r="A316" i="2" s="1"/>
  <c r="A315" i="2" a="1"/>
  <c r="A315" i="2" s="1"/>
  <c r="D315" i="2" s="1"/>
  <c r="A314" i="2" a="1"/>
  <c r="A314" i="2"/>
  <c r="C314" i="2" s="1"/>
  <c r="A313" i="2" a="1"/>
  <c r="A313" i="2" s="1"/>
  <c r="A312" i="2" a="1"/>
  <c r="A312" i="2" s="1"/>
  <c r="D311" i="2"/>
  <c r="C311" i="2"/>
  <c r="B311" i="2"/>
  <c r="A311" i="2" a="1"/>
  <c r="A311" i="2"/>
  <c r="A310" i="2" a="1"/>
  <c r="A310" i="2" s="1"/>
  <c r="A309" i="2" a="1"/>
  <c r="A309" i="2"/>
  <c r="A308" i="2" a="1"/>
  <c r="A308" i="2"/>
  <c r="D308" i="2" s="1"/>
  <c r="A307" i="2" a="1"/>
  <c r="A307" i="2" s="1"/>
  <c r="C307" i="2" s="1"/>
  <c r="A306" i="2" a="1"/>
  <c r="A306" i="2" s="1"/>
  <c r="A305" i="2" a="1"/>
  <c r="A305" i="2"/>
  <c r="D305" i="2" s="1"/>
  <c r="A304" i="2" a="1"/>
  <c r="A304" i="2" s="1"/>
  <c r="D304" i="2" s="1"/>
  <c r="A303" i="2" a="1"/>
  <c r="A303" i="2" s="1"/>
  <c r="A302" i="2" a="1"/>
  <c r="A302" i="2" s="1"/>
  <c r="A301" i="2" a="1"/>
  <c r="A301" i="2" s="1"/>
  <c r="A300" i="2" a="1"/>
  <c r="A300" i="2" s="1"/>
  <c r="A299" i="2" a="1"/>
  <c r="A299" i="2" s="1"/>
  <c r="A298" i="2" a="1"/>
  <c r="A298" i="2"/>
  <c r="C298" i="2" s="1"/>
  <c r="A297" i="2" a="1"/>
  <c r="A297" i="2" s="1"/>
  <c r="D297" i="2" s="1"/>
  <c r="A296" i="2" a="1"/>
  <c r="A296" i="2" s="1"/>
  <c r="A295" i="2" a="1"/>
  <c r="A295" i="2"/>
  <c r="D295" i="2" s="1"/>
  <c r="A294" i="2" a="1"/>
  <c r="A294" i="2" s="1"/>
  <c r="A293" i="2" a="1"/>
  <c r="A293" i="2"/>
  <c r="A292" i="2" a="1"/>
  <c r="A292" i="2"/>
  <c r="A291" i="2" a="1"/>
  <c r="A291" i="2"/>
  <c r="B291" i="2" s="1"/>
  <c r="A290" i="2" a="1"/>
  <c r="A290" i="2" s="1"/>
  <c r="A289" i="2" a="1"/>
  <c r="A289" i="2" s="1"/>
  <c r="D289" i="2" s="1"/>
  <c r="A288" i="2" a="1"/>
  <c r="A288" i="2" s="1"/>
  <c r="A287" i="2" a="1"/>
  <c r="A287" i="2"/>
  <c r="D287" i="2" s="1"/>
  <c r="A286" i="2" a="1"/>
  <c r="A286" i="2" s="1"/>
  <c r="D285" i="2"/>
  <c r="C285" i="2"/>
  <c r="A285" i="2" a="1"/>
  <c r="A285" i="2"/>
  <c r="B285" i="2" s="1"/>
  <c r="A284" i="2" a="1"/>
  <c r="A284" i="2" s="1"/>
  <c r="A283" i="2" a="1"/>
  <c r="A283" i="2" s="1"/>
  <c r="A282" i="2" a="1"/>
  <c r="A282" i="2" s="1"/>
  <c r="A281" i="2" a="1"/>
  <c r="A281" i="2"/>
  <c r="A280" i="2" a="1"/>
  <c r="A280" i="2"/>
  <c r="D280" i="2" s="1"/>
  <c r="A279" i="2" a="1"/>
  <c r="A279" i="2" s="1"/>
  <c r="D279" i="2" s="1"/>
  <c r="A278" i="2" a="1"/>
  <c r="A278" i="2" s="1"/>
  <c r="A277" i="2" a="1"/>
  <c r="A277" i="2"/>
  <c r="D277" i="2" s="1"/>
  <c r="A276" i="2" a="1"/>
  <c r="A276" i="2"/>
  <c r="D276" i="2" s="1"/>
  <c r="A275" i="2" a="1"/>
  <c r="A275" i="2" s="1"/>
  <c r="B275" i="2" s="1"/>
  <c r="A274" i="2" a="1"/>
  <c r="A274" i="2"/>
  <c r="A273" i="2" a="1"/>
  <c r="A273" i="2"/>
  <c r="D273" i="2" s="1"/>
  <c r="A272" i="2" a="1"/>
  <c r="A272" i="2" s="1"/>
  <c r="D272" i="2" s="1"/>
  <c r="A271" i="2" a="1"/>
  <c r="A271" i="2" s="1"/>
  <c r="D271" i="2" s="1"/>
  <c r="A270" i="2" a="1"/>
  <c r="A270" i="2"/>
  <c r="B270" i="2" s="1"/>
  <c r="C269" i="2"/>
  <c r="A269" i="2" a="1"/>
  <c r="A269" i="2"/>
  <c r="D269" i="2" s="1"/>
  <c r="A268" i="2" a="1"/>
  <c r="A268" i="2" s="1"/>
  <c r="A267" i="2" a="1"/>
  <c r="A267" i="2" s="1"/>
  <c r="A266" i="2" a="1"/>
  <c r="A266" i="2"/>
  <c r="B266" i="2" s="1"/>
  <c r="A265" i="2" a="1"/>
  <c r="A265" i="2" s="1"/>
  <c r="D265" i="2" s="1"/>
  <c r="A264" i="2" a="1"/>
  <c r="A264" i="2" s="1"/>
  <c r="A263" i="2" a="1"/>
  <c r="A263" i="2"/>
  <c r="D262" i="2"/>
  <c r="C262" i="2"/>
  <c r="A262" i="2" a="1"/>
  <c r="A262" i="2"/>
  <c r="B262" i="2" s="1"/>
  <c r="A261" i="2" a="1"/>
  <c r="A261" i="2"/>
  <c r="D261" i="2" s="1"/>
  <c r="A260" i="2" a="1"/>
  <c r="A260" i="2"/>
  <c r="C260" i="2" s="1"/>
  <c r="C259" i="2"/>
  <c r="B259" i="2"/>
  <c r="A259" i="2" a="1"/>
  <c r="A259" i="2"/>
  <c r="D259" i="2" s="1"/>
  <c r="A258" i="2" a="1"/>
  <c r="A258" i="2" s="1"/>
  <c r="A257" i="2" a="1"/>
  <c r="A257" i="2"/>
  <c r="D257" i="2" s="1"/>
  <c r="A256" i="2" a="1"/>
  <c r="A256" i="2"/>
  <c r="A255" i="2" a="1"/>
  <c r="A255" i="2" s="1"/>
  <c r="D255" i="2" s="1"/>
  <c r="A254" i="2" a="1"/>
  <c r="A254" i="2"/>
  <c r="B254" i="2" s="1"/>
  <c r="A253" i="2" a="1"/>
  <c r="A253" i="2" s="1"/>
  <c r="C253" i="2" s="1"/>
  <c r="A252" i="2" a="1"/>
  <c r="A252" i="2" s="1"/>
  <c r="A251" i="2" a="1"/>
  <c r="A251" i="2"/>
  <c r="D251" i="2" s="1"/>
  <c r="D250" i="2"/>
  <c r="C250" i="2"/>
  <c r="A250" i="2" a="1"/>
  <c r="A250" i="2"/>
  <c r="B250" i="2" s="1"/>
  <c r="A249" i="2" a="1"/>
  <c r="A249" i="2" s="1"/>
  <c r="A248" i="2" a="1"/>
  <c r="A248" i="2"/>
  <c r="A247" i="2" a="1"/>
  <c r="A247" i="2"/>
  <c r="D247" i="2" s="1"/>
  <c r="D246" i="2"/>
  <c r="C246" i="2"/>
  <c r="A246" i="2" a="1"/>
  <c r="A246" i="2"/>
  <c r="B246" i="2" s="1"/>
  <c r="A245" i="2" a="1"/>
  <c r="A245" i="2" s="1"/>
  <c r="A244" i="2" a="1"/>
  <c r="A244" i="2"/>
  <c r="A243" i="2" a="1"/>
  <c r="A243" i="2" s="1"/>
  <c r="C242" i="2"/>
  <c r="A242" i="2" a="1"/>
  <c r="A242" i="2"/>
  <c r="D242" i="2" s="1"/>
  <c r="A241" i="2" a="1"/>
  <c r="A241" i="2"/>
  <c r="D241" i="2" s="1"/>
  <c r="A240" i="2" a="1"/>
  <c r="A240" i="2"/>
  <c r="B240" i="2" s="1"/>
  <c r="D239" i="2"/>
  <c r="C239" i="2"/>
  <c r="A239" i="2" a="1"/>
  <c r="A239" i="2"/>
  <c r="B239" i="2" s="1"/>
  <c r="A238" i="2" a="1"/>
  <c r="A238" i="2" s="1"/>
  <c r="D238" i="2" s="1"/>
  <c r="A237" i="2" a="1"/>
  <c r="A237" i="2" s="1"/>
  <c r="A236" i="2" a="1"/>
  <c r="A236" i="2" s="1"/>
  <c r="A235" i="2" a="1"/>
  <c r="A235" i="2" s="1"/>
  <c r="D235" i="2" s="1"/>
  <c r="A234" i="2" a="1"/>
  <c r="A234" i="2"/>
  <c r="B234" i="2" s="1"/>
  <c r="A233" i="2" a="1"/>
  <c r="A233" i="2" s="1"/>
  <c r="A232" i="2" a="1"/>
  <c r="A232" i="2"/>
  <c r="B232" i="2" s="1"/>
  <c r="A231" i="2" a="1"/>
  <c r="A231" i="2" s="1"/>
  <c r="A230" i="2" a="1"/>
  <c r="A230" i="2" s="1"/>
  <c r="D230" i="2" s="1"/>
  <c r="A229" i="2" a="1"/>
  <c r="A229" i="2" s="1"/>
  <c r="A228" i="2" a="1"/>
  <c r="A228" i="2"/>
  <c r="D228" i="2" s="1"/>
  <c r="A227" i="2" a="1"/>
  <c r="A227" i="2"/>
  <c r="A226" i="2" a="1"/>
  <c r="A226" i="2" s="1"/>
  <c r="D226" i="2" s="1"/>
  <c r="A225" i="2" a="1"/>
  <c r="A225" i="2" s="1"/>
  <c r="A224" i="2" a="1"/>
  <c r="A224" i="2"/>
  <c r="D224" i="2" s="1"/>
  <c r="A223" i="2" a="1"/>
  <c r="A223" i="2"/>
  <c r="D223" i="2" s="1"/>
  <c r="D222" i="2"/>
  <c r="A222" i="2" a="1"/>
  <c r="A222" i="2" s="1"/>
  <c r="C222" i="2" s="1"/>
  <c r="A221" i="2" a="1"/>
  <c r="A221" i="2" s="1"/>
  <c r="A220" i="2" a="1"/>
  <c r="A220" i="2" s="1"/>
  <c r="A219" i="2" a="1"/>
  <c r="A219" i="2"/>
  <c r="D219" i="2" s="1"/>
  <c r="A218" i="2" a="1"/>
  <c r="A218" i="2" s="1"/>
  <c r="D218" i="2" s="1"/>
  <c r="A217" i="2" a="1"/>
  <c r="A217" i="2" s="1"/>
  <c r="D217" i="2" s="1"/>
  <c r="A216" i="2" a="1"/>
  <c r="A216" i="2"/>
  <c r="A215" i="2" a="1"/>
  <c r="A215" i="2"/>
  <c r="D215" i="2" s="1"/>
  <c r="A214" i="2" a="1"/>
  <c r="A214" i="2"/>
  <c r="D214" i="2" s="1"/>
  <c r="D213" i="2"/>
  <c r="A213" i="2" a="1"/>
  <c r="A213" i="2"/>
  <c r="B213" i="2" s="1"/>
  <c r="A212" i="2" a="1"/>
  <c r="A212" i="2"/>
  <c r="A211" i="2" a="1"/>
  <c r="A211" i="2" s="1"/>
  <c r="A210" i="2" a="1"/>
  <c r="A210" i="2" s="1"/>
  <c r="D210" i="2" s="1"/>
  <c r="A209" i="2" a="1"/>
  <c r="A209" i="2" s="1"/>
  <c r="A208" i="2" a="1"/>
  <c r="A208" i="2"/>
  <c r="A207" i="2" a="1"/>
  <c r="A207" i="2"/>
  <c r="B207" i="2" s="1"/>
  <c r="D206" i="2"/>
  <c r="C206" i="2"/>
  <c r="A206" i="2" a="1"/>
  <c r="A206" i="2"/>
  <c r="B206" i="2" s="1"/>
  <c r="A205" i="2" a="1"/>
  <c r="A205" i="2" s="1"/>
  <c r="A204" i="2" a="1"/>
  <c r="A204" i="2"/>
  <c r="A203" i="2" a="1"/>
  <c r="A203" i="2" s="1"/>
  <c r="D203" i="2" s="1"/>
  <c r="A202" i="2" a="1"/>
  <c r="A202" i="2"/>
  <c r="D202" i="2" s="1"/>
  <c r="A201" i="2" a="1"/>
  <c r="A201" i="2"/>
  <c r="D201" i="2" s="1"/>
  <c r="A200" i="2" a="1"/>
  <c r="A200" i="2" s="1"/>
  <c r="A199" i="2" a="1"/>
  <c r="A199" i="2" s="1"/>
  <c r="A198" i="2" a="1"/>
  <c r="A198" i="2"/>
  <c r="A197" i="2" a="1"/>
  <c r="A197" i="2"/>
  <c r="B197" i="2" s="1"/>
  <c r="A196" i="2" a="1"/>
  <c r="A196" i="2" s="1"/>
  <c r="A195" i="2" a="1"/>
  <c r="A195" i="2" s="1"/>
  <c r="B195" i="2" s="1"/>
  <c r="A194" i="2" a="1"/>
  <c r="A194" i="2"/>
  <c r="D194" i="2" s="1"/>
  <c r="A193" i="2" a="1"/>
  <c r="A193" i="2"/>
  <c r="B193" i="2" s="1"/>
  <c r="A192" i="2" a="1"/>
  <c r="A192" i="2"/>
  <c r="D192" i="2" s="1"/>
  <c r="A191" i="2" a="1"/>
  <c r="A191" i="2"/>
  <c r="A190" i="2" a="1"/>
  <c r="A190" i="2" s="1"/>
  <c r="A189" i="2" a="1"/>
  <c r="A189" i="2" s="1"/>
  <c r="C188" i="2"/>
  <c r="A188" i="2" a="1"/>
  <c r="A188" i="2"/>
  <c r="D188" i="2" s="1"/>
  <c r="A187" i="2" a="1"/>
  <c r="A187" i="2"/>
  <c r="D187" i="2" s="1"/>
  <c r="A186" i="2" a="1"/>
  <c r="A186" i="2"/>
  <c r="C186" i="2" s="1"/>
  <c r="A185" i="2" a="1"/>
  <c r="A185" i="2" s="1"/>
  <c r="B185" i="2" s="1"/>
  <c r="A184" i="2" a="1"/>
  <c r="A184" i="2"/>
  <c r="D184" i="2" s="1"/>
  <c r="A183" i="2" a="1"/>
  <c r="A183" i="2" s="1"/>
  <c r="B183" i="2" s="1"/>
  <c r="A182" i="2" a="1"/>
  <c r="A182" i="2" s="1"/>
  <c r="A181" i="2" a="1"/>
  <c r="A181" i="2" s="1"/>
  <c r="B181" i="2" s="1"/>
  <c r="A180" i="2" a="1"/>
  <c r="A180" i="2" s="1"/>
  <c r="A179" i="2" a="1"/>
  <c r="A179" i="2"/>
  <c r="D179" i="2" s="1"/>
  <c r="A178" i="2" a="1"/>
  <c r="A178" i="2"/>
  <c r="B178" i="2" s="1"/>
  <c r="A177" i="2" a="1"/>
  <c r="A177" i="2" s="1"/>
  <c r="B177" i="2" s="1"/>
  <c r="A176" i="2" a="1"/>
  <c r="A176" i="2"/>
  <c r="A175" i="2" a="1"/>
  <c r="A175" i="2" s="1"/>
  <c r="D175" i="2" s="1"/>
  <c r="A174" i="2" a="1"/>
  <c r="A174" i="2"/>
  <c r="D174" i="2" s="1"/>
  <c r="A173" i="2" a="1"/>
  <c r="A173" i="2"/>
  <c r="A172" i="2" a="1"/>
  <c r="A172" i="2"/>
  <c r="D172" i="2" s="1"/>
  <c r="A171" i="2" a="1"/>
  <c r="A171" i="2" s="1"/>
  <c r="C171" i="2" s="1"/>
  <c r="A170" i="2" a="1"/>
  <c r="A170" i="2"/>
  <c r="D170" i="2" s="1"/>
  <c r="A169" i="2" a="1"/>
  <c r="A169" i="2"/>
  <c r="D169" i="2" s="1"/>
  <c r="A168" i="2" a="1"/>
  <c r="A168" i="2" s="1"/>
  <c r="A167" i="2" a="1"/>
  <c r="A167" i="2" s="1"/>
  <c r="A166" i="2" a="1"/>
  <c r="A166" i="2" s="1"/>
  <c r="D166" i="2" s="1"/>
  <c r="A165" i="2" a="1"/>
  <c r="A165" i="2"/>
  <c r="D165" i="2" s="1"/>
  <c r="A164" i="2" a="1"/>
  <c r="A164" i="2" s="1"/>
  <c r="B164" i="2" s="1"/>
  <c r="A163" i="2" a="1"/>
  <c r="A163" i="2" s="1"/>
  <c r="D163" i="2" s="1"/>
  <c r="A162" i="2" a="1"/>
  <c r="A162" i="2" s="1"/>
  <c r="A161" i="2" a="1"/>
  <c r="A161" i="2" s="1"/>
  <c r="A160" i="2" a="1"/>
  <c r="A160" i="2" s="1"/>
  <c r="A159" i="2" a="1"/>
  <c r="A159" i="2" s="1"/>
  <c r="A158" i="2" a="1"/>
  <c r="A158" i="2" s="1"/>
  <c r="A157" i="2" a="1"/>
  <c r="A157" i="2"/>
  <c r="D157" i="2" s="1"/>
  <c r="A156" i="2" a="1"/>
  <c r="A156" i="2" s="1"/>
  <c r="A155" i="2" a="1"/>
  <c r="A155" i="2"/>
  <c r="A154" i="2" a="1"/>
  <c r="A154" i="2" s="1"/>
  <c r="A153" i="2" a="1"/>
  <c r="A153" i="2" s="1"/>
  <c r="A152" i="2" a="1"/>
  <c r="A152" i="2" s="1"/>
  <c r="A151" i="2" a="1"/>
  <c r="A151" i="2"/>
  <c r="D151" i="2" s="1"/>
  <c r="A150" i="2" a="1"/>
  <c r="A150" i="2" s="1"/>
  <c r="D150" i="2" s="1"/>
  <c r="A149" i="2" a="1"/>
  <c r="A149" i="2"/>
  <c r="B149" i="2" s="1"/>
  <c r="A148" i="2" a="1"/>
  <c r="A148" i="2" s="1"/>
  <c r="A147" i="2" a="1"/>
  <c r="A147" i="2" s="1"/>
  <c r="A146" i="2" a="1"/>
  <c r="A146" i="2"/>
  <c r="D146" i="2" s="1"/>
  <c r="A145" i="2" a="1"/>
  <c r="A145" i="2" s="1"/>
  <c r="C145" i="2" s="1"/>
  <c r="A144" i="2" a="1"/>
  <c r="A144" i="2"/>
  <c r="A143" i="2" a="1"/>
  <c r="A143" i="2" s="1"/>
  <c r="A142" i="2" a="1"/>
  <c r="A142" i="2"/>
  <c r="D142" i="2" s="1"/>
  <c r="A141" i="2" a="1"/>
  <c r="A141" i="2" s="1"/>
  <c r="B141" i="2" s="1"/>
  <c r="A140" i="2" a="1"/>
  <c r="A140" i="2"/>
  <c r="A138" i="2" a="1"/>
  <c r="A138" i="2"/>
  <c r="D138" i="2" s="1"/>
  <c r="A137" i="2" a="1"/>
  <c r="A137" i="2"/>
  <c r="C137" i="2" s="1"/>
  <c r="A136" i="2" a="1"/>
  <c r="A136" i="2"/>
  <c r="C136" i="2" s="1"/>
  <c r="A135" i="2" a="1"/>
  <c r="A135" i="2" s="1"/>
  <c r="A134" i="2" a="1"/>
  <c r="A134" i="2"/>
  <c r="D134" i="2" s="1"/>
  <c r="A133" i="2" a="1"/>
  <c r="A133" i="2"/>
  <c r="D133" i="2" s="1"/>
  <c r="A132" i="2" a="1"/>
  <c r="A132" i="2" s="1"/>
  <c r="D132" i="2" s="1"/>
  <c r="A131" i="2" a="1"/>
  <c r="A131" i="2" s="1"/>
  <c r="A130" i="2" a="1"/>
  <c r="A130" i="2"/>
  <c r="C130" i="2" s="1"/>
  <c r="A129" i="2" a="1"/>
  <c r="A129" i="2" s="1"/>
  <c r="C129" i="2" s="1"/>
  <c r="A128" i="2" a="1"/>
  <c r="A128" i="2"/>
  <c r="C128" i="2" s="1"/>
  <c r="D127" i="2"/>
  <c r="A127" i="2" a="1"/>
  <c r="A127" i="2" s="1"/>
  <c r="C127" i="2" s="1"/>
  <c r="A126" i="2" a="1"/>
  <c r="A126" i="2" s="1"/>
  <c r="A125" i="2" a="1"/>
  <c r="A125" i="2" s="1"/>
  <c r="D125" i="2" s="1"/>
  <c r="A124" i="2" a="1"/>
  <c r="A124" i="2"/>
  <c r="B124" i="2" s="1"/>
  <c r="D123" i="2"/>
  <c r="C123" i="2"/>
  <c r="A123" i="2" a="1"/>
  <c r="A123" i="2" s="1"/>
  <c r="B123" i="2" s="1"/>
  <c r="A122" i="2" a="1"/>
  <c r="A122" i="2" s="1"/>
  <c r="D122" i="2" s="1"/>
  <c r="A121" i="2" a="1"/>
  <c r="A121" i="2" s="1"/>
  <c r="D121" i="2" s="1"/>
  <c r="A120" i="2" a="1"/>
  <c r="A120" i="2"/>
  <c r="B120" i="2" s="1"/>
  <c r="A119" i="2" a="1"/>
  <c r="A119" i="2"/>
  <c r="C118" i="2"/>
  <c r="A118" i="2" a="1"/>
  <c r="A118" i="2"/>
  <c r="D118" i="2" s="1"/>
  <c r="A117" i="2" a="1"/>
  <c r="A117" i="2" s="1"/>
  <c r="C117" i="2" s="1"/>
  <c r="A116" i="2" a="1"/>
  <c r="A116" i="2" s="1"/>
  <c r="B116" i="2" s="1"/>
  <c r="A115" i="2" a="1"/>
  <c r="A115" i="2"/>
  <c r="D115" i="2" s="1"/>
  <c r="A114" i="2" a="1"/>
  <c r="A114" i="2"/>
  <c r="D114" i="2" s="1"/>
  <c r="A113" i="2" a="1"/>
  <c r="A113" i="2"/>
  <c r="D113" i="2" s="1"/>
  <c r="A112" i="2" a="1"/>
  <c r="A112" i="2"/>
  <c r="C112" i="2" s="1"/>
  <c r="A111" i="2" a="1"/>
  <c r="A111" i="2" s="1"/>
  <c r="A110" i="2" a="1"/>
  <c r="A110" i="2"/>
  <c r="D110" i="2" s="1"/>
  <c r="A109" i="2" a="1"/>
  <c r="A109" i="2" s="1"/>
  <c r="B109" i="2" s="1"/>
  <c r="A108" i="2" a="1"/>
  <c r="A108" i="2"/>
  <c r="C108" i="2" s="1"/>
  <c r="A107" i="2" a="1"/>
  <c r="A107" i="2"/>
  <c r="C107" i="2" s="1"/>
  <c r="A106" i="2" a="1"/>
  <c r="A106" i="2"/>
  <c r="D106" i="2" s="1"/>
  <c r="A105" i="2" a="1"/>
  <c r="A105" i="2" s="1"/>
  <c r="B105" i="2" s="1"/>
  <c r="A104" i="2" a="1"/>
  <c r="A104" i="2"/>
  <c r="D104" i="2" s="1"/>
  <c r="A103" i="2" a="1"/>
  <c r="A103" i="2"/>
  <c r="B103" i="2" s="1"/>
  <c r="A102" i="2" a="1"/>
  <c r="A102" i="2"/>
  <c r="D102" i="2" s="1"/>
  <c r="C101" i="2"/>
  <c r="A101" i="2" a="1"/>
  <c r="A101" i="2" s="1"/>
  <c r="A100" i="2" a="1"/>
  <c r="A100" i="2"/>
  <c r="B100" i="2" s="1"/>
  <c r="A99" i="2" a="1"/>
  <c r="A99" i="2"/>
  <c r="B99" i="2" s="1"/>
  <c r="A98" i="2" a="1"/>
  <c r="A98" i="2" s="1"/>
  <c r="A97" i="2" a="1"/>
  <c r="A97" i="2"/>
  <c r="D97" i="2" s="1"/>
  <c r="A96" i="2" a="1"/>
  <c r="A96" i="2"/>
  <c r="D96" i="2" s="1"/>
  <c r="A95" i="2" a="1"/>
  <c r="A95" i="2"/>
  <c r="D95" i="2" s="1"/>
  <c r="B94" i="2"/>
  <c r="A94" i="2" a="1"/>
  <c r="A94" i="2"/>
  <c r="C94" i="2" s="1"/>
  <c r="A93" i="2" a="1"/>
  <c r="A93" i="2" s="1"/>
  <c r="A92" i="2" a="1"/>
  <c r="A92" i="2"/>
  <c r="D92" i="2" s="1"/>
  <c r="A91" i="2" a="1"/>
  <c r="A91" i="2" s="1"/>
  <c r="B91" i="2" s="1"/>
  <c r="A90" i="2" a="1"/>
  <c r="A90" i="2" s="1"/>
  <c r="A89" i="2" a="1"/>
  <c r="A89" i="2" s="1"/>
  <c r="A88" i="2" a="1"/>
  <c r="A88" i="2" s="1"/>
  <c r="B88" i="2" s="1"/>
  <c r="A87" i="2" a="1"/>
  <c r="A87" i="2" s="1"/>
  <c r="B87" i="2" s="1"/>
  <c r="A86" i="2" a="1"/>
  <c r="A86" i="2"/>
  <c r="B86" i="2" s="1"/>
  <c r="A85" i="2" a="1"/>
  <c r="A85" i="2"/>
  <c r="B85" i="2" s="1"/>
  <c r="A84" i="2" a="1"/>
  <c r="A84" i="2" s="1"/>
  <c r="A83" i="2" a="1"/>
  <c r="A83" i="2"/>
  <c r="A82" i="2" a="1"/>
  <c r="A82" i="2" s="1"/>
  <c r="D81" i="2"/>
  <c r="A81" i="2" a="1"/>
  <c r="A81" i="2"/>
  <c r="B81" i="2" s="1"/>
  <c r="A80" i="2" a="1"/>
  <c r="A80" i="2" s="1"/>
  <c r="D80" i="2" s="1"/>
  <c r="A79" i="2" a="1"/>
  <c r="A79" i="2"/>
  <c r="D79" i="2" s="1"/>
  <c r="A78" i="2" a="1"/>
  <c r="A78" i="2" s="1"/>
  <c r="A77" i="2" a="1"/>
  <c r="A77" i="2"/>
  <c r="C77" i="2" s="1"/>
  <c r="A76" i="2" a="1"/>
  <c r="A76" i="2"/>
  <c r="C76" i="2" s="1"/>
  <c r="A75" i="2" a="1"/>
  <c r="A75" i="2"/>
  <c r="D75" i="2" s="1"/>
  <c r="A74" i="2" a="1"/>
  <c r="A74" i="2" s="1"/>
  <c r="A73" i="2" a="1"/>
  <c r="A73" i="2" s="1"/>
  <c r="D73" i="2" s="1"/>
  <c r="A72" i="2" a="1"/>
  <c r="A72" i="2" s="1"/>
  <c r="A71" i="2" a="1"/>
  <c r="A71" i="2"/>
  <c r="C71" i="2" s="1"/>
  <c r="A70" i="2" a="1"/>
  <c r="A70" i="2" s="1"/>
  <c r="B70" i="2" s="1"/>
  <c r="A69" i="2" a="1"/>
  <c r="A69" i="2" s="1"/>
  <c r="A68" i="2" a="1"/>
  <c r="A68" i="2" s="1"/>
  <c r="A67" i="2" a="1"/>
  <c r="A67" i="2"/>
  <c r="B67" i="2" s="1"/>
  <c r="A66" i="2" a="1"/>
  <c r="A66" i="2"/>
  <c r="D66" i="2" s="1"/>
  <c r="A65" i="2" a="1"/>
  <c r="A65" i="2" s="1"/>
  <c r="A64" i="2" a="1"/>
  <c r="A64" i="2" s="1"/>
  <c r="D64" i="2" s="1"/>
  <c r="A63" i="2" a="1"/>
  <c r="A63" i="2" s="1"/>
  <c r="A62" i="2" a="1"/>
  <c r="A62" i="2"/>
  <c r="C62" i="2" s="1"/>
  <c r="A61" i="2" a="1"/>
  <c r="A61" i="2" s="1"/>
  <c r="A60" i="2" a="1"/>
  <c r="A60" i="2"/>
  <c r="D60" i="2" s="1"/>
  <c r="A59" i="2" a="1"/>
  <c r="A59" i="2" s="1"/>
  <c r="A58" i="2" a="1"/>
  <c r="A58" i="2" s="1"/>
  <c r="C58" i="2" s="1"/>
  <c r="A57" i="2" a="1"/>
  <c r="A57" i="2" s="1"/>
  <c r="A56" i="2" a="1"/>
  <c r="A56" i="2" s="1"/>
  <c r="A55" i="2" a="1"/>
  <c r="A55" i="2" s="1"/>
  <c r="D55" i="2" s="1"/>
  <c r="A54" i="2" a="1"/>
  <c r="A54" i="2" s="1"/>
  <c r="B54" i="2" s="1"/>
  <c r="A53" i="2" a="1"/>
  <c r="A53" i="2" s="1"/>
  <c r="A52" i="2" a="1"/>
  <c r="A52" i="2" s="1"/>
  <c r="D52" i="2" s="1"/>
  <c r="A51" i="2" a="1"/>
  <c r="A51" i="2" s="1"/>
  <c r="B51" i="2" s="1"/>
  <c r="A50" i="2" a="1"/>
  <c r="A50" i="2"/>
  <c r="B50" i="2" s="1"/>
  <c r="D49" i="2"/>
  <c r="C49" i="2"/>
  <c r="A49" i="2" a="1"/>
  <c r="A49" i="2"/>
  <c r="B49" i="2" s="1"/>
  <c r="A48" i="2" a="1"/>
  <c r="A48" i="2" s="1"/>
  <c r="A47" i="2" a="1"/>
  <c r="A47" i="2" s="1"/>
  <c r="A46" i="2" a="1"/>
  <c r="A46" i="2" s="1"/>
  <c r="B46" i="2" s="1"/>
  <c r="A45" i="2" a="1"/>
  <c r="A45" i="2"/>
  <c r="C45" i="2" s="1"/>
  <c r="B44" i="2"/>
  <c r="A44" i="2" a="1"/>
  <c r="A44" i="2"/>
  <c r="D44" i="2" s="1"/>
  <c r="A43" i="2" a="1"/>
  <c r="A43" i="2"/>
  <c r="B43" i="2" s="1"/>
  <c r="A42" i="2" a="1"/>
  <c r="A42" i="2" s="1"/>
  <c r="D42" i="2" s="1"/>
  <c r="A41" i="2" a="1"/>
  <c r="A41" i="2" s="1"/>
  <c r="A40" i="2" a="1"/>
  <c r="A40" i="2" s="1"/>
  <c r="B39" i="2"/>
  <c r="A39" i="2" a="1"/>
  <c r="A39" i="2" s="1"/>
  <c r="D39" i="2" s="1"/>
  <c r="A38" i="2" a="1"/>
  <c r="A38" i="2" s="1"/>
  <c r="C38" i="2" s="1"/>
  <c r="A37" i="2" a="1"/>
  <c r="A37" i="2" s="1"/>
  <c r="B37" i="2" s="1"/>
  <c r="A36" i="2" a="1"/>
  <c r="A36" i="2" s="1"/>
  <c r="A35" i="2" a="1"/>
  <c r="A35" i="2"/>
  <c r="B35" i="2" s="1"/>
  <c r="A34" i="2" a="1"/>
  <c r="A34" i="2"/>
  <c r="D34" i="2" s="1"/>
  <c r="A33" i="2" a="1"/>
  <c r="A33" i="2" s="1"/>
  <c r="A32" i="2" a="1"/>
  <c r="A32" i="2" s="1"/>
  <c r="A31" i="2" a="1"/>
  <c r="A31" i="2" s="1"/>
  <c r="B31" i="2" s="1"/>
  <c r="A30" i="2" a="1"/>
  <c r="A30" i="2"/>
  <c r="B30" i="2" s="1"/>
  <c r="A29" i="2" a="1"/>
  <c r="A29" i="2" s="1"/>
  <c r="A28" i="2" a="1"/>
  <c r="A28" i="2" s="1"/>
  <c r="A27" i="2" a="1"/>
  <c r="A27" i="2" s="1"/>
  <c r="C27" i="2" s="1"/>
  <c r="A26" i="2" a="1"/>
  <c r="A26" i="2"/>
  <c r="B26" i="2" s="1"/>
  <c r="A25" i="2" a="1"/>
  <c r="A25" i="2"/>
  <c r="C25" i="2" s="1"/>
  <c r="A24" i="2" a="1"/>
  <c r="A24" i="2" s="1"/>
  <c r="B24" i="2" s="1"/>
  <c r="A23" i="2" a="1"/>
  <c r="A23" i="2"/>
  <c r="C23" i="2" s="1"/>
  <c r="A22" i="2" a="1"/>
  <c r="A22" i="2"/>
  <c r="C22" i="2" s="1"/>
  <c r="D21" i="2"/>
  <c r="A21" i="2" a="1"/>
  <c r="A21" i="2"/>
  <c r="C21" i="2" s="1"/>
  <c r="A20" i="2" a="1"/>
  <c r="A20" i="2"/>
  <c r="B20" i="2" s="1"/>
  <c r="A19" i="2" a="1"/>
  <c r="A19" i="2"/>
  <c r="D19" i="2" s="1"/>
  <c r="A18" i="2" a="1"/>
  <c r="A18" i="2" s="1"/>
  <c r="A17" i="2" a="1"/>
  <c r="A17" i="2"/>
  <c r="D17" i="2" s="1"/>
  <c r="A16" i="2" a="1"/>
  <c r="A16" i="2"/>
  <c r="C16" i="2" s="1"/>
  <c r="A15" i="2" a="1"/>
  <c r="A15" i="2"/>
  <c r="B15" i="2" s="1"/>
  <c r="A14" i="2" a="1"/>
  <c r="A14" i="2" s="1"/>
  <c r="A13" i="2" a="1"/>
  <c r="A13" i="2" s="1"/>
  <c r="D13" i="2" s="1"/>
  <c r="A12" i="2" a="1"/>
  <c r="A12" i="2" s="1"/>
  <c r="A11" i="2" a="1"/>
  <c r="A11" i="2" s="1"/>
  <c r="A10" i="2" a="1"/>
  <c r="A10" i="2" s="1"/>
  <c r="A9" i="2" a="1"/>
  <c r="A9" i="2" s="1"/>
  <c r="A8" i="2" a="1"/>
  <c r="A8" i="2" s="1"/>
  <c r="B8" i="2" s="1"/>
  <c r="A7" i="2" a="1"/>
  <c r="A7" i="2"/>
  <c r="D7" i="2" s="1"/>
  <c r="D6" i="2"/>
  <c r="B6" i="2"/>
  <c r="A6" i="2" a="1"/>
  <c r="A6" i="2"/>
  <c r="C6" i="2" s="1"/>
  <c r="A5" i="2" a="1"/>
  <c r="A5" i="2" s="1"/>
  <c r="A4" i="2" a="1"/>
  <c r="A4" i="2" s="1"/>
  <c r="D4" i="2" s="1"/>
  <c r="A3" i="2" a="1"/>
  <c r="A3" i="2" s="1"/>
  <c r="C3" i="2" s="1"/>
  <c r="A2" i="2" a="1"/>
  <c r="A2" i="2"/>
  <c r="D2" i="2" s="1"/>
  <c r="A1" i="2" a="1"/>
  <c r="A1" i="2"/>
  <c r="D1" i="2" s="1"/>
  <c r="I15" i="1"/>
  <c r="A14" i="1"/>
  <c r="A13" i="1"/>
  <c r="A139" i="2" s="1" a="1"/>
  <c r="A139" i="2" s="1"/>
  <c r="AL10" i="1"/>
  <c r="A8" i="1"/>
  <c r="A7" i="1"/>
  <c r="E3" i="1"/>
  <c r="B231" i="2" l="1"/>
  <c r="D231" i="2"/>
  <c r="C231" i="2"/>
  <c r="B189" i="2"/>
  <c r="D189" i="2"/>
  <c r="C189" i="2"/>
  <c r="D319" i="2"/>
  <c r="C319" i="2"/>
  <c r="B319" i="2"/>
  <c r="D14" i="2"/>
  <c r="C14" i="2"/>
  <c r="B14" i="2"/>
  <c r="B258" i="2"/>
  <c r="C258" i="2"/>
  <c r="D258" i="2"/>
  <c r="B267" i="2"/>
  <c r="D267" i="2"/>
  <c r="C267" i="2"/>
  <c r="D278" i="2"/>
  <c r="C278" i="2"/>
  <c r="B278" i="2"/>
  <c r="B303" i="2"/>
  <c r="D303" i="2"/>
  <c r="C303" i="2"/>
  <c r="C368" i="2"/>
  <c r="B368" i="2"/>
  <c r="D368" i="2"/>
  <c r="C98" i="2"/>
  <c r="D98" i="2"/>
  <c r="B98" i="2"/>
  <c r="B249" i="2"/>
  <c r="D249" i="2"/>
  <c r="C249" i="2"/>
  <c r="D327" i="2"/>
  <c r="C327" i="2"/>
  <c r="B327" i="2"/>
  <c r="B211" i="2"/>
  <c r="D211" i="2"/>
  <c r="C211" i="2"/>
  <c r="C286" i="2"/>
  <c r="D286" i="2"/>
  <c r="B387" i="2"/>
  <c r="D387" i="2"/>
  <c r="C387" i="2"/>
  <c r="B296" i="2"/>
  <c r="D296" i="2"/>
  <c r="C296" i="2"/>
  <c r="C382" i="2"/>
  <c r="D382" i="2"/>
  <c r="C334" i="2"/>
  <c r="D117" i="2"/>
  <c r="B134" i="2"/>
  <c r="C24" i="2"/>
  <c r="C134" i="2"/>
  <c r="C197" i="2"/>
  <c r="B222" i="2"/>
  <c r="B369" i="2"/>
  <c r="D24" i="2"/>
  <c r="B127" i="2"/>
  <c r="D197" i="2"/>
  <c r="C213" i="2"/>
  <c r="C369" i="2"/>
  <c r="B386" i="2"/>
  <c r="C393" i="2"/>
  <c r="C73" i="2"/>
  <c r="D253" i="2"/>
  <c r="B307" i="2"/>
  <c r="D314" i="2"/>
  <c r="D186" i="2"/>
  <c r="C254" i="2"/>
  <c r="C266" i="2"/>
  <c r="D307" i="2"/>
  <c r="D321" i="2"/>
  <c r="D37" i="2"/>
  <c r="D45" i="2"/>
  <c r="C86" i="2"/>
  <c r="B170" i="2"/>
  <c r="B224" i="2"/>
  <c r="D254" i="2"/>
  <c r="D266" i="2"/>
  <c r="D20" i="2"/>
  <c r="D86" i="2"/>
  <c r="B130" i="2"/>
  <c r="C149" i="2"/>
  <c r="C170" i="2"/>
  <c r="C193" i="2"/>
  <c r="C224" i="2"/>
  <c r="B241" i="2"/>
  <c r="D260" i="2"/>
  <c r="C330" i="2"/>
  <c r="C357" i="2"/>
  <c r="B97" i="2"/>
  <c r="D130" i="2"/>
  <c r="D149" i="2"/>
  <c r="C339" i="2"/>
  <c r="C97" i="2"/>
  <c r="C105" i="2"/>
  <c r="B217" i="2"/>
  <c r="D339" i="2"/>
  <c r="D357" i="2"/>
  <c r="D76" i="2"/>
  <c r="B314" i="2"/>
  <c r="B260" i="2"/>
  <c r="C20" i="2"/>
  <c r="D193" i="2"/>
  <c r="B21" i="2"/>
  <c r="D105" i="2"/>
  <c r="C114" i="2"/>
  <c r="B188" i="2"/>
  <c r="B242" i="2"/>
  <c r="C261" i="2"/>
  <c r="B331" i="2"/>
  <c r="B125" i="2"/>
  <c r="B25" i="2"/>
  <c r="B76" i="2"/>
  <c r="D25" i="2"/>
  <c r="B45" i="2"/>
  <c r="B186" i="2"/>
  <c r="D298" i="2"/>
  <c r="C321" i="2"/>
  <c r="C37" i="2"/>
  <c r="C177" i="2"/>
  <c r="D195" i="2"/>
  <c r="B355" i="2"/>
  <c r="C106" i="2"/>
  <c r="C318" i="2"/>
  <c r="C326" i="2"/>
  <c r="C375" i="2"/>
  <c r="D400" i="2"/>
  <c r="D32" i="2"/>
  <c r="C32" i="2"/>
  <c r="B32" i="2"/>
  <c r="B93" i="2"/>
  <c r="D93" i="2"/>
  <c r="C93" i="2"/>
  <c r="D139" i="2"/>
  <c r="C139" i="2"/>
  <c r="B139" i="2"/>
  <c r="D111" i="2"/>
  <c r="C111" i="2"/>
  <c r="B111" i="2"/>
  <c r="D337" i="2"/>
  <c r="C337" i="2"/>
  <c r="B337" i="2"/>
  <c r="C135" i="2"/>
  <c r="B135" i="2"/>
  <c r="D135" i="2"/>
  <c r="B53" i="2"/>
  <c r="C53" i="2"/>
  <c r="D53" i="2"/>
  <c r="B158" i="2"/>
  <c r="D158" i="2"/>
  <c r="C158" i="2"/>
  <c r="D200" i="2"/>
  <c r="C200" i="2"/>
  <c r="B200" i="2"/>
  <c r="D82" i="2"/>
  <c r="B82" i="2"/>
  <c r="C82" i="2"/>
  <c r="D299" i="2"/>
  <c r="C299" i="2"/>
  <c r="B299" i="2"/>
  <c r="D65" i="2"/>
  <c r="B65" i="2"/>
  <c r="C65" i="2"/>
  <c r="C160" i="2"/>
  <c r="B160" i="2"/>
  <c r="D160" i="2"/>
  <c r="D300" i="2"/>
  <c r="C300" i="2"/>
  <c r="B300" i="2"/>
  <c r="D84" i="2"/>
  <c r="C84" i="2"/>
  <c r="B84" i="2"/>
  <c r="B9" i="2"/>
  <c r="D9" i="2"/>
  <c r="C9" i="2"/>
  <c r="D36" i="2"/>
  <c r="C36" i="2"/>
  <c r="B36" i="2"/>
  <c r="D68" i="2"/>
  <c r="C68" i="2"/>
  <c r="B68" i="2"/>
  <c r="D161" i="2"/>
  <c r="C161" i="2"/>
  <c r="B161" i="2"/>
  <c r="D283" i="2"/>
  <c r="C283" i="2"/>
  <c r="B283" i="2"/>
  <c r="D61" i="2"/>
  <c r="C61" i="2"/>
  <c r="B61" i="2"/>
  <c r="D74" i="2"/>
  <c r="C74" i="2"/>
  <c r="B74" i="2"/>
  <c r="D167" i="2"/>
  <c r="C167" i="2"/>
  <c r="B167" i="2"/>
  <c r="B10" i="2"/>
  <c r="D10" i="2"/>
  <c r="C10" i="2"/>
  <c r="D162" i="2"/>
  <c r="C162" i="2"/>
  <c r="B162" i="2"/>
  <c r="D284" i="2"/>
  <c r="C284" i="2"/>
  <c r="B284" i="2"/>
  <c r="D316" i="2"/>
  <c r="C316" i="2"/>
  <c r="B316" i="2"/>
  <c r="D63" i="2"/>
  <c r="C63" i="2"/>
  <c r="B63" i="2"/>
  <c r="D28" i="2"/>
  <c r="C28" i="2"/>
  <c r="B28" i="2"/>
  <c r="D47" i="2"/>
  <c r="C47" i="2"/>
  <c r="B47" i="2"/>
  <c r="C131" i="2"/>
  <c r="B131" i="2"/>
  <c r="D131" i="2"/>
  <c r="D147" i="2"/>
  <c r="C147" i="2"/>
  <c r="B147" i="2"/>
  <c r="D320" i="2"/>
  <c r="C320" i="2"/>
  <c r="B320" i="2"/>
  <c r="C78" i="2"/>
  <c r="D78" i="2"/>
  <c r="B78" i="2"/>
  <c r="D57" i="2"/>
  <c r="B57" i="2"/>
  <c r="C57" i="2"/>
  <c r="D29" i="2"/>
  <c r="B29" i="2"/>
  <c r="C29" i="2"/>
  <c r="D48" i="2"/>
  <c r="C48" i="2"/>
  <c r="B48" i="2"/>
  <c r="D180" i="2"/>
  <c r="C180" i="2"/>
  <c r="B180" i="2"/>
  <c r="B153" i="2"/>
  <c r="C153" i="2"/>
  <c r="D153" i="2"/>
  <c r="B33" i="2"/>
  <c r="C33" i="2"/>
  <c r="D33" i="2"/>
  <c r="C126" i="2"/>
  <c r="B126" i="2"/>
  <c r="D126" i="2"/>
  <c r="B154" i="2"/>
  <c r="D154" i="2"/>
  <c r="C154" i="2"/>
  <c r="D18" i="2"/>
  <c r="B18" i="2"/>
  <c r="C18" i="2"/>
  <c r="C156" i="2"/>
  <c r="B156" i="2"/>
  <c r="D156" i="2"/>
  <c r="D56" i="2"/>
  <c r="C56" i="2"/>
  <c r="B56" i="2"/>
  <c r="D5" i="2"/>
  <c r="C5" i="2"/>
  <c r="B5" i="2"/>
  <c r="C40" i="2"/>
  <c r="D40" i="2"/>
  <c r="B40" i="2"/>
  <c r="D59" i="2"/>
  <c r="C59" i="2"/>
  <c r="B59" i="2"/>
  <c r="B89" i="2"/>
  <c r="C89" i="2"/>
  <c r="D89" i="2"/>
  <c r="D236" i="2"/>
  <c r="C236" i="2"/>
  <c r="B236" i="2"/>
  <c r="D268" i="2"/>
  <c r="C268" i="2"/>
  <c r="B268" i="2"/>
  <c r="B190" i="2"/>
  <c r="D190" i="2"/>
  <c r="C190" i="2"/>
  <c r="B264" i="2"/>
  <c r="D264" i="2"/>
  <c r="C264" i="2"/>
  <c r="D199" i="2"/>
  <c r="C199" i="2"/>
  <c r="B199" i="2"/>
  <c r="B41" i="2"/>
  <c r="D41" i="2"/>
  <c r="C41" i="2"/>
  <c r="C90" i="2"/>
  <c r="B90" i="2"/>
  <c r="D90" i="2"/>
  <c r="B182" i="2"/>
  <c r="D182" i="2"/>
  <c r="C182" i="2"/>
  <c r="C312" i="2"/>
  <c r="B312" i="2"/>
  <c r="D312" i="2"/>
  <c r="D252" i="2"/>
  <c r="C252" i="2"/>
  <c r="B252" i="2"/>
  <c r="B11" i="2"/>
  <c r="D11" i="2"/>
  <c r="C11" i="2"/>
  <c r="D12" i="2"/>
  <c r="C12" i="2"/>
  <c r="B12" i="2"/>
  <c r="C72" i="2"/>
  <c r="B72" i="2"/>
  <c r="D72" i="2"/>
  <c r="D143" i="2"/>
  <c r="C143" i="2"/>
  <c r="B143" i="2"/>
  <c r="C243" i="2"/>
  <c r="B243" i="2"/>
  <c r="D243" i="2"/>
  <c r="D333" i="2"/>
  <c r="C333" i="2"/>
  <c r="B333" i="2"/>
  <c r="D191" i="2"/>
  <c r="C191" i="2"/>
  <c r="B191" i="2"/>
  <c r="B279" i="2"/>
  <c r="B308" i="2"/>
  <c r="B323" i="2"/>
  <c r="B132" i="2"/>
  <c r="B62" i="2"/>
  <c r="C132" i="2"/>
  <c r="B150" i="2"/>
  <c r="B159" i="2"/>
  <c r="C159" i="2"/>
  <c r="B169" i="2"/>
  <c r="B174" i="2"/>
  <c r="C183" i="2"/>
  <c r="D207" i="2"/>
  <c r="B218" i="2"/>
  <c r="B223" i="2"/>
  <c r="C228" i="2"/>
  <c r="C255" i="2"/>
  <c r="D275" i="2"/>
  <c r="C291" i="2"/>
  <c r="D309" i="2"/>
  <c r="C309" i="2"/>
  <c r="B309" i="2"/>
  <c r="D324" i="2"/>
  <c r="C324" i="2"/>
  <c r="C345" i="2"/>
  <c r="C352" i="2"/>
  <c r="B365" i="2"/>
  <c r="C383" i="2"/>
  <c r="B395" i="2"/>
  <c r="B145" i="2"/>
  <c r="B7" i="2"/>
  <c r="B66" i="2"/>
  <c r="D245" i="2"/>
  <c r="C245" i="2"/>
  <c r="B245" i="2"/>
  <c r="D388" i="2"/>
  <c r="C388" i="2"/>
  <c r="B388" i="2"/>
  <c r="D3" i="2"/>
  <c r="C30" i="2"/>
  <c r="D70" i="2"/>
  <c r="D103" i="2"/>
  <c r="B228" i="2"/>
  <c r="B255" i="2"/>
  <c r="B383" i="2"/>
  <c r="D26" i="2"/>
  <c r="D128" i="2"/>
  <c r="C54" i="2"/>
  <c r="C120" i="2"/>
  <c r="B146" i="2"/>
  <c r="C150" i="2"/>
  <c r="D159" i="2"/>
  <c r="C169" i="2"/>
  <c r="C174" i="2"/>
  <c r="D183" i="2"/>
  <c r="C208" i="2"/>
  <c r="B208" i="2"/>
  <c r="C218" i="2"/>
  <c r="C223" i="2"/>
  <c r="D229" i="2"/>
  <c r="C229" i="2"/>
  <c r="B235" i="2"/>
  <c r="D291" i="2"/>
  <c r="B340" i="2"/>
  <c r="D352" i="2"/>
  <c r="D359" i="2"/>
  <c r="C359" i="2"/>
  <c r="B359" i="2"/>
  <c r="C365" i="2"/>
  <c r="B377" i="2"/>
  <c r="C395" i="2"/>
  <c r="C140" i="2"/>
  <c r="B140" i="2"/>
  <c r="D212" i="2"/>
  <c r="C212" i="2"/>
  <c r="B212" i="2"/>
  <c r="B22" i="2"/>
  <c r="C95" i="2"/>
  <c r="B38" i="2"/>
  <c r="D107" i="2"/>
  <c r="B19" i="2"/>
  <c r="D38" i="2"/>
  <c r="B75" i="2"/>
  <c r="D124" i="2"/>
  <c r="D15" i="2"/>
  <c r="C19" i="2"/>
  <c r="B23" i="2"/>
  <c r="D50" i="2"/>
  <c r="D54" i="2"/>
  <c r="B71" i="2"/>
  <c r="C75" i="2"/>
  <c r="C79" i="2"/>
  <c r="B92" i="2"/>
  <c r="B96" i="2"/>
  <c r="B104" i="2"/>
  <c r="B108" i="2"/>
  <c r="D112" i="2"/>
  <c r="C116" i="2"/>
  <c r="D120" i="2"/>
  <c r="B129" i="2"/>
  <c r="B133" i="2"/>
  <c r="C146" i="2"/>
  <c r="D155" i="2"/>
  <c r="B155" i="2"/>
  <c r="B179" i="2"/>
  <c r="B203" i="2"/>
  <c r="B229" i="2"/>
  <c r="C235" i="2"/>
  <c r="C256" i="2"/>
  <c r="B256" i="2"/>
  <c r="B271" i="2"/>
  <c r="B280" i="2"/>
  <c r="C292" i="2"/>
  <c r="B292" i="2"/>
  <c r="B304" i="2"/>
  <c r="B324" i="2"/>
  <c r="C340" i="2"/>
  <c r="D353" i="2"/>
  <c r="C353" i="2"/>
  <c r="B353" i="2"/>
  <c r="D360" i="2"/>
  <c r="C360" i="2"/>
  <c r="D372" i="2"/>
  <c r="C372" i="2"/>
  <c r="B372" i="2"/>
  <c r="C377" i="2"/>
  <c r="D390" i="2"/>
  <c r="C390" i="2"/>
  <c r="B390" i="2"/>
  <c r="D396" i="2"/>
  <c r="C396" i="2"/>
  <c r="B396" i="2"/>
  <c r="B165" i="2"/>
  <c r="C179" i="2"/>
  <c r="D198" i="2"/>
  <c r="C198" i="2"/>
  <c r="C203" i="2"/>
  <c r="D208" i="2"/>
  <c r="C271" i="2"/>
  <c r="B276" i="2"/>
  <c r="C280" i="2"/>
  <c r="C304" i="2"/>
  <c r="D325" i="2"/>
  <c r="C325" i="2"/>
  <c r="D347" i="2"/>
  <c r="C347" i="2"/>
  <c r="B347" i="2"/>
  <c r="D366" i="2"/>
  <c r="C366" i="2"/>
  <c r="B366" i="2"/>
  <c r="D378" i="2"/>
  <c r="C378" i="2"/>
  <c r="B378" i="2"/>
  <c r="D216" i="2"/>
  <c r="C216" i="2"/>
  <c r="B216" i="2"/>
  <c r="D227" i="2"/>
  <c r="C227" i="2"/>
  <c r="B227" i="2"/>
  <c r="B34" i="2"/>
  <c r="C279" i="2"/>
  <c r="C323" i="2"/>
  <c r="C26" i="2"/>
  <c r="D83" i="2"/>
  <c r="B83" i="2"/>
  <c r="D178" i="2"/>
  <c r="C192" i="2"/>
  <c r="B192" i="2"/>
  <c r="C207" i="2"/>
  <c r="C275" i="2"/>
  <c r="C42" i="2"/>
  <c r="C124" i="2"/>
  <c r="C50" i="2"/>
  <c r="B4" i="2"/>
  <c r="C4" i="2"/>
  <c r="B27" i="2"/>
  <c r="C92" i="2"/>
  <c r="C96" i="2"/>
  <c r="C104" i="2"/>
  <c r="D108" i="2"/>
  <c r="C133" i="2"/>
  <c r="C8" i="2"/>
  <c r="D23" i="2"/>
  <c r="D27" i="2"/>
  <c r="D31" i="2"/>
  <c r="C35" i="2"/>
  <c r="C39" i="2"/>
  <c r="C43" i="2"/>
  <c r="B55" i="2"/>
  <c r="C67" i="2"/>
  <c r="D71" i="2"/>
  <c r="C88" i="2"/>
  <c r="C100" i="2"/>
  <c r="B121" i="2"/>
  <c r="C125" i="2"/>
  <c r="D129" i="2"/>
  <c r="C142" i="2"/>
  <c r="C155" i="2"/>
  <c r="C165" i="2"/>
  <c r="B230" i="2"/>
  <c r="B251" i="2"/>
  <c r="D256" i="2"/>
  <c r="C276" i="2"/>
  <c r="D292" i="2"/>
  <c r="B315" i="2"/>
  <c r="B325" i="2"/>
  <c r="B336" i="2"/>
  <c r="D341" i="2"/>
  <c r="C341" i="2"/>
  <c r="D354" i="2"/>
  <c r="C354" i="2"/>
  <c r="B354" i="2"/>
  <c r="B360" i="2"/>
  <c r="B397" i="2"/>
  <c r="D168" i="2"/>
  <c r="C168" i="2"/>
  <c r="B95" i="2"/>
  <c r="B168" i="2"/>
  <c r="C70" i="2"/>
  <c r="B128" i="2"/>
  <c r="C308" i="2"/>
  <c r="C87" i="2"/>
  <c r="C141" i="2"/>
  <c r="D358" i="2"/>
  <c r="C358" i="2"/>
  <c r="B358" i="2"/>
  <c r="D141" i="2"/>
  <c r="D62" i="2"/>
  <c r="B142" i="2"/>
  <c r="B1" i="2"/>
  <c r="D8" i="2"/>
  <c r="B16" i="2"/>
  <c r="D35" i="2"/>
  <c r="D43" i="2"/>
  <c r="C51" i="2"/>
  <c r="C55" i="2"/>
  <c r="D67" i="2"/>
  <c r="B80" i="2"/>
  <c r="D88" i="2"/>
  <c r="D100" i="2"/>
  <c r="C109" i="2"/>
  <c r="B113" i="2"/>
  <c r="B117" i="2"/>
  <c r="C121" i="2"/>
  <c r="B138" i="2"/>
  <c r="B151" i="2"/>
  <c r="B175" i="2"/>
  <c r="B198" i="2"/>
  <c r="D204" i="2"/>
  <c r="C204" i="2"/>
  <c r="B204" i="2"/>
  <c r="B214" i="2"/>
  <c r="B219" i="2"/>
  <c r="C230" i="2"/>
  <c r="B247" i="2"/>
  <c r="C251" i="2"/>
  <c r="D293" i="2"/>
  <c r="C293" i="2"/>
  <c r="B293" i="2"/>
  <c r="C315" i="2"/>
  <c r="C336" i="2"/>
  <c r="B373" i="2"/>
  <c r="B391" i="2"/>
  <c r="C397" i="2"/>
  <c r="D119" i="2"/>
  <c r="B119" i="2"/>
  <c r="D173" i="2"/>
  <c r="C173" i="2"/>
  <c r="B173" i="2"/>
  <c r="B3" i="2"/>
  <c r="C91" i="2"/>
  <c r="C103" i="2"/>
  <c r="B187" i="2"/>
  <c r="D240" i="2"/>
  <c r="C240" i="2"/>
  <c r="C370" i="2"/>
  <c r="D370" i="2"/>
  <c r="B370" i="2"/>
  <c r="C34" i="2"/>
  <c r="C66" i="2"/>
  <c r="C99" i="2"/>
  <c r="D30" i="2"/>
  <c r="C46" i="2"/>
  <c r="B58" i="2"/>
  <c r="D87" i="2"/>
  <c r="D99" i="2"/>
  <c r="B79" i="2"/>
  <c r="D116" i="2"/>
  <c r="C1" i="2"/>
  <c r="D16" i="2"/>
  <c r="D51" i="2"/>
  <c r="C80" i="2"/>
  <c r="D101" i="2"/>
  <c r="B101" i="2"/>
  <c r="D109" i="2"/>
  <c r="C113" i="2"/>
  <c r="C138" i="2"/>
  <c r="C151" i="2"/>
  <c r="C166" i="2"/>
  <c r="B166" i="2"/>
  <c r="C175" i="2"/>
  <c r="C214" i="2"/>
  <c r="C219" i="2"/>
  <c r="C247" i="2"/>
  <c r="D282" i="2"/>
  <c r="C282" i="2"/>
  <c r="B282" i="2"/>
  <c r="B341" i="2"/>
  <c r="B348" i="2"/>
  <c r="B361" i="2"/>
  <c r="C373" i="2"/>
  <c r="B379" i="2"/>
  <c r="C391" i="2"/>
  <c r="D244" i="2"/>
  <c r="C244" i="2"/>
  <c r="B244" i="2"/>
  <c r="C119" i="2"/>
  <c r="D145" i="2"/>
  <c r="C7" i="2"/>
  <c r="D22" i="2"/>
  <c r="D91" i="2"/>
  <c r="D137" i="2"/>
  <c r="B137" i="2"/>
  <c r="D58" i="2"/>
  <c r="C152" i="2"/>
  <c r="B152" i="2"/>
  <c r="D176" i="2"/>
  <c r="C176" i="2"/>
  <c r="C185" i="2"/>
  <c r="D205" i="2"/>
  <c r="C205" i="2"/>
  <c r="B205" i="2"/>
  <c r="B210" i="2"/>
  <c r="D225" i="2"/>
  <c r="C225" i="2"/>
  <c r="B225" i="2"/>
  <c r="D237" i="2"/>
  <c r="C237" i="2"/>
  <c r="B237" i="2"/>
  <c r="B272" i="2"/>
  <c r="B287" i="2"/>
  <c r="D294" i="2"/>
  <c r="C294" i="2"/>
  <c r="B294" i="2"/>
  <c r="C348" i="2"/>
  <c r="C361" i="2"/>
  <c r="C379" i="2"/>
  <c r="D398" i="2"/>
  <c r="C398" i="2"/>
  <c r="B398" i="2"/>
  <c r="D302" i="2"/>
  <c r="C302" i="2"/>
  <c r="B302" i="2"/>
  <c r="D322" i="2"/>
  <c r="C322" i="2"/>
  <c r="B322" i="2"/>
  <c r="C328" i="2"/>
  <c r="B328" i="2"/>
  <c r="C163" i="2"/>
  <c r="D234" i="2"/>
  <c r="C234" i="2"/>
  <c r="D136" i="2"/>
  <c r="C187" i="2"/>
  <c r="D46" i="2"/>
  <c r="C181" i="2"/>
  <c r="D185" i="2"/>
  <c r="B194" i="2"/>
  <c r="C210" i="2"/>
  <c r="C220" i="2"/>
  <c r="B220" i="2"/>
  <c r="D220" i="2"/>
  <c r="D248" i="2"/>
  <c r="C248" i="2"/>
  <c r="C272" i="2"/>
  <c r="C287" i="2"/>
  <c r="D392" i="2"/>
  <c r="B392" i="2"/>
  <c r="C196" i="2"/>
  <c r="B196" i="2"/>
  <c r="D233" i="2"/>
  <c r="C233" i="2"/>
  <c r="B233" i="2"/>
  <c r="D290" i="2"/>
  <c r="C290" i="2"/>
  <c r="B290" i="2"/>
  <c r="C115" i="2"/>
  <c r="B136" i="2"/>
  <c r="D164" i="2"/>
  <c r="C164" i="2"/>
  <c r="D196" i="2"/>
  <c r="D376" i="2"/>
  <c r="C376" i="2"/>
  <c r="B376" i="2"/>
  <c r="B42" i="2"/>
  <c r="B345" i="2"/>
  <c r="C31" i="2"/>
  <c r="B13" i="2"/>
  <c r="B17" i="2"/>
  <c r="C44" i="2"/>
  <c r="B52" i="2"/>
  <c r="B60" i="2"/>
  <c r="B64" i="2"/>
  <c r="C85" i="2"/>
  <c r="B110" i="2"/>
  <c r="B122" i="2"/>
  <c r="C148" i="2"/>
  <c r="D148" i="2"/>
  <c r="B148" i="2"/>
  <c r="D152" i="2"/>
  <c r="B171" i="2"/>
  <c r="B176" i="2"/>
  <c r="D181" i="2"/>
  <c r="C194" i="2"/>
  <c r="B332" i="2"/>
  <c r="D362" i="2"/>
  <c r="C362" i="2"/>
  <c r="B362" i="2"/>
  <c r="D399" i="2"/>
  <c r="C399" i="2"/>
  <c r="B399" i="2"/>
  <c r="D313" i="2"/>
  <c r="C313" i="2"/>
  <c r="B313" i="2"/>
  <c r="D351" i="2"/>
  <c r="C351" i="2"/>
  <c r="B351" i="2"/>
  <c r="B115" i="2"/>
  <c r="C178" i="2"/>
  <c r="C15" i="2"/>
  <c r="C13" i="2"/>
  <c r="B2" i="2"/>
  <c r="C17" i="2"/>
  <c r="C52" i="2"/>
  <c r="C60" i="2"/>
  <c r="C64" i="2"/>
  <c r="B73" i="2"/>
  <c r="B77" i="2"/>
  <c r="C81" i="2"/>
  <c r="D85" i="2"/>
  <c r="B102" i="2"/>
  <c r="B106" i="2"/>
  <c r="C110" i="2"/>
  <c r="B114" i="2"/>
  <c r="B118" i="2"/>
  <c r="C122" i="2"/>
  <c r="B157" i="2"/>
  <c r="D171" i="2"/>
  <c r="B215" i="2"/>
  <c r="D221" i="2"/>
  <c r="C221" i="2"/>
  <c r="B226" i="2"/>
  <c r="B248" i="2"/>
  <c r="D263" i="2"/>
  <c r="C263" i="2"/>
  <c r="B263" i="2"/>
  <c r="D288" i="2"/>
  <c r="C288" i="2"/>
  <c r="B295" i="2"/>
  <c r="C332" i="2"/>
  <c r="B356" i="2"/>
  <c r="B374" i="2"/>
  <c r="B381" i="2"/>
  <c r="C381" i="2"/>
  <c r="C392" i="2"/>
  <c r="B107" i="2"/>
  <c r="D329" i="2"/>
  <c r="C329" i="2"/>
  <c r="C83" i="2"/>
  <c r="C2" i="2"/>
  <c r="B69" i="2"/>
  <c r="D69" i="2"/>
  <c r="C102" i="2"/>
  <c r="C172" i="2"/>
  <c r="B172" i="2"/>
  <c r="C215" i="2"/>
  <c r="B221" i="2"/>
  <c r="C226" i="2"/>
  <c r="D232" i="2"/>
  <c r="C232" i="2"/>
  <c r="C295" i="2"/>
  <c r="D301" i="2"/>
  <c r="C301" i="2"/>
  <c r="B301" i="2"/>
  <c r="B349" i="2"/>
  <c r="C356" i="2"/>
  <c r="C374" i="2"/>
  <c r="B163" i="2"/>
  <c r="D140" i="2"/>
  <c r="C202" i="2"/>
  <c r="B202" i="2"/>
  <c r="B112" i="2"/>
  <c r="D77" i="2"/>
  <c r="C144" i="2"/>
  <c r="D144" i="2"/>
  <c r="B144" i="2"/>
  <c r="C157" i="2"/>
  <c r="C69" i="2"/>
  <c r="D94" i="2"/>
  <c r="D177" i="2"/>
  <c r="C195" i="2"/>
  <c r="C201" i="2"/>
  <c r="B201" i="2"/>
  <c r="B288" i="2"/>
  <c r="C349" i="2"/>
  <c r="D317" i="2"/>
  <c r="C317" i="2"/>
  <c r="B317" i="2"/>
  <c r="B289" i="2"/>
  <c r="C346" i="2"/>
  <c r="B346" i="2"/>
  <c r="B350" i="2"/>
  <c r="D281" i="2"/>
  <c r="C281" i="2"/>
  <c r="B281" i="2"/>
  <c r="C289" i="2"/>
  <c r="B297" i="2"/>
  <c r="B305" i="2"/>
  <c r="D342" i="2"/>
  <c r="C342" i="2"/>
  <c r="C350" i="2"/>
  <c r="D371" i="2"/>
  <c r="C371" i="2"/>
  <c r="B371" i="2"/>
  <c r="B384" i="2"/>
  <c r="D389" i="2"/>
  <c r="C389" i="2"/>
  <c r="B389" i="2"/>
  <c r="C184" i="2"/>
  <c r="B184" i="2"/>
  <c r="B253" i="2"/>
  <c r="B257" i="2"/>
  <c r="B265" i="2"/>
  <c r="B273" i="2"/>
  <c r="B277" i="2"/>
  <c r="C297" i="2"/>
  <c r="C305" i="2"/>
  <c r="B338" i="2"/>
  <c r="D346" i="2"/>
  <c r="B380" i="2"/>
  <c r="C384" i="2"/>
  <c r="C257" i="2"/>
  <c r="B261" i="2"/>
  <c r="C265" i="2"/>
  <c r="B269" i="2"/>
  <c r="C273" i="2"/>
  <c r="C277" i="2"/>
  <c r="C310" i="2"/>
  <c r="B310" i="2"/>
  <c r="B318" i="2"/>
  <c r="B326" i="2"/>
  <c r="B330" i="2"/>
  <c r="B334" i="2"/>
  <c r="C338" i="2"/>
  <c r="B342" i="2"/>
  <c r="B367" i="2"/>
  <c r="C380" i="2"/>
  <c r="D306" i="2"/>
  <c r="C306" i="2"/>
  <c r="B363" i="2"/>
  <c r="C367" i="2"/>
  <c r="D385" i="2"/>
  <c r="C385" i="2"/>
  <c r="B394" i="2"/>
  <c r="D209" i="2"/>
  <c r="C209" i="2"/>
  <c r="B209" i="2"/>
  <c r="C217" i="2"/>
  <c r="C241" i="2"/>
  <c r="C274" i="2"/>
  <c r="B274" i="2"/>
  <c r="D310" i="2"/>
  <c r="B343" i="2"/>
  <c r="C355" i="2"/>
  <c r="C363" i="2"/>
  <c r="C394" i="2"/>
  <c r="D270" i="2"/>
  <c r="C270" i="2"/>
  <c r="B286" i="2"/>
  <c r="B298" i="2"/>
  <c r="B306" i="2"/>
  <c r="D335" i="2"/>
  <c r="C335" i="2"/>
  <c r="B335" i="2"/>
  <c r="C343" i="2"/>
  <c r="C238" i="2"/>
  <c r="B238" i="2"/>
  <c r="D274" i="2"/>
  <c r="C364" i="2"/>
  <c r="B364" i="2"/>
  <c r="B382" i="2"/>
  <c r="B40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<sst xmlns="http://schemas.openxmlformats.org/spreadsheetml/2006/main" count="459" uniqueCount="436">
  <si>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</si>
  <si>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</si>
  <si>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</si>
  <si>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</si>
  <si>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</si>
  <si>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</si>
  <si>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</si>
  <si>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</si>
  <si>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</si>
  <si>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</si>
  <si>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</si>
  <si>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</si>
  <si>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</si>
  <si>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</si>
  <si>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</si>
  <si>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</si>
  <si>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</si>
  <si>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</si>
  <si>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</si>
  <si>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</si>
  <si>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</si>
  <si>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</si>
  <si>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</si>
  <si>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</si>
  <si>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</si>
  <si>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</si>
  <si>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</si>
  <si>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</si>
  <si>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</si>
  <si>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</si>
  <si>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</si>
  <si>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</si>
  <si>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</si>
  <si>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</si>
  <si>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</si>
  <si>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kind:IF#1</t>
  </si>
  <si>
    <t>kind:IF#2</t>
  </si>
  <si>
    <t>kind:IF#3</t>
  </si>
  <si>
    <t>kind:IF#4</t>
  </si>
  <si>
    <t>kind:IF#5</t>
  </si>
  <si>
    <t>kind:IF#6</t>
  </si>
  <si>
    <t>kind:IF#7</t>
  </si>
  <si>
    <t>kind:IF#8</t>
  </si>
  <si>
    <t>kind:IF#9</t>
  </si>
  <si>
    <t>kind:IF#10</t>
  </si>
  <si>
    <t>kind:IF#11</t>
  </si>
  <si>
    <t>kind:IFERROR#1</t>
  </si>
  <si>
    <t>kind:IFERROR#2</t>
  </si>
  <si>
    <t>kind:IFERROR#3</t>
  </si>
  <si>
    <t>kind:IFNA#1</t>
  </si>
  <si>
    <t>kind:IFNA#2</t>
  </si>
  <si>
    <t>kind:CHOOSE#1</t>
  </si>
  <si>
    <t>kind:CHOOSE#2</t>
  </si>
  <si>
    <t>kind:CHOOSE#3</t>
  </si>
  <si>
    <t>kind:SWITCH#1</t>
  </si>
  <si>
    <t>kind:SWITCH#2</t>
  </si>
  <si>
    <t>kind:SWITCH#3</t>
  </si>
  <si>
    <t>kind:SWITCH#4</t>
  </si>
  <si>
    <t>kind:IFS#1</t>
  </si>
  <si>
    <t>kind:IFS#2</t>
  </si>
  <si>
    <t>kind:ROUND#1</t>
  </si>
  <si>
    <t>kind:ROUND#2</t>
  </si>
  <si>
    <t>kind:ROUND#3</t>
  </si>
  <si>
    <t>kind:LOG#1</t>
  </si>
  <si>
    <t>kind:LOG#2</t>
  </si>
  <si>
    <t>kind:LOG#3</t>
  </si>
  <si>
    <t>kind:POWER#1</t>
  </si>
  <si>
    <t>kind:POWER#2</t>
  </si>
  <si>
    <t>kind:DATE#1</t>
  </si>
  <si>
    <t>kind:DATE#2</t>
  </si>
  <si>
    <t>kind:DATE#3</t>
  </si>
  <si>
    <t>kind:LEFT#1</t>
  </si>
  <si>
    <t>kind:LEFT#2</t>
  </si>
  <si>
    <t>kind:LEFT#3</t>
  </si>
  <si>
    <t>kind:RIGHT#1</t>
  </si>
  <si>
    <t>kind:RIGHT#2</t>
  </si>
  <si>
    <t>kind:MID#1</t>
  </si>
  <si>
    <t>kind:MID#2</t>
  </si>
  <si>
    <t>kind:FIND#1</t>
  </si>
  <si>
    <t>kind:FIND#2</t>
  </si>
  <si>
    <t>kind:FIND#3</t>
  </si>
  <si>
    <t>kind:SUBSTITUTE#1</t>
  </si>
  <si>
    <t>kind:SUBSTITUTE#2</t>
  </si>
  <si>
    <t>kind:SUBSTITUTE#3</t>
  </si>
  <si>
    <t>kind:SUBSTITUTE#4</t>
  </si>
  <si>
    <t>kind:REPT#1</t>
  </si>
  <si>
    <t>kind:REPT#2</t>
  </si>
  <si>
    <t>kind:INDEX#1</t>
  </si>
  <si>
    <t>kind:INDEX#2</t>
  </si>
  <si>
    <t>kind:INDEX#3</t>
  </si>
  <si>
    <t>kind:INDEX#4</t>
  </si>
  <si>
    <t>kind:INDEX#5</t>
  </si>
  <si>
    <t>kind:FIXED#1</t>
  </si>
  <si>
    <t>kind:FIXED#2</t>
  </si>
  <si>
    <t>kind:FIXED#3</t>
  </si>
  <si>
    <t>kind:FIXED#4</t>
  </si>
  <si>
    <t>kind:ERF#1</t>
  </si>
  <si>
    <t>kind:ERF#2</t>
  </si>
  <si>
    <t>kind:DEC2BIN#1</t>
  </si>
  <si>
    <t>kind:DEC2BIN#2</t>
  </si>
  <si>
    <t>kind:WEEKNUM#1</t>
  </si>
  <si>
    <t>kind:WEEKNUM#2</t>
  </si>
  <si>
    <t>kind:BASE#1</t>
  </si>
  <si>
    <t>kind:BASE#2</t>
  </si>
  <si>
    <t>kind:CEILING.MATH#1</t>
  </si>
  <si>
    <t>kind:CEILING.MATH#2</t>
  </si>
  <si>
    <t>kind:CEILING.MATH#3</t>
  </si>
  <si>
    <t>kind:PMT#1</t>
  </si>
  <si>
    <t>kind:PMT#2</t>
  </si>
  <si>
    <t>kind:PMT#3</t>
  </si>
  <si>
    <t>kind:NORM.DIST#1</t>
  </si>
  <si>
    <t>kind:NORM.DIST#2</t>
  </si>
  <si>
    <t>kind:CONCAT#1</t>
  </si>
  <si>
    <t>kind:CONCAT#2</t>
  </si>
  <si>
    <t>kind:CONCAT#3</t>
  </si>
  <si>
    <t>kind:CONCATENATE#1</t>
  </si>
  <si>
    <t>kind:TEXTJOIN#1</t>
  </si>
  <si>
    <t>kind:TEXTJOIN#2</t>
  </si>
  <si>
    <t>kind:TEXTJOIN#3</t>
  </si>
  <si>
    <t>kind:TEXTJOIN#4</t>
  </si>
  <si>
    <t>kind:EXACT#1</t>
  </si>
  <si>
    <t>kind:EXACT#2</t>
  </si>
  <si>
    <t>kind:TEXT#1</t>
  </si>
  <si>
    <t>kind:TEXT#2</t>
  </si>
  <si>
    <t>kind:NUMBERVALUE#1</t>
  </si>
  <si>
    <t>kind:NUMBERVALUE#2</t>
  </si>
  <si>
    <t>kind:COMPLEX#1</t>
  </si>
  <si>
    <t>kind:COMPLEX#2</t>
  </si>
  <si>
    <t>kind:HYPERLINK#1</t>
  </si>
  <si>
    <t>kind:HYPERLINK#2</t>
  </si>
  <si>
    <t>kind:VLOOKUP#1</t>
  </si>
  <si>
    <t>kind:VLOOKUP#2</t>
  </si>
  <si>
    <t>kind:VLOOKUP#3</t>
  </si>
  <si>
    <t>kind:HLOOKUP#1</t>
  </si>
  <si>
    <t>kind:HLOOKUP#2</t>
  </si>
  <si>
    <t>kind:MATCH#1</t>
  </si>
  <si>
    <t>kind:MATCH#2</t>
  </si>
  <si>
    <t>kind:MATCH#3</t>
  </si>
  <si>
    <t>kind:ADDRESS#1</t>
  </si>
  <si>
    <t>kind:ADDRESS#2</t>
  </si>
  <si>
    <t>kind:ADDRESS#3</t>
  </si>
  <si>
    <t>kind:ADDRESS#4</t>
  </si>
  <si>
    <t>kind:AND#1</t>
  </si>
  <si>
    <t>kind:AND#2</t>
  </si>
  <si>
    <t>kind:AND#3</t>
  </si>
  <si>
    <t>kind:OR#1</t>
  </si>
  <si>
    <t>kind:OR#2</t>
  </si>
  <si>
    <t>kind:XOR#1</t>
  </si>
  <si>
    <t>kind:SUM#1</t>
  </si>
  <si>
    <t>kind:SUM#2</t>
  </si>
  <si>
    <t>kind:SUM#3</t>
  </si>
  <si>
    <t>kind:COUNT#1</t>
  </si>
  <si>
    <t>kind:COUNT#2</t>
  </si>
  <si>
    <t>kind:COUNT#3</t>
  </si>
  <si>
    <t>kind:COUNTA#1</t>
  </si>
  <si>
    <t>kind:COUNTA#2</t>
  </si>
  <si>
    <t>kind:COUNTA#3</t>
  </si>
  <si>
    <t>kind:AVERAGE#1</t>
  </si>
  <si>
    <t>kind:AVERAGE#2</t>
  </si>
  <si>
    <t>kind:AVERAGEA#1</t>
  </si>
  <si>
    <t>kind:MAX#1</t>
  </si>
  <si>
    <t>kind:MAXA#1</t>
  </si>
  <si>
    <t>kind:MIN#1</t>
  </si>
  <si>
    <t>kind:PRODUCT#1</t>
  </si>
  <si>
    <t>kind:GCD#1</t>
  </si>
  <si>
    <t>kind:MEDIAN#1</t>
  </si>
  <si>
    <t>kind:STDEV.S#1</t>
  </si>
  <si>
    <t>kind:SUMPRODUCT#1</t>
  </si>
  <si>
    <t>kind:SUMPRODUCT#2</t>
  </si>
  <si>
    <t>kind:SUMIF#1</t>
  </si>
  <si>
    <t>kind:SUMIF#2</t>
  </si>
  <si>
    <t>kind:COUNTIF#1</t>
  </si>
  <si>
    <t>kind:COUNTIF#2</t>
  </si>
  <si>
    <t>kind:COUNTIF#3</t>
  </si>
  <si>
    <t>kind:SUMIFS#1</t>
  </si>
  <si>
    <t>kind:SUMIFS#2</t>
  </si>
  <si>
    <t>kind:AGGREGATE#1</t>
  </si>
  <si>
    <t>kind:AGGREGATE#2</t>
  </si>
  <si>
    <t>kind:DSUM#1</t>
  </si>
  <si>
    <t>kind:XLOOKUP#1</t>
  </si>
  <si>
    <t>kind:XLOOKUP#2</t>
  </si>
  <si>
    <t>kind:XLOOKUP#3</t>
  </si>
  <si>
    <t>kind:XLOOKUP#4</t>
  </si>
  <si>
    <t>kind:XLOOKUP#5</t>
  </si>
  <si>
    <t>kind:XMATCH#1</t>
  </si>
  <si>
    <t>kind:XMATCH#2</t>
  </si>
  <si>
    <t>kind:XMATCH#3</t>
  </si>
  <si>
    <t>kind:SEQUENCE#1</t>
  </si>
  <si>
    <t>kind:SEQUENCE#2</t>
  </si>
  <si>
    <t>kind:SEQUENCE#3</t>
  </si>
  <si>
    <t>kind:SEQUENCE#4</t>
  </si>
  <si>
    <t>kind:SEQUENCE#5</t>
  </si>
  <si>
    <t>kind:SORT#1</t>
  </si>
  <si>
    <t>kind:SORT#2</t>
  </si>
  <si>
    <t>kind:SORT#3</t>
  </si>
  <si>
    <t>kind:TEXTSPLIT#1</t>
  </si>
  <si>
    <t>kind:TEXTSPLIT#2</t>
  </si>
  <si>
    <t>kind:TEXTSPLIT#3</t>
  </si>
  <si>
    <t>kind:TEXTSPLIT#4</t>
  </si>
  <si>
    <t>kind:TEXTSPLIT#5</t>
  </si>
  <si>
    <t>kind:TEXTBEFORE#1</t>
  </si>
  <si>
    <t>kind:TEXTBEFORE#2</t>
  </si>
  <si>
    <t>kind:TEXTBEFORE#3</t>
  </si>
  <si>
    <t>kind:TEXTBEFORE#4</t>
  </si>
  <si>
    <t>kind:UNIQUE#1</t>
  </si>
  <si>
    <t>kind:UNIQUE#2</t>
  </si>
  <si>
    <t>kind:UNIQUE#3</t>
  </si>
  <si>
    <t>kind:TAKE#1</t>
  </si>
  <si>
    <t>kind:TAKE#2</t>
  </si>
  <si>
    <t>kind:TAKE#3</t>
  </si>
  <si>
    <t>kind:EXPAND#1</t>
  </si>
  <si>
    <t>kind:EXPAND#2</t>
  </si>
  <si>
    <t>kind:EXPAND#3</t>
  </si>
  <si>
    <t>kind:WRAPROWS#1</t>
  </si>
  <si>
    <t>kind:WRAPROWS#2</t>
  </si>
  <si>
    <t>kind:FILTER#1</t>
  </si>
  <si>
    <t>kind:FILTER#2</t>
  </si>
  <si>
    <t>kind:FILTER#3</t>
  </si>
  <si>
    <t>kind:HSTACK#1</t>
  </si>
  <si>
    <t>kind:HSTACK#2</t>
  </si>
  <si>
    <t>kind:HSTACK#3</t>
  </si>
  <si>
    <t>kind:HSTACK#4</t>
  </si>
  <si>
    <t>kind:HSTACK#5</t>
  </si>
  <si>
    <t>kind:CHOOSECOLS#1</t>
  </si>
  <si>
    <t>kind:WORKDAY.INTL#1</t>
  </si>
  <si>
    <t>kind:WORKDAY.INTL#2</t>
  </si>
  <si>
    <t>kind:WORKDAY.INTL#3</t>
  </si>
  <si>
    <t>kind:NETWORKDAYS#1</t>
  </si>
  <si>
    <t>kind:NETWORKDAYS#2</t>
  </si>
  <si>
    <t>kind:RANDARRAY#1</t>
  </si>
  <si>
    <t>kind:RANDARRAY#2</t>
  </si>
  <si>
    <t>kind:RANDARRAY#3</t>
  </si>
  <si>
    <t>kind:ROUND#4</t>
  </si>
  <si>
    <t>kind:ROUND#5</t>
  </si>
  <si>
    <t>kind:LEFT#4</t>
  </si>
  <si>
    <t>kind:LET#1</t>
  </si>
  <si>
    <t>kind:LET#2</t>
  </si>
  <si>
    <t>all:ACCRINT#1</t>
  </si>
  <si>
    <t>all:ACCRINT#2</t>
  </si>
  <si>
    <t>all:ACCRINT#3</t>
  </si>
  <si>
    <t>all:ACCRINT#4</t>
  </si>
  <si>
    <t>all:ACCRINT#5</t>
  </si>
  <si>
    <t>all:ACCRINT#6</t>
  </si>
  <si>
    <t>all:ACCRINT#7</t>
  </si>
  <si>
    <t>all:ACCRINT#8</t>
  </si>
  <si>
    <t>all:ACCRINT#9</t>
  </si>
  <si>
    <t>all:ACCRINT#10</t>
  </si>
  <si>
    <t>all:ACCRINT#11</t>
  </si>
  <si>
    <t>all:ACCRINT#12</t>
  </si>
  <si>
    <t>all:ACCRINT#13</t>
  </si>
  <si>
    <t>all:ACCRINT#14</t>
  </si>
  <si>
    <t>all:ACCRINT#15</t>
  </si>
  <si>
    <t>all:ACCRINT#16</t>
  </si>
  <si>
    <t>all:ACCRINT#17</t>
  </si>
  <si>
    <t>all:ACCRINT#18</t>
  </si>
  <si>
    <t>all:ACCRINT#19</t>
  </si>
  <si>
    <t>all:ACCRINT#20</t>
  </si>
  <si>
    <t>all:ACCRINT#21</t>
  </si>
  <si>
    <t>all:ACCRINT#22</t>
  </si>
  <si>
    <t>all:ACCRINT#23</t>
  </si>
  <si>
    <t>all:ACCRINT#24</t>
  </si>
  <si>
    <t>all:ACCRINT#25</t>
  </si>
  <si>
    <t>all:ACCRINT#26</t>
  </si>
  <si>
    <t>all:ACCRINT#27</t>
  </si>
  <si>
    <t>all:ACCRINT#28</t>
  </si>
  <si>
    <t>all:ACCRINT#29</t>
  </si>
  <si>
    <t>all:ACCRINT#30</t>
  </si>
  <si>
    <t>all:ACCRINT#31</t>
  </si>
  <si>
    <t>all:ACCRINT#32</t>
  </si>
  <si>
    <t>all:ACCRINT#33</t>
  </si>
  <si>
    <t>all:ACCRINTM#1</t>
  </si>
  <si>
    <t>all:ACCRINTM#2</t>
  </si>
  <si>
    <t>all:ACCRINTM#3</t>
  </si>
  <si>
    <t>all:ACCRINTM#4</t>
  </si>
  <si>
    <t>all:ACCRINTM#5</t>
  </si>
  <si>
    <t>all:ACCRINTM#6</t>
  </si>
  <si>
    <t>all:ACCRINTM#7</t>
  </si>
  <si>
    <t>all:ACCRINTM#8</t>
  </si>
  <si>
    <t>all:ACCRINTM#9</t>
  </si>
  <si>
    <t>all:ACCRINTM#10</t>
  </si>
  <si>
    <t>all:ACCRINTM#11</t>
  </si>
  <si>
    <t>all:ACCRINTM#12</t>
  </si>
  <si>
    <t>all:ACCRINTM#13</t>
  </si>
  <si>
    <t>all:ACCRINTM#14</t>
  </si>
  <si>
    <t>all:ACCRINTM#15</t>
  </si>
  <si>
    <t>all:ACCRINTM#16</t>
  </si>
  <si>
    <t>all:ACCRINTM#17</t>
  </si>
  <si>
    <t>all:ACCRINTM#18</t>
  </si>
  <si>
    <t>all:ACCRINTM#19</t>
  </si>
  <si>
    <t>all:ACCRINTM#20</t>
  </si>
  <si>
    <t>all:ADDRESS#1</t>
  </si>
  <si>
    <t>all:ADDRESS#2</t>
  </si>
  <si>
    <t>all:ADDRESS#3</t>
  </si>
  <si>
    <t>all:ADDRESS#4</t>
  </si>
  <si>
    <t>all:ADDRESS#5</t>
  </si>
  <si>
    <t>all:ADDRESS#6</t>
  </si>
  <si>
    <t>all:ADDRESS#7</t>
  </si>
  <si>
    <t>all:ADDRESS#8</t>
  </si>
  <si>
    <t>all:ADDRESS#9</t>
  </si>
  <si>
    <t>all:ADDRESS#10</t>
  </si>
  <si>
    <t>all:ADDRESS#11</t>
  </si>
  <si>
    <t>all:ADDRESS#12</t>
  </si>
  <si>
    <t>all:ADDRESS#13</t>
  </si>
  <si>
    <t>all:AGGREGATE#1</t>
  </si>
  <si>
    <t>all:AGGREGATE#2</t>
  </si>
  <si>
    <t>all:AGGREGATE#3</t>
  </si>
  <si>
    <t>all:AGGREGATE#4</t>
  </si>
  <si>
    <t>all:AGGREGATE#5</t>
  </si>
  <si>
    <t>all:AGGREGATE#6</t>
  </si>
  <si>
    <t>all:AGGREGATE#7</t>
  </si>
  <si>
    <t>all:AGGREGATE#8</t>
  </si>
  <si>
    <t>all:AMORDEGRC#1</t>
  </si>
  <si>
    <t>all:AMORDEGRC#2</t>
  </si>
  <si>
    <t>all:AMORDEGRC#3</t>
  </si>
  <si>
    <t>all:AMORDEGRC#4</t>
  </si>
  <si>
    <t>all:AMORDEGRC#5</t>
  </si>
  <si>
    <t>all:AMORDEGRC#6</t>
  </si>
  <si>
    <t>all:AMORDEGRC#7</t>
  </si>
  <si>
    <t>all:AMORDEGRC#8</t>
  </si>
  <si>
    <t>all:AMORDEGRC#9</t>
  </si>
  <si>
    <t>all:AMORDEGRC#10</t>
  </si>
  <si>
    <t>all:AMORDEGRC#11</t>
  </si>
  <si>
    <t>all:AMORDEGRC#12</t>
  </si>
  <si>
    <t>all:AMORDEGRC#13</t>
  </si>
  <si>
    <t>all:AMORDEGRC#14</t>
  </si>
  <si>
    <t>all:AMORDEGRC#15</t>
  </si>
  <si>
    <t>all:AMORDEGRC#16</t>
  </si>
  <si>
    <t>all:AMORDEGRC#17</t>
  </si>
  <si>
    <t>all:AMORDEGRC#18</t>
  </si>
  <si>
    <t>all:AMORDEGRC#19</t>
  </si>
  <si>
    <t>all:AMORDEGRC#20</t>
  </si>
  <si>
    <t>all:AMORDEGRC#21</t>
  </si>
  <si>
    <t>all:AMORDEGRC#22</t>
  </si>
  <si>
    <t>all:AMORDEGRC#23</t>
  </si>
  <si>
    <t>all:AMORDEGRC#24</t>
  </si>
  <si>
    <t>all:AMORDEGRC#25</t>
  </si>
  <si>
    <t>all:AMORDEGRC#26</t>
  </si>
  <si>
    <t>all:AMORDEGRC#27</t>
  </si>
  <si>
    <t>all:AMORDEGRC#28</t>
  </si>
  <si>
    <t>all:AMORLINC#1</t>
  </si>
  <si>
    <t>all:AMORLINC#2</t>
  </si>
  <si>
    <t>all:AMORLINC#3</t>
  </si>
  <si>
    <t>all:AMORLINC#4</t>
  </si>
  <si>
    <t>all:AMORLINC#5</t>
  </si>
  <si>
    <t>all:AMORLINC#6</t>
  </si>
  <si>
    <t>all:AMORLINC#7</t>
  </si>
  <si>
    <t>all:AMORLINC#8</t>
  </si>
  <si>
    <t>all:AMORLINC#9</t>
  </si>
  <si>
    <t>all:AMORLINC#10</t>
  </si>
  <si>
    <t>all:AMORLINC#11</t>
  </si>
  <si>
    <t>all:AMORLINC#12</t>
  </si>
  <si>
    <t>all:AMORLINC#13</t>
  </si>
  <si>
    <t>all:AMORLINC#14</t>
  </si>
  <si>
    <t>all:AMORLINC#15</t>
  </si>
  <si>
    <t>all:AMORLINC#16</t>
  </si>
  <si>
    <t>all:AMORLINC#17</t>
  </si>
  <si>
    <t>all:AMORLINC#18</t>
  </si>
  <si>
    <t>all:AMORLINC#19</t>
  </si>
  <si>
    <t>all:AMORLINC#20</t>
  </si>
  <si>
    <t>all:AMORLINC#21</t>
  </si>
  <si>
    <t>all:AMORLINC#22</t>
  </si>
  <si>
    <t>all:AMORLINC#23</t>
  </si>
  <si>
    <t>all:AMORLINC#24</t>
  </si>
  <si>
    <t>all:AMORLINC#25</t>
  </si>
  <si>
    <t>all:AMORLINC#26</t>
  </si>
  <si>
    <t>all:AMORLINC#27</t>
  </si>
  <si>
    <t>all:AMORLINC#28</t>
  </si>
  <si>
    <t>all:AND#1</t>
  </si>
  <si>
    <t>all:AND#2</t>
  </si>
  <si>
    <t>all:AND#3</t>
  </si>
  <si>
    <t>all:AND#4</t>
  </si>
  <si>
    <t>all:AND#5</t>
  </si>
  <si>
    <t>all:AND#6</t>
  </si>
  <si>
    <t>all:AND#7</t>
  </si>
  <si>
    <t>all:AND#8</t>
  </si>
  <si>
    <t>all:AND#9</t>
  </si>
  <si>
    <t>all:AND#10</t>
  </si>
  <si>
    <t>all:AND#11</t>
  </si>
  <si>
    <t>all:AND#12</t>
  </si>
  <si>
    <t>all:AND#13</t>
  </si>
  <si>
    <t>all:ARRAYTOTEXT#1</t>
  </si>
  <si>
    <t>all:ARRAYTOTEXT#2</t>
  </si>
  <si>
    <t>all:ARRAYTOTEXT#3</t>
  </si>
  <si>
    <t>all:ARRAYTOTEXT#4</t>
  </si>
  <si>
    <t>all:ARRAYTOTEXT#5</t>
  </si>
  <si>
    <t>all:ARRAYTOTEXT#6</t>
  </si>
  <si>
    <t>all:ARRAYTOTEXT#7</t>
  </si>
  <si>
    <t>all:ARRAYTOTEXT#8</t>
  </si>
  <si>
    <t>all:ATAN2#1</t>
  </si>
  <si>
    <t>all:ATAN2#2</t>
  </si>
  <si>
    <t>all:ATAN2#3</t>
  </si>
  <si>
    <t>all:ATAN2#4</t>
  </si>
  <si>
    <t>all:ATAN2#5</t>
  </si>
  <si>
    <t>all:ATAN2#6</t>
  </si>
  <si>
    <t>all:ATAN2#7</t>
  </si>
  <si>
    <t>all:ATAN2#8</t>
  </si>
  <si>
    <t>all:AVEDEV#1</t>
  </si>
  <si>
    <t>all:AVEDEV#2</t>
  </si>
  <si>
    <t>all:AVEDEV#3</t>
  </si>
  <si>
    <t>all:AVEDEV#4</t>
  </si>
  <si>
    <t>all:AVEDEV#5</t>
  </si>
  <si>
    <t>all:AVERAGE#1</t>
  </si>
  <si>
    <t>all:AVERAGE#2</t>
  </si>
  <si>
    <t>all:AVERAGE#3</t>
  </si>
  <si>
    <t>all:AVERAGE#4</t>
  </si>
  <si>
    <t>all:AVERAGE#5</t>
  </si>
  <si>
    <t>all:AVERAGEA#1</t>
  </si>
  <si>
    <t>all:AVERAGEA#2</t>
  </si>
  <si>
    <t>all:AVERAGEA#3</t>
  </si>
  <si>
    <t>all:AVERAGEA#4</t>
  </si>
  <si>
    <t>all:AVERAGEA#5</t>
  </si>
  <si>
    <t>all:AVERAGEIF#1</t>
  </si>
  <si>
    <t>all:AVERAGEIF#2</t>
  </si>
  <si>
    <t>all:AVERAGEIF#3</t>
  </si>
  <si>
    <t>all:AVERAGEIF#4</t>
  </si>
  <si>
    <t>all:AVERAGEIFS#1</t>
  </si>
  <si>
    <t>all:AVERAGEIFS#2</t>
  </si>
  <si>
    <t>all:AVERAGEIFS#3</t>
  </si>
  <si>
    <t>all:AVERAGEIFS#4</t>
  </si>
  <si>
    <t>all:BASE#1</t>
  </si>
  <si>
    <t>all:BASE#2</t>
  </si>
  <si>
    <t>all:BASE#3</t>
  </si>
  <si>
    <t>all:BASE#4</t>
  </si>
  <si>
    <t>all:BASE#5</t>
  </si>
  <si>
    <t>all:BASE#6</t>
  </si>
  <si>
    <t>all:BASE#7</t>
  </si>
  <si>
    <t>all:BASE#8</t>
  </si>
  <si>
    <t>all:BASE#9</t>
  </si>
  <si>
    <t>all:BASE#10</t>
  </si>
  <si>
    <t>all:BASE#11</t>
  </si>
  <si>
    <t>all:BASE#12</t>
  </si>
  <si>
    <t>all:BASE#13</t>
  </si>
  <si>
    <t>all:BESSELI#1</t>
  </si>
  <si>
    <t>all:BESSELI#2</t>
  </si>
  <si>
    <t>all:BESSELI#3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</si>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</sst>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1</v>
    <v>8</v>
    <v>0</v>
    <v>1</v>
  </rv>
  <rv s="0">
    <v>0</v>
    <v>8</v>
    <v>7</v>
    <v>1</v>
  </rv>
  <rv s="0">
    <v>0</v>
    <v>8</v>
    <v>1</v>
    <v>1</v>
  </rv>
  <rv s="0">
    <v>0</v>
    <v>8</v>
    <v>2</v>
    <v>1</v>
  </rv>
  <rv s="0">
    <v>2</v>
    <v>8</v>
    <v>0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IF(TRUE,)</f>
        <v>0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IF(FALSE,1,)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b" cm="1">
        <f t="array" ref="A3">IF(FALSE,1)</f>
        <v>0</v>
      </c>
      <c r="B3">
        <f t="shared" si="0"/>
        <v>-2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IF(,1,2)</f>
        <v>2</v>
      </c>
      <c r="B4">
        <f t="shared" si="0"/>
        <v>0</v>
      </c>
      <c r="C4">
        <f t="shared" si="1"/>
        <v>2</v>
      </c>
      <c r="D4" t="str">
        <f t="shared" si="2"/>
        <v/>
      </c>
      <c r="E4" t="s">
        <v>38</v>
      </c>
    </row>
    <row r="5" spans="1:5" x14ac:dyDescent="0.2">
      <c r="A5" cm="1">
        <f t="array" ref="A5">IF(TRUE,,1)</f>
        <v>0</v>
      </c>
      <c r="B5">
        <f t="shared" si="0"/>
        <v>0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cm="1">
        <f t="array" ref="A6">TYPE(IF(TRUE,))</f>
        <v>1</v>
      </c>
      <c r="B6">
        <f t="shared" si="0"/>
        <v>0</v>
      </c>
      <c r="C6">
        <f t="shared" si="1"/>
        <v>1</v>
      </c>
      <c r="D6" t="str">
        <f t="shared" si="2"/>
        <v/>
      </c>
      <c r="E6" t="s">
        <v>40</v>
      </c>
    </row>
    <row r="7" spans="1:5" x14ac:dyDescent="0.2">
      <c r="A7" t="b" cm="1">
        <f t="array" ref="A7">ISBLANK(IF(TRUE,))</f>
        <v>1</v>
      </c>
      <c r="B7">
        <f t="shared" si="0"/>
        <v>-1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str" cm="1">
        <f t="array" ref="A8">IF(TRUE,)&amp;"x"</f>
        <v>x</v>
      </c>
      <c r="B8">
        <f t="shared" si="0"/>
        <v>-3</v>
      </c>
      <c r="C8">
        <f t="shared" si="1"/>
        <v>0</v>
      </c>
      <c r="D8" t="str">
        <f t="shared" si="2"/>
        <v>x</v>
      </c>
      <c r="E8" t="s">
        <v>42</v>
      </c>
    </row>
    <row r="9" spans="1:5" x14ac:dyDescent="0.2">
      <c r="A9" t="b" cm="1">
        <f t="array" ref="A9">ISLOGICAL(IF(TRUE,))</f>
        <v>0</v>
      </c>
      <c r="B9">
        <f t="shared" si="0"/>
        <v>-2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SUM(IF({TRUE,FALSE},,1))</f>
        <v>1</v>
      </c>
      <c r="B10">
        <f t="shared" si="0"/>
        <v>0</v>
      </c>
      <c r="C10">
        <f t="shared" si="1"/>
        <v>1</v>
      </c>
      <c r="D10" t="str">
        <f t="shared" si="2"/>
        <v/>
      </c>
      <c r="E10" t="s">
        <v>44</v>
      </c>
    </row>
    <row r="11" spans="1:5" x14ac:dyDescent="0.2">
      <c r="A11" t="e" cm="1" vm="1">
        <f t="array" aca="1" ref="A11" ca="1">IF({TRUE,FALSE},,1)</f>
        <v>#VALUE!</v>
      </c>
      <c r="B11">
        <f t="shared" ca="1" si="0"/>
        <v>9</v>
      </c>
      <c r="C11">
        <f t="shared" ca="1" si="1"/>
        <v>0</v>
      </c>
      <c r="D11" t="str">
        <f t="shared" ca="1" si="2"/>
        <v/>
      </c>
      <c r="E11" t="s">
        <v>45</v>
      </c>
    </row>
    <row r="12" spans="1:5" x14ac:dyDescent="0.2">
      <c r="A12" cm="1">
        <f t="array" ref="A12">IFERROR(1/0,)</f>
        <v>0</v>
      </c>
      <c r="B12">
        <f t="shared" si="0"/>
        <v>0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IFERROR(,1)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TYPE(IFERROR(1/0,))</f>
        <v>1</v>
      </c>
      <c r="B14">
        <f t="shared" si="0"/>
        <v>0</v>
      </c>
      <c r="C14">
        <f t="shared" si="1"/>
        <v>1</v>
      </c>
      <c r="D14" t="str">
        <f t="shared" si="2"/>
        <v/>
      </c>
      <c r="E14" t="s">
        <v>48</v>
      </c>
    </row>
    <row r="15" spans="1:5" x14ac:dyDescent="0.2">
      <c r="A15" cm="1">
        <f t="array" ref="A15">_xlfn.IFNA(NA(),)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_xlfn.IFNA(,1)</f>
        <v>0</v>
      </c>
      <c r="B16">
        <f t="shared" si="0"/>
        <v>0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CHOOSE(2,1,)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CHOOSE(,1,2)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str" cm="1">
        <f t="array" ref="A19">CHOOSE(1,,2)&amp;"x"</f>
        <v>x</v>
      </c>
      <c r="B19">
        <f t="shared" si="0"/>
        <v>-3</v>
      </c>
      <c r="C19">
        <f t="shared" si="1"/>
        <v>0</v>
      </c>
      <c r="D19" t="str">
        <f t="shared" si="2"/>
        <v>x</v>
      </c>
      <c r="E19" t="s">
        <v>53</v>
      </c>
    </row>
    <row r="20" spans="1:5" x14ac:dyDescent="0.2">
      <c r="A20" cm="1">
        <f t="array" ref="A20">_xlfn.SWITCH(1,1,)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_xlfn.SWITCH(9,1,2,)</f>
        <v>0</v>
      </c>
      <c r="B21">
        <f t="shared" si="0"/>
        <v>0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str" cm="1">
        <f t="array" ref="A22">_xlfn.SWITCH(,0,"zero","other")</f>
        <v>zero</v>
      </c>
      <c r="B22">
        <f t="shared" si="0"/>
        <v>-3</v>
      </c>
      <c r="C22">
        <f t="shared" si="1"/>
        <v>0</v>
      </c>
      <c r="D22" t="str">
        <f t="shared" si="2"/>
        <v>zero</v>
      </c>
      <c r="E22" t="s">
        <v>56</v>
      </c>
    </row>
    <row r="23" spans="1:5" x14ac:dyDescent="0.2">
      <c r="A23" t="str" cm="1">
        <f t="array" ref="A23">_xlfn.SWITCH(,"","empty","other")</f>
        <v>other</v>
      </c>
      <c r="B23">
        <f t="shared" si="0"/>
        <v>-3</v>
      </c>
      <c r="C23">
        <f t="shared" si="1"/>
        <v>0</v>
      </c>
      <c r="D23" t="str">
        <f t="shared" si="2"/>
        <v>other</v>
      </c>
      <c r="E23" t="s">
        <v>57</v>
      </c>
    </row>
    <row r="24" spans="1:5" x14ac:dyDescent="0.2">
      <c r="A24" cm="1">
        <f t="array" ref="A24">_xlfn.IFS(TRUE,)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_xlfn.IFS(,1,TRUE,2)</f>
        <v>2</v>
      </c>
      <c r="B25">
        <f t="shared" si="0"/>
        <v>0</v>
      </c>
      <c r="C25">
        <f t="shared" si="1"/>
        <v>2</v>
      </c>
      <c r="D25" t="str">
        <f t="shared" si="2"/>
        <v/>
      </c>
      <c r="E25" t="s">
        <v>59</v>
      </c>
    </row>
    <row r="26" spans="1:5" x14ac:dyDescent="0.2">
      <c r="A26" cm="1">
        <f t="array" ref="A26">ROUND(1.5,)</f>
        <v>2</v>
      </c>
      <c r="B26">
        <f t="shared" si="0"/>
        <v>0</v>
      </c>
      <c r="C26">
        <f t="shared" si="1"/>
        <v>2</v>
      </c>
      <c r="D26" t="str">
        <f t="shared" si="2"/>
        <v/>
      </c>
      <c r="E26" t="s">
        <v>60</v>
      </c>
    </row>
    <row r="27" spans="1:5" x14ac:dyDescent="0.2">
      <c r="A27" cm="1">
        <f t="array" ref="A27">ROUND(,1)</f>
        <v>0</v>
      </c>
      <c r="B27">
        <f t="shared" si="0"/>
        <v>0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ROUND(2.567,)</f>
        <v>3</v>
      </c>
      <c r="B28">
        <f t="shared" si="0"/>
        <v>0</v>
      </c>
      <c r="C28">
        <f t="shared" si="1"/>
        <v>3</v>
      </c>
      <c r="D28" t="str">
        <f t="shared" si="2"/>
        <v/>
      </c>
      <c r="E28" t="s">
        <v>62</v>
      </c>
    </row>
    <row r="29" spans="1:5" x14ac:dyDescent="0.2">
      <c r="A29" t="e" cm="1">
        <f t="array" ref="A29">LOG(8,)</f>
        <v>#NUM!</v>
      </c>
      <c r="B29">
        <f t="shared" si="0"/>
        <v>6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cm="1">
        <f t="array" ref="A30">LOG(8)</f>
        <v>0.90308998699194354</v>
      </c>
      <c r="B30">
        <f t="shared" si="0"/>
        <v>0</v>
      </c>
      <c r="C30">
        <f t="shared" si="1"/>
        <v>0.90308998699194354</v>
      </c>
      <c r="D30" t="str">
        <f t="shared" si="2"/>
        <v/>
      </c>
      <c r="E30" t="s">
        <v>64</v>
      </c>
    </row>
    <row r="31" spans="1:5" x14ac:dyDescent="0.2">
      <c r="A31" t="e" cm="1">
        <f t="array" ref="A31">LOG(,2)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cm="1">
        <f t="array" ref="A32">POWER(,2)</f>
        <v>0</v>
      </c>
      <c r="B32">
        <f t="shared" si="0"/>
        <v>0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cm="1">
        <f t="array" ref="A33">POWER(2,)</f>
        <v>1</v>
      </c>
      <c r="B33">
        <f t="shared" si="0"/>
        <v>0</v>
      </c>
      <c r="C33">
        <f t="shared" si="1"/>
        <v>1</v>
      </c>
      <c r="D33" t="str">
        <f t="shared" si="2"/>
        <v/>
      </c>
      <c r="E33" t="s">
        <v>67</v>
      </c>
    </row>
    <row r="34" spans="1:5" x14ac:dyDescent="0.2">
      <c r="A34" cm="1">
        <f t="array" ref="A34">DATE(2020,,1)</f>
        <v>43800</v>
      </c>
      <c r="B34">
        <f t="shared" si="0"/>
        <v>0</v>
      </c>
      <c r="C34">
        <f t="shared" si="1"/>
        <v>43800</v>
      </c>
      <c r="D34" t="str">
        <f t="shared" si="2"/>
        <v/>
      </c>
      <c r="E34" t="s">
        <v>68</v>
      </c>
    </row>
    <row r="35" spans="1:5" x14ac:dyDescent="0.2">
      <c r="A35" cm="1">
        <f t="array" ref="A35">DATE(,1,1)</f>
        <v>1</v>
      </c>
      <c r="B35">
        <f t="shared" si="0"/>
        <v>0</v>
      </c>
      <c r="C35">
        <f t="shared" si="1"/>
        <v>1</v>
      </c>
      <c r="D35" t="str">
        <f t="shared" si="2"/>
        <v/>
      </c>
      <c r="E35" t="s">
        <v>69</v>
      </c>
    </row>
    <row r="36" spans="1:5" x14ac:dyDescent="0.2">
      <c r="A36" cm="1">
        <f t="array" ref="A36">DATE(2020,1,)</f>
        <v>43830</v>
      </c>
      <c r="B36">
        <f t="shared" si="0"/>
        <v>0</v>
      </c>
      <c r="C36">
        <f t="shared" si="1"/>
        <v>43830</v>
      </c>
      <c r="D36" t="str">
        <f t="shared" si="2"/>
        <v/>
      </c>
      <c r="E36" t="s">
        <v>70</v>
      </c>
    </row>
    <row r="37" spans="1:5" x14ac:dyDescent="0.2">
      <c r="A37" t="str" cm="1">
        <f t="array" ref="A37">LEFT("abc",)</f>
        <v/>
      </c>
      <c r="B37">
        <f t="shared" si="0"/>
        <v>-3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str" cm="1">
        <f t="array" ref="A38">LEFT("abc")</f>
        <v>a</v>
      </c>
      <c r="B38">
        <f t="shared" si="0"/>
        <v>-3</v>
      </c>
      <c r="C38">
        <f t="shared" si="1"/>
        <v>0</v>
      </c>
      <c r="D38" t="str">
        <f t="shared" si="2"/>
        <v>a</v>
      </c>
      <c r="E38" t="s">
        <v>72</v>
      </c>
    </row>
    <row r="39" spans="1:5" x14ac:dyDescent="0.2">
      <c r="A39" t="str" cm="1">
        <f t="array" ref="A39">LEFT(,1)</f>
        <v/>
      </c>
      <c r="B39">
        <f t="shared" si="0"/>
        <v>-3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str" cm="1">
        <f t="array" ref="A40">RIGHT("abc",)</f>
        <v/>
      </c>
      <c r="B40">
        <f t="shared" si="0"/>
        <v>-3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str" cm="1">
        <f t="array" ref="A41">RIGHT("abc")</f>
        <v>c</v>
      </c>
      <c r="B41">
        <f t="shared" si="0"/>
        <v>-3</v>
      </c>
      <c r="C41">
        <f t="shared" si="1"/>
        <v>0</v>
      </c>
      <c r="D41" t="str">
        <f t="shared" si="2"/>
        <v>c</v>
      </c>
      <c r="E41" t="s">
        <v>75</v>
      </c>
    </row>
    <row r="42" spans="1:5" x14ac:dyDescent="0.2">
      <c r="A42" t="e" cm="1">
        <f t="array" ref="A42">MID("abc",,1)</f>
        <v>#VALUE!</v>
      </c>
      <c r="B42">
        <f t="shared" si="0"/>
        <v>3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str" cm="1">
        <f t="array" ref="A43">MID("abc",2,)</f>
        <v/>
      </c>
      <c r="B43">
        <f t="shared" si="0"/>
        <v>-3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FIND("b","abc",)</f>
        <v>#VALUE!</v>
      </c>
      <c r="B44">
        <f t="shared" si="0"/>
        <v>3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cm="1">
        <f t="array" ref="A45">FIND("b","abc")</f>
        <v>2</v>
      </c>
      <c r="B45">
        <f t="shared" si="0"/>
        <v>0</v>
      </c>
      <c r="C45">
        <f t="shared" si="1"/>
        <v>2</v>
      </c>
      <c r="D45" t="str">
        <f t="shared" si="2"/>
        <v/>
      </c>
      <c r="E45" t="s">
        <v>79</v>
      </c>
    </row>
    <row r="46" spans="1:5" x14ac:dyDescent="0.2">
      <c r="A46" cm="1">
        <f t="array" ref="A46">FIND(,"abc")</f>
        <v>1</v>
      </c>
      <c r="B46">
        <f t="shared" si="0"/>
        <v>0</v>
      </c>
      <c r="C46">
        <f t="shared" si="1"/>
        <v>1</v>
      </c>
      <c r="D46" t="str">
        <f t="shared" si="2"/>
        <v/>
      </c>
      <c r="E46" t="s">
        <v>80</v>
      </c>
    </row>
    <row r="47" spans="1:5" x14ac:dyDescent="0.2">
      <c r="A47" t="e" cm="1">
        <f t="array" ref="A47">SUBSTITUTE("aaa","a","b",)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str" cm="1">
        <f t="array" ref="A48">SUBSTITUTE("aaa","a","b")</f>
        <v>bbb</v>
      </c>
      <c r="B48">
        <f t="shared" si="0"/>
        <v>-3</v>
      </c>
      <c r="C48">
        <f t="shared" si="1"/>
        <v>0</v>
      </c>
      <c r="D48" t="str">
        <f t="shared" si="2"/>
        <v>bbb</v>
      </c>
      <c r="E48" t="s">
        <v>82</v>
      </c>
    </row>
    <row r="49" spans="1:5" x14ac:dyDescent="0.2">
      <c r="A49" t="str" cm="1">
        <f t="array" ref="A49">SUBSTITUTE("abc","b",)</f>
        <v>ac</v>
      </c>
      <c r="B49">
        <f t="shared" si="0"/>
        <v>-3</v>
      </c>
      <c r="C49">
        <f t="shared" si="1"/>
        <v>0</v>
      </c>
      <c r="D49" t="str">
        <f t="shared" si="2"/>
        <v>ac</v>
      </c>
      <c r="E49" t="s">
        <v>83</v>
      </c>
    </row>
    <row r="50" spans="1:5" x14ac:dyDescent="0.2">
      <c r="A50" t="str" cm="1">
        <f t="array" ref="A50">SUBSTITUTE("abc",,"x")</f>
        <v>abc</v>
      </c>
      <c r="B50">
        <f t="shared" si="0"/>
        <v>-3</v>
      </c>
      <c r="C50">
        <f t="shared" si="1"/>
        <v>0</v>
      </c>
      <c r="D50" t="str">
        <f t="shared" si="2"/>
        <v>abc</v>
      </c>
      <c r="E50" t="s">
        <v>84</v>
      </c>
    </row>
    <row r="51" spans="1:5" x14ac:dyDescent="0.2">
      <c r="A51" t="str" cm="1">
        <f t="array" ref="A51">REPT("ab",)</f>
        <v/>
      </c>
      <c r="B51">
        <f t="shared" si="0"/>
        <v>-3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str" cm="1">
        <f t="array" ref="A52">REPT(,2)</f>
        <v/>
      </c>
      <c r="B52">
        <f t="shared" si="0"/>
        <v>-3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cm="1">
        <f t="array" ref="A53">SUM(INDEX(D!B1:C8,,2))</f>
        <v>108</v>
      </c>
      <c r="B53">
        <f t="shared" si="0"/>
        <v>0</v>
      </c>
      <c r="C53">
        <f t="shared" si="1"/>
        <v>108</v>
      </c>
      <c r="D53" t="str">
        <f t="shared" si="2"/>
        <v/>
      </c>
      <c r="E53" t="s">
        <v>87</v>
      </c>
    </row>
    <row r="54" spans="1:5" x14ac:dyDescent="0.2">
      <c r="A54" cm="1">
        <f t="array" ref="A54">SUM(INDEX(D!B1:C8,2,))</f>
        <v>15</v>
      </c>
      <c r="B54">
        <f t="shared" si="0"/>
        <v>0</v>
      </c>
      <c r="C54">
        <f t="shared" si="1"/>
        <v>15</v>
      </c>
      <c r="D54" t="str">
        <f t="shared" si="2"/>
        <v/>
      </c>
      <c r="E54" t="s">
        <v>88</v>
      </c>
    </row>
    <row r="55" spans="1:5" x14ac:dyDescent="0.2">
      <c r="A55" cm="1">
        <f t="array" ref="A55">INDEX(D!B1:B8,3,)</f>
        <v>15</v>
      </c>
      <c r="B55">
        <f t="shared" si="0"/>
        <v>0</v>
      </c>
      <c r="C55">
        <f t="shared" si="1"/>
        <v>15</v>
      </c>
      <c r="D55" t="str">
        <f t="shared" si="2"/>
        <v/>
      </c>
      <c r="E55" t="s">
        <v>89</v>
      </c>
    </row>
    <row r="56" spans="1:5" x14ac:dyDescent="0.2">
      <c r="A56" t="e" cm="1" vm="2">
        <f t="array" aca="1" ref="A56" ca="1">INDEX(D!B1:C8,,2)</f>
        <v>#VALUE!</v>
      </c>
      <c r="B56">
        <f t="shared" ca="1" si="0"/>
        <v>9</v>
      </c>
      <c r="C56">
        <f t="shared" ca="1" si="1"/>
        <v>0</v>
      </c>
      <c r="D56" t="str">
        <f t="shared" ca="1" si="2"/>
        <v/>
      </c>
      <c r="E56" t="s">
        <v>90</v>
      </c>
    </row>
    <row r="57" spans="1:5" x14ac:dyDescent="0.2">
      <c r="A57" t="e" cm="1" vm="3">
        <f t="array" aca="1" ref="A57" ca="1">INDEX({1,2;3,4},,2)</f>
        <v>#VALUE!</v>
      </c>
      <c r="B57">
        <f t="shared" ca="1" si="0"/>
        <v>9</v>
      </c>
      <c r="C57">
        <f t="shared" ca="1" si="1"/>
        <v>0</v>
      </c>
      <c r="D57" t="str">
        <f t="shared" ca="1" si="2"/>
        <v/>
      </c>
      <c r="E57" t="s">
        <v>91</v>
      </c>
    </row>
    <row r="58" spans="1:5" x14ac:dyDescent="0.2">
      <c r="A58" t="str" cm="1">
        <f t="array" ref="A58">FIXED(1234.567,)</f>
        <v>1,234.57</v>
      </c>
      <c r="B58">
        <f t="shared" si="0"/>
        <v>-3</v>
      </c>
      <c r="C58">
        <f t="shared" si="1"/>
        <v>0</v>
      </c>
      <c r="D58" t="str">
        <f t="shared" si="2"/>
        <v>1,234.57</v>
      </c>
      <c r="E58" t="s">
        <v>92</v>
      </c>
    </row>
    <row r="59" spans="1:5" x14ac:dyDescent="0.2">
      <c r="A59" t="str" cm="1">
        <f t="array" ref="A59">FIXED(1234.567)</f>
        <v>1,234.57</v>
      </c>
      <c r="B59">
        <f t="shared" si="0"/>
        <v>-3</v>
      </c>
      <c r="C59">
        <f t="shared" si="1"/>
        <v>0</v>
      </c>
      <c r="D59" t="str">
        <f t="shared" si="2"/>
        <v>1,234.57</v>
      </c>
      <c r="E59" t="s">
        <v>93</v>
      </c>
    </row>
    <row r="60" spans="1:5" x14ac:dyDescent="0.2">
      <c r="A60" t="str" cm="1">
        <f t="array" ref="A60">FIXED(1234.567,1,)</f>
        <v>1,234.6</v>
      </c>
      <c r="B60">
        <f t="shared" si="0"/>
        <v>-3</v>
      </c>
      <c r="C60">
        <f t="shared" si="1"/>
        <v>0</v>
      </c>
      <c r="D60" t="str">
        <f t="shared" si="2"/>
        <v>1,234.6</v>
      </c>
      <c r="E60" t="s">
        <v>94</v>
      </c>
    </row>
    <row r="61" spans="1:5" x14ac:dyDescent="0.2">
      <c r="A61" t="str" cm="1">
        <f t="array" ref="A61">FIXED(1234.567,1)</f>
        <v>1,234.6</v>
      </c>
      <c r="B61">
        <f t="shared" si="0"/>
        <v>-3</v>
      </c>
      <c r="C61">
        <f t="shared" si="1"/>
        <v>0</v>
      </c>
      <c r="D61" t="str">
        <f t="shared" si="2"/>
        <v>1,234.6</v>
      </c>
      <c r="E61" t="s">
        <v>95</v>
      </c>
    </row>
    <row r="62" spans="1:5" x14ac:dyDescent="0.2">
      <c r="A62" t="e" cm="1">
        <f t="array" ref="A62">ERF(1,)</f>
        <v>#N/A</v>
      </c>
      <c r="B62">
        <f t="shared" si="0"/>
        <v>7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cm="1">
        <f t="array" ref="A63">ERF(1)</f>
        <v>0.84270079294971489</v>
      </c>
      <c r="B63">
        <f t="shared" si="0"/>
        <v>0</v>
      </c>
      <c r="C63">
        <f t="shared" si="1"/>
        <v>0.84270079294971489</v>
      </c>
      <c r="D63" t="str">
        <f t="shared" si="2"/>
        <v/>
      </c>
      <c r="E63" t="s">
        <v>97</v>
      </c>
    </row>
    <row r="64" spans="1:5" x14ac:dyDescent="0.2">
      <c r="A64" t="str" cm="1">
        <f t="array" ref="A64">DEC2BIN(5,)</f>
        <v>101</v>
      </c>
      <c r="B64">
        <f t="shared" si="0"/>
        <v>-3</v>
      </c>
      <c r="C64">
        <f t="shared" si="1"/>
        <v>0</v>
      </c>
      <c r="D64" t="str">
        <f t="shared" si="2"/>
        <v>101</v>
      </c>
      <c r="E64" t="s">
        <v>98</v>
      </c>
    </row>
    <row r="65" spans="1:5" x14ac:dyDescent="0.2">
      <c r="A65" t="str" cm="1">
        <f t="array" ref="A65">DEC2BIN(5)</f>
        <v>101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101</v>
      </c>
      <c r="E65" t="s">
        <v>99</v>
      </c>
    </row>
    <row r="66" spans="1:5" x14ac:dyDescent="0.2">
      <c r="A66" cm="1">
        <f t="array" ref="A66">WEEKNUM(45688,)</f>
        <v>5</v>
      </c>
      <c r="B66">
        <f t="shared" si="3"/>
        <v>0</v>
      </c>
      <c r="C66">
        <f t="shared" si="4"/>
        <v>5</v>
      </c>
      <c r="D66" t="str">
        <f t="shared" si="5"/>
        <v/>
      </c>
      <c r="E66" t="s">
        <v>100</v>
      </c>
    </row>
    <row r="67" spans="1:5" x14ac:dyDescent="0.2">
      <c r="A67" cm="1">
        <f t="array" ref="A67">WEEKNUM(45688)</f>
        <v>5</v>
      </c>
      <c r="B67">
        <f t="shared" si="3"/>
        <v>0</v>
      </c>
      <c r="C67">
        <f t="shared" si="4"/>
        <v>5</v>
      </c>
      <c r="D67" t="str">
        <f t="shared" si="5"/>
        <v/>
      </c>
      <c r="E67" t="s">
        <v>101</v>
      </c>
    </row>
    <row r="68" spans="1:5" x14ac:dyDescent="0.2">
      <c r="A68" t="str" cm="1">
        <f t="array" ref="A68">_xlfn.BASE(10,2,)</f>
        <v>1010</v>
      </c>
      <c r="B68">
        <f t="shared" si="3"/>
        <v>-3</v>
      </c>
      <c r="C68">
        <f t="shared" si="4"/>
        <v>0</v>
      </c>
      <c r="D68" t="str">
        <f t="shared" si="5"/>
        <v>1010</v>
      </c>
      <c r="E68" t="s">
        <v>102</v>
      </c>
    </row>
    <row r="69" spans="1:5" x14ac:dyDescent="0.2">
      <c r="A69" t="str" cm="1">
        <f t="array" ref="A69">_xlfn.BASE(10,2)</f>
        <v>1010</v>
      </c>
      <c r="B69">
        <f t="shared" si="3"/>
        <v>-3</v>
      </c>
      <c r="C69">
        <f t="shared" si="4"/>
        <v>0</v>
      </c>
      <c r="D69" t="str">
        <f t="shared" si="5"/>
        <v>1010</v>
      </c>
      <c r="E69" t="s">
        <v>103</v>
      </c>
    </row>
    <row r="70" spans="1:5" x14ac:dyDescent="0.2">
      <c r="A70" cm="1">
        <f t="array" ref="A70">_xlfn.CEILING.MATH(2.5,)</f>
        <v>3</v>
      </c>
      <c r="B70">
        <f t="shared" si="3"/>
        <v>0</v>
      </c>
      <c r="C70">
        <f t="shared" si="4"/>
        <v>3</v>
      </c>
      <c r="D70" t="str">
        <f t="shared" si="5"/>
        <v/>
      </c>
      <c r="E70" t="s">
        <v>104</v>
      </c>
    </row>
    <row r="71" spans="1:5" x14ac:dyDescent="0.2">
      <c r="A71" cm="1">
        <f t="array" ref="A71">_xlfn.CEILING.MATH(2.5)</f>
        <v>3</v>
      </c>
      <c r="B71">
        <f t="shared" si="3"/>
        <v>0</v>
      </c>
      <c r="C71">
        <f t="shared" si="4"/>
        <v>3</v>
      </c>
      <c r="D71" t="str">
        <f t="shared" si="5"/>
        <v/>
      </c>
      <c r="E71" t="s">
        <v>105</v>
      </c>
    </row>
    <row r="72" spans="1:5" x14ac:dyDescent="0.2">
      <c r="A72" cm="1">
        <f t="array" ref="A72">_xlfn.CEILING.MATH(-2.5,1,)</f>
        <v>-2</v>
      </c>
      <c r="B72">
        <f t="shared" si="3"/>
        <v>0</v>
      </c>
      <c r="C72">
        <f t="shared" si="4"/>
        <v>-2</v>
      </c>
      <c r="D72" t="str">
        <f t="shared" si="5"/>
        <v/>
      </c>
      <c r="E72" t="s">
        <v>106</v>
      </c>
    </row>
    <row r="73" spans="1:5" x14ac:dyDescent="0.2">
      <c r="A73" cm="1">
        <f t="array" ref="A73">PMT(0.05,10,1000,,1)</f>
        <v>-123.33769044329205</v>
      </c>
      <c r="B73">
        <f t="shared" si="3"/>
        <v>0</v>
      </c>
      <c r="C73">
        <f t="shared" si="4"/>
        <v>-123.33769044329205</v>
      </c>
      <c r="D73" t="str">
        <f t="shared" si="5"/>
        <v/>
      </c>
      <c r="E73" t="s">
        <v>107</v>
      </c>
    </row>
    <row r="74" spans="1:5" x14ac:dyDescent="0.2">
      <c r="A74" cm="1">
        <f t="array" ref="A74">PMT(0.05,10,1000,0,1)</f>
        <v>-123.33769044329205</v>
      </c>
      <c r="B74">
        <f t="shared" si="3"/>
        <v>0</v>
      </c>
      <c r="C74">
        <f t="shared" si="4"/>
        <v>-123.33769044329205</v>
      </c>
      <c r="D74" t="str">
        <f t="shared" si="5"/>
        <v/>
      </c>
      <c r="E74" t="s">
        <v>108</v>
      </c>
    </row>
    <row r="75" spans="1:5" x14ac:dyDescent="0.2">
      <c r="A75" cm="1">
        <f t="array" ref="A75">PMT(0.05,10,1000,)</f>
        <v>-129.50457496545667</v>
      </c>
      <c r="B75">
        <f t="shared" si="3"/>
        <v>0</v>
      </c>
      <c r="C75">
        <f t="shared" si="4"/>
        <v>-129.50457496545667</v>
      </c>
      <c r="D75" t="str">
        <f t="shared" si="5"/>
        <v/>
      </c>
      <c r="E75" t="s">
        <v>109</v>
      </c>
    </row>
    <row r="76" spans="1:5" x14ac:dyDescent="0.2">
      <c r="A76" cm="1">
        <f t="array" ref="A76">_xlfn.NORM.DIST(1,0,1,)</f>
        <v>0.24197072451914337</v>
      </c>
      <c r="B76">
        <f t="shared" si="3"/>
        <v>0</v>
      </c>
      <c r="C76">
        <f t="shared" si="4"/>
        <v>0.24197072451914337</v>
      </c>
      <c r="D76" t="str">
        <f t="shared" si="5"/>
        <v/>
      </c>
      <c r="E76" t="s">
        <v>110</v>
      </c>
    </row>
    <row r="77" spans="1:5" x14ac:dyDescent="0.2">
      <c r="A77" cm="1">
        <f t="array" ref="A77">_xlfn.NORM.DIST(1,,1,TRUE)</f>
        <v>0.84134474606854304</v>
      </c>
      <c r="B77">
        <f t="shared" si="3"/>
        <v>0</v>
      </c>
      <c r="C77">
        <f t="shared" si="4"/>
        <v>0.84134474606854304</v>
      </c>
      <c r="D77" t="str">
        <f t="shared" si="5"/>
        <v/>
      </c>
      <c r="E77" t="s">
        <v>111</v>
      </c>
    </row>
    <row r="78" spans="1:5" x14ac:dyDescent="0.2">
      <c r="A78" t="str" cm="1">
        <f t="array" ref="A78">_xlfn.CONCAT(,"a")</f>
        <v>a</v>
      </c>
      <c r="B78">
        <f t="shared" si="3"/>
        <v>-3</v>
      </c>
      <c r="C78">
        <f t="shared" si="4"/>
        <v>0</v>
      </c>
      <c r="D78" t="str">
        <f t="shared" si="5"/>
        <v>a</v>
      </c>
      <c r="E78" t="s">
        <v>112</v>
      </c>
    </row>
    <row r="79" spans="1:5" x14ac:dyDescent="0.2">
      <c r="A79" t="str" cm="1">
        <f t="array" ref="A79">_xlfn.CONCAT("a",)</f>
        <v>a</v>
      </c>
      <c r="B79">
        <f t="shared" si="3"/>
        <v>-3</v>
      </c>
      <c r="C79">
        <f t="shared" si="4"/>
        <v>0</v>
      </c>
      <c r="D79" t="str">
        <f t="shared" si="5"/>
        <v>a</v>
      </c>
      <c r="E79" t="s">
        <v>113</v>
      </c>
    </row>
    <row r="80" spans="1:5" x14ac:dyDescent="0.2">
      <c r="A80" t="str" cm="1">
        <f t="array" ref="A80">_xlfn.CONCAT(,)</f>
        <v/>
      </c>
      <c r="B80">
        <f t="shared" si="3"/>
        <v>-3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str" cm="1">
        <f t="array" ref="A81">CONCATENATE(,"a")</f>
        <v>a</v>
      </c>
      <c r="B81">
        <f t="shared" si="3"/>
        <v>-3</v>
      </c>
      <c r="C81">
        <f t="shared" si="4"/>
        <v>0</v>
      </c>
      <c r="D81" t="str">
        <f t="shared" si="5"/>
        <v>a</v>
      </c>
      <c r="E81" t="s">
        <v>115</v>
      </c>
    </row>
    <row r="82" spans="1:5" x14ac:dyDescent="0.2">
      <c r="A82" t="str" cm="1">
        <f t="array" ref="A82">_xlfn.TEXTJOIN(,TRUE,"a","b")</f>
        <v>ab</v>
      </c>
      <c r="B82">
        <f t="shared" si="3"/>
        <v>-3</v>
      </c>
      <c r="C82">
        <f t="shared" si="4"/>
        <v>0</v>
      </c>
      <c r="D82" t="str">
        <f t="shared" si="5"/>
        <v>ab</v>
      </c>
      <c r="E82" t="s">
        <v>116</v>
      </c>
    </row>
    <row r="83" spans="1:5" x14ac:dyDescent="0.2">
      <c r="A83" t="str" cm="1">
        <f t="array" ref="A83">_xlfn.TEXTJOIN("-",,"a","","b")</f>
        <v>a-b</v>
      </c>
      <c r="B83">
        <f t="shared" si="3"/>
        <v>-3</v>
      </c>
      <c r="C83">
        <f t="shared" si="4"/>
        <v>0</v>
      </c>
      <c r="D83" t="str">
        <f t="shared" si="5"/>
        <v>a-b</v>
      </c>
      <c r="E83" t="s">
        <v>117</v>
      </c>
    </row>
    <row r="84" spans="1:5" x14ac:dyDescent="0.2">
      <c r="A84" t="str" cm="1">
        <f t="array" ref="A84">_xlfn.TEXTJOIN("-",TRUE,"a",,"b")</f>
        <v>a-b</v>
      </c>
      <c r="B84">
        <f t="shared" si="3"/>
        <v>-3</v>
      </c>
      <c r="C84">
        <f t="shared" si="4"/>
        <v>0</v>
      </c>
      <c r="D84" t="str">
        <f t="shared" si="5"/>
        <v>a-b</v>
      </c>
      <c r="E84" t="s">
        <v>118</v>
      </c>
    </row>
    <row r="85" spans="1:5" x14ac:dyDescent="0.2">
      <c r="A85" t="str" cm="1">
        <f t="array" ref="A85">_xlfn.TEXTJOIN("-",FALSE,"a",,"b")</f>
        <v>a--b</v>
      </c>
      <c r="B85">
        <f t="shared" si="3"/>
        <v>-3</v>
      </c>
      <c r="C85">
        <f t="shared" si="4"/>
        <v>0</v>
      </c>
      <c r="D85" t="str">
        <f t="shared" si="5"/>
        <v>a--b</v>
      </c>
      <c r="E85" t="s">
        <v>119</v>
      </c>
    </row>
    <row r="86" spans="1:5" x14ac:dyDescent="0.2">
      <c r="A86" t="b" cm="1">
        <f t="array" ref="A86">EXACT(,"")</f>
        <v>1</v>
      </c>
      <c r="B86">
        <f t="shared" si="3"/>
        <v>-1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b" cm="1">
        <f t="array" ref="A87">EXACT(,0)</f>
        <v>0</v>
      </c>
      <c r="B87">
        <f t="shared" si="3"/>
        <v>-2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str" cm="1">
        <f t="array" ref="A88">TEXT(1.5,)</f>
        <v/>
      </c>
      <c r="B88">
        <f t="shared" si="3"/>
        <v>-3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str" cm="1">
        <f t="array" ref="A89">TEXT(,"0.0")</f>
        <v>0.0</v>
      </c>
      <c r="B89">
        <f t="shared" si="3"/>
        <v>-3</v>
      </c>
      <c r="C89">
        <f t="shared" si="4"/>
        <v>0</v>
      </c>
      <c r="D89" t="str">
        <f t="shared" si="5"/>
        <v>0.0</v>
      </c>
      <c r="E89" t="s">
        <v>123</v>
      </c>
    </row>
    <row r="90" spans="1:5" x14ac:dyDescent="0.2">
      <c r="A90" t="e" cm="1">
        <f t="array" ref="A90">_xlfn.NUMBERVALUE("1.5",,)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_xlfn.NUMBERVALUE("1,5",",",)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str" cm="1">
        <f t="array" ref="A92">COMPLEX(1,1,)</f>
        <v>1+i</v>
      </c>
      <c r="B92">
        <f t="shared" si="3"/>
        <v>-3</v>
      </c>
      <c r="C92">
        <f t="shared" si="4"/>
        <v>0</v>
      </c>
      <c r="D92" t="str">
        <f t="shared" si="5"/>
        <v>1+i</v>
      </c>
      <c r="E92" t="s">
        <v>126</v>
      </c>
    </row>
    <row r="93" spans="1:5" x14ac:dyDescent="0.2">
      <c r="A93" t="str" cm="1">
        <f t="array" ref="A93">COMPLEX(1,1)</f>
        <v>1+i</v>
      </c>
      <c r="B93">
        <f t="shared" si="3"/>
        <v>-3</v>
      </c>
      <c r="C93">
        <f t="shared" si="4"/>
        <v>0</v>
      </c>
      <c r="D93" t="str">
        <f t="shared" si="5"/>
        <v>1+i</v>
      </c>
      <c r="E93" t="s">
        <v>127</v>
      </c>
    </row>
    <row r="94" spans="1:5" x14ac:dyDescent="0.2">
      <c r="A94" cm="1">
        <f t="array" ref="A94">HYPERLINK("http://example.com",)</f>
        <v>0</v>
      </c>
      <c r="B94">
        <f t="shared" si="3"/>
        <v>0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str" cm="1">
        <f t="array" ref="A95">HYPERLINK("http://example.com")</f>
        <v>http://example.com</v>
      </c>
      <c r="B95">
        <f t="shared" si="3"/>
        <v>-3</v>
      </c>
      <c r="C95">
        <f t="shared" si="4"/>
        <v>0</v>
      </c>
      <c r="D95" t="str">
        <f t="shared" si="5"/>
        <v>http://example.com</v>
      </c>
      <c r="E95" t="s">
        <v>129</v>
      </c>
    </row>
    <row r="96" spans="1:5" x14ac:dyDescent="0.2">
      <c r="A96" t="e" cm="1">
        <f t="array" ref="A96">VLOOKUP(4,D!L1:N6,2,)</f>
        <v>#N/A</v>
      </c>
      <c r="B96">
        <f t="shared" si="3"/>
        <v>7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str" cm="1">
        <f t="array" ref="A97">VLOOKUP(4,D!L1:N6,2)</f>
        <v>three</v>
      </c>
      <c r="B97">
        <f t="shared" si="3"/>
        <v>-3</v>
      </c>
      <c r="C97">
        <f t="shared" si="4"/>
        <v>0</v>
      </c>
      <c r="D97" t="str">
        <f t="shared" si="5"/>
        <v>three</v>
      </c>
      <c r="E97" t="s">
        <v>131</v>
      </c>
    </row>
    <row r="98" spans="1:5" x14ac:dyDescent="0.2">
      <c r="A98" t="str" cm="1">
        <f t="array" ref="A98">VLOOKUP(5,D!L1:N6,2,)</f>
        <v>five</v>
      </c>
      <c r="B98">
        <f t="shared" si="3"/>
        <v>-3</v>
      </c>
      <c r="C98">
        <f t="shared" si="4"/>
        <v>0</v>
      </c>
      <c r="D98" t="str">
        <f t="shared" si="5"/>
        <v>five</v>
      </c>
      <c r="E98" t="s">
        <v>132</v>
      </c>
    </row>
    <row r="99" spans="1:5" x14ac:dyDescent="0.2">
      <c r="A99" t="e" cm="1">
        <f t="array" ref="A99">HLOOKUP(4,D!L8:Q10,2,)</f>
        <v>#N/A</v>
      </c>
      <c r="B99">
        <f t="shared" si="3"/>
        <v>7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str" cm="1">
        <f t="array" ref="A100">HLOOKUP(4,D!L8:Q10,2)</f>
        <v>three</v>
      </c>
      <c r="B100">
        <f t="shared" si="3"/>
        <v>-3</v>
      </c>
      <c r="C100">
        <f t="shared" si="4"/>
        <v>0</v>
      </c>
      <c r="D100" t="str">
        <f t="shared" si="5"/>
        <v>three</v>
      </c>
      <c r="E100" t="s">
        <v>134</v>
      </c>
    </row>
    <row r="101" spans="1:5" x14ac:dyDescent="0.2">
      <c r="A101" t="e" cm="1">
        <f t="array" ref="A101">MATCH(4,D!L1:L6,)</f>
        <v>#N/A</v>
      </c>
      <c r="B101">
        <f t="shared" si="3"/>
        <v>7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cm="1">
        <f t="array" ref="A102">MATCH(4,D!L1:L6)</f>
        <v>3</v>
      </c>
      <c r="B102">
        <f t="shared" si="3"/>
        <v>0</v>
      </c>
      <c r="C102">
        <f t="shared" si="4"/>
        <v>3</v>
      </c>
      <c r="D102" t="str">
        <f t="shared" si="5"/>
        <v/>
      </c>
      <c r="E102" t="s">
        <v>136</v>
      </c>
    </row>
    <row r="103" spans="1:5" x14ac:dyDescent="0.2">
      <c r="A103" cm="1">
        <f t="array" ref="A103">MATCH(15,D!B1:B8,)</f>
        <v>3</v>
      </c>
      <c r="B103">
        <f t="shared" si="3"/>
        <v>0</v>
      </c>
      <c r="C103">
        <f t="shared" si="4"/>
        <v>3</v>
      </c>
      <c r="D103" t="str">
        <f t="shared" si="5"/>
        <v/>
      </c>
      <c r="E103" t="s">
        <v>137</v>
      </c>
    </row>
    <row r="104" spans="1:5" x14ac:dyDescent="0.2">
      <c r="A104" t="str" cm="1">
        <f t="array" ref="A104">ADDRESS(2,3,)</f>
        <v>$C$2</v>
      </c>
      <c r="B104">
        <f t="shared" si="3"/>
        <v>-3</v>
      </c>
      <c r="C104">
        <f t="shared" si="4"/>
        <v>0</v>
      </c>
      <c r="D104" t="str">
        <f t="shared" si="5"/>
        <v>$C$2</v>
      </c>
      <c r="E104" t="s">
        <v>138</v>
      </c>
    </row>
    <row r="105" spans="1:5" x14ac:dyDescent="0.2">
      <c r="A105" t="str" cm="1">
        <f t="array" ref="A105">ADDRESS(2,3,,FALSE)</f>
        <v>R2C3</v>
      </c>
      <c r="B105">
        <f t="shared" si="3"/>
        <v>-3</v>
      </c>
      <c r="C105">
        <f t="shared" si="4"/>
        <v>0</v>
      </c>
      <c r="D105" t="str">
        <f t="shared" si="5"/>
        <v>R2C3</v>
      </c>
      <c r="E105" t="s">
        <v>139</v>
      </c>
    </row>
    <row r="106" spans="1:5" x14ac:dyDescent="0.2">
      <c r="A106" t="str" cm="1">
        <f t="array" ref="A106">ADDRESS(2,3,1,)</f>
        <v>$C$2</v>
      </c>
      <c r="B106">
        <f t="shared" si="3"/>
        <v>-3</v>
      </c>
      <c r="C106">
        <f t="shared" si="4"/>
        <v>0</v>
      </c>
      <c r="D106" t="str">
        <f t="shared" si="5"/>
        <v>$C$2</v>
      </c>
      <c r="E106" t="s">
        <v>140</v>
      </c>
    </row>
    <row r="107" spans="1:5" x14ac:dyDescent="0.2">
      <c r="A107" t="str" cm="1">
        <f t="array" ref="A107">ADDRESS(2,3,1,TRUE,)</f>
        <v>$C$2</v>
      </c>
      <c r="B107">
        <f t="shared" si="3"/>
        <v>-3</v>
      </c>
      <c r="C107">
        <f t="shared" si="4"/>
        <v>0</v>
      </c>
      <c r="D107" t="str">
        <f t="shared" si="5"/>
        <v>$C$2</v>
      </c>
      <c r="E107" t="s">
        <v>141</v>
      </c>
    </row>
    <row r="108" spans="1:5" x14ac:dyDescent="0.2">
      <c r="A108" t="b" cm="1">
        <f t="array" ref="A108">AND(TRUE,)</f>
        <v>0</v>
      </c>
      <c r="B108">
        <f t="shared" si="3"/>
        <v>-2</v>
      </c>
      <c r="C108">
        <f t="shared" si="4"/>
        <v>0</v>
      </c>
      <c r="D108" t="str">
        <f t="shared" si="5"/>
        <v/>
      </c>
      <c r="E108" t="s">
        <v>142</v>
      </c>
    </row>
    <row r="109" spans="1:5" x14ac:dyDescent="0.2">
      <c r="A109" t="b" cm="1">
        <f t="array" ref="A109">AND(,)</f>
        <v>0</v>
      </c>
      <c r="B109">
        <f t="shared" si="3"/>
        <v>-2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b" cm="1">
        <f t="array" ref="A110">AND(TRUE,,TRUE)</f>
        <v>0</v>
      </c>
      <c r="B110">
        <f t="shared" si="3"/>
        <v>-2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t="b" cm="1">
        <f t="array" ref="A111">OR(FALSE,)</f>
        <v>0</v>
      </c>
      <c r="B111">
        <f t="shared" si="3"/>
        <v>-2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b" cm="1">
        <f t="array" ref="A112">OR(TRUE,)</f>
        <v>1</v>
      </c>
      <c r="B112">
        <f t="shared" si="3"/>
        <v>-1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b" cm="1">
        <f t="array" ref="A113">_xlfn.XOR(TRUE,)</f>
        <v>1</v>
      </c>
      <c r="B113">
        <f t="shared" si="3"/>
        <v>-1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cm="1">
        <f t="array" ref="A114">SUM(1,,2)</f>
        <v>3</v>
      </c>
      <c r="B114">
        <f t="shared" si="3"/>
        <v>0</v>
      </c>
      <c r="C114">
        <f t="shared" si="4"/>
        <v>3</v>
      </c>
      <c r="D114" t="str">
        <f t="shared" si="5"/>
        <v/>
      </c>
      <c r="E114" t="s">
        <v>148</v>
      </c>
    </row>
    <row r="115" spans="1:5" x14ac:dyDescent="0.2">
      <c r="A115" cm="1">
        <f t="array" ref="A115">SUM(,)</f>
        <v>0</v>
      </c>
      <c r="B115">
        <f t="shared" si="3"/>
        <v>0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cm="1">
        <f t="array" ref="A116">SUM(D!B1:B8,)</f>
        <v>114.75</v>
      </c>
      <c r="B116">
        <f t="shared" si="3"/>
        <v>0</v>
      </c>
      <c r="C116">
        <f t="shared" si="4"/>
        <v>114.75</v>
      </c>
      <c r="D116" t="str">
        <f t="shared" si="5"/>
        <v/>
      </c>
      <c r="E116" t="s">
        <v>150</v>
      </c>
    </row>
    <row r="117" spans="1:5" x14ac:dyDescent="0.2">
      <c r="A117" cm="1">
        <f t="array" ref="A117">COUNT(1,,2)</f>
        <v>3</v>
      </c>
      <c r="B117">
        <f t="shared" si="3"/>
        <v>0</v>
      </c>
      <c r="C117">
        <f t="shared" si="4"/>
        <v>3</v>
      </c>
      <c r="D117" t="str">
        <f t="shared" si="5"/>
        <v/>
      </c>
      <c r="E117" t="s">
        <v>151</v>
      </c>
    </row>
    <row r="118" spans="1:5" x14ac:dyDescent="0.2">
      <c r="A118" cm="1">
        <f t="array" ref="A118">COUNT(,)</f>
        <v>2</v>
      </c>
      <c r="B118">
        <f t="shared" si="3"/>
        <v>0</v>
      </c>
      <c r="C118">
        <f t="shared" si="4"/>
        <v>2</v>
      </c>
      <c r="D118" t="str">
        <f t="shared" si="5"/>
        <v/>
      </c>
      <c r="E118" t="s">
        <v>152</v>
      </c>
    </row>
    <row r="119" spans="1:5" x14ac:dyDescent="0.2">
      <c r="A119" cm="1">
        <f t="array" ref="A119">COUNT(D!B1:B8,)</f>
        <v>9</v>
      </c>
      <c r="B119">
        <f t="shared" si="3"/>
        <v>0</v>
      </c>
      <c r="C119">
        <f t="shared" si="4"/>
        <v>9</v>
      </c>
      <c r="D119" t="str">
        <f t="shared" si="5"/>
        <v/>
      </c>
      <c r="E119" t="s">
        <v>153</v>
      </c>
    </row>
    <row r="120" spans="1:5" x14ac:dyDescent="0.2">
      <c r="A120" cm="1">
        <f t="array" ref="A120">COUNTA(1,,2)</f>
        <v>3</v>
      </c>
      <c r="B120">
        <f t="shared" si="3"/>
        <v>0</v>
      </c>
      <c r="C120">
        <f t="shared" si="4"/>
        <v>3</v>
      </c>
      <c r="D120" t="str">
        <f t="shared" si="5"/>
        <v/>
      </c>
      <c r="E120" t="s">
        <v>154</v>
      </c>
    </row>
    <row r="121" spans="1:5" x14ac:dyDescent="0.2">
      <c r="A121" cm="1">
        <f t="array" ref="A121">COUNTA(,)</f>
        <v>2</v>
      </c>
      <c r="B121">
        <f t="shared" si="3"/>
        <v>0</v>
      </c>
      <c r="C121">
        <f t="shared" si="4"/>
        <v>2</v>
      </c>
      <c r="D121" t="str">
        <f t="shared" si="5"/>
        <v/>
      </c>
      <c r="E121" t="s">
        <v>155</v>
      </c>
    </row>
    <row r="122" spans="1:5" x14ac:dyDescent="0.2">
      <c r="A122" cm="1">
        <f t="array" ref="A122">COUNTA(D!K1:K8,)</f>
        <v>1</v>
      </c>
      <c r="B122">
        <f t="shared" si="3"/>
        <v>0</v>
      </c>
      <c r="C122">
        <f t="shared" si="4"/>
        <v>1</v>
      </c>
      <c r="D122" t="str">
        <f t="shared" si="5"/>
        <v/>
      </c>
      <c r="E122" t="s">
        <v>156</v>
      </c>
    </row>
    <row r="123" spans="1:5" x14ac:dyDescent="0.2">
      <c r="A123" cm="1">
        <f t="array" ref="A123">AVERAGE(1,,2)</f>
        <v>1</v>
      </c>
      <c r="B123">
        <f t="shared" si="3"/>
        <v>0</v>
      </c>
      <c r="C123">
        <f t="shared" si="4"/>
        <v>1</v>
      </c>
      <c r="D123" t="str">
        <f t="shared" si="5"/>
        <v/>
      </c>
      <c r="E123" t="s">
        <v>157</v>
      </c>
    </row>
    <row r="124" spans="1:5" x14ac:dyDescent="0.2">
      <c r="A124" cm="1">
        <f t="array" ref="A124">AVERAGE(4,)</f>
        <v>2</v>
      </c>
      <c r="B124">
        <f t="shared" si="3"/>
        <v>0</v>
      </c>
      <c r="C124">
        <f t="shared" si="4"/>
        <v>2</v>
      </c>
      <c r="D124" t="str">
        <f t="shared" si="5"/>
        <v/>
      </c>
      <c r="E124" t="s">
        <v>158</v>
      </c>
    </row>
    <row r="125" spans="1:5" x14ac:dyDescent="0.2">
      <c r="A125" cm="1">
        <f t="array" ref="A125">AVERAGEA(1,,2)</f>
        <v>1</v>
      </c>
      <c r="B125">
        <f t="shared" si="3"/>
        <v>0</v>
      </c>
      <c r="C125">
        <f t="shared" si="4"/>
        <v>1</v>
      </c>
      <c r="D125" t="str">
        <f t="shared" si="5"/>
        <v/>
      </c>
      <c r="E125" t="s">
        <v>159</v>
      </c>
    </row>
    <row r="126" spans="1:5" x14ac:dyDescent="0.2">
      <c r="A126" cm="1">
        <f t="array" ref="A126">MAX(-1,)</f>
        <v>0</v>
      </c>
      <c r="B126">
        <f t="shared" si="3"/>
        <v>0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cm="1">
        <f t="array" ref="A127">MAXA(-1,)</f>
        <v>0</v>
      </c>
      <c r="B127">
        <f t="shared" si="3"/>
        <v>0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cm="1">
        <f t="array" ref="A128">MIN(1,)</f>
        <v>0</v>
      </c>
      <c r="B128">
        <f t="shared" si="3"/>
        <v>0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cm="1">
        <f t="array" ref="A129">PRODUCT(2,)</f>
        <v>2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GCD(4,)</f>
        <v>4</v>
      </c>
      <c r="B130">
        <f t="shared" si="6"/>
        <v>0</v>
      </c>
      <c r="C130">
        <f t="shared" si="7"/>
        <v>4</v>
      </c>
      <c r="D130" t="str">
        <f t="shared" si="8"/>
        <v/>
      </c>
      <c r="E130" t="s">
        <v>164</v>
      </c>
    </row>
    <row r="131" spans="1:5" x14ac:dyDescent="0.2">
      <c r="A131" cm="1">
        <f t="array" ref="A131">MEDIAN(1,,5)</f>
        <v>1</v>
      </c>
      <c r="B131">
        <f t="shared" si="6"/>
        <v>0</v>
      </c>
      <c r="C131">
        <f t="shared" si="7"/>
        <v>1</v>
      </c>
      <c r="D131" t="str">
        <f t="shared" si="8"/>
        <v/>
      </c>
      <c r="E131" t="s">
        <v>165</v>
      </c>
    </row>
    <row r="132" spans="1:5" x14ac:dyDescent="0.2">
      <c r="A132" cm="1">
        <f t="array" ref="A132">_xlfn.STDEV.S(1,,2)</f>
        <v>1</v>
      </c>
      <c r="B132">
        <f t="shared" si="6"/>
        <v>0</v>
      </c>
      <c r="C132">
        <f t="shared" si="7"/>
        <v>1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SUMPRODUCT(D!B1:B3,)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SUMPRODUCT(,)</f>
        <v>#VALUE!</v>
      </c>
      <c r="B134">
        <f t="shared" si="6"/>
        <v>3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cm="1">
        <f t="array" ref="A135">SUMIF(D!B1:B8,)</f>
        <v>0</v>
      </c>
      <c r="B135">
        <f t="shared" si="6"/>
        <v>0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cm="1">
        <f t="array" ref="A136">SUMIF(D!K1:K8,,D!B1:B8)</f>
        <v>0</v>
      </c>
      <c r="B136">
        <f t="shared" si="6"/>
        <v>0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COUNTIF(D!B1:B8,)</f>
        <v>0</v>
      </c>
      <c r="B137">
        <f t="shared" si="6"/>
        <v>0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cm="1">
        <f t="array" ref="A138">COUNTIF(D!K1:K8,)</f>
        <v>0</v>
      </c>
      <c r="B138">
        <f t="shared" si="6"/>
        <v>0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cm="1">
        <f t="array" ref="A139">COUNTIF(D!A12:A13,)</f>
        <v>1</v>
      </c>
      <c r="B139">
        <f t="shared" si="6"/>
        <v>0</v>
      </c>
      <c r="C139">
        <f t="shared" si="7"/>
        <v>1</v>
      </c>
      <c r="D139" t="str">
        <f t="shared" si="8"/>
        <v/>
      </c>
      <c r="E139" t="s">
        <v>173</v>
      </c>
    </row>
    <row r="140" spans="1:5" x14ac:dyDescent="0.2">
      <c r="A140" cm="1">
        <f t="array" ref="A140">SUMIFS(D!B1:B8,D!B1:B8,)</f>
        <v>0</v>
      </c>
      <c r="B140">
        <f t="shared" si="6"/>
        <v>0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cm="1">
        <f t="array" ref="A141">SUMIFS(D!B1:B8,D!K1:K8,)</f>
        <v>0</v>
      </c>
      <c r="B141">
        <f t="shared" si="6"/>
        <v>0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_xlfn.AGGREGATE(9,,D!B1:B8)</f>
        <v>114.75</v>
      </c>
      <c r="B142">
        <f t="shared" si="6"/>
        <v>0</v>
      </c>
      <c r="C142">
        <f t="shared" si="7"/>
        <v>114.75</v>
      </c>
      <c r="D142" t="str">
        <f t="shared" si="8"/>
        <v/>
      </c>
      <c r="E142" t="s">
        <v>176</v>
      </c>
    </row>
    <row r="143" spans="1:5" x14ac:dyDescent="0.2">
      <c r="A143" cm="1">
        <f t="array" ref="A143">_xlfn.AGGREGATE(14,,D!B1:B8,1)</f>
        <v>42</v>
      </c>
      <c r="B143">
        <f t="shared" si="6"/>
        <v>0</v>
      </c>
      <c r="C143">
        <f t="shared" si="7"/>
        <v>42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DSUM(D!U1:Y7,,D!AA1:AB2)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_xlfn.XLOOKUP(4,D!L1:L6,D!M1:M6,)</f>
        <v>#N/A</v>
      </c>
      <c r="B145">
        <f t="shared" si="6"/>
        <v>7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_xlfn.XLOOKUP(4,D!L1:L6,D!M1:M6)</f>
        <v>#N/A</v>
      </c>
      <c r="B146">
        <f t="shared" si="6"/>
        <v>7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str" cm="1">
        <f t="array" ref="A147">_xlfn.XLOOKUP(4,D!L1:L6,D!M1:M6,,-1)</f>
        <v>three</v>
      </c>
      <c r="B147">
        <f t="shared" si="6"/>
        <v>-3</v>
      </c>
      <c r="C147">
        <f t="shared" si="7"/>
        <v>0</v>
      </c>
      <c r="D147" t="str">
        <f t="shared" si="8"/>
        <v>three</v>
      </c>
      <c r="E147" t="s">
        <v>181</v>
      </c>
    </row>
    <row r="148" spans="1:5" x14ac:dyDescent="0.2">
      <c r="A148" t="e" cm="1">
        <f t="array" ref="A148">_xlfn.XLOOKUP(4,D!L1:L6,D!M1:M6,,)</f>
        <v>#N/A</v>
      </c>
      <c r="B148">
        <f t="shared" si="6"/>
        <v>7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str" cm="1">
        <f t="array" ref="A149">_xlfn.XLOOKUP(5,D!L1:L6,D!M1:M6,,,-1)</f>
        <v>five</v>
      </c>
      <c r="B149">
        <f t="shared" si="6"/>
        <v>-3</v>
      </c>
      <c r="C149">
        <f t="shared" si="7"/>
        <v>0</v>
      </c>
      <c r="D149" t="str">
        <f t="shared" si="8"/>
        <v>five</v>
      </c>
      <c r="E149" t="s">
        <v>183</v>
      </c>
    </row>
    <row r="150" spans="1:5" x14ac:dyDescent="0.2">
      <c r="A150" t="e" cm="1">
        <f t="array" ref="A150">_xlfn.XMATCH(4,D!L1:L6,)</f>
        <v>#N/A</v>
      </c>
      <c r="B150">
        <f t="shared" si="6"/>
        <v>7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_xlfn.XMATCH(4,D!L1:L6,,)</f>
        <v>#N/A</v>
      </c>
      <c r="B151">
        <f t="shared" si="6"/>
        <v>7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cm="1">
        <f t="array" ref="A152">_xlfn.XMATCH(4,D!L1:L6,-1,)</f>
        <v>3</v>
      </c>
      <c r="B152">
        <f t="shared" si="6"/>
        <v>0</v>
      </c>
      <c r="C152">
        <f t="shared" si="7"/>
        <v>3</v>
      </c>
      <c r="D152" t="str">
        <f t="shared" si="8"/>
        <v/>
      </c>
      <c r="E152" t="s">
        <v>186</v>
      </c>
    </row>
    <row r="153" spans="1:5" x14ac:dyDescent="0.2">
      <c r="A153" cm="1">
        <f t="array" ref="A153">SUM(_xlfn.SEQUENCE(3,,5))</f>
        <v>18</v>
      </c>
      <c r="B153">
        <f t="shared" si="6"/>
        <v>0</v>
      </c>
      <c r="C153">
        <f t="shared" si="7"/>
        <v>18</v>
      </c>
      <c r="D153" t="str">
        <f t="shared" si="8"/>
        <v/>
      </c>
      <c r="E153" t="s">
        <v>187</v>
      </c>
    </row>
    <row r="154" spans="1:5" x14ac:dyDescent="0.2">
      <c r="A154" t="e" cm="1" vm="4">
        <f t="array" aca="1" ref="A154" ca="1">_xlfn.SEQUENCE(3,,5)</f>
        <v>#VALUE!</v>
      </c>
      <c r="B154">
        <f t="shared" ca="1" si="6"/>
        <v>9</v>
      </c>
      <c r="C154">
        <f t="shared" ca="1" si="7"/>
        <v>0</v>
      </c>
      <c r="D154" t="str">
        <f t="shared" ca="1" si="8"/>
        <v/>
      </c>
      <c r="E154" t="s">
        <v>188</v>
      </c>
    </row>
    <row r="155" spans="1:5" x14ac:dyDescent="0.2">
      <c r="A155" cm="1">
        <f t="array" ref="A155">SUM(_xlfn.SEQUENCE(2,2,,))</f>
        <v>10</v>
      </c>
      <c r="B155">
        <f t="shared" si="6"/>
        <v>0</v>
      </c>
      <c r="C155">
        <f t="shared" si="7"/>
        <v>10</v>
      </c>
      <c r="D155" t="str">
        <f t="shared" si="8"/>
        <v/>
      </c>
      <c r="E155" t="s">
        <v>189</v>
      </c>
    </row>
    <row r="156" spans="1:5" x14ac:dyDescent="0.2">
      <c r="A156" cm="1">
        <f t="array" ref="A156">SUM(_xlfn.SEQUENCE(2,2,1,))</f>
        <v>10</v>
      </c>
      <c r="B156">
        <f t="shared" si="6"/>
        <v>0</v>
      </c>
      <c r="C156">
        <f t="shared" si="7"/>
        <v>10</v>
      </c>
      <c r="D156" t="str">
        <f t="shared" si="8"/>
        <v/>
      </c>
      <c r="E156" t="s">
        <v>190</v>
      </c>
    </row>
    <row r="157" spans="1:5" x14ac:dyDescent="0.2">
      <c r="A157" cm="1">
        <f t="array" ref="A157">SUM(_xlfn.SEQUENCE(,2))</f>
        <v>3</v>
      </c>
      <c r="B157">
        <f t="shared" si="6"/>
        <v>0</v>
      </c>
      <c r="C157">
        <f t="shared" si="7"/>
        <v>3</v>
      </c>
      <c r="D157" t="str">
        <f t="shared" si="8"/>
        <v/>
      </c>
      <c r="E157" t="s">
        <v>191</v>
      </c>
    </row>
    <row r="158" spans="1:5" x14ac:dyDescent="0.2">
      <c r="A158" cm="1">
        <f t="array" ref="A158">INDEX(_xlfn._xlws.SORT(D!B1:B8,,-1),1)</f>
        <v>42</v>
      </c>
      <c r="B158">
        <f t="shared" si="6"/>
        <v>0</v>
      </c>
      <c r="C158">
        <f t="shared" si="7"/>
        <v>42</v>
      </c>
      <c r="D158" t="str">
        <f t="shared" si="8"/>
        <v/>
      </c>
      <c r="E158" t="s">
        <v>192</v>
      </c>
    </row>
    <row r="159" spans="1:5" x14ac:dyDescent="0.2">
      <c r="A159" cm="1">
        <f t="array" ref="A159">INDEX(_xlfn._xlws.SORT(D!B1:B8,,),1)</f>
        <v>-3.5</v>
      </c>
      <c r="B159">
        <f t="shared" si="6"/>
        <v>0</v>
      </c>
      <c r="C159">
        <f t="shared" si="7"/>
        <v>-3.5</v>
      </c>
      <c r="D159" t="str">
        <f t="shared" si="8"/>
        <v/>
      </c>
      <c r="E159" t="s">
        <v>193</v>
      </c>
    </row>
    <row r="160" spans="1:5" x14ac:dyDescent="0.2">
      <c r="A160" cm="1">
        <f t="array" ref="A160">INDEX(_xlfn._xlws.SORT(D!B1:C8,2,,),1,1)</f>
        <v>-3.5</v>
      </c>
      <c r="B160">
        <f t="shared" si="6"/>
        <v>0</v>
      </c>
      <c r="C160">
        <f t="shared" si="7"/>
        <v>-3.5</v>
      </c>
      <c r="D160" t="str">
        <f t="shared" si="8"/>
        <v/>
      </c>
      <c r="E160" t="s">
        <v>194</v>
      </c>
    </row>
    <row r="161" spans="1:5" x14ac:dyDescent="0.2">
      <c r="A161" t="e" cm="1" vm="1">
        <f t="array" aca="1" ref="A161" ca="1">_xlfn.TEXTSPLIT("a,b",",",,,1)</f>
        <v>#VALUE!</v>
      </c>
      <c r="B161">
        <f t="shared" ca="1" si="6"/>
        <v>9</v>
      </c>
      <c r="C161">
        <f t="shared" ca="1" si="7"/>
        <v>0</v>
      </c>
      <c r="D161" t="str">
        <f t="shared" ca="1" si="8"/>
        <v/>
      </c>
      <c r="E161" t="s">
        <v>195</v>
      </c>
    </row>
    <row r="162" spans="1:5" x14ac:dyDescent="0.2">
      <c r="A162" t="e" cm="1" vm="5">
        <f t="array" aca="1" ref="A162" ca="1">_xlfn.TEXTSPLIT("a,,b",",",,)</f>
        <v>#VALUE!</v>
      </c>
      <c r="B162">
        <f t="shared" ca="1" si="6"/>
        <v>9</v>
      </c>
      <c r="C162">
        <f t="shared" ca="1" si="7"/>
        <v>0</v>
      </c>
      <c r="D162" t="str">
        <f t="shared" ca="1" si="8"/>
        <v/>
      </c>
      <c r="E162" t="s">
        <v>196</v>
      </c>
    </row>
    <row r="163" spans="1:5" x14ac:dyDescent="0.2">
      <c r="A163" cm="1">
        <f t="array" ref="A163">COLUMNS(_xlfn.TEXTSPLIT("a,,b",",",,))</f>
        <v>3</v>
      </c>
      <c r="B163">
        <f t="shared" si="6"/>
        <v>0</v>
      </c>
      <c r="C163">
        <f t="shared" si="7"/>
        <v>3</v>
      </c>
      <c r="D163" t="str">
        <f t="shared" si="8"/>
        <v/>
      </c>
      <c r="E163" t="s">
        <v>197</v>
      </c>
    </row>
    <row r="164" spans="1:5" x14ac:dyDescent="0.2">
      <c r="A164" cm="1">
        <f t="array" ref="A164">COLUMNS(_xlfn.TEXTSPLIT("a,,b",","))</f>
        <v>3</v>
      </c>
      <c r="B164">
        <f t="shared" si="6"/>
        <v>0</v>
      </c>
      <c r="C164">
        <f t="shared" si="7"/>
        <v>3</v>
      </c>
      <c r="D164" t="str">
        <f t="shared" si="8"/>
        <v/>
      </c>
      <c r="E164" t="s">
        <v>198</v>
      </c>
    </row>
    <row r="165" spans="1:5" x14ac:dyDescent="0.2">
      <c r="A165" cm="1">
        <f t="array" ref="A165">ROWS(_xlfn.TEXTSPLIT("a;b",",",";",,,))</f>
        <v>2</v>
      </c>
      <c r="B165">
        <f t="shared" si="6"/>
        <v>0</v>
      </c>
      <c r="C165">
        <f t="shared" si="7"/>
        <v>2</v>
      </c>
      <c r="D165" t="str">
        <f t="shared" si="8"/>
        <v/>
      </c>
      <c r="E165" t="s">
        <v>199</v>
      </c>
    </row>
    <row r="166" spans="1:5" x14ac:dyDescent="0.2">
      <c r="A166" t="str" cm="1">
        <f t="array" ref="A166">_xlfn.TEXTBEFORE("a-b-c","-",)</f>
        <v>a</v>
      </c>
      <c r="B166">
        <f t="shared" si="6"/>
        <v>-3</v>
      </c>
      <c r="C166">
        <f t="shared" si="7"/>
        <v>0</v>
      </c>
      <c r="D166" t="str">
        <f t="shared" si="8"/>
        <v>a</v>
      </c>
      <c r="E166" t="s">
        <v>200</v>
      </c>
    </row>
    <row r="167" spans="1:5" x14ac:dyDescent="0.2">
      <c r="A167" t="str" cm="1">
        <f t="array" ref="A167">_xlfn.TEXTBEFORE("a-b-c","-")</f>
        <v>a</v>
      </c>
      <c r="B167">
        <f t="shared" si="6"/>
        <v>-3</v>
      </c>
      <c r="C167">
        <f t="shared" si="7"/>
        <v>0</v>
      </c>
      <c r="D167" t="str">
        <f t="shared" si="8"/>
        <v>a</v>
      </c>
      <c r="E167" t="s">
        <v>201</v>
      </c>
    </row>
    <row r="168" spans="1:5" x14ac:dyDescent="0.2">
      <c r="A168" t="str" cm="1">
        <f t="array" ref="A168">_xlfn.TEXTBEFORE("a-b-c","-",,,,"z")</f>
        <v>a</v>
      </c>
      <c r="B168">
        <f t="shared" si="6"/>
        <v>-3</v>
      </c>
      <c r="C168">
        <f t="shared" si="7"/>
        <v>0</v>
      </c>
      <c r="D168" t="str">
        <f t="shared" si="8"/>
        <v>a</v>
      </c>
      <c r="E168" t="s">
        <v>202</v>
      </c>
    </row>
    <row r="169" spans="1:5" x14ac:dyDescent="0.2">
      <c r="A169" t="str" cm="1">
        <f t="array" ref="A169">_xlfn.TEXTAFTER("a-b-c","-",,)</f>
        <v>b-c</v>
      </c>
      <c r="B169">
        <f t="shared" si="6"/>
        <v>-3</v>
      </c>
      <c r="C169">
        <f t="shared" si="7"/>
        <v>0</v>
      </c>
      <c r="D169" t="str">
        <f t="shared" si="8"/>
        <v>b-c</v>
      </c>
      <c r="E169" t="s">
        <v>203</v>
      </c>
    </row>
    <row r="170" spans="1:5" x14ac:dyDescent="0.2">
      <c r="A170" cm="1">
        <f t="array" ref="A170">ROWS(_xlfn.UNIQUE(D!AS1:AS8,,))</f>
        <v>5</v>
      </c>
      <c r="B170">
        <f t="shared" si="6"/>
        <v>0</v>
      </c>
      <c r="C170">
        <f t="shared" si="7"/>
        <v>5</v>
      </c>
      <c r="D170" t="str">
        <f t="shared" si="8"/>
        <v/>
      </c>
      <c r="E170" t="s">
        <v>204</v>
      </c>
    </row>
    <row r="171" spans="1:5" x14ac:dyDescent="0.2">
      <c r="A171" cm="1">
        <f t="array" ref="A171">ROWS(_xlfn.UNIQUE(D!AS1:AS8))</f>
        <v>5</v>
      </c>
      <c r="B171">
        <f t="shared" si="6"/>
        <v>0</v>
      </c>
      <c r="C171">
        <f t="shared" si="7"/>
        <v>5</v>
      </c>
      <c r="D171" t="str">
        <f t="shared" si="8"/>
        <v/>
      </c>
      <c r="E171" t="s">
        <v>205</v>
      </c>
    </row>
    <row r="172" spans="1:5" x14ac:dyDescent="0.2">
      <c r="A172" cm="1">
        <f t="array" ref="A172">ROWS(_xlfn.UNIQUE(D!AS1:AS8,,TRUE))</f>
        <v>2</v>
      </c>
      <c r="B172">
        <f t="shared" si="6"/>
        <v>0</v>
      </c>
      <c r="C172">
        <f t="shared" si="7"/>
        <v>2</v>
      </c>
      <c r="D172" t="str">
        <f t="shared" si="8"/>
        <v/>
      </c>
      <c r="E172" t="s">
        <v>206</v>
      </c>
    </row>
    <row r="173" spans="1:5" x14ac:dyDescent="0.2">
      <c r="A173" cm="1">
        <f t="array" ref="A173">ROWS(_xlfn.TAKE(D!B1:C8,,1))</f>
        <v>8</v>
      </c>
      <c r="B173">
        <f t="shared" si="6"/>
        <v>0</v>
      </c>
      <c r="C173">
        <f t="shared" si="7"/>
        <v>8</v>
      </c>
      <c r="D173" t="str">
        <f t="shared" si="8"/>
        <v/>
      </c>
      <c r="E173" t="s">
        <v>207</v>
      </c>
    </row>
    <row r="174" spans="1:5" x14ac:dyDescent="0.2">
      <c r="A174" cm="1">
        <f t="array" ref="A174">COLUMNS(_xlfn.TAKE(D!B1:C8,,1))</f>
        <v>1</v>
      </c>
      <c r="B174">
        <f t="shared" si="6"/>
        <v>0</v>
      </c>
      <c r="C174">
        <f t="shared" si="7"/>
        <v>1</v>
      </c>
      <c r="D174" t="str">
        <f t="shared" si="8"/>
        <v/>
      </c>
      <c r="E174" t="s">
        <v>208</v>
      </c>
    </row>
    <row r="175" spans="1:5" x14ac:dyDescent="0.2">
      <c r="A175" cm="1">
        <f t="array" ref="A175">ROWS(_xlfn.DROP(D!B1:C8,,1))</f>
        <v>8</v>
      </c>
      <c r="B175">
        <f t="shared" si="6"/>
        <v>0</v>
      </c>
      <c r="C175">
        <f t="shared" si="7"/>
        <v>8</v>
      </c>
      <c r="D175" t="str">
        <f t="shared" si="8"/>
        <v/>
      </c>
      <c r="E175" t="s">
        <v>209</v>
      </c>
    </row>
    <row r="176" spans="1:5" x14ac:dyDescent="0.2">
      <c r="A176" cm="1">
        <f t="array" ref="A176">INDEX(_xlfn.EXPAND({1},2,,0),2,1)</f>
        <v>0</v>
      </c>
      <c r="B176">
        <f t="shared" si="6"/>
        <v>0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cm="1">
        <f t="array" ref="A177">INDEX(_xlfn.EXPAND({1},2,2,),2,2)</f>
        <v>0</v>
      </c>
      <c r="B177">
        <f t="shared" si="6"/>
        <v>0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e" cm="1">
        <f t="array" ref="A178">INDEX(_xlfn.EXPAND({1},2,2),2,2)</f>
        <v>#N/A</v>
      </c>
      <c r="B178">
        <f t="shared" si="6"/>
        <v>7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e" cm="1">
        <f t="array" ref="A179">INDEX(_xlfn.WRAPROWS({1,2,3},2,),2,2)</f>
        <v>#N/A</v>
      </c>
      <c r="B179">
        <f t="shared" si="6"/>
        <v>7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e" cm="1">
        <f t="array" ref="A180">INDEX(_xlfn.WRAPROWS({1,2,3},2),2,2)</f>
        <v>#N/A</v>
      </c>
      <c r="B180">
        <f t="shared" si="6"/>
        <v>7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e" cm="1" vm="6">
        <f t="array" ref="A181">_xlfn._xlws.FILTER(D!B1:B8,D!B1:B8&gt;100,)</f>
        <v>#VALUE!</v>
      </c>
      <c r="B181">
        <f t="shared" si="6"/>
        <v>14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 vm="6">
        <f t="array" ref="A182">_xlfn._xlws.FILTER(D!B1:B8,D!B1:B8&gt;100)</f>
        <v>#VALUE!</v>
      </c>
      <c r="B182">
        <f t="shared" si="6"/>
        <v>14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cm="1">
        <f t="array" ref="A183">SUM(_xlfn._xlws.FILTER(D!B1:B8,D!B1:B8&gt;20,))</f>
        <v>65</v>
      </c>
      <c r="B183">
        <f t="shared" si="6"/>
        <v>0</v>
      </c>
      <c r="C183">
        <f t="shared" si="7"/>
        <v>65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SUM(_xlfn.HSTACK(1,,2))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cm="1">
        <f t="array" ref="A185">COUNTA(_xlfn.HSTACK(1,,2))</f>
        <v>1</v>
      </c>
      <c r="B185">
        <f t="shared" si="6"/>
        <v>0</v>
      </c>
      <c r="C185">
        <f t="shared" si="7"/>
        <v>1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INDEX(_xlfn.HSTACK(1,,2),1,2)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TYPE(INDEX(_xlfn.HSTACK(1,,2),1,2))</f>
        <v>16</v>
      </c>
      <c r="B187">
        <f t="shared" si="6"/>
        <v>0</v>
      </c>
      <c r="C187">
        <f t="shared" si="7"/>
        <v>16</v>
      </c>
      <c r="D187" t="str">
        <f t="shared" si="8"/>
        <v/>
      </c>
      <c r="E187" t="s">
        <v>221</v>
      </c>
    </row>
    <row r="188" spans="1:5" x14ac:dyDescent="0.2">
      <c r="A188" t="e" cm="1">
        <f t="array" ref="A188">ROWS(_xlfn.VSTACK(1,))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COLUMNS(_xlfn.CHOOSECOLS(D!B1:C8,1,))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cm="1">
        <f t="array" ref="A190">WORKDAY.INTL(DATE(2025,1,1),5,)</f>
        <v>45665</v>
      </c>
      <c r="B190">
        <f t="shared" si="6"/>
        <v>0</v>
      </c>
      <c r="C190">
        <f t="shared" si="7"/>
        <v>45665</v>
      </c>
      <c r="D190" t="str">
        <f t="shared" si="8"/>
        <v/>
      </c>
      <c r="E190" t="s">
        <v>224</v>
      </c>
    </row>
    <row r="191" spans="1:5" x14ac:dyDescent="0.2">
      <c r="A191" cm="1">
        <f t="array" ref="A191">WORKDAY.INTL(DATE(2025,1,1),5)</f>
        <v>45665</v>
      </c>
      <c r="B191">
        <f t="shared" si="6"/>
        <v>0</v>
      </c>
      <c r="C191">
        <f t="shared" si="7"/>
        <v>45665</v>
      </c>
      <c r="D191" t="str">
        <f t="shared" si="8"/>
        <v/>
      </c>
      <c r="E191" t="s">
        <v>225</v>
      </c>
    </row>
    <row r="192" spans="1:5" x14ac:dyDescent="0.2">
      <c r="A192" cm="1">
        <f t="array" ref="A192">WORKDAY.INTL(DATE(2025,1,1),5,,D!AP1:AP8)</f>
        <v>45665</v>
      </c>
      <c r="B192">
        <f t="shared" si="6"/>
        <v>0</v>
      </c>
      <c r="C192">
        <f t="shared" si="7"/>
        <v>45665</v>
      </c>
      <c r="D192" t="str">
        <f t="shared" si="8"/>
        <v/>
      </c>
      <c r="E192" t="s">
        <v>226</v>
      </c>
    </row>
    <row r="193" spans="1:5" x14ac:dyDescent="0.2">
      <c r="A193" cm="1">
        <f t="array" ref="A193">NETWORKDAYS(DATE(2025,1,1),DATE(2025,1,31),)</f>
        <v>23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23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NETWORKDAYS.INTL(DATE(2025,1,1),DATE(2025,1,31),)</f>
        <v>23</v>
      </c>
      <c r="B194">
        <f t="shared" si="9"/>
        <v>0</v>
      </c>
      <c r="C194">
        <f t="shared" si="10"/>
        <v>23</v>
      </c>
      <c r="D194" t="str">
        <f t="shared" si="11"/>
        <v/>
      </c>
      <c r="E194" t="s">
        <v>228</v>
      </c>
    </row>
    <row r="195" spans="1:5" x14ac:dyDescent="0.2">
      <c r="A195" t="str" cm="1">
        <f t="array" aca="1" ref="A195" ca="1">_xlfn.ARRAYTOTEXT(_xlfn.RANDARRAY(,2,5,5),1)</f>
        <v>{5,5}</v>
      </c>
      <c r="B195">
        <f t="shared" ca="1" si="9"/>
        <v>-3</v>
      </c>
      <c r="C195">
        <f t="shared" ca="1" si="10"/>
        <v>0</v>
      </c>
      <c r="D195" t="str">
        <f t="shared" ca="1" si="11"/>
        <v>{5,5}</v>
      </c>
      <c r="E195" t="s">
        <v>229</v>
      </c>
    </row>
    <row r="196" spans="1:5" x14ac:dyDescent="0.2">
      <c r="A196" t="str" cm="1">
        <f t="array" aca="1" ref="A196" ca="1">_xlfn.ARRAYTOTEXT(_xlfn.RANDARRAY(2,,5,5),1)</f>
        <v>{5;5}</v>
      </c>
      <c r="B196">
        <f t="shared" ca="1" si="9"/>
        <v>-3</v>
      </c>
      <c r="C196">
        <f t="shared" ca="1" si="10"/>
        <v>0</v>
      </c>
      <c r="D196" t="str">
        <f t="shared" ca="1" si="11"/>
        <v>{5;5}</v>
      </c>
      <c r="E196" t="s">
        <v>230</v>
      </c>
    </row>
    <row r="197" spans="1:5" x14ac:dyDescent="0.2">
      <c r="A197" t="str" cm="1">
        <f t="array" aca="1" ref="A197" ca="1">_xlfn.ARRAYTOTEXT(_xlfn.RANDARRAY(1,2,5,5,),1)</f>
        <v>{5,5}</v>
      </c>
      <c r="B197">
        <f t="shared" ca="1" si="9"/>
        <v>-3</v>
      </c>
      <c r="C197">
        <f t="shared" ca="1" si="10"/>
        <v>0</v>
      </c>
      <c r="D197" t="str">
        <f t="shared" ca="1" si="11"/>
        <v>{5,5}</v>
      </c>
      <c r="E197" t="s">
        <v>231</v>
      </c>
    </row>
    <row r="198" spans="1:5" x14ac:dyDescent="0.2">
      <c r="A198" cm="1">
        <f t="array" ref="A198">SUM(ROUND({1.5,2.5},))</f>
        <v>5</v>
      </c>
      <c r="B198">
        <f t="shared" si="9"/>
        <v>0</v>
      </c>
      <c r="C198">
        <f t="shared" si="10"/>
        <v>5</v>
      </c>
      <c r="D198" t="str">
        <f t="shared" si="11"/>
        <v/>
      </c>
      <c r="E198" t="s">
        <v>232</v>
      </c>
    </row>
    <row r="199" spans="1:5" x14ac:dyDescent="0.2">
      <c r="A199" t="e" cm="1" vm="1">
        <f t="array" aca="1" ref="A199" ca="1">ROUND({1.5,2.5},)</f>
        <v>#VALUE!</v>
      </c>
      <c r="B199">
        <f t="shared" ca="1" si="9"/>
        <v>9</v>
      </c>
      <c r="C199">
        <f t="shared" ca="1" si="10"/>
        <v>0</v>
      </c>
      <c r="D199" t="str">
        <f t="shared" ca="1" si="11"/>
        <v/>
      </c>
      <c r="E199" t="s">
        <v>233</v>
      </c>
    </row>
    <row r="200" spans="1:5" x14ac:dyDescent="0.2">
      <c r="A200" cm="1">
        <f t="array" ref="A200">SUM(LEN(LEFT({"ab","cd"},)))</f>
        <v>0</v>
      </c>
      <c r="B200">
        <f t="shared" si="9"/>
        <v>0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cm="1">
        <f t="array" ref="A201">_xlfn.LET(_xlpm.x,1,_xlpm.y,2,IF(TRUE,,_xlpm.x+_xlpm.y))</f>
        <v>0</v>
      </c>
      <c r="B201">
        <f t="shared" si="9"/>
        <v>0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str" cm="1">
        <f t="array" ref="A202">_xlfn.LET(_xlpm.x,"a",_xlfn.CONCAT(_xlpm.x,,_xlpm.x))</f>
        <v>aa</v>
      </c>
      <c r="B202">
        <f t="shared" si="9"/>
        <v>-3</v>
      </c>
      <c r="C202">
        <f t="shared" si="10"/>
        <v>0</v>
      </c>
      <c r="D202" t="str">
        <f t="shared" si="11"/>
        <v>aa</v>
      </c>
      <c r="E202" t="s">
        <v>236</v>
      </c>
    </row>
    <row r="203" spans="1:5" x14ac:dyDescent="0.2">
      <c r="A203" t="e" cm="1">
        <f t="array" ref="A203">ACCRINT(,39691,39569,0.1,1000,2,0)</f>
        <v>#N/A</v>
      </c>
      <c r="B203">
        <f t="shared" si="9"/>
        <v>7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e" cm="1">
        <f t="array" ref="A204">ACCRINT(0,39691,39569,0.1,1000,2,0)</f>
        <v>#NUM!</v>
      </c>
      <c r="B204">
        <f t="shared" si="9"/>
        <v>6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t="e" cm="1">
        <f t="array" ref="A205">ACCRINT("",39691,39569,0.1,1000,2,0)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ACCRINT(FALSE,39691,39569,0.1,1000,2,0)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e" cm="1">
        <f t="array" ref="A207">ACCRINT(39508,,39569,0.1,1000,2,0)</f>
        <v>#N/A</v>
      </c>
      <c r="B207">
        <f t="shared" si="9"/>
        <v>7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e" cm="1">
        <f t="array" ref="A208">ACCRINT(39508,0,39569,0.1,1000,2,0)</f>
        <v>#NUM!</v>
      </c>
      <c r="B208">
        <f t="shared" si="9"/>
        <v>6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ACCRINT(39508,"",39569,0.1,1000,2,0)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ACCRINT(39508,FALSE,39569,0.1,1000,2,0)</f>
        <v>#VALUE!</v>
      </c>
      <c r="B210">
        <f t="shared" si="9"/>
        <v>3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ACCRINT(39508,39691,,0.1,1000,2,0)</f>
        <v>#N/A</v>
      </c>
      <c r="B211">
        <f t="shared" si="9"/>
        <v>7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ACCRINT(39508,39691,0,0.1,1000,2,0)</f>
        <v>#NUM!</v>
      </c>
      <c r="B212">
        <f t="shared" si="9"/>
        <v>6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e" cm="1">
        <f t="array" ref="A213">ACCRINT(39508,39691,"",0.1,1000,2,0)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e" cm="1">
        <f t="array" ref="A214">ACCRINT(39508,39691,FALSE,0.1,1000,2,0)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e" cm="1">
        <f t="array" ref="A215">ACCRINT(39508,39691,39569,,1000,2,0)</f>
        <v>#N/A</v>
      </c>
      <c r="B215">
        <f t="shared" si="9"/>
        <v>7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e" cm="1">
        <f t="array" ref="A216">ACCRINT(39508,39691,39569,0,1000,2,0)</f>
        <v>#NUM!</v>
      </c>
      <c r="B216">
        <f t="shared" si="9"/>
        <v>6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ACCRINT(39508,39691,39569,"",1000,2,0)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e" cm="1">
        <f t="array" ref="A218">ACCRINT(39508,39691,39569,FALSE,1000,2,0)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cm="1">
        <f t="array" ref="A219">ACCRINT(39508,39691,39569,0.1,,2,0)</f>
        <v>16.666666666666664</v>
      </c>
      <c r="B219">
        <f t="shared" si="9"/>
        <v>0</v>
      </c>
      <c r="C219">
        <f t="shared" si="10"/>
        <v>16.666666666666664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ACCRINT(39508,39691,39569,0.1,0,2,0)</f>
        <v>#NUM!</v>
      </c>
      <c r="B220">
        <f t="shared" si="9"/>
        <v>6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ACCRINT(39508,39691,39569,0.1,"",2,0)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ACCRINT(39508,39691,39569,0.1,FALSE,2,0)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ACCRINT(39508,39691,39569,0.1,1000,,0)</f>
        <v>#N/A</v>
      </c>
      <c r="B223">
        <f t="shared" si="9"/>
        <v>7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ACCRINT(39508,39691,39569,0.1,1000,0,0)</f>
        <v>#NUM!</v>
      </c>
      <c r="B224">
        <f t="shared" si="9"/>
        <v>6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ACCRINT(39508,39691,39569,0.1,1000,"",0)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ACCRINT(39508,39691,39569,0.1,1000,FALSE,0)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cm="1">
        <f t="array" ref="A227">ACCRINT(39508,39691,39569,0.1,1000,2,)</f>
        <v>16.666666666666664</v>
      </c>
      <c r="B227">
        <f t="shared" si="9"/>
        <v>0</v>
      </c>
      <c r="C227">
        <f t="shared" si="10"/>
        <v>16.666666666666664</v>
      </c>
      <c r="D227" t="str">
        <f t="shared" si="11"/>
        <v/>
      </c>
      <c r="E227" t="s">
        <v>261</v>
      </c>
    </row>
    <row r="228" spans="1:5" x14ac:dyDescent="0.2">
      <c r="A228" cm="1">
        <f t="array" ref="A228">ACCRINT(39508,39691,39569,0.1,1000,2,0)</f>
        <v>16.666666666666664</v>
      </c>
      <c r="B228">
        <f t="shared" si="9"/>
        <v>0</v>
      </c>
      <c r="C228">
        <f t="shared" si="10"/>
        <v>16.666666666666664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ACCRINT(39508,39691,39569,0.1,1000,2,"")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ACCRINT(39508,39691,39569,0.1,1000,2,FALSE)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cm="1">
        <f t="array" ref="A231">ACCRINT(39508,39691,39569,0.1,1000,2,0)</f>
        <v>16.666666666666664</v>
      </c>
      <c r="B231">
        <f t="shared" si="9"/>
        <v>0</v>
      </c>
      <c r="C231">
        <f t="shared" si="10"/>
        <v>16.666666666666664</v>
      </c>
      <c r="D231" t="str">
        <f t="shared" si="11"/>
        <v/>
      </c>
      <c r="E231" t="s">
        <v>265</v>
      </c>
    </row>
    <row r="232" spans="1:5" x14ac:dyDescent="0.2">
      <c r="A232" cm="1">
        <f t="array" ref="A232">ACCRINT(39508,39691,39569,0.1,1000,2,0,)</f>
        <v>16.666666666666664</v>
      </c>
      <c r="B232">
        <f t="shared" si="9"/>
        <v>0</v>
      </c>
      <c r="C232">
        <f t="shared" si="10"/>
        <v>16.666666666666664</v>
      </c>
      <c r="D232" t="str">
        <f t="shared" si="11"/>
        <v/>
      </c>
      <c r="E232" t="s">
        <v>266</v>
      </c>
    </row>
    <row r="233" spans="1:5" x14ac:dyDescent="0.2">
      <c r="A233" cm="1">
        <f t="array" ref="A233">ACCRINT(39508,39691,39569,0.1,1000,2,0,0)</f>
        <v>16.666666666666664</v>
      </c>
      <c r="B233">
        <f t="shared" si="9"/>
        <v>0</v>
      </c>
      <c r="C233">
        <f t="shared" si="10"/>
        <v>16.666666666666664</v>
      </c>
      <c r="D233" t="str">
        <f t="shared" si="11"/>
        <v/>
      </c>
      <c r="E233" t="s">
        <v>267</v>
      </c>
    </row>
    <row r="234" spans="1:5" x14ac:dyDescent="0.2">
      <c r="A234" t="e" cm="1">
        <f t="array" ref="A234">ACCRINT(39508,39691,39569,0.1,1000,2,0,"")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cm="1">
        <f t="array" ref="A235">ACCRINT(39508,39691,39569,0.1,1000,2,0,FALSE)</f>
        <v>16.666666666666664</v>
      </c>
      <c r="B235">
        <f t="shared" si="9"/>
        <v>0</v>
      </c>
      <c r="C235">
        <f t="shared" si="10"/>
        <v>16.666666666666664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ACCRINTM(,DATE(2008,6,15),0.1,1000,3)</f>
        <v>#N/A</v>
      </c>
      <c r="B236">
        <f t="shared" si="9"/>
        <v>7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cm="1">
        <f t="array" ref="A237">ACCRINTM(0,DATE(2008,6,15),0.1,1000,3)</f>
        <v>10853.150684931506</v>
      </c>
      <c r="B237">
        <f t="shared" si="9"/>
        <v>0</v>
      </c>
      <c r="C237">
        <f t="shared" si="10"/>
        <v>10853.150684931506</v>
      </c>
      <c r="D237" t="str">
        <f t="shared" si="11"/>
        <v/>
      </c>
      <c r="E237" t="s">
        <v>271</v>
      </c>
    </row>
    <row r="238" spans="1:5" x14ac:dyDescent="0.2">
      <c r="A238" t="e" cm="1">
        <f t="array" ref="A238">ACCRINTM("",DATE(2008,6,15),0.1,1000,3)</f>
        <v>#VALUE!</v>
      </c>
      <c r="B238">
        <f t="shared" si="9"/>
        <v>3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t="e" cm="1">
        <f t="array" ref="A239">ACCRINTM(FALSE,DATE(2008,6,15),0.1,1000,3)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ACCRINTM(DATE(2008,4,1),,0.1,1000,3)</f>
        <v>#N/A</v>
      </c>
      <c r="B240">
        <f t="shared" si="9"/>
        <v>7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ACCRINTM(DATE(2008,4,1),0,0.1,1000,3)</f>
        <v>#NUM!</v>
      </c>
      <c r="B241">
        <f t="shared" si="9"/>
        <v>6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e" cm="1">
        <f t="array" ref="A242">ACCRINTM(DATE(2008,4,1),"",0.1,1000,3)</f>
        <v>#VALUE!</v>
      </c>
      <c r="B242">
        <f t="shared" si="9"/>
        <v>3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e" cm="1">
        <f t="array" ref="A243">ACCRINTM(DATE(2008,4,1),FALSE,0.1,1000,3)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e" cm="1">
        <f t="array" ref="A244">ACCRINTM(DATE(2008,4,1),DATE(2008,6,15),,1000,3)</f>
        <v>#N/A</v>
      </c>
      <c r="B244">
        <f t="shared" si="9"/>
        <v>7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ACCRINTM(DATE(2008,4,1),DATE(2008,6,15),0,1000,3)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ACCRINTM(DATE(2008,4,1),DATE(2008,6,15),"",1000,3)</f>
        <v>#VALUE!</v>
      </c>
      <c r="B246">
        <f t="shared" si="9"/>
        <v>3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ACCRINTM(DATE(2008,4,1),DATE(2008,6,15),FALSE,1000,3)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cm="1">
        <f t="array" ref="A248">ACCRINTM(DATE(2008,4,1),DATE(2008,6,15),0.1,,3)</f>
        <v>20.547945205479451</v>
      </c>
      <c r="B248">
        <f t="shared" si="9"/>
        <v>0</v>
      </c>
      <c r="C248">
        <f t="shared" si="10"/>
        <v>20.547945205479451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ACCRINTM(DATE(2008,4,1),DATE(2008,6,15),0.1,0,3)</f>
        <v>#NUM!</v>
      </c>
      <c r="B249">
        <f t="shared" si="9"/>
        <v>6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ACCRINTM(DATE(2008,4,1),DATE(2008,6,15),0.1,"",3)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ACCRINTM(DATE(2008,4,1),DATE(2008,6,15),0.1,FALSE,3)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cm="1">
        <f t="array" ref="A252">ACCRINTM(DATE(2008,4,1),DATE(2008,6,15),0.1,1000,)</f>
        <v>20.555555555555554</v>
      </c>
      <c r="B252">
        <f t="shared" si="9"/>
        <v>0</v>
      </c>
      <c r="C252">
        <f t="shared" si="10"/>
        <v>20.555555555555554</v>
      </c>
      <c r="D252" t="str">
        <f t="shared" si="11"/>
        <v/>
      </c>
      <c r="E252" t="s">
        <v>286</v>
      </c>
    </row>
    <row r="253" spans="1:5" x14ac:dyDescent="0.2">
      <c r="A253" cm="1">
        <f t="array" ref="A253">ACCRINTM(DATE(2008,4,1),DATE(2008,6,15),0.1,1000,0)</f>
        <v>20.555555555555554</v>
      </c>
      <c r="B253">
        <f t="shared" si="9"/>
        <v>0</v>
      </c>
      <c r="C253">
        <f t="shared" si="10"/>
        <v>20.555555555555554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ACCRINTM(DATE(2008,4,1),DATE(2008,6,15),0.1,1000,"")</f>
        <v>#VALUE!</v>
      </c>
      <c r="B254">
        <f t="shared" si="9"/>
        <v>3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e" cm="1">
        <f t="array" ref="A255">ACCRINTM(DATE(2008,4,1),DATE(2008,6,15),0.1,1000,FALSE)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>
        <f t="array" ref="A256">ADDRESS(,3)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ADDRESS(0,3)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e" cm="1">
        <f t="array" ref="A258">ADDRESS("",3)</f>
        <v>#VALUE!</v>
      </c>
      <c r="B258">
        <f t="shared" si="12"/>
        <v>3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ADDRESS(FALSE,3)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ADDRESS(2,)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ADDRESS(2,0)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ADDRESS(2,"")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ADDRESS(2,FALSE)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str" cm="1">
        <f t="array" ref="A264">ADDRESS(2,3)</f>
        <v>$C$2</v>
      </c>
      <c r="B264">
        <f t="shared" si="12"/>
        <v>-3</v>
      </c>
      <c r="C264">
        <f t="shared" si="13"/>
        <v>0</v>
      </c>
      <c r="D264" t="str">
        <f t="shared" si="14"/>
        <v>$C$2</v>
      </c>
      <c r="E264" t="s">
        <v>298</v>
      </c>
    </row>
    <row r="265" spans="1:5" x14ac:dyDescent="0.2">
      <c r="A265" t="str" cm="1">
        <f t="array" ref="A265">ADDRESS(2,3,)</f>
        <v>$C$2</v>
      </c>
      <c r="B265">
        <f t="shared" si="12"/>
        <v>-3</v>
      </c>
      <c r="C265">
        <f t="shared" si="13"/>
        <v>0</v>
      </c>
      <c r="D265" t="str">
        <f t="shared" si="14"/>
        <v>$C$2</v>
      </c>
      <c r="E265" t="s">
        <v>299</v>
      </c>
    </row>
    <row r="266" spans="1:5" x14ac:dyDescent="0.2">
      <c r="A266" t="e" cm="1">
        <f t="array" ref="A266">ADDRESS(2,3,0)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ADDRESS(2,3,"")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>
        <f t="array" ref="A268">ADDRESS(2,3,FALSE)</f>
        <v>#VALUE!</v>
      </c>
      <c r="B268">
        <f t="shared" si="12"/>
        <v>3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_xlfn.AGGREGATE(,4,D!B1:B8)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_xlfn.AGGREGATE(0,4,D!B1:B8)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_xlfn.AGGREGATE("",4,D!B1:B8)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_xlfn.AGGREGATE(FALSE,4,D!B1:B8)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cm="1">
        <f t="array" ref="A273">_xlfn.AGGREGATE(9,,D!B1:B8)</f>
        <v>114.75</v>
      </c>
      <c r="B273">
        <f t="shared" si="12"/>
        <v>0</v>
      </c>
      <c r="C273">
        <f t="shared" si="13"/>
        <v>114.75</v>
      </c>
      <c r="D273" t="str">
        <f t="shared" si="14"/>
        <v/>
      </c>
      <c r="E273" t="s">
        <v>307</v>
      </c>
    </row>
    <row r="274" spans="1:5" x14ac:dyDescent="0.2">
      <c r="A274" cm="1">
        <f t="array" ref="A274">_xlfn.AGGREGATE(9,0,D!B1:B8)</f>
        <v>114.75</v>
      </c>
      <c r="B274">
        <f t="shared" si="12"/>
        <v>0</v>
      </c>
      <c r="C274">
        <f t="shared" si="13"/>
        <v>114.75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_xlfn.AGGREGATE(9,"",D!B1:B8)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_xlfn.AGGREGATE(9,FALSE,D!B1:B8)</f>
        <v>114.75</v>
      </c>
      <c r="B276">
        <f t="shared" si="12"/>
        <v>0</v>
      </c>
      <c r="C276">
        <f t="shared" si="13"/>
        <v>114.75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AMORDEGRC(,DATE(2008,8,19),DATE(2008,12,31),300,1,0.15,1)</f>
        <v>#N/A</v>
      </c>
      <c r="B277">
        <f t="shared" si="12"/>
        <v>7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e" cm="1">
        <f t="array" ref="A278">AMORDEGRC(0,DATE(2008,8,19),DATE(2008,12,31),300,1,0.15,1)</f>
        <v>#NUM!</v>
      </c>
      <c r="B278">
        <f t="shared" si="12"/>
        <v>6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AMORDEGRC("",DATE(2008,8,19),DATE(2008,12,31),300,1,0.15,1)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AMORDEGRC(FALSE,DATE(2008,8,19),DATE(2008,12,31),300,1,0.15,1)</f>
        <v>#VALUE!</v>
      </c>
      <c r="B280">
        <f t="shared" si="12"/>
        <v>3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AMORDEGRC(2400,,DATE(2008,12,31),300,1,0.15,1)</f>
        <v>#N/A</v>
      </c>
      <c r="B281">
        <f t="shared" si="12"/>
        <v>7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cm="1">
        <f t="array" ref="A282">AMORDEGRC(2400,0,DATE(2008,12,31),300,1,0.15,1)</f>
        <v>113</v>
      </c>
      <c r="B282">
        <f t="shared" si="12"/>
        <v>0</v>
      </c>
      <c r="C282">
        <f t="shared" si="13"/>
        <v>113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AMORDEGRC(2400,"",DATE(2008,12,31),300,1,0.15,1)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AMORDEGRC(2400,FALSE,DATE(2008,12,31),300,1,0.15,1)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AMORDEGRC(2400,DATE(2008,8,19),,300,1,0.15,1)</f>
        <v>#N/A</v>
      </c>
      <c r="B285">
        <f t="shared" si="12"/>
        <v>7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AMORDEGRC(2400,DATE(2008,8,19),0,300,1,0.15,1)</f>
        <v>#NUM!</v>
      </c>
      <c r="B286">
        <f t="shared" si="12"/>
        <v>6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e" cm="1">
        <f t="array" ref="A287">AMORDEGRC(2400,DATE(2008,8,19),"",300,1,0.15,1)</f>
        <v>#VALUE!</v>
      </c>
      <c r="B287">
        <f t="shared" si="12"/>
        <v>3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e" cm="1">
        <f t="array" ref="A288">AMORDEGRC(2400,DATE(2008,8,19),FALSE,300,1,0.15,1)</f>
        <v>#VALUE!</v>
      </c>
      <c r="B288">
        <f t="shared" si="12"/>
        <v>3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e" cm="1">
        <f t="array" ref="A289">AMORDEGRC(2400,DATE(2008,8,19),DATE(2008,12,31),,1,0.15,1)</f>
        <v>#N/A</v>
      </c>
      <c r="B289">
        <f t="shared" si="12"/>
        <v>7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cm="1">
        <f t="array" ref="A290">AMORDEGRC(2400,DATE(2008,8,19),DATE(2008,12,31),0,1,0.15,1)</f>
        <v>776</v>
      </c>
      <c r="B290">
        <f t="shared" si="12"/>
        <v>0</v>
      </c>
      <c r="C290">
        <f t="shared" si="13"/>
        <v>776</v>
      </c>
      <c r="D290" t="str">
        <f t="shared" si="14"/>
        <v/>
      </c>
      <c r="E290" t="s">
        <v>324</v>
      </c>
    </row>
    <row r="291" spans="1:5" x14ac:dyDescent="0.2">
      <c r="A291" t="e" cm="1">
        <f t="array" ref="A291">AMORDEGRC(2400,DATE(2008,8,19),DATE(2008,12,31),"",1,0.15,1)</f>
        <v>#VALUE!</v>
      </c>
      <c r="B291">
        <f t="shared" si="12"/>
        <v>3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e" cm="1">
        <f t="array" ref="A292">AMORDEGRC(2400,DATE(2008,8,19),DATE(2008,12,31),FALSE,1,0.15,1)</f>
        <v>#VALUE!</v>
      </c>
      <c r="B292">
        <f t="shared" si="12"/>
        <v>3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e" cm="1">
        <f t="array" ref="A293">AMORDEGRC(2400,DATE(2008,8,19),DATE(2008,12,31),300,,0.15,1)</f>
        <v>#N/A</v>
      </c>
      <c r="B293">
        <f t="shared" si="12"/>
        <v>7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cm="1">
        <f t="array" ref="A294">AMORDEGRC(2400,DATE(2008,8,19),DATE(2008,12,31),300,0,0.15,1)</f>
        <v>330</v>
      </c>
      <c r="B294">
        <f t="shared" si="12"/>
        <v>0</v>
      </c>
      <c r="C294">
        <f t="shared" si="13"/>
        <v>330</v>
      </c>
      <c r="D294" t="str">
        <f t="shared" si="14"/>
        <v/>
      </c>
      <c r="E294" t="s">
        <v>328</v>
      </c>
    </row>
    <row r="295" spans="1:5" x14ac:dyDescent="0.2">
      <c r="A295" t="e" cm="1">
        <f t="array" ref="A295">AMORDEGRC(2400,DATE(2008,8,19),DATE(2008,12,31),300,"",0.15,1)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e" cm="1">
        <f t="array" ref="A296">AMORDEGRC(2400,DATE(2008,8,19),DATE(2008,12,31),300,FALSE,0.15,1)</f>
        <v>#VALUE!</v>
      </c>
      <c r="B296">
        <f t="shared" si="12"/>
        <v>3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e" cm="1">
        <f t="array" ref="A297">AMORDEGRC(2400,DATE(2008,8,19),DATE(2008,12,31),300,1,,1)</f>
        <v>#N/A</v>
      </c>
      <c r="B297">
        <f t="shared" si="12"/>
        <v>7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AMORDEGRC(2400,DATE(2008,8,19),DATE(2008,12,31),300,1,0,1)</f>
        <v>#NUM!</v>
      </c>
      <c r="B298">
        <f t="shared" si="12"/>
        <v>6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AMORDEGRC(2400,DATE(2008,8,19),DATE(2008,12,31),300,1,"",1)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AMORDEGRC(2400,DATE(2008,8,19),DATE(2008,12,31),300,1,FALSE,1)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cm="1">
        <f t="array" ref="A301">AMORDEGRC(2400,DATE(2008,8,19),DATE(2008,12,31),300,1,0.15,)</f>
        <v>776</v>
      </c>
      <c r="B301">
        <f t="shared" si="12"/>
        <v>0</v>
      </c>
      <c r="C301">
        <f t="shared" si="13"/>
        <v>776</v>
      </c>
      <c r="D301" t="str">
        <f t="shared" si="14"/>
        <v/>
      </c>
      <c r="E301" t="s">
        <v>335</v>
      </c>
    </row>
    <row r="302" spans="1:5" x14ac:dyDescent="0.2">
      <c r="A302" cm="1">
        <f t="array" ref="A302">AMORDEGRC(2400,DATE(2008,8,19),DATE(2008,12,31),300,1,0.15,0)</f>
        <v>776</v>
      </c>
      <c r="B302">
        <f t="shared" si="12"/>
        <v>0</v>
      </c>
      <c r="C302">
        <f t="shared" si="13"/>
        <v>776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AMORDEGRC(2400,DATE(2008,8,19),DATE(2008,12,31),300,1,0.15,"")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e" cm="1">
        <f t="array" ref="A304">AMORDEGRC(2400,DATE(2008,8,19),DATE(2008,12,31),300,1,0.15,FALSE)</f>
        <v>#VALUE!</v>
      </c>
      <c r="B304">
        <f t="shared" si="12"/>
        <v>3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e" cm="1">
        <f t="array" ref="A305">AMORLINC(,DATE(2008,8,19),DATE(2008,12,31),300,1,0.15,1)</f>
        <v>#N/A</v>
      </c>
      <c r="B305">
        <f t="shared" si="12"/>
        <v>7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e" cm="1">
        <f t="array" ref="A306">AMORLINC(0,DATE(2008,8,19),DATE(2008,12,31),300,1,0.15,1)</f>
        <v>#NUM!</v>
      </c>
      <c r="B306">
        <f t="shared" si="12"/>
        <v>6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AMORLINC("",DATE(2008,8,19),DATE(2008,12,31),300,1,0.15,1)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AMORLINC(FALSE,DATE(2008,8,19),DATE(2008,12,31),300,1,0.15,1)</f>
        <v>#VALUE!</v>
      </c>
      <c r="B308">
        <f t="shared" si="12"/>
        <v>3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AMORLINC(2400,,DATE(2008,12,31),300,1,0.15,1)</f>
        <v>#N/A</v>
      </c>
      <c r="B309">
        <f t="shared" si="12"/>
        <v>7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AMORLINC(2400,0,DATE(2008,12,31),300,1,0.15,1)</f>
        <v>0</v>
      </c>
      <c r="B310">
        <f t="shared" si="12"/>
        <v>0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AMORLINC(2400,"",DATE(2008,12,31),300,1,0.15,1)</f>
        <v>#VALUE!</v>
      </c>
      <c r="B311">
        <f t="shared" si="12"/>
        <v>3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AMORLINC(2400,FALSE,DATE(2008,12,31),300,1,0.15,1)</f>
        <v>#VALUE!</v>
      </c>
      <c r="B312">
        <f t="shared" si="12"/>
        <v>3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AMORLINC(2400,DATE(2008,8,19),,300,1,0.15,1)</f>
        <v>#N/A</v>
      </c>
      <c r="B313">
        <f t="shared" si="12"/>
        <v>7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AMORLINC(2400,DATE(2008,8,19),0,300,1,0.15,1)</f>
        <v>#NUM!</v>
      </c>
      <c r="B314">
        <f t="shared" si="12"/>
        <v>6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AMORLINC(2400,DATE(2008,8,19),"",300,1,0.15,1)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AMORLINC(2400,DATE(2008,8,19),FALSE,300,1,0.15,1)</f>
        <v>#VALUE!</v>
      </c>
      <c r="B316">
        <f t="shared" si="12"/>
        <v>3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>
        <f t="array" ref="A317">AMORLINC(2400,DATE(2008,8,19),DATE(2008,12,31),,1,0.15,1)</f>
        <v>#N/A</v>
      </c>
      <c r="B317">
        <f t="shared" si="12"/>
        <v>7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cm="1">
        <f t="array" ref="A318">AMORLINC(2400,DATE(2008,8,19),DATE(2008,12,31),0,1,0.15,1)</f>
        <v>360</v>
      </c>
      <c r="B318">
        <f t="shared" si="12"/>
        <v>0</v>
      </c>
      <c r="C318">
        <f t="shared" si="13"/>
        <v>360</v>
      </c>
      <c r="D318" t="str">
        <f t="shared" si="14"/>
        <v/>
      </c>
      <c r="E318" t="s">
        <v>352</v>
      </c>
    </row>
    <row r="319" spans="1:5" x14ac:dyDescent="0.2">
      <c r="A319" t="e" cm="1">
        <f t="array" ref="A319">AMORLINC(2400,DATE(2008,8,19),DATE(2008,12,31),"",1,0.15,1)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AMORLINC(2400,DATE(2008,8,19),DATE(2008,12,31),FALSE,1,0.15,1)</f>
        <v>#VALUE!</v>
      </c>
      <c r="B320">
        <f t="shared" si="12"/>
        <v>3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e" cm="1">
        <f t="array" ref="A321">AMORLINC(2400,DATE(2008,8,19),DATE(2008,12,31),300,,0.15,1)</f>
        <v>#N/A</v>
      </c>
      <c r="B321">
        <f t="shared" ref="B321:B384" si="15">IF(ISERROR(A321),ERROR.TYPE(A321),IF(ISNUMBER(A321),0,IF(ISLOGICAL(A321),IF(A321,-1,-2),IF(ISTEXT(A321),-3,-4))))</f>
        <v>7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AMORLINC(2400,DATE(2008,8,19),DATE(2008,12,31),300,0,0.15,1)</f>
        <v>131.80327868852461</v>
      </c>
      <c r="B322">
        <f t="shared" si="15"/>
        <v>0</v>
      </c>
      <c r="C322">
        <f t="shared" si="16"/>
        <v>131.80327868852461</v>
      </c>
      <c r="D322" t="str">
        <f t="shared" si="17"/>
        <v/>
      </c>
      <c r="E322" t="s">
        <v>356</v>
      </c>
    </row>
    <row r="323" spans="1:5" x14ac:dyDescent="0.2">
      <c r="A323" t="e" cm="1">
        <f t="array" ref="A323">AMORLINC(2400,DATE(2008,8,19),DATE(2008,12,31),300,"",0.15,1)</f>
        <v>#VALUE!</v>
      </c>
      <c r="B323">
        <f t="shared" si="15"/>
        <v>3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e" cm="1">
        <f t="array" ref="A324">AMORLINC(2400,DATE(2008,8,19),DATE(2008,12,31),300,FALSE,0.15,1)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e" cm="1">
        <f t="array" ref="A325">AMORLINC(2400,DATE(2008,8,19),DATE(2008,12,31),300,1,,1)</f>
        <v>#N/A</v>
      </c>
      <c r="B325">
        <f t="shared" si="15"/>
        <v>7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e" cm="1">
        <f t="array" ref="A326">AMORLINC(2400,DATE(2008,8,19),DATE(2008,12,31),300,1,0,1)</f>
        <v>#NUM!</v>
      </c>
      <c r="B326">
        <f t="shared" si="15"/>
        <v>6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e" cm="1">
        <f t="array" ref="A327">AMORLINC(2400,DATE(2008,8,19),DATE(2008,12,31),300,1,"",1)</f>
        <v>#VALUE!</v>
      </c>
      <c r="B327">
        <f t="shared" si="15"/>
        <v>3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AMORLINC(2400,DATE(2008,8,19),DATE(2008,12,31),300,1,FALSE,1)</f>
        <v>#VALUE!</v>
      </c>
      <c r="B328">
        <f t="shared" si="15"/>
        <v>3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cm="1">
        <f t="array" ref="A329">AMORLINC(2400,DATE(2008,8,19),DATE(2008,12,31),300,1,0.15,)</f>
        <v>360</v>
      </c>
      <c r="B329">
        <f t="shared" si="15"/>
        <v>0</v>
      </c>
      <c r="C329">
        <f t="shared" si="16"/>
        <v>360</v>
      </c>
      <c r="D329" t="str">
        <f t="shared" si="17"/>
        <v/>
      </c>
      <c r="E329" t="s">
        <v>363</v>
      </c>
    </row>
    <row r="330" spans="1:5" x14ac:dyDescent="0.2">
      <c r="A330" cm="1">
        <f t="array" ref="A330">AMORLINC(2400,DATE(2008,8,19),DATE(2008,12,31),300,1,0.15,0)</f>
        <v>360</v>
      </c>
      <c r="B330">
        <f t="shared" si="15"/>
        <v>0</v>
      </c>
      <c r="C330">
        <f t="shared" si="16"/>
        <v>360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AMORLINC(2400,DATE(2008,8,19),DATE(2008,12,31),300,1,0.15,"")</f>
        <v>#VALUE!</v>
      </c>
      <c r="B331">
        <f t="shared" si="15"/>
        <v>3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AMORLINC(2400,DATE(2008,8,19),DATE(2008,12,31),300,1,0.15,FALSE)</f>
        <v>#VALUE!</v>
      </c>
      <c r="B332">
        <f t="shared" si="15"/>
        <v>3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b" cm="1">
        <f t="array" ref="A333">AND(,TRUE)</f>
        <v>0</v>
      </c>
      <c r="B333">
        <f t="shared" si="15"/>
        <v>-2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b" cm="1">
        <f t="array" ref="A334">AND(0,TRUE)</f>
        <v>0</v>
      </c>
      <c r="B334">
        <f t="shared" si="15"/>
        <v>-2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b" cm="1">
        <f t="array" ref="A335">AND("",TRUE)</f>
        <v>1</v>
      </c>
      <c r="B335">
        <f t="shared" si="15"/>
        <v>-1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b" cm="1">
        <f t="array" ref="A336">AND(FALSE,TRUE)</f>
        <v>0</v>
      </c>
      <c r="B336">
        <f t="shared" si="15"/>
        <v>-2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b" cm="1">
        <f t="array" ref="A337">AND(TRUE,)</f>
        <v>0</v>
      </c>
      <c r="B337">
        <f t="shared" si="15"/>
        <v>-2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b" cm="1">
        <f t="array" ref="A338">AND(TRUE,0)</f>
        <v>0</v>
      </c>
      <c r="B338">
        <f t="shared" si="15"/>
        <v>-2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b" cm="1">
        <f t="array" ref="A339">AND(TRUE,"")</f>
        <v>1</v>
      </c>
      <c r="B339">
        <f t="shared" si="15"/>
        <v>-1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b" cm="1">
        <f t="array" ref="A340">AND(TRUE,FALSE)</f>
        <v>0</v>
      </c>
      <c r="B340">
        <f t="shared" si="15"/>
        <v>-2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b" cm="1">
        <f t="array" ref="A341">AND(TRUE,TRUE)</f>
        <v>1</v>
      </c>
      <c r="B341">
        <f t="shared" si="15"/>
        <v>-1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t="b" cm="1">
        <f t="array" ref="A342">AND(TRUE,TRUE,)</f>
        <v>0</v>
      </c>
      <c r="B342">
        <f t="shared" si="15"/>
        <v>-2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t="b" cm="1">
        <f t="array" ref="A343">AND(TRUE,TRUE,0)</f>
        <v>0</v>
      </c>
      <c r="B343">
        <f t="shared" si="15"/>
        <v>-2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b" cm="1">
        <f t="array" ref="A344">AND(TRUE,TRUE,"")</f>
        <v>1</v>
      </c>
      <c r="B344">
        <f t="shared" si="15"/>
        <v>-1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b" cm="1">
        <f t="array" ref="A345">AND(TRUE,TRUE,FALSE)</f>
        <v>0</v>
      </c>
      <c r="B345">
        <f t="shared" si="15"/>
        <v>-2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t="e" cm="1">
        <f t="array" ref="A346">_xlfn.ARRAYTOTEXT(,0)</f>
        <v>#VALUE!</v>
      </c>
      <c r="B346">
        <f t="shared" si="15"/>
        <v>3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str" cm="1">
        <f t="array" ref="A347">_xlfn.ARRAYTOTEXT(0,0)</f>
        <v>0</v>
      </c>
      <c r="B347">
        <f t="shared" si="15"/>
        <v>-3</v>
      </c>
      <c r="C347">
        <f t="shared" si="16"/>
        <v>0</v>
      </c>
      <c r="D347" t="str">
        <f t="shared" si="17"/>
        <v>0</v>
      </c>
      <c r="E347" t="s">
        <v>381</v>
      </c>
    </row>
    <row r="348" spans="1:5" x14ac:dyDescent="0.2">
      <c r="A348" t="str" cm="1">
        <f t="array" ref="A348">_xlfn.ARRAYTOTEXT("",0)</f>
        <v/>
      </c>
      <c r="B348">
        <f t="shared" si="15"/>
        <v>-3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str" cm="1">
        <f t="array" ref="A349">_xlfn.ARRAYTOTEXT(FALSE,0)</f>
        <v>FALSE</v>
      </c>
      <c r="B349">
        <f t="shared" si="15"/>
        <v>-3</v>
      </c>
      <c r="C349">
        <f t="shared" si="16"/>
        <v>0</v>
      </c>
      <c r="D349" t="str">
        <f t="shared" si="17"/>
        <v>FALSE</v>
      </c>
      <c r="E349" t="s">
        <v>383</v>
      </c>
    </row>
    <row r="350" spans="1:5" x14ac:dyDescent="0.2">
      <c r="A350" t="str" cm="1">
        <f t="array" ref="A350">_xlfn.ARRAYTOTEXT(D!L1:N2,)</f>
        <v>1, one, 10, 2, two, 20</v>
      </c>
      <c r="B350">
        <f t="shared" si="15"/>
        <v>-3</v>
      </c>
      <c r="C350">
        <f t="shared" si="16"/>
        <v>0</v>
      </c>
      <c r="D350" t="str">
        <f t="shared" si="17"/>
        <v>1, one, 10, 2, two, 20</v>
      </c>
      <c r="E350" t="s">
        <v>384</v>
      </c>
    </row>
    <row r="351" spans="1:5" x14ac:dyDescent="0.2">
      <c r="A351" t="str" cm="1">
        <f t="array" ref="A351">_xlfn.ARRAYTOTEXT(D!L1:N2,0)</f>
        <v>1, one, 10, 2, two, 20</v>
      </c>
      <c r="B351">
        <f t="shared" si="15"/>
        <v>-3</v>
      </c>
      <c r="C351">
        <f t="shared" si="16"/>
        <v>0</v>
      </c>
      <c r="D351" t="str">
        <f t="shared" si="17"/>
        <v>1, one, 10, 2, two, 20</v>
      </c>
      <c r="E351" t="s">
        <v>385</v>
      </c>
    </row>
    <row r="352" spans="1:5" x14ac:dyDescent="0.2">
      <c r="A352" t="e" cm="1">
        <f t="array" ref="A352">_xlfn.ARRAYTOTEXT(D!L1:N2,"")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t="str" cm="1">
        <f t="array" ref="A353">_xlfn.ARRAYTOTEXT(D!L1:N2,FALSE)</f>
        <v>1, one, 10, 2, two, 20</v>
      </c>
      <c r="B353">
        <f t="shared" si="15"/>
        <v>-3</v>
      </c>
      <c r="C353">
        <f t="shared" si="16"/>
        <v>0</v>
      </c>
      <c r="D353" t="str">
        <f t="shared" si="17"/>
        <v>1, one, 10, 2, two, 20</v>
      </c>
      <c r="E353" t="s">
        <v>387</v>
      </c>
    </row>
    <row r="354" spans="1:5" x14ac:dyDescent="0.2">
      <c r="A354" cm="1">
        <f t="array" ref="A354">ATAN2(,1)</f>
        <v>1.5707963267948966</v>
      </c>
      <c r="B354">
        <f t="shared" si="15"/>
        <v>0</v>
      </c>
      <c r="C354">
        <f t="shared" si="16"/>
        <v>1.5707963267948966</v>
      </c>
      <c r="D354" t="str">
        <f t="shared" si="17"/>
        <v/>
      </c>
      <c r="E354" t="s">
        <v>388</v>
      </c>
    </row>
    <row r="355" spans="1:5" x14ac:dyDescent="0.2">
      <c r="A355" cm="1">
        <f t="array" ref="A355">ATAN2(0,1)</f>
        <v>1.5707963267948966</v>
      </c>
      <c r="B355">
        <f t="shared" si="15"/>
        <v>0</v>
      </c>
      <c r="C355">
        <f t="shared" si="16"/>
        <v>1.5707963267948966</v>
      </c>
      <c r="D355" t="str">
        <f t="shared" si="17"/>
        <v/>
      </c>
      <c r="E355" t="s">
        <v>389</v>
      </c>
    </row>
    <row r="356" spans="1:5" x14ac:dyDescent="0.2">
      <c r="A356" t="e" cm="1">
        <f t="array" ref="A356">ATAN2("",1)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cm="1">
        <f t="array" ref="A357">ATAN2(FALSE,1)</f>
        <v>1.5707963267948966</v>
      </c>
      <c r="B357">
        <f t="shared" si="15"/>
        <v>0</v>
      </c>
      <c r="C357">
        <f t="shared" si="16"/>
        <v>1.5707963267948966</v>
      </c>
      <c r="D357" t="str">
        <f t="shared" si="17"/>
        <v/>
      </c>
      <c r="E357" t="s">
        <v>391</v>
      </c>
    </row>
    <row r="358" spans="1:5" x14ac:dyDescent="0.2">
      <c r="A358" cm="1">
        <f t="array" ref="A358">ATAN2(1,)</f>
        <v>0</v>
      </c>
      <c r="B358">
        <f t="shared" si="15"/>
        <v>0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cm="1">
        <f t="array" ref="A359">ATAN2(1,0)</f>
        <v>0</v>
      </c>
      <c r="B359">
        <f t="shared" si="15"/>
        <v>0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t="e" cm="1">
        <f t="array" ref="A360">ATAN2(1,"")</f>
        <v>#VALUE!</v>
      </c>
      <c r="B360">
        <f t="shared" si="15"/>
        <v>3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cm="1">
        <f t="array" ref="A361">ATAN2(1,FALSE)</f>
        <v>0</v>
      </c>
      <c r="B361">
        <f t="shared" si="15"/>
        <v>0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cm="1">
        <f t="array" ref="A362">AVEDEV(D!B1:B8)</f>
        <v>9.65625</v>
      </c>
      <c r="B362">
        <f t="shared" si="15"/>
        <v>0</v>
      </c>
      <c r="C362">
        <f t="shared" si="16"/>
        <v>9.65625</v>
      </c>
      <c r="D362" t="str">
        <f t="shared" si="17"/>
        <v/>
      </c>
      <c r="E362" t="s">
        <v>396</v>
      </c>
    </row>
    <row r="363" spans="1:5" x14ac:dyDescent="0.2">
      <c r="A363" cm="1">
        <f t="array" ref="A363">AVEDEV(D!B1:B8,)</f>
        <v>10</v>
      </c>
      <c r="B363">
        <f t="shared" si="15"/>
        <v>0</v>
      </c>
      <c r="C363">
        <f t="shared" si="16"/>
        <v>10</v>
      </c>
      <c r="D363" t="str">
        <f t="shared" si="17"/>
        <v/>
      </c>
      <c r="E363" t="s">
        <v>397</v>
      </c>
    </row>
    <row r="364" spans="1:5" x14ac:dyDescent="0.2">
      <c r="A364" cm="1">
        <f t="array" ref="A364">AVEDEV(D!B1:B8,0)</f>
        <v>10</v>
      </c>
      <c r="B364">
        <f t="shared" si="15"/>
        <v>0</v>
      </c>
      <c r="C364">
        <f t="shared" si="16"/>
        <v>10</v>
      </c>
      <c r="D364" t="str">
        <f t="shared" si="17"/>
        <v/>
      </c>
      <c r="E364" t="s">
        <v>398</v>
      </c>
    </row>
    <row r="365" spans="1:5" x14ac:dyDescent="0.2">
      <c r="A365" t="e" cm="1">
        <f t="array" ref="A365">AVEDEV(D!B1:B8,"")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cm="1">
        <f t="array" ref="A366">AVEDEV(D!B1:B8,FALSE)</f>
        <v>10</v>
      </c>
      <c r="B366">
        <f t="shared" si="15"/>
        <v>0</v>
      </c>
      <c r="C366">
        <f t="shared" si="16"/>
        <v>10</v>
      </c>
      <c r="D366" t="str">
        <f t="shared" si="17"/>
        <v/>
      </c>
      <c r="E366" t="s">
        <v>400</v>
      </c>
    </row>
    <row r="367" spans="1:5" x14ac:dyDescent="0.2">
      <c r="A367" cm="1">
        <f t="array" ref="A367">AVERAGE(D!B1:B8)</f>
        <v>14.34375</v>
      </c>
      <c r="B367">
        <f t="shared" si="15"/>
        <v>0</v>
      </c>
      <c r="C367">
        <f t="shared" si="16"/>
        <v>14.34375</v>
      </c>
      <c r="D367" t="str">
        <f t="shared" si="17"/>
        <v/>
      </c>
      <c r="E367" t="s">
        <v>401</v>
      </c>
    </row>
    <row r="368" spans="1:5" x14ac:dyDescent="0.2">
      <c r="A368" cm="1">
        <f t="array" ref="A368">AVERAGE(D!B1:B8,)</f>
        <v>12.75</v>
      </c>
      <c r="B368">
        <f t="shared" si="15"/>
        <v>0</v>
      </c>
      <c r="C368">
        <f t="shared" si="16"/>
        <v>12.75</v>
      </c>
      <c r="D368" t="str">
        <f t="shared" si="17"/>
        <v/>
      </c>
      <c r="E368" t="s">
        <v>402</v>
      </c>
    </row>
    <row r="369" spans="1:5" x14ac:dyDescent="0.2">
      <c r="A369" cm="1">
        <f t="array" ref="A369">AVERAGE(D!B1:B8,0)</f>
        <v>12.75</v>
      </c>
      <c r="B369">
        <f t="shared" si="15"/>
        <v>0</v>
      </c>
      <c r="C369">
        <f t="shared" si="16"/>
        <v>12.75</v>
      </c>
      <c r="D369" t="str">
        <f t="shared" si="17"/>
        <v/>
      </c>
      <c r="E369" t="s">
        <v>403</v>
      </c>
    </row>
    <row r="370" spans="1:5" x14ac:dyDescent="0.2">
      <c r="A370" t="e" cm="1">
        <f t="array" ref="A370">AVERAGE(D!B1:B8,"")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cm="1">
        <f t="array" ref="A371">AVERAGE(D!B1:B8,FALSE)</f>
        <v>12.75</v>
      </c>
      <c r="B371">
        <f t="shared" si="15"/>
        <v>0</v>
      </c>
      <c r="C371">
        <f t="shared" si="16"/>
        <v>12.75</v>
      </c>
      <c r="D371" t="str">
        <f t="shared" si="17"/>
        <v/>
      </c>
      <c r="E371" t="s">
        <v>405</v>
      </c>
    </row>
    <row r="372" spans="1:5" x14ac:dyDescent="0.2">
      <c r="A372" cm="1">
        <f t="array" ref="A372">AVERAGEA(D!B1:B8)</f>
        <v>14.34375</v>
      </c>
      <c r="B372">
        <f t="shared" si="15"/>
        <v>0</v>
      </c>
      <c r="C372">
        <f t="shared" si="16"/>
        <v>14.34375</v>
      </c>
      <c r="D372" t="str">
        <f t="shared" si="17"/>
        <v/>
      </c>
      <c r="E372" t="s">
        <v>406</v>
      </c>
    </row>
    <row r="373" spans="1:5" x14ac:dyDescent="0.2">
      <c r="A373" cm="1">
        <f t="array" ref="A373">AVERAGEA(D!B1:B8,)</f>
        <v>12.75</v>
      </c>
      <c r="B373">
        <f t="shared" si="15"/>
        <v>0</v>
      </c>
      <c r="C373">
        <f t="shared" si="16"/>
        <v>12.75</v>
      </c>
      <c r="D373" t="str">
        <f t="shared" si="17"/>
        <v/>
      </c>
      <c r="E373" t="s">
        <v>407</v>
      </c>
    </row>
    <row r="374" spans="1:5" x14ac:dyDescent="0.2">
      <c r="A374" cm="1">
        <f t="array" ref="A374">AVERAGEA(D!B1:B8,0)</f>
        <v>12.75</v>
      </c>
      <c r="B374">
        <f t="shared" si="15"/>
        <v>0</v>
      </c>
      <c r="C374">
        <f t="shared" si="16"/>
        <v>12.75</v>
      </c>
      <c r="D374" t="str">
        <f t="shared" si="17"/>
        <v/>
      </c>
      <c r="E374" t="s">
        <v>408</v>
      </c>
    </row>
    <row r="375" spans="1:5" x14ac:dyDescent="0.2">
      <c r="A375" t="e" cm="1">
        <f t="array" ref="A375">AVERAGEA(D!B1:B8,"")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cm="1">
        <f t="array" ref="A376">AVERAGEA(D!B1:B8,FALSE)</f>
        <v>12.75</v>
      </c>
      <c r="B376">
        <f t="shared" si="15"/>
        <v>0</v>
      </c>
      <c r="C376">
        <f t="shared" si="16"/>
        <v>12.75</v>
      </c>
      <c r="D376" t="str">
        <f t="shared" si="17"/>
        <v/>
      </c>
      <c r="E376" t="s">
        <v>410</v>
      </c>
    </row>
    <row r="377" spans="1:5" x14ac:dyDescent="0.2">
      <c r="A377" t="e" cm="1">
        <f t="array" ref="A377">AVERAGEIF(D!G1:G7,,D!G1:G7)</f>
        <v>#DIV/0!</v>
      </c>
      <c r="B377">
        <f t="shared" si="15"/>
        <v>2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t="e" cm="1">
        <f t="array" ref="A378">AVERAGEIF(D!G1:G7,0,D!G1:G7)</f>
        <v>#DIV/0!</v>
      </c>
      <c r="B378">
        <f t="shared" si="15"/>
        <v>2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AVERAGEIF(D!G1:G7,"",D!G1:G7)</f>
        <v>#DIV/0!</v>
      </c>
      <c r="B379">
        <f t="shared" si="15"/>
        <v>2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AVERAGEIF(D!G1:G7,FALSE,D!G1:G7)</f>
        <v>#DIV/0!</v>
      </c>
      <c r="B380">
        <f t="shared" si="15"/>
        <v>2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t="e" cm="1">
        <f t="array" ref="A381">AVERAGEIFS(D!G1:G7,D!G1:G7,)</f>
        <v>#DIV/0!</v>
      </c>
      <c r="B381">
        <f t="shared" si="15"/>
        <v>2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AVERAGEIFS(D!G1:G7,D!G1:G7,0)</f>
        <v>#DIV/0!</v>
      </c>
      <c r="B382">
        <f t="shared" si="15"/>
        <v>2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e" cm="1">
        <f t="array" ref="A383">AVERAGEIFS(D!G1:G7,D!G1:G7,"")</f>
        <v>#DIV/0!</v>
      </c>
      <c r="B383">
        <f t="shared" si="15"/>
        <v>2</v>
      </c>
      <c r="C383">
        <f t="shared" si="16"/>
        <v>0</v>
      </c>
      <c r="D383" t="str">
        <f t="shared" si="17"/>
        <v/>
      </c>
      <c r="E383" t="s">
        <v>417</v>
      </c>
    </row>
    <row r="384" spans="1:5" x14ac:dyDescent="0.2">
      <c r="A384" t="e" cm="1">
        <f t="array" ref="A384">AVERAGEIFS(D!G1:G7,D!G1:G7,FALSE)</f>
        <v>#DIV/0!</v>
      </c>
      <c r="B384">
        <f t="shared" si="15"/>
        <v>2</v>
      </c>
      <c r="C384">
        <f t="shared" si="16"/>
        <v>0</v>
      </c>
      <c r="D384" t="str">
        <f t="shared" si="17"/>
        <v/>
      </c>
      <c r="E384" t="s">
        <v>418</v>
      </c>
    </row>
    <row r="385" spans="1:5" x14ac:dyDescent="0.2">
      <c r="A385" t="str" cm="1">
        <f t="array" ref="A385">_xlfn.BASE(,2)</f>
        <v>0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0</v>
      </c>
      <c r="E385" t="s">
        <v>419</v>
      </c>
    </row>
    <row r="386" spans="1:5" x14ac:dyDescent="0.2">
      <c r="A386" t="str" cm="1">
        <f t="array" ref="A386">_xlfn.BASE(0,2)</f>
        <v>0</v>
      </c>
      <c r="B386">
        <f t="shared" si="18"/>
        <v>-3</v>
      </c>
      <c r="C386">
        <f t="shared" si="19"/>
        <v>0</v>
      </c>
      <c r="D386" t="str">
        <f t="shared" si="20"/>
        <v>0</v>
      </c>
      <c r="E386" t="s">
        <v>420</v>
      </c>
    </row>
    <row r="387" spans="1:5" x14ac:dyDescent="0.2">
      <c r="A387" t="e" cm="1">
        <f t="array" ref="A387">_xlfn.BASE("",2)</f>
        <v>#VALUE!</v>
      </c>
      <c r="B387">
        <f t="shared" si="18"/>
        <v>3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t="str" cm="1">
        <f t="array" ref="A388">_xlfn.BASE(FALSE,2)</f>
        <v>0</v>
      </c>
      <c r="B388">
        <f t="shared" si="18"/>
        <v>-3</v>
      </c>
      <c r="C388">
        <f t="shared" si="19"/>
        <v>0</v>
      </c>
      <c r="D388" t="str">
        <f t="shared" si="20"/>
        <v>0</v>
      </c>
      <c r="E388" t="s">
        <v>422</v>
      </c>
    </row>
    <row r="389" spans="1:5" x14ac:dyDescent="0.2">
      <c r="A389" t="e" cm="1">
        <f t="array" ref="A389">_xlfn.BASE(7,)</f>
        <v>#NUM!</v>
      </c>
      <c r="B389">
        <f t="shared" si="18"/>
        <v>6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_xlfn.BASE(7,0)</f>
        <v>#NUM!</v>
      </c>
      <c r="B390">
        <f t="shared" si="18"/>
        <v>6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t="e" cm="1">
        <f t="array" ref="A391">_xlfn.BASE(7,"")</f>
        <v>#VALUE!</v>
      </c>
      <c r="B391">
        <f t="shared" si="18"/>
        <v>3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t="e" cm="1">
        <f t="array" ref="A392">_xlfn.BASE(7,FALSE)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t="str" cm="1">
        <f t="array" ref="A393">_xlfn.BASE(7,2)</f>
        <v>111</v>
      </c>
      <c r="B393">
        <f t="shared" si="18"/>
        <v>-3</v>
      </c>
      <c r="C393">
        <f t="shared" si="19"/>
        <v>0</v>
      </c>
      <c r="D393" t="str">
        <f t="shared" si="20"/>
        <v>111</v>
      </c>
      <c r="E393" t="s">
        <v>427</v>
      </c>
    </row>
    <row r="394" spans="1:5" x14ac:dyDescent="0.2">
      <c r="A394" t="str" cm="1">
        <f t="array" ref="A394">_xlfn.BASE(7,2,)</f>
        <v>111</v>
      </c>
      <c r="B394">
        <f t="shared" si="18"/>
        <v>-3</v>
      </c>
      <c r="C394">
        <f t="shared" si="19"/>
        <v>0</v>
      </c>
      <c r="D394" t="str">
        <f t="shared" si="20"/>
        <v>111</v>
      </c>
      <c r="E394" t="s">
        <v>428</v>
      </c>
    </row>
    <row r="395" spans="1:5" x14ac:dyDescent="0.2">
      <c r="A395" t="str" cm="1">
        <f t="array" ref="A395">_xlfn.BASE(7,2,0)</f>
        <v>111</v>
      </c>
      <c r="B395">
        <f t="shared" si="18"/>
        <v>-3</v>
      </c>
      <c r="C395">
        <f t="shared" si="19"/>
        <v>0</v>
      </c>
      <c r="D395" t="str">
        <f t="shared" si="20"/>
        <v>111</v>
      </c>
      <c r="E395" t="s">
        <v>429</v>
      </c>
    </row>
    <row r="396" spans="1:5" x14ac:dyDescent="0.2">
      <c r="A396" t="e" cm="1">
        <f t="array" ref="A396">_xlfn.BASE(7,2,"")</f>
        <v>#VALUE!</v>
      </c>
      <c r="B396">
        <f t="shared" si="18"/>
        <v>3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t="str" cm="1">
        <f t="array" ref="A397">_xlfn.BASE(7,2,FALSE)</f>
        <v>111</v>
      </c>
      <c r="B397">
        <f t="shared" si="18"/>
        <v>-3</v>
      </c>
      <c r="C397">
        <f t="shared" si="19"/>
        <v>0</v>
      </c>
      <c r="D397" t="str">
        <f t="shared" si="20"/>
        <v>111</v>
      </c>
      <c r="E397" t="s">
        <v>431</v>
      </c>
    </row>
    <row r="398" spans="1:5" x14ac:dyDescent="0.2">
      <c r="A398" t="e" cm="1">
        <f t="array" ref="A398">BESSELI(,1)</f>
        <v>#N/A</v>
      </c>
      <c r="B398">
        <f t="shared" si="18"/>
        <v>7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cm="1">
        <f t="array" ref="A399">BESSELI(0,1)</f>
        <v>0</v>
      </c>
      <c r="B399">
        <f t="shared" si="18"/>
        <v>0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e" cm="1">
        <f t="array" ref="A400">BESSELI("",1)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2026-10-07T05:16:13Z</dcterms:created>
  <dcterms:modified xsi:type="dcterms:W3CDTF">2026-10-07T05:16:13Z</dcterms:modified>
  <cp:category/>
</cp:coreProperties>
</file>