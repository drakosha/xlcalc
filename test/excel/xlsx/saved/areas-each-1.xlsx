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184A31B-7196-204C-9E92-8FFC71BCD5D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T" sheetId="4" r:id="rId4"/>
    <sheet name="D" sheetId="5" r:id="rId5"/>
    <sheet name="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6" l="1" a="1"/>
  <c r="A52" i="6" s="1"/>
  <c r="A51" i="6" a="1"/>
  <c r="A51" i="6" s="1"/>
  <c r="A50" i="6" a="1"/>
  <c r="A50" i="6" s="1"/>
  <c r="D50" i="6" s="1"/>
  <c r="A49" i="6" a="1"/>
  <c r="A49" i="6" s="1"/>
  <c r="A48" i="6" a="1"/>
  <c r="A48" i="6" s="1"/>
  <c r="A47" i="6" a="1"/>
  <c r="A47" i="6"/>
  <c r="D47" i="6" s="1"/>
  <c r="A46" i="6" a="1"/>
  <c r="A46" i="6"/>
  <c r="B46" i="6" s="1"/>
  <c r="A45" i="6" a="1"/>
  <c r="A45" i="6" s="1"/>
  <c r="A44" i="6" a="1"/>
  <c r="A44" i="6" s="1"/>
  <c r="A43" i="6" a="1"/>
  <c r="A43" i="6" s="1"/>
  <c r="C43" i="6" s="1"/>
  <c r="A42" i="6" a="1"/>
  <c r="A42" i="6" s="1"/>
  <c r="A41" i="6" a="1"/>
  <c r="A41" i="6" s="1"/>
  <c r="A39" i="6" a="1"/>
  <c r="A39" i="6" s="1"/>
  <c r="A38" i="6" a="1"/>
  <c r="A38" i="6" s="1"/>
  <c r="A37" i="6" a="1"/>
  <c r="A37" i="6" s="1"/>
  <c r="A36" i="6" a="1"/>
  <c r="A36" i="6" s="1"/>
  <c r="D36" i="6" s="1"/>
  <c r="A35" i="6" a="1"/>
  <c r="A35" i="6" s="1"/>
  <c r="D35" i="6" s="1"/>
  <c r="A34" i="6" a="1"/>
  <c r="A34" i="6"/>
  <c r="D34" i="6" s="1"/>
  <c r="A33" i="6" a="1"/>
  <c r="A33" i="6" s="1"/>
  <c r="A32" i="6" a="1"/>
  <c r="A32" i="6" s="1"/>
  <c r="C32" i="6" s="1"/>
  <c r="A31" i="6" a="1"/>
  <c r="A31" i="6" s="1"/>
  <c r="A30" i="6" a="1"/>
  <c r="A30" i="6" s="1"/>
  <c r="A29" i="6" a="1"/>
  <c r="A29" i="6"/>
  <c r="D29" i="6" s="1"/>
  <c r="A27" i="6" a="1"/>
  <c r="A27" i="6"/>
  <c r="C27" i="6" s="1"/>
  <c r="A25" i="6" a="1"/>
  <c r="A25" i="6"/>
  <c r="B25" i="6" s="1"/>
  <c r="A24" i="6" a="1"/>
  <c r="A24" i="6" s="1"/>
  <c r="A23" i="6" a="1"/>
  <c r="A23" i="6"/>
  <c r="D23" i="6" s="1"/>
  <c r="A20" i="6" a="1"/>
  <c r="A20" i="6"/>
  <c r="B20" i="6" s="1"/>
  <c r="A19" i="6" a="1"/>
  <c r="A19" i="6" s="1"/>
  <c r="A18" i="6" a="1"/>
  <c r="A18" i="6" s="1"/>
  <c r="D18" i="6" s="1"/>
  <c r="A17" i="6" a="1"/>
  <c r="A17" i="6" s="1"/>
  <c r="D17" i="6" s="1"/>
  <c r="A15" i="6" a="1"/>
  <c r="A15" i="6" s="1"/>
  <c r="A14" i="6" a="1"/>
  <c r="A14" i="6"/>
  <c r="D14" i="6" s="1"/>
  <c r="A13" i="6" a="1"/>
  <c r="A13" i="6" s="1"/>
  <c r="A12" i="6" a="1"/>
  <c r="A12" i="6" s="1"/>
  <c r="A11" i="6" a="1"/>
  <c r="A11" i="6" s="1"/>
  <c r="D11" i="6" s="1"/>
  <c r="A10" i="6" a="1"/>
  <c r="A10" i="6" s="1"/>
  <c r="B10" i="6" s="1"/>
  <c r="A9" i="6" a="1"/>
  <c r="A9" i="6" s="1"/>
  <c r="A8" i="6" a="1"/>
  <c r="A8" i="6" s="1"/>
  <c r="A7" i="6" a="1"/>
  <c r="A7" i="6"/>
  <c r="C7" i="6" s="1"/>
  <c r="A6" i="6" a="1"/>
  <c r="A6" i="6" s="1"/>
  <c r="A5" i="6" a="1"/>
  <c r="A5" i="6" s="1"/>
  <c r="D5" i="6" s="1"/>
  <c r="A4" i="6" a="1"/>
  <c r="A4" i="6"/>
  <c r="D4" i="6" s="1"/>
  <c r="A3" i="6" a="1"/>
  <c r="A3" i="6" s="1"/>
  <c r="A2" i="6" a="1"/>
  <c r="A2" i="6" s="1"/>
  <c r="A1" i="6" a="1"/>
  <c r="A1" i="6" s="1"/>
  <c r="I15" i="5"/>
  <c r="A14" i="5"/>
  <c r="A13" i="5"/>
  <c r="AL10" i="5"/>
  <c r="A8" i="5"/>
  <c r="A7" i="5"/>
  <c r="E3" i="5"/>
  <c r="A21" i="6" s="1" a="1"/>
  <c r="A21" i="6" s="1"/>
  <c r="A3" i="4"/>
  <c r="A26" i="6" s="1" a="1"/>
  <c r="A26" i="6" s="1"/>
  <c r="C9" i="6" l="1"/>
  <c r="D9" i="6"/>
  <c r="D44" i="6"/>
  <c r="C44" i="6"/>
  <c r="D13" i="6"/>
  <c r="C13" i="6"/>
  <c r="B13" i="6"/>
  <c r="D31" i="6"/>
  <c r="B31" i="6"/>
  <c r="C31" i="6"/>
  <c r="B2" i="6"/>
  <c r="C2" i="6"/>
  <c r="D2" i="6"/>
  <c r="C46" i="6"/>
  <c r="D46" i="6"/>
  <c r="D27" i="6"/>
  <c r="C20" i="6"/>
  <c r="D20" i="6"/>
  <c r="A16" i="6" a="1"/>
  <c r="A16" i="6" s="1"/>
  <c r="D16" i="6" s="1"/>
  <c r="D19" i="6"/>
  <c r="C19" i="6"/>
  <c r="B19" i="6"/>
  <c r="D12" i="6"/>
  <c r="C12" i="6"/>
  <c r="B12" i="6"/>
  <c r="B38" i="6"/>
  <c r="C38" i="6"/>
  <c r="D38" i="6"/>
  <c r="D49" i="6"/>
  <c r="C49" i="6"/>
  <c r="B49" i="6"/>
  <c r="D26" i="6"/>
  <c r="C26" i="6"/>
  <c r="B26" i="6"/>
  <c r="B6" i="6"/>
  <c r="D6" i="6"/>
  <c r="C6" i="6"/>
  <c r="C45" i="6"/>
  <c r="B45" i="6"/>
  <c r="D45" i="6"/>
  <c r="D3" i="6"/>
  <c r="B3" i="6"/>
  <c r="C3" i="6"/>
  <c r="D37" i="6"/>
  <c r="C37" i="6"/>
  <c r="B37" i="6"/>
  <c r="C41" i="6"/>
  <c r="B41" i="6"/>
  <c r="D41" i="6"/>
  <c r="D1" i="6"/>
  <c r="C1" i="6"/>
  <c r="B1" i="6"/>
  <c r="D15" i="6"/>
  <c r="C15" i="6"/>
  <c r="B15" i="6"/>
  <c r="D8" i="6"/>
  <c r="C8" i="6"/>
  <c r="B8" i="6"/>
  <c r="D30" i="6"/>
  <c r="C30" i="6"/>
  <c r="B30" i="6"/>
  <c r="D42" i="6"/>
  <c r="C42" i="6"/>
  <c r="B42" i="6"/>
  <c r="D51" i="6"/>
  <c r="C51" i="6"/>
  <c r="B51" i="6"/>
  <c r="D33" i="6"/>
  <c r="C33" i="6"/>
  <c r="B33" i="6"/>
  <c r="D24" i="6"/>
  <c r="C24" i="6"/>
  <c r="B24" i="6"/>
  <c r="D21" i="6"/>
  <c r="C21" i="6"/>
  <c r="B21" i="6"/>
  <c r="C48" i="6"/>
  <c r="D48" i="6"/>
  <c r="B48" i="6"/>
  <c r="B39" i="6"/>
  <c r="D39" i="6"/>
  <c r="C39" i="6"/>
  <c r="D52" i="6"/>
  <c r="C52" i="6"/>
  <c r="B52" i="6"/>
  <c r="B17" i="6"/>
  <c r="A28" i="6" a="1"/>
  <c r="A28" i="6" s="1"/>
  <c r="B35" i="6"/>
  <c r="C35" i="6"/>
  <c r="C10" i="6"/>
  <c r="D10" i="6"/>
  <c r="B32" i="6"/>
  <c r="B50" i="6"/>
  <c r="B7" i="6"/>
  <c r="B43" i="6"/>
  <c r="C50" i="6"/>
  <c r="C25" i="6"/>
  <c r="D7" i="6"/>
  <c r="B11" i="6"/>
  <c r="C18" i="6"/>
  <c r="A22" i="6" a="1"/>
  <c r="A22" i="6" s="1"/>
  <c r="D25" i="6"/>
  <c r="B29" i="6"/>
  <c r="C36" i="6"/>
  <c r="A40" i="6" a="1"/>
  <c r="A40" i="6" s="1"/>
  <c r="D43" i="6"/>
  <c r="B47" i="6"/>
  <c r="B14" i="6"/>
  <c r="C14" i="6"/>
  <c r="B18" i="6"/>
  <c r="D32" i="6"/>
  <c r="B36" i="6"/>
  <c r="B4" i="6"/>
  <c r="C11" i="6"/>
  <c r="C29" i="6"/>
  <c r="C47" i="6"/>
  <c r="C17" i="6"/>
  <c r="C4" i="6"/>
  <c r="B44" i="6"/>
  <c r="B5" i="6"/>
  <c r="B23" i="6"/>
  <c r="C5" i="6"/>
  <c r="B16" i="6"/>
  <c r="C23" i="6"/>
  <c r="B34" i="6"/>
  <c r="B9" i="6"/>
  <c r="C16" i="6"/>
  <c r="B27" i="6"/>
  <c r="C34" i="6"/>
  <c r="D40" i="6" l="1"/>
  <c r="C40" i="6"/>
  <c r="B40" i="6"/>
  <c r="C28" i="6"/>
  <c r="B28" i="6"/>
  <c r="D28" i="6"/>
  <c r="D22" i="6"/>
  <c r="C22" i="6"/>
  <c r="B2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<sst xmlns="http://schemas.openxmlformats.org/spreadsheetml/2006/main" count="112" uniqueCount="89">
  <si>
    <t>x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</si>
  <si>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</si>
  <si>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</si>
  <si>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</si>
  <si>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</si>
  <si>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</si>
  <si>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</si>
  <si>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</si>
  <si>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</si>
  <si>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</si>
  <si>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</si>
  <si>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</si>
  <si>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</si>
  <si>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</si>
  <si>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</si>
  <si>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</si>
  <si>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</si>
  <si>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</si>
  <si>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</si>
  <si>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</si>
  <si>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</si>
  <si>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</si>
  <si>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</si>
  <si>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</si>
  <si>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</si>
  <si>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</si>
  <si>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</si>
  <si>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</si>
  <si>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</si>
  <si>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</si>
  <si>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</si>
  <si>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</si>
  <si>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</si>
  <si>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</si>
  <si>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</si>
  <si>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</si>
  <si>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SUBTOTAL#1</t>
  </si>
  <si>
    <t>SUBTOTAL#2</t>
  </si>
  <si>
    <t>SUBTOTAL#3</t>
  </si>
  <si>
    <t>SUBTOTAL#4</t>
  </si>
  <si>
    <t>SUBTOTAL#5</t>
  </si>
  <si>
    <t>SUBTOTAL#6</t>
  </si>
  <si>
    <t>SUBTOTAL#7</t>
  </si>
  <si>
    <t>SUBTOTAL#8</t>
  </si>
  <si>
    <t>SUBTOTAL#9</t>
  </si>
  <si>
    <t>SUBTOTAL#10</t>
  </si>
  <si>
    <t>SUBTOTAL#11</t>
  </si>
  <si>
    <t>SUBTOTAL#12</t>
  </si>
  <si>
    <t>SUBTOTAL#13</t>
  </si>
  <si>
    <t>SUBTOTAL#14</t>
  </si>
  <si>
    <t>SUBTOTAL#15</t>
  </si>
  <si>
    <t>SUBTOTAL#16</t>
  </si>
  <si>
    <t>SUBTOTAL#17</t>
  </si>
  <si>
    <t>SUBTOTAL#18</t>
  </si>
  <si>
    <t>SUBTOTAL#19</t>
  </si>
  <si>
    <t>AGGREGATE#1</t>
  </si>
  <si>
    <t>AGGREGATE#2</t>
  </si>
  <si>
    <t>AGGREGATE#3</t>
  </si>
  <si>
    <t>AGGREGATE#4</t>
  </si>
  <si>
    <t>AGGREGATE#5</t>
  </si>
  <si>
    <t>AGGREGATE#6</t>
  </si>
  <si>
    <t>AGGREGATE#7</t>
  </si>
  <si>
    <t>AGGREGATE#8</t>
  </si>
  <si>
    <t>AGGREGATE#9</t>
  </si>
  <si>
    <t>AGGREGATE#10</t>
  </si>
  <si>
    <t>AGGREGATE#11</t>
  </si>
  <si>
    <t>AGGREGATE#12</t>
  </si>
  <si>
    <t>AGGREGATE#13</t>
  </si>
  <si>
    <t>FREQUENCY#1</t>
  </si>
  <si>
    <t>FREQUENCY#2</t>
  </si>
  <si>
    <t>FREQUENCY#3</t>
  </si>
  <si>
    <t>FREQUENCY#4</t>
  </si>
  <si>
    <t>FREQUENCY#5</t>
  </si>
  <si>
    <t>FREQUENCY#6</t>
  </si>
  <si>
    <t>FREQUENCY#7</t>
  </si>
  <si>
    <t>FREQUENCY#8</t>
  </si>
  <si>
    <t>FREQUENCY#9</t>
  </si>
  <si>
    <t>FREQUENCY#10</t>
  </si>
  <si>
    <t>SORTBY#1</t>
  </si>
  <si>
    <t>SORTBY#2</t>
  </si>
  <si>
    <t>SORTBY#3</t>
  </si>
  <si>
    <t>SORTBY#4</t>
  </si>
  <si>
    <t>SORTBY#5</t>
  </si>
  <si>
    <t>SORTBY#6</t>
  </si>
  <si>
    <t>SORTBY#7</t>
  </si>
  <si>
    <t>SORTBY#8</t>
  </si>
  <si>
    <t>SORTBY#9</t>
  </si>
  <si>
    <t>SORTBY#10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</si>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</sst>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4</v>
      </c>
      <c r="B1">
        <v>20</v>
      </c>
    </row>
    <row r="2" spans="1:2" x14ac:dyDescent="0.2">
      <c r="A2">
        <v>5</v>
      </c>
      <c r="B2">
        <v>40</v>
      </c>
    </row>
    <row r="3" spans="1:2" x14ac:dyDescent="0.2">
      <c r="A3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>
        <v>30</v>
      </c>
    </row>
    <row r="2" spans="1:2" x14ac:dyDescent="0.2">
      <c r="A2">
        <v>8</v>
      </c>
      <c r="B2">
        <v>60</v>
      </c>
    </row>
    <row r="3" spans="1:2" x14ac:dyDescent="0.2">
      <c r="A3">
        <v>9</v>
      </c>
      <c r="B3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</row>
    <row r="3" spans="1:2" x14ac:dyDescent="0.2">
      <c r="A3">
        <f>SUBTOTAL(9,A1:A2)</f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SUBTOTAL(9,(D!B1:B3,D!C1:C3))</f>
        <v>47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47</v>
      </c>
      <c r="D1" t="str">
        <f t="shared" ref="D1:D32" si="2">IF(ISTEXT(A1),A1,"")</f>
        <v/>
      </c>
      <c r="E1" t="s">
        <v>36</v>
      </c>
    </row>
    <row r="2" spans="1:5" x14ac:dyDescent="0.2">
      <c r="A2" cm="1">
        <f t="array" ref="A2">SUBTOTAL(1,(D!B1:B3,D!C1:C3))</f>
        <v>7.833333333333333</v>
      </c>
      <c r="B2">
        <f t="shared" si="0"/>
        <v>0</v>
      </c>
      <c r="C2">
        <f t="shared" si="1"/>
        <v>7.833333333333333</v>
      </c>
      <c r="D2" t="str">
        <f t="shared" si="2"/>
        <v/>
      </c>
      <c r="E2" t="s">
        <v>37</v>
      </c>
    </row>
    <row r="3" spans="1:5" x14ac:dyDescent="0.2">
      <c r="A3" cm="1">
        <f t="array" ref="A3">SUBTOTAL(2,(D!B1:B3,D!D1:D3))</f>
        <v>4</v>
      </c>
      <c r="B3">
        <f t="shared" si="0"/>
        <v>0</v>
      </c>
      <c r="C3">
        <f t="shared" si="1"/>
        <v>4</v>
      </c>
      <c r="D3" t="str">
        <f t="shared" si="2"/>
        <v/>
      </c>
      <c r="E3" t="s">
        <v>38</v>
      </c>
    </row>
    <row r="4" spans="1:5" x14ac:dyDescent="0.2">
      <c r="A4" cm="1">
        <f t="array" ref="A4">SUBTOTAL(3,(D!B1:B3,D!D1:D5))</f>
        <v>7</v>
      </c>
      <c r="B4">
        <f t="shared" si="0"/>
        <v>0</v>
      </c>
      <c r="C4">
        <f t="shared" si="1"/>
        <v>7</v>
      </c>
      <c r="D4" t="str">
        <f t="shared" si="2"/>
        <v/>
      </c>
      <c r="E4" t="s">
        <v>39</v>
      </c>
    </row>
    <row r="5" spans="1:5" x14ac:dyDescent="0.2">
      <c r="A5" cm="1">
        <f t="array" ref="A5">SUBTOTAL(4,(D!B1:B3,D!C4:C6))</f>
        <v>40</v>
      </c>
      <c r="B5">
        <f t="shared" si="0"/>
        <v>0</v>
      </c>
      <c r="C5">
        <f t="shared" si="1"/>
        <v>40</v>
      </c>
      <c r="D5" t="str">
        <f t="shared" si="2"/>
        <v/>
      </c>
      <c r="E5" t="s">
        <v>40</v>
      </c>
    </row>
    <row r="6" spans="1:5" x14ac:dyDescent="0.2">
      <c r="A6" cm="1">
        <f t="array" ref="A6">SUBTOTAL(5,(D!B1:B3,D!C4:C6))</f>
        <v>4</v>
      </c>
      <c r="B6">
        <f t="shared" si="0"/>
        <v>0</v>
      </c>
      <c r="C6">
        <f t="shared" si="1"/>
        <v>4</v>
      </c>
      <c r="D6" t="str">
        <f t="shared" si="2"/>
        <v/>
      </c>
      <c r="E6" t="s">
        <v>41</v>
      </c>
    </row>
    <row r="7" spans="1:5" x14ac:dyDescent="0.2">
      <c r="A7" cm="1">
        <f t="array" ref="A7">SUBTOTAL(6,(D!B1:B2,D!C1:C2))</f>
        <v>448</v>
      </c>
      <c r="B7">
        <f t="shared" si="0"/>
        <v>0</v>
      </c>
      <c r="C7">
        <f t="shared" si="1"/>
        <v>448</v>
      </c>
      <c r="D7" t="str">
        <f t="shared" si="2"/>
        <v/>
      </c>
      <c r="E7" t="s">
        <v>42</v>
      </c>
    </row>
    <row r="8" spans="1:5" x14ac:dyDescent="0.2">
      <c r="A8" cm="1">
        <f t="array" ref="A8">SUBTOTAL(7,(D!B1:B3,D!C1:C3))</f>
        <v>4.7081489639418441</v>
      </c>
      <c r="B8">
        <f t="shared" si="0"/>
        <v>0</v>
      </c>
      <c r="C8">
        <f t="shared" si="1"/>
        <v>4.7081489639418441</v>
      </c>
      <c r="D8" t="str">
        <f t="shared" si="2"/>
        <v/>
      </c>
      <c r="E8" t="s">
        <v>43</v>
      </c>
    </row>
    <row r="9" spans="1:5" x14ac:dyDescent="0.2">
      <c r="A9" cm="1">
        <f t="array" ref="A9">SUBTOTAL(10,(D!B1:B3,D!C1:C3))</f>
        <v>22.166666666666664</v>
      </c>
      <c r="B9">
        <f t="shared" si="0"/>
        <v>0</v>
      </c>
      <c r="C9">
        <f t="shared" si="1"/>
        <v>22.166666666666664</v>
      </c>
      <c r="D9" t="str">
        <f t="shared" si="2"/>
        <v/>
      </c>
      <c r="E9" t="s">
        <v>44</v>
      </c>
    </row>
    <row r="10" spans="1:5" x14ac:dyDescent="0.2">
      <c r="A10" cm="1">
        <f t="array" ref="A10">SUBTOTAL(109,(D!B1:B3,D!C1:C3))</f>
        <v>47</v>
      </c>
      <c r="B10">
        <f t="shared" si="0"/>
        <v>0</v>
      </c>
      <c r="C10">
        <f t="shared" si="1"/>
        <v>47</v>
      </c>
      <c r="D10" t="str">
        <f t="shared" si="2"/>
        <v/>
      </c>
      <c r="E10" t="s">
        <v>45</v>
      </c>
    </row>
    <row r="11" spans="1:5" x14ac:dyDescent="0.2">
      <c r="A11" cm="1">
        <f t="array" ref="A11">SUBTOTAL(9,(D!B1:B3,D!B2:B4))</f>
        <v>66</v>
      </c>
      <c r="B11">
        <f t="shared" si="0"/>
        <v>0</v>
      </c>
      <c r="C11">
        <f t="shared" si="1"/>
        <v>66</v>
      </c>
      <c r="D11" t="str">
        <f t="shared" si="2"/>
        <v/>
      </c>
      <c r="E11" t="s">
        <v>46</v>
      </c>
    </row>
    <row r="12" spans="1:5" x14ac:dyDescent="0.2">
      <c r="A12" t="e" cm="1">
        <f t="array" ref="A12">SUBTOTAL(9,(D!B1:B2,D!E1:E3))</f>
        <v>#DIV/0!</v>
      </c>
      <c r="B12">
        <f t="shared" si="0"/>
        <v>2</v>
      </c>
      <c r="C12">
        <f t="shared" si="1"/>
        <v>0</v>
      </c>
      <c r="D12" t="str">
        <f t="shared" si="2"/>
        <v/>
      </c>
      <c r="E12" t="s">
        <v>47</v>
      </c>
    </row>
    <row r="13" spans="1:5" x14ac:dyDescent="0.2">
      <c r="A13" cm="1">
        <f t="array" ref="A13">SUBTOTAL(9,(D!B1,D!C1,D!B8))</f>
        <v>16.25</v>
      </c>
      <c r="B13">
        <f t="shared" si="0"/>
        <v>0</v>
      </c>
      <c r="C13">
        <f t="shared" si="1"/>
        <v>16.25</v>
      </c>
      <c r="D13" t="str">
        <f t="shared" si="2"/>
        <v/>
      </c>
      <c r="E13" t="s">
        <v>48</v>
      </c>
    </row>
    <row r="14" spans="1:5" x14ac:dyDescent="0.2">
      <c r="A14" cm="1">
        <f t="array" ref="A14">SUBTOTAL(9,D!B1,(D!C1,D!C2))</f>
        <v>13</v>
      </c>
      <c r="B14">
        <f t="shared" si="0"/>
        <v>0</v>
      </c>
      <c r="C14">
        <f t="shared" si="1"/>
        <v>13</v>
      </c>
      <c r="D14" t="str">
        <f t="shared" si="2"/>
        <v/>
      </c>
      <c r="E14" t="s">
        <v>49</v>
      </c>
    </row>
    <row r="15" spans="1:5" x14ac:dyDescent="0.2">
      <c r="A15" cm="1">
        <f t="array" ref="A15">SUBTOTAL(2,(D!B:B,D!C1))</f>
        <v>9</v>
      </c>
      <c r="B15">
        <f t="shared" si="0"/>
        <v>0</v>
      </c>
      <c r="C15">
        <f t="shared" si="1"/>
        <v>9</v>
      </c>
      <c r="D15" t="str">
        <f t="shared" si="2"/>
        <v/>
      </c>
      <c r="E15" t="s">
        <v>50</v>
      </c>
    </row>
    <row r="16" spans="1:5" x14ac:dyDescent="0.2">
      <c r="A16" cm="1">
        <f t="array" ref="A16">SUBTOTAL(9,(T!A1:A3,T!B1))</f>
        <v>13</v>
      </c>
      <c r="B16">
        <f t="shared" si="0"/>
        <v>0</v>
      </c>
      <c r="C16">
        <f t="shared" si="1"/>
        <v>13</v>
      </c>
      <c r="D16" t="str">
        <f t="shared" si="2"/>
        <v/>
      </c>
      <c r="E16" t="s">
        <v>51</v>
      </c>
    </row>
    <row r="17" spans="1:5" x14ac:dyDescent="0.2">
      <c r="A17" t="e" cm="1">
        <f t="array" ref="A17">SUBTOTAL(9,(D!B1,Jan!A1))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52</v>
      </c>
    </row>
    <row r="18" spans="1:5" x14ac:dyDescent="0.2">
      <c r="A18" t="e" cm="1">
        <f t="array" ref="A18">SUBTOTAL(9,Jan:Mar!A1)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53</v>
      </c>
    </row>
    <row r="19" spans="1:5" x14ac:dyDescent="0.2">
      <c r="A19" t="e" cm="1">
        <f t="array" ref="A19">SUBTOTAL(9,(D!B1:B3,D!C1:C3),Jan:Mar!A1)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54</v>
      </c>
    </row>
    <row r="20" spans="1:5" x14ac:dyDescent="0.2">
      <c r="A20" cm="1">
        <f t="array" ref="A20">_xlfn.AGGREGATE(9,4,(D!B1:B3,D!C1:C3))</f>
        <v>47</v>
      </c>
      <c r="B20">
        <f t="shared" si="0"/>
        <v>0</v>
      </c>
      <c r="C20">
        <f t="shared" si="1"/>
        <v>47</v>
      </c>
      <c r="D20" t="str">
        <f t="shared" si="2"/>
        <v/>
      </c>
      <c r="E20" t="s">
        <v>55</v>
      </c>
    </row>
    <row r="21" spans="1:5" x14ac:dyDescent="0.2">
      <c r="A21" cm="1">
        <f t="array" ref="A21">_xlfn.AGGREGATE(9,6,(D!B1:B2,D!E1:E3))</f>
        <v>15</v>
      </c>
      <c r="B21">
        <f t="shared" si="0"/>
        <v>0</v>
      </c>
      <c r="C21">
        <f t="shared" si="1"/>
        <v>15</v>
      </c>
      <c r="D21" t="str">
        <f t="shared" si="2"/>
        <v/>
      </c>
      <c r="E21" t="s">
        <v>56</v>
      </c>
    </row>
    <row r="22" spans="1:5" x14ac:dyDescent="0.2">
      <c r="A22" t="e" cm="1">
        <f t="array" ref="A22">_xlfn.AGGREGATE(9,4,(D!B1:B2,D!E1:E3))</f>
        <v>#DIV/0!</v>
      </c>
      <c r="B22">
        <f t="shared" si="0"/>
        <v>2</v>
      </c>
      <c r="C22">
        <f t="shared" si="1"/>
        <v>0</v>
      </c>
      <c r="D22" t="str">
        <f t="shared" si="2"/>
        <v/>
      </c>
      <c r="E22" t="s">
        <v>57</v>
      </c>
    </row>
    <row r="23" spans="1:5" x14ac:dyDescent="0.2">
      <c r="A23" cm="1">
        <f t="array" ref="A23">_xlfn.AGGREGATE(4,0,(D!B1:B3,D!C4:C6))</f>
        <v>40</v>
      </c>
      <c r="B23">
        <f t="shared" si="0"/>
        <v>0</v>
      </c>
      <c r="C23">
        <f t="shared" si="1"/>
        <v>40</v>
      </c>
      <c r="D23" t="str">
        <f t="shared" si="2"/>
        <v/>
      </c>
      <c r="E23" t="s">
        <v>58</v>
      </c>
    </row>
    <row r="24" spans="1:5" x14ac:dyDescent="0.2">
      <c r="A24" cm="1">
        <f t="array" ref="A24">_xlfn.AGGREGATE(12,6,(D!B1:B3,D!C1:C3))</f>
        <v>7.5</v>
      </c>
      <c r="B24">
        <f t="shared" si="0"/>
        <v>0</v>
      </c>
      <c r="C24">
        <f t="shared" si="1"/>
        <v>7.5</v>
      </c>
      <c r="D24" t="str">
        <f t="shared" si="2"/>
        <v/>
      </c>
      <c r="E24" t="s">
        <v>59</v>
      </c>
    </row>
    <row r="25" spans="1:5" x14ac:dyDescent="0.2">
      <c r="A25" cm="1">
        <f t="array" ref="A25">_xlfn.AGGREGATE(9,0,(T!A1:A3,T!B1))</f>
        <v>13</v>
      </c>
      <c r="B25">
        <f t="shared" si="0"/>
        <v>0</v>
      </c>
      <c r="C25">
        <f t="shared" si="1"/>
        <v>13</v>
      </c>
      <c r="D25" t="str">
        <f t="shared" si="2"/>
        <v/>
      </c>
      <c r="E25" t="s">
        <v>60</v>
      </c>
    </row>
    <row r="26" spans="1:5" x14ac:dyDescent="0.2">
      <c r="A26" cm="1">
        <f t="array" ref="A26">_xlfn.AGGREGATE(9,4,(T!A1:A3,T!B1))</f>
        <v>16</v>
      </c>
      <c r="B26">
        <f t="shared" si="0"/>
        <v>0</v>
      </c>
      <c r="C26">
        <f t="shared" si="1"/>
        <v>16</v>
      </c>
      <c r="D26" t="str">
        <f t="shared" si="2"/>
        <v/>
      </c>
      <c r="E26" t="s">
        <v>61</v>
      </c>
    </row>
    <row r="27" spans="1:5" x14ac:dyDescent="0.2">
      <c r="A27" cm="1">
        <f t="array" ref="A27">_xlfn.AGGREGATE(14,4,(D!B1:B3,D!C1:C3),2)</f>
        <v>11</v>
      </c>
      <c r="B27">
        <f t="shared" si="0"/>
        <v>0</v>
      </c>
      <c r="C27">
        <f t="shared" si="1"/>
        <v>11</v>
      </c>
      <c r="D27" t="str">
        <f t="shared" si="2"/>
        <v/>
      </c>
      <c r="E27" t="s">
        <v>62</v>
      </c>
    </row>
    <row r="28" spans="1:5" x14ac:dyDescent="0.2">
      <c r="A28" cm="1">
        <f t="array" ref="A28">_xlfn.AGGREGATE(15,6,(D!B1:B2,D!E1:E3),1)</f>
        <v>1</v>
      </c>
      <c r="B28">
        <f t="shared" si="0"/>
        <v>0</v>
      </c>
      <c r="C28">
        <f t="shared" si="1"/>
        <v>1</v>
      </c>
      <c r="D28" t="str">
        <f t="shared" si="2"/>
        <v/>
      </c>
      <c r="E28" t="s">
        <v>63</v>
      </c>
    </row>
    <row r="29" spans="1:5" x14ac:dyDescent="0.2">
      <c r="A29" t="e" cm="1">
        <f t="array" ref="A29">_xlfn.AGGREGATE(14,6,D!B1:B8,(D!AH2,D!AH3))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64</v>
      </c>
    </row>
    <row r="30" spans="1:5" x14ac:dyDescent="0.2">
      <c r="A30" t="e" cm="1">
        <f t="array" ref="A30">_xlfn.AGGREGATE(9,4,Jan:Mar!A1:A3)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65</v>
      </c>
    </row>
    <row r="31" spans="1:5" x14ac:dyDescent="0.2">
      <c r="A31" t="e" cm="1">
        <f t="array" ref="A31">_xlfn.AGGREGATE(14,4,Jan:Mar!A1:A3,1)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66</v>
      </c>
    </row>
    <row r="32" spans="1:5" x14ac:dyDescent="0.2">
      <c r="A32" cm="1">
        <f t="array" ref="A32">_xlfn.AGGREGATE(9,4,D!B1,(D!C1,D!C2))</f>
        <v>13</v>
      </c>
      <c r="B32">
        <f t="shared" si="0"/>
        <v>0</v>
      </c>
      <c r="C32">
        <f t="shared" si="1"/>
        <v>13</v>
      </c>
      <c r="D32" t="str">
        <f t="shared" si="2"/>
        <v/>
      </c>
      <c r="E32" t="s">
        <v>67</v>
      </c>
    </row>
    <row r="33" spans="1:5" x14ac:dyDescent="0.2">
      <c r="A33" t="str" cm="1">
        <f t="array" ref="A33">_xlfn.ARRAYTOTEXT(FREQUENCY((D!B1:B3,D!C1:C3),D!AT1:AT3),1)</f>
        <v>{0;4;2;0}</v>
      </c>
      <c r="B33">
        <f t="shared" ref="B33:B64" si="3">IF(ISERROR(A33),ERROR.TYPE(A33),IF(ISNUMBER(A33),0,IF(ISLOGICAL(A33),IF(A33,-1,-2),IF(ISTEXT(A33),-3,-4))))</f>
        <v>-3</v>
      </c>
      <c r="C33">
        <f t="shared" ref="C33:C52" si="4">IF(ISNUMBER(A33),A33,0)</f>
        <v>0</v>
      </c>
      <c r="D33" t="str">
        <f t="shared" ref="D33:D52" si="5">IF(ISTEXT(A33),A33,"")</f>
        <v>{0;4;2;0}</v>
      </c>
      <c r="E33" t="s">
        <v>68</v>
      </c>
    </row>
    <row r="34" spans="1:5" x14ac:dyDescent="0.2">
      <c r="A34" t="str" cm="1">
        <f t="array" ref="A34">_xlfn.ARRAYTOTEXT(FREQUENCY(Jan:Mar!A1:A3,D!AT1:AT3),1)</f>
        <v>{0;9;0;0}</v>
      </c>
      <c r="B34">
        <f t="shared" si="3"/>
        <v>-3</v>
      </c>
      <c r="C34">
        <f t="shared" si="4"/>
        <v>0</v>
      </c>
      <c r="D34" t="str">
        <f t="shared" si="5"/>
        <v>{0;9;0;0}</v>
      </c>
      <c r="E34" t="s">
        <v>69</v>
      </c>
    </row>
    <row r="35" spans="1:5" x14ac:dyDescent="0.2">
      <c r="A35" t="str" cm="1">
        <f t="array" ref="A35">_xlfn.ARRAYTOTEXT(FREQUENCY(D!B1:B8,(D!AT1,D!AT3)),1)</f>
        <v>{1;5;2}</v>
      </c>
      <c r="B35">
        <f t="shared" si="3"/>
        <v>-3</v>
      </c>
      <c r="C35">
        <f t="shared" si="4"/>
        <v>0</v>
      </c>
      <c r="D35" t="str">
        <f t="shared" si="5"/>
        <v>{1;5;2}</v>
      </c>
      <c r="E35" t="s">
        <v>70</v>
      </c>
    </row>
    <row r="36" spans="1:5" x14ac:dyDescent="0.2">
      <c r="A36" t="str" cm="1">
        <f t="array" ref="A36">_xlfn.ARRAYTOTEXT(FREQUENCY(D!B1:B8,Jan:Mar!A1),1)</f>
        <v>{1;1;0;6}</v>
      </c>
      <c r="B36">
        <f t="shared" si="3"/>
        <v>-3</v>
      </c>
      <c r="C36">
        <f t="shared" si="4"/>
        <v>0</v>
      </c>
      <c r="D36" t="str">
        <f t="shared" si="5"/>
        <v>{1;1;0;6}</v>
      </c>
      <c r="E36" t="s">
        <v>71</v>
      </c>
    </row>
    <row r="37" spans="1:5" x14ac:dyDescent="0.2">
      <c r="A37" cm="1">
        <f t="array" ref="A37">ROWS(FREQUENCY((D!B1:B3,D!C1:C3),D!AT1:AT3))</f>
        <v>4</v>
      </c>
      <c r="B37">
        <f t="shared" si="3"/>
        <v>0</v>
      </c>
      <c r="C37">
        <f t="shared" si="4"/>
        <v>4</v>
      </c>
      <c r="D37" t="str">
        <f t="shared" si="5"/>
        <v/>
      </c>
      <c r="E37" t="s">
        <v>72</v>
      </c>
    </row>
    <row r="38" spans="1:5" x14ac:dyDescent="0.2">
      <c r="A38" t="str" cm="1">
        <f t="array" ref="A38">_xlfn.ARRAYTOTEXT(FREQUENCY((D!B1,D!C1),5),1)</f>
        <v>{2;0}</v>
      </c>
      <c r="B38">
        <f t="shared" si="3"/>
        <v>-3</v>
      </c>
      <c r="C38">
        <f t="shared" si="4"/>
        <v>0</v>
      </c>
      <c r="D38" t="str">
        <f t="shared" si="5"/>
        <v>{2;0}</v>
      </c>
      <c r="E38" t="s">
        <v>73</v>
      </c>
    </row>
    <row r="39" spans="1:5" x14ac:dyDescent="0.2">
      <c r="A39" t="str" cm="1">
        <f t="array" ref="A39">_xlfn.ARRAYTOTEXT(FREQUENCY((D!D1:D4,D!B1),D!AT1:AT3),1)</f>
        <v>{0;2;0;0}</v>
      </c>
      <c r="B39">
        <f t="shared" si="3"/>
        <v>-3</v>
      </c>
      <c r="C39">
        <f t="shared" si="4"/>
        <v>0</v>
      </c>
      <c r="D39" t="str">
        <f t="shared" si="5"/>
        <v>{0;2;0;0}</v>
      </c>
      <c r="E39" t="s">
        <v>74</v>
      </c>
    </row>
    <row r="40" spans="1:5" x14ac:dyDescent="0.2">
      <c r="A40" t="e" cm="1">
        <f t="array" ref="A40">_xlfn.ARRAYTOTEXT(FREQUENCY((D!E1:E4,D!B1),D!AT1:AT3),1)</f>
        <v>#DIV/0!</v>
      </c>
      <c r="B40">
        <f t="shared" si="3"/>
        <v>2</v>
      </c>
      <c r="C40">
        <f t="shared" si="4"/>
        <v>0</v>
      </c>
      <c r="D40" t="str">
        <f t="shared" si="5"/>
        <v/>
      </c>
      <c r="E40" t="s">
        <v>75</v>
      </c>
    </row>
    <row r="41" spans="1:5" x14ac:dyDescent="0.2">
      <c r="A41" t="e" cm="1">
        <f t="array" ref="A41">_xlfn.ARRAYTOTEXT(FREQUENCY((D!B1:B3,Jan!A1),D!AT1:AT3),1)</f>
        <v>#VALUE!</v>
      </c>
      <c r="B41">
        <f t="shared" si="3"/>
        <v>3</v>
      </c>
      <c r="C41">
        <f t="shared" si="4"/>
        <v>0</v>
      </c>
      <c r="D41" t="str">
        <f t="shared" si="5"/>
        <v/>
      </c>
      <c r="E41" t="s">
        <v>76</v>
      </c>
    </row>
    <row r="42" spans="1:5" x14ac:dyDescent="0.2">
      <c r="A42" t="str" cm="1">
        <f t="array" ref="A42">_xlfn.ARRAYTOTEXT(FREQUENCY(Jan:Mar!B1:B3,D!AT1:AT3),1)</f>
        <v>{0;1;1;4}</v>
      </c>
      <c r="B42">
        <f t="shared" si="3"/>
        <v>-3</v>
      </c>
      <c r="C42">
        <f t="shared" si="4"/>
        <v>0</v>
      </c>
      <c r="D42" t="str">
        <f t="shared" si="5"/>
        <v>{0;1;1;4}</v>
      </c>
      <c r="E42" t="s">
        <v>77</v>
      </c>
    </row>
    <row r="43" spans="1:5" x14ac:dyDescent="0.2">
      <c r="A43" t="e" cm="1">
        <f t="array" ref="A43">_xlfn.ARRAYTOTEXT(_xlfn.SORTBY((D!B1:B3,D!C1:C3),{6;5;4;3;2;1}),1)</f>
        <v>#VALUE!</v>
      </c>
      <c r="B43">
        <f t="shared" si="3"/>
        <v>3</v>
      </c>
      <c r="C43">
        <f t="shared" si="4"/>
        <v>0</v>
      </c>
      <c r="D43" t="str">
        <f t="shared" si="5"/>
        <v/>
      </c>
      <c r="E43" t="s">
        <v>78</v>
      </c>
    </row>
    <row r="44" spans="1:5" x14ac:dyDescent="0.2">
      <c r="A44" t="e" cm="1">
        <f t="array" ref="A44">_xlfn.ARRAYTOTEXT(_xlfn.SORTBY((D!B1:B3,D!C1:C3),{3;2;1}),1)</f>
        <v>#VALUE!</v>
      </c>
      <c r="B44">
        <f t="shared" si="3"/>
        <v>3</v>
      </c>
      <c r="C44">
        <f t="shared" si="4"/>
        <v>0</v>
      </c>
      <c r="D44" t="str">
        <f t="shared" si="5"/>
        <v/>
      </c>
      <c r="E44" t="s">
        <v>79</v>
      </c>
    </row>
    <row r="45" spans="1:5" x14ac:dyDescent="0.2">
      <c r="A45" t="e" cm="1">
        <f t="array" ref="A45">_xlfn.ARRAYTOTEXT(_xlfn.SORTBY(D!B1:B6,(D!C4:C6,D!C1:C3)),1)</f>
        <v>#VALUE!</v>
      </c>
      <c r="B45">
        <f t="shared" si="3"/>
        <v>3</v>
      </c>
      <c r="C45">
        <f t="shared" si="4"/>
        <v>0</v>
      </c>
      <c r="D45" t="str">
        <f t="shared" si="5"/>
        <v/>
      </c>
      <c r="E45" t="s">
        <v>80</v>
      </c>
    </row>
    <row r="46" spans="1:5" x14ac:dyDescent="0.2">
      <c r="A46" t="e" cm="1">
        <f t="array" ref="A46">_xlfn.ARRAYTOTEXT(_xlfn.SORTBY(Jan:Mar!A1:A3,{9;8;7;6;5;4;3;2;1}),1)</f>
        <v>#REF!</v>
      </c>
      <c r="B46">
        <f t="shared" si="3"/>
        <v>4</v>
      </c>
      <c r="C46">
        <f t="shared" si="4"/>
        <v>0</v>
      </c>
      <c r="D46" t="str">
        <f t="shared" si="5"/>
        <v/>
      </c>
      <c r="E46" t="s">
        <v>81</v>
      </c>
    </row>
    <row r="47" spans="1:5" x14ac:dyDescent="0.2">
      <c r="A47" t="e" cm="1">
        <f t="array" ref="A47">_xlfn.ARRAYTOTEXT(_xlfn.SORTBY(D!B1:B3,Jan:Mar!B1,-1),1)</f>
        <v>#REF!</v>
      </c>
      <c r="B47">
        <f t="shared" si="3"/>
        <v>4</v>
      </c>
      <c r="C47">
        <f t="shared" si="4"/>
        <v>0</v>
      </c>
      <c r="D47" t="str">
        <f t="shared" si="5"/>
        <v/>
      </c>
      <c r="E47" t="s">
        <v>82</v>
      </c>
    </row>
    <row r="48" spans="1:5" x14ac:dyDescent="0.2">
      <c r="A48" t="e" cm="1">
        <f t="array" ref="A48">ROWS(_xlfn.SORTBY((D!B1:B3,D!C1:C3),{1;2;3;4;5;6}))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83</v>
      </c>
    </row>
    <row r="49" spans="1:5" x14ac:dyDescent="0.2">
      <c r="A49" t="e" cm="1">
        <f t="array" ref="A49">_xlfn.ARRAYTOTEXT(_xlfn.SORTBY((D!B1:C1,D!B2:C2),{2;1}),1)</f>
        <v>#VALUE!</v>
      </c>
      <c r="B49">
        <f t="shared" si="3"/>
        <v>3</v>
      </c>
      <c r="C49">
        <f t="shared" si="4"/>
        <v>0</v>
      </c>
      <c r="D49" t="str">
        <f t="shared" si="5"/>
        <v/>
      </c>
      <c r="E49" t="s">
        <v>84</v>
      </c>
    </row>
    <row r="50" spans="1:5" x14ac:dyDescent="0.2">
      <c r="A50" t="e" cm="1">
        <f t="array" ref="A50">_xlfn.ARRAYTOTEXT(_xlfn.SORTBY(D!B1:B3,D!C1:C3,1,(D!B1:B2,D!B3),-1),1)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85</v>
      </c>
    </row>
    <row r="51" spans="1:5" x14ac:dyDescent="0.2">
      <c r="A51" t="e" cm="1">
        <f t="array" ref="A51">_xlfn.ARRAYTOTEXT(_xlfn.SORTBY(D!B1:B3,(D!C1,D!C2)),1)</f>
        <v>#VALUE!</v>
      </c>
      <c r="B51">
        <f t="shared" si="3"/>
        <v>3</v>
      </c>
      <c r="C51">
        <f t="shared" si="4"/>
        <v>0</v>
      </c>
      <c r="D51" t="str">
        <f t="shared" si="5"/>
        <v/>
      </c>
      <c r="E51" t="s">
        <v>86</v>
      </c>
    </row>
    <row r="52" spans="1:5" x14ac:dyDescent="0.2">
      <c r="A52" t="e" cm="1">
        <f t="array" ref="A52">_xlfn.ARRAYTOTEXT(_xlfn.SORTBY((D!B1:B2,Jan!A1),{2;1;3}),1)</f>
        <v>#VALUE!</v>
      </c>
      <c r="B52">
        <f t="shared" si="3"/>
        <v>3</v>
      </c>
      <c r="C52">
        <f t="shared" si="4"/>
        <v>0</v>
      </c>
      <c r="D52" t="str">
        <f t="shared" si="5"/>
        <v/>
      </c>
      <c r="E52" t="s">
        <v>87</v>
      </c>
    </row>
    <row r="53" spans="1:5" x14ac:dyDescent="0.2">
      <c r="A53" t="s">
        <v>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2026-10-08T17:00:38Z</dcterms:created>
  <dcterms:modified xsi:type="dcterms:W3CDTF">2026-10-08T17:00:38Z</dcterms:modified>
  <cp:category/>
</cp:coreProperties>
</file>