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B03293B0-64CD-1547-A488-5109DAEAA2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i" sheetId="1" r:id="rId1"/>
    <sheet name="Xv" sheetId="2" r:id="rId2"/>
    <sheet name="D" sheetId="3" r:id="rId3"/>
    <sheet name="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4" l="1" a="1"/>
  <c r="A32" i="4" s="1"/>
  <c r="D32" i="4" s="1"/>
  <c r="A31" i="4" a="1"/>
  <c r="A31" i="4" s="1"/>
  <c r="A30" i="4" a="1"/>
  <c r="A30" i="4"/>
  <c r="B30" i="4" s="1"/>
  <c r="A29" i="4" a="1"/>
  <c r="A29" i="4" s="1"/>
  <c r="A28" i="4" a="1"/>
  <c r="A28" i="4"/>
  <c r="B28" i="4" s="1"/>
  <c r="A27" i="4" a="1"/>
  <c r="A27" i="4"/>
  <c r="B27" i="4" s="1"/>
  <c r="A26" i="4" a="1"/>
  <c r="A26" i="4"/>
  <c r="C26" i="4" s="1"/>
  <c r="A25" i="4" a="1"/>
  <c r="A25" i="4" s="1"/>
  <c r="A24" i="4" a="1"/>
  <c r="A24" i="4" s="1"/>
  <c r="A23" i="4" a="1"/>
  <c r="A23" i="4"/>
  <c r="D23" i="4" s="1"/>
  <c r="A22" i="4" a="1"/>
  <c r="A22" i="4" s="1"/>
  <c r="A21" i="4" a="1"/>
  <c r="A21" i="4"/>
  <c r="D21" i="4" s="1"/>
  <c r="A20" i="4" a="1"/>
  <c r="A20" i="4"/>
  <c r="D20" i="4" s="1"/>
  <c r="A19" i="4" a="1"/>
  <c r="A19" i="4" s="1"/>
  <c r="A18" i="4" a="1"/>
  <c r="A18" i="4"/>
  <c r="B18" i="4" s="1"/>
  <c r="A17" i="4" a="1"/>
  <c r="A17" i="4"/>
  <c r="B17" i="4" s="1"/>
  <c r="A16" i="4" a="1"/>
  <c r="A16" i="4"/>
  <c r="C16" i="4" s="1"/>
  <c r="A15" i="4" a="1"/>
  <c r="A15" i="4"/>
  <c r="D15" i="4" s="1"/>
  <c r="A14" i="4" a="1"/>
  <c r="A14" i="4"/>
  <c r="D14" i="4" s="1"/>
  <c r="A13" i="4" a="1"/>
  <c r="A13" i="4" s="1"/>
  <c r="C13" i="4" s="1"/>
  <c r="A12" i="4" a="1"/>
  <c r="A12" i="4" s="1"/>
  <c r="C12" i="4" s="1"/>
  <c r="A11" i="4" a="1"/>
  <c r="A11" i="4" s="1"/>
  <c r="A10" i="4" a="1"/>
  <c r="A10" i="4" s="1"/>
  <c r="A9" i="4" a="1"/>
  <c r="A9" i="4" s="1"/>
  <c r="A8" i="4" a="1"/>
  <c r="A8" i="4"/>
  <c r="C8" i="4" s="1"/>
  <c r="A7" i="4" a="1"/>
  <c r="A7" i="4"/>
  <c r="C7" i="4" s="1"/>
  <c r="A6" i="4" a="1"/>
  <c r="A6" i="4" s="1"/>
  <c r="D6" i="4" s="1"/>
  <c r="A5" i="4" a="1"/>
  <c r="A5" i="4"/>
  <c r="D5" i="4" s="1"/>
  <c r="A4" i="4" a="1"/>
  <c r="A4" i="4" s="1"/>
  <c r="A3" i="4" a="1"/>
  <c r="A3" i="4" s="1"/>
  <c r="D3" i="4" s="1"/>
  <c r="A2" i="4" a="1"/>
  <c r="A2" i="4"/>
  <c r="B2" i="4" s="1"/>
  <c r="A1" i="4" a="1"/>
  <c r="A1" i="4"/>
  <c r="C1" i="4" s="1"/>
  <c r="I15" i="3"/>
  <c r="A14" i="3"/>
  <c r="A13" i="3"/>
  <c r="AL10" i="3"/>
  <c r="A8" i="3"/>
  <c r="A7" i="3"/>
  <c r="E3" i="3"/>
  <c r="C25" i="4" l="1"/>
  <c r="D25" i="4"/>
  <c r="C18" i="4"/>
  <c r="D7" i="4"/>
  <c r="D18" i="4"/>
  <c r="D24" i="4"/>
  <c r="B24" i="4"/>
  <c r="C24" i="4"/>
  <c r="B10" i="4"/>
  <c r="D10" i="4"/>
  <c r="C10" i="4"/>
  <c r="D29" i="4"/>
  <c r="B29" i="4"/>
  <c r="C29" i="4"/>
  <c r="D31" i="4"/>
  <c r="B31" i="4"/>
  <c r="C31" i="4"/>
  <c r="B9" i="4"/>
  <c r="D9" i="4"/>
  <c r="C9" i="4"/>
  <c r="D19" i="4"/>
  <c r="B19" i="4"/>
  <c r="C19" i="4"/>
  <c r="C11" i="4"/>
  <c r="D11" i="4"/>
  <c r="B11" i="4"/>
  <c r="D4" i="4"/>
  <c r="B4" i="4"/>
  <c r="C4" i="4"/>
  <c r="D22" i="4"/>
  <c r="C22" i="4"/>
  <c r="B22" i="4"/>
  <c r="B8" i="4"/>
  <c r="D8" i="4"/>
  <c r="B23" i="4"/>
  <c r="C30" i="4"/>
  <c r="C5" i="4"/>
  <c r="D12" i="4"/>
  <c r="C23" i="4"/>
  <c r="D30" i="4"/>
  <c r="B13" i="4"/>
  <c r="D27" i="4"/>
  <c r="D2" i="4"/>
  <c r="D17" i="4"/>
  <c r="B21" i="4"/>
  <c r="C28" i="4"/>
  <c r="B15" i="4"/>
  <c r="C15" i="4"/>
  <c r="B26" i="4"/>
  <c r="B1" i="4"/>
  <c r="D26" i="4"/>
  <c r="D1" i="4"/>
  <c r="C6" i="4"/>
  <c r="D13" i="4"/>
  <c r="B3" i="4"/>
  <c r="C3" i="4"/>
  <c r="B14" i="4"/>
  <c r="C21" i="4"/>
  <c r="D28" i="4"/>
  <c r="B32" i="4"/>
  <c r="B12" i="4"/>
  <c r="B5" i="4"/>
  <c r="B16" i="4"/>
  <c r="D16" i="4"/>
  <c r="B20" i="4"/>
  <c r="C27" i="4"/>
  <c r="C2" i="4"/>
  <c r="C20" i="4"/>
  <c r="C17" i="4"/>
  <c r="B7" i="4"/>
  <c r="C14" i="4"/>
  <c r="B25" i="4"/>
  <c r="C32" i="4"/>
  <c r="B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<sst xmlns="http://schemas.openxmlformats.org/spreadsheetml/2006/main" count="91" uniqueCount="68">
  <si>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</si>
  <si>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</si>
  <si>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</si>
  <si>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</si>
  <si>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</si>
  <si>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</si>
  <si>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</si>
  <si>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</si>
  <si>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</si>
  <si>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</si>
  <si>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</si>
  <si>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</si>
  <si>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</si>
  <si>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</si>
  <si>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</si>
  <si>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</si>
  <si>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</si>
  <si>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</si>
  <si>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</si>
  <si>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</si>
  <si>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</si>
  <si>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</si>
  <si>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</si>
  <si>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</si>
  <si>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</si>
  <si>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</si>
  <si>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</si>
  <si>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</si>
  <si>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</si>
  <si>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</si>
  <si>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</si>
  <si>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</si>
  <si>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</si>
  <si>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</si>
  <si>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</si>
  <si>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FV#1</t>
  </si>
  <si>
    <t>FV#2</t>
  </si>
  <si>
    <t>IRR#1</t>
  </si>
  <si>
    <t>IRR#2</t>
  </si>
  <si>
    <t>MIRR#1</t>
  </si>
  <si>
    <t>MIRR#2</t>
  </si>
  <si>
    <t>MIRR#3</t>
  </si>
  <si>
    <t>MIRR#4</t>
  </si>
  <si>
    <t>XNPV#1</t>
  </si>
  <si>
    <t>XNPV#2</t>
  </si>
  <si>
    <t>FV#3</t>
  </si>
  <si>
    <t>FV#4</t>
  </si>
  <si>
    <t>FV#5</t>
  </si>
  <si>
    <t>FV#6</t>
  </si>
  <si>
    <t>FV#7</t>
  </si>
  <si>
    <t>PV#1</t>
  </si>
  <si>
    <t>PV#2</t>
  </si>
  <si>
    <t>PV#3</t>
  </si>
  <si>
    <t>IRR#3</t>
  </si>
  <si>
    <t>IRR#4</t>
  </si>
  <si>
    <t>IRR#5</t>
  </si>
  <si>
    <t>IRR#6</t>
  </si>
  <si>
    <t>IRR#7</t>
  </si>
  <si>
    <t>MIRR#5</t>
  </si>
  <si>
    <t>MIRR#6</t>
  </si>
  <si>
    <t>MIRR#7</t>
  </si>
  <si>
    <t>MIRR#8</t>
  </si>
  <si>
    <t>XNPV#3</t>
  </si>
  <si>
    <t>XNPV#4</t>
  </si>
  <si>
    <t>XNPV#5</t>
  </si>
  <si>
    <t>XNPV#6</t>
  </si>
  <si>
    <t>XNPV#7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</si>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</sst>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baseColWidth="10" defaultColWidth="8.83203125" defaultRowHeight="15" x14ac:dyDescent="0.2"/>
  <sheetData>
    <row r="1" spans="1:13" x14ac:dyDescent="0.2">
      <c r="A1">
        <v>-1000</v>
      </c>
      <c r="B1">
        <v>230</v>
      </c>
      <c r="C1">
        <v>200</v>
      </c>
      <c r="D1">
        <v>125</v>
      </c>
      <c r="E1">
        <v>200</v>
      </c>
      <c r="F1">
        <v>10</v>
      </c>
    </row>
    <row r="2" spans="1:13" x14ac:dyDescent="0.2">
      <c r="A2">
        <v>-20</v>
      </c>
      <c r="B2">
        <v>5</v>
      </c>
      <c r="C2">
        <v>5</v>
      </c>
      <c r="E2">
        <v>-10</v>
      </c>
      <c r="F2">
        <v>5</v>
      </c>
    </row>
    <row r="3" spans="1:13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</row>
    <row r="4" spans="1:13" x14ac:dyDescent="0.2">
      <c r="A4">
        <v>-6</v>
      </c>
      <c r="B4">
        <v>-1</v>
      </c>
      <c r="C4">
        <v>-2</v>
      </c>
    </row>
    <row r="5" spans="1:13" x14ac:dyDescent="0.2">
      <c r="A5">
        <v>-5</v>
      </c>
      <c r="B5">
        <v>-3</v>
      </c>
    </row>
    <row r="6" spans="1:13" x14ac:dyDescent="0.2">
      <c r="A6">
        <v>20</v>
      </c>
      <c r="B6">
        <v>5</v>
      </c>
      <c r="C6">
        <v>5</v>
      </c>
      <c r="E6">
        <v>5</v>
      </c>
      <c r="F6">
        <v>5</v>
      </c>
      <c r="H6">
        <v>44958</v>
      </c>
      <c r="I6">
        <v>44986</v>
      </c>
      <c r="J6">
        <v>45017</v>
      </c>
      <c r="K6">
        <v>45078</v>
      </c>
      <c r="L6">
        <v>45108</v>
      </c>
      <c r="M6">
        <v>45139</v>
      </c>
    </row>
    <row r="7" spans="1:13" x14ac:dyDescent="0.2">
      <c r="A7">
        <v>-20</v>
      </c>
      <c r="B7">
        <v>5</v>
      </c>
      <c r="C7">
        <v>5</v>
      </c>
      <c r="F7">
        <v>5</v>
      </c>
      <c r="H7">
        <v>45292</v>
      </c>
      <c r="I7">
        <v>45323</v>
      </c>
      <c r="J7">
        <v>45353</v>
      </c>
      <c r="K7">
        <v>45386</v>
      </c>
      <c r="L7">
        <v>45782</v>
      </c>
      <c r="M7">
        <v>46179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>
        <v>-100</v>
      </c>
      <c r="B1">
        <v>45292</v>
      </c>
      <c r="D1">
        <v>-100</v>
      </c>
      <c r="E1">
        <v>45292</v>
      </c>
    </row>
    <row r="2" spans="1:5" x14ac:dyDescent="0.2">
      <c r="B2">
        <v>45323</v>
      </c>
      <c r="D2">
        <v>50</v>
      </c>
    </row>
    <row r="3" spans="1:5" x14ac:dyDescent="0.2">
      <c r="A3">
        <v>50</v>
      </c>
      <c r="B3">
        <v>45352</v>
      </c>
      <c r="D3">
        <v>60</v>
      </c>
      <c r="E3">
        <v>45352</v>
      </c>
    </row>
    <row r="4" spans="1:5" x14ac:dyDescent="0.2">
      <c r="A4">
        <v>60</v>
      </c>
      <c r="B4">
        <v>45383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FV(-1,-2,1)</f>
        <v>#DIV/0!</v>
      </c>
      <c r="B1">
        <f t="shared" ref="B1:B32" si="0">IF(ISERROR(A1),ERROR.TYPE(A1),IF(ISNUMBER(A1),0,IF(ISLOGICAL(A1),IF(A1,-1,-2),IF(ISTEXT(A1),-3,-4))))</f>
        <v>2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t="e" cm="1">
        <f t="array" ref="A2">FV(-1,-1,1)</f>
        <v>#DIV/0!</v>
      </c>
      <c r="B2">
        <f t="shared" si="0"/>
        <v>2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IRR(Fi!A1:F1,-10)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IRR(Fi!A2:F2,-1)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MIRR(Fi!A3:F3,0.1,0.2)</f>
        <v>-1</v>
      </c>
      <c r="B5">
        <f t="shared" si="0"/>
        <v>0</v>
      </c>
      <c r="C5">
        <f t="shared" si="1"/>
        <v>-1</v>
      </c>
      <c r="D5" t="str">
        <f t="shared" si="2"/>
        <v/>
      </c>
      <c r="E5" t="s">
        <v>39</v>
      </c>
    </row>
    <row r="6" spans="1:5" x14ac:dyDescent="0.2">
      <c r="A6" cm="1">
        <f t="array" ref="A6">MIRR(Fi!A3:E3,0.1,2)</f>
        <v>-1</v>
      </c>
      <c r="B6">
        <f t="shared" si="0"/>
        <v>0</v>
      </c>
      <c r="C6">
        <f t="shared" si="1"/>
        <v>-1</v>
      </c>
      <c r="D6" t="str">
        <f t="shared" si="2"/>
        <v/>
      </c>
      <c r="E6" t="s">
        <v>40</v>
      </c>
    </row>
    <row r="7" spans="1:5" x14ac:dyDescent="0.2">
      <c r="A7" cm="1">
        <f t="array" ref="A7">MIRR(Fi!A4:C4,0.1,0.2)</f>
        <v>-1</v>
      </c>
      <c r="B7">
        <f t="shared" si="0"/>
        <v>0</v>
      </c>
      <c r="C7">
        <f t="shared" si="1"/>
        <v>-1</v>
      </c>
      <c r="D7" t="str">
        <f t="shared" si="2"/>
        <v/>
      </c>
      <c r="E7" t="s">
        <v>41</v>
      </c>
    </row>
    <row r="8" spans="1:5" x14ac:dyDescent="0.2">
      <c r="A8" cm="1">
        <f t="array" ref="A8">-MIRR(Fi!A5:B5,0.1,0.2)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t="e" cm="1">
        <f t="array" ref="A9">XNPV(0.1,Fi!A6:F6,Fi!H6:M6)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XNPV(1,Fi!A7:F7,Fi!H7:M7)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FV(-1,2,1)</f>
        <v>-1</v>
      </c>
      <c r="B11">
        <f t="shared" si="0"/>
        <v>0</v>
      </c>
      <c r="C11">
        <f t="shared" si="1"/>
        <v>-1</v>
      </c>
      <c r="D11" t="str">
        <f t="shared" si="2"/>
        <v/>
      </c>
      <c r="E11" t="s">
        <v>45</v>
      </c>
    </row>
    <row r="12" spans="1:5" x14ac:dyDescent="0.2">
      <c r="A12" t="e" cm="1">
        <f t="array" ref="A12">FV(-1,0,1)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FV(-1,-2,1,0,1)</f>
        <v>#DIV/0!</v>
      </c>
      <c r="B13">
        <f t="shared" si="0"/>
        <v>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FV(-2,-2,1)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FV(-2,-1.5,1)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PV(-1,-2,1)</f>
        <v>#DIV/0!</v>
      </c>
      <c r="B16">
        <f t="shared" si="0"/>
        <v>2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PV(-1,2,1)</f>
        <v>#DIV/0!</v>
      </c>
      <c r="B17">
        <f t="shared" si="0"/>
        <v>2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PV(-1,0,1,5)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IRR({-100,110},-0.99)</f>
        <v>0.10000000000000009</v>
      </c>
      <c r="B19">
        <f t="shared" si="0"/>
        <v>0</v>
      </c>
      <c r="C19">
        <f t="shared" si="1"/>
        <v>0.10000000000000009</v>
      </c>
      <c r="D19" t="str">
        <f t="shared" si="2"/>
        <v/>
      </c>
      <c r="E19" t="s">
        <v>53</v>
      </c>
    </row>
    <row r="20" spans="1:5" x14ac:dyDescent="0.2">
      <c r="A20" t="e" cm="1">
        <f t="array" ref="A20">IRR({-100,110},-1.5)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IRR({100,110},-2)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IRR({100,110},0.1)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IRR({-100,#N/A},-2)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MIRR({1,2,3},0.1,0.1)</f>
        <v>#DIV/0!</v>
      </c>
      <c r="B24">
        <f t="shared" si="0"/>
        <v>2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MIRR({0,0,0},0.1,0.1)</f>
        <v>#DIV/0!</v>
      </c>
      <c r="B25">
        <f t="shared" si="0"/>
        <v>2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MIRR({-1,0,0},0.1,0.1)</f>
        <v>-1</v>
      </c>
      <c r="B26">
        <f t="shared" si="0"/>
        <v>0</v>
      </c>
      <c r="C26">
        <f t="shared" si="1"/>
        <v>-1</v>
      </c>
      <c r="D26" t="str">
        <f t="shared" si="2"/>
        <v/>
      </c>
      <c r="E26" t="s">
        <v>60</v>
      </c>
    </row>
    <row r="27" spans="1:5" x14ac:dyDescent="0.2">
      <c r="A27" cm="1">
        <f t="array" ref="A27">MIRR({-1,-2,-3},0.1,0.1)</f>
        <v>-1</v>
      </c>
      <c r="B27">
        <f t="shared" si="0"/>
        <v>0</v>
      </c>
      <c r="C27">
        <f t="shared" si="1"/>
        <v>-1</v>
      </c>
      <c r="D27" t="str">
        <f t="shared" si="2"/>
        <v/>
      </c>
      <c r="E27" t="s">
        <v>61</v>
      </c>
    </row>
    <row r="28" spans="1:5" x14ac:dyDescent="0.2">
      <c r="A28" t="e" cm="1">
        <f t="array" ref="A28">XNPV(0.1,Xv!A1:A4,Xv!B1:B4)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XNPV(0.1,Xv!A2:A4,Xv!B2:B4)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XNPV(0.1,Xv!C1:C2,Xv!B1:B2)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XNPV(0.1,Xv!D1:D3,Xv!E1:E3)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XNPV(0.1,Xv!D1:D3,Xv!B1:B3)</f>
        <v>8.6641720194720619</v>
      </c>
      <c r="B32">
        <f t="shared" si="0"/>
        <v>0</v>
      </c>
      <c r="C32">
        <f t="shared" si="1"/>
        <v>8.6641720194720619</v>
      </c>
      <c r="D32" t="str">
        <f t="shared" si="2"/>
        <v/>
      </c>
      <c r="E32" t="s">
        <v>66</v>
      </c>
    </row>
    <row r="33" spans="1:1" x14ac:dyDescent="0.2">
      <c r="A33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</vt:lpstr>
      <vt:lpstr>Xv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2026-10-17T14:08:45Z</dcterms:created>
  <dcterms:modified xsi:type="dcterms:W3CDTF">2026-10-17T14:08:46Z</dcterms:modified>
  <cp:category/>
</cp:coreProperties>
</file>