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D5863319-38AA-9945-A1F3-F9319D11705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D399" i="2" s="1"/>
  <c r="A398" i="2" a="1"/>
  <c r="A398" i="2"/>
  <c r="C398" i="2" s="1"/>
  <c r="A397" i="2" a="1"/>
  <c r="A397" i="2" s="1"/>
  <c r="D397" i="2" s="1"/>
  <c r="A396" i="2" a="1"/>
  <c r="A396" i="2"/>
  <c r="A395" i="2" a="1"/>
  <c r="A395" i="2" s="1"/>
  <c r="A394" i="2" a="1"/>
  <c r="A394" i="2"/>
  <c r="C394" i="2" s="1"/>
  <c r="A393" i="2" a="1"/>
  <c r="A393" i="2" s="1"/>
  <c r="A392" i="2" a="1"/>
  <c r="A392" i="2"/>
  <c r="B392" i="2" s="1"/>
  <c r="A391" i="2" a="1"/>
  <c r="A391" i="2" s="1"/>
  <c r="B391" i="2" s="1"/>
  <c r="D390" i="2"/>
  <c r="C390" i="2"/>
  <c r="B390" i="2"/>
  <c r="A390" i="2" a="1"/>
  <c r="A390" i="2" s="1"/>
  <c r="A389" i="2" a="1"/>
  <c r="A389" i="2" s="1"/>
  <c r="D389" i="2" s="1"/>
  <c r="A388" i="2" a="1"/>
  <c r="A388" i="2"/>
  <c r="D388" i="2" s="1"/>
  <c r="A387" i="2" a="1"/>
  <c r="A387" i="2"/>
  <c r="B387" i="2" s="1"/>
  <c r="A386" i="2" a="1"/>
  <c r="A386" i="2"/>
  <c r="B386" i="2" s="1"/>
  <c r="A385" i="2" a="1"/>
  <c r="A385" i="2"/>
  <c r="A384" i="2" a="1"/>
  <c r="A384" i="2"/>
  <c r="D384" i="2" s="1"/>
  <c r="A383" i="2" a="1"/>
  <c r="A383" i="2"/>
  <c r="D383" i="2" s="1"/>
  <c r="A382" i="2" a="1"/>
  <c r="A382" i="2" s="1"/>
  <c r="D382" i="2" s="1"/>
  <c r="A381" i="2" a="1"/>
  <c r="A381" i="2" s="1"/>
  <c r="D381" i="2" s="1"/>
  <c r="A380" i="2" a="1"/>
  <c r="A380" i="2"/>
  <c r="B380" i="2" s="1"/>
  <c r="A379" i="2" a="1"/>
  <c r="A379" i="2" s="1"/>
  <c r="D379" i="2" s="1"/>
  <c r="A378" i="2" a="1"/>
  <c r="A378" i="2"/>
  <c r="A377" i="2" a="1"/>
  <c r="A377" i="2"/>
  <c r="D377" i="2" s="1"/>
  <c r="A376" i="2" a="1"/>
  <c r="A376" i="2"/>
  <c r="C376" i="2" s="1"/>
  <c r="D375" i="2"/>
  <c r="A375" i="2" a="1"/>
  <c r="A375" i="2" s="1"/>
  <c r="A374" i="2" a="1"/>
  <c r="A374" i="2" s="1"/>
  <c r="A373" i="2" a="1"/>
  <c r="A373" i="2" s="1"/>
  <c r="B373" i="2" s="1"/>
  <c r="A372" i="2" a="1"/>
  <c r="A372" i="2" s="1"/>
  <c r="D372" i="2" s="1"/>
  <c r="A371" i="2" a="1"/>
  <c r="A371" i="2"/>
  <c r="D371" i="2" s="1"/>
  <c r="A370" i="2" a="1"/>
  <c r="A370" i="2" s="1"/>
  <c r="A369" i="2" a="1"/>
  <c r="A369" i="2"/>
  <c r="B369" i="2" s="1"/>
  <c r="A368" i="2" a="1"/>
  <c r="A368" i="2"/>
  <c r="B368" i="2" s="1"/>
  <c r="A367" i="2" a="1"/>
  <c r="A367" i="2"/>
  <c r="A366" i="2" a="1"/>
  <c r="A366" i="2" s="1"/>
  <c r="A365" i="2" a="1"/>
  <c r="A365" i="2" s="1"/>
  <c r="A364" i="2" a="1"/>
  <c r="A364" i="2"/>
  <c r="D364" i="2" s="1"/>
  <c r="A363" i="2" a="1"/>
  <c r="A363" i="2"/>
  <c r="D363" i="2" s="1"/>
  <c r="A362" i="2" a="1"/>
  <c r="A362" i="2"/>
  <c r="D362" i="2" s="1"/>
  <c r="D361" i="2"/>
  <c r="C361" i="2"/>
  <c r="A361" i="2" a="1"/>
  <c r="A361" i="2" s="1"/>
  <c r="B361" i="2" s="1"/>
  <c r="A360" i="2" a="1"/>
  <c r="A360" i="2"/>
  <c r="A359" i="2" a="1"/>
  <c r="A359" i="2"/>
  <c r="D359" i="2" s="1"/>
  <c r="A358" i="2" a="1"/>
  <c r="A358" i="2" s="1"/>
  <c r="A357" i="2" a="1"/>
  <c r="A357" i="2" s="1"/>
  <c r="A356" i="2" a="1"/>
  <c r="A356" i="2"/>
  <c r="B355" i="2"/>
  <c r="A355" i="2" a="1"/>
  <c r="A355" i="2" s="1"/>
  <c r="D355" i="2" s="1"/>
  <c r="A354" i="2" a="1"/>
  <c r="A354" i="2" s="1"/>
  <c r="D354" i="2" s="1"/>
  <c r="A353" i="2" a="1"/>
  <c r="A353" i="2"/>
  <c r="D353" i="2" s="1"/>
  <c r="A352" i="2" a="1"/>
  <c r="A352" i="2"/>
  <c r="D352" i="2" s="1"/>
  <c r="A351" i="2" a="1"/>
  <c r="A351" i="2" s="1"/>
  <c r="A350" i="2" a="1"/>
  <c r="A350" i="2"/>
  <c r="B350" i="2" s="1"/>
  <c r="A349" i="2" a="1"/>
  <c r="A349" i="2"/>
  <c r="A348" i="2" a="1"/>
  <c r="A348" i="2"/>
  <c r="B348" i="2" s="1"/>
  <c r="A347" i="2" a="1"/>
  <c r="A347" i="2" s="1"/>
  <c r="D347" i="2" s="1"/>
  <c r="A346" i="2" a="1"/>
  <c r="A346" i="2" s="1"/>
  <c r="D346" i="2" s="1"/>
  <c r="A345" i="2" a="1"/>
  <c r="A345" i="2" s="1"/>
  <c r="A344" i="2" a="1"/>
  <c r="A344" i="2"/>
  <c r="D344" i="2" s="1"/>
  <c r="D343" i="2"/>
  <c r="C343" i="2"/>
  <c r="A343" i="2" a="1"/>
  <c r="A343" i="2" s="1"/>
  <c r="B343" i="2" s="1"/>
  <c r="A342" i="2" a="1"/>
  <c r="A342" i="2"/>
  <c r="A341" i="2" a="1"/>
  <c r="A341" i="2"/>
  <c r="D341" i="2" s="1"/>
  <c r="A340" i="2" a="1"/>
  <c r="A340" i="2" s="1"/>
  <c r="A339" i="2" a="1"/>
  <c r="A339" i="2" s="1"/>
  <c r="A338" i="2" a="1"/>
  <c r="A338" i="2" s="1"/>
  <c r="A337" i="2" a="1"/>
  <c r="A337" i="2" s="1"/>
  <c r="D337" i="2" s="1"/>
  <c r="A336" i="2" a="1"/>
  <c r="A336" i="2" s="1"/>
  <c r="B336" i="2" s="1"/>
  <c r="A335" i="2" a="1"/>
  <c r="A335" i="2" s="1"/>
  <c r="A334" i="2" a="1"/>
  <c r="A334" i="2"/>
  <c r="D334" i="2" s="1"/>
  <c r="A333" i="2" a="1"/>
  <c r="A333" i="2" s="1"/>
  <c r="A332" i="2" a="1"/>
  <c r="A332" i="2"/>
  <c r="B332" i="2" s="1"/>
  <c r="A331" i="2" a="1"/>
  <c r="A331" i="2" s="1"/>
  <c r="B331" i="2" s="1"/>
  <c r="A330" i="2" a="1"/>
  <c r="A330" i="2"/>
  <c r="C330" i="2" s="1"/>
  <c r="A329" i="2" a="1"/>
  <c r="A329" i="2"/>
  <c r="D329" i="2" s="1"/>
  <c r="A328" i="2" a="1"/>
  <c r="A328" i="2"/>
  <c r="D328" i="2" s="1"/>
  <c r="A327" i="2" a="1"/>
  <c r="A327" i="2"/>
  <c r="B327" i="2" s="1"/>
  <c r="A326" i="2" a="1"/>
  <c r="A326" i="2"/>
  <c r="C326" i="2" s="1"/>
  <c r="A325" i="2" a="1"/>
  <c r="A325" i="2" s="1"/>
  <c r="D325" i="2" s="1"/>
  <c r="A324" i="2" a="1"/>
  <c r="A324" i="2" s="1"/>
  <c r="A323" i="2" a="1"/>
  <c r="A323" i="2"/>
  <c r="D323" i="2" s="1"/>
  <c r="A322" i="2" a="1"/>
  <c r="A322" i="2"/>
  <c r="C322" i="2" s="1"/>
  <c r="A321" i="2" a="1"/>
  <c r="A321" i="2" s="1"/>
  <c r="D321" i="2" s="1"/>
  <c r="A320" i="2" a="1"/>
  <c r="A320" i="2"/>
  <c r="D320" i="2" s="1"/>
  <c r="A319" i="2" a="1"/>
  <c r="A319" i="2" s="1"/>
  <c r="C319" i="2" s="1"/>
  <c r="A318" i="2" a="1"/>
  <c r="A318" i="2" s="1"/>
  <c r="D318" i="2" s="1"/>
  <c r="A317" i="2" a="1"/>
  <c r="A317" i="2"/>
  <c r="A316" i="2" a="1"/>
  <c r="A316" i="2" s="1"/>
  <c r="A315" i="2" a="1"/>
  <c r="A315" i="2"/>
  <c r="B315" i="2" s="1"/>
  <c r="A314" i="2" a="1"/>
  <c r="A314" i="2" s="1"/>
  <c r="B314" i="2" s="1"/>
  <c r="A313" i="2" a="1"/>
  <c r="A313" i="2" s="1"/>
  <c r="A312" i="2" a="1"/>
  <c r="A312" i="2"/>
  <c r="D312" i="2" s="1"/>
  <c r="A311" i="2" a="1"/>
  <c r="A311" i="2" s="1"/>
  <c r="A310" i="2" a="1"/>
  <c r="A310" i="2" s="1"/>
  <c r="A309" i="2" a="1"/>
  <c r="A309" i="2"/>
  <c r="B309" i="2" s="1"/>
  <c r="A308" i="2" a="1"/>
  <c r="A308" i="2"/>
  <c r="D308" i="2" s="1"/>
  <c r="A307" i="2" a="1"/>
  <c r="A307" i="2" s="1"/>
  <c r="D307" i="2" s="1"/>
  <c r="A306" i="2" a="1"/>
  <c r="A306" i="2" s="1"/>
  <c r="A305" i="2" a="1"/>
  <c r="A305" i="2" s="1"/>
  <c r="D305" i="2" s="1"/>
  <c r="A304" i="2" a="1"/>
  <c r="A304" i="2"/>
  <c r="C304" i="2" s="1"/>
  <c r="A303" i="2" a="1"/>
  <c r="A303" i="2" s="1"/>
  <c r="A302" i="2" a="1"/>
  <c r="A302" i="2" s="1"/>
  <c r="A301" i="2" a="1"/>
  <c r="A301" i="2" s="1"/>
  <c r="C301" i="2" s="1"/>
  <c r="A300" i="2" a="1"/>
  <c r="A300" i="2" s="1"/>
  <c r="D300" i="2" s="1"/>
  <c r="A299" i="2" a="1"/>
  <c r="A299" i="2"/>
  <c r="A298" i="2" a="1"/>
  <c r="A298" i="2"/>
  <c r="D298" i="2" s="1"/>
  <c r="A297" i="2" a="1"/>
  <c r="A297" i="2" s="1"/>
  <c r="B297" i="2" s="1"/>
  <c r="A296" i="2" a="1"/>
  <c r="A296" i="2" s="1"/>
  <c r="B296" i="2" s="1"/>
  <c r="A295" i="2" a="1"/>
  <c r="A295" i="2"/>
  <c r="A294" i="2" a="1"/>
  <c r="A294" i="2"/>
  <c r="D294" i="2" s="1"/>
  <c r="A293" i="2" a="1"/>
  <c r="A293" i="2"/>
  <c r="D293" i="2" s="1"/>
  <c r="A292" i="2" a="1"/>
  <c r="A292" i="2" s="1"/>
  <c r="A291" i="2" a="1"/>
  <c r="A291" i="2"/>
  <c r="B291" i="2" s="1"/>
  <c r="A290" i="2" a="1"/>
  <c r="A290" i="2"/>
  <c r="D290" i="2" s="1"/>
  <c r="A289" i="2" a="1"/>
  <c r="A289" i="2" s="1"/>
  <c r="D289" i="2" s="1"/>
  <c r="A288" i="2" a="1"/>
  <c r="A288" i="2" s="1"/>
  <c r="A287" i="2" a="1"/>
  <c r="A287" i="2" s="1"/>
  <c r="A286" i="2" a="1"/>
  <c r="A286" i="2"/>
  <c r="C286" i="2" s="1"/>
  <c r="A285" i="2" a="1"/>
  <c r="A285" i="2" s="1"/>
  <c r="D285" i="2" s="1"/>
  <c r="C284" i="2"/>
  <c r="B284" i="2"/>
  <c r="A284" i="2" a="1"/>
  <c r="A284" i="2"/>
  <c r="D284" i="2" s="1"/>
  <c r="A283" i="2" a="1"/>
  <c r="A283" i="2" s="1"/>
  <c r="B283" i="2" s="1"/>
  <c r="A282" i="2" a="1"/>
  <c r="A282" i="2" s="1"/>
  <c r="D282" i="2" s="1"/>
  <c r="A281" i="2" a="1"/>
  <c r="A281" i="2"/>
  <c r="A280" i="2" a="1"/>
  <c r="A280" i="2" s="1"/>
  <c r="D280" i="2" s="1"/>
  <c r="A279" i="2" a="1"/>
  <c r="A279" i="2"/>
  <c r="B279" i="2" s="1"/>
  <c r="A278" i="2" a="1"/>
  <c r="A278" i="2" s="1"/>
  <c r="B278" i="2" s="1"/>
  <c r="A277" i="2" a="1"/>
  <c r="A277" i="2"/>
  <c r="B277" i="2" s="1"/>
  <c r="A276" i="2" a="1"/>
  <c r="A276" i="2" s="1"/>
  <c r="D276" i="2" s="1"/>
  <c r="A275" i="2" a="1"/>
  <c r="A275" i="2"/>
  <c r="D275" i="2" s="1"/>
  <c r="A274" i="2" a="1"/>
  <c r="A274" i="2" s="1"/>
  <c r="A273" i="2" a="1"/>
  <c r="A273" i="2"/>
  <c r="D273" i="2" s="1"/>
  <c r="A272" i="2" a="1"/>
  <c r="A272" i="2" s="1"/>
  <c r="A271" i="2" a="1"/>
  <c r="A271" i="2"/>
  <c r="D271" i="2" s="1"/>
  <c r="A270" i="2" a="1"/>
  <c r="A270" i="2"/>
  <c r="A269" i="2" a="1"/>
  <c r="A269" i="2"/>
  <c r="D269" i="2" s="1"/>
  <c r="A268" i="2" a="1"/>
  <c r="A268" i="2"/>
  <c r="C268" i="2" s="1"/>
  <c r="A267" i="2" a="1"/>
  <c r="A267" i="2"/>
  <c r="C267" i="2" s="1"/>
  <c r="A266" i="2" a="1"/>
  <c r="A266" i="2" s="1"/>
  <c r="D266" i="2" s="1"/>
  <c r="A265" i="2" a="1"/>
  <c r="A265" i="2" s="1"/>
  <c r="D265" i="2" s="1"/>
  <c r="A264" i="2" a="1"/>
  <c r="A264" i="2" s="1"/>
  <c r="B264" i="2" s="1"/>
  <c r="A263" i="2" a="1"/>
  <c r="A263" i="2"/>
  <c r="A262" i="2" a="1"/>
  <c r="A262" i="2" s="1"/>
  <c r="D262" i="2" s="1"/>
  <c r="A261" i="2" a="1"/>
  <c r="A261" i="2" s="1"/>
  <c r="A260" i="2" a="1"/>
  <c r="A260" i="2" s="1"/>
  <c r="B260" i="2" s="1"/>
  <c r="A259" i="2" a="1"/>
  <c r="A259" i="2"/>
  <c r="A258" i="2" a="1"/>
  <c r="A258" i="2" s="1"/>
  <c r="A257" i="2" a="1"/>
  <c r="A257" i="2"/>
  <c r="D257" i="2" s="1"/>
  <c r="A256" i="2" a="1"/>
  <c r="A256" i="2" s="1"/>
  <c r="A255" i="2" a="1"/>
  <c r="A255" i="2" s="1"/>
  <c r="A254" i="2" a="1"/>
  <c r="A254" i="2"/>
  <c r="D254" i="2" s="1"/>
  <c r="A253" i="2" a="1"/>
  <c r="A253" i="2"/>
  <c r="C253" i="2" s="1"/>
  <c r="A252" i="2" a="1"/>
  <c r="A252" i="2"/>
  <c r="A251" i="2" a="1"/>
  <c r="A251" i="2" s="1"/>
  <c r="A250" i="2" a="1"/>
  <c r="A250" i="2" s="1"/>
  <c r="C250" i="2" s="1"/>
  <c r="A249" i="2" a="1"/>
  <c r="A249" i="2"/>
  <c r="C249" i="2" s="1"/>
  <c r="A248" i="2" a="1"/>
  <c r="A248" i="2" s="1"/>
  <c r="D248" i="2" s="1"/>
  <c r="A247" i="2" a="1"/>
  <c r="A247" i="2" s="1"/>
  <c r="B247" i="2" s="1"/>
  <c r="A246" i="2" a="1"/>
  <c r="A246" i="2" s="1"/>
  <c r="D246" i="2" s="1"/>
  <c r="A245" i="2" a="1"/>
  <c r="A245" i="2"/>
  <c r="D244" i="2"/>
  <c r="C244" i="2"/>
  <c r="B244" i="2"/>
  <c r="A244" i="2" a="1"/>
  <c r="A244" i="2"/>
  <c r="A243" i="2" a="1"/>
  <c r="A243" i="2"/>
  <c r="B243" i="2" s="1"/>
  <c r="A242" i="2" a="1"/>
  <c r="A242" i="2" s="1"/>
  <c r="B242" i="2" s="1"/>
  <c r="A241" i="2" a="1"/>
  <c r="A241" i="2"/>
  <c r="B241" i="2" s="1"/>
  <c r="A240" i="2" a="1"/>
  <c r="A240" i="2"/>
  <c r="D240" i="2" s="1"/>
  <c r="A239" i="2" a="1"/>
  <c r="A239" i="2"/>
  <c r="D239" i="2" s="1"/>
  <c r="A238" i="2" a="1"/>
  <c r="A238" i="2" s="1"/>
  <c r="A237" i="2" a="1"/>
  <c r="A237" i="2" s="1"/>
  <c r="A236" i="2" a="1"/>
  <c r="A236" i="2" s="1"/>
  <c r="B236" i="2" s="1"/>
  <c r="A235" i="2" a="1"/>
  <c r="A235" i="2"/>
  <c r="D235" i="2" s="1"/>
  <c r="A234" i="2" a="1"/>
  <c r="A234" i="2"/>
  <c r="A233" i="2" a="1"/>
  <c r="A233" i="2" s="1"/>
  <c r="D233" i="2" s="1"/>
  <c r="A232" i="2" a="1"/>
  <c r="A232" i="2"/>
  <c r="C232" i="2" s="1"/>
  <c r="A231" i="2" a="1"/>
  <c r="A231" i="2" s="1"/>
  <c r="A230" i="2" a="1"/>
  <c r="A230" i="2" s="1"/>
  <c r="A229" i="2" a="1"/>
  <c r="A229" i="2" s="1"/>
  <c r="D229" i="2" s="1"/>
  <c r="A228" i="2" a="1"/>
  <c r="A228" i="2" s="1"/>
  <c r="C228" i="2" s="1"/>
  <c r="A227" i="2" a="1"/>
  <c r="A227" i="2"/>
  <c r="A226" i="2" a="1"/>
  <c r="A226" i="2" s="1"/>
  <c r="A225" i="2" a="1"/>
  <c r="A225" i="2" s="1"/>
  <c r="A224" i="2" a="1"/>
  <c r="A224" i="2" s="1"/>
  <c r="B224" i="2" s="1"/>
  <c r="A223" i="2" a="1"/>
  <c r="A223" i="2" s="1"/>
  <c r="A222" i="2" a="1"/>
  <c r="A222" i="2"/>
  <c r="D222" i="2" s="1"/>
  <c r="A221" i="2" a="1"/>
  <c r="A221" i="2" s="1"/>
  <c r="A220" i="2" a="1"/>
  <c r="A220" i="2" s="1"/>
  <c r="A219" i="2" a="1"/>
  <c r="A219" i="2" s="1"/>
  <c r="A218" i="2" a="1"/>
  <c r="A218" i="2"/>
  <c r="D218" i="2" s="1"/>
  <c r="A217" i="2" a="1"/>
  <c r="A217" i="2" s="1"/>
  <c r="B217" i="2" s="1"/>
  <c r="A216" i="2" a="1"/>
  <c r="A216" i="2" s="1"/>
  <c r="A215" i="2" a="1"/>
  <c r="A215" i="2" s="1"/>
  <c r="A214" i="2" a="1"/>
  <c r="A214" i="2"/>
  <c r="C214" i="2" s="1"/>
  <c r="A213" i="2" a="1"/>
  <c r="A213" i="2"/>
  <c r="C213" i="2" s="1"/>
  <c r="A212" i="2" a="1"/>
  <c r="A212" i="2"/>
  <c r="D212" i="2" s="1"/>
  <c r="A211" i="2" a="1"/>
  <c r="A211" i="2" s="1"/>
  <c r="D211" i="2" s="1"/>
  <c r="A210" i="2" a="1"/>
  <c r="A210" i="2" s="1"/>
  <c r="D210" i="2" s="1"/>
  <c r="A209" i="2" a="1"/>
  <c r="A209" i="2"/>
  <c r="A208" i="2" a="1"/>
  <c r="A208" i="2"/>
  <c r="B208" i="2" s="1"/>
  <c r="A207" i="2" a="1"/>
  <c r="A207" i="2" s="1"/>
  <c r="B207" i="2" s="1"/>
  <c r="A206" i="2" a="1"/>
  <c r="A206" i="2" s="1"/>
  <c r="B206" i="2" s="1"/>
  <c r="A205" i="2" a="1"/>
  <c r="A205" i="2"/>
  <c r="A204" i="2" a="1"/>
  <c r="A204" i="2"/>
  <c r="B204" i="2" s="1"/>
  <c r="A203" i="2" a="1"/>
  <c r="A203" i="2" s="1"/>
  <c r="A202" i="2" a="1"/>
  <c r="A202" i="2" s="1"/>
  <c r="A201" i="2" a="1"/>
  <c r="A201" i="2"/>
  <c r="D201" i="2" s="1"/>
  <c r="A200" i="2" a="1"/>
  <c r="A200" i="2"/>
  <c r="D200" i="2" s="1"/>
  <c r="A199" i="2" a="1"/>
  <c r="A199" i="2" s="1"/>
  <c r="A198" i="2" a="1"/>
  <c r="A198" i="2"/>
  <c r="A197" i="2" a="1"/>
  <c r="A197" i="2"/>
  <c r="D197" i="2" s="1"/>
  <c r="A196" i="2" a="1"/>
  <c r="A196" i="2"/>
  <c r="C196" i="2" s="1"/>
  <c r="A195" i="2" a="1"/>
  <c r="A195" i="2"/>
  <c r="C195" i="2" s="1"/>
  <c r="A194" i="2" a="1"/>
  <c r="A194" i="2" s="1"/>
  <c r="A193" i="2" a="1"/>
  <c r="A193" i="2" s="1"/>
  <c r="B193" i="2" s="1"/>
  <c r="A192" i="2" a="1"/>
  <c r="A192" i="2" s="1"/>
  <c r="D192" i="2" s="1"/>
  <c r="A191" i="2" a="1"/>
  <c r="A191" i="2" s="1"/>
  <c r="A190" i="2" a="1"/>
  <c r="A190" i="2"/>
  <c r="D190" i="2" s="1"/>
  <c r="A189" i="2" a="1"/>
  <c r="A189" i="2"/>
  <c r="B189" i="2" s="1"/>
  <c r="A188" i="2" a="1"/>
  <c r="A188" i="2" s="1"/>
  <c r="B188" i="2" s="1"/>
  <c r="A187" i="2" a="1"/>
  <c r="A187" i="2"/>
  <c r="B187" i="2" s="1"/>
  <c r="A186" i="2" a="1"/>
  <c r="A186" i="2" s="1"/>
  <c r="A185" i="2" a="1"/>
  <c r="A185" i="2"/>
  <c r="D185" i="2" s="1"/>
  <c r="A184" i="2" a="1"/>
  <c r="A184" i="2" s="1"/>
  <c r="A183" i="2" a="1"/>
  <c r="A183" i="2"/>
  <c r="D183" i="2" s="1"/>
  <c r="A182" i="2" a="1"/>
  <c r="A182" i="2"/>
  <c r="D182" i="2" s="1"/>
  <c r="A181" i="2" a="1"/>
  <c r="A181" i="2" s="1"/>
  <c r="A180" i="2" a="1"/>
  <c r="A180" i="2"/>
  <c r="A179" i="2" a="1"/>
  <c r="A179" i="2"/>
  <c r="D179" i="2" s="1"/>
  <c r="A178" i="2" a="1"/>
  <c r="A178" i="2"/>
  <c r="C178" i="2" s="1"/>
  <c r="A177" i="2" a="1"/>
  <c r="A177" i="2" s="1"/>
  <c r="A176" i="2" a="1"/>
  <c r="A176" i="2"/>
  <c r="D176" i="2" s="1"/>
  <c r="A175" i="2" a="1"/>
  <c r="A175" i="2" s="1"/>
  <c r="D175" i="2" s="1"/>
  <c r="A174" i="2" a="1"/>
  <c r="A174" i="2" s="1"/>
  <c r="B174" i="2" s="1"/>
  <c r="A173" i="2" a="1"/>
  <c r="A173" i="2"/>
  <c r="A172" i="2" a="1"/>
  <c r="A172" i="2"/>
  <c r="B172" i="2" s="1"/>
  <c r="A171" i="2" a="1"/>
  <c r="A171" i="2"/>
  <c r="B171" i="2" s="1"/>
  <c r="D170" i="2"/>
  <c r="C170" i="2"/>
  <c r="A170" i="2" a="1"/>
  <c r="A170" i="2" s="1"/>
  <c r="B170" i="2" s="1"/>
  <c r="A169" i="2" a="1"/>
  <c r="A169" i="2"/>
  <c r="A168" i="2" a="1"/>
  <c r="A168" i="2"/>
  <c r="D168" i="2" s="1"/>
  <c r="A167" i="2" a="1"/>
  <c r="A167" i="2" s="1"/>
  <c r="A166" i="2" a="1"/>
  <c r="A166" i="2" s="1"/>
  <c r="A165" i="2" a="1"/>
  <c r="A165" i="2" s="1"/>
  <c r="A164" i="2" a="1"/>
  <c r="A164" i="2"/>
  <c r="B164" i="2" s="1"/>
  <c r="A163" i="2" a="1"/>
  <c r="A163" i="2" s="1"/>
  <c r="C163" i="2" s="1"/>
  <c r="A162" i="2" a="1"/>
  <c r="A162" i="2"/>
  <c r="A161" i="2" a="1"/>
  <c r="A161" i="2" s="1"/>
  <c r="B161" i="2" s="1"/>
  <c r="A160" i="2" a="1"/>
  <c r="A160" i="2"/>
  <c r="C160" i="2" s="1"/>
  <c r="A159" i="2" a="1"/>
  <c r="A159" i="2"/>
  <c r="C159" i="2" s="1"/>
  <c r="A158" i="2" a="1"/>
  <c r="A158" i="2" s="1"/>
  <c r="A157" i="2" a="1"/>
  <c r="A157" i="2" s="1"/>
  <c r="D157" i="2" s="1"/>
  <c r="A156" i="2" a="1"/>
  <c r="A156" i="2" s="1"/>
  <c r="D156" i="2" s="1"/>
  <c r="A155" i="2" a="1"/>
  <c r="A155" i="2"/>
  <c r="A154" i="2" a="1"/>
  <c r="A154" i="2" s="1"/>
  <c r="A153" i="2" a="1"/>
  <c r="A153" i="2" s="1"/>
  <c r="A152" i="2" a="1"/>
  <c r="A152" i="2"/>
  <c r="B152" i="2" s="1"/>
  <c r="A151" i="2" a="1"/>
  <c r="A151" i="2" s="1"/>
  <c r="A150" i="2" a="1"/>
  <c r="A150" i="2"/>
  <c r="D150" i="2" s="1"/>
  <c r="A149" i="2" a="1"/>
  <c r="A149" i="2"/>
  <c r="D149" i="2" s="1"/>
  <c r="A148" i="2" a="1"/>
  <c r="A148" i="2" s="1"/>
  <c r="A147" i="2" a="1"/>
  <c r="A147" i="2"/>
  <c r="D147" i="2" s="1"/>
  <c r="A146" i="2" a="1"/>
  <c r="A146" i="2"/>
  <c r="D146" i="2" s="1"/>
  <c r="D145" i="2"/>
  <c r="C145" i="2"/>
  <c r="B145" i="2"/>
  <c r="A144" i="2" a="1"/>
  <c r="A144" i="2" s="1"/>
  <c r="A141" i="2" a="1"/>
  <c r="A141" i="2"/>
  <c r="C141" i="2" s="1"/>
  <c r="A140" i="2" a="1"/>
  <c r="A140" i="2"/>
  <c r="D140" i="2" s="1"/>
  <c r="A139" i="2" a="1"/>
  <c r="A139" i="2" s="1"/>
  <c r="D139" i="2" s="1"/>
  <c r="A138" i="2" a="1"/>
  <c r="A138" i="2" s="1"/>
  <c r="D138" i="2" s="1"/>
  <c r="A133" i="2" a="1"/>
  <c r="A133" i="2" s="1"/>
  <c r="A132" i="2" a="1"/>
  <c r="A132" i="2"/>
  <c r="D132" i="2" s="1"/>
  <c r="A131" i="2" a="1"/>
  <c r="A131" i="2" s="1"/>
  <c r="A130" i="2" a="1"/>
  <c r="A130" i="2" s="1"/>
  <c r="A129" i="2" a="1"/>
  <c r="A129" i="2" s="1"/>
  <c r="A128" i="2" a="1"/>
  <c r="A128" i="2" s="1"/>
  <c r="A127" i="2" a="1"/>
  <c r="A127" i="2" s="1"/>
  <c r="B127" i="2" s="1"/>
  <c r="A126" i="2" a="1"/>
  <c r="A126" i="2"/>
  <c r="A125" i="2" a="1"/>
  <c r="A125" i="2"/>
  <c r="D125" i="2" s="1"/>
  <c r="A124" i="2" a="1"/>
  <c r="A124" i="2"/>
  <c r="C124" i="2" s="1"/>
  <c r="D123" i="2"/>
  <c r="A123" i="2" a="1"/>
  <c r="A123" i="2"/>
  <c r="C123" i="2" s="1"/>
  <c r="A122" i="2" a="1"/>
  <c r="A122" i="2"/>
  <c r="D122" i="2" s="1"/>
  <c r="A121" i="2" a="1"/>
  <c r="A121" i="2"/>
  <c r="D121" i="2" s="1"/>
  <c r="D120" i="2"/>
  <c r="C120" i="2"/>
  <c r="B120" i="2"/>
  <c r="A120" i="2" a="1"/>
  <c r="A120" i="2" s="1"/>
  <c r="A119" i="2" a="1"/>
  <c r="A119" i="2"/>
  <c r="A118" i="2" a="1"/>
  <c r="A118" i="2"/>
  <c r="D118" i="2" s="1"/>
  <c r="A117" i="2" a="1"/>
  <c r="A117" i="2" s="1"/>
  <c r="A116" i="2" a="1"/>
  <c r="A116" i="2" s="1"/>
  <c r="B116" i="2" s="1"/>
  <c r="A115" i="2" a="1"/>
  <c r="A115" i="2" s="1"/>
  <c r="A114" i="2" a="1"/>
  <c r="A114" i="2"/>
  <c r="B114" i="2" s="1"/>
  <c r="A113" i="2" a="1"/>
  <c r="A113" i="2"/>
  <c r="D113" i="2" s="1"/>
  <c r="A112" i="2" a="1"/>
  <c r="A112" i="2" s="1"/>
  <c r="A111" i="2" a="1"/>
  <c r="A111" i="2"/>
  <c r="D111" i="2" s="1"/>
  <c r="A110" i="2" a="1"/>
  <c r="A110" i="2" s="1"/>
  <c r="A109" i="2" a="1"/>
  <c r="A109" i="2"/>
  <c r="D109" i="2" s="1"/>
  <c r="A108" i="2" a="1"/>
  <c r="A108" i="2"/>
  <c r="A107" i="2" a="1"/>
  <c r="A107" i="2" s="1"/>
  <c r="D107" i="2" s="1"/>
  <c r="A106" i="2" a="1"/>
  <c r="A106" i="2"/>
  <c r="D106" i="2" s="1"/>
  <c r="A105" i="2" a="1"/>
  <c r="A105" i="2" s="1"/>
  <c r="D105" i="2" s="1"/>
  <c r="A104" i="2" a="1"/>
  <c r="A104" i="2"/>
  <c r="D104" i="2" s="1"/>
  <c r="A103" i="2" a="1"/>
  <c r="A103" i="2" s="1"/>
  <c r="A102" i="2" a="1"/>
  <c r="A102" i="2" s="1"/>
  <c r="B102" i="2" s="1"/>
  <c r="A101" i="2" a="1"/>
  <c r="A101" i="2"/>
  <c r="A100" i="2" a="1"/>
  <c r="A100" i="2" s="1"/>
  <c r="A99" i="2" a="1"/>
  <c r="A99" i="2"/>
  <c r="C99" i="2" s="1"/>
  <c r="A98" i="2" a="1"/>
  <c r="A98" i="2" s="1"/>
  <c r="B98" i="2" s="1"/>
  <c r="A97" i="2" a="1"/>
  <c r="A97" i="2"/>
  <c r="B97" i="2" s="1"/>
  <c r="A96" i="2" a="1"/>
  <c r="A96" i="2" s="1"/>
  <c r="A95" i="2" a="1"/>
  <c r="A95" i="2"/>
  <c r="D95" i="2" s="1"/>
  <c r="A94" i="2" a="1"/>
  <c r="A94" i="2" s="1"/>
  <c r="A93" i="2" a="1"/>
  <c r="A93" i="2"/>
  <c r="D93" i="2" s="1"/>
  <c r="A92" i="2" a="1"/>
  <c r="A92" i="2" s="1"/>
  <c r="C92" i="2" s="1"/>
  <c r="A91" i="2" a="1"/>
  <c r="A91" i="2"/>
  <c r="B91" i="2" s="1"/>
  <c r="A90" i="2" a="1"/>
  <c r="A90" i="2"/>
  <c r="A89" i="2" a="1"/>
  <c r="A89" i="2"/>
  <c r="D89" i="2" s="1"/>
  <c r="A88" i="2" a="1"/>
  <c r="A88" i="2"/>
  <c r="C88" i="2" s="1"/>
  <c r="A87" i="2" a="1"/>
  <c r="A87" i="2" s="1"/>
  <c r="D87" i="2" s="1"/>
  <c r="A86" i="2" a="1"/>
  <c r="A86" i="2" s="1"/>
  <c r="A85" i="2" a="1"/>
  <c r="A85" i="2" s="1"/>
  <c r="A84" i="2" a="1"/>
  <c r="A84" i="2" s="1"/>
  <c r="B84" i="2" s="1"/>
  <c r="A83" i="2" a="1"/>
  <c r="A83" i="2"/>
  <c r="A82" i="2" a="1"/>
  <c r="A82" i="2"/>
  <c r="B82" i="2" s="1"/>
  <c r="A81" i="2" a="1"/>
  <c r="A81" i="2" s="1"/>
  <c r="D81" i="2" s="1"/>
  <c r="A80" i="2" a="1"/>
  <c r="A80" i="2" s="1"/>
  <c r="B80" i="2" s="1"/>
  <c r="A79" i="2" a="1"/>
  <c r="A79" i="2"/>
  <c r="B79" i="2" s="1"/>
  <c r="A78" i="2" a="1"/>
  <c r="A78" i="2" s="1"/>
  <c r="A77" i="2" a="1"/>
  <c r="A77" i="2"/>
  <c r="D77" i="2" s="1"/>
  <c r="A76" i="2" a="1"/>
  <c r="A76" i="2" s="1"/>
  <c r="A75" i="2" a="1"/>
  <c r="A75" i="2"/>
  <c r="D75" i="2" s="1"/>
  <c r="A74" i="2" a="1"/>
  <c r="A74" i="2" s="1"/>
  <c r="A73" i="2" a="1"/>
  <c r="A73" i="2" s="1"/>
  <c r="A72" i="2" a="1"/>
  <c r="A72" i="2"/>
  <c r="A71" i="2" a="1"/>
  <c r="A71" i="2"/>
  <c r="D71" i="2" s="1"/>
  <c r="A70" i="2" a="1"/>
  <c r="A70" i="2"/>
  <c r="D70" i="2" s="1"/>
  <c r="A69" i="2" a="1"/>
  <c r="A69" i="2" s="1"/>
  <c r="A68" i="2" a="1"/>
  <c r="A68" i="2" s="1"/>
  <c r="D68" i="2" s="1"/>
  <c r="A67" i="2" a="1"/>
  <c r="A67" i="2"/>
  <c r="D67" i="2" s="1"/>
  <c r="A66" i="2" a="1"/>
  <c r="A66" i="2" s="1"/>
  <c r="C66" i="2" s="1"/>
  <c r="A65" i="2" a="1"/>
  <c r="A65" i="2"/>
  <c r="C65" i="2" s="1"/>
  <c r="A64" i="2" a="1"/>
  <c r="A64" i="2" s="1"/>
  <c r="A63" i="2" a="1"/>
  <c r="A63" i="2" s="1"/>
  <c r="A62" i="2" a="1"/>
  <c r="A62" i="2"/>
  <c r="B62" i="2" s="1"/>
  <c r="A61" i="2" a="1"/>
  <c r="A61" i="2"/>
  <c r="B61" i="2" s="1"/>
  <c r="A60" i="2" a="1"/>
  <c r="A60" i="2" s="1"/>
  <c r="A59" i="2" a="1"/>
  <c r="A59" i="2"/>
  <c r="C59" i="2" s="1"/>
  <c r="A58" i="2" a="1"/>
  <c r="A58" i="2"/>
  <c r="D58" i="2" s="1"/>
  <c r="A57" i="2" a="1"/>
  <c r="A57" i="2"/>
  <c r="D57" i="2" s="1"/>
  <c r="A56" i="2" a="1"/>
  <c r="A56" i="2" s="1"/>
  <c r="A55" i="2" a="1"/>
  <c r="A55" i="2"/>
  <c r="C55" i="2" s="1"/>
  <c r="A54" i="2" a="1"/>
  <c r="A54" i="2"/>
  <c r="D54" i="2" s="1"/>
  <c r="A53" i="2" a="1"/>
  <c r="A53" i="2" s="1"/>
  <c r="C53" i="2" s="1"/>
  <c r="A52" i="2" a="1"/>
  <c r="A52" i="2" s="1"/>
  <c r="A51" i="2" a="1"/>
  <c r="A51" i="2" s="1"/>
  <c r="D51" i="2" s="1"/>
  <c r="A50" i="2" a="1"/>
  <c r="A50" i="2"/>
  <c r="D50" i="2" s="1"/>
  <c r="A49" i="2" a="1"/>
  <c r="A49" i="2" s="1"/>
  <c r="D48" i="2"/>
  <c r="A48" i="2" a="1"/>
  <c r="A48" i="2" s="1"/>
  <c r="B48" i="2" s="1"/>
  <c r="A47" i="2" a="1"/>
  <c r="A47" i="2"/>
  <c r="A46" i="2" a="1"/>
  <c r="A46" i="2" s="1"/>
  <c r="A45" i="2" a="1"/>
  <c r="A45" i="2"/>
  <c r="D45" i="2" s="1"/>
  <c r="A44" i="2" a="1"/>
  <c r="A44" i="2" s="1"/>
  <c r="A43" i="2" a="1"/>
  <c r="A43" i="2" s="1"/>
  <c r="A42" i="2" a="1"/>
  <c r="A42" i="2"/>
  <c r="B42" i="2" s="1"/>
  <c r="A41" i="2" a="1"/>
  <c r="A41" i="2"/>
  <c r="D41" i="2" s="1"/>
  <c r="A40" i="2" a="1"/>
  <c r="A40" i="2" s="1"/>
  <c r="A39" i="2" a="1"/>
  <c r="A39" i="2"/>
  <c r="C39" i="2" s="1"/>
  <c r="A38" i="2" a="1"/>
  <c r="A38" i="2" s="1"/>
  <c r="A37" i="2" a="1"/>
  <c r="A37" i="2"/>
  <c r="B37" i="2" s="1"/>
  <c r="A36" i="2" a="1"/>
  <c r="A36" i="2" s="1"/>
  <c r="A35" i="2" a="1"/>
  <c r="A35" i="2" s="1"/>
  <c r="D35" i="2" s="1"/>
  <c r="A34" i="2" a="1"/>
  <c r="A34" i="2"/>
  <c r="C34" i="2" s="1"/>
  <c r="A33" i="2" a="1"/>
  <c r="A33" i="2" s="1"/>
  <c r="D33" i="2" s="1"/>
  <c r="A32" i="2" a="1"/>
  <c r="A32" i="2" s="1"/>
  <c r="A31" i="2" a="1"/>
  <c r="A31" i="2" s="1"/>
  <c r="A30" i="2" a="1"/>
  <c r="A30" i="2" s="1"/>
  <c r="C30" i="2" s="1"/>
  <c r="A29" i="2" a="1"/>
  <c r="A29" i="2"/>
  <c r="B29" i="2" s="1"/>
  <c r="A28" i="2" a="1"/>
  <c r="A28" i="2"/>
  <c r="C28" i="2" s="1"/>
  <c r="A27" i="2" a="1"/>
  <c r="A27" i="2" s="1"/>
  <c r="A26" i="2" a="1"/>
  <c r="A26" i="2"/>
  <c r="B26" i="2" s="1"/>
  <c r="A25" i="2" a="1"/>
  <c r="A25" i="2"/>
  <c r="B25" i="2" s="1"/>
  <c r="A24" i="2" a="1"/>
  <c r="A24" i="2" s="1"/>
  <c r="A23" i="2" a="1"/>
  <c r="A23" i="2" s="1"/>
  <c r="A22" i="2" a="1"/>
  <c r="A22" i="2"/>
  <c r="B22" i="2" s="1"/>
  <c r="A21" i="2" a="1"/>
  <c r="A21" i="2"/>
  <c r="D21" i="2" s="1"/>
  <c r="A20" i="2" a="1"/>
  <c r="A20" i="2"/>
  <c r="C20" i="2" s="1"/>
  <c r="A19" i="2" a="1"/>
  <c r="A19" i="2"/>
  <c r="D19" i="2" s="1"/>
  <c r="A18" i="2" a="1"/>
  <c r="A18" i="2"/>
  <c r="A17" i="2" a="1"/>
  <c r="A17" i="2"/>
  <c r="D17" i="2" s="1"/>
  <c r="A16" i="2" a="1"/>
  <c r="A16" i="2" s="1"/>
  <c r="D16" i="2" s="1"/>
  <c r="A15" i="2" a="1"/>
  <c r="A15" i="2" s="1"/>
  <c r="C15" i="2" s="1"/>
  <c r="A14" i="2" a="1"/>
  <c r="A14" i="2"/>
  <c r="D14" i="2" s="1"/>
  <c r="A13" i="2" a="1"/>
  <c r="A13" i="2"/>
  <c r="D13" i="2" s="1"/>
  <c r="C12" i="2"/>
  <c r="A12" i="2" a="1"/>
  <c r="A12" i="2" s="1"/>
  <c r="D12" i="2" s="1"/>
  <c r="A11" i="2" a="1"/>
  <c r="A11" i="2"/>
  <c r="B11" i="2" s="1"/>
  <c r="A10" i="2" a="1"/>
  <c r="A10" i="2"/>
  <c r="D10" i="2" s="1"/>
  <c r="A9" i="2" a="1"/>
  <c r="A9" i="2" s="1"/>
  <c r="A8" i="2" a="1"/>
  <c r="A8" i="2"/>
  <c r="D8" i="2" s="1"/>
  <c r="A7" i="2" a="1"/>
  <c r="A7" i="2"/>
  <c r="B7" i="2" s="1"/>
  <c r="A6" i="2" a="1"/>
  <c r="A6" i="2" s="1"/>
  <c r="D6" i="2" s="1"/>
  <c r="A5" i="2" a="1"/>
  <c r="A5" i="2"/>
  <c r="D5" i="2" s="1"/>
  <c r="A4" i="2" a="1"/>
  <c r="A4" i="2"/>
  <c r="C4" i="2" s="1"/>
  <c r="A3" i="2" a="1"/>
  <c r="A3" i="2" s="1"/>
  <c r="A2" i="2" a="1"/>
  <c r="A2" i="2"/>
  <c r="B2" i="2" s="1"/>
  <c r="A1" i="2" a="1"/>
  <c r="A1" i="2"/>
  <c r="D1" i="2" s="1"/>
  <c r="I15" i="1"/>
  <c r="A14" i="1"/>
  <c r="A13" i="1"/>
  <c r="AL10" i="1"/>
  <c r="A8" i="1"/>
  <c r="A145" i="2" s="1" a="1"/>
  <c r="A145" i="2" s="1"/>
  <c r="A7" i="1"/>
  <c r="A135" i="2" s="1" a="1"/>
  <c r="A135" i="2" s="1"/>
  <c r="E3" i="1"/>
  <c r="D311" i="2" l="1"/>
  <c r="C311" i="2"/>
  <c r="B38" i="2"/>
  <c r="D38" i="2"/>
  <c r="C38" i="2"/>
  <c r="C251" i="2"/>
  <c r="D251" i="2"/>
  <c r="B251" i="2"/>
  <c r="B23" i="2"/>
  <c r="D23" i="2"/>
  <c r="C23" i="2"/>
  <c r="B215" i="2"/>
  <c r="C215" i="2"/>
  <c r="D215" i="2"/>
  <c r="C181" i="2"/>
  <c r="D181" i="2"/>
  <c r="B181" i="2"/>
  <c r="B128" i="2"/>
  <c r="C128" i="2"/>
  <c r="D128" i="2"/>
  <c r="C340" i="2"/>
  <c r="D340" i="2"/>
  <c r="C60" i="2"/>
  <c r="D60" i="2"/>
  <c r="C73" i="2"/>
  <c r="D73" i="2"/>
  <c r="B73" i="2"/>
  <c r="B103" i="2"/>
  <c r="C103" i="2"/>
  <c r="D103" i="2"/>
  <c r="D302" i="2"/>
  <c r="B302" i="2"/>
  <c r="C302" i="2"/>
  <c r="C199" i="2"/>
  <c r="B199" i="2"/>
  <c r="D199" i="2"/>
  <c r="D203" i="2"/>
  <c r="C203" i="2"/>
  <c r="D32" i="2"/>
  <c r="B32" i="2"/>
  <c r="C177" i="2"/>
  <c r="D177" i="2"/>
  <c r="D272" i="2"/>
  <c r="C272" i="2"/>
  <c r="B272" i="2"/>
  <c r="D255" i="2"/>
  <c r="C255" i="2"/>
  <c r="D76" i="2"/>
  <c r="C76" i="2"/>
  <c r="D40" i="2"/>
  <c r="C40" i="2"/>
  <c r="B40" i="2"/>
  <c r="D9" i="2"/>
  <c r="C9" i="2"/>
  <c r="B44" i="2"/>
  <c r="D44" i="2"/>
  <c r="C44" i="2"/>
  <c r="D152" i="2"/>
  <c r="B163" i="2"/>
  <c r="C247" i="2"/>
  <c r="D368" i="2"/>
  <c r="B267" i="2"/>
  <c r="B282" i="2"/>
  <c r="B341" i="2"/>
  <c r="D4" i="2"/>
  <c r="C341" i="2"/>
  <c r="D267" i="2"/>
  <c r="C11" i="2"/>
  <c r="D291" i="2"/>
  <c r="B146" i="2"/>
  <c r="B218" i="2"/>
  <c r="D326" i="2"/>
  <c r="C350" i="2"/>
  <c r="C5" i="2"/>
  <c r="D34" i="2"/>
  <c r="D55" i="2"/>
  <c r="D80" i="2"/>
  <c r="C114" i="2"/>
  <c r="C146" i="2"/>
  <c r="C218" i="2"/>
  <c r="D247" i="2"/>
  <c r="D301" i="2"/>
  <c r="D350" i="2"/>
  <c r="B12" i="2"/>
  <c r="C48" i="2"/>
  <c r="C89" i="2"/>
  <c r="D114" i="2"/>
  <c r="B196" i="2"/>
  <c r="B253" i="2"/>
  <c r="C386" i="2"/>
  <c r="D208" i="2"/>
  <c r="B326" i="2"/>
  <c r="C152" i="2"/>
  <c r="D332" i="2"/>
  <c r="B175" i="2"/>
  <c r="C208" i="2"/>
  <c r="C380" i="2"/>
  <c r="C332" i="2"/>
  <c r="C368" i="2"/>
  <c r="D380" i="2"/>
  <c r="B4" i="2"/>
  <c r="B376" i="2"/>
  <c r="D376" i="2"/>
  <c r="C121" i="2"/>
  <c r="D386" i="2"/>
  <c r="B28" i="2"/>
  <c r="D242" i="2"/>
  <c r="B294" i="2"/>
  <c r="C82" i="2"/>
  <c r="B249" i="2"/>
  <c r="C294" i="2"/>
  <c r="B50" i="2"/>
  <c r="B58" i="2"/>
  <c r="D82" i="2"/>
  <c r="D159" i="2"/>
  <c r="B254" i="2"/>
  <c r="B271" i="2"/>
  <c r="B322" i="2"/>
  <c r="C22" i="2"/>
  <c r="D29" i="2"/>
  <c r="C37" i="2"/>
  <c r="C50" i="2"/>
  <c r="C58" i="2"/>
  <c r="B67" i="2"/>
  <c r="C91" i="2"/>
  <c r="B109" i="2"/>
  <c r="B235" i="2"/>
  <c r="D249" i="2"/>
  <c r="C254" i="2"/>
  <c r="C264" i="2"/>
  <c r="C271" i="2"/>
  <c r="C312" i="2"/>
  <c r="D322" i="2"/>
  <c r="B178" i="2"/>
  <c r="B55" i="2"/>
  <c r="B88" i="2"/>
  <c r="C172" i="2"/>
  <c r="B19" i="2"/>
  <c r="D172" i="2"/>
  <c r="D196" i="2"/>
  <c r="B312" i="2"/>
  <c r="D22" i="2"/>
  <c r="D37" i="2"/>
  <c r="C67" i="2"/>
  <c r="D91" i="2"/>
  <c r="C109" i="2"/>
  <c r="D141" i="2"/>
  <c r="B182" i="2"/>
  <c r="C235" i="2"/>
  <c r="D264" i="2"/>
  <c r="D279" i="2"/>
  <c r="B304" i="2"/>
  <c r="D330" i="2"/>
  <c r="C282" i="2"/>
  <c r="B34" i="2"/>
  <c r="D195" i="2"/>
  <c r="D163" i="2"/>
  <c r="C242" i="2"/>
  <c r="D253" i="2"/>
  <c r="C336" i="2"/>
  <c r="B197" i="2"/>
  <c r="B8" i="2"/>
  <c r="D160" i="2"/>
  <c r="C182" i="2"/>
  <c r="D304" i="2"/>
  <c r="C355" i="2"/>
  <c r="C291" i="2"/>
  <c r="D11" i="2"/>
  <c r="C175" i="2"/>
  <c r="C189" i="2"/>
  <c r="D336" i="2"/>
  <c r="D189" i="2"/>
  <c r="C197" i="2"/>
  <c r="D213" i="2"/>
  <c r="A142" i="2" a="1"/>
  <c r="A142" i="2" s="1"/>
  <c r="C142" i="2" s="1"/>
  <c r="B24" i="2"/>
  <c r="C24" i="2"/>
  <c r="D24" i="2"/>
  <c r="C100" i="2"/>
  <c r="B100" i="2"/>
  <c r="D100" i="2"/>
  <c r="D117" i="2"/>
  <c r="C117" i="2"/>
  <c r="B117" i="2"/>
  <c r="D167" i="2"/>
  <c r="C167" i="2"/>
  <c r="B167" i="2"/>
  <c r="D221" i="2"/>
  <c r="B221" i="2"/>
  <c r="C221" i="2"/>
  <c r="B96" i="2"/>
  <c r="D96" i="2"/>
  <c r="C96" i="2"/>
  <c r="C36" i="2"/>
  <c r="B36" i="2"/>
  <c r="D36" i="2"/>
  <c r="D306" i="2"/>
  <c r="C306" i="2"/>
  <c r="B306" i="2"/>
  <c r="B316" i="2"/>
  <c r="D316" i="2"/>
  <c r="C316" i="2"/>
  <c r="D78" i="2"/>
  <c r="C78" i="2"/>
  <c r="B78" i="2"/>
  <c r="C129" i="2"/>
  <c r="B129" i="2"/>
  <c r="D129" i="2"/>
  <c r="B153" i="2"/>
  <c r="C153" i="2"/>
  <c r="D153" i="2"/>
  <c r="B135" i="2"/>
  <c r="D135" i="2"/>
  <c r="C135" i="2"/>
  <c r="D74" i="2"/>
  <c r="C74" i="2"/>
  <c r="B74" i="2"/>
  <c r="D345" i="2"/>
  <c r="C345" i="2"/>
  <c r="B345" i="2"/>
  <c r="D86" i="2"/>
  <c r="C86" i="2"/>
  <c r="B86" i="2"/>
  <c r="C366" i="2"/>
  <c r="D366" i="2"/>
  <c r="B366" i="2"/>
  <c r="D194" i="2"/>
  <c r="C194" i="2"/>
  <c r="B194" i="2"/>
  <c r="D216" i="2"/>
  <c r="C216" i="2"/>
  <c r="B216" i="2"/>
  <c r="D230" i="2"/>
  <c r="C230" i="2"/>
  <c r="B230" i="2"/>
  <c r="D56" i="2"/>
  <c r="C56" i="2"/>
  <c r="B56" i="2"/>
  <c r="D115" i="2"/>
  <c r="C115" i="2"/>
  <c r="B115" i="2"/>
  <c r="D370" i="2"/>
  <c r="C370" i="2"/>
  <c r="B370" i="2"/>
  <c r="D223" i="2"/>
  <c r="C223" i="2"/>
  <c r="B223" i="2"/>
  <c r="D287" i="2"/>
  <c r="C287" i="2"/>
  <c r="B287" i="2"/>
  <c r="D338" i="2"/>
  <c r="B338" i="2"/>
  <c r="C338" i="2"/>
  <c r="B258" i="2"/>
  <c r="D258" i="2"/>
  <c r="C258" i="2"/>
  <c r="C358" i="2"/>
  <c r="D358" i="2"/>
  <c r="B358" i="2"/>
  <c r="B333" i="2"/>
  <c r="D333" i="2"/>
  <c r="C333" i="2"/>
  <c r="D133" i="2"/>
  <c r="C133" i="2"/>
  <c r="B133" i="2"/>
  <c r="B351" i="2"/>
  <c r="C351" i="2"/>
  <c r="D351" i="2"/>
  <c r="D144" i="2"/>
  <c r="C144" i="2"/>
  <c r="B144" i="2"/>
  <c r="C237" i="2"/>
  <c r="D237" i="2"/>
  <c r="B237" i="2"/>
  <c r="D46" i="2"/>
  <c r="C46" i="2"/>
  <c r="B46" i="2"/>
  <c r="D131" i="2"/>
  <c r="C131" i="2"/>
  <c r="B131" i="2"/>
  <c r="C186" i="2"/>
  <c r="B186" i="2"/>
  <c r="D186" i="2"/>
  <c r="D63" i="2"/>
  <c r="C63" i="2"/>
  <c r="B63" i="2"/>
  <c r="B261" i="2"/>
  <c r="C261" i="2"/>
  <c r="D261" i="2"/>
  <c r="D219" i="2"/>
  <c r="C219" i="2"/>
  <c r="B219" i="2"/>
  <c r="D395" i="2"/>
  <c r="C395" i="2"/>
  <c r="B395" i="2"/>
  <c r="C49" i="2"/>
  <c r="B49" i="2"/>
  <c r="D49" i="2"/>
  <c r="D158" i="2"/>
  <c r="C158" i="2"/>
  <c r="B158" i="2"/>
  <c r="C31" i="2"/>
  <c r="B31" i="2"/>
  <c r="D31" i="2"/>
  <c r="D52" i="2"/>
  <c r="C52" i="2"/>
  <c r="B52" i="2"/>
  <c r="B225" i="2"/>
  <c r="C225" i="2"/>
  <c r="D225" i="2"/>
  <c r="C154" i="2"/>
  <c r="B154" i="2"/>
  <c r="D154" i="2"/>
  <c r="C27" i="2"/>
  <c r="B27" i="2"/>
  <c r="D27" i="2"/>
  <c r="D64" i="2"/>
  <c r="C64" i="2"/>
  <c r="B64" i="2"/>
  <c r="D165" i="2"/>
  <c r="C165" i="2"/>
  <c r="B165" i="2"/>
  <c r="C3" i="2"/>
  <c r="B3" i="2"/>
  <c r="D3" i="2"/>
  <c r="D85" i="2"/>
  <c r="C85" i="2"/>
  <c r="B85" i="2"/>
  <c r="D110" i="2"/>
  <c r="C110" i="2"/>
  <c r="B110" i="2"/>
  <c r="B226" i="2"/>
  <c r="D226" i="2"/>
  <c r="C226" i="2"/>
  <c r="D365" i="2"/>
  <c r="B365" i="2"/>
  <c r="C365" i="2"/>
  <c r="D61" i="2"/>
  <c r="C61" i="2"/>
  <c r="D101" i="2"/>
  <c r="C101" i="2"/>
  <c r="B101" i="2"/>
  <c r="B139" i="2"/>
  <c r="D187" i="2"/>
  <c r="C187" i="2"/>
  <c r="B192" i="2"/>
  <c r="C206" i="2"/>
  <c r="B211" i="2"/>
  <c r="B307" i="2"/>
  <c r="D331" i="2"/>
  <c r="C331" i="2"/>
  <c r="B16" i="2"/>
  <c r="B20" i="2"/>
  <c r="B53" i="2"/>
  <c r="B57" i="2"/>
  <c r="B70" i="2"/>
  <c r="D83" i="2"/>
  <c r="C83" i="2"/>
  <c r="B83" i="2"/>
  <c r="B92" i="2"/>
  <c r="B106" i="2"/>
  <c r="B124" i="2"/>
  <c r="C139" i="2"/>
  <c r="B149" i="2"/>
  <c r="B168" i="2"/>
  <c r="D173" i="2"/>
  <c r="C173" i="2"/>
  <c r="B173" i="2"/>
  <c r="C192" i="2"/>
  <c r="B201" i="2"/>
  <c r="D206" i="2"/>
  <c r="C211" i="2"/>
  <c r="B240" i="2"/>
  <c r="D245" i="2"/>
  <c r="C245" i="2"/>
  <c r="B245" i="2"/>
  <c r="B268" i="2"/>
  <c r="D292" i="2"/>
  <c r="C292" i="2"/>
  <c r="B292" i="2"/>
  <c r="C297" i="2"/>
  <c r="C307" i="2"/>
  <c r="C231" i="2"/>
  <c r="B231" i="2"/>
  <c r="D259" i="2"/>
  <c r="C259" i="2"/>
  <c r="D297" i="2"/>
  <c r="C102" i="2"/>
  <c r="D169" i="2"/>
  <c r="C169" i="2"/>
  <c r="B273" i="2"/>
  <c r="B1" i="2"/>
  <c r="B75" i="2"/>
  <c r="C84" i="2"/>
  <c r="B111" i="2"/>
  <c r="B125" i="2"/>
  <c r="B140" i="2"/>
  <c r="C174" i="2"/>
  <c r="C236" i="2"/>
  <c r="D283" i="2"/>
  <c r="B45" i="2"/>
  <c r="C207" i="2"/>
  <c r="B246" i="2"/>
  <c r="B259" i="2"/>
  <c r="C283" i="2"/>
  <c r="B293" i="2"/>
  <c r="C303" i="2"/>
  <c r="B303" i="2"/>
  <c r="B41" i="2"/>
  <c r="C45" i="2"/>
  <c r="C62" i="2"/>
  <c r="D66" i="2"/>
  <c r="C116" i="2"/>
  <c r="B150" i="2"/>
  <c r="B183" i="2"/>
  <c r="C193" i="2"/>
  <c r="C217" i="2"/>
  <c r="C246" i="2"/>
  <c r="C273" i="2"/>
  <c r="B298" i="2"/>
  <c r="D303" i="2"/>
  <c r="D313" i="2"/>
  <c r="C313" i="2"/>
  <c r="B318" i="2"/>
  <c r="C327" i="2"/>
  <c r="B337" i="2"/>
  <c r="C357" i="2"/>
  <c r="B357" i="2"/>
  <c r="C381" i="2"/>
  <c r="B397" i="2"/>
  <c r="B17" i="2"/>
  <c r="D25" i="2"/>
  <c r="C25" i="2"/>
  <c r="D62" i="2"/>
  <c r="B71" i="2"/>
  <c r="D84" i="2"/>
  <c r="C98" i="2"/>
  <c r="B107" i="2"/>
  <c r="C111" i="2"/>
  <c r="D116" i="2"/>
  <c r="C125" i="2"/>
  <c r="D130" i="2"/>
  <c r="C130" i="2"/>
  <c r="B130" i="2"/>
  <c r="C140" i="2"/>
  <c r="C150" i="2"/>
  <c r="D155" i="2"/>
  <c r="C155" i="2"/>
  <c r="B155" i="2"/>
  <c r="D164" i="2"/>
  <c r="B169" i="2"/>
  <c r="D174" i="2"/>
  <c r="B179" i="2"/>
  <c r="C183" i="2"/>
  <c r="D193" i="2"/>
  <c r="C212" i="2"/>
  <c r="D217" i="2"/>
  <c r="B222" i="2"/>
  <c r="D227" i="2"/>
  <c r="C227" i="2"/>
  <c r="B227" i="2"/>
  <c r="B232" i="2"/>
  <c r="D236" i="2"/>
  <c r="C260" i="2"/>
  <c r="B265" i="2"/>
  <c r="C269" i="2"/>
  <c r="B289" i="2"/>
  <c r="C298" i="2"/>
  <c r="C308" i="2"/>
  <c r="C318" i="2"/>
  <c r="B323" i="2"/>
  <c r="D327" i="2"/>
  <c r="C337" i="2"/>
  <c r="B347" i="2"/>
  <c r="D357" i="2"/>
  <c r="B362" i="2"/>
  <c r="D367" i="2"/>
  <c r="C367" i="2"/>
  <c r="B367" i="2"/>
  <c r="B372" i="2"/>
  <c r="B377" i="2"/>
  <c r="D392" i="2"/>
  <c r="C392" i="2"/>
  <c r="C397" i="2"/>
  <c r="C106" i="2"/>
  <c r="D20" i="2"/>
  <c r="D28" i="2"/>
  <c r="B250" i="2"/>
  <c r="D102" i="2"/>
  <c r="C164" i="2"/>
  <c r="D188" i="2"/>
  <c r="D198" i="2"/>
  <c r="C198" i="2"/>
  <c r="B198" i="2"/>
  <c r="D207" i="2"/>
  <c r="B212" i="2"/>
  <c r="D250" i="2"/>
  <c r="B269" i="2"/>
  <c r="C293" i="2"/>
  <c r="B308" i="2"/>
  <c r="D342" i="2"/>
  <c r="C342" i="2"/>
  <c r="B342" i="2"/>
  <c r="D391" i="2"/>
  <c r="C1" i="2"/>
  <c r="B21" i="2"/>
  <c r="C41" i="2"/>
  <c r="C75" i="2"/>
  <c r="B93" i="2"/>
  <c r="B5" i="2"/>
  <c r="B9" i="2"/>
  <c r="B13" i="2"/>
  <c r="C17" i="2"/>
  <c r="C21" i="2"/>
  <c r="C29" i="2"/>
  <c r="C71" i="2"/>
  <c r="C80" i="2"/>
  <c r="B89" i="2"/>
  <c r="C93" i="2"/>
  <c r="D98" i="2"/>
  <c r="C107" i="2"/>
  <c r="B121" i="2"/>
  <c r="B160" i="2"/>
  <c r="C179" i="2"/>
  <c r="B203" i="2"/>
  <c r="C222" i="2"/>
  <c r="D232" i="2"/>
  <c r="B255" i="2"/>
  <c r="D260" i="2"/>
  <c r="C265" i="2"/>
  <c r="D274" i="2"/>
  <c r="C274" i="2"/>
  <c r="B274" i="2"/>
  <c r="C279" i="2"/>
  <c r="C289" i="2"/>
  <c r="B313" i="2"/>
  <c r="C323" i="2"/>
  <c r="C347" i="2"/>
  <c r="B352" i="2"/>
  <c r="C362" i="2"/>
  <c r="C372" i="2"/>
  <c r="C377" i="2"/>
  <c r="C387" i="2"/>
  <c r="D277" i="2"/>
  <c r="C277" i="2"/>
  <c r="D97" i="2"/>
  <c r="C97" i="2"/>
  <c r="C201" i="2"/>
  <c r="C8" i="2"/>
  <c r="D53" i="2"/>
  <c r="D92" i="2"/>
  <c r="D178" i="2"/>
  <c r="C13" i="2"/>
  <c r="D184" i="2"/>
  <c r="C184" i="2"/>
  <c r="B184" i="2"/>
  <c r="D270" i="2"/>
  <c r="C270" i="2"/>
  <c r="B270" i="2"/>
  <c r="D299" i="2"/>
  <c r="C299" i="2"/>
  <c r="B299" i="2"/>
  <c r="C352" i="2"/>
  <c r="D387" i="2"/>
  <c r="D220" i="2"/>
  <c r="C220" i="2"/>
  <c r="B220" i="2"/>
  <c r="D385" i="2"/>
  <c r="C385" i="2"/>
  <c r="B385" i="2"/>
  <c r="C16" i="2"/>
  <c r="D124" i="2"/>
  <c r="C168" i="2"/>
  <c r="D396" i="2"/>
  <c r="C396" i="2"/>
  <c r="B396" i="2"/>
  <c r="C278" i="2"/>
  <c r="C188" i="2"/>
  <c r="C391" i="2"/>
  <c r="A136" i="2" a="1"/>
  <c r="A136" i="2" s="1"/>
  <c r="C18" i="2"/>
  <c r="B18" i="2"/>
  <c r="C314" i="2"/>
  <c r="B319" i="2"/>
  <c r="D324" i="2"/>
  <c r="C324" i="2"/>
  <c r="B324" i="2"/>
  <c r="D378" i="2"/>
  <c r="C378" i="2"/>
  <c r="B378" i="2"/>
  <c r="C393" i="2"/>
  <c r="B393" i="2"/>
  <c r="D119" i="2"/>
  <c r="C119" i="2"/>
  <c r="B119" i="2"/>
  <c r="D263" i="2"/>
  <c r="C263" i="2"/>
  <c r="B263" i="2"/>
  <c r="C70" i="2"/>
  <c r="C240" i="2"/>
  <c r="D317" i="2"/>
  <c r="C317" i="2"/>
  <c r="B317" i="2"/>
  <c r="B66" i="2"/>
  <c r="D79" i="2"/>
  <c r="C79" i="2"/>
  <c r="D288" i="2"/>
  <c r="C288" i="2"/>
  <c r="B288" i="2"/>
  <c r="C33" i="2"/>
  <c r="B33" i="2"/>
  <c r="B381" i="2"/>
  <c r="D112" i="2"/>
  <c r="C112" i="2"/>
  <c r="B112" i="2"/>
  <c r="B156" i="2"/>
  <c r="D180" i="2"/>
  <c r="C180" i="2"/>
  <c r="B180" i="2"/>
  <c r="D65" i="2"/>
  <c r="B65" i="2"/>
  <c r="C32" i="2"/>
  <c r="D231" i="2"/>
  <c r="C54" i="2"/>
  <c r="B54" i="2"/>
  <c r="D88" i="2"/>
  <c r="D126" i="2"/>
  <c r="C126" i="2"/>
  <c r="B126" i="2"/>
  <c r="D72" i="2"/>
  <c r="C72" i="2"/>
  <c r="B72" i="2"/>
  <c r="D94" i="2"/>
  <c r="C94" i="2"/>
  <c r="B94" i="2"/>
  <c r="B228" i="2"/>
  <c r="B30" i="2"/>
  <c r="B99" i="2"/>
  <c r="B233" i="2"/>
  <c r="B81" i="2"/>
  <c r="D209" i="2"/>
  <c r="C209" i="2"/>
  <c r="B209" i="2"/>
  <c r="D228" i="2"/>
  <c r="C233" i="2"/>
  <c r="D252" i="2"/>
  <c r="C252" i="2"/>
  <c r="B252" i="2"/>
  <c r="B266" i="2"/>
  <c r="C275" i="2"/>
  <c r="B280" i="2"/>
  <c r="B290" i="2"/>
  <c r="D295" i="2"/>
  <c r="C295" i="2"/>
  <c r="B300" i="2"/>
  <c r="C309" i="2"/>
  <c r="D319" i="2"/>
  <c r="B329" i="2"/>
  <c r="C348" i="2"/>
  <c r="B363" i="2"/>
  <c r="C373" i="2"/>
  <c r="C383" i="2"/>
  <c r="B388" i="2"/>
  <c r="D398" i="2"/>
  <c r="C57" i="2"/>
  <c r="C149" i="2"/>
  <c r="D356" i="2"/>
  <c r="C356" i="2"/>
  <c r="D241" i="2"/>
  <c r="C241" i="2"/>
  <c r="D151" i="2"/>
  <c r="C151" i="2"/>
  <c r="D314" i="2"/>
  <c r="B398" i="2"/>
  <c r="C2" i="2"/>
  <c r="D18" i="2"/>
  <c r="D2" i="2"/>
  <c r="B6" i="2"/>
  <c r="B14" i="2"/>
  <c r="D26" i="2"/>
  <c r="D30" i="2"/>
  <c r="D42" i="2"/>
  <c r="D47" i="2"/>
  <c r="B47" i="2"/>
  <c r="D59" i="2"/>
  <c r="C81" i="2"/>
  <c r="B95" i="2"/>
  <c r="D99" i="2"/>
  <c r="C113" i="2"/>
  <c r="B122" i="2"/>
  <c r="C127" i="2"/>
  <c r="B142" i="2"/>
  <c r="C161" i="2"/>
  <c r="D166" i="2"/>
  <c r="C166" i="2"/>
  <c r="B166" i="2"/>
  <c r="C171" i="2"/>
  <c r="C185" i="2"/>
  <c r="B190" i="2"/>
  <c r="C204" i="2"/>
  <c r="B214" i="2"/>
  <c r="D238" i="2"/>
  <c r="C238" i="2"/>
  <c r="B238" i="2"/>
  <c r="C243" i="2"/>
  <c r="C266" i="2"/>
  <c r="C280" i="2"/>
  <c r="C290" i="2"/>
  <c r="C300" i="2"/>
  <c r="B305" i="2"/>
  <c r="D309" i="2"/>
  <c r="B325" i="2"/>
  <c r="C329" i="2"/>
  <c r="C339" i="2"/>
  <c r="B339" i="2"/>
  <c r="D348" i="2"/>
  <c r="C363" i="2"/>
  <c r="D373" i="2"/>
  <c r="B379" i="2"/>
  <c r="C388" i="2"/>
  <c r="D108" i="2"/>
  <c r="C108" i="2"/>
  <c r="B108" i="2"/>
  <c r="C51" i="2"/>
  <c r="B51" i="2"/>
  <c r="D90" i="2"/>
  <c r="C90" i="2"/>
  <c r="B90" i="2"/>
  <c r="B113" i="2"/>
  <c r="B10" i="2"/>
  <c r="C6" i="2"/>
  <c r="C10" i="2"/>
  <c r="C14" i="2"/>
  <c r="B35" i="2"/>
  <c r="B39" i="2"/>
  <c r="D43" i="2"/>
  <c r="C43" i="2"/>
  <c r="B68" i="2"/>
  <c r="B77" i="2"/>
  <c r="C95" i="2"/>
  <c r="B104" i="2"/>
  <c r="C122" i="2"/>
  <c r="D127" i="2"/>
  <c r="B132" i="2"/>
  <c r="B147" i="2"/>
  <c r="B157" i="2"/>
  <c r="D161" i="2"/>
  <c r="D171" i="2"/>
  <c r="B176" i="2"/>
  <c r="C190" i="2"/>
  <c r="D204" i="2"/>
  <c r="D214" i="2"/>
  <c r="C224" i="2"/>
  <c r="B229" i="2"/>
  <c r="D234" i="2"/>
  <c r="C234" i="2"/>
  <c r="B234" i="2"/>
  <c r="D243" i="2"/>
  <c r="B248" i="2"/>
  <c r="B257" i="2"/>
  <c r="B295" i="2"/>
  <c r="C305" i="2"/>
  <c r="D310" i="2"/>
  <c r="C310" i="2"/>
  <c r="B310" i="2"/>
  <c r="C315" i="2"/>
  <c r="C325" i="2"/>
  <c r="B334" i="2"/>
  <c r="D339" i="2"/>
  <c r="B344" i="2"/>
  <c r="D349" i="2"/>
  <c r="C349" i="2"/>
  <c r="B349" i="2"/>
  <c r="B354" i="2"/>
  <c r="B359" i="2"/>
  <c r="D374" i="2"/>
  <c r="C374" i="2"/>
  <c r="C379" i="2"/>
  <c r="B394" i="2"/>
  <c r="D268" i="2"/>
  <c r="D202" i="2"/>
  <c r="C202" i="2"/>
  <c r="B202" i="2"/>
  <c r="D278" i="2"/>
  <c r="B356" i="2"/>
  <c r="C156" i="2"/>
  <c r="B275" i="2"/>
  <c r="C285" i="2"/>
  <c r="B285" i="2"/>
  <c r="B383" i="2"/>
  <c r="C42" i="2"/>
  <c r="B185" i="2"/>
  <c r="C35" i="2"/>
  <c r="C47" i="2"/>
  <c r="C68" i="2"/>
  <c r="C77" i="2"/>
  <c r="C104" i="2"/>
  <c r="B118" i="2"/>
  <c r="C132" i="2"/>
  <c r="B138" i="2"/>
  <c r="C147" i="2"/>
  <c r="C157" i="2"/>
  <c r="D162" i="2"/>
  <c r="C162" i="2"/>
  <c r="B162" i="2"/>
  <c r="C176" i="2"/>
  <c r="B200" i="2"/>
  <c r="D205" i="2"/>
  <c r="C205" i="2"/>
  <c r="B210" i="2"/>
  <c r="D224" i="2"/>
  <c r="C229" i="2"/>
  <c r="C248" i="2"/>
  <c r="C257" i="2"/>
  <c r="B262" i="2"/>
  <c r="B276" i="2"/>
  <c r="D281" i="2"/>
  <c r="C281" i="2"/>
  <c r="B281" i="2"/>
  <c r="B286" i="2"/>
  <c r="D315" i="2"/>
  <c r="B320" i="2"/>
  <c r="C334" i="2"/>
  <c r="C344" i="2"/>
  <c r="C354" i="2"/>
  <c r="C359" i="2"/>
  <c r="C369" i="2"/>
  <c r="B384" i="2"/>
  <c r="D394" i="2"/>
  <c r="B399" i="2"/>
  <c r="A134" i="2" a="1"/>
  <c r="A134" i="2" s="1"/>
  <c r="A137" i="2" a="1"/>
  <c r="A137" i="2" s="1"/>
  <c r="D7" i="2"/>
  <c r="C7" i="2"/>
  <c r="B15" i="2"/>
  <c r="C19" i="2"/>
  <c r="D39" i="2"/>
  <c r="B43" i="2"/>
  <c r="B60" i="2"/>
  <c r="C69" i="2"/>
  <c r="B69" i="2"/>
  <c r="C105" i="2"/>
  <c r="B105" i="2"/>
  <c r="C118" i="2"/>
  <c r="C138" i="2"/>
  <c r="A143" i="2" a="1"/>
  <c r="A143" i="2" s="1"/>
  <c r="D191" i="2"/>
  <c r="C191" i="2"/>
  <c r="B191" i="2"/>
  <c r="C200" i="2"/>
  <c r="C210" i="2"/>
  <c r="B239" i="2"/>
  <c r="C262" i="2"/>
  <c r="C276" i="2"/>
  <c r="D286" i="2"/>
  <c r="C296" i="2"/>
  <c r="B301" i="2"/>
  <c r="C320" i="2"/>
  <c r="B330" i="2"/>
  <c r="D369" i="2"/>
  <c r="B374" i="2"/>
  <c r="C384" i="2"/>
  <c r="C399" i="2"/>
  <c r="B59" i="2"/>
  <c r="B151" i="2"/>
  <c r="D256" i="2"/>
  <c r="C256" i="2"/>
  <c r="B256" i="2"/>
  <c r="D393" i="2"/>
  <c r="C26" i="2"/>
  <c r="D15" i="2"/>
  <c r="D69" i="2"/>
  <c r="C87" i="2"/>
  <c r="B87" i="2"/>
  <c r="D148" i="2"/>
  <c r="C148" i="2"/>
  <c r="B148" i="2"/>
  <c r="B205" i="2"/>
  <c r="C239" i="2"/>
  <c r="D296" i="2"/>
  <c r="B311" i="2"/>
  <c r="C321" i="2"/>
  <c r="B321" i="2"/>
  <c r="D335" i="2"/>
  <c r="C335" i="2"/>
  <c r="B335" i="2"/>
  <c r="B340" i="2"/>
  <c r="D360" i="2"/>
  <c r="C360" i="2"/>
  <c r="B360" i="2"/>
  <c r="C375" i="2"/>
  <c r="B375" i="2"/>
  <c r="D400" i="2"/>
  <c r="C400" i="2"/>
  <c r="B400" i="2"/>
  <c r="B353" i="2"/>
  <c r="B371" i="2"/>
  <c r="B389" i="2"/>
  <c r="B76" i="2"/>
  <c r="B328" i="2"/>
  <c r="B346" i="2"/>
  <c r="C353" i="2"/>
  <c r="B364" i="2"/>
  <c r="C371" i="2"/>
  <c r="B382" i="2"/>
  <c r="C389" i="2"/>
  <c r="B123" i="2"/>
  <c r="B141" i="2"/>
  <c r="B159" i="2"/>
  <c r="B177" i="2"/>
  <c r="B195" i="2"/>
  <c r="B213" i="2"/>
  <c r="C328" i="2"/>
  <c r="C346" i="2"/>
  <c r="C364" i="2"/>
  <c r="C382" i="2"/>
  <c r="D142" i="2" l="1"/>
  <c r="D137" i="2"/>
  <c r="C137" i="2"/>
  <c r="B137" i="2"/>
  <c r="B143" i="2"/>
  <c r="C143" i="2"/>
  <c r="D143" i="2"/>
  <c r="B134" i="2"/>
  <c r="D134" i="2"/>
  <c r="C134" i="2"/>
  <c r="D136" i="2"/>
  <c r="C136" i="2"/>
  <c r="B13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<sst xmlns="http://schemas.openxmlformats.org/spreadsheetml/2006/main" count="459" uniqueCount="436">
  <si>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</si>
  <si>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</si>
  <si>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</si>
  <si>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</si>
  <si>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</si>
  <si>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</si>
  <si>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</si>
  <si>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</si>
  <si>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</si>
  <si>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</si>
  <si>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</si>
  <si>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</si>
  <si>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</si>
  <si>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</si>
  <si>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</si>
  <si>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</si>
  <si>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</si>
  <si>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</si>
  <si>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</si>
  <si>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</si>
  <si>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</si>
  <si>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</si>
  <si>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</si>
  <si>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</si>
  <si>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</si>
  <si>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</si>
  <si>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</si>
  <si>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</si>
  <si>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</si>
  <si>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</si>
  <si>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</si>
  <si>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</si>
  <si>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</si>
  <si>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</si>
  <si>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</si>
  <si>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all:GAMMAINV#3</t>
  </si>
  <si>
    <t>all:GAMMAINV#4</t>
  </si>
  <si>
    <t>all:GAMMAINV#5</t>
  </si>
  <si>
    <t>all:GAMMAINV#6</t>
  </si>
  <si>
    <t>all:GAMMAINV#7</t>
  </si>
  <si>
    <t>all:GAMMAINV#8</t>
  </si>
  <si>
    <t>all:GAMMAINV#9</t>
  </si>
  <si>
    <t>all:GAMMAINV#10</t>
  </si>
  <si>
    <t>all:GAMMAINV#11</t>
  </si>
  <si>
    <t>all:GAMMAINV#12</t>
  </si>
  <si>
    <t>all:GCD#1</t>
  </si>
  <si>
    <t>all:GCD#2</t>
  </si>
  <si>
    <t>all:GCD#3</t>
  </si>
  <si>
    <t>all:GCD#4</t>
  </si>
  <si>
    <t>all:GCD#5</t>
  </si>
  <si>
    <t>all:GCD#6</t>
  </si>
  <si>
    <t>all:GCD#7</t>
  </si>
  <si>
    <t>all:GCD#8</t>
  </si>
  <si>
    <t>all:GCD#9</t>
  </si>
  <si>
    <t>all:GCD#10</t>
  </si>
  <si>
    <t>all:GCD#11</t>
  </si>
  <si>
    <t>all:GCD#12</t>
  </si>
  <si>
    <t>all:GCD#13</t>
  </si>
  <si>
    <t>all:GEOMEAN#1</t>
  </si>
  <si>
    <t>all:GEOMEAN#2</t>
  </si>
  <si>
    <t>all:GEOMEAN#3</t>
  </si>
  <si>
    <t>all:GEOMEAN#4</t>
  </si>
  <si>
    <t>all:GEOMEAN#5</t>
  </si>
  <si>
    <t>all:GESTEP#1</t>
  </si>
  <si>
    <t>all:GESTEP#2</t>
  </si>
  <si>
    <t>all:GESTEP#3</t>
  </si>
  <si>
    <t>all:GESTEP#4</t>
  </si>
  <si>
    <t>all:GESTEP#5</t>
  </si>
  <si>
    <t>all:GESTEP#6</t>
  </si>
  <si>
    <t>all:GESTEP#7</t>
  </si>
  <si>
    <t>all:GESTEP#8</t>
  </si>
  <si>
    <t>all:HARMEAN#1</t>
  </si>
  <si>
    <t>all:HARMEAN#2</t>
  </si>
  <si>
    <t>all:HARMEAN#3</t>
  </si>
  <si>
    <t>all:HARMEAN#4</t>
  </si>
  <si>
    <t>all:HARMEAN#5</t>
  </si>
  <si>
    <t>all:HEX2BIN#1</t>
  </si>
  <si>
    <t>all:HEX2BIN#2</t>
  </si>
  <si>
    <t>all:HEX2BIN#3</t>
  </si>
  <si>
    <t>all:HEX2BIN#4</t>
  </si>
  <si>
    <t>all:HEX2BIN#5</t>
  </si>
  <si>
    <t>all:HEX2BIN#6</t>
  </si>
  <si>
    <t>all:HEX2BIN#7</t>
  </si>
  <si>
    <t>all:HEX2BIN#8</t>
  </si>
  <si>
    <t>all:HEX2OCT#1</t>
  </si>
  <si>
    <t>all:HEX2OCT#2</t>
  </si>
  <si>
    <t>all:HEX2OCT#3</t>
  </si>
  <si>
    <t>all:HEX2OCT#4</t>
  </si>
  <si>
    <t>all:HEX2OCT#5</t>
  </si>
  <si>
    <t>all:HEX2OCT#6</t>
  </si>
  <si>
    <t>all:HEX2OCT#7</t>
  </si>
  <si>
    <t>all:HEX2OCT#8</t>
  </si>
  <si>
    <t>all:HLOOKUP#1</t>
  </si>
  <si>
    <t>all:HLOOKUP#2</t>
  </si>
  <si>
    <t>all:HLOOKUP#3</t>
  </si>
  <si>
    <t>all:HLOOKUP#4</t>
  </si>
  <si>
    <t>all:HLOOKUP#5</t>
  </si>
  <si>
    <t>all:HLOOKUP#6</t>
  </si>
  <si>
    <t>all:HLOOKUP#7</t>
  </si>
  <si>
    <t>all:HLOOKUP#8</t>
  </si>
  <si>
    <t>all:HLOOKUP#9</t>
  </si>
  <si>
    <t>all:HLOOKUP#10</t>
  </si>
  <si>
    <t>all:HLOOKUP#11</t>
  </si>
  <si>
    <t>all:HLOOKUP#12</t>
  </si>
  <si>
    <t>all:HLOOKUP#13</t>
  </si>
  <si>
    <t>all:HLOOKUP#14</t>
  </si>
  <si>
    <t>all:HLOOKUP#15</t>
  </si>
  <si>
    <t>all:HLOOKUP#16</t>
  </si>
  <si>
    <t>all:HYPERLINK#1</t>
  </si>
  <si>
    <t>all:HYPERLINK#2</t>
  </si>
  <si>
    <t>all:HYPERLINK#3</t>
  </si>
  <si>
    <t>all:HYPERLINK#4</t>
  </si>
  <si>
    <t>all:HYPERLINK#5</t>
  </si>
  <si>
    <t>all:HYPERLINK#6</t>
  </si>
  <si>
    <t>all:HYPERLINK#7</t>
  </si>
  <si>
    <t>all:HYPERLINK#8</t>
  </si>
  <si>
    <t>all:HYPGEOM.DIST#1</t>
  </si>
  <si>
    <t>all:HYPGEOM.DIST#2</t>
  </si>
  <si>
    <t>all:HYPGEOM.DIST#3</t>
  </si>
  <si>
    <t>all:HYPGEOM.DIST#4</t>
  </si>
  <si>
    <t>all:HYPGEOM.DIST#5</t>
  </si>
  <si>
    <t>all:HYPGEOM.DIST#6</t>
  </si>
  <si>
    <t>all:HYPGEOM.DIST#7</t>
  </si>
  <si>
    <t>all:HYPGEOM.DIST#8</t>
  </si>
  <si>
    <t>all:HYPGEOM.DIST#9</t>
  </si>
  <si>
    <t>all:HYPGEOM.DIST#10</t>
  </si>
  <si>
    <t>all:HYPGEOM.DIST#11</t>
  </si>
  <si>
    <t>all:HYPGEOM.DIST#12</t>
  </si>
  <si>
    <t>all:HYPGEOM.DIST#13</t>
  </si>
  <si>
    <t>all:HYPGEOM.DIST#14</t>
  </si>
  <si>
    <t>all:HYPGEOM.DIST#15</t>
  </si>
  <si>
    <t>all:HYPGEOM.DIST#16</t>
  </si>
  <si>
    <t>all:HYPGEOM.DIST#17</t>
  </si>
  <si>
    <t>all:HYPGEOM.DIST#18</t>
  </si>
  <si>
    <t>all:HYPGEOM.DIST#19</t>
  </si>
  <si>
    <t>all:HYPGEOM.DIST#20</t>
  </si>
  <si>
    <t>all:HYPGEOMDIST#1</t>
  </si>
  <si>
    <t>all:HYPGEOMDIST#2</t>
  </si>
  <si>
    <t>all:HYPGEOMDIST#3</t>
  </si>
  <si>
    <t>all:HYPGEOMDIST#4</t>
  </si>
  <si>
    <t>all:HYPGEOMDIST#5</t>
  </si>
  <si>
    <t>all:HYPGEOMDIST#6</t>
  </si>
  <si>
    <t>all:HYPGEOMDIST#7</t>
  </si>
  <si>
    <t>all:HYPGEOMDIST#8</t>
  </si>
  <si>
    <t>all:HYPGEOMDIST#9</t>
  </si>
  <si>
    <t>all:HYPGEOMDIST#10</t>
  </si>
  <si>
    <t>all:HYPGEOMDIST#11</t>
  </si>
  <si>
    <t>all:HYPGEOMDIST#12</t>
  </si>
  <si>
    <t>all:HYPGEOMDIST#13</t>
  </si>
  <si>
    <t>all:HYPGEOMDIST#14</t>
  </si>
  <si>
    <t>all:HYPGEOMDIST#15</t>
  </si>
  <si>
    <t>all:HYPGEOMDIST#16</t>
  </si>
  <si>
    <t>all:IF#1</t>
  </si>
  <si>
    <t>all:IF#2</t>
  </si>
  <si>
    <t>all:IF#3</t>
  </si>
  <si>
    <t>all:IF#4</t>
  </si>
  <si>
    <t>all:IF#5</t>
  </si>
  <si>
    <t>all:IF#6</t>
  </si>
  <si>
    <t>all:IF#7</t>
  </si>
  <si>
    <t>all:IF#8</t>
  </si>
  <si>
    <t>all:IF#9</t>
  </si>
  <si>
    <t>all:IF#10</t>
  </si>
  <si>
    <t>all:IF#11</t>
  </si>
  <si>
    <t>all:IF#12</t>
  </si>
  <si>
    <t>all:IFERROR#1</t>
  </si>
  <si>
    <t>all:IFERROR#2</t>
  </si>
  <si>
    <t>all:IFERROR#3</t>
  </si>
  <si>
    <t>all:IFERROR#4</t>
  </si>
  <si>
    <t>all:IFERROR#5</t>
  </si>
  <si>
    <t>all:IFERROR#6</t>
  </si>
  <si>
    <t>all:IFERROR#7</t>
  </si>
  <si>
    <t>all:IFERROR#8</t>
  </si>
  <si>
    <t>all:IFNA#1</t>
  </si>
  <si>
    <t>all:IFNA#2</t>
  </si>
  <si>
    <t>all:IFNA#3</t>
  </si>
  <si>
    <t>all:IFNA#4</t>
  </si>
  <si>
    <t>all:IFNA#5</t>
  </si>
  <si>
    <t>all:IFNA#6</t>
  </si>
  <si>
    <t>all:IFNA#7</t>
  </si>
  <si>
    <t>all:IFNA#8</t>
  </si>
  <si>
    <t>all:IFS#1</t>
  </si>
  <si>
    <t>all:IFS#2</t>
  </si>
  <si>
    <t>all:IFS#3</t>
  </si>
  <si>
    <t>all:IFS#4</t>
  </si>
  <si>
    <t>all:IFS#5</t>
  </si>
  <si>
    <t>all:IFS#6</t>
  </si>
  <si>
    <t>all:IFS#7</t>
  </si>
  <si>
    <t>all:IFS#8</t>
  </si>
  <si>
    <t>all:IFS#9</t>
  </si>
  <si>
    <t>all:IFS#10</t>
  </si>
  <si>
    <t>all:IFS#11</t>
  </si>
  <si>
    <t>all:IFS#12</t>
  </si>
  <si>
    <t>all:IFS#13</t>
  </si>
  <si>
    <t>all:IFS#14</t>
  </si>
  <si>
    <t>all:IFS#15</t>
  </si>
  <si>
    <t>all:IFS#16</t>
  </si>
  <si>
    <t>all:IMDIV#1</t>
  </si>
  <si>
    <t>all:IMDIV#2</t>
  </si>
  <si>
    <t>all:IMDIV#3</t>
  </si>
  <si>
    <t>all:IMDIV#4</t>
  </si>
  <si>
    <t>all:IMDIV#5</t>
  </si>
  <si>
    <t>all:IMDIV#6</t>
  </si>
  <si>
    <t>all:IMDIV#7</t>
  </si>
  <si>
    <t>all:IMDIV#8</t>
  </si>
  <si>
    <t>all:IMPOWER#1</t>
  </si>
  <si>
    <t>all:IMPOWER#2</t>
  </si>
  <si>
    <t>all:IMPOWER#3</t>
  </si>
  <si>
    <t>all:IMPOWER#4</t>
  </si>
  <si>
    <t>all:IMPOWER#5</t>
  </si>
  <si>
    <t>all:IMPOWER#6</t>
  </si>
  <si>
    <t>all:IMPOWER#7</t>
  </si>
  <si>
    <t>all:IMPOWER#8</t>
  </si>
  <si>
    <t>all:IMPRODUCT#1</t>
  </si>
  <si>
    <t>all:IMPRODUCT#2</t>
  </si>
  <si>
    <t>all:IMPRODUCT#3</t>
  </si>
  <si>
    <t>all:IMPRODUCT#4</t>
  </si>
  <si>
    <t>all:IMPRODUCT#5</t>
  </si>
  <si>
    <t>all:IMPRODUCT#6</t>
  </si>
  <si>
    <t>all:IMPRODUCT#7</t>
  </si>
  <si>
    <t>all:IMPRODUCT#8</t>
  </si>
  <si>
    <t>all:IMPRODUCT#9</t>
  </si>
  <si>
    <t>all:IMPRODUCT#10</t>
  </si>
  <si>
    <t>all:IMPRODUCT#11</t>
  </si>
  <si>
    <t>all:IMPRODUCT#12</t>
  </si>
  <si>
    <t>all:IMPRODUCT#13</t>
  </si>
  <si>
    <t>all:IMSUB#1</t>
  </si>
  <si>
    <t>all:IMSUB#2</t>
  </si>
  <si>
    <t>all:IMSUB#3</t>
  </si>
  <si>
    <t>all:IMSUB#4</t>
  </si>
  <si>
    <t>all:IMSUB#5</t>
  </si>
  <si>
    <t>all:IMSUB#6</t>
  </si>
  <si>
    <t>all:IMSUB#7</t>
  </si>
  <si>
    <t>all:IMSUB#8</t>
  </si>
  <si>
    <t>all:IMSUM#1</t>
  </si>
  <si>
    <t>all:IMSUM#2</t>
  </si>
  <si>
    <t>all:IMSUM#3</t>
  </si>
  <si>
    <t>all:IMSUM#4</t>
  </si>
  <si>
    <t>all:IMSUM#5</t>
  </si>
  <si>
    <t>all:IMSUM#6</t>
  </si>
  <si>
    <t>all:IMSUM#7</t>
  </si>
  <si>
    <t>all:IMSUM#8</t>
  </si>
  <si>
    <t>all:IMSUM#9</t>
  </si>
  <si>
    <t>all:IMSUM#10</t>
  </si>
  <si>
    <t>all:IMSUM#11</t>
  </si>
  <si>
    <t>all:IMSUM#12</t>
  </si>
  <si>
    <t>all:IMSUM#13</t>
  </si>
  <si>
    <t>all:INDEX#1</t>
  </si>
  <si>
    <t>all:INDEX#2</t>
  </si>
  <si>
    <t>all:INDEX#3</t>
  </si>
  <si>
    <t>all:INDEX#4</t>
  </si>
  <si>
    <t>all:INDEX#5</t>
  </si>
  <si>
    <t>all:INDEX#6</t>
  </si>
  <si>
    <t>all:INDEX#7</t>
  </si>
  <si>
    <t>all:INDEX#8</t>
  </si>
  <si>
    <t>all:INDEX#9</t>
  </si>
  <si>
    <t>all:INDEX#10</t>
  </si>
  <si>
    <t>all:INDEX#11</t>
  </si>
  <si>
    <t>all:INDEX#12</t>
  </si>
  <si>
    <t>all:INDEX#13</t>
  </si>
  <si>
    <t>all:INDEX#14</t>
  </si>
  <si>
    <t>all:INDEX#15</t>
  </si>
  <si>
    <t>all:INDEX#16</t>
  </si>
  <si>
    <t>all:INDEX#17</t>
  </si>
  <si>
    <t>all:INTERCEPT#1</t>
  </si>
  <si>
    <t>all:INTERCEPT#2</t>
  </si>
  <si>
    <t>all:INTERCEPT#3</t>
  </si>
  <si>
    <t>all:INTERCEPT#4</t>
  </si>
  <si>
    <t>all:INTERCEPT#5</t>
  </si>
  <si>
    <t>all:INTERCEPT#6</t>
  </si>
  <si>
    <t>all:INTERCEPT#7</t>
  </si>
  <si>
    <t>all:INTERCEPT#8</t>
  </si>
  <si>
    <t>all:INTRATE#1</t>
  </si>
  <si>
    <t>all:INTRATE#2</t>
  </si>
  <si>
    <t>all:INTRATE#3</t>
  </si>
  <si>
    <t>all:INTRATE#4</t>
  </si>
  <si>
    <t>all:INTRATE#5</t>
  </si>
  <si>
    <t>all:INTRATE#6</t>
  </si>
  <si>
    <t>all:INTRATE#7</t>
  </si>
  <si>
    <t>all:INTRATE#8</t>
  </si>
  <si>
    <t>all:INTRATE#9</t>
  </si>
  <si>
    <t>all:INTRATE#10</t>
  </si>
  <si>
    <t>all:INTRATE#11</t>
  </si>
  <si>
    <t>all:INTRATE#12</t>
  </si>
  <si>
    <t>all:INTRATE#13</t>
  </si>
  <si>
    <t>all:INTRATE#14</t>
  </si>
  <si>
    <t>all:INTRATE#15</t>
  </si>
  <si>
    <t>all:INTRATE#16</t>
  </si>
  <si>
    <t>all:INTRATE#17</t>
  </si>
  <si>
    <t>all:INTRATE#18</t>
  </si>
  <si>
    <t>all:INTRATE#19</t>
  </si>
  <si>
    <t>all:INTRATE#20</t>
  </si>
  <si>
    <t>all:IPMT#1</t>
  </si>
  <si>
    <t>all:IPMT#2</t>
  </si>
  <si>
    <t>all:IPMT#3</t>
  </si>
  <si>
    <t>all:IPMT#4</t>
  </si>
  <si>
    <t>all:IPMT#5</t>
  </si>
  <si>
    <t>all:IPMT#6</t>
  </si>
  <si>
    <t>all:IPMT#7</t>
  </si>
  <si>
    <t>all:IPMT#8</t>
  </si>
  <si>
    <t>all:IPMT#9</t>
  </si>
  <si>
    <t>all:IPMT#10</t>
  </si>
  <si>
    <t>all:IPMT#11</t>
  </si>
  <si>
    <t>all:IPMT#12</t>
  </si>
  <si>
    <t>all:IPMT#13</t>
  </si>
  <si>
    <t>all:IPMT#14</t>
  </si>
  <si>
    <t>all:IPMT#15</t>
  </si>
  <si>
    <t>all:IPMT#16</t>
  </si>
  <si>
    <t>all:IPMT#17</t>
  </si>
  <si>
    <t>all:IPMT#18</t>
  </si>
  <si>
    <t>all:IPMT#19</t>
  </si>
  <si>
    <t>all:IPMT#20</t>
  </si>
  <si>
    <t>all:IPMT#21</t>
  </si>
  <si>
    <t>all:IRR#1</t>
  </si>
  <si>
    <t>all:IRR#2</t>
  </si>
  <si>
    <t>all:IRR#3</t>
  </si>
  <si>
    <t>all:IRR#4</t>
  </si>
  <si>
    <t>all:IRR#5</t>
  </si>
  <si>
    <t>all:ISO.CEILING#1</t>
  </si>
  <si>
    <t>all:ISO.CEILING#2</t>
  </si>
  <si>
    <t>all:ISO.CEILING#3</t>
  </si>
  <si>
    <t>all:ISO.CEILING#4</t>
  </si>
  <si>
    <t>all:ISO.CEILING#5</t>
  </si>
  <si>
    <t>all:ISPMT#1</t>
  </si>
  <si>
    <t>all:ISPMT#2</t>
  </si>
  <si>
    <t>all:ISPMT#3</t>
  </si>
  <si>
    <t>all:ISPMT#4</t>
  </si>
  <si>
    <t>all:ISPMT#5</t>
  </si>
  <si>
    <t>all:ISPMT#6</t>
  </si>
  <si>
    <t>all:ISPMT#7</t>
  </si>
  <si>
    <t>all:ISPMT#8</t>
  </si>
  <si>
    <t>all:ISPMT#9</t>
  </si>
  <si>
    <t>all:ISPMT#10</t>
  </si>
  <si>
    <t>all:ISPMT#11</t>
  </si>
  <si>
    <t>all:ISPMT#12</t>
  </si>
  <si>
    <t>all:ISPMT#13</t>
  </si>
  <si>
    <t>all:ISPMT#14</t>
  </si>
  <si>
    <t>all:ISPMT#15</t>
  </si>
  <si>
    <t>all:ISPMT#16</t>
  </si>
  <si>
    <t>all:KURT#1</t>
  </si>
  <si>
    <t>all:KURT#2</t>
  </si>
  <si>
    <t>all:KURT#3</t>
  </si>
  <si>
    <t>all:KURT#4</t>
  </si>
  <si>
    <t>all:KURT#5</t>
  </si>
  <si>
    <t>all:LARGE#1</t>
  </si>
  <si>
    <t>all:LARGE#2</t>
  </si>
  <si>
    <t>all:LARGE#3</t>
  </si>
  <si>
    <t>all:LARGE#4</t>
  </si>
  <si>
    <t>all:LARGE#5</t>
  </si>
  <si>
    <t>all:LARGE#6</t>
  </si>
  <si>
    <t>all:LARGE#7</t>
  </si>
  <si>
    <t>all:LARGE#8</t>
  </si>
  <si>
    <t>all:LCM#1</t>
  </si>
  <si>
    <t>all:LCM#2</t>
  </si>
  <si>
    <t>all:LCM#3</t>
  </si>
  <si>
    <t>all:LCM#4</t>
  </si>
  <si>
    <t>all:LCM#5</t>
  </si>
  <si>
    <t>all:LCM#6</t>
  </si>
  <si>
    <t>all:LCM#7</t>
  </si>
  <si>
    <t>all:LCM#8</t>
  </si>
  <si>
    <t>all:LCM#9</t>
  </si>
  <si>
    <t>all:LCM#10</t>
  </si>
  <si>
    <t>all:LCM#11</t>
  </si>
  <si>
    <t>all:LCM#12</t>
  </si>
  <si>
    <t>all:LCM#13</t>
  </si>
  <si>
    <t>all:LEFT#1</t>
  </si>
  <si>
    <t>all:LEFT#2</t>
  </si>
  <si>
    <t>all:LEFT#3</t>
  </si>
  <si>
    <t>all:LEFT#4</t>
  </si>
  <si>
    <t>all:LEFT#5</t>
  </si>
  <si>
    <t>all:LEFT#6</t>
  </si>
  <si>
    <t>all:LEFT#7</t>
  </si>
  <si>
    <t>all:LEFT#8</t>
  </si>
  <si>
    <t>all:LEFTB#1</t>
  </si>
  <si>
    <t>all:LEFTB#2</t>
  </si>
  <si>
    <t>all:LEFTB#3</t>
  </si>
  <si>
    <t>all:LEFTB#4</t>
  </si>
  <si>
    <t>all:LEFTB#5</t>
  </si>
  <si>
    <t>all:LEFTB#6</t>
  </si>
  <si>
    <t>all:LEFTB#7</t>
  </si>
  <si>
    <t>all:LEFTB#8</t>
  </si>
  <si>
    <t>all:LOG#1</t>
  </si>
  <si>
    <t>all:LOG#2</t>
  </si>
  <si>
    <t>all:LOG#3</t>
  </si>
  <si>
    <t>all:LOG#4</t>
  </si>
  <si>
    <t>all:LOG#5</t>
  </si>
  <si>
    <t>all:LOGINV#1</t>
  </si>
  <si>
    <t>all:LOGINV#2</t>
  </si>
  <si>
    <t>all:LOGINV#3</t>
  </si>
  <si>
    <t>all:LOGINV#4</t>
  </si>
  <si>
    <t>all:LOGINV#5</t>
  </si>
  <si>
    <t>all:LOGINV#6</t>
  </si>
  <si>
    <t>all:LOGINV#7</t>
  </si>
  <si>
    <t>all:LOGINV#8</t>
  </si>
  <si>
    <t>all:LOGINV#9</t>
  </si>
  <si>
    <t>all:LOGINV#10</t>
  </si>
  <si>
    <t>all:LOGINV#11</t>
  </si>
  <si>
    <t>all:LOGINV#12</t>
  </si>
  <si>
    <t>all:LOGNORM.DIST#1</t>
  </si>
  <si>
    <t>all:LOGNORM.DIST#2</t>
  </si>
  <si>
    <t>all:LOGNORM.DIST#3</t>
  </si>
  <si>
    <t>all:LOGNORM.DIST#4</t>
  </si>
  <si>
    <t>all:LOGNORM.DIST#5</t>
  </si>
  <si>
    <t>all:LOGNORM.DIST#6</t>
  </si>
  <si>
    <t>all:LOGNORM.DIST#7</t>
  </si>
  <si>
    <t>all:LOGNORM.DIST#8</t>
  </si>
  <si>
    <t>all:LOGNORM.DIST#9</t>
  </si>
  <si>
    <t>all:LOGNORM.DIST#10</t>
  </si>
  <si>
    <t>all:LOGNORM.DIST#11</t>
  </si>
  <si>
    <t>all:LOGNORM.DIST#12</t>
  </si>
  <si>
    <t>all:LOGNORM.DIST#13</t>
  </si>
  <si>
    <t>all:LOGNORM.DIST#14</t>
  </si>
  <si>
    <t>all:LOGNORM.DIST#15</t>
  </si>
  <si>
    <t>all:LOGNORM.DIST#16</t>
  </si>
  <si>
    <t>all:LOGNORM.INV#1</t>
  </si>
  <si>
    <t>all:LOGNORM.INV#2</t>
  </si>
  <si>
    <t>all:LOGNORM.INV#3</t>
  </si>
  <si>
    <t>all:LOGNORM.INV#4</t>
  </si>
  <si>
    <t>all:LOGNORM.INV#5</t>
  </si>
  <si>
    <t>all:LOGNORM.INV#6</t>
  </si>
  <si>
    <t>all:LOGNORM.INV#7</t>
  </si>
  <si>
    <t>all:LOGNORM.INV#8</t>
  </si>
  <si>
    <t>all:LOGNORM.INV#9</t>
  </si>
  <si>
    <t>all:LOGNORM.INV#10</t>
  </si>
  <si>
    <t>all:LOGNORM.INV#11</t>
  </si>
  <si>
    <t>all:LOGNORM.INV#12</t>
  </si>
  <si>
    <t>all:LOGNORMDIST#1</t>
  </si>
  <si>
    <t>all:LOGNORMDIST#2</t>
  </si>
  <si>
    <t>all:LOGNORMDIST#3</t>
  </si>
  <si>
    <t>all:LOGNORMDIST#4</t>
  </si>
  <si>
    <t>all:LOGNORMDIST#5</t>
  </si>
  <si>
    <t>all:LOGNORMDIST#6</t>
  </si>
  <si>
    <t>all:LOGNORMDIST#7</t>
  </si>
  <si>
    <t>all:LOGNORMDIST#8</t>
  </si>
  <si>
    <t>all:LOGNORMDIST#9</t>
  </si>
  <si>
    <t>all:LOGNORMDIST#10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</si>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</sst>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2</v>
    <v>3</v>
  </rv>
  <rv s="1">
    <v>0</v>
    <v>8</v>
    <v>5</v>
    <v>1</v>
  </rv>
  <rv s="1">
    <v>2</v>
    <v>8</v>
    <v>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GAMMAINV("",9,2)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GAMMAINV(FALSE,9,2)</f>
        <v>0</v>
      </c>
      <c r="B2">
        <f t="shared" si="0"/>
        <v>0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GAMMAINV(0.068094,,2)</f>
        <v>#NUM!</v>
      </c>
      <c r="B3">
        <f t="shared" si="0"/>
        <v>6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GAMMAINV(0.068094,0,2)</f>
        <v>#NUM!</v>
      </c>
      <c r="B4">
        <f t="shared" si="0"/>
        <v>6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GAMMAINV(0.068094,"",2)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GAMMAINV(0.068094,FALSE,2)</f>
        <v>#NUM!</v>
      </c>
      <c r="B6">
        <f t="shared" si="0"/>
        <v>6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GAMMAINV(0.068094,9,)</f>
        <v>#NUM!</v>
      </c>
      <c r="B7">
        <f t="shared" si="0"/>
        <v>6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GAMMAINV(0.068094,9,0)</f>
        <v>#NUM!</v>
      </c>
      <c r="B8">
        <f t="shared" si="0"/>
        <v>6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GAMMAINV(0.068094,9,"")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GAMMAINV(0.068094,9,FALSE)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GCD(,2)</f>
        <v>#N/A</v>
      </c>
      <c r="B11">
        <f t="shared" si="0"/>
        <v>7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cm="1">
        <f t="array" ref="A12">GCD(0,2)</f>
        <v>2</v>
      </c>
      <c r="B12">
        <f t="shared" si="0"/>
        <v>0</v>
      </c>
      <c r="C12">
        <f t="shared" si="1"/>
        <v>2</v>
      </c>
      <c r="D12" t="str">
        <f t="shared" si="2"/>
        <v/>
      </c>
      <c r="E12" t="s">
        <v>46</v>
      </c>
    </row>
    <row r="13" spans="1:5" x14ac:dyDescent="0.2">
      <c r="A13" t="e" cm="1">
        <f t="array" ref="A13">GCD("",2)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GCD(FALSE,2)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GCD(5,)</f>
        <v>5</v>
      </c>
      <c r="B15">
        <f t="shared" si="0"/>
        <v>0</v>
      </c>
      <c r="C15">
        <f t="shared" si="1"/>
        <v>5</v>
      </c>
      <c r="D15" t="str">
        <f t="shared" si="2"/>
        <v/>
      </c>
      <c r="E15" t="s">
        <v>49</v>
      </c>
    </row>
    <row r="16" spans="1:5" x14ac:dyDescent="0.2">
      <c r="A16" cm="1">
        <f t="array" ref="A16">GCD(5,0)</f>
        <v>5</v>
      </c>
      <c r="B16">
        <f t="shared" si="0"/>
        <v>0</v>
      </c>
      <c r="C16">
        <f t="shared" si="1"/>
        <v>5</v>
      </c>
      <c r="D16" t="str">
        <f t="shared" si="2"/>
        <v/>
      </c>
      <c r="E16" t="s">
        <v>50</v>
      </c>
    </row>
    <row r="17" spans="1:5" x14ac:dyDescent="0.2">
      <c r="A17" t="e" cm="1">
        <f t="array" ref="A17">GCD(5,"")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GCD(5,FALSE)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cm="1">
        <f t="array" ref="A19">GCD(5,2)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53</v>
      </c>
    </row>
    <row r="20" spans="1:5" x14ac:dyDescent="0.2">
      <c r="A20" cm="1">
        <f t="array" ref="A20">GCD(5,2,)</f>
        <v>1</v>
      </c>
      <c r="B20">
        <f t="shared" si="0"/>
        <v>0</v>
      </c>
      <c r="C20">
        <f t="shared" si="1"/>
        <v>1</v>
      </c>
      <c r="D20" t="str">
        <f t="shared" si="2"/>
        <v/>
      </c>
      <c r="E20" t="s">
        <v>54</v>
      </c>
    </row>
    <row r="21" spans="1:5" x14ac:dyDescent="0.2">
      <c r="A21" cm="1">
        <f t="array" ref="A21">GCD(5,2,0)</f>
        <v>1</v>
      </c>
      <c r="B21">
        <f t="shared" si="0"/>
        <v>0</v>
      </c>
      <c r="C21">
        <f t="shared" si="1"/>
        <v>1</v>
      </c>
      <c r="D21" t="str">
        <f t="shared" si="2"/>
        <v/>
      </c>
      <c r="E21" t="s">
        <v>55</v>
      </c>
    </row>
    <row r="22" spans="1:5" x14ac:dyDescent="0.2">
      <c r="A22" t="e" cm="1">
        <f t="array" ref="A22">GCD(5,2,"")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GCD(5,2,FALSE)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cm="1">
        <f t="array" ref="A24">GEOMEAN(D!AV1:AV7)</f>
        <v>5.4769869696569629</v>
      </c>
      <c r="B24">
        <f t="shared" si="0"/>
        <v>0</v>
      </c>
      <c r="C24">
        <f t="shared" si="1"/>
        <v>5.4769869696569629</v>
      </c>
      <c r="D24" t="str">
        <f t="shared" si="2"/>
        <v/>
      </c>
      <c r="E24" t="s">
        <v>58</v>
      </c>
    </row>
    <row r="25" spans="1:5" x14ac:dyDescent="0.2">
      <c r="A25" t="e" cm="1">
        <f t="array" ref="A25">GEOMEAN(D!AV1:AV7,)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GEOMEAN(D!AV1:AV7,0)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GEOMEAN(D!AV1:AV7,"")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GEOMEAN(D!AV1:AV7,FALSE)</f>
        <v>#NUM!</v>
      </c>
      <c r="B28">
        <f t="shared" si="0"/>
        <v>6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GESTEP(,4)</f>
        <v>#N/A</v>
      </c>
      <c r="B29">
        <f t="shared" si="0"/>
        <v>7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cm="1">
        <f t="array" ref="A30">GESTEP(0,4)</f>
        <v>0</v>
      </c>
      <c r="B30">
        <f t="shared" si="0"/>
        <v>0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GESTEP("",4)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GESTEP(FALSE,4)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cm="1">
        <f t="array" ref="A33">GESTEP(5,)</f>
        <v>1</v>
      </c>
      <c r="B33">
        <f t="shared" si="0"/>
        <v>0</v>
      </c>
      <c r="C33">
        <f t="shared" si="1"/>
        <v>1</v>
      </c>
      <c r="D33" t="str">
        <f t="shared" si="2"/>
        <v/>
      </c>
      <c r="E33" t="s">
        <v>67</v>
      </c>
    </row>
    <row r="34" spans="1:5" x14ac:dyDescent="0.2">
      <c r="A34" cm="1">
        <f t="array" ref="A34">GESTEP(5,0)</f>
        <v>1</v>
      </c>
      <c r="B34">
        <f t="shared" si="0"/>
        <v>0</v>
      </c>
      <c r="C34">
        <f t="shared" si="1"/>
        <v>1</v>
      </c>
      <c r="D34" t="str">
        <f t="shared" si="2"/>
        <v/>
      </c>
      <c r="E34" t="s">
        <v>68</v>
      </c>
    </row>
    <row r="35" spans="1:5" x14ac:dyDescent="0.2">
      <c r="A35" t="e" cm="1">
        <f t="array" ref="A35">GESTEP(5,"")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GESTEP(5,FALSE)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cm="1">
        <f t="array" ref="A37">HARMEAN(D!AV1:AV7)</f>
        <v>5.0283759620617277</v>
      </c>
      <c r="B37">
        <f t="shared" si="0"/>
        <v>0</v>
      </c>
      <c r="C37">
        <f t="shared" si="1"/>
        <v>5.0283759620617277</v>
      </c>
      <c r="D37" t="str">
        <f t="shared" si="2"/>
        <v/>
      </c>
      <c r="E37" t="s">
        <v>71</v>
      </c>
    </row>
    <row r="38" spans="1:5" x14ac:dyDescent="0.2">
      <c r="A38" t="e" cm="1">
        <f t="array" ref="A38">HARMEAN(D!AV1:AV7,)</f>
        <v>#NUM!</v>
      </c>
      <c r="B38">
        <f t="shared" si="0"/>
        <v>6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HARMEAN(D!AV1:AV7,0)</f>
        <v>#NUM!</v>
      </c>
      <c r="B39">
        <f t="shared" si="0"/>
        <v>6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HARMEAN(D!AV1:AV7,"")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HARMEAN(D!AV1:AV7,FALSE)</f>
        <v>#NUM!</v>
      </c>
      <c r="B41">
        <f t="shared" si="0"/>
        <v>6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HEX2BIN(,8)</f>
        <v>#N/A</v>
      </c>
      <c r="B42">
        <f t="shared" si="0"/>
        <v>7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str" cm="1">
        <f t="array" ref="A43">HEX2BIN(0,8)</f>
        <v>00000000</v>
      </c>
      <c r="B43">
        <f t="shared" si="0"/>
        <v>-3</v>
      </c>
      <c r="C43">
        <f t="shared" si="1"/>
        <v>0</v>
      </c>
      <c r="D43" t="str">
        <f t="shared" si="2"/>
        <v>00000000</v>
      </c>
      <c r="E43" t="s">
        <v>77</v>
      </c>
    </row>
    <row r="44" spans="1:5" x14ac:dyDescent="0.2">
      <c r="A44" t="str" cm="1">
        <f t="array" ref="A44">HEX2BIN("",8)</f>
        <v>00000000</v>
      </c>
      <c r="B44">
        <f t="shared" si="0"/>
        <v>-3</v>
      </c>
      <c r="C44">
        <f t="shared" si="1"/>
        <v>0</v>
      </c>
      <c r="D44" t="str">
        <f t="shared" si="2"/>
        <v>00000000</v>
      </c>
      <c r="E44" t="s">
        <v>78</v>
      </c>
    </row>
    <row r="45" spans="1:5" x14ac:dyDescent="0.2">
      <c r="A45" t="e" cm="1">
        <f t="array" ref="A45">HEX2BIN(FALSE,8)</f>
        <v>#VALUE!</v>
      </c>
      <c r="B45">
        <f t="shared" si="0"/>
        <v>3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str" cm="1">
        <f t="array" ref="A46">HEX2BIN("F",)</f>
        <v>1111</v>
      </c>
      <c r="B46">
        <f t="shared" si="0"/>
        <v>-3</v>
      </c>
      <c r="C46">
        <f t="shared" si="1"/>
        <v>0</v>
      </c>
      <c r="D46" t="str">
        <f t="shared" si="2"/>
        <v>1111</v>
      </c>
      <c r="E46" t="s">
        <v>80</v>
      </c>
    </row>
    <row r="47" spans="1:5" x14ac:dyDescent="0.2">
      <c r="A47" t="e" cm="1">
        <f t="array" ref="A47">HEX2BIN("F",0)</f>
        <v>#NUM!</v>
      </c>
      <c r="B47">
        <f t="shared" si="0"/>
        <v>6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e" cm="1">
        <f t="array" ref="A48">HEX2BIN("F","")</f>
        <v>#VALUE!</v>
      </c>
      <c r="B48">
        <f t="shared" si="0"/>
        <v>3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HEX2BIN("F",FALSE)</f>
        <v>#VALUE!</v>
      </c>
      <c r="B49">
        <f t="shared" si="0"/>
        <v>3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t="e" cm="1">
        <f t="array" ref="A50">HEX2OCT(,3)</f>
        <v>#N/A</v>
      </c>
      <c r="B50">
        <f t="shared" si="0"/>
        <v>7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str" cm="1">
        <f t="array" ref="A51">HEX2OCT(0,3)</f>
        <v>000</v>
      </c>
      <c r="B51">
        <f t="shared" si="0"/>
        <v>-3</v>
      </c>
      <c r="C51">
        <f t="shared" si="1"/>
        <v>0</v>
      </c>
      <c r="D51" t="str">
        <f t="shared" si="2"/>
        <v>000</v>
      </c>
      <c r="E51" t="s">
        <v>85</v>
      </c>
    </row>
    <row r="52" spans="1:5" x14ac:dyDescent="0.2">
      <c r="A52" t="str" cm="1">
        <f t="array" ref="A52">HEX2OCT("",3)</f>
        <v>000</v>
      </c>
      <c r="B52">
        <f t="shared" si="0"/>
        <v>-3</v>
      </c>
      <c r="C52">
        <f t="shared" si="1"/>
        <v>0</v>
      </c>
      <c r="D52" t="str">
        <f t="shared" si="2"/>
        <v>000</v>
      </c>
      <c r="E52" t="s">
        <v>86</v>
      </c>
    </row>
    <row r="53" spans="1:5" x14ac:dyDescent="0.2">
      <c r="A53" t="e" cm="1">
        <f t="array" ref="A53">HEX2OCT(FALSE,3)</f>
        <v>#VALUE!</v>
      </c>
      <c r="B53">
        <f t="shared" si="0"/>
        <v>3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t="str" cm="1">
        <f t="array" ref="A54">HEX2OCT("F",)</f>
        <v>17</v>
      </c>
      <c r="B54">
        <f t="shared" si="0"/>
        <v>-3</v>
      </c>
      <c r="C54">
        <f t="shared" si="1"/>
        <v>0</v>
      </c>
      <c r="D54" t="str">
        <f t="shared" si="2"/>
        <v>17</v>
      </c>
      <c r="E54" t="s">
        <v>88</v>
      </c>
    </row>
    <row r="55" spans="1:5" x14ac:dyDescent="0.2">
      <c r="A55" t="e" cm="1">
        <f t="array" ref="A55">HEX2OCT("F",0)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HEX2OCT("F","")</f>
        <v>#VALUE!</v>
      </c>
      <c r="B56">
        <f t="shared" si="0"/>
        <v>3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HEX2OCT("F",FALSE)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>
        <f t="array" ref="A58">HLOOKUP(,D!L8:Q10,2,FALSE)</f>
        <v>#N/A</v>
      </c>
      <c r="B58">
        <f t="shared" si="0"/>
        <v>7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e" cm="1">
        <f t="array" ref="A59">HLOOKUP(0,D!L8:Q10,2,FALSE)</f>
        <v>#N/A</v>
      </c>
      <c r="B59">
        <f t="shared" si="0"/>
        <v>7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t="e" cm="1">
        <f t="array" ref="A60">HLOOKUP("",D!L8:Q10,2,FALSE)</f>
        <v>#N/A</v>
      </c>
      <c r="B60">
        <f t="shared" si="0"/>
        <v>7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t="e" cm="1">
        <f t="array" ref="A61">HLOOKUP(FALSE,D!L8:Q10,2,FALSE)</f>
        <v>#N/A</v>
      </c>
      <c r="B61">
        <f t="shared" si="0"/>
        <v>7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e" cm="1">
        <f t="array" ref="A62">HLOOKUP(5,,2,FALSE)</f>
        <v>#N/A</v>
      </c>
      <c r="B62">
        <f t="shared" si="0"/>
        <v>7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e" cm="1">
        <f t="array" ref="A63">HLOOKUP(5,0,2,FALSE)</f>
        <v>#N/A</v>
      </c>
      <c r="B63">
        <f t="shared" si="0"/>
        <v>7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t="e" cm="1">
        <f t="array" ref="A64">HLOOKUP(5,"",2,FALSE)</f>
        <v>#VALUE!</v>
      </c>
      <c r="B64">
        <f t="shared" si="0"/>
        <v>3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e" cm="1">
        <f t="array" ref="A65">HLOOKUP(5,FALSE,2,FALSE)</f>
        <v>#N/A</v>
      </c>
      <c r="B65">
        <f t="shared" ref="B65:B128" si="3">IF(ISERROR(A65),ERROR.TYPE(A65),IF(ISNUMBER(A65),0,IF(ISLOGICAL(A65),IF(A65,-1,-2),IF(ISTEXT(A65),-3,-4))))</f>
        <v>7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t="e" cm="1" vm="1">
        <f t="array" ref="A66">HLOOKUP(5,D!L8:Q10,,FALSE)</f>
        <v>#VALUE!</v>
      </c>
      <c r="B66">
        <f t="shared" si="3"/>
        <v>3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e" cm="1" vm="1">
        <f t="array" ref="A67">HLOOKUP(5,D!L8:Q10,0,FALSE)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HLOOKUP(5,D!L8:Q10,"",FALSE)</f>
        <v>#VALUE!</v>
      </c>
      <c r="B68">
        <f t="shared" si="3"/>
        <v>3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e" cm="1" vm="1">
        <f t="array" ref="A69">HLOOKUP(5,D!L8:Q10,FALSE,FALSE)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str" cm="1">
        <f t="array" ref="A70">HLOOKUP(5,D!L8:Q10,2,)</f>
        <v>five</v>
      </c>
      <c r="B70">
        <f t="shared" si="3"/>
        <v>-3</v>
      </c>
      <c r="C70">
        <f t="shared" si="4"/>
        <v>0</v>
      </c>
      <c r="D70" t="str">
        <f t="shared" si="5"/>
        <v>five</v>
      </c>
      <c r="E70" t="s">
        <v>104</v>
      </c>
    </row>
    <row r="71" spans="1:5" x14ac:dyDescent="0.2">
      <c r="A71" t="str" cm="1">
        <f t="array" ref="A71">HLOOKUP(5,D!L8:Q10,2,0)</f>
        <v>five</v>
      </c>
      <c r="B71">
        <f t="shared" si="3"/>
        <v>-3</v>
      </c>
      <c r="C71">
        <f t="shared" si="4"/>
        <v>0</v>
      </c>
      <c r="D71" t="str">
        <f t="shared" si="5"/>
        <v>five</v>
      </c>
      <c r="E71" t="s">
        <v>105</v>
      </c>
    </row>
    <row r="72" spans="1:5" x14ac:dyDescent="0.2">
      <c r="A72" t="e" cm="1">
        <f t="array" ref="A72">HLOOKUP(5,D!L8:Q10,2,"")</f>
        <v>#VALUE!</v>
      </c>
      <c r="B72">
        <f t="shared" si="3"/>
        <v>3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str" cm="1">
        <f t="array" ref="A73">HLOOKUP(5,D!L8:Q10,2,FALSE)</f>
        <v>five</v>
      </c>
      <c r="B73">
        <f t="shared" si="3"/>
        <v>-3</v>
      </c>
      <c r="C73">
        <f t="shared" si="4"/>
        <v>0</v>
      </c>
      <c r="D73" t="str">
        <f t="shared" si="5"/>
        <v>five</v>
      </c>
      <c r="E73" t="s">
        <v>107</v>
      </c>
    </row>
    <row r="74" spans="1:5" x14ac:dyDescent="0.2">
      <c r="A74" t="str" cm="1">
        <f t="array" ref="A74">HYPERLINK(,"x")</f>
        <v>x</v>
      </c>
      <c r="B74">
        <f t="shared" si="3"/>
        <v>-3</v>
      </c>
      <c r="C74">
        <f t="shared" si="4"/>
        <v>0</v>
      </c>
      <c r="D74" t="str">
        <f t="shared" si="5"/>
        <v>x</v>
      </c>
      <c r="E74" t="s">
        <v>108</v>
      </c>
    </row>
    <row r="75" spans="1:5" x14ac:dyDescent="0.2">
      <c r="A75" t="str" cm="1">
        <f t="array" ref="A75">HYPERLINK(0,"x")</f>
        <v>x</v>
      </c>
      <c r="B75">
        <f t="shared" si="3"/>
        <v>-3</v>
      </c>
      <c r="C75">
        <f t="shared" si="4"/>
        <v>0</v>
      </c>
      <c r="D75" t="str">
        <f t="shared" si="5"/>
        <v>x</v>
      </c>
      <c r="E75" t="s">
        <v>109</v>
      </c>
    </row>
    <row r="76" spans="1:5" x14ac:dyDescent="0.2">
      <c r="A76" t="str" cm="1">
        <f t="array" ref="A76">HYPERLINK("","x")</f>
        <v>x</v>
      </c>
      <c r="B76">
        <f t="shared" si="3"/>
        <v>-3</v>
      </c>
      <c r="C76">
        <f t="shared" si="4"/>
        <v>0</v>
      </c>
      <c r="D76" t="str">
        <f t="shared" si="5"/>
        <v>x</v>
      </c>
      <c r="E76" t="s">
        <v>110</v>
      </c>
    </row>
    <row r="77" spans="1:5" x14ac:dyDescent="0.2">
      <c r="A77" t="str" cm="1">
        <f t="array" ref="A77">HYPERLINK(FALSE,"x")</f>
        <v>x</v>
      </c>
      <c r="B77">
        <f t="shared" si="3"/>
        <v>-3</v>
      </c>
      <c r="C77">
        <f t="shared" si="4"/>
        <v>0</v>
      </c>
      <c r="D77" t="str">
        <f t="shared" si="5"/>
        <v>x</v>
      </c>
      <c r="E77" t="s">
        <v>111</v>
      </c>
    </row>
    <row r="78" spans="1:5" x14ac:dyDescent="0.2">
      <c r="A78" cm="1">
        <f t="array" ref="A78">HYPERLINK("http://example.com",)</f>
        <v>0</v>
      </c>
      <c r="B78">
        <f t="shared" si="3"/>
        <v>0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cm="1">
        <f t="array" ref="A79">HYPERLINK("http://example.com",0)</f>
        <v>0</v>
      </c>
      <c r="B79">
        <f t="shared" si="3"/>
        <v>0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str" cm="1">
        <f t="array" ref="A80">HYPERLINK("http://example.com","")</f>
        <v/>
      </c>
      <c r="B80">
        <f t="shared" si="3"/>
        <v>-3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b" cm="1">
        <f t="array" ref="A81">HYPERLINK("http://example.com",FALSE)</f>
        <v>0</v>
      </c>
      <c r="B81">
        <f t="shared" si="3"/>
        <v>-2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cm="1">
        <f t="array" ref="A82">_xlfn.HYPGEOM.DIST(,4,8,20,TRUE)</f>
        <v>0.10216718266253864</v>
      </c>
      <c r="B82">
        <f t="shared" si="3"/>
        <v>0</v>
      </c>
      <c r="C82">
        <f t="shared" si="4"/>
        <v>0.10216718266253864</v>
      </c>
      <c r="D82" t="str">
        <f t="shared" si="5"/>
        <v/>
      </c>
      <c r="E82" t="s">
        <v>116</v>
      </c>
    </row>
    <row r="83" spans="1:5" x14ac:dyDescent="0.2">
      <c r="A83" cm="1">
        <f t="array" ref="A83">_xlfn.HYPGEOM.DIST(0,4,8,20,TRUE)</f>
        <v>0.10216718266253864</v>
      </c>
      <c r="B83">
        <f t="shared" si="3"/>
        <v>0</v>
      </c>
      <c r="C83">
        <f t="shared" si="4"/>
        <v>0.10216718266253864</v>
      </c>
      <c r="D83" t="str">
        <f t="shared" si="5"/>
        <v/>
      </c>
      <c r="E83" t="s">
        <v>117</v>
      </c>
    </row>
    <row r="84" spans="1:5" x14ac:dyDescent="0.2">
      <c r="A84" t="e" cm="1">
        <f t="array" ref="A84">_xlfn.HYPGEOM.DIST("",4,8,20,TRUE)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cm="1">
        <f t="array" ref="A85">_xlfn.HYPGEOM.DIST(FALSE,4,8,20,TRUE)</f>
        <v>0.10216718266253864</v>
      </c>
      <c r="B85">
        <f t="shared" si="3"/>
        <v>0</v>
      </c>
      <c r="C85">
        <f t="shared" si="4"/>
        <v>0.10216718266253864</v>
      </c>
      <c r="D85" t="str">
        <f t="shared" si="5"/>
        <v/>
      </c>
      <c r="E85" t="s">
        <v>119</v>
      </c>
    </row>
    <row r="86" spans="1:5" x14ac:dyDescent="0.2">
      <c r="A86" cm="1">
        <f t="array" ref="A86">_xlfn.HYPGEOM.DIST(1,,8,20,TRUE)</f>
        <v>1</v>
      </c>
      <c r="B86">
        <f t="shared" si="3"/>
        <v>0</v>
      </c>
      <c r="C86">
        <f t="shared" si="4"/>
        <v>1</v>
      </c>
      <c r="D86" t="str">
        <f t="shared" si="5"/>
        <v/>
      </c>
      <c r="E86" t="s">
        <v>120</v>
      </c>
    </row>
    <row r="87" spans="1:5" x14ac:dyDescent="0.2">
      <c r="A87" cm="1">
        <f t="array" ref="A87">_xlfn.HYPGEOM.DIST(1,0,8,20,TRUE)</f>
        <v>1</v>
      </c>
      <c r="B87">
        <f t="shared" si="3"/>
        <v>0</v>
      </c>
      <c r="C87">
        <f t="shared" si="4"/>
        <v>1</v>
      </c>
      <c r="D87" t="str">
        <f t="shared" si="5"/>
        <v/>
      </c>
      <c r="E87" t="s">
        <v>121</v>
      </c>
    </row>
    <row r="88" spans="1:5" x14ac:dyDescent="0.2">
      <c r="A88" t="e" cm="1">
        <f t="array" ref="A88">_xlfn.HYPGEOM.DIST(1,"",8,20,TRUE)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cm="1">
        <f t="array" ref="A89">_xlfn.HYPGEOM.DIST(1,FALSE,8,20,TRUE)</f>
        <v>1</v>
      </c>
      <c r="B89">
        <f t="shared" si="3"/>
        <v>0</v>
      </c>
      <c r="C89">
        <f t="shared" si="4"/>
        <v>1</v>
      </c>
      <c r="D89" t="str">
        <f t="shared" si="5"/>
        <v/>
      </c>
      <c r="E89" t="s">
        <v>123</v>
      </c>
    </row>
    <row r="90" spans="1:5" x14ac:dyDescent="0.2">
      <c r="A90" cm="1">
        <f t="array" ref="A90">_xlfn.HYPGEOM.DIST(1,4,,20,TRUE)</f>
        <v>1</v>
      </c>
      <c r="B90">
        <f t="shared" si="3"/>
        <v>0</v>
      </c>
      <c r="C90">
        <f t="shared" si="4"/>
        <v>1</v>
      </c>
      <c r="D90" t="str">
        <f t="shared" si="5"/>
        <v/>
      </c>
      <c r="E90" t="s">
        <v>124</v>
      </c>
    </row>
    <row r="91" spans="1:5" x14ac:dyDescent="0.2">
      <c r="A91" cm="1">
        <f t="array" ref="A91">_xlfn.HYPGEOM.DIST(1,4,0,20,TRUE)</f>
        <v>1</v>
      </c>
      <c r="B91">
        <f t="shared" si="3"/>
        <v>0</v>
      </c>
      <c r="C91">
        <f t="shared" si="4"/>
        <v>1</v>
      </c>
      <c r="D91" t="str">
        <f t="shared" si="5"/>
        <v/>
      </c>
      <c r="E91" t="s">
        <v>125</v>
      </c>
    </row>
    <row r="92" spans="1:5" x14ac:dyDescent="0.2">
      <c r="A92" t="e" cm="1">
        <f t="array" ref="A92">_xlfn.HYPGEOM.DIST(1,4,"",20,TRUE)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cm="1">
        <f t="array" ref="A93">_xlfn.HYPGEOM.DIST(1,4,FALSE,20,TRUE)</f>
        <v>1</v>
      </c>
      <c r="B93">
        <f t="shared" si="3"/>
        <v>0</v>
      </c>
      <c r="C93">
        <f t="shared" si="4"/>
        <v>1</v>
      </c>
      <c r="D93" t="str">
        <f t="shared" si="5"/>
        <v/>
      </c>
      <c r="E93" t="s">
        <v>127</v>
      </c>
    </row>
    <row r="94" spans="1:5" x14ac:dyDescent="0.2">
      <c r="A94" t="e" cm="1">
        <f t="array" ref="A94">_xlfn.HYPGEOM.DIST(1,4,8,,TRUE)</f>
        <v>#NUM!</v>
      </c>
      <c r="B94">
        <f t="shared" si="3"/>
        <v>6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e" cm="1">
        <f t="array" ref="A95">_xlfn.HYPGEOM.DIST(1,4,8,0,TRUE)</f>
        <v>#NUM!</v>
      </c>
      <c r="B95">
        <f t="shared" si="3"/>
        <v>6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_xlfn.HYPGEOM.DIST(1,4,8,"",TRUE)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_xlfn.HYPGEOM.DIST(1,4,8,FALSE,TRUE)</f>
        <v>#NUM!</v>
      </c>
      <c r="B97">
        <f t="shared" si="3"/>
        <v>6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cm="1">
        <f t="array" ref="A98">_xlfn.HYPGEOM.DIST(1,4,8,20,)</f>
        <v>0.36326109391124861</v>
      </c>
      <c r="B98">
        <f t="shared" si="3"/>
        <v>0</v>
      </c>
      <c r="C98">
        <f t="shared" si="4"/>
        <v>0.36326109391124861</v>
      </c>
      <c r="D98" t="str">
        <f t="shared" si="5"/>
        <v/>
      </c>
      <c r="E98" t="s">
        <v>132</v>
      </c>
    </row>
    <row r="99" spans="1:5" x14ac:dyDescent="0.2">
      <c r="A99" cm="1">
        <f t="array" ref="A99">_xlfn.HYPGEOM.DIST(1,4,8,20,0)</f>
        <v>0.36326109391124861</v>
      </c>
      <c r="B99">
        <f t="shared" si="3"/>
        <v>0</v>
      </c>
      <c r="C99">
        <f t="shared" si="4"/>
        <v>0.36326109391124861</v>
      </c>
      <c r="D99" t="str">
        <f t="shared" si="5"/>
        <v/>
      </c>
      <c r="E99" t="s">
        <v>133</v>
      </c>
    </row>
    <row r="100" spans="1:5" x14ac:dyDescent="0.2">
      <c r="A100" t="e" cm="1">
        <f t="array" ref="A100">_xlfn.HYPGEOM.DIST(1,4,8,20,"")</f>
        <v>#VALUE!</v>
      </c>
      <c r="B100">
        <f t="shared" si="3"/>
        <v>3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cm="1">
        <f t="array" ref="A101">_xlfn.HYPGEOM.DIST(1,4,8,20,FALSE)</f>
        <v>0.36326109391124861</v>
      </c>
      <c r="B101">
        <f t="shared" si="3"/>
        <v>0</v>
      </c>
      <c r="C101">
        <f t="shared" si="4"/>
        <v>0.36326109391124861</v>
      </c>
      <c r="D101" t="str">
        <f t="shared" si="5"/>
        <v/>
      </c>
      <c r="E101" t="s">
        <v>135</v>
      </c>
    </row>
    <row r="102" spans="1:5" x14ac:dyDescent="0.2">
      <c r="A102" cm="1">
        <f t="array" ref="A102">HYPGEOMDIST(,4,8,20)</f>
        <v>0.10216718266253864</v>
      </c>
      <c r="B102">
        <f t="shared" si="3"/>
        <v>0</v>
      </c>
      <c r="C102">
        <f t="shared" si="4"/>
        <v>0.10216718266253864</v>
      </c>
      <c r="D102" t="str">
        <f t="shared" si="5"/>
        <v/>
      </c>
      <c r="E102" t="s">
        <v>136</v>
      </c>
    </row>
    <row r="103" spans="1:5" x14ac:dyDescent="0.2">
      <c r="A103" cm="1">
        <f t="array" ref="A103">HYPGEOMDIST(0,4,8,20)</f>
        <v>0.10216718266253864</v>
      </c>
      <c r="B103">
        <f t="shared" si="3"/>
        <v>0</v>
      </c>
      <c r="C103">
        <f t="shared" si="4"/>
        <v>0.10216718266253864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HYPGEOMDIST("",4,8,20)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cm="1">
        <f t="array" ref="A105">HYPGEOMDIST(FALSE,4,8,20)</f>
        <v>0.10216718266253864</v>
      </c>
      <c r="B105">
        <f t="shared" si="3"/>
        <v>0</v>
      </c>
      <c r="C105">
        <f t="shared" si="4"/>
        <v>0.10216718266253864</v>
      </c>
      <c r="D105" t="str">
        <f t="shared" si="5"/>
        <v/>
      </c>
      <c r="E105" t="s">
        <v>139</v>
      </c>
    </row>
    <row r="106" spans="1:5" x14ac:dyDescent="0.2">
      <c r="A106" cm="1">
        <f t="array" ref="A106">HYPGEOMDIST(1,,8,20)</f>
        <v>0</v>
      </c>
      <c r="B106">
        <f t="shared" si="3"/>
        <v>0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cm="1">
        <f t="array" ref="A107">HYPGEOMDIST(1,0,8,20)</f>
        <v>0</v>
      </c>
      <c r="B107">
        <f t="shared" si="3"/>
        <v>0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HYPGEOMDIST(1,"",8,20)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cm="1">
        <f t="array" ref="A109">HYPGEOMDIST(1,FALSE,8,20)</f>
        <v>0</v>
      </c>
      <c r="B109">
        <f t="shared" si="3"/>
        <v>0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cm="1">
        <f t="array" ref="A110">HYPGEOMDIST(1,4,,20)</f>
        <v>0</v>
      </c>
      <c r="B110">
        <f t="shared" si="3"/>
        <v>0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cm="1">
        <f t="array" ref="A111">HYPGEOMDIST(1,4,0,20)</f>
        <v>0</v>
      </c>
      <c r="B111">
        <f t="shared" si="3"/>
        <v>0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HYPGEOMDIST(1,4,"",20)</f>
        <v>#VALUE!</v>
      </c>
      <c r="B112">
        <f t="shared" si="3"/>
        <v>3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cm="1">
        <f t="array" ref="A113">HYPGEOMDIST(1,4,FALSE,20)</f>
        <v>0</v>
      </c>
      <c r="B113">
        <f t="shared" si="3"/>
        <v>0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HYPGEOMDIST(1,4,8,)</f>
        <v>#NUM!</v>
      </c>
      <c r="B114">
        <f t="shared" si="3"/>
        <v>6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HYPGEOMDIST(1,4,8,0)</f>
        <v>#NUM!</v>
      </c>
      <c r="B115">
        <f t="shared" si="3"/>
        <v>6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e" cm="1">
        <f t="array" ref="A116">HYPGEOMDIST(1,4,8,"")</f>
        <v>#VALUE!</v>
      </c>
      <c r="B116">
        <f t="shared" si="3"/>
        <v>3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HYPGEOMDIST(1,4,8,FALSE)</f>
        <v>#NUM!</v>
      </c>
      <c r="B117">
        <f t="shared" si="3"/>
        <v>6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str" cm="1">
        <f t="array" ref="A118">IF(,"yes","no")</f>
        <v>no</v>
      </c>
      <c r="B118">
        <f t="shared" si="3"/>
        <v>-3</v>
      </c>
      <c r="C118">
        <f t="shared" si="4"/>
        <v>0</v>
      </c>
      <c r="D118" t="str">
        <f t="shared" si="5"/>
        <v>no</v>
      </c>
      <c r="E118" t="s">
        <v>152</v>
      </c>
    </row>
    <row r="119" spans="1:5" x14ac:dyDescent="0.2">
      <c r="A119" t="str" cm="1">
        <f t="array" ref="A119">IF(0,"yes","no")</f>
        <v>no</v>
      </c>
      <c r="B119">
        <f t="shared" si="3"/>
        <v>-3</v>
      </c>
      <c r="C119">
        <f t="shared" si="4"/>
        <v>0</v>
      </c>
      <c r="D119" t="str">
        <f t="shared" si="5"/>
        <v>no</v>
      </c>
      <c r="E119" t="s">
        <v>153</v>
      </c>
    </row>
    <row r="120" spans="1:5" x14ac:dyDescent="0.2">
      <c r="A120" t="e" cm="1">
        <f t="array" ref="A120">IF("","yes","no")</f>
        <v>#VALUE!</v>
      </c>
      <c r="B120">
        <f t="shared" si="3"/>
        <v>3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str" cm="1">
        <f t="array" ref="A121">IF(FALSE,"yes","no")</f>
        <v>no</v>
      </c>
      <c r="B121">
        <f t="shared" si="3"/>
        <v>-3</v>
      </c>
      <c r="C121">
        <f t="shared" si="4"/>
        <v>0</v>
      </c>
      <c r="D121" t="str">
        <f t="shared" si="5"/>
        <v>no</v>
      </c>
      <c r="E121" t="s">
        <v>155</v>
      </c>
    </row>
    <row r="122" spans="1:5" x14ac:dyDescent="0.2">
      <c r="A122" cm="1">
        <f t="array" ref="A122">IF(TRUE,,"no")</f>
        <v>0</v>
      </c>
      <c r="B122">
        <f t="shared" si="3"/>
        <v>0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cm="1">
        <f t="array" ref="A123">IF(TRUE,0,"no")</f>
        <v>0</v>
      </c>
      <c r="B123">
        <f t="shared" si="3"/>
        <v>0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str" cm="1">
        <f t="array" ref="A124">IF(TRUE,"","no")</f>
        <v/>
      </c>
      <c r="B124">
        <f t="shared" si="3"/>
        <v>-3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b" cm="1">
        <f t="array" ref="A125">IF(TRUE,FALSE,"no")</f>
        <v>0</v>
      </c>
      <c r="B125">
        <f t="shared" si="3"/>
        <v>-2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str" cm="1">
        <f t="array" ref="A126">IF(TRUE,"yes",)</f>
        <v>yes</v>
      </c>
      <c r="B126">
        <f t="shared" si="3"/>
        <v>-3</v>
      </c>
      <c r="C126">
        <f t="shared" si="4"/>
        <v>0</v>
      </c>
      <c r="D126" t="str">
        <f t="shared" si="5"/>
        <v>yes</v>
      </c>
      <c r="E126" t="s">
        <v>160</v>
      </c>
    </row>
    <row r="127" spans="1:5" x14ac:dyDescent="0.2">
      <c r="A127" t="str" cm="1">
        <f t="array" ref="A127">IF(TRUE,"yes",0)</f>
        <v>yes</v>
      </c>
      <c r="B127">
        <f t="shared" si="3"/>
        <v>-3</v>
      </c>
      <c r="C127">
        <f t="shared" si="4"/>
        <v>0</v>
      </c>
      <c r="D127" t="str">
        <f t="shared" si="5"/>
        <v>yes</v>
      </c>
      <c r="E127" t="s">
        <v>161</v>
      </c>
    </row>
    <row r="128" spans="1:5" x14ac:dyDescent="0.2">
      <c r="A128" t="str" cm="1">
        <f t="array" ref="A128">IF(TRUE,"yes","")</f>
        <v>yes</v>
      </c>
      <c r="B128">
        <f t="shared" si="3"/>
        <v>-3</v>
      </c>
      <c r="C128">
        <f t="shared" si="4"/>
        <v>0</v>
      </c>
      <c r="D128" t="str">
        <f t="shared" si="5"/>
        <v>yes</v>
      </c>
      <c r="E128" t="s">
        <v>162</v>
      </c>
    </row>
    <row r="129" spans="1:5" x14ac:dyDescent="0.2">
      <c r="A129" t="str" cm="1">
        <f t="array" ref="A129">IF(TRUE,"yes",FALSE)</f>
        <v>yes</v>
      </c>
      <c r="B129">
        <f t="shared" ref="B129:B192" si="6">IF(ISERROR(A129),ERROR.TYPE(A129),IF(ISNUMBER(A129),0,IF(ISLOGICAL(A129),IF(A129,-1,-2),IF(ISTEXT(A129),-3,-4))))</f>
        <v>-3</v>
      </c>
      <c r="C129">
        <f t="shared" ref="C129:C192" si="7">IF(ISNUMBER(A129),A129,0)</f>
        <v>0</v>
      </c>
      <c r="D129" t="str">
        <f t="shared" ref="D129:D192" si="8">IF(ISTEXT(A129),A129,"")</f>
        <v>yes</v>
      </c>
      <c r="E129" t="s">
        <v>163</v>
      </c>
    </row>
    <row r="130" spans="1:5" x14ac:dyDescent="0.2">
      <c r="A130" cm="1">
        <f t="array" ref="A130">IFERROR(,"err")</f>
        <v>0</v>
      </c>
      <c r="B130">
        <f t="shared" si="6"/>
        <v>0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cm="1">
        <f t="array" ref="A131">IFERROR(0,"err")</f>
        <v>0</v>
      </c>
      <c r="B131">
        <f t="shared" si="6"/>
        <v>0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str" cm="1">
        <f t="array" ref="A132">IFERROR("","err")</f>
        <v/>
      </c>
      <c r="B132">
        <f t="shared" si="6"/>
        <v>-3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b" cm="1">
        <f t="array" ref="A133">IFERROR(FALSE,"err")</f>
        <v>0</v>
      </c>
      <c r="B133">
        <f t="shared" si="6"/>
        <v>-2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cm="1">
        <f t="array" ref="A134">IFERROR(D!A7,)</f>
        <v>0</v>
      </c>
      <c r="B134">
        <f t="shared" si="6"/>
        <v>0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cm="1">
        <f t="array" ref="A135">IFERROR(D!A7,0)</f>
        <v>0</v>
      </c>
      <c r="B135">
        <f t="shared" si="6"/>
        <v>0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str" cm="1">
        <f t="array" ref="A136">IFERROR(D!A7,"")</f>
        <v/>
      </c>
      <c r="B136">
        <f t="shared" si="6"/>
        <v>-3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b" cm="1">
        <f t="array" ref="A137">IFERROR(D!A7,FALSE)</f>
        <v>0</v>
      </c>
      <c r="B137">
        <f t="shared" si="6"/>
        <v>-2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cm="1">
        <f t="array" ref="A138">_xlfn.IFNA(,"nf")</f>
        <v>0</v>
      </c>
      <c r="B138">
        <f t="shared" si="6"/>
        <v>0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cm="1">
        <f t="array" ref="A139">_xlfn.IFNA(0,"nf")</f>
        <v>0</v>
      </c>
      <c r="B139">
        <f t="shared" si="6"/>
        <v>0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str" cm="1">
        <f t="array" ref="A140">_xlfn.IFNA("","nf")</f>
        <v/>
      </c>
      <c r="B140">
        <f t="shared" si="6"/>
        <v>-3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b" cm="1">
        <f t="array" ref="A141">_xlfn.IFNA(FALSE,"nf")</f>
        <v>0</v>
      </c>
      <c r="B141">
        <f t="shared" si="6"/>
        <v>-2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cm="1">
        <f t="array" ref="A142">_xlfn.IFNA(D!A8,)</f>
        <v>0</v>
      </c>
      <c r="B142">
        <f t="shared" si="6"/>
        <v>0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cm="1">
        <f t="array" ref="A143">_xlfn.IFNA(D!A8,0)</f>
        <v>0</v>
      </c>
      <c r="B143">
        <f t="shared" si="6"/>
        <v>0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str" cm="1">
        <f t="array" ref="A144">_xlfn.IFNA(D!A8,"")</f>
        <v/>
      </c>
      <c r="B144">
        <f t="shared" si="6"/>
        <v>-3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b" cm="1">
        <f t="array" ref="A145">_xlfn.IFNA(D!A8,FALSE)</f>
        <v>0</v>
      </c>
      <c r="B145">
        <f t="shared" si="6"/>
        <v>-2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cm="1">
        <f t="array" ref="A146">_xlfn.IFS(,1,TRUE,2)</f>
        <v>2</v>
      </c>
      <c r="B146">
        <f t="shared" si="6"/>
        <v>0</v>
      </c>
      <c r="C146">
        <f t="shared" si="7"/>
        <v>2</v>
      </c>
      <c r="D146" t="str">
        <f t="shared" si="8"/>
        <v/>
      </c>
      <c r="E146" t="s">
        <v>180</v>
      </c>
    </row>
    <row r="147" spans="1:5" x14ac:dyDescent="0.2">
      <c r="A147" cm="1">
        <f t="array" ref="A147">_xlfn.IFS(0,1,TRUE,2)</f>
        <v>2</v>
      </c>
      <c r="B147">
        <f t="shared" si="6"/>
        <v>0</v>
      </c>
      <c r="C147">
        <f t="shared" si="7"/>
        <v>2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_xlfn.IFS("",1,TRUE,2)</f>
        <v>#VALUE!</v>
      </c>
      <c r="B148">
        <f t="shared" si="6"/>
        <v>3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cm="1">
        <f t="array" ref="A149">_xlfn.IFS(FALSE,1,TRUE,2)</f>
        <v>2</v>
      </c>
      <c r="B149">
        <f t="shared" si="6"/>
        <v>0</v>
      </c>
      <c r="C149">
        <f t="shared" si="7"/>
        <v>2</v>
      </c>
      <c r="D149" t="str">
        <f t="shared" si="8"/>
        <v/>
      </c>
      <c r="E149" t="s">
        <v>183</v>
      </c>
    </row>
    <row r="150" spans="1:5" x14ac:dyDescent="0.2">
      <c r="A150" cm="1">
        <f t="array" ref="A150">_xlfn.IFS(FALSE,,TRUE,2)</f>
        <v>2</v>
      </c>
      <c r="B150">
        <f t="shared" si="6"/>
        <v>0</v>
      </c>
      <c r="C150">
        <f t="shared" si="7"/>
        <v>2</v>
      </c>
      <c r="D150" t="str">
        <f t="shared" si="8"/>
        <v/>
      </c>
      <c r="E150" t="s">
        <v>184</v>
      </c>
    </row>
    <row r="151" spans="1:5" x14ac:dyDescent="0.2">
      <c r="A151" cm="1">
        <f t="array" ref="A151">_xlfn.IFS(FALSE,0,TRUE,2)</f>
        <v>2</v>
      </c>
      <c r="B151">
        <f t="shared" si="6"/>
        <v>0</v>
      </c>
      <c r="C151">
        <f t="shared" si="7"/>
        <v>2</v>
      </c>
      <c r="D151" t="str">
        <f t="shared" si="8"/>
        <v/>
      </c>
      <c r="E151" t="s">
        <v>185</v>
      </c>
    </row>
    <row r="152" spans="1:5" x14ac:dyDescent="0.2">
      <c r="A152" cm="1">
        <f t="array" ref="A152">_xlfn.IFS(FALSE,"",TRUE,2)</f>
        <v>2</v>
      </c>
      <c r="B152">
        <f t="shared" si="6"/>
        <v>0</v>
      </c>
      <c r="C152">
        <f t="shared" si="7"/>
        <v>2</v>
      </c>
      <c r="D152" t="str">
        <f t="shared" si="8"/>
        <v/>
      </c>
      <c r="E152" t="s">
        <v>186</v>
      </c>
    </row>
    <row r="153" spans="1:5" x14ac:dyDescent="0.2">
      <c r="A153" cm="1">
        <f t="array" ref="A153">_xlfn.IFS(FALSE,FALSE,TRUE,2)</f>
        <v>2</v>
      </c>
      <c r="B153">
        <f t="shared" si="6"/>
        <v>0</v>
      </c>
      <c r="C153">
        <f t="shared" si="7"/>
        <v>2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_xlfn.IFS(FALSE,1,,2)</f>
        <v>#N/A</v>
      </c>
      <c r="B154">
        <f t="shared" si="6"/>
        <v>7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e" cm="1">
        <f t="array" ref="A155">_xlfn.IFS(FALSE,1,0,2)</f>
        <v>#N/A</v>
      </c>
      <c r="B155">
        <f t="shared" si="6"/>
        <v>7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e" cm="1">
        <f t="array" ref="A156">_xlfn.IFS(FALSE,1,"",2)</f>
        <v>#VALUE!</v>
      </c>
      <c r="B156">
        <f t="shared" si="6"/>
        <v>3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_xlfn.IFS(FALSE,1,FALSE,2)</f>
        <v>#N/A</v>
      </c>
      <c r="B157">
        <f t="shared" si="6"/>
        <v>7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cm="1">
        <f t="array" ref="A158">_xlfn.IFS(FALSE,1,TRUE,)</f>
        <v>0</v>
      </c>
      <c r="B158">
        <f t="shared" si="6"/>
        <v>0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cm="1">
        <f t="array" ref="A159">_xlfn.IFS(FALSE,1,TRUE,0)</f>
        <v>0</v>
      </c>
      <c r="B159">
        <f t="shared" si="6"/>
        <v>0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str" cm="1">
        <f t="array" ref="A160">_xlfn.IFS(FALSE,1,TRUE,"")</f>
        <v/>
      </c>
      <c r="B160">
        <f t="shared" si="6"/>
        <v>-3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b" cm="1">
        <f t="array" ref="A161">_xlfn.IFS(FALSE,1,TRUE,FALSE)</f>
        <v>0</v>
      </c>
      <c r="B161">
        <f t="shared" si="6"/>
        <v>-2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>
        <f t="array" ref="A162">IMDIV(,"10+24i")</f>
        <v>#N/A</v>
      </c>
      <c r="B162">
        <f t="shared" si="6"/>
        <v>7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str" cm="1">
        <f t="array" ref="A163">IMDIV(0,"10+24i")</f>
        <v>0</v>
      </c>
      <c r="B163">
        <f t="shared" si="6"/>
        <v>-3</v>
      </c>
      <c r="C163">
        <f t="shared" si="7"/>
        <v>0</v>
      </c>
      <c r="D163" t="str">
        <f t="shared" si="8"/>
        <v>0</v>
      </c>
      <c r="E163" t="s">
        <v>197</v>
      </c>
    </row>
    <row r="164" spans="1:5" x14ac:dyDescent="0.2">
      <c r="A164" t="e" cm="1">
        <f t="array" ref="A164">IMDIV("","10+24i")</f>
        <v>#NUM!</v>
      </c>
      <c r="B164">
        <f t="shared" si="6"/>
        <v>6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e" cm="1">
        <f t="array" ref="A165">IMDIV(FALSE,"10+24i")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IMDIV("-238+240i",)</f>
        <v>#N/A</v>
      </c>
      <c r="B166">
        <f t="shared" si="6"/>
        <v>7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t="e" cm="1">
        <f t="array" ref="A167">IMDIV("-238+240i",0)</f>
        <v>#NUM!</v>
      </c>
      <c r="B167">
        <f t="shared" si="6"/>
        <v>6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IMDIV("-238+240i","")</f>
        <v>#NUM!</v>
      </c>
      <c r="B168">
        <f t="shared" si="6"/>
        <v>6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IMDIV("-238+240i",FALSE)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IMPOWER(,3)</f>
        <v>#N/A</v>
      </c>
      <c r="B170">
        <f t="shared" si="6"/>
        <v>7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str" cm="1">
        <f t="array" ref="A171">IMPOWER(0,3)</f>
        <v>0</v>
      </c>
      <c r="B171">
        <f t="shared" si="6"/>
        <v>-3</v>
      </c>
      <c r="C171">
        <f t="shared" si="7"/>
        <v>0</v>
      </c>
      <c r="D171" t="str">
        <f t="shared" si="8"/>
        <v>0</v>
      </c>
      <c r="E171" t="s">
        <v>205</v>
      </c>
    </row>
    <row r="172" spans="1:5" x14ac:dyDescent="0.2">
      <c r="A172" t="e" cm="1">
        <f t="array" ref="A172">IMPOWER("",3)</f>
        <v>#NUM!</v>
      </c>
      <c r="B172">
        <f t="shared" si="6"/>
        <v>6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IMPOWER(FALSE,3)</f>
        <v>#VALUE!</v>
      </c>
      <c r="B173">
        <f t="shared" si="6"/>
        <v>3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IMPOWER("2+3i",)</f>
        <v>#N/A</v>
      </c>
      <c r="B174">
        <f t="shared" si="6"/>
        <v>7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str" cm="1">
        <f t="array" ref="A175">IMPOWER("2+3i",0)</f>
        <v>1</v>
      </c>
      <c r="B175">
        <f t="shared" si="6"/>
        <v>-3</v>
      </c>
      <c r="C175">
        <f t="shared" si="7"/>
        <v>0</v>
      </c>
      <c r="D175" t="str">
        <f t="shared" si="8"/>
        <v>1</v>
      </c>
      <c r="E175" t="s">
        <v>209</v>
      </c>
    </row>
    <row r="176" spans="1:5" x14ac:dyDescent="0.2">
      <c r="A176" t="e" cm="1">
        <f t="array" ref="A176">IMPOWER("2+3i","")</f>
        <v>#VALUE!</v>
      </c>
      <c r="B176">
        <f t="shared" si="6"/>
        <v>3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IMPOWER("2+3i",FALSE)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IMPRODUCT(,"5-3i")</f>
        <v>#N/A</v>
      </c>
      <c r="B178">
        <f t="shared" si="6"/>
        <v>7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t="str" cm="1">
        <f t="array" ref="A179">IMPRODUCT(0,"5-3i")</f>
        <v>0</v>
      </c>
      <c r="B179">
        <f t="shared" si="6"/>
        <v>-3</v>
      </c>
      <c r="C179">
        <f t="shared" si="7"/>
        <v>0</v>
      </c>
      <c r="D179" t="str">
        <f t="shared" si="8"/>
        <v>0</v>
      </c>
      <c r="E179" t="s">
        <v>213</v>
      </c>
    </row>
    <row r="180" spans="1:5" x14ac:dyDescent="0.2">
      <c r="A180" t="e" cm="1">
        <f t="array" ref="A180">IMPRODUCT("","5-3i")</f>
        <v>#NUM!</v>
      </c>
      <c r="B180">
        <f t="shared" si="6"/>
        <v>6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IMPRODUCT(FALSE,"5-3i")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str" cm="1">
        <f t="array" ref="A182">IMPRODUCT("3+4i",)</f>
        <v>3+4i</v>
      </c>
      <c r="B182">
        <f t="shared" si="6"/>
        <v>-3</v>
      </c>
      <c r="C182">
        <f t="shared" si="7"/>
        <v>0</v>
      </c>
      <c r="D182" t="str">
        <f t="shared" si="8"/>
        <v>3+4i</v>
      </c>
      <c r="E182" t="s">
        <v>216</v>
      </c>
    </row>
    <row r="183" spans="1:5" x14ac:dyDescent="0.2">
      <c r="A183" t="str" cm="1">
        <f t="array" ref="A183">IMPRODUCT("3+4i",0)</f>
        <v>0</v>
      </c>
      <c r="B183">
        <f t="shared" si="6"/>
        <v>-3</v>
      </c>
      <c r="C183">
        <f t="shared" si="7"/>
        <v>0</v>
      </c>
      <c r="D183" t="str">
        <f t="shared" si="8"/>
        <v>0</v>
      </c>
      <c r="E183" t="s">
        <v>217</v>
      </c>
    </row>
    <row r="184" spans="1:5" x14ac:dyDescent="0.2">
      <c r="A184" t="e" cm="1">
        <f t="array" ref="A184">IMPRODUCT("3+4i","")</f>
        <v>#NUM!</v>
      </c>
      <c r="B184">
        <f t="shared" si="6"/>
        <v>6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IMPRODUCT("3+4i",FALSE)</f>
        <v>#VALUE!</v>
      </c>
      <c r="B185">
        <f t="shared" si="6"/>
        <v>3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str" cm="1">
        <f t="array" ref="A186">IMPRODUCT("3+4i","5-3i")</f>
        <v>27+11i</v>
      </c>
      <c r="B186">
        <f t="shared" si="6"/>
        <v>-3</v>
      </c>
      <c r="C186">
        <f t="shared" si="7"/>
        <v>0</v>
      </c>
      <c r="D186" t="str">
        <f t="shared" si="8"/>
        <v>27+11i</v>
      </c>
      <c r="E186" t="s">
        <v>220</v>
      </c>
    </row>
    <row r="187" spans="1:5" x14ac:dyDescent="0.2">
      <c r="A187" t="str" cm="1">
        <f t="array" ref="A187">IMPRODUCT("3+4i","5-3i",)</f>
        <v>27+11i</v>
      </c>
      <c r="B187">
        <f t="shared" si="6"/>
        <v>-3</v>
      </c>
      <c r="C187">
        <f t="shared" si="7"/>
        <v>0</v>
      </c>
      <c r="D187" t="str">
        <f t="shared" si="8"/>
        <v>27+11i</v>
      </c>
      <c r="E187" t="s">
        <v>221</v>
      </c>
    </row>
    <row r="188" spans="1:5" x14ac:dyDescent="0.2">
      <c r="A188" t="str" cm="1">
        <f t="array" ref="A188">IMPRODUCT("3+4i","5-3i",0)</f>
        <v>0</v>
      </c>
      <c r="B188">
        <f t="shared" si="6"/>
        <v>-3</v>
      </c>
      <c r="C188">
        <f t="shared" si="7"/>
        <v>0</v>
      </c>
      <c r="D188" t="str">
        <f t="shared" si="8"/>
        <v>0</v>
      </c>
      <c r="E188" t="s">
        <v>222</v>
      </c>
    </row>
    <row r="189" spans="1:5" x14ac:dyDescent="0.2">
      <c r="A189" t="e" cm="1">
        <f t="array" ref="A189">IMPRODUCT("3+4i","5-3i","")</f>
        <v>#NUM!</v>
      </c>
      <c r="B189">
        <f t="shared" si="6"/>
        <v>6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e" cm="1">
        <f t="array" ref="A190">IMPRODUCT("3+4i","5-3i",FALSE)</f>
        <v>#VALUE!</v>
      </c>
      <c r="B190">
        <f t="shared" si="6"/>
        <v>3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IMSUB(,"5+3i")</f>
        <v>#N/A</v>
      </c>
      <c r="B191">
        <f t="shared" si="6"/>
        <v>7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str" cm="1">
        <f t="array" ref="A192">IMSUB(0,"5+3i")</f>
        <v>-5-3i</v>
      </c>
      <c r="B192">
        <f t="shared" si="6"/>
        <v>-3</v>
      </c>
      <c r="C192">
        <f t="shared" si="7"/>
        <v>0</v>
      </c>
      <c r="D192" t="str">
        <f t="shared" si="8"/>
        <v>-5-3i</v>
      </c>
      <c r="E192" t="s">
        <v>226</v>
      </c>
    </row>
    <row r="193" spans="1:5" x14ac:dyDescent="0.2">
      <c r="A193" t="e" cm="1">
        <f t="array" ref="A193">IMSUB("","5+3i")</f>
        <v>#NUM!</v>
      </c>
      <c r="B193">
        <f t="shared" ref="B193:B256" si="9">IF(ISERROR(A193),ERROR.TYPE(A193),IF(ISNUMBER(A193),0,IF(ISLOGICAL(A193),IF(A193,-1,-2),IF(ISTEXT(A193),-3,-4))))</f>
        <v>6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IMSUB(FALSE,"5+3i")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t="e" cm="1">
        <f t="array" ref="A195">IMSUB("13+4i",)</f>
        <v>#N/A</v>
      </c>
      <c r="B195">
        <f t="shared" si="9"/>
        <v>7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t="str" cm="1">
        <f t="array" ref="A196">IMSUB("13+4i",0)</f>
        <v>13+4i</v>
      </c>
      <c r="B196">
        <f t="shared" si="9"/>
        <v>-3</v>
      </c>
      <c r="C196">
        <f t="shared" si="10"/>
        <v>0</v>
      </c>
      <c r="D196" t="str">
        <f t="shared" si="11"/>
        <v>13+4i</v>
      </c>
      <c r="E196" t="s">
        <v>230</v>
      </c>
    </row>
    <row r="197" spans="1:5" x14ac:dyDescent="0.2">
      <c r="A197" t="e" cm="1">
        <f t="array" ref="A197">IMSUB("13+4i","")</f>
        <v>#NUM!</v>
      </c>
      <c r="B197">
        <f t="shared" si="9"/>
        <v>6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t="e" cm="1">
        <f t="array" ref="A198">IMSUB("13+4i",FALSE)</f>
        <v>#VALUE!</v>
      </c>
      <c r="B198">
        <f t="shared" si="9"/>
        <v>3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IMSUM(,"5-3i")</f>
        <v>#N/A</v>
      </c>
      <c r="B199">
        <f t="shared" si="9"/>
        <v>7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str" cm="1">
        <f t="array" ref="A200">IMSUM(0,"5-3i")</f>
        <v>5-3i</v>
      </c>
      <c r="B200">
        <f t="shared" si="9"/>
        <v>-3</v>
      </c>
      <c r="C200">
        <f t="shared" si="10"/>
        <v>0</v>
      </c>
      <c r="D200" t="str">
        <f t="shared" si="11"/>
        <v>5-3i</v>
      </c>
      <c r="E200" t="s">
        <v>234</v>
      </c>
    </row>
    <row r="201" spans="1:5" x14ac:dyDescent="0.2">
      <c r="A201" t="e" cm="1">
        <f t="array" ref="A201">IMSUM("","5-3i")</f>
        <v>#NUM!</v>
      </c>
      <c r="B201">
        <f t="shared" si="9"/>
        <v>6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IMSUM(FALSE,"5-3i")</f>
        <v>#VALUE!</v>
      </c>
      <c r="B202">
        <f t="shared" si="9"/>
        <v>3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str" cm="1">
        <f t="array" ref="A203">IMSUM("3+4i",)</f>
        <v>3+4i</v>
      </c>
      <c r="B203">
        <f t="shared" si="9"/>
        <v>-3</v>
      </c>
      <c r="C203">
        <f t="shared" si="10"/>
        <v>0</v>
      </c>
      <c r="D203" t="str">
        <f t="shared" si="11"/>
        <v>3+4i</v>
      </c>
      <c r="E203" t="s">
        <v>237</v>
      </c>
    </row>
    <row r="204" spans="1:5" x14ac:dyDescent="0.2">
      <c r="A204" t="str" cm="1">
        <f t="array" ref="A204">IMSUM("3+4i",0)</f>
        <v>3+4i</v>
      </c>
      <c r="B204">
        <f t="shared" si="9"/>
        <v>-3</v>
      </c>
      <c r="C204">
        <f t="shared" si="10"/>
        <v>0</v>
      </c>
      <c r="D204" t="str">
        <f t="shared" si="11"/>
        <v>3+4i</v>
      </c>
      <c r="E204" t="s">
        <v>238</v>
      </c>
    </row>
    <row r="205" spans="1:5" x14ac:dyDescent="0.2">
      <c r="A205" t="e" cm="1">
        <f t="array" ref="A205">IMSUM("3+4i","")</f>
        <v>#NUM!</v>
      </c>
      <c r="B205">
        <f t="shared" si="9"/>
        <v>6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IMSUM("3+4i",FALSE)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str" cm="1">
        <f t="array" ref="A207">IMSUM("3+4i","5-3i")</f>
        <v>8+i</v>
      </c>
      <c r="B207">
        <f t="shared" si="9"/>
        <v>-3</v>
      </c>
      <c r="C207">
        <f t="shared" si="10"/>
        <v>0</v>
      </c>
      <c r="D207" t="str">
        <f t="shared" si="11"/>
        <v>8+i</v>
      </c>
      <c r="E207" t="s">
        <v>241</v>
      </c>
    </row>
    <row r="208" spans="1:5" x14ac:dyDescent="0.2">
      <c r="A208" t="str" cm="1">
        <f t="array" ref="A208">IMSUM("3+4i","5-3i",)</f>
        <v>8+i</v>
      </c>
      <c r="B208">
        <f t="shared" si="9"/>
        <v>-3</v>
      </c>
      <c r="C208">
        <f t="shared" si="10"/>
        <v>0</v>
      </c>
      <c r="D208" t="str">
        <f t="shared" si="11"/>
        <v>8+i</v>
      </c>
      <c r="E208" t="s">
        <v>242</v>
      </c>
    </row>
    <row r="209" spans="1:5" x14ac:dyDescent="0.2">
      <c r="A209" t="str" cm="1">
        <f t="array" ref="A209">IMSUM("3+4i","5-3i",0)</f>
        <v>8+i</v>
      </c>
      <c r="B209">
        <f t="shared" si="9"/>
        <v>-3</v>
      </c>
      <c r="C209">
        <f t="shared" si="10"/>
        <v>0</v>
      </c>
      <c r="D209" t="str">
        <f t="shared" si="11"/>
        <v>8+i</v>
      </c>
      <c r="E209" t="s">
        <v>243</v>
      </c>
    </row>
    <row r="210" spans="1:5" x14ac:dyDescent="0.2">
      <c r="A210" t="e" cm="1">
        <f t="array" ref="A210">IMSUM("3+4i","5-3i","")</f>
        <v>#NUM!</v>
      </c>
      <c r="B210">
        <f t="shared" si="9"/>
        <v>6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t="e" cm="1">
        <f t="array" ref="A211">IMSUM("3+4i","5-3i",FALSE)</f>
        <v>#VALUE!</v>
      </c>
      <c r="B211">
        <f t="shared" si="9"/>
        <v>3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INDEX(,2,3)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t="e" cm="1">
        <f t="array" ref="A213">INDEX(0,2,3)</f>
        <v>#REF!</v>
      </c>
      <c r="B213">
        <f t="shared" si="9"/>
        <v>4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e" cm="1">
        <f t="array" ref="A214">INDEX("",2,3)</f>
        <v>#REF!</v>
      </c>
      <c r="B214">
        <f t="shared" si="9"/>
        <v>4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INDEX(FALSE,2,3)</f>
        <v>#REF!</v>
      </c>
      <c r="B215">
        <f t="shared" si="9"/>
        <v>4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 vm="2">
        <f t="array" aca="1" ref="A216" ca="1">INDEX(D!L1:N6,,3)</f>
        <v>#VALUE!</v>
      </c>
      <c r="B216">
        <f t="shared" ca="1" si="9"/>
        <v>9</v>
      </c>
      <c r="C216">
        <f t="shared" ca="1" si="10"/>
        <v>0</v>
      </c>
      <c r="D216" t="str">
        <f t="shared" ca="1" si="11"/>
        <v/>
      </c>
      <c r="E216" t="s">
        <v>250</v>
      </c>
    </row>
    <row r="217" spans="1:5" x14ac:dyDescent="0.2">
      <c r="A217" t="e" cm="1" vm="2">
        <f t="array" aca="1" ref="A217" ca="1">INDEX(D!L1:N6,0,3)</f>
        <v>#VALUE!</v>
      </c>
      <c r="B217">
        <f t="shared" ca="1" si="9"/>
        <v>9</v>
      </c>
      <c r="C217">
        <f t="shared" ca="1" si="10"/>
        <v>0</v>
      </c>
      <c r="D217" t="str">
        <f t="shared" ca="1" si="11"/>
        <v/>
      </c>
      <c r="E217" t="s">
        <v>251</v>
      </c>
    </row>
    <row r="218" spans="1:5" x14ac:dyDescent="0.2">
      <c r="A218" t="e" cm="1">
        <f t="array" ref="A218">INDEX(D!L1:N6,"",3)</f>
        <v>#VALUE!</v>
      </c>
      <c r="B218">
        <f t="shared" si="9"/>
        <v>3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e" cm="1" vm="2">
        <f t="array" aca="1" ref="A219" ca="1">INDEX(D!L1:N6,FALSE,3)</f>
        <v>#VALUE!</v>
      </c>
      <c r="B219">
        <f t="shared" ca="1" si="9"/>
        <v>9</v>
      </c>
      <c r="C219">
        <f t="shared" ca="1" si="10"/>
        <v>0</v>
      </c>
      <c r="D219" t="str">
        <f t="shared" ca="1" si="11"/>
        <v/>
      </c>
      <c r="E219" t="s">
        <v>253</v>
      </c>
    </row>
    <row r="220" spans="1:5" x14ac:dyDescent="0.2">
      <c r="A220" t="e" cm="1" vm="3">
        <f t="array" aca="1" ref="A220" ca="1">INDEX(D!L1:N6,2,)</f>
        <v>#VALUE!</v>
      </c>
      <c r="B220">
        <f t="shared" ca="1" si="9"/>
        <v>9</v>
      </c>
      <c r="C220">
        <f t="shared" ca="1" si="10"/>
        <v>0</v>
      </c>
      <c r="D220" t="str">
        <f t="shared" ca="1" si="11"/>
        <v/>
      </c>
      <c r="E220" t="s">
        <v>254</v>
      </c>
    </row>
    <row r="221" spans="1:5" x14ac:dyDescent="0.2">
      <c r="A221" t="e" cm="1" vm="3">
        <f t="array" aca="1" ref="A221" ca="1">INDEX(D!L1:N6,2,0)</f>
        <v>#VALUE!</v>
      </c>
      <c r="B221">
        <f t="shared" ca="1" si="9"/>
        <v>9</v>
      </c>
      <c r="C221">
        <f t="shared" ca="1" si="10"/>
        <v>0</v>
      </c>
      <c r="D221" t="str">
        <f t="shared" ca="1" si="11"/>
        <v/>
      </c>
      <c r="E221" t="s">
        <v>255</v>
      </c>
    </row>
    <row r="222" spans="1:5" x14ac:dyDescent="0.2">
      <c r="A222" t="e" cm="1">
        <f t="array" ref="A222">INDEX(D!L1:N6,2,"")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e" cm="1" vm="3">
        <f t="array" aca="1" ref="A223" ca="1">INDEX(D!L1:N6,2,FALSE)</f>
        <v>#VALUE!</v>
      </c>
      <c r="B223">
        <f t="shared" ca="1" si="9"/>
        <v>9</v>
      </c>
      <c r="C223">
        <f t="shared" ca="1" si="10"/>
        <v>0</v>
      </c>
      <c r="D223" t="str">
        <f t="shared" ca="1" si="11"/>
        <v/>
      </c>
      <c r="E223" t="s">
        <v>257</v>
      </c>
    </row>
    <row r="224" spans="1:5" x14ac:dyDescent="0.2">
      <c r="A224" cm="1">
        <f t="array" ref="A224">INDEX(D!L1:N6,2,3)</f>
        <v>20</v>
      </c>
      <c r="B224">
        <f t="shared" si="9"/>
        <v>0</v>
      </c>
      <c r="C224">
        <f t="shared" si="10"/>
        <v>20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INDEX(D!L1:N6,2,3,)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INDEX(D!L1:N6,2,3,0)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e" cm="1">
        <f t="array" ref="A227">INDEX(D!L1:N6,2,3,"")</f>
        <v>#VALUE!</v>
      </c>
      <c r="B227">
        <f t="shared" si="9"/>
        <v>3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e" cm="1">
        <f t="array" ref="A228">INDEX(D!L1:N6,2,3,FALSE)</f>
        <v>#VALUE!</v>
      </c>
      <c r="B228">
        <f t="shared" si="9"/>
        <v>3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t="e" cm="1">
        <f t="array" ref="A229">INTERCEPT(,D!B1:B8)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INTERCEPT(0,D!B1:B8)</f>
        <v>#N/A</v>
      </c>
      <c r="B230">
        <f t="shared" si="9"/>
        <v>7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t="e" cm="1">
        <f t="array" ref="A231">INTERCEPT("",D!B1:B8)</f>
        <v>#N/A</v>
      </c>
      <c r="B231">
        <f t="shared" si="9"/>
        <v>7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e" cm="1">
        <f t="array" ref="A232">INTERCEPT(FALSE,D!B1:B8)</f>
        <v>#N/A</v>
      </c>
      <c r="B232">
        <f t="shared" si="9"/>
        <v>7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INTERCEPT(D!C1:C8,)</f>
        <v>#VALUE!</v>
      </c>
      <c r="B233">
        <f t="shared" si="9"/>
        <v>3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INTERCEPT(D!C1:C8,0)</f>
        <v>#N/A</v>
      </c>
      <c r="B234">
        <f t="shared" si="9"/>
        <v>7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e" cm="1">
        <f t="array" ref="A235">INTERCEPT(D!C1:C8,"")</f>
        <v>#N/A</v>
      </c>
      <c r="B235">
        <f t="shared" si="9"/>
        <v>7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INTERCEPT(D!C1:C8,FALSE)</f>
        <v>#N/A</v>
      </c>
      <c r="B236">
        <f t="shared" si="9"/>
        <v>7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INTRATE(,DATE(2008,5,15),1000000,1014420,2)</f>
        <v>#N/A</v>
      </c>
      <c r="B237">
        <f t="shared" si="9"/>
        <v>7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cm="1">
        <f t="array" ref="A238">INTRATE(0,DATE(2008,5,15),1000000,1014420,2)</f>
        <v>1.3114720966071294E-4</v>
      </c>
      <c r="B238">
        <f t="shared" si="9"/>
        <v>0</v>
      </c>
      <c r="C238">
        <f t="shared" si="10"/>
        <v>1.3114720966071294E-4</v>
      </c>
      <c r="D238" t="str">
        <f t="shared" si="11"/>
        <v/>
      </c>
      <c r="E238" t="s">
        <v>272</v>
      </c>
    </row>
    <row r="239" spans="1:5" x14ac:dyDescent="0.2">
      <c r="A239" t="e" cm="1">
        <f t="array" ref="A239">INTRATE("",DATE(2008,5,15),1000000,1014420,2)</f>
        <v>#VALUE!</v>
      </c>
      <c r="B239">
        <f t="shared" si="9"/>
        <v>3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INTRATE(FALSE,DATE(2008,5,15),1000000,1014420,2)</f>
        <v>#VALUE!</v>
      </c>
      <c r="B240">
        <f t="shared" si="9"/>
        <v>3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INTRATE(DATE(2008,2,15),,1000000,1014420,2)</f>
        <v>#N/A</v>
      </c>
      <c r="B241">
        <f t="shared" si="9"/>
        <v>7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t="e" cm="1">
        <f t="array" ref="A242">INTRATE(DATE(2008,2,15),0,1000000,1014420,2)</f>
        <v>#NUM!</v>
      </c>
      <c r="B242">
        <f t="shared" si="9"/>
        <v>6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t="e" cm="1">
        <f t="array" ref="A243">INTRATE(DATE(2008,2,15),"",1000000,1014420,2)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t="e" cm="1">
        <f t="array" ref="A244">INTRATE(DATE(2008,2,15),FALSE,1000000,1014420,2)</f>
        <v>#VALUE!</v>
      </c>
      <c r="B244">
        <f t="shared" si="9"/>
        <v>3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INTRATE(DATE(2008,2,15),DATE(2008,5,15),,1014420,2)</f>
        <v>#N/A</v>
      </c>
      <c r="B245">
        <f t="shared" si="9"/>
        <v>7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e" cm="1">
        <f t="array" ref="A246">INTRATE(DATE(2008,2,15),DATE(2008,5,15),0,1014420,2)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INTRATE(DATE(2008,2,15),DATE(2008,5,15),"",1014420,2)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e" cm="1">
        <f t="array" ref="A248">INTRATE(DATE(2008,2,15),DATE(2008,5,15),FALSE,1014420,2)</f>
        <v>#VALUE!</v>
      </c>
      <c r="B248">
        <f t="shared" si="9"/>
        <v>3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t="e" cm="1">
        <f t="array" ref="A249">INTRATE(DATE(2008,2,15),DATE(2008,5,15),1000000,,2)</f>
        <v>#N/A</v>
      </c>
      <c r="B249">
        <f t="shared" si="9"/>
        <v>7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INTRATE(DATE(2008,2,15),DATE(2008,5,15),1000000,0,2)</f>
        <v>#NUM!</v>
      </c>
      <c r="B250">
        <f t="shared" si="9"/>
        <v>6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INTRATE(DATE(2008,2,15),DATE(2008,5,15),1000000,"",2)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t="e" cm="1">
        <f t="array" ref="A252">INTRATE(DATE(2008,2,15),DATE(2008,5,15),1000000,FALSE,2)</f>
        <v>#VALUE!</v>
      </c>
      <c r="B252">
        <f t="shared" si="9"/>
        <v>3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cm="1">
        <f t="array" ref="A253">INTRATE(DATE(2008,2,15),DATE(2008,5,15),1000000,1014420,)</f>
        <v>5.7680000000000002E-2</v>
      </c>
      <c r="B253">
        <f t="shared" si="9"/>
        <v>0</v>
      </c>
      <c r="C253">
        <f t="shared" si="10"/>
        <v>5.7680000000000002E-2</v>
      </c>
      <c r="D253" t="str">
        <f t="shared" si="11"/>
        <v/>
      </c>
      <c r="E253" t="s">
        <v>287</v>
      </c>
    </row>
    <row r="254" spans="1:5" x14ac:dyDescent="0.2">
      <c r="A254" cm="1">
        <f t="array" ref="A254">INTRATE(DATE(2008,2,15),DATE(2008,5,15),1000000,1014420,0)</f>
        <v>5.7680000000000002E-2</v>
      </c>
      <c r="B254">
        <f t="shared" si="9"/>
        <v>0</v>
      </c>
      <c r="C254">
        <f t="shared" si="10"/>
        <v>5.7680000000000002E-2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INTRATE(DATE(2008,2,15),DATE(2008,5,15),1000000,1014420,"")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INTRATE(DATE(2008,2,15),DATE(2008,5,15),1000000,1014420,FALSE)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cm="1">
        <f t="array" ref="A257">IPMT(,1,36,8000)</f>
        <v>0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IPMT(0,1,36,8000)</f>
        <v>0</v>
      </c>
      <c r="B258">
        <f t="shared" si="12"/>
        <v>0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IPMT("",1,36,8000)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cm="1">
        <f t="array" ref="A260">IPMT(FALSE,1,36,8000)</f>
        <v>0</v>
      </c>
      <c r="B260">
        <f t="shared" si="12"/>
        <v>0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IPMT(0.00833333333333333,,36,8000)</f>
        <v>#NUM!</v>
      </c>
      <c r="B261">
        <f t="shared" si="12"/>
        <v>6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IPMT(0.00833333333333333,0,36,8000)</f>
        <v>#NUM!</v>
      </c>
      <c r="B262">
        <f t="shared" si="12"/>
        <v>6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IPMT(0.00833333333333333,"",36,8000)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e" cm="1">
        <f t="array" ref="A264">IPMT(0.00833333333333333,FALSE,36,8000)</f>
        <v>#NUM!</v>
      </c>
      <c r="B264">
        <f t="shared" si="12"/>
        <v>6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IPMT(0.00833333333333333,1,,8000)</f>
        <v>#NUM!</v>
      </c>
      <c r="B265">
        <f t="shared" si="12"/>
        <v>6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e" cm="1">
        <f t="array" ref="A266">IPMT(0.00833333333333333,1,0,8000)</f>
        <v>#NUM!</v>
      </c>
      <c r="B266">
        <f t="shared" si="12"/>
        <v>6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e" cm="1">
        <f t="array" ref="A267">IPMT(0.00833333333333333,1,"",8000)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e" cm="1">
        <f t="array" ref="A268">IPMT(0.00833333333333333,1,FALSE,8000)</f>
        <v>#NUM!</v>
      </c>
      <c r="B268">
        <f t="shared" si="12"/>
        <v>6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cm="1">
        <f t="array" ref="A269">IPMT(0.00833333333333333,1,36,)</f>
        <v>0</v>
      </c>
      <c r="B269">
        <f t="shared" si="12"/>
        <v>0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cm="1">
        <f t="array" ref="A270">IPMT(0.00833333333333333,1,36,0)</f>
        <v>0</v>
      </c>
      <c r="B270">
        <f t="shared" si="12"/>
        <v>0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t="e" cm="1">
        <f t="array" ref="A271">IPMT(0.00833333333333333,1,36,"")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cm="1">
        <f t="array" ref="A272">IPMT(0.00833333333333333,1,36,FALSE)</f>
        <v>0</v>
      </c>
      <c r="B272">
        <f t="shared" si="12"/>
        <v>0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cm="1">
        <f t="array" ref="A273">IPMT(0.00833333333333333,1,36,8000)</f>
        <v>-66.666666666666643</v>
      </c>
      <c r="B273">
        <f t="shared" si="12"/>
        <v>0</v>
      </c>
      <c r="C273">
        <f t="shared" si="13"/>
        <v>-66.666666666666643</v>
      </c>
      <c r="D273" t="str">
        <f t="shared" si="14"/>
        <v/>
      </c>
      <c r="E273" t="s">
        <v>307</v>
      </c>
    </row>
    <row r="274" spans="1:5" x14ac:dyDescent="0.2">
      <c r="A274" cm="1">
        <f t="array" ref="A274">IPMT(0.00833333333333333,1,36,8000,)</f>
        <v>-66.666666666666643</v>
      </c>
      <c r="B274">
        <f t="shared" si="12"/>
        <v>0</v>
      </c>
      <c r="C274">
        <f t="shared" si="13"/>
        <v>-66.666666666666643</v>
      </c>
      <c r="D274" t="str">
        <f t="shared" si="14"/>
        <v/>
      </c>
      <c r="E274" t="s">
        <v>308</v>
      </c>
    </row>
    <row r="275" spans="1:5" x14ac:dyDescent="0.2">
      <c r="A275" cm="1">
        <f t="array" ref="A275">IPMT(0.00833333333333333,1,36,8000,0)</f>
        <v>-66.666666666666643</v>
      </c>
      <c r="B275">
        <f t="shared" si="12"/>
        <v>0</v>
      </c>
      <c r="C275">
        <f t="shared" si="13"/>
        <v>-66.666666666666643</v>
      </c>
      <c r="D275" t="str">
        <f t="shared" si="14"/>
        <v/>
      </c>
      <c r="E275" t="s">
        <v>309</v>
      </c>
    </row>
    <row r="276" spans="1:5" x14ac:dyDescent="0.2">
      <c r="A276" t="e" cm="1">
        <f t="array" ref="A276">IPMT(0.00833333333333333,1,36,8000,"")</f>
        <v>#VALUE!</v>
      </c>
      <c r="B276">
        <f t="shared" si="12"/>
        <v>3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cm="1">
        <f t="array" ref="A277">IPMT(0.00833333333333333,1,36,8000,FALSE)</f>
        <v>-66.666666666666643</v>
      </c>
      <c r="B277">
        <f t="shared" si="12"/>
        <v>0</v>
      </c>
      <c r="C277">
        <f t="shared" si="13"/>
        <v>-66.666666666666643</v>
      </c>
      <c r="D277" t="str">
        <f t="shared" si="14"/>
        <v/>
      </c>
      <c r="E277" t="s">
        <v>311</v>
      </c>
    </row>
    <row r="278" spans="1:5" x14ac:dyDescent="0.2">
      <c r="A278" cm="1">
        <f t="array" ref="A278">IRR(D!I1:I5)</f>
        <v>0.19630931026859888</v>
      </c>
      <c r="B278">
        <f t="shared" si="12"/>
        <v>0</v>
      </c>
      <c r="C278">
        <f t="shared" si="13"/>
        <v>0.19630931026859888</v>
      </c>
      <c r="D278" t="str">
        <f t="shared" si="14"/>
        <v/>
      </c>
      <c r="E278" t="s">
        <v>312</v>
      </c>
    </row>
    <row r="279" spans="1:5" x14ac:dyDescent="0.2">
      <c r="A279" cm="1">
        <f t="array" ref="A279">IRR(D!I1:I5,)</f>
        <v>0.19630931026859999</v>
      </c>
      <c r="B279">
        <f t="shared" si="12"/>
        <v>0</v>
      </c>
      <c r="C279">
        <f t="shared" si="13"/>
        <v>0.19630931026859999</v>
      </c>
      <c r="D279" t="str">
        <f t="shared" si="14"/>
        <v/>
      </c>
      <c r="E279" t="s">
        <v>313</v>
      </c>
    </row>
    <row r="280" spans="1:5" x14ac:dyDescent="0.2">
      <c r="A280" cm="1">
        <f t="array" ref="A280">IRR(D!I1:I5,0)</f>
        <v>0.19630931026859999</v>
      </c>
      <c r="B280">
        <f t="shared" si="12"/>
        <v>0</v>
      </c>
      <c r="C280">
        <f t="shared" si="13"/>
        <v>0.19630931026859999</v>
      </c>
      <c r="D280" t="str">
        <f t="shared" si="14"/>
        <v/>
      </c>
      <c r="E280" t="s">
        <v>314</v>
      </c>
    </row>
    <row r="281" spans="1:5" x14ac:dyDescent="0.2">
      <c r="A281" t="e" cm="1">
        <f t="array" ref="A281">IRR(D!I1:I5,"")</f>
        <v>#VALUE!</v>
      </c>
      <c r="B281">
        <f t="shared" si="12"/>
        <v>3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cm="1">
        <f t="array" ref="A282">IRR(D!I1:I5,FALSE)</f>
        <v>0.19630931026859999</v>
      </c>
      <c r="B282">
        <f t="shared" si="12"/>
        <v>0</v>
      </c>
      <c r="C282">
        <f t="shared" si="13"/>
        <v>0.19630931026859999</v>
      </c>
      <c r="D282" t="str">
        <f t="shared" si="14"/>
        <v/>
      </c>
      <c r="E282" t="s">
        <v>316</v>
      </c>
    </row>
    <row r="283" spans="1:5" x14ac:dyDescent="0.2">
      <c r="A283" cm="1">
        <f t="array" ref="A283">ISO.CEILING(4.3)</f>
        <v>5</v>
      </c>
      <c r="B283">
        <f t="shared" si="12"/>
        <v>0</v>
      </c>
      <c r="C283">
        <f t="shared" si="13"/>
        <v>5</v>
      </c>
      <c r="D283" t="str">
        <f t="shared" si="14"/>
        <v/>
      </c>
      <c r="E283" t="s">
        <v>317</v>
      </c>
    </row>
    <row r="284" spans="1:5" x14ac:dyDescent="0.2">
      <c r="A284" cm="1">
        <f t="array" ref="A284">ISO.CEILING(4.3,)</f>
        <v>5</v>
      </c>
      <c r="B284">
        <f t="shared" si="12"/>
        <v>0</v>
      </c>
      <c r="C284">
        <f t="shared" si="13"/>
        <v>5</v>
      </c>
      <c r="D284" t="str">
        <f t="shared" si="14"/>
        <v/>
      </c>
      <c r="E284" t="s">
        <v>318</v>
      </c>
    </row>
    <row r="285" spans="1:5" x14ac:dyDescent="0.2">
      <c r="A285" cm="1">
        <f t="array" ref="A285">ISO.CEILING(4.3,0)</f>
        <v>0</v>
      </c>
      <c r="B285">
        <f t="shared" si="12"/>
        <v>0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t="e" cm="1">
        <f t="array" ref="A286">ISO.CEILING(4.3,"")</f>
        <v>#VALUE!</v>
      </c>
      <c r="B286">
        <f t="shared" si="12"/>
        <v>3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cm="1">
        <f t="array" ref="A287">ISO.CEILING(4.3,FALSE)</f>
        <v>0</v>
      </c>
      <c r="B287">
        <f t="shared" si="12"/>
        <v>0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cm="1">
        <f t="array" ref="A288">ISPMT(,1,36,8000000)</f>
        <v>0</v>
      </c>
      <c r="B288">
        <f t="shared" si="12"/>
        <v>0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cm="1">
        <f t="array" ref="A289">ISPMT(0,1,36,8000000)</f>
        <v>0</v>
      </c>
      <c r="B289">
        <f t="shared" si="12"/>
        <v>0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ISPMT("",1,36,8000000)</f>
        <v>#VALUE!</v>
      </c>
      <c r="B290">
        <f t="shared" si="12"/>
        <v>3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cm="1">
        <f t="array" ref="A291">ISPMT(FALSE,1,36,8000000)</f>
        <v>0</v>
      </c>
      <c r="B291">
        <f t="shared" si="12"/>
        <v>0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cm="1">
        <f t="array" ref="A292">ISPMT(0.00833333333333333,,36,8000000)</f>
        <v>-66666.666666666642</v>
      </c>
      <c r="B292">
        <f t="shared" si="12"/>
        <v>0</v>
      </c>
      <c r="C292">
        <f t="shared" si="13"/>
        <v>-66666.666666666642</v>
      </c>
      <c r="D292" t="str">
        <f t="shared" si="14"/>
        <v/>
      </c>
      <c r="E292" t="s">
        <v>326</v>
      </c>
    </row>
    <row r="293" spans="1:5" x14ac:dyDescent="0.2">
      <c r="A293" cm="1">
        <f t="array" ref="A293">ISPMT(0.00833333333333333,0,36,8000000)</f>
        <v>-66666.666666666642</v>
      </c>
      <c r="B293">
        <f t="shared" si="12"/>
        <v>0</v>
      </c>
      <c r="C293">
        <f t="shared" si="13"/>
        <v>-66666.666666666642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ISPMT(0.00833333333333333,"",36,8000000)</f>
        <v>#VALUE!</v>
      </c>
      <c r="B294">
        <f t="shared" si="12"/>
        <v>3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cm="1">
        <f t="array" ref="A295">ISPMT(0.00833333333333333,FALSE,36,8000000)</f>
        <v>-66666.666666666642</v>
      </c>
      <c r="B295">
        <f t="shared" si="12"/>
        <v>0</v>
      </c>
      <c r="C295">
        <f t="shared" si="13"/>
        <v>-66666.666666666642</v>
      </c>
      <c r="D295" t="str">
        <f t="shared" si="14"/>
        <v/>
      </c>
      <c r="E295" t="s">
        <v>329</v>
      </c>
    </row>
    <row r="296" spans="1:5" x14ac:dyDescent="0.2">
      <c r="A296" t="e" cm="1">
        <f t="array" ref="A296">ISPMT(0.00833333333333333,1,,8000000)</f>
        <v>#DIV/0!</v>
      </c>
      <c r="B296">
        <f t="shared" si="12"/>
        <v>2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ISPMT(0.00833333333333333,1,0,8000000)</f>
        <v>#DIV/0!</v>
      </c>
      <c r="B297">
        <f t="shared" si="12"/>
        <v>2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ISPMT(0.00833333333333333,1,"",8000000)</f>
        <v>#VALUE!</v>
      </c>
      <c r="B298">
        <f t="shared" si="12"/>
        <v>3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ISPMT(0.00833333333333333,1,FALSE,8000000)</f>
        <v>#DIV/0!</v>
      </c>
      <c r="B299">
        <f t="shared" si="12"/>
        <v>2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cm="1">
        <f t="array" ref="A300">ISPMT(0.00833333333333333,1,36,)</f>
        <v>0</v>
      </c>
      <c r="B300">
        <f t="shared" si="12"/>
        <v>0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cm="1">
        <f t="array" ref="A301">ISPMT(0.00833333333333333,1,36,0)</f>
        <v>0</v>
      </c>
      <c r="B301">
        <f t="shared" si="12"/>
        <v>0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ISPMT(0.00833333333333333,1,36,"")</f>
        <v>#VALUE!</v>
      </c>
      <c r="B302">
        <f t="shared" si="12"/>
        <v>3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cm="1">
        <f t="array" ref="A303">ISPMT(0.00833333333333333,1,36,FALSE)</f>
        <v>0</v>
      </c>
      <c r="B303">
        <f t="shared" si="12"/>
        <v>0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cm="1">
        <f t="array" ref="A304">KURT(D!B1:B8)</f>
        <v>1.8461329296275348</v>
      </c>
      <c r="B304">
        <f t="shared" si="12"/>
        <v>0</v>
      </c>
      <c r="C304">
        <f t="shared" si="13"/>
        <v>1.8461329296275348</v>
      </c>
      <c r="D304" t="str">
        <f t="shared" si="14"/>
        <v/>
      </c>
      <c r="E304" t="s">
        <v>338</v>
      </c>
    </row>
    <row r="305" spans="1:5" x14ac:dyDescent="0.2">
      <c r="A305" cm="1">
        <f t="array" ref="A305">KURT(D!B1:B8,)</f>
        <v>1.8019140094260981</v>
      </c>
      <c r="B305">
        <f t="shared" si="12"/>
        <v>0</v>
      </c>
      <c r="C305">
        <f t="shared" si="13"/>
        <v>1.8019140094260981</v>
      </c>
      <c r="D305" t="str">
        <f t="shared" si="14"/>
        <v/>
      </c>
      <c r="E305" t="s">
        <v>339</v>
      </c>
    </row>
    <row r="306" spans="1:5" x14ac:dyDescent="0.2">
      <c r="A306" cm="1">
        <f t="array" ref="A306">KURT(D!B1:B8,0)</f>
        <v>1.8019140094260981</v>
      </c>
      <c r="B306">
        <f t="shared" si="12"/>
        <v>0</v>
      </c>
      <c r="C306">
        <f t="shared" si="13"/>
        <v>1.8019140094260981</v>
      </c>
      <c r="D306" t="str">
        <f t="shared" si="14"/>
        <v/>
      </c>
      <c r="E306" t="s">
        <v>340</v>
      </c>
    </row>
    <row r="307" spans="1:5" x14ac:dyDescent="0.2">
      <c r="A307" t="e" cm="1">
        <f t="array" ref="A307">KURT(D!B1:B8,"")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cm="1">
        <f t="array" ref="A308">KURT(D!B1:B8,FALSE)</f>
        <v>1.8019140094260981</v>
      </c>
      <c r="B308">
        <f t="shared" si="12"/>
        <v>0</v>
      </c>
      <c r="C308">
        <f t="shared" si="13"/>
        <v>1.8019140094260981</v>
      </c>
      <c r="D308" t="str">
        <f t="shared" si="14"/>
        <v/>
      </c>
      <c r="E308" t="s">
        <v>342</v>
      </c>
    </row>
    <row r="309" spans="1:5" x14ac:dyDescent="0.2">
      <c r="A309" t="e" cm="1">
        <f t="array" ref="A309">LARGE(,3)</f>
        <v>#NUM!</v>
      </c>
      <c r="B309">
        <f t="shared" si="12"/>
        <v>6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t="e" cm="1">
        <f t="array" ref="A310">LARGE(0,3)</f>
        <v>#NUM!</v>
      </c>
      <c r="B310">
        <f t="shared" si="12"/>
        <v>6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LARGE("",3)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e" cm="1">
        <f t="array" ref="A312">LARGE(FALSE,3)</f>
        <v>#NUM!</v>
      </c>
      <c r="B312">
        <f t="shared" si="12"/>
        <v>6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e" cm="1">
        <f t="array" ref="A313">LARGE(D!B1:B8,)</f>
        <v>#NUM!</v>
      </c>
      <c r="B313">
        <f t="shared" si="12"/>
        <v>6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LARGE(D!B1:B8,0)</f>
        <v>#NUM!</v>
      </c>
      <c r="B314">
        <f t="shared" si="12"/>
        <v>6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LARGE(D!B1:B8,"")</f>
        <v>#VALUE!</v>
      </c>
      <c r="B315">
        <f t="shared" si="12"/>
        <v>3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LARGE(D!B1:B8,FALSE)</f>
        <v>#NUM!</v>
      </c>
      <c r="B316">
        <f t="shared" si="12"/>
        <v>6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LCM(,2)</f>
        <v>#N/A</v>
      </c>
      <c r="B317">
        <f t="shared" si="12"/>
        <v>7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cm="1">
        <f t="array" ref="A318">LCM(0,2)</f>
        <v>0</v>
      </c>
      <c r="B318">
        <f t="shared" si="12"/>
        <v>0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e" cm="1">
        <f t="array" ref="A319">LCM("",2)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LCM(FALSE,2)</f>
        <v>#VALUE!</v>
      </c>
      <c r="B320">
        <f t="shared" si="12"/>
        <v>3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cm="1">
        <f t="array" ref="A321">LCM(5,)</f>
        <v>5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5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LCM(5,0)</f>
        <v>0</v>
      </c>
      <c r="B322">
        <f t="shared" si="15"/>
        <v>0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LCM(5,"")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e" cm="1">
        <f t="array" ref="A324">LCM(5,FALSE)</f>
        <v>#VALUE!</v>
      </c>
      <c r="B324">
        <f t="shared" si="15"/>
        <v>3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cm="1">
        <f t="array" ref="A325">LCM(5,2)</f>
        <v>10</v>
      </c>
      <c r="B325">
        <f t="shared" si="15"/>
        <v>0</v>
      </c>
      <c r="C325">
        <f t="shared" si="16"/>
        <v>10</v>
      </c>
      <c r="D325" t="str">
        <f t="shared" si="17"/>
        <v/>
      </c>
      <c r="E325" t="s">
        <v>359</v>
      </c>
    </row>
    <row r="326" spans="1:5" x14ac:dyDescent="0.2">
      <c r="A326" cm="1">
        <f t="array" ref="A326">LCM(5,2,)</f>
        <v>10</v>
      </c>
      <c r="B326">
        <f t="shared" si="15"/>
        <v>0</v>
      </c>
      <c r="C326">
        <f t="shared" si="16"/>
        <v>10</v>
      </c>
      <c r="D326" t="str">
        <f t="shared" si="17"/>
        <v/>
      </c>
      <c r="E326" t="s">
        <v>360</v>
      </c>
    </row>
    <row r="327" spans="1:5" x14ac:dyDescent="0.2">
      <c r="A327" cm="1">
        <f t="array" ref="A327">LCM(5,2,0)</f>
        <v>0</v>
      </c>
      <c r="B327">
        <f t="shared" si="15"/>
        <v>0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e" cm="1">
        <f t="array" ref="A328">LCM(5,2,"")</f>
        <v>#VALUE!</v>
      </c>
      <c r="B328">
        <f t="shared" si="15"/>
        <v>3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t="e" cm="1">
        <f t="array" ref="A329">LCM(5,2,FALSE)</f>
        <v>#VALUE!</v>
      </c>
      <c r="B329">
        <f t="shared" si="15"/>
        <v>3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str" cm="1">
        <f t="array" ref="A330">LEFT(,4)</f>
        <v/>
      </c>
      <c r="B330">
        <f t="shared" si="15"/>
        <v>-3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str" cm="1">
        <f t="array" ref="A331">LEFT(0,4)</f>
        <v>0</v>
      </c>
      <c r="B331">
        <f t="shared" si="15"/>
        <v>-3</v>
      </c>
      <c r="C331">
        <f t="shared" si="16"/>
        <v>0</v>
      </c>
      <c r="D331" t="str">
        <f t="shared" si="17"/>
        <v>0</v>
      </c>
      <c r="E331" t="s">
        <v>365</v>
      </c>
    </row>
    <row r="332" spans="1:5" x14ac:dyDescent="0.2">
      <c r="A332" t="str" cm="1">
        <f t="array" ref="A332">LEFT("",4)</f>
        <v/>
      </c>
      <c r="B332">
        <f t="shared" si="15"/>
        <v>-3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str" cm="1">
        <f t="array" ref="A333">LEFT(FALSE,4)</f>
        <v>FALS</v>
      </c>
      <c r="B333">
        <f t="shared" si="15"/>
        <v>-3</v>
      </c>
      <c r="C333">
        <f t="shared" si="16"/>
        <v>0</v>
      </c>
      <c r="D333" t="str">
        <f t="shared" si="17"/>
        <v>FALS</v>
      </c>
      <c r="E333" t="s">
        <v>367</v>
      </c>
    </row>
    <row r="334" spans="1:5" x14ac:dyDescent="0.2">
      <c r="A334" t="str" cm="1">
        <f t="array" ref="A334">LEFT("Sale Price",)</f>
        <v/>
      </c>
      <c r="B334">
        <f t="shared" si="15"/>
        <v>-3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t="str" cm="1">
        <f t="array" ref="A335">LEFT("Sale Price",0)</f>
        <v/>
      </c>
      <c r="B335">
        <f t="shared" si="15"/>
        <v>-3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t="e" cm="1">
        <f t="array" ref="A336">LEFT("Sale Price","")</f>
        <v>#VALUE!</v>
      </c>
      <c r="B336">
        <f t="shared" si="15"/>
        <v>3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str" cm="1">
        <f t="array" ref="A337">LEFT("Sale Price",FALSE)</f>
        <v/>
      </c>
      <c r="B337">
        <f t="shared" si="15"/>
        <v>-3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t="str" cm="1">
        <f t="array" ref="A338">LEFTB(,2)</f>
        <v/>
      </c>
      <c r="B338">
        <f t="shared" si="15"/>
        <v>-3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str" cm="1">
        <f t="array" ref="A339">LEFTB(0,2)</f>
        <v>0</v>
      </c>
      <c r="B339">
        <f t="shared" si="15"/>
        <v>-3</v>
      </c>
      <c r="C339">
        <f t="shared" si="16"/>
        <v>0</v>
      </c>
      <c r="D339" t="str">
        <f t="shared" si="17"/>
        <v>0</v>
      </c>
      <c r="E339" t="s">
        <v>373</v>
      </c>
    </row>
    <row r="340" spans="1:5" x14ac:dyDescent="0.2">
      <c r="A340" t="str" cm="1">
        <f t="array" ref="A340">LEFTB("",2)</f>
        <v/>
      </c>
      <c r="B340">
        <f t="shared" si="15"/>
        <v>-3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str" cm="1">
        <f t="array" ref="A341">LEFTB(FALSE,2)</f>
        <v>FA</v>
      </c>
      <c r="B341">
        <f t="shared" si="15"/>
        <v>-3</v>
      </c>
      <c r="C341">
        <f t="shared" si="16"/>
        <v>0</v>
      </c>
      <c r="D341" t="str">
        <f t="shared" si="17"/>
        <v>FA</v>
      </c>
      <c r="E341" t="s">
        <v>375</v>
      </c>
    </row>
    <row r="342" spans="1:5" x14ac:dyDescent="0.2">
      <c r="A342" t="str" cm="1">
        <f t="array" ref="A342">LEFTB("abc",)</f>
        <v/>
      </c>
      <c r="B342">
        <f t="shared" si="15"/>
        <v>-3</v>
      </c>
      <c r="C342">
        <f t="shared" si="16"/>
        <v>0</v>
      </c>
      <c r="D342" t="str">
        <f t="shared" si="17"/>
        <v/>
      </c>
      <c r="E342" t="s">
        <v>376</v>
      </c>
    </row>
    <row r="343" spans="1:5" x14ac:dyDescent="0.2">
      <c r="A343" t="str" cm="1">
        <f t="array" ref="A343">LEFTB("abc",0)</f>
        <v/>
      </c>
      <c r="B343">
        <f t="shared" si="15"/>
        <v>-3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t="e" cm="1">
        <f t="array" ref="A344">LEFTB("abc","")</f>
        <v>#VALUE!</v>
      </c>
      <c r="B344">
        <f t="shared" si="15"/>
        <v>3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t="str" cm="1">
        <f t="array" ref="A345">LEFTB("abc",FALSE)</f>
        <v/>
      </c>
      <c r="B345">
        <f t="shared" si="15"/>
        <v>-3</v>
      </c>
      <c r="C345">
        <f t="shared" si="16"/>
        <v>0</v>
      </c>
      <c r="D345" t="str">
        <f t="shared" si="17"/>
        <v/>
      </c>
      <c r="E345" t="s">
        <v>379</v>
      </c>
    </row>
    <row r="346" spans="1:5" x14ac:dyDescent="0.2">
      <c r="A346" cm="1">
        <f t="array" ref="A346">LOG(10)</f>
        <v>1</v>
      </c>
      <c r="B346">
        <f t="shared" si="15"/>
        <v>0</v>
      </c>
      <c r="C346">
        <f t="shared" si="16"/>
        <v>1</v>
      </c>
      <c r="D346" t="str">
        <f t="shared" si="17"/>
        <v/>
      </c>
      <c r="E346" t="s">
        <v>380</v>
      </c>
    </row>
    <row r="347" spans="1:5" x14ac:dyDescent="0.2">
      <c r="A347" t="e" cm="1">
        <f t="array" ref="A347">LOG(10,)</f>
        <v>#NUM!</v>
      </c>
      <c r="B347">
        <f t="shared" si="15"/>
        <v>6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e" cm="1">
        <f t="array" ref="A348">LOG(10,0)</f>
        <v>#NUM!</v>
      </c>
      <c r="B348">
        <f t="shared" si="15"/>
        <v>6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LOG(10,"")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e" cm="1">
        <f t="array" ref="A350">LOG(10,FALSE)</f>
        <v>#NUM!</v>
      </c>
      <c r="B350">
        <f t="shared" si="15"/>
        <v>6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t="e" cm="1">
        <f t="array" ref="A351">LOGINV(,3.5,1.2)</f>
        <v>#NUM!</v>
      </c>
      <c r="B351">
        <f t="shared" si="15"/>
        <v>6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LOGINV(0,3.5,1.2)</f>
        <v>#NUM!</v>
      </c>
      <c r="B352">
        <f t="shared" si="15"/>
        <v>6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LOGINV("",3.5,1.2)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LOGINV(FALSE,3.5,1.2)</f>
        <v>#NUM!</v>
      </c>
      <c r="B354">
        <f t="shared" si="15"/>
        <v>6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cm="1">
        <f t="array" ref="A355">LOGINV(0.039084,,1.2)</f>
        <v>0.12079029522744263</v>
      </c>
      <c r="B355">
        <f t="shared" si="15"/>
        <v>0</v>
      </c>
      <c r="C355">
        <f t="shared" si="16"/>
        <v>0.12079029522744263</v>
      </c>
      <c r="D355" t="str">
        <f t="shared" si="17"/>
        <v/>
      </c>
      <c r="E355" t="s">
        <v>389</v>
      </c>
    </row>
    <row r="356" spans="1:5" x14ac:dyDescent="0.2">
      <c r="A356" cm="1">
        <f t="array" ref="A356">LOGINV(0.039084,0,1.2)</f>
        <v>0.12079029522744263</v>
      </c>
      <c r="B356">
        <f t="shared" si="15"/>
        <v>0</v>
      </c>
      <c r="C356">
        <f t="shared" si="16"/>
        <v>0.12079029522744263</v>
      </c>
      <c r="D356" t="str">
        <f t="shared" si="17"/>
        <v/>
      </c>
      <c r="E356" t="s">
        <v>390</v>
      </c>
    </row>
    <row r="357" spans="1:5" x14ac:dyDescent="0.2">
      <c r="A357" t="e" cm="1">
        <f t="array" ref="A357">LOGINV(0.039084,"",1.2)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cm="1">
        <f t="array" ref="A358">LOGINV(0.039084,FALSE,1.2)</f>
        <v>0.12079029522744263</v>
      </c>
      <c r="B358">
        <f t="shared" si="15"/>
        <v>0</v>
      </c>
      <c r="C358">
        <f t="shared" si="16"/>
        <v>0.12079029522744263</v>
      </c>
      <c r="D358" t="str">
        <f t="shared" si="17"/>
        <v/>
      </c>
      <c r="E358" t="s">
        <v>392</v>
      </c>
    </row>
    <row r="359" spans="1:5" x14ac:dyDescent="0.2">
      <c r="A359" t="e" cm="1">
        <f t="array" ref="A359">LOGINV(0.039084,3.5,)</f>
        <v>#NUM!</v>
      </c>
      <c r="B359">
        <f t="shared" si="15"/>
        <v>6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e" cm="1">
        <f t="array" ref="A360">LOGINV(0.039084,3.5,0)</f>
        <v>#NUM!</v>
      </c>
      <c r="B360">
        <f t="shared" si="15"/>
        <v>6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t="e" cm="1">
        <f t="array" ref="A361">LOGINV(0.039084,3.5,"")</f>
        <v>#VALUE!</v>
      </c>
      <c r="B361">
        <f t="shared" si="15"/>
        <v>3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LOGINV(0.039084,3.5,FALSE)</f>
        <v>#NUM!</v>
      </c>
      <c r="B362">
        <f t="shared" si="15"/>
        <v>6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e" cm="1">
        <f t="array" ref="A363">_xlfn.LOGNORM.DIST(,3.5,1.2,TRUE)</f>
        <v>#NUM!</v>
      </c>
      <c r="B363">
        <f t="shared" si="15"/>
        <v>6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e" cm="1">
        <f t="array" ref="A364">_xlfn.LOGNORM.DIST(0,3.5,1.2,TRUE)</f>
        <v>#NUM!</v>
      </c>
      <c r="B364">
        <f t="shared" si="15"/>
        <v>6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e" cm="1">
        <f t="array" ref="A365">_xlfn.LOGNORM.DIST("",3.5,1.2,TRUE)</f>
        <v>#VALUE!</v>
      </c>
      <c r="B365">
        <f t="shared" si="15"/>
        <v>3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t="e" cm="1">
        <f t="array" ref="A366">_xlfn.LOGNORM.DIST(FALSE,3.5,1.2,TRUE)</f>
        <v>#NUM!</v>
      </c>
      <c r="B366">
        <f t="shared" si="15"/>
        <v>6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cm="1">
        <f t="array" ref="A367">_xlfn.LOGNORM.DIST(4,,1.2,TRUE)</f>
        <v>0.87600500574713647</v>
      </c>
      <c r="B367">
        <f t="shared" si="15"/>
        <v>0</v>
      </c>
      <c r="C367">
        <f t="shared" si="16"/>
        <v>0.87600500574713647</v>
      </c>
      <c r="D367" t="str">
        <f t="shared" si="17"/>
        <v/>
      </c>
      <c r="E367" t="s">
        <v>401</v>
      </c>
    </row>
    <row r="368" spans="1:5" x14ac:dyDescent="0.2">
      <c r="A368" cm="1">
        <f t="array" ref="A368">_xlfn.LOGNORM.DIST(4,0,1.2,TRUE)</f>
        <v>0.87600500574713647</v>
      </c>
      <c r="B368">
        <f t="shared" si="15"/>
        <v>0</v>
      </c>
      <c r="C368">
        <f t="shared" si="16"/>
        <v>0.87600500574713647</v>
      </c>
      <c r="D368" t="str">
        <f t="shared" si="17"/>
        <v/>
      </c>
      <c r="E368" t="s">
        <v>402</v>
      </c>
    </row>
    <row r="369" spans="1:5" x14ac:dyDescent="0.2">
      <c r="A369" t="e" cm="1">
        <f t="array" ref="A369">_xlfn.LOGNORM.DIST(4,"",1.2,TRUE)</f>
        <v>#VALUE!</v>
      </c>
      <c r="B369">
        <f t="shared" si="15"/>
        <v>3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cm="1">
        <f t="array" ref="A370">_xlfn.LOGNORM.DIST(4,FALSE,1.2,TRUE)</f>
        <v>0.87600500574713647</v>
      </c>
      <c r="B370">
        <f t="shared" si="15"/>
        <v>0</v>
      </c>
      <c r="C370">
        <f t="shared" si="16"/>
        <v>0.87600500574713647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_xlfn.LOGNORM.DIST(4,3.5,,TRUE)</f>
        <v>#NUM!</v>
      </c>
      <c r="B371">
        <f t="shared" si="15"/>
        <v>6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e" cm="1">
        <f t="array" ref="A372">_xlfn.LOGNORM.DIST(4,3.5,0,TRUE)</f>
        <v>#NUM!</v>
      </c>
      <c r="B372">
        <f t="shared" si="15"/>
        <v>6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t="e" cm="1">
        <f t="array" ref="A373">_xlfn.LOGNORM.DIST(4,3.5,"",TRUE)</f>
        <v>#VALUE!</v>
      </c>
      <c r="B373">
        <f t="shared" si="15"/>
        <v>3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t="e" cm="1">
        <f t="array" ref="A374">_xlfn.LOGNORM.DIST(4,3.5,FALSE,TRUE)</f>
        <v>#NUM!</v>
      </c>
      <c r="B374">
        <f t="shared" si="15"/>
        <v>6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cm="1">
        <f t="array" ref="A375">_xlfn.LOGNORM.DIST(4,3.5,1.2,)</f>
        <v>1.7617596681819218E-2</v>
      </c>
      <c r="B375">
        <f t="shared" si="15"/>
        <v>0</v>
      </c>
      <c r="C375">
        <f t="shared" si="16"/>
        <v>1.7617596681819218E-2</v>
      </c>
      <c r="D375" t="str">
        <f t="shared" si="17"/>
        <v/>
      </c>
      <c r="E375" t="s">
        <v>409</v>
      </c>
    </row>
    <row r="376" spans="1:5" x14ac:dyDescent="0.2">
      <c r="A376" cm="1">
        <f t="array" ref="A376">_xlfn.LOGNORM.DIST(4,3.5,1.2,0)</f>
        <v>1.7617596681819218E-2</v>
      </c>
      <c r="B376">
        <f t="shared" si="15"/>
        <v>0</v>
      </c>
      <c r="C376">
        <f t="shared" si="16"/>
        <v>1.7617596681819218E-2</v>
      </c>
      <c r="D376" t="str">
        <f t="shared" si="17"/>
        <v/>
      </c>
      <c r="E376" t="s">
        <v>410</v>
      </c>
    </row>
    <row r="377" spans="1:5" x14ac:dyDescent="0.2">
      <c r="A377" t="e" cm="1">
        <f t="array" ref="A377">_xlfn.LOGNORM.DIST(4,3.5,1.2,"")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cm="1">
        <f t="array" ref="A378">_xlfn.LOGNORM.DIST(4,3.5,1.2,FALSE)</f>
        <v>1.7617596681819218E-2</v>
      </c>
      <c r="B378">
        <f t="shared" si="15"/>
        <v>0</v>
      </c>
      <c r="C378">
        <f t="shared" si="16"/>
        <v>1.7617596681819218E-2</v>
      </c>
      <c r="D378" t="str">
        <f t="shared" si="17"/>
        <v/>
      </c>
      <c r="E378" t="s">
        <v>412</v>
      </c>
    </row>
    <row r="379" spans="1:5" x14ac:dyDescent="0.2">
      <c r="A379" t="e" cm="1">
        <f t="array" ref="A379">_xlfn.LOGNORM.INV(,3.5,1.2)</f>
        <v>#NUM!</v>
      </c>
      <c r="B379">
        <f t="shared" si="15"/>
        <v>6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t="e" cm="1">
        <f t="array" ref="A380">_xlfn.LOGNORM.INV(0,3.5,1.2)</f>
        <v>#NUM!</v>
      </c>
      <c r="B380">
        <f t="shared" si="15"/>
        <v>6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e" cm="1">
        <f t="array" ref="A381">_xlfn.LOGNORM.INV("",3.5,1.2)</f>
        <v>#VALUE!</v>
      </c>
      <c r="B381">
        <f t="shared" si="15"/>
        <v>3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_xlfn.LOGNORM.INV(FALSE,3.5,1.2)</f>
        <v>#NUM!</v>
      </c>
      <c r="B382">
        <f t="shared" si="15"/>
        <v>6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cm="1">
        <f t="array" ref="A383">_xlfn.LOGNORM.INV(0.039084,,1.2)</f>
        <v>0.12079029522744263</v>
      </c>
      <c r="B383">
        <f t="shared" si="15"/>
        <v>0</v>
      </c>
      <c r="C383">
        <f t="shared" si="16"/>
        <v>0.12079029522744263</v>
      </c>
      <c r="D383" t="str">
        <f t="shared" si="17"/>
        <v/>
      </c>
      <c r="E383" t="s">
        <v>417</v>
      </c>
    </row>
    <row r="384" spans="1:5" x14ac:dyDescent="0.2">
      <c r="A384" cm="1">
        <f t="array" ref="A384">_xlfn.LOGNORM.INV(0.039084,0,1.2)</f>
        <v>0.12079029522744263</v>
      </c>
      <c r="B384">
        <f t="shared" si="15"/>
        <v>0</v>
      </c>
      <c r="C384">
        <f t="shared" si="16"/>
        <v>0.12079029522744263</v>
      </c>
      <c r="D384" t="str">
        <f t="shared" si="17"/>
        <v/>
      </c>
      <c r="E384" t="s">
        <v>418</v>
      </c>
    </row>
    <row r="385" spans="1:5" x14ac:dyDescent="0.2">
      <c r="A385" t="e" cm="1">
        <f t="array" ref="A385">_xlfn.LOGNORM.INV(0.039084,"",1.2)</f>
        <v>#VALUE!</v>
      </c>
      <c r="B385">
        <f t="shared" ref="B385:B448" si="18">IF(ISERROR(A385),ERROR.TYPE(A385),IF(ISNUMBER(A385),0,IF(ISLOGICAL(A385),IF(A385,-1,-2),IF(ISTEXT(A385),-3,-4))))</f>
        <v>3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_xlfn.LOGNORM.INV(0.039084,FALSE,1.2)</f>
        <v>0.12079029522744263</v>
      </c>
      <c r="B386">
        <f t="shared" si="18"/>
        <v>0</v>
      </c>
      <c r="C386">
        <f t="shared" si="19"/>
        <v>0.12079029522744263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_xlfn.LOGNORM.INV(0.039084,3.5,)</f>
        <v>#NUM!</v>
      </c>
      <c r="B387">
        <f t="shared" si="18"/>
        <v>6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>
        <f t="array" ref="A388">_xlfn.LOGNORM.INV(0.039084,3.5,0)</f>
        <v>#NUM!</v>
      </c>
      <c r="B388">
        <f t="shared" si="18"/>
        <v>6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e" cm="1">
        <f t="array" ref="A389">_xlfn.LOGNORM.INV(0.039084,3.5,"")</f>
        <v>#VALUE!</v>
      </c>
      <c r="B389">
        <f t="shared" si="18"/>
        <v>3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t="e" cm="1">
        <f t="array" ref="A390">_xlfn.LOGNORM.INV(0.039084,3.5,FALSE)</f>
        <v>#NUM!</v>
      </c>
      <c r="B390">
        <f t="shared" si="18"/>
        <v>6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t="e" cm="1">
        <f t="array" ref="A391">LOGNORMDIST(,3.5,1.2)</f>
        <v>#NUM!</v>
      </c>
      <c r="B391">
        <f t="shared" si="18"/>
        <v>6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LOGNORMDIST(0,3.5,1.2)</f>
        <v>#NUM!</v>
      </c>
      <c r="B392">
        <f t="shared" si="18"/>
        <v>6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e" cm="1">
        <f t="array" ref="A393">LOGNORMDIST("",3.5,1.2)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t="e" cm="1">
        <f t="array" ref="A394">LOGNORMDIST(FALSE,3.5,1.2)</f>
        <v>#NUM!</v>
      </c>
      <c r="B394">
        <f t="shared" si="18"/>
        <v>6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cm="1">
        <f t="array" ref="A395">LOGNORMDIST(4,,1.2)</f>
        <v>0.87600500574713647</v>
      </c>
      <c r="B395">
        <f t="shared" si="18"/>
        <v>0</v>
      </c>
      <c r="C395">
        <f t="shared" si="19"/>
        <v>0.87600500574713647</v>
      </c>
      <c r="D395" t="str">
        <f t="shared" si="20"/>
        <v/>
      </c>
      <c r="E395" t="s">
        <v>429</v>
      </c>
    </row>
    <row r="396" spans="1:5" x14ac:dyDescent="0.2">
      <c r="A396" cm="1">
        <f t="array" ref="A396">LOGNORMDIST(4,0,1.2)</f>
        <v>0.87600500574713647</v>
      </c>
      <c r="B396">
        <f t="shared" si="18"/>
        <v>0</v>
      </c>
      <c r="C396">
        <f t="shared" si="19"/>
        <v>0.87600500574713647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LOGNORMDIST(4,"",1.2)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cm="1">
        <f t="array" ref="A398">LOGNORMDIST(4,FALSE,1.2)</f>
        <v>0.87600500574713647</v>
      </c>
      <c r="B398">
        <f t="shared" si="18"/>
        <v>0</v>
      </c>
      <c r="C398">
        <f t="shared" si="19"/>
        <v>0.87600500574713647</v>
      </c>
      <c r="D398" t="str">
        <f t="shared" si="20"/>
        <v/>
      </c>
      <c r="E398" t="s">
        <v>432</v>
      </c>
    </row>
    <row r="399" spans="1:5" x14ac:dyDescent="0.2">
      <c r="A399" t="e" cm="1">
        <f t="array" ref="A399">LOGNORMDIST(4,3.5,)</f>
        <v>#NUM!</v>
      </c>
      <c r="B399">
        <f t="shared" si="18"/>
        <v>6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LOGNORMDIST(4,3.5,0)</f>
        <v>#NUM!</v>
      </c>
      <c r="B400">
        <f t="shared" si="18"/>
        <v>6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2026-10-07T05:16:17Z</dcterms:created>
  <dcterms:modified xsi:type="dcterms:W3CDTF">2026-10-07T05:16:18Z</dcterms:modified>
  <cp:category/>
</cp:coreProperties>
</file>