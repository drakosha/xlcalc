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510C0EA-BB34-C74A-AFAD-CF9DED33482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D399" i="2" s="1"/>
  <c r="A398" i="2" a="1"/>
  <c r="A398" i="2" s="1"/>
  <c r="A397" i="2" a="1"/>
  <c r="A397" i="2" s="1"/>
  <c r="D397" i="2" s="1"/>
  <c r="A396" i="2" a="1"/>
  <c r="A396" i="2" s="1"/>
  <c r="A395" i="2" a="1"/>
  <c r="A395" i="2" s="1"/>
  <c r="A394" i="2" a="1"/>
  <c r="A394" i="2"/>
  <c r="C394" i="2" s="1"/>
  <c r="A393" i="2" a="1"/>
  <c r="A393" i="2"/>
  <c r="A392" i="2" a="1"/>
  <c r="A392" i="2"/>
  <c r="A391" i="2" a="1"/>
  <c r="A391" i="2" s="1"/>
  <c r="A390" i="2" a="1"/>
  <c r="A390" i="2" s="1"/>
  <c r="D390" i="2" s="1"/>
  <c r="A389" i="2" a="1"/>
  <c r="A389" i="2" s="1"/>
  <c r="A388" i="2" a="1"/>
  <c r="A388" i="2" s="1"/>
  <c r="D388" i="2" s="1"/>
  <c r="A387" i="2" a="1"/>
  <c r="A387" i="2" s="1"/>
  <c r="D387" i="2" s="1"/>
  <c r="A386" i="2" a="1"/>
  <c r="A386" i="2"/>
  <c r="B386" i="2" s="1"/>
  <c r="A385" i="2" a="1"/>
  <c r="A385" i="2"/>
  <c r="D385" i="2" s="1"/>
  <c r="A384" i="2" a="1"/>
  <c r="A384" i="2"/>
  <c r="B384" i="2" s="1"/>
  <c r="A383" i="2" a="1"/>
  <c r="A383" i="2" s="1"/>
  <c r="D383" i="2" s="1"/>
  <c r="A382" i="2" a="1"/>
  <c r="A382" i="2"/>
  <c r="A381" i="2" a="1"/>
  <c r="A381" i="2" s="1"/>
  <c r="A380" i="2" a="1"/>
  <c r="A380" i="2"/>
  <c r="D380" i="2" s="1"/>
  <c r="A379" i="2" a="1"/>
  <c r="A379" i="2" s="1"/>
  <c r="B379" i="2" s="1"/>
  <c r="A378" i="2" a="1"/>
  <c r="A378" i="2" s="1"/>
  <c r="D378" i="2" s="1"/>
  <c r="A377" i="2" a="1"/>
  <c r="A377" i="2"/>
  <c r="D377" i="2" s="1"/>
  <c r="A376" i="2" a="1"/>
  <c r="A376" i="2"/>
  <c r="D376" i="2" s="1"/>
  <c r="A375" i="2" a="1"/>
  <c r="A375" i="2"/>
  <c r="D375" i="2" s="1"/>
  <c r="A374" i="2" a="1"/>
  <c r="A374" i="2"/>
  <c r="D374" i="2" s="1"/>
  <c r="A373" i="2" a="1"/>
  <c r="A373" i="2" s="1"/>
  <c r="A372" i="2" a="1"/>
  <c r="A372" i="2" s="1"/>
  <c r="D372" i="2" s="1"/>
  <c r="A371" i="2" a="1"/>
  <c r="A371" i="2"/>
  <c r="B371" i="2" s="1"/>
  <c r="A370" i="2" a="1"/>
  <c r="A370" i="2" s="1"/>
  <c r="C370" i="2" s="1"/>
  <c r="A369" i="2" a="1"/>
  <c r="A369" i="2" s="1"/>
  <c r="A368" i="2" a="1"/>
  <c r="A368" i="2"/>
  <c r="B368" i="2" s="1"/>
  <c r="A367" i="2" a="1"/>
  <c r="A367" i="2"/>
  <c r="D367" i="2" s="1"/>
  <c r="A366" i="2" a="1"/>
  <c r="A366" i="2" s="1"/>
  <c r="A365" i="2" a="1"/>
  <c r="A365" i="2" s="1"/>
  <c r="A364" i="2" a="1"/>
  <c r="A364" i="2" s="1"/>
  <c r="A363" i="2" a="1"/>
  <c r="A363" i="2"/>
  <c r="D363" i="2" s="1"/>
  <c r="A362" i="2" a="1"/>
  <c r="A362" i="2" s="1"/>
  <c r="A361" i="2" a="1"/>
  <c r="A361" i="2" s="1"/>
  <c r="D361" i="2" s="1"/>
  <c r="A360" i="2" a="1"/>
  <c r="A360" i="2"/>
  <c r="D360" i="2" s="1"/>
  <c r="A359" i="2" a="1"/>
  <c r="A359" i="2"/>
  <c r="D359" i="2" s="1"/>
  <c r="A358" i="2" a="1"/>
  <c r="A358" i="2" s="1"/>
  <c r="A357" i="2" a="1"/>
  <c r="A357" i="2" s="1"/>
  <c r="A356" i="2" a="1"/>
  <c r="A356" i="2"/>
  <c r="D356" i="2" s="1"/>
  <c r="A355" i="2" a="1"/>
  <c r="A355" i="2"/>
  <c r="C355" i="2" s="1"/>
  <c r="A354" i="2" a="1"/>
  <c r="A354" i="2" s="1"/>
  <c r="D354" i="2" s="1"/>
  <c r="A353" i="2" a="1"/>
  <c r="A353" i="2" s="1"/>
  <c r="B353" i="2" s="1"/>
  <c r="A352" i="2" a="1"/>
  <c r="A352" i="2" s="1"/>
  <c r="D352" i="2" s="1"/>
  <c r="A351" i="2" a="1"/>
  <c r="A351" i="2" s="1"/>
  <c r="A350" i="2" a="1"/>
  <c r="A350" i="2"/>
  <c r="B350" i="2" s="1"/>
  <c r="A349" i="2" a="1"/>
  <c r="A349" i="2"/>
  <c r="D349" i="2" s="1"/>
  <c r="A348" i="2" a="1"/>
  <c r="A348" i="2" s="1"/>
  <c r="A347" i="2" a="1"/>
  <c r="A347" i="2"/>
  <c r="D347" i="2" s="1"/>
  <c r="A346" i="2" a="1"/>
  <c r="A346" i="2"/>
  <c r="A345" i="2" a="1"/>
  <c r="A345" i="2"/>
  <c r="D345" i="2" s="1"/>
  <c r="A344" i="2" a="1"/>
  <c r="A344" i="2"/>
  <c r="D344" i="2" s="1"/>
  <c r="A343" i="2" a="1"/>
  <c r="A343" i="2" s="1"/>
  <c r="D343" i="2" s="1"/>
  <c r="A342" i="2" a="1"/>
  <c r="A342" i="2" s="1"/>
  <c r="A341" i="2" a="1"/>
  <c r="A341" i="2" s="1"/>
  <c r="D341" i="2" s="1"/>
  <c r="A340" i="2" a="1"/>
  <c r="A340" i="2"/>
  <c r="C340" i="2" s="1"/>
  <c r="A339" i="2" a="1"/>
  <c r="A339" i="2"/>
  <c r="A338" i="2" a="1"/>
  <c r="A338" i="2" s="1"/>
  <c r="A337" i="2" a="1"/>
  <c r="A337" i="2" s="1"/>
  <c r="C337" i="2" s="1"/>
  <c r="A336" i="2" a="1"/>
  <c r="A336" i="2" s="1"/>
  <c r="B336" i="2" s="1"/>
  <c r="A335" i="2" a="1"/>
  <c r="A335" i="2"/>
  <c r="A334" i="2" a="1"/>
  <c r="A334" i="2" s="1"/>
  <c r="D334" i="2" s="1"/>
  <c r="A333" i="2" a="1"/>
  <c r="A333" i="2" s="1"/>
  <c r="D332" i="2"/>
  <c r="C332" i="2"/>
  <c r="A332" i="2" a="1"/>
  <c r="A332" i="2"/>
  <c r="B332" i="2" s="1"/>
  <c r="A331" i="2" a="1"/>
  <c r="A331" i="2"/>
  <c r="D331" i="2" s="1"/>
  <c r="A330" i="2" a="1"/>
  <c r="A330" i="2"/>
  <c r="B330" i="2" s="1"/>
  <c r="A329" i="2" a="1"/>
  <c r="A329" i="2" s="1"/>
  <c r="A328" i="2" a="1"/>
  <c r="A328" i="2" s="1"/>
  <c r="A327" i="2" a="1"/>
  <c r="A327" i="2" s="1"/>
  <c r="A326" i="2" a="1"/>
  <c r="A326" i="2" s="1"/>
  <c r="D326" i="2" s="1"/>
  <c r="A325" i="2" a="1"/>
  <c r="A325" i="2" s="1"/>
  <c r="D325" i="2" s="1"/>
  <c r="A324" i="2" a="1"/>
  <c r="A324" i="2"/>
  <c r="D324" i="2" s="1"/>
  <c r="D323" i="2"/>
  <c r="C323" i="2"/>
  <c r="A323" i="2" a="1"/>
  <c r="A323" i="2"/>
  <c r="B323" i="2" s="1"/>
  <c r="A322" i="2" a="1"/>
  <c r="A322" i="2"/>
  <c r="D322" i="2" s="1"/>
  <c r="A321" i="2" a="1"/>
  <c r="A321" i="2"/>
  <c r="A320" i="2" a="1"/>
  <c r="A320" i="2" s="1"/>
  <c r="D320" i="2" s="1"/>
  <c r="A319" i="2" a="1"/>
  <c r="A319" i="2" s="1"/>
  <c r="A318" i="2" a="1"/>
  <c r="A318" i="2" s="1"/>
  <c r="D318" i="2" s="1"/>
  <c r="A317" i="2" a="1"/>
  <c r="A317" i="2" s="1"/>
  <c r="A316" i="2" a="1"/>
  <c r="A316" i="2" s="1"/>
  <c r="C316" i="2" s="1"/>
  <c r="A315" i="2" a="1"/>
  <c r="A315" i="2"/>
  <c r="D315" i="2" s="1"/>
  <c r="A314" i="2" a="1"/>
  <c r="A314" i="2"/>
  <c r="D314" i="2" s="1"/>
  <c r="A313" i="2" a="1"/>
  <c r="A313" i="2"/>
  <c r="D313" i="2" s="1"/>
  <c r="A312" i="2" a="1"/>
  <c r="A312" i="2"/>
  <c r="B312" i="2" s="1"/>
  <c r="A311" i="2" a="1"/>
  <c r="A311" i="2"/>
  <c r="D311" i="2" s="1"/>
  <c r="A310" i="2" a="1"/>
  <c r="A310" i="2" s="1"/>
  <c r="A309" i="2" a="1"/>
  <c r="A309" i="2"/>
  <c r="D309" i="2" s="1"/>
  <c r="A308" i="2" a="1"/>
  <c r="A308" i="2"/>
  <c r="D308" i="2" s="1"/>
  <c r="A307" i="2" a="1"/>
  <c r="A307" i="2" s="1"/>
  <c r="D307" i="2" s="1"/>
  <c r="A306" i="2" a="1"/>
  <c r="A306" i="2" s="1"/>
  <c r="A305" i="2" a="1"/>
  <c r="A305" i="2"/>
  <c r="D305" i="2" s="1"/>
  <c r="A304" i="2" a="1"/>
  <c r="A304" i="2" s="1"/>
  <c r="A303" i="2" a="1"/>
  <c r="A303" i="2"/>
  <c r="A302" i="2" a="1"/>
  <c r="A302" i="2" s="1"/>
  <c r="A301" i="2" a="1"/>
  <c r="A301" i="2"/>
  <c r="C301" i="2" s="1"/>
  <c r="A300" i="2" a="1"/>
  <c r="A300" i="2" s="1"/>
  <c r="D300" i="2" s="1"/>
  <c r="A299" i="2" a="1"/>
  <c r="A299" i="2" s="1"/>
  <c r="A298" i="2" a="1"/>
  <c r="A298" i="2" s="1"/>
  <c r="D298" i="2" s="1"/>
  <c r="A297" i="2" a="1"/>
  <c r="A297" i="2" s="1"/>
  <c r="A296" i="2" a="1"/>
  <c r="A296" i="2"/>
  <c r="B296" i="2" s="1"/>
  <c r="A295" i="2" a="1"/>
  <c r="A295" i="2" s="1"/>
  <c r="A286" i="2" a="1"/>
  <c r="A286" i="2" s="1"/>
  <c r="A285" i="2" a="1"/>
  <c r="A285" i="2"/>
  <c r="A284" i="2" a="1"/>
  <c r="A284" i="2" s="1"/>
  <c r="A283" i="2" a="1"/>
  <c r="A283" i="2" s="1"/>
  <c r="A282" i="2" a="1"/>
  <c r="A282" i="2" s="1"/>
  <c r="D282" i="2" s="1"/>
  <c r="A281" i="2" a="1"/>
  <c r="A281" i="2" s="1"/>
  <c r="A280" i="2" a="1"/>
  <c r="A280" i="2" s="1"/>
  <c r="B280" i="2" s="1"/>
  <c r="A279" i="2" a="1"/>
  <c r="A279" i="2" s="1"/>
  <c r="A278" i="2" a="1"/>
  <c r="A278" i="2"/>
  <c r="D278" i="2" s="1"/>
  <c r="A277" i="2" a="1"/>
  <c r="A277" i="2"/>
  <c r="D277" i="2" s="1"/>
  <c r="A276" i="2" a="1"/>
  <c r="A276" i="2" s="1"/>
  <c r="D275" i="2"/>
  <c r="A275" i="2" a="1"/>
  <c r="A275" i="2"/>
  <c r="C275" i="2" s="1"/>
  <c r="A274" i="2" a="1"/>
  <c r="A274" i="2"/>
  <c r="A273" i="2" a="1"/>
  <c r="A273" i="2" s="1"/>
  <c r="A272" i="2" a="1"/>
  <c r="A272" i="2"/>
  <c r="D272" i="2" s="1"/>
  <c r="D271" i="2"/>
  <c r="A271" i="2" a="1"/>
  <c r="A271" i="2" s="1"/>
  <c r="C271" i="2" s="1"/>
  <c r="A270" i="2" a="1"/>
  <c r="A270" i="2" s="1"/>
  <c r="A269" i="2" a="1"/>
  <c r="A269" i="2"/>
  <c r="D269" i="2" s="1"/>
  <c r="A268" i="2" a="1"/>
  <c r="A268" i="2"/>
  <c r="D268" i="2" s="1"/>
  <c r="A267" i="2" a="1"/>
  <c r="A267" i="2" s="1"/>
  <c r="D267" i="2" s="1"/>
  <c r="A266" i="2" a="1"/>
  <c r="A266" i="2" s="1"/>
  <c r="A265" i="2" a="1"/>
  <c r="A265" i="2" s="1"/>
  <c r="A264" i="2" a="1"/>
  <c r="A264" i="2" s="1"/>
  <c r="D264" i="2" s="1"/>
  <c r="A263" i="2" a="1"/>
  <c r="A263" i="2"/>
  <c r="B263" i="2" s="1"/>
  <c r="A262" i="2" a="1"/>
  <c r="A262" i="2" s="1"/>
  <c r="D262" i="2" s="1"/>
  <c r="A261" i="2" a="1"/>
  <c r="A261" i="2" s="1"/>
  <c r="D261" i="2" s="1"/>
  <c r="A260" i="2" a="1"/>
  <c r="A260" i="2" s="1"/>
  <c r="B260" i="2" s="1"/>
  <c r="A259" i="2" a="1"/>
  <c r="A259" i="2" s="1"/>
  <c r="D259" i="2" s="1"/>
  <c r="A258" i="2" a="1"/>
  <c r="A258" i="2" s="1"/>
  <c r="A257" i="2" a="1"/>
  <c r="A257" i="2" s="1"/>
  <c r="A256" i="2" a="1"/>
  <c r="A256" i="2"/>
  <c r="A255" i="2" a="1"/>
  <c r="A255" i="2" s="1"/>
  <c r="D255" i="2" s="1"/>
  <c r="A254" i="2" a="1"/>
  <c r="A254" i="2" s="1"/>
  <c r="A253" i="2" a="1"/>
  <c r="A253" i="2" s="1"/>
  <c r="C253" i="2" s="1"/>
  <c r="A252" i="2" a="1"/>
  <c r="A252" i="2"/>
  <c r="D252" i="2" s="1"/>
  <c r="A251" i="2" a="1"/>
  <c r="A251" i="2"/>
  <c r="C251" i="2" s="1"/>
  <c r="A250" i="2" a="1"/>
  <c r="A250" i="2" s="1"/>
  <c r="A249" i="2" a="1"/>
  <c r="A249" i="2"/>
  <c r="A248" i="2" a="1"/>
  <c r="A248" i="2"/>
  <c r="D248" i="2" s="1"/>
  <c r="A247" i="2" a="1"/>
  <c r="A247" i="2" s="1"/>
  <c r="A246" i="2" a="1"/>
  <c r="A246" i="2" s="1"/>
  <c r="D246" i="2" s="1"/>
  <c r="A245" i="2" a="1"/>
  <c r="A245" i="2"/>
  <c r="B245" i="2" s="1"/>
  <c r="A244" i="2" a="1"/>
  <c r="A244" i="2" s="1"/>
  <c r="D244" i="2" s="1"/>
  <c r="A243" i="2" a="1"/>
  <c r="A243" i="2" s="1"/>
  <c r="D242" i="2"/>
  <c r="A242" i="2" a="1"/>
  <c r="A242" i="2" s="1"/>
  <c r="B242" i="2" s="1"/>
  <c r="A241" i="2" a="1"/>
  <c r="A241" i="2" s="1"/>
  <c r="A240" i="2" a="1"/>
  <c r="A240" i="2" s="1"/>
  <c r="A239" i="2" a="1"/>
  <c r="A239" i="2"/>
  <c r="D239" i="2" s="1"/>
  <c r="A238" i="2" a="1"/>
  <c r="A238" i="2"/>
  <c r="A237" i="2" a="1"/>
  <c r="A237" i="2"/>
  <c r="D237" i="2" s="1"/>
  <c r="A236" i="2" a="1"/>
  <c r="A236" i="2" s="1"/>
  <c r="A235" i="2" a="1"/>
  <c r="A235" i="2" s="1"/>
  <c r="D235" i="2" s="1"/>
  <c r="A234" i="2" a="1"/>
  <c r="A234" i="2" s="1"/>
  <c r="A233" i="2" a="1"/>
  <c r="A233" i="2"/>
  <c r="D233" i="2" s="1"/>
  <c r="A232" i="2" a="1"/>
  <c r="A232" i="2" s="1"/>
  <c r="A231" i="2" a="1"/>
  <c r="A231" i="2" s="1"/>
  <c r="D231" i="2" s="1"/>
  <c r="A230" i="2" a="1"/>
  <c r="A230" i="2" s="1"/>
  <c r="A229" i="2" a="1"/>
  <c r="A229" i="2" s="1"/>
  <c r="C229" i="2" s="1"/>
  <c r="A228" i="2" a="1"/>
  <c r="A228" i="2" s="1"/>
  <c r="D228" i="2" s="1"/>
  <c r="A227" i="2" a="1"/>
  <c r="A227" i="2"/>
  <c r="A226" i="2" a="1"/>
  <c r="A226" i="2" s="1"/>
  <c r="D226" i="2" s="1"/>
  <c r="A225" i="2" a="1"/>
  <c r="A225" i="2" s="1"/>
  <c r="A224" i="2" a="1"/>
  <c r="A224" i="2" s="1"/>
  <c r="B224" i="2" s="1"/>
  <c r="A223" i="2" a="1"/>
  <c r="A223" i="2" s="1"/>
  <c r="A222" i="2" a="1"/>
  <c r="A222" i="2"/>
  <c r="B222" i="2" s="1"/>
  <c r="C221" i="2"/>
  <c r="A221" i="2" a="1"/>
  <c r="A221" i="2"/>
  <c r="D221" i="2" s="1"/>
  <c r="A220" i="2" a="1"/>
  <c r="A220" i="2" s="1"/>
  <c r="A219" i="2" a="1"/>
  <c r="A219" i="2" s="1"/>
  <c r="A218" i="2" a="1"/>
  <c r="A218" i="2" s="1"/>
  <c r="A217" i="2" a="1"/>
  <c r="A217" i="2" s="1"/>
  <c r="D217" i="2" s="1"/>
  <c r="A216" i="2" a="1"/>
  <c r="A216" i="2" s="1"/>
  <c r="A215" i="2" a="1"/>
  <c r="A215" i="2"/>
  <c r="C215" i="2" s="1"/>
  <c r="A214" i="2" a="1"/>
  <c r="A214" i="2" s="1"/>
  <c r="A213" i="2" a="1"/>
  <c r="A213" i="2"/>
  <c r="A212" i="2" a="1"/>
  <c r="A212" i="2" s="1"/>
  <c r="A211" i="2" a="1"/>
  <c r="A211" i="2"/>
  <c r="C211" i="2" s="1"/>
  <c r="B210" i="2"/>
  <c r="A210" i="2" a="1"/>
  <c r="A210" i="2" s="1"/>
  <c r="D210" i="2" s="1"/>
  <c r="A209" i="2" a="1"/>
  <c r="A209" i="2"/>
  <c r="B209" i="2" s="1"/>
  <c r="A208" i="2" a="1"/>
  <c r="A208" i="2" s="1"/>
  <c r="C208" i="2" s="1"/>
  <c r="A207" i="2" a="1"/>
  <c r="A207" i="2" s="1"/>
  <c r="D207" i="2" s="1"/>
  <c r="A206" i="2" a="1"/>
  <c r="A206" i="2" s="1"/>
  <c r="B206" i="2" s="1"/>
  <c r="A205" i="2" a="1"/>
  <c r="A205" i="2" s="1"/>
  <c r="A204" i="2" a="1"/>
  <c r="A204" i="2"/>
  <c r="B204" i="2" s="1"/>
  <c r="D203" i="2"/>
  <c r="B203" i="2"/>
  <c r="A203" i="2" a="1"/>
  <c r="A203" i="2"/>
  <c r="C203" i="2" s="1"/>
  <c r="A202" i="2" a="1"/>
  <c r="A202" i="2" s="1"/>
  <c r="A201" i="2" a="1"/>
  <c r="A201" i="2" s="1"/>
  <c r="A200" i="2" a="1"/>
  <c r="A200" i="2"/>
  <c r="D200" i="2" s="1"/>
  <c r="D199" i="2"/>
  <c r="C199" i="2"/>
  <c r="B199" i="2"/>
  <c r="A199" i="2" a="1"/>
  <c r="A199" i="2"/>
  <c r="A198" i="2" a="1"/>
  <c r="A198" i="2"/>
  <c r="D198" i="2" s="1"/>
  <c r="A197" i="2" a="1"/>
  <c r="A197" i="2" s="1"/>
  <c r="A196" i="2" a="1"/>
  <c r="A196" i="2" s="1"/>
  <c r="A195" i="2" a="1"/>
  <c r="A195" i="2" s="1"/>
  <c r="D195" i="2" s="1"/>
  <c r="A194" i="2" a="1"/>
  <c r="A194" i="2"/>
  <c r="D194" i="2" s="1"/>
  <c r="A193" i="2" a="1"/>
  <c r="A193" i="2" s="1"/>
  <c r="A192" i="2" a="1"/>
  <c r="A192" i="2" s="1"/>
  <c r="D192" i="2" s="1"/>
  <c r="A191" i="2" a="1"/>
  <c r="A191" i="2"/>
  <c r="B191" i="2" s="1"/>
  <c r="D190" i="2"/>
  <c r="B190" i="2"/>
  <c r="A190" i="2" a="1"/>
  <c r="A190" i="2" s="1"/>
  <c r="C190" i="2" s="1"/>
  <c r="A189" i="2" a="1"/>
  <c r="A189" i="2"/>
  <c r="C189" i="2" s="1"/>
  <c r="A188" i="2" a="1"/>
  <c r="A188" i="2" s="1"/>
  <c r="B188" i="2" s="1"/>
  <c r="A187" i="2" a="1"/>
  <c r="A187" i="2" s="1"/>
  <c r="A186" i="2" a="1"/>
  <c r="A186" i="2"/>
  <c r="B186" i="2" s="1"/>
  <c r="A185" i="2" a="1"/>
  <c r="A185" i="2"/>
  <c r="B185" i="2" s="1"/>
  <c r="A184" i="2" a="1"/>
  <c r="A184" i="2" s="1"/>
  <c r="A183" i="2" a="1"/>
  <c r="A183" i="2"/>
  <c r="C183" i="2" s="1"/>
  <c r="C182" i="2"/>
  <c r="A182" i="2" a="1"/>
  <c r="A182" i="2"/>
  <c r="D182" i="2" s="1"/>
  <c r="D181" i="2"/>
  <c r="A181" i="2" a="1"/>
  <c r="A181" i="2" s="1"/>
  <c r="B181" i="2" s="1"/>
  <c r="A180" i="2" a="1"/>
  <c r="A180" i="2"/>
  <c r="D180" i="2" s="1"/>
  <c r="A179" i="2" a="1"/>
  <c r="A179" i="2"/>
  <c r="D179" i="2" s="1"/>
  <c r="A178" i="2" a="1"/>
  <c r="A178" i="2"/>
  <c r="D178" i="2" s="1"/>
  <c r="A177" i="2" a="1"/>
  <c r="A177" i="2"/>
  <c r="D177" i="2" s="1"/>
  <c r="A176" i="2" a="1"/>
  <c r="A176" i="2"/>
  <c r="B176" i="2" s="1"/>
  <c r="A175" i="2" a="1"/>
  <c r="A175" i="2"/>
  <c r="C175" i="2" s="1"/>
  <c r="B174" i="2"/>
  <c r="A174" i="2" a="1"/>
  <c r="A174" i="2" s="1"/>
  <c r="D174" i="2" s="1"/>
  <c r="A173" i="2" a="1"/>
  <c r="A173" i="2" s="1"/>
  <c r="A172" i="2" a="1"/>
  <c r="A172" i="2" s="1"/>
  <c r="D172" i="2" s="1"/>
  <c r="A171" i="2" a="1"/>
  <c r="A171" i="2" s="1"/>
  <c r="A170" i="2" a="1"/>
  <c r="A170" i="2" s="1"/>
  <c r="B170" i="2" s="1"/>
  <c r="A169" i="2" a="1"/>
  <c r="A169" i="2"/>
  <c r="D169" i="2" s="1"/>
  <c r="A168" i="2" a="1"/>
  <c r="A168" i="2" s="1"/>
  <c r="A167" i="2" a="1"/>
  <c r="A167" i="2" s="1"/>
  <c r="A166" i="2" a="1"/>
  <c r="A166" i="2" s="1"/>
  <c r="A165" i="2" a="1"/>
  <c r="A165" i="2" s="1"/>
  <c r="A164" i="2" a="1"/>
  <c r="A164" i="2"/>
  <c r="D164" i="2" s="1"/>
  <c r="A163" i="2" a="1"/>
  <c r="A163" i="2" s="1"/>
  <c r="D163" i="2" s="1"/>
  <c r="A162" i="2" a="1"/>
  <c r="A162" i="2" s="1"/>
  <c r="A161" i="2" a="1"/>
  <c r="A161" i="2"/>
  <c r="D161" i="2" s="1"/>
  <c r="A160" i="2" a="1"/>
  <c r="A160" i="2" s="1"/>
  <c r="A159" i="2" a="1"/>
  <c r="A159" i="2"/>
  <c r="D158" i="2"/>
  <c r="C158" i="2"/>
  <c r="A158" i="2" a="1"/>
  <c r="A158" i="2"/>
  <c r="B158" i="2" s="1"/>
  <c r="A157" i="2" a="1"/>
  <c r="A157" i="2" s="1"/>
  <c r="A156" i="2" a="1"/>
  <c r="A156" i="2" s="1"/>
  <c r="C156" i="2" s="1"/>
  <c r="A155" i="2" a="1"/>
  <c r="A155" i="2" s="1"/>
  <c r="A154" i="2" a="1"/>
  <c r="A154" i="2" s="1"/>
  <c r="D154" i="2" s="1"/>
  <c r="A153" i="2" a="1"/>
  <c r="A153" i="2" s="1"/>
  <c r="A152" i="2" a="1"/>
  <c r="A152" i="2" s="1"/>
  <c r="B152" i="2" s="1"/>
  <c r="A151" i="2" a="1"/>
  <c r="A151" i="2"/>
  <c r="D151" i="2" s="1"/>
  <c r="A150" i="2" a="1"/>
  <c r="A150" i="2"/>
  <c r="B150" i="2" s="1"/>
  <c r="A149" i="2" a="1"/>
  <c r="A149" i="2" s="1"/>
  <c r="A148" i="2" a="1"/>
  <c r="A148" i="2" s="1"/>
  <c r="A147" i="2" a="1"/>
  <c r="A147" i="2" s="1"/>
  <c r="A146" i="2" a="1"/>
  <c r="A146" i="2" s="1"/>
  <c r="A145" i="2" a="1"/>
  <c r="A145" i="2" s="1"/>
  <c r="B145" i="2" s="1"/>
  <c r="A144" i="2" a="1"/>
  <c r="A144" i="2"/>
  <c r="D144" i="2" s="1"/>
  <c r="B143" i="2"/>
  <c r="A143" i="2" a="1"/>
  <c r="A143" i="2"/>
  <c r="D143" i="2" s="1"/>
  <c r="A142" i="2" a="1"/>
  <c r="A142" i="2" s="1"/>
  <c r="A141" i="2" a="1"/>
  <c r="A141" i="2"/>
  <c r="A140" i="2" a="1"/>
  <c r="A140" i="2" s="1"/>
  <c r="A139" i="2" a="1"/>
  <c r="A139" i="2" s="1"/>
  <c r="C138" i="2"/>
  <c r="A138" i="2" a="1"/>
  <c r="A138" i="2" s="1"/>
  <c r="D138" i="2" s="1"/>
  <c r="A137" i="2" a="1"/>
  <c r="A137" i="2"/>
  <c r="A136" i="2" a="1"/>
  <c r="A136" i="2" s="1"/>
  <c r="C136" i="2" s="1"/>
  <c r="A135" i="2" a="1"/>
  <c r="A135" i="2" s="1"/>
  <c r="A134" i="2" a="1"/>
  <c r="A134" i="2" s="1"/>
  <c r="B134" i="2" s="1"/>
  <c r="A133" i="2" a="1"/>
  <c r="A133" i="2" s="1"/>
  <c r="A132" i="2" a="1"/>
  <c r="A132" i="2"/>
  <c r="B132" i="2" s="1"/>
  <c r="A131" i="2" a="1"/>
  <c r="A131" i="2" s="1"/>
  <c r="A130" i="2" a="1"/>
  <c r="A130" i="2" s="1"/>
  <c r="A129" i="2" a="1"/>
  <c r="A129" i="2" s="1"/>
  <c r="A128" i="2" a="1"/>
  <c r="A128" i="2"/>
  <c r="D128" i="2" s="1"/>
  <c r="A127" i="2" a="1"/>
  <c r="A127" i="2" s="1"/>
  <c r="B127" i="2" s="1"/>
  <c r="A126" i="2" a="1"/>
  <c r="A126" i="2" s="1"/>
  <c r="A125" i="2" a="1"/>
  <c r="A125" i="2"/>
  <c r="C125" i="2" s="1"/>
  <c r="A124" i="2" a="1"/>
  <c r="A124" i="2"/>
  <c r="D124" i="2" s="1"/>
  <c r="A123" i="2" a="1"/>
  <c r="A123" i="2" s="1"/>
  <c r="D123" i="2" s="1"/>
  <c r="A122" i="2" a="1"/>
  <c r="A122" i="2" s="1"/>
  <c r="A121" i="2" a="1"/>
  <c r="A121" i="2" s="1"/>
  <c r="A120" i="2" a="1"/>
  <c r="A120" i="2" s="1"/>
  <c r="D120" i="2" s="1"/>
  <c r="A119" i="2" a="1"/>
  <c r="A119" i="2" s="1"/>
  <c r="A118" i="2" a="1"/>
  <c r="A118" i="2" s="1"/>
  <c r="B118" i="2" s="1"/>
  <c r="A117" i="2" a="1"/>
  <c r="A117" i="2" s="1"/>
  <c r="D116" i="2"/>
  <c r="C116" i="2"/>
  <c r="A116" i="2" a="1"/>
  <c r="A116" i="2" s="1"/>
  <c r="B116" i="2" s="1"/>
  <c r="A115" i="2" a="1"/>
  <c r="A115" i="2"/>
  <c r="D115" i="2" s="1"/>
  <c r="A114" i="2" a="1"/>
  <c r="A114" i="2"/>
  <c r="B114" i="2" s="1"/>
  <c r="A113" i="2" a="1"/>
  <c r="A113" i="2"/>
  <c r="D113" i="2" s="1"/>
  <c r="A112" i="2" a="1"/>
  <c r="A112" i="2" s="1"/>
  <c r="A111" i="2" a="1"/>
  <c r="A111" i="2" s="1"/>
  <c r="A110" i="2" a="1"/>
  <c r="A110" i="2"/>
  <c r="D110" i="2" s="1"/>
  <c r="A109" i="2" a="1"/>
  <c r="A109" i="2" s="1"/>
  <c r="D109" i="2" s="1"/>
  <c r="A108" i="2" a="1"/>
  <c r="A108" i="2" s="1"/>
  <c r="D107" i="2"/>
  <c r="A107" i="2" a="1"/>
  <c r="A107" i="2"/>
  <c r="B107" i="2" s="1"/>
  <c r="A106" i="2" a="1"/>
  <c r="A106" i="2" s="1"/>
  <c r="D106" i="2" s="1"/>
  <c r="A105" i="2" a="1"/>
  <c r="A105" i="2"/>
  <c r="D105" i="2" s="1"/>
  <c r="A104" i="2" a="1"/>
  <c r="A104" i="2" s="1"/>
  <c r="A103" i="2" a="1"/>
  <c r="A103" i="2" s="1"/>
  <c r="A102" i="2" a="1"/>
  <c r="A102" i="2" s="1"/>
  <c r="B102" i="2" s="1"/>
  <c r="A101" i="2" a="1"/>
  <c r="A101" i="2" s="1"/>
  <c r="A100" i="2" a="1"/>
  <c r="A100" i="2" s="1"/>
  <c r="C100" i="2" s="1"/>
  <c r="A99" i="2" a="1"/>
  <c r="A99" i="2"/>
  <c r="D99" i="2" s="1"/>
  <c r="A98" i="2" a="1"/>
  <c r="A98" i="2" s="1"/>
  <c r="B98" i="2" s="1"/>
  <c r="A97" i="2" a="1"/>
  <c r="A97" i="2" s="1"/>
  <c r="B97" i="2" s="1"/>
  <c r="A96" i="2" a="1"/>
  <c r="A96" i="2"/>
  <c r="B96" i="2" s="1"/>
  <c r="A95" i="2" a="1"/>
  <c r="A95" i="2" s="1"/>
  <c r="A94" i="2" a="1"/>
  <c r="A94" i="2" s="1"/>
  <c r="A93" i="2" a="1"/>
  <c r="A93" i="2"/>
  <c r="D93" i="2" s="1"/>
  <c r="A92" i="2" a="1"/>
  <c r="A92" i="2"/>
  <c r="D92" i="2" s="1"/>
  <c r="A91" i="2" a="1"/>
  <c r="A91" i="2" s="1"/>
  <c r="D91" i="2" s="1"/>
  <c r="A90" i="2" a="1"/>
  <c r="A90" i="2"/>
  <c r="D90" i="2" s="1"/>
  <c r="A89" i="2" a="1"/>
  <c r="A89" i="2"/>
  <c r="D89" i="2" s="1"/>
  <c r="C88" i="2"/>
  <c r="A88" i="2" a="1"/>
  <c r="A88" i="2"/>
  <c r="D88" i="2" s="1"/>
  <c r="A87" i="2" a="1"/>
  <c r="A87" i="2"/>
  <c r="A86" i="2" a="1"/>
  <c r="A86" i="2" s="1"/>
  <c r="A85" i="2" a="1"/>
  <c r="A85" i="2" s="1"/>
  <c r="A84" i="2" a="1"/>
  <c r="A84" i="2" s="1"/>
  <c r="C84" i="2" s="1"/>
  <c r="A83" i="2" a="1"/>
  <c r="A83" i="2" s="1"/>
  <c r="A82" i="2" a="1"/>
  <c r="A82" i="2" s="1"/>
  <c r="D82" i="2" s="1"/>
  <c r="A81" i="2" a="1"/>
  <c r="A81" i="2" s="1"/>
  <c r="A80" i="2" a="1"/>
  <c r="A80" i="2" s="1"/>
  <c r="B80" i="2" s="1"/>
  <c r="A79" i="2" a="1"/>
  <c r="A79" i="2"/>
  <c r="C79" i="2" s="1"/>
  <c r="A78" i="2" a="1"/>
  <c r="A78" i="2" s="1"/>
  <c r="A77" i="2" a="1"/>
  <c r="A77" i="2" s="1"/>
  <c r="A76" i="2" a="1"/>
  <c r="A76" i="2" s="1"/>
  <c r="A75" i="2" a="1"/>
  <c r="A75" i="2"/>
  <c r="C75" i="2" s="1"/>
  <c r="A74" i="2" a="1"/>
  <c r="A74" i="2"/>
  <c r="D74" i="2" s="1"/>
  <c r="D73" i="2"/>
  <c r="A73" i="2" a="1"/>
  <c r="A73" i="2"/>
  <c r="C73" i="2" s="1"/>
  <c r="A72" i="2" a="1"/>
  <c r="A72" i="2" s="1"/>
  <c r="A71" i="2" a="1"/>
  <c r="A71" i="2" s="1"/>
  <c r="C71" i="2" s="1"/>
  <c r="A70" i="2" a="1"/>
  <c r="A70" i="2" s="1"/>
  <c r="A69" i="2" a="1"/>
  <c r="A69" i="2"/>
  <c r="A68" i="2" a="1"/>
  <c r="A68" i="2" s="1"/>
  <c r="A67" i="2" a="1"/>
  <c r="A67" i="2"/>
  <c r="B67" i="2" s="1"/>
  <c r="A66" i="2" a="1"/>
  <c r="A66" i="2" s="1"/>
  <c r="D66" i="2" s="1"/>
  <c r="A65" i="2" a="1"/>
  <c r="A65" i="2"/>
  <c r="A64" i="2" a="1"/>
  <c r="A64" i="2"/>
  <c r="D64" i="2" s="1"/>
  <c r="A63" i="2" a="1"/>
  <c r="A63" i="2" s="1"/>
  <c r="A62" i="2" a="1"/>
  <c r="A62" i="2" s="1"/>
  <c r="B62" i="2" s="1"/>
  <c r="A61" i="2" a="1"/>
  <c r="A61" i="2" s="1"/>
  <c r="D61" i="2" s="1"/>
  <c r="A60" i="2" a="1"/>
  <c r="A60" i="2"/>
  <c r="D60" i="2" s="1"/>
  <c r="A59" i="2" a="1"/>
  <c r="A59" i="2" s="1"/>
  <c r="A58" i="2" a="1"/>
  <c r="A58" i="2" s="1"/>
  <c r="C58" i="2" s="1"/>
  <c r="A57" i="2" a="1"/>
  <c r="A57" i="2"/>
  <c r="D57" i="2" s="1"/>
  <c r="A56" i="2" a="1"/>
  <c r="A56" i="2"/>
  <c r="D56" i="2" s="1"/>
  <c r="A55" i="2" a="1"/>
  <c r="A55" i="2"/>
  <c r="B55" i="2" s="1"/>
  <c r="A54" i="2" a="1"/>
  <c r="A54" i="2" s="1"/>
  <c r="A53" i="2" a="1"/>
  <c r="A53" i="2" s="1"/>
  <c r="A52" i="2" a="1"/>
  <c r="A52" i="2" s="1"/>
  <c r="A51" i="2" a="1"/>
  <c r="A51" i="2" s="1"/>
  <c r="C51" i="2" s="1"/>
  <c r="A50" i="2" a="1"/>
  <c r="A50" i="2"/>
  <c r="C50" i="2" s="1"/>
  <c r="A49" i="2" a="1"/>
  <c r="A49" i="2"/>
  <c r="D49" i="2" s="1"/>
  <c r="A48" i="2" a="1"/>
  <c r="A48" i="2" s="1"/>
  <c r="D48" i="2" s="1"/>
  <c r="A47" i="2" a="1"/>
  <c r="A47" i="2"/>
  <c r="D47" i="2" s="1"/>
  <c r="A46" i="2" a="1"/>
  <c r="A46" i="2" s="1"/>
  <c r="A45" i="2" a="1"/>
  <c r="A45" i="2" s="1"/>
  <c r="A44" i="2" a="1"/>
  <c r="A44" i="2" s="1"/>
  <c r="A43" i="2" a="1"/>
  <c r="A43" i="2" s="1"/>
  <c r="A42" i="2" a="1"/>
  <c r="A42" i="2" s="1"/>
  <c r="A41" i="2" a="1"/>
  <c r="A41" i="2" s="1"/>
  <c r="A40" i="2" a="1"/>
  <c r="A40" i="2"/>
  <c r="D40" i="2" s="1"/>
  <c r="A39" i="2" a="1"/>
  <c r="A39" i="2"/>
  <c r="D39" i="2" s="1"/>
  <c r="A38" i="2" a="1"/>
  <c r="A38" i="2"/>
  <c r="D38" i="2" s="1"/>
  <c r="A37" i="2" a="1"/>
  <c r="A37" i="2"/>
  <c r="D37" i="2" s="1"/>
  <c r="A36" i="2" a="1"/>
  <c r="A36" i="2" s="1"/>
  <c r="D36" i="2" s="1"/>
  <c r="A35" i="2" a="1"/>
  <c r="A35" i="2" s="1"/>
  <c r="A34" i="2" a="1"/>
  <c r="A34" i="2"/>
  <c r="D34" i="2" s="1"/>
  <c r="A33" i="2" a="1"/>
  <c r="A33" i="2" s="1"/>
  <c r="A32" i="2" a="1"/>
  <c r="A32" i="2" s="1"/>
  <c r="B32" i="2" s="1"/>
  <c r="A31" i="2" a="1"/>
  <c r="A31" i="2" s="1"/>
  <c r="A30" i="2" a="1"/>
  <c r="A30" i="2" s="1"/>
  <c r="D30" i="2" s="1"/>
  <c r="A29" i="2" a="1"/>
  <c r="A29" i="2" s="1"/>
  <c r="A28" i="2" a="1"/>
  <c r="A28" i="2" s="1"/>
  <c r="A27" i="2" a="1"/>
  <c r="A27" i="2" s="1"/>
  <c r="A26" i="2" a="1"/>
  <c r="A26" i="2" s="1"/>
  <c r="A25" i="2" a="1"/>
  <c r="A25" i="2" s="1"/>
  <c r="D25" i="2" s="1"/>
  <c r="A24" i="2" a="1"/>
  <c r="A24" i="2"/>
  <c r="D24" i="2" s="1"/>
  <c r="A23" i="2" a="1"/>
  <c r="A23" i="2"/>
  <c r="D23" i="2" s="1"/>
  <c r="A22" i="2" a="1"/>
  <c r="A22" i="2" s="1"/>
  <c r="D22" i="2" s="1"/>
  <c r="A21" i="2" a="1"/>
  <c r="A21" i="2"/>
  <c r="D21" i="2" s="1"/>
  <c r="A20" i="2" a="1"/>
  <c r="A20" i="2" s="1"/>
  <c r="A19" i="2" a="1"/>
  <c r="A19" i="2"/>
  <c r="C19" i="2" s="1"/>
  <c r="A18" i="2" a="1"/>
  <c r="A18" i="2" s="1"/>
  <c r="A17" i="2" a="1"/>
  <c r="A17" i="2" s="1"/>
  <c r="C17" i="2" s="1"/>
  <c r="A16" i="2" a="1"/>
  <c r="A16" i="2" s="1"/>
  <c r="A15" i="2" a="1"/>
  <c r="A15" i="2"/>
  <c r="C15" i="2" s="1"/>
  <c r="A14" i="2" a="1"/>
  <c r="A14" i="2" s="1"/>
  <c r="A13" i="2" a="1"/>
  <c r="A13" i="2" s="1"/>
  <c r="A12" i="2" a="1"/>
  <c r="A12" i="2" s="1"/>
  <c r="D12" i="2" s="1"/>
  <c r="A11" i="2" a="1"/>
  <c r="A11" i="2" s="1"/>
  <c r="A10" i="2" a="1"/>
  <c r="A10" i="2"/>
  <c r="C10" i="2" s="1"/>
  <c r="A9" i="2" a="1"/>
  <c r="A9" i="2"/>
  <c r="C9" i="2" s="1"/>
  <c r="A8" i="2" a="1"/>
  <c r="A8" i="2" s="1"/>
  <c r="D8" i="2" s="1"/>
  <c r="A7" i="2" a="1"/>
  <c r="A7" i="2" s="1"/>
  <c r="D7" i="2" s="1"/>
  <c r="A6" i="2" a="1"/>
  <c r="A6" i="2"/>
  <c r="B6" i="2" s="1"/>
  <c r="A5" i="2" a="1"/>
  <c r="A5" i="2"/>
  <c r="C5" i="2" s="1"/>
  <c r="B4" i="2"/>
  <c r="A4" i="2" a="1"/>
  <c r="A4" i="2"/>
  <c r="D4" i="2" s="1"/>
  <c r="A3" i="2" a="1"/>
  <c r="A3" i="2" s="1"/>
  <c r="A2" i="2" a="1"/>
  <c r="A2" i="2" s="1"/>
  <c r="A1" i="2" a="1"/>
  <c r="A1" i="2"/>
  <c r="D1" i="2" s="1"/>
  <c r="I15" i="1"/>
  <c r="A14" i="1"/>
  <c r="A13" i="1"/>
  <c r="AL10" i="1"/>
  <c r="A8" i="1"/>
  <c r="A7" i="1"/>
  <c r="E3" i="1"/>
  <c r="A289" i="2" a="1"/>
  <c r="A287" i="2" a="1"/>
  <c r="A293" i="2" a="1"/>
  <c r="A288" i="2" a="1"/>
  <c r="A292" i="2" a="1"/>
  <c r="A291" i="2" a="1"/>
  <c r="A290" i="2" a="1"/>
  <c r="A294" i="2" a="1"/>
  <c r="C153" i="2" l="1"/>
  <c r="D153" i="2"/>
  <c r="C197" i="2"/>
  <c r="D197" i="2"/>
  <c r="B197" i="2"/>
  <c r="C140" i="2"/>
  <c r="D140" i="2"/>
  <c r="B140" i="2"/>
  <c r="D395" i="2"/>
  <c r="C395" i="2"/>
  <c r="B395" i="2"/>
  <c r="B171" i="2"/>
  <c r="D171" i="2"/>
  <c r="C171" i="2"/>
  <c r="C121" i="2"/>
  <c r="D121" i="2"/>
  <c r="D147" i="2"/>
  <c r="C147" i="2"/>
  <c r="C193" i="2"/>
  <c r="B193" i="2"/>
  <c r="D193" i="2"/>
  <c r="D45" i="2"/>
  <c r="C45" i="2"/>
  <c r="D95" i="2"/>
  <c r="B95" i="2"/>
  <c r="C35" i="2"/>
  <c r="D35" i="2"/>
  <c r="D351" i="2"/>
  <c r="B351" i="2"/>
  <c r="D129" i="2"/>
  <c r="B129" i="2"/>
  <c r="C41" i="2"/>
  <c r="D41" i="2"/>
  <c r="D162" i="2"/>
  <c r="B162" i="2"/>
  <c r="C162" i="2"/>
  <c r="B9" i="2"/>
  <c r="C99" i="2"/>
  <c r="D9" i="2"/>
  <c r="B48" i="2"/>
  <c r="B92" i="2"/>
  <c r="C30" i="2"/>
  <c r="D100" i="2"/>
  <c r="C118" i="2"/>
  <c r="B151" i="2"/>
  <c r="D253" i="2"/>
  <c r="B39" i="2"/>
  <c r="D118" i="2"/>
  <c r="B125" i="2"/>
  <c r="D134" i="2"/>
  <c r="C170" i="2"/>
  <c r="C192" i="2"/>
  <c r="B314" i="2"/>
  <c r="B340" i="2"/>
  <c r="B349" i="2"/>
  <c r="C39" i="2"/>
  <c r="C48" i="2"/>
  <c r="B88" i="2"/>
  <c r="D125" i="2"/>
  <c r="C178" i="2"/>
  <c r="B226" i="2"/>
  <c r="C314" i="2"/>
  <c r="D340" i="2"/>
  <c r="C349" i="2"/>
  <c r="C368" i="2"/>
  <c r="C386" i="2"/>
  <c r="B347" i="2"/>
  <c r="B253" i="2"/>
  <c r="D368" i="2"/>
  <c r="D386" i="2"/>
  <c r="C109" i="2"/>
  <c r="B183" i="2"/>
  <c r="C350" i="2"/>
  <c r="D370" i="2"/>
  <c r="D379" i="2"/>
  <c r="C244" i="2"/>
  <c r="D350" i="2"/>
  <c r="B388" i="2"/>
  <c r="C186" i="2"/>
  <c r="D208" i="2"/>
  <c r="C217" i="2"/>
  <c r="B79" i="2"/>
  <c r="B228" i="2"/>
  <c r="B248" i="2"/>
  <c r="B34" i="2"/>
  <c r="C96" i="2"/>
  <c r="C228" i="2"/>
  <c r="C296" i="2"/>
  <c r="B24" i="2"/>
  <c r="D50" i="2"/>
  <c r="D79" i="2"/>
  <c r="C114" i="2"/>
  <c r="D156" i="2"/>
  <c r="C188" i="2"/>
  <c r="D296" i="2"/>
  <c r="D316" i="2"/>
  <c r="C325" i="2"/>
  <c r="C388" i="2"/>
  <c r="D19" i="2"/>
  <c r="D183" i="2"/>
  <c r="B120" i="2"/>
  <c r="C127" i="2"/>
  <c r="C179" i="2"/>
  <c r="C379" i="2"/>
  <c r="D5" i="2"/>
  <c r="C120" i="2"/>
  <c r="D127" i="2"/>
  <c r="D136" i="2"/>
  <c r="B144" i="2"/>
  <c r="B15" i="2"/>
  <c r="C24" i="2"/>
  <c r="C90" i="2"/>
  <c r="D114" i="2"/>
  <c r="B164" i="2"/>
  <c r="C181" i="2"/>
  <c r="D188" i="2"/>
  <c r="C239" i="2"/>
  <c r="B278" i="2"/>
  <c r="C164" i="2"/>
  <c r="C278" i="2"/>
  <c r="C336" i="2"/>
  <c r="B252" i="2"/>
  <c r="B74" i="2"/>
  <c r="C169" i="2"/>
  <c r="B316" i="2"/>
  <c r="D62" i="2"/>
  <c r="B73" i="2"/>
  <c r="B91" i="2"/>
  <c r="C98" i="2"/>
  <c r="C210" i="2"/>
  <c r="D260" i="2"/>
  <c r="B271" i="2"/>
  <c r="D336" i="2"/>
  <c r="C92" i="2"/>
  <c r="B100" i="2"/>
  <c r="C204" i="2"/>
  <c r="B12" i="2"/>
  <c r="B136" i="2"/>
  <c r="B49" i="2"/>
  <c r="C91" i="2"/>
  <c r="D98" i="2"/>
  <c r="C107" i="2"/>
  <c r="B221" i="2"/>
  <c r="D251" i="2"/>
  <c r="A294" i="2"/>
  <c r="A290" i="2"/>
  <c r="A291" i="2"/>
  <c r="A292" i="2"/>
  <c r="A288" i="2"/>
  <c r="A293" i="2"/>
  <c r="A287" i="2"/>
  <c r="A289" i="2"/>
  <c r="D18" i="2"/>
  <c r="C18" i="2"/>
  <c r="B18" i="2"/>
  <c r="D329" i="2"/>
  <c r="C329" i="2"/>
  <c r="B329" i="2"/>
  <c r="D27" i="2"/>
  <c r="B27" i="2"/>
  <c r="C27" i="2"/>
  <c r="D212" i="2"/>
  <c r="C212" i="2"/>
  <c r="B212" i="2"/>
  <c r="C283" i="2"/>
  <c r="D283" i="2"/>
  <c r="B283" i="2"/>
  <c r="B20" i="2"/>
  <c r="C20" i="2"/>
  <c r="D20" i="2"/>
  <c r="B284" i="2"/>
  <c r="D284" i="2"/>
  <c r="C284" i="2"/>
  <c r="D142" i="2"/>
  <c r="C142" i="2"/>
  <c r="B142" i="2"/>
  <c r="D184" i="2"/>
  <c r="C184" i="2"/>
  <c r="B184" i="2"/>
  <c r="D205" i="2"/>
  <c r="C205" i="2"/>
  <c r="B205" i="2"/>
  <c r="D214" i="2"/>
  <c r="C214" i="2"/>
  <c r="B214" i="2"/>
  <c r="D225" i="2"/>
  <c r="C225" i="2"/>
  <c r="B225" i="2"/>
  <c r="D234" i="2"/>
  <c r="C234" i="2"/>
  <c r="B234" i="2"/>
  <c r="C265" i="2"/>
  <c r="D265" i="2"/>
  <c r="B265" i="2"/>
  <c r="D304" i="2"/>
  <c r="C304" i="2"/>
  <c r="B304" i="2"/>
  <c r="B149" i="2"/>
  <c r="C149" i="2"/>
  <c r="D149" i="2"/>
  <c r="D364" i="2"/>
  <c r="C364" i="2"/>
  <c r="B364" i="2"/>
  <c r="B366" i="2"/>
  <c r="C366" i="2"/>
  <c r="D366" i="2"/>
  <c r="D101" i="2"/>
  <c r="C101" i="2"/>
  <c r="B101" i="2"/>
  <c r="D111" i="2"/>
  <c r="C111" i="2"/>
  <c r="B111" i="2"/>
  <c r="D254" i="2"/>
  <c r="C254" i="2"/>
  <c r="B254" i="2"/>
  <c r="D266" i="2"/>
  <c r="C266" i="2"/>
  <c r="B266" i="2"/>
  <c r="B26" i="2"/>
  <c r="D26" i="2"/>
  <c r="C26" i="2"/>
  <c r="D133" i="2"/>
  <c r="C133" i="2"/>
  <c r="B133" i="2"/>
  <c r="D236" i="2"/>
  <c r="B236" i="2"/>
  <c r="C236" i="2"/>
  <c r="D286" i="2"/>
  <c r="C286" i="2"/>
  <c r="B286" i="2"/>
  <c r="D338" i="2"/>
  <c r="C338" i="2"/>
  <c r="B338" i="2"/>
  <c r="D3" i="2"/>
  <c r="C3" i="2"/>
  <c r="B3" i="2"/>
  <c r="D77" i="2"/>
  <c r="C77" i="2"/>
  <c r="B77" i="2"/>
  <c r="D216" i="2"/>
  <c r="C216" i="2"/>
  <c r="B216" i="2"/>
  <c r="C247" i="2"/>
  <c r="D247" i="2"/>
  <c r="B247" i="2"/>
  <c r="D295" i="2"/>
  <c r="C295" i="2"/>
  <c r="B295" i="2"/>
  <c r="D306" i="2"/>
  <c r="B306" i="2"/>
  <c r="C306" i="2"/>
  <c r="C86" i="2"/>
  <c r="D86" i="2"/>
  <c r="B86" i="2"/>
  <c r="C11" i="2"/>
  <c r="D11" i="2"/>
  <c r="B11" i="2"/>
  <c r="B276" i="2"/>
  <c r="C276" i="2"/>
  <c r="D276" i="2"/>
  <c r="B358" i="2"/>
  <c r="D358" i="2"/>
  <c r="C358" i="2"/>
  <c r="D369" i="2"/>
  <c r="C369" i="2"/>
  <c r="B369" i="2"/>
  <c r="D131" i="2"/>
  <c r="C131" i="2"/>
  <c r="B131" i="2"/>
  <c r="B223" i="2"/>
  <c r="C223" i="2"/>
  <c r="D223" i="2"/>
  <c r="B59" i="2"/>
  <c r="D59" i="2"/>
  <c r="C59" i="2"/>
  <c r="D333" i="2"/>
  <c r="C333" i="2"/>
  <c r="B333" i="2"/>
  <c r="D342" i="2"/>
  <c r="C342" i="2"/>
  <c r="B342" i="2"/>
  <c r="D54" i="2"/>
  <c r="B54" i="2"/>
  <c r="C54" i="2"/>
  <c r="D167" i="2"/>
  <c r="B167" i="2"/>
  <c r="C167" i="2"/>
  <c r="D365" i="2"/>
  <c r="C365" i="2"/>
  <c r="B365" i="2"/>
  <c r="D29" i="2"/>
  <c r="C29" i="2"/>
  <c r="B29" i="2"/>
  <c r="B348" i="2"/>
  <c r="D348" i="2"/>
  <c r="C348" i="2"/>
  <c r="D2" i="2"/>
  <c r="B2" i="2"/>
  <c r="C2" i="2"/>
  <c r="D135" i="2"/>
  <c r="C135" i="2"/>
  <c r="B135" i="2"/>
  <c r="D155" i="2"/>
  <c r="C155" i="2"/>
  <c r="B155" i="2"/>
  <c r="D187" i="2"/>
  <c r="C187" i="2"/>
  <c r="B187" i="2"/>
  <c r="D218" i="2"/>
  <c r="C218" i="2"/>
  <c r="B218" i="2"/>
  <c r="D257" i="2"/>
  <c r="C257" i="2"/>
  <c r="B257" i="2"/>
  <c r="D46" i="2"/>
  <c r="C46" i="2"/>
  <c r="B46" i="2"/>
  <c r="D273" i="2"/>
  <c r="C273" i="2"/>
  <c r="B273" i="2"/>
  <c r="D160" i="2"/>
  <c r="C160" i="2"/>
  <c r="B160" i="2"/>
  <c r="B219" i="2"/>
  <c r="C219" i="2"/>
  <c r="D219" i="2"/>
  <c r="B258" i="2"/>
  <c r="C258" i="2"/>
  <c r="D258" i="2"/>
  <c r="B168" i="2"/>
  <c r="D168" i="2"/>
  <c r="C168" i="2"/>
  <c r="D243" i="2"/>
  <c r="C243" i="2"/>
  <c r="B243" i="2"/>
  <c r="C103" i="2"/>
  <c r="D103" i="2"/>
  <c r="B103" i="2"/>
  <c r="D104" i="2"/>
  <c r="C104" i="2"/>
  <c r="B104" i="2"/>
  <c r="D72" i="2"/>
  <c r="C72" i="2"/>
  <c r="B72" i="2"/>
  <c r="D146" i="2"/>
  <c r="C146" i="2"/>
  <c r="B146" i="2"/>
  <c r="D173" i="2"/>
  <c r="C173" i="2"/>
  <c r="B173" i="2"/>
  <c r="B201" i="2"/>
  <c r="C201" i="2"/>
  <c r="D201" i="2"/>
  <c r="D28" i="2"/>
  <c r="B28" i="2"/>
  <c r="C28" i="2"/>
  <c r="B232" i="2"/>
  <c r="C232" i="2"/>
  <c r="D232" i="2"/>
  <c r="D76" i="2"/>
  <c r="C76" i="2"/>
  <c r="B76" i="2"/>
  <c r="D126" i="2"/>
  <c r="C126" i="2"/>
  <c r="B126" i="2"/>
  <c r="C13" i="2"/>
  <c r="D13" i="2"/>
  <c r="B13" i="2"/>
  <c r="D70" i="2"/>
  <c r="C70" i="2"/>
  <c r="B70" i="2"/>
  <c r="D42" i="2"/>
  <c r="C42" i="2"/>
  <c r="B42" i="2"/>
  <c r="C157" i="2"/>
  <c r="D157" i="2"/>
  <c r="B157" i="2"/>
  <c r="C250" i="2"/>
  <c r="B250" i="2"/>
  <c r="D250" i="2"/>
  <c r="D270" i="2"/>
  <c r="C270" i="2"/>
  <c r="B270" i="2"/>
  <c r="B297" i="2"/>
  <c r="D297" i="2"/>
  <c r="C297" i="2"/>
  <c r="D317" i="2"/>
  <c r="C317" i="2"/>
  <c r="B317" i="2"/>
  <c r="D381" i="2"/>
  <c r="C381" i="2"/>
  <c r="B381" i="2"/>
  <c r="C85" i="2"/>
  <c r="D85" i="2"/>
  <c r="B85" i="2"/>
  <c r="D117" i="2"/>
  <c r="C117" i="2"/>
  <c r="B117" i="2"/>
  <c r="B302" i="2"/>
  <c r="D302" i="2"/>
  <c r="C302" i="2"/>
  <c r="D31" i="2"/>
  <c r="C31" i="2"/>
  <c r="B31" i="2"/>
  <c r="D68" i="2"/>
  <c r="C68" i="2"/>
  <c r="B68" i="2"/>
  <c r="D16" i="2"/>
  <c r="C16" i="2"/>
  <c r="B16" i="2"/>
  <c r="C43" i="2"/>
  <c r="D43" i="2"/>
  <c r="B43" i="2"/>
  <c r="D81" i="2"/>
  <c r="C81" i="2"/>
  <c r="B81" i="2"/>
  <c r="B240" i="2"/>
  <c r="D240" i="2"/>
  <c r="C240" i="2"/>
  <c r="D362" i="2"/>
  <c r="B362" i="2"/>
  <c r="C362" i="2"/>
  <c r="C373" i="2"/>
  <c r="D373" i="2"/>
  <c r="B373" i="2"/>
  <c r="D281" i="2"/>
  <c r="C281" i="2"/>
  <c r="B281" i="2"/>
  <c r="B78" i="2"/>
  <c r="D78" i="2"/>
  <c r="C78" i="2"/>
  <c r="C33" i="2"/>
  <c r="D33" i="2"/>
  <c r="B33" i="2"/>
  <c r="D14" i="2"/>
  <c r="B14" i="2"/>
  <c r="C14" i="2"/>
  <c r="D165" i="2"/>
  <c r="C165" i="2"/>
  <c r="B165" i="2"/>
  <c r="D196" i="2"/>
  <c r="C196" i="2"/>
  <c r="B196" i="2"/>
  <c r="D230" i="2"/>
  <c r="C230" i="2"/>
  <c r="B230" i="2"/>
  <c r="C241" i="2"/>
  <c r="B241" i="2"/>
  <c r="D241" i="2"/>
  <c r="D299" i="2"/>
  <c r="C299" i="2"/>
  <c r="B299" i="2"/>
  <c r="C319" i="2"/>
  <c r="B319" i="2"/>
  <c r="D319" i="2"/>
  <c r="B327" i="2"/>
  <c r="C327" i="2"/>
  <c r="D327" i="2"/>
  <c r="D108" i="2"/>
  <c r="C108" i="2"/>
  <c r="B108" i="2"/>
  <c r="D94" i="2"/>
  <c r="C94" i="2"/>
  <c r="B94" i="2"/>
  <c r="B44" i="2"/>
  <c r="D44" i="2"/>
  <c r="C44" i="2"/>
  <c r="D52" i="2"/>
  <c r="C52" i="2"/>
  <c r="B52" i="2"/>
  <c r="D122" i="2"/>
  <c r="C122" i="2"/>
  <c r="B122" i="2"/>
  <c r="C139" i="2"/>
  <c r="D139" i="2"/>
  <c r="B139" i="2"/>
  <c r="D53" i="2"/>
  <c r="C53" i="2"/>
  <c r="B53" i="2"/>
  <c r="D63" i="2"/>
  <c r="C63" i="2"/>
  <c r="B63" i="2"/>
  <c r="D83" i="2"/>
  <c r="C83" i="2"/>
  <c r="B83" i="2"/>
  <c r="D148" i="2"/>
  <c r="C148" i="2"/>
  <c r="B148" i="2"/>
  <c r="D166" i="2"/>
  <c r="C166" i="2"/>
  <c r="B166" i="2"/>
  <c r="D279" i="2"/>
  <c r="C279" i="2"/>
  <c r="B279" i="2"/>
  <c r="B84" i="2"/>
  <c r="D119" i="2"/>
  <c r="C119" i="2"/>
  <c r="C141" i="2"/>
  <c r="B141" i="2"/>
  <c r="C206" i="2"/>
  <c r="B47" i="2"/>
  <c r="D202" i="2"/>
  <c r="C202" i="2"/>
  <c r="B202" i="2"/>
  <c r="D206" i="2"/>
  <c r="B246" i="2"/>
  <c r="C280" i="2"/>
  <c r="C285" i="2"/>
  <c r="B285" i="2"/>
  <c r="B311" i="2"/>
  <c r="D328" i="2"/>
  <c r="C328" i="2"/>
  <c r="B328" i="2"/>
  <c r="B345" i="2"/>
  <c r="B354" i="2"/>
  <c r="C384" i="2"/>
  <c r="D389" i="2"/>
  <c r="C389" i="2"/>
  <c r="B106" i="2"/>
  <c r="B154" i="2"/>
  <c r="C47" i="2"/>
  <c r="C97" i="2"/>
  <c r="C106" i="2"/>
  <c r="B119" i="2"/>
  <c r="D132" i="2"/>
  <c r="D137" i="2"/>
  <c r="C137" i="2"/>
  <c r="D141" i="2"/>
  <c r="D145" i="2"/>
  <c r="C154" i="2"/>
  <c r="C159" i="2"/>
  <c r="B159" i="2"/>
  <c r="C176" i="2"/>
  <c r="C180" i="2"/>
  <c r="C224" i="2"/>
  <c r="B237" i="2"/>
  <c r="C246" i="2"/>
  <c r="B259" i="2"/>
  <c r="B268" i="2"/>
  <c r="B272" i="2"/>
  <c r="D280" i="2"/>
  <c r="B298" i="2"/>
  <c r="C311" i="2"/>
  <c r="B315" i="2"/>
  <c r="B341" i="2"/>
  <c r="C345" i="2"/>
  <c r="C354" i="2"/>
  <c r="B367" i="2"/>
  <c r="D384" i="2"/>
  <c r="B17" i="2"/>
  <c r="B71" i="2"/>
  <c r="B110" i="2"/>
  <c r="C132" i="2"/>
  <c r="B215" i="2"/>
  <c r="C32" i="2"/>
  <c r="C110" i="2"/>
  <c r="B163" i="2"/>
  <c r="C6" i="2"/>
  <c r="D17" i="2"/>
  <c r="B21" i="2"/>
  <c r="D32" i="2"/>
  <c r="C36" i="2"/>
  <c r="D51" i="2"/>
  <c r="C55" i="2"/>
  <c r="D67" i="2"/>
  <c r="D71" i="2"/>
  <c r="D75" i="2"/>
  <c r="C80" i="2"/>
  <c r="B93" i="2"/>
  <c r="D97" i="2"/>
  <c r="C102" i="2"/>
  <c r="B115" i="2"/>
  <c r="B124" i="2"/>
  <c r="B128" i="2"/>
  <c r="C150" i="2"/>
  <c r="C163" i="2"/>
  <c r="B172" i="2"/>
  <c r="D176" i="2"/>
  <c r="C185" i="2"/>
  <c r="D189" i="2"/>
  <c r="B194" i="2"/>
  <c r="B198" i="2"/>
  <c r="D211" i="2"/>
  <c r="D215" i="2"/>
  <c r="D220" i="2"/>
  <c r="C220" i="2"/>
  <c r="B220" i="2"/>
  <c r="D224" i="2"/>
  <c r="B233" i="2"/>
  <c r="C237" i="2"/>
  <c r="C259" i="2"/>
  <c r="B264" i="2"/>
  <c r="C268" i="2"/>
  <c r="C272" i="2"/>
  <c r="D285" i="2"/>
  <c r="C298" i="2"/>
  <c r="C303" i="2"/>
  <c r="B303" i="2"/>
  <c r="B307" i="2"/>
  <c r="C315" i="2"/>
  <c r="B337" i="2"/>
  <c r="C341" i="2"/>
  <c r="C367" i="2"/>
  <c r="B376" i="2"/>
  <c r="B380" i="2"/>
  <c r="B389" i="2"/>
  <c r="B36" i="2"/>
  <c r="C67" i="2"/>
  <c r="D6" i="2"/>
  <c r="B10" i="2"/>
  <c r="C21" i="2"/>
  <c r="B25" i="2"/>
  <c r="B40" i="2"/>
  <c r="D55" i="2"/>
  <c r="D80" i="2"/>
  <c r="B89" i="2"/>
  <c r="C93" i="2"/>
  <c r="D102" i="2"/>
  <c r="C115" i="2"/>
  <c r="C124" i="2"/>
  <c r="C128" i="2"/>
  <c r="B137" i="2"/>
  <c r="D150" i="2"/>
  <c r="D159" i="2"/>
  <c r="C172" i="2"/>
  <c r="C177" i="2"/>
  <c r="B177" i="2"/>
  <c r="D185" i="2"/>
  <c r="C194" i="2"/>
  <c r="C198" i="2"/>
  <c r="B207" i="2"/>
  <c r="B229" i="2"/>
  <c r="C233" i="2"/>
  <c r="C242" i="2"/>
  <c r="B255" i="2"/>
  <c r="C264" i="2"/>
  <c r="B277" i="2"/>
  <c r="C307" i="2"/>
  <c r="B320" i="2"/>
  <c r="B324" i="2"/>
  <c r="D337" i="2"/>
  <c r="D346" i="2"/>
  <c r="C346" i="2"/>
  <c r="B346" i="2"/>
  <c r="B363" i="2"/>
  <c r="B372" i="2"/>
  <c r="C376" i="2"/>
  <c r="C380" i="2"/>
  <c r="C40" i="2"/>
  <c r="C89" i="2"/>
  <c r="C207" i="2"/>
  <c r="D229" i="2"/>
  <c r="D238" i="2"/>
  <c r="C238" i="2"/>
  <c r="B238" i="2"/>
  <c r="B251" i="2"/>
  <c r="C255" i="2"/>
  <c r="C277" i="2"/>
  <c r="D303" i="2"/>
  <c r="C320" i="2"/>
  <c r="C324" i="2"/>
  <c r="B359" i="2"/>
  <c r="C363" i="2"/>
  <c r="C372" i="2"/>
  <c r="B385" i="2"/>
  <c r="B390" i="2"/>
  <c r="C145" i="2"/>
  <c r="B51" i="2"/>
  <c r="C25" i="2"/>
  <c r="D10" i="2"/>
  <c r="B138" i="2"/>
  <c r="C195" i="2"/>
  <c r="B195" i="2"/>
  <c r="C260" i="2"/>
  <c r="C312" i="2"/>
  <c r="B355" i="2"/>
  <c r="C359" i="2"/>
  <c r="C385" i="2"/>
  <c r="C390" i="2"/>
  <c r="B7" i="2"/>
  <c r="B37" i="2"/>
  <c r="B56" i="2"/>
  <c r="B60" i="2"/>
  <c r="B64" i="2"/>
  <c r="D256" i="2"/>
  <c r="C256" i="2"/>
  <c r="B256" i="2"/>
  <c r="B269" i="2"/>
  <c r="B282" i="2"/>
  <c r="D312" i="2"/>
  <c r="C321" i="2"/>
  <c r="B321" i="2"/>
  <c r="B325" i="2"/>
  <c r="D355" i="2"/>
  <c r="D396" i="2"/>
  <c r="B396" i="2"/>
  <c r="B75" i="2"/>
  <c r="B22" i="2"/>
  <c r="C37" i="2"/>
  <c r="B41" i="2"/>
  <c r="C56" i="2"/>
  <c r="C60" i="2"/>
  <c r="C64" i="2"/>
  <c r="D112" i="2"/>
  <c r="C112" i="2"/>
  <c r="B112" i="2"/>
  <c r="C129" i="2"/>
  <c r="C151" i="2"/>
  <c r="B156" i="2"/>
  <c r="D186" i="2"/>
  <c r="D191" i="2"/>
  <c r="C191" i="2"/>
  <c r="B208" i="2"/>
  <c r="C269" i="2"/>
  <c r="C282" i="2"/>
  <c r="B308" i="2"/>
  <c r="B377" i="2"/>
  <c r="C391" i="2"/>
  <c r="B391" i="2"/>
  <c r="C396" i="2"/>
  <c r="D263" i="2"/>
  <c r="C263" i="2"/>
  <c r="C7" i="2"/>
  <c r="C22" i="2"/>
  <c r="B30" i="2"/>
  <c r="B45" i="2"/>
  <c r="C69" i="2"/>
  <c r="B69" i="2"/>
  <c r="B90" i="2"/>
  <c r="B99" i="2"/>
  <c r="B121" i="2"/>
  <c r="C134" i="2"/>
  <c r="B147" i="2"/>
  <c r="B169" i="2"/>
  <c r="B178" i="2"/>
  <c r="B182" i="2"/>
  <c r="C213" i="2"/>
  <c r="B213" i="2"/>
  <c r="B217" i="2"/>
  <c r="B239" i="2"/>
  <c r="D274" i="2"/>
  <c r="C274" i="2"/>
  <c r="B274" i="2"/>
  <c r="B300" i="2"/>
  <c r="C308" i="2"/>
  <c r="D321" i="2"/>
  <c r="B334" i="2"/>
  <c r="C347" i="2"/>
  <c r="C351" i="2"/>
  <c r="C377" i="2"/>
  <c r="B261" i="2"/>
  <c r="C300" i="2"/>
  <c r="B313" i="2"/>
  <c r="C330" i="2"/>
  <c r="C334" i="2"/>
  <c r="C339" i="2"/>
  <c r="B339" i="2"/>
  <c r="B343" i="2"/>
  <c r="B356" i="2"/>
  <c r="B360" i="2"/>
  <c r="D382" i="2"/>
  <c r="C382" i="2"/>
  <c r="B382" i="2"/>
  <c r="D391" i="2"/>
  <c r="B397" i="2"/>
  <c r="D84" i="2"/>
  <c r="D65" i="2"/>
  <c r="C65" i="2"/>
  <c r="D15" i="2"/>
  <c r="B19" i="2"/>
  <c r="C34" i="2"/>
  <c r="C49" i="2"/>
  <c r="D69" i="2"/>
  <c r="B82" i="2"/>
  <c r="C95" i="2"/>
  <c r="C143" i="2"/>
  <c r="C152" i="2"/>
  <c r="C174" i="2"/>
  <c r="D204" i="2"/>
  <c r="D209" i="2"/>
  <c r="C209" i="2"/>
  <c r="D213" i="2"/>
  <c r="C226" i="2"/>
  <c r="C231" i="2"/>
  <c r="B231" i="2"/>
  <c r="B235" i="2"/>
  <c r="C248" i="2"/>
  <c r="C252" i="2"/>
  <c r="C261" i="2"/>
  <c r="C313" i="2"/>
  <c r="D330" i="2"/>
  <c r="C343" i="2"/>
  <c r="C356" i="2"/>
  <c r="C360" i="2"/>
  <c r="D392" i="2"/>
  <c r="B392" i="2"/>
  <c r="C397" i="2"/>
  <c r="B180" i="2"/>
  <c r="B189" i="2"/>
  <c r="B211" i="2"/>
  <c r="D130" i="2"/>
  <c r="C130" i="2"/>
  <c r="B130" i="2"/>
  <c r="C4" i="2"/>
  <c r="B8" i="2"/>
  <c r="B23" i="2"/>
  <c r="B38" i="2"/>
  <c r="B57" i="2"/>
  <c r="B61" i="2"/>
  <c r="B65" i="2"/>
  <c r="C82" i="2"/>
  <c r="C87" i="2"/>
  <c r="B87" i="2"/>
  <c r="B113" i="2"/>
  <c r="D152" i="2"/>
  <c r="B161" i="2"/>
  <c r="B192" i="2"/>
  <c r="B200" i="2"/>
  <c r="C222" i="2"/>
  <c r="C235" i="2"/>
  <c r="B244" i="2"/>
  <c r="B309" i="2"/>
  <c r="B322" i="2"/>
  <c r="B326" i="2"/>
  <c r="D335" i="2"/>
  <c r="C335" i="2"/>
  <c r="D339" i="2"/>
  <c r="B352" i="2"/>
  <c r="C113" i="2"/>
  <c r="C161" i="2"/>
  <c r="C200" i="2"/>
  <c r="D222" i="2"/>
  <c r="D227" i="2"/>
  <c r="C227" i="2"/>
  <c r="C249" i="2"/>
  <c r="B249" i="2"/>
  <c r="B275" i="2"/>
  <c r="B305" i="2"/>
  <c r="C309" i="2"/>
  <c r="B318" i="2"/>
  <c r="C322" i="2"/>
  <c r="C326" i="2"/>
  <c r="C352" i="2"/>
  <c r="C357" i="2"/>
  <c r="B357" i="2"/>
  <c r="B361" i="2"/>
  <c r="B374" i="2"/>
  <c r="B378" i="2"/>
  <c r="C392" i="2"/>
  <c r="D398" i="2"/>
  <c r="C398" i="2"/>
  <c r="B398" i="2"/>
  <c r="B1" i="2"/>
  <c r="C8" i="2"/>
  <c r="C23" i="2"/>
  <c r="C38" i="2"/>
  <c r="C57" i="2"/>
  <c r="C61" i="2"/>
  <c r="C1" i="2"/>
  <c r="C12" i="2"/>
  <c r="B66" i="2"/>
  <c r="D87" i="2"/>
  <c r="C105" i="2"/>
  <c r="B105" i="2"/>
  <c r="B109" i="2"/>
  <c r="D170" i="2"/>
  <c r="B179" i="2"/>
  <c r="B262" i="2"/>
  <c r="B301" i="2"/>
  <c r="C305" i="2"/>
  <c r="C318" i="2"/>
  <c r="B331" i="2"/>
  <c r="B335" i="2"/>
  <c r="C361" i="2"/>
  <c r="C374" i="2"/>
  <c r="C378" i="2"/>
  <c r="B383" i="2"/>
  <c r="B387" i="2"/>
  <c r="C393" i="2"/>
  <c r="B393" i="2"/>
  <c r="D394" i="2"/>
  <c r="B394" i="2"/>
  <c r="B5" i="2"/>
  <c r="B35" i="2"/>
  <c r="D58" i="2"/>
  <c r="B58" i="2"/>
  <c r="B153" i="2"/>
  <c r="B175" i="2"/>
  <c r="B227" i="2"/>
  <c r="D245" i="2"/>
  <c r="C245" i="2"/>
  <c r="D249" i="2"/>
  <c r="C262" i="2"/>
  <c r="C267" i="2"/>
  <c r="B267" i="2"/>
  <c r="D301" i="2"/>
  <c r="D310" i="2"/>
  <c r="C310" i="2"/>
  <c r="B310" i="2"/>
  <c r="C331" i="2"/>
  <c r="B344" i="2"/>
  <c r="D353" i="2"/>
  <c r="C353" i="2"/>
  <c r="D357" i="2"/>
  <c r="B370" i="2"/>
  <c r="C383" i="2"/>
  <c r="C387" i="2"/>
  <c r="D371" i="2"/>
  <c r="C371" i="2"/>
  <c r="B50" i="2"/>
  <c r="C66" i="2"/>
  <c r="C62" i="2"/>
  <c r="C74" i="2"/>
  <c r="D96" i="2"/>
  <c r="C123" i="2"/>
  <c r="B123" i="2"/>
  <c r="C144" i="2"/>
  <c r="D175" i="2"/>
  <c r="C344" i="2"/>
  <c r="C375" i="2"/>
  <c r="B375" i="2"/>
  <c r="D393" i="2"/>
  <c r="D400" i="2"/>
  <c r="C400" i="2"/>
  <c r="B400" i="2"/>
  <c r="B399" i="2"/>
  <c r="C399" i="2"/>
  <c r="B289" i="2" l="1"/>
  <c r="D289" i="2"/>
  <c r="C289" i="2"/>
  <c r="D287" i="2"/>
  <c r="C287" i="2"/>
  <c r="B287" i="2"/>
  <c r="C293" i="2"/>
  <c r="B293" i="2"/>
  <c r="D293" i="2"/>
  <c r="D288" i="2"/>
  <c r="C288" i="2"/>
  <c r="B288" i="2"/>
  <c r="D292" i="2"/>
  <c r="C292" i="2"/>
  <c r="B292" i="2"/>
  <c r="D291" i="2"/>
  <c r="C291" i="2"/>
  <c r="B291" i="2"/>
  <c r="D290" i="2"/>
  <c r="C290" i="2"/>
  <c r="B290" i="2"/>
  <c r="B294" i="2"/>
  <c r="D294" i="2"/>
  <c r="C29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<sst xmlns="http://schemas.openxmlformats.org/spreadsheetml/2006/main" count="459" uniqueCount="436">
  <si>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</si>
  <si>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</si>
  <si>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</si>
  <si>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</si>
  <si>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</si>
  <si>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</si>
  <si>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</si>
  <si>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</si>
  <si>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</si>
  <si>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</si>
  <si>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</si>
  <si>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</si>
  <si>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</si>
  <si>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</si>
  <si>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</si>
  <si>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</si>
  <si>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</si>
  <si>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</si>
  <si>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</si>
  <si>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</si>
  <si>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</si>
  <si>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</si>
  <si>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</si>
  <si>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</si>
  <si>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</si>
  <si>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</si>
  <si>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</si>
  <si>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</si>
  <si>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</si>
  <si>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</si>
  <si>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</si>
  <si>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</si>
  <si>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</si>
  <si>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</si>
  <si>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</si>
  <si>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all:DISC#20</t>
  </si>
  <si>
    <t>all:DMAX#1</t>
  </si>
  <si>
    <t>all:DMAX#2</t>
  </si>
  <si>
    <t>all:DMAX#3</t>
  </si>
  <si>
    <t>all:DMAX#4</t>
  </si>
  <si>
    <t>all:DMIN#1</t>
  </si>
  <si>
    <t>all:DMIN#2</t>
  </si>
  <si>
    <t>all:DMIN#3</t>
  </si>
  <si>
    <t>all:DMIN#4</t>
  </si>
  <si>
    <t>all:DOLLAR#1</t>
  </si>
  <si>
    <t>all:DOLLAR#2</t>
  </si>
  <si>
    <t>all:DOLLAR#3</t>
  </si>
  <si>
    <t>all:DOLLAR#4</t>
  </si>
  <si>
    <t>all:DOLLAR#5</t>
  </si>
  <si>
    <t>all:DOLLAR#6</t>
  </si>
  <si>
    <t>all:DOLLAR#7</t>
  </si>
  <si>
    <t>all:DOLLAR#8</t>
  </si>
  <si>
    <t>all:DOLLARDE#1</t>
  </si>
  <si>
    <t>all:DOLLARDE#2</t>
  </si>
  <si>
    <t>all:DOLLARDE#3</t>
  </si>
  <si>
    <t>all:DOLLARDE#4</t>
  </si>
  <si>
    <t>all:DOLLARDE#5</t>
  </si>
  <si>
    <t>all:DOLLARDE#6</t>
  </si>
  <si>
    <t>all:DOLLARDE#7</t>
  </si>
  <si>
    <t>all:DOLLARDE#8</t>
  </si>
  <si>
    <t>all:DOLLARFR#1</t>
  </si>
  <si>
    <t>all:DOLLARFR#2</t>
  </si>
  <si>
    <t>all:DOLLARFR#3</t>
  </si>
  <si>
    <t>all:DOLLARFR#4</t>
  </si>
  <si>
    <t>all:DOLLARFR#5</t>
  </si>
  <si>
    <t>all:DOLLARFR#6</t>
  </si>
  <si>
    <t>all:DOLLARFR#7</t>
  </si>
  <si>
    <t>all:DOLLARFR#8</t>
  </si>
  <si>
    <t>all:DPRODUCT#1</t>
  </si>
  <si>
    <t>all:DPRODUCT#2</t>
  </si>
  <si>
    <t>all:DPRODUCT#3</t>
  </si>
  <si>
    <t>all:DPRODUCT#4</t>
  </si>
  <si>
    <t>all:DSTDEV#1</t>
  </si>
  <si>
    <t>all:DSTDEV#2</t>
  </si>
  <si>
    <t>all:DSTDEV#3</t>
  </si>
  <si>
    <t>all:DSTDEV#4</t>
  </si>
  <si>
    <t>all:DSTDEVP#1</t>
  </si>
  <si>
    <t>all:DSTDEVP#2</t>
  </si>
  <si>
    <t>all:DSTDEVP#3</t>
  </si>
  <si>
    <t>all:DSTDEVP#4</t>
  </si>
  <si>
    <t>all:DSUM#1</t>
  </si>
  <si>
    <t>all:DSUM#2</t>
  </si>
  <si>
    <t>all:DSUM#3</t>
  </si>
  <si>
    <t>all:DSUM#4</t>
  </si>
  <si>
    <t>all:DURATION#1</t>
  </si>
  <si>
    <t>all:DURATION#2</t>
  </si>
  <si>
    <t>all:DURATION#3</t>
  </si>
  <si>
    <t>all:DURATION#4</t>
  </si>
  <si>
    <t>all:DURATION#5</t>
  </si>
  <si>
    <t>all:DURATION#6</t>
  </si>
  <si>
    <t>all:DURATION#7</t>
  </si>
  <si>
    <t>all:DURATION#8</t>
  </si>
  <si>
    <t>all:DURATION#9</t>
  </si>
  <si>
    <t>all:DURATION#10</t>
  </si>
  <si>
    <t>all:DURATION#11</t>
  </si>
  <si>
    <t>all:DURATION#12</t>
  </si>
  <si>
    <t>all:DURATION#13</t>
  </si>
  <si>
    <t>all:DURATION#14</t>
  </si>
  <si>
    <t>all:DURATION#15</t>
  </si>
  <si>
    <t>all:DURATION#16</t>
  </si>
  <si>
    <t>all:DURATION#17</t>
  </si>
  <si>
    <t>all:DURATION#18</t>
  </si>
  <si>
    <t>all:DURATION#19</t>
  </si>
  <si>
    <t>all:DURATION#20</t>
  </si>
  <si>
    <t>all:DURATION#21</t>
  </si>
  <si>
    <t>all:DURATION#22</t>
  </si>
  <si>
    <t>all:DURATION#23</t>
  </si>
  <si>
    <t>all:DURATION#24</t>
  </si>
  <si>
    <t>all:DVAR#1</t>
  </si>
  <si>
    <t>all:DVAR#2</t>
  </si>
  <si>
    <t>all:DVAR#3</t>
  </si>
  <si>
    <t>all:DVAR#4</t>
  </si>
  <si>
    <t>all:DVARP#1</t>
  </si>
  <si>
    <t>all:DVARP#2</t>
  </si>
  <si>
    <t>all:DVARP#3</t>
  </si>
  <si>
    <t>all:DVARP#4</t>
  </si>
  <si>
    <t>all:EDATE#1</t>
  </si>
  <si>
    <t>all:EDATE#2</t>
  </si>
  <si>
    <t>all:EDATE#3</t>
  </si>
  <si>
    <t>all:EDATE#4</t>
  </si>
  <si>
    <t>all:EDATE#5</t>
  </si>
  <si>
    <t>all:EDATE#6</t>
  </si>
  <si>
    <t>all:EDATE#7</t>
  </si>
  <si>
    <t>all:EDATE#8</t>
  </si>
  <si>
    <t>all:EFFECT#1</t>
  </si>
  <si>
    <t>all:EFFECT#2</t>
  </si>
  <si>
    <t>all:EFFECT#3</t>
  </si>
  <si>
    <t>all:EFFECT#4</t>
  </si>
  <si>
    <t>all:EFFECT#5</t>
  </si>
  <si>
    <t>all:EFFECT#6</t>
  </si>
  <si>
    <t>all:EFFECT#7</t>
  </si>
  <si>
    <t>all:EFFECT#8</t>
  </si>
  <si>
    <t>all:EOMONTH#1</t>
  </si>
  <si>
    <t>all:EOMONTH#2</t>
  </si>
  <si>
    <t>all:EOMONTH#3</t>
  </si>
  <si>
    <t>all:EOMONTH#4</t>
  </si>
  <si>
    <t>all:EOMONTH#5</t>
  </si>
  <si>
    <t>all:EOMONTH#6</t>
  </si>
  <si>
    <t>all:EOMONTH#7</t>
  </si>
  <si>
    <t>all:EOMONTH#8</t>
  </si>
  <si>
    <t>all:ERF#1</t>
  </si>
  <si>
    <t>all:ERF#2</t>
  </si>
  <si>
    <t>all:ERF#3</t>
  </si>
  <si>
    <t>all:ERF#4</t>
  </si>
  <si>
    <t>all:ERF#5</t>
  </si>
  <si>
    <t>all:EXACT#1</t>
  </si>
  <si>
    <t>all:EXACT#2</t>
  </si>
  <si>
    <t>all:EXACT#3</t>
  </si>
  <si>
    <t>all:EXACT#4</t>
  </si>
  <si>
    <t>all:EXACT#5</t>
  </si>
  <si>
    <t>all:EXACT#6</t>
  </si>
  <si>
    <t>all:EXACT#7</t>
  </si>
  <si>
    <t>all:EXACT#8</t>
  </si>
  <si>
    <t>all:EXPON.DIST#1</t>
  </si>
  <si>
    <t>all:EXPON.DIST#2</t>
  </si>
  <si>
    <t>all:EXPON.DIST#3</t>
  </si>
  <si>
    <t>all:EXPON.DIST#4</t>
  </si>
  <si>
    <t>all:EXPON.DIST#5</t>
  </si>
  <si>
    <t>all:EXPON.DIST#6</t>
  </si>
  <si>
    <t>all:EXPON.DIST#7</t>
  </si>
  <si>
    <t>all:EXPON.DIST#8</t>
  </si>
  <si>
    <t>all:EXPON.DIST#9</t>
  </si>
  <si>
    <t>all:EXPON.DIST#10</t>
  </si>
  <si>
    <t>all:EXPON.DIST#11</t>
  </si>
  <si>
    <t>all:EXPON.DIST#12</t>
  </si>
  <si>
    <t>all:EXPONDIST#1</t>
  </si>
  <si>
    <t>all:EXPONDIST#2</t>
  </si>
  <si>
    <t>all:EXPONDIST#3</t>
  </si>
  <si>
    <t>all:EXPONDIST#4</t>
  </si>
  <si>
    <t>all:EXPONDIST#5</t>
  </si>
  <si>
    <t>all:EXPONDIST#6</t>
  </si>
  <si>
    <t>all:EXPONDIST#7</t>
  </si>
  <si>
    <t>all:EXPONDIST#8</t>
  </si>
  <si>
    <t>all:EXPONDIST#9</t>
  </si>
  <si>
    <t>all:EXPONDIST#10</t>
  </si>
  <si>
    <t>all:EXPONDIST#11</t>
  </si>
  <si>
    <t>all:EXPONDIST#12</t>
  </si>
  <si>
    <t>all:F.DIST#1</t>
  </si>
  <si>
    <t>all:F.DIST#2</t>
  </si>
  <si>
    <t>all:F.DIST#3</t>
  </si>
  <si>
    <t>all:F.DIST#4</t>
  </si>
  <si>
    <t>all:F.DIST#5</t>
  </si>
  <si>
    <t>all:F.DIST#6</t>
  </si>
  <si>
    <t>all:F.DIST#7</t>
  </si>
  <si>
    <t>all:F.DIST#8</t>
  </si>
  <si>
    <t>all:F.DIST#9</t>
  </si>
  <si>
    <t>all:F.DIST#10</t>
  </si>
  <si>
    <t>all:F.DIST#11</t>
  </si>
  <si>
    <t>all:F.DIST#12</t>
  </si>
  <si>
    <t>all:F.DIST#13</t>
  </si>
  <si>
    <t>all:F.DIST#14</t>
  </si>
  <si>
    <t>all:F.DIST#15</t>
  </si>
  <si>
    <t>all:F.DIST#16</t>
  </si>
  <si>
    <t>all:F.DIST.RT#1</t>
  </si>
  <si>
    <t>all:F.DIST.RT#2</t>
  </si>
  <si>
    <t>all:F.DIST.RT#3</t>
  </si>
  <si>
    <t>all:F.DIST.RT#4</t>
  </si>
  <si>
    <t>all:F.DIST.RT#5</t>
  </si>
  <si>
    <t>all:F.DIST.RT#6</t>
  </si>
  <si>
    <t>all:F.DIST.RT#7</t>
  </si>
  <si>
    <t>all:F.DIST.RT#8</t>
  </si>
  <si>
    <t>all:F.DIST.RT#9</t>
  </si>
  <si>
    <t>all:F.DIST.RT#10</t>
  </si>
  <si>
    <t>all:F.DIST.RT#11</t>
  </si>
  <si>
    <t>all:F.DIST.RT#12</t>
  </si>
  <si>
    <t>all:F.INV#1</t>
  </si>
  <si>
    <t>all:F.INV#2</t>
  </si>
  <si>
    <t>all:F.INV#3</t>
  </si>
  <si>
    <t>all:F.INV#4</t>
  </si>
  <si>
    <t>all:F.INV#5</t>
  </si>
  <si>
    <t>all:F.INV#6</t>
  </si>
  <si>
    <t>all:F.INV#7</t>
  </si>
  <si>
    <t>all:F.INV#8</t>
  </si>
  <si>
    <t>all:F.INV#9</t>
  </si>
  <si>
    <t>all:F.INV#10</t>
  </si>
  <si>
    <t>all:F.INV#11</t>
  </si>
  <si>
    <t>all:F.INV#12</t>
  </si>
  <si>
    <t>all:F.INV.RT#1</t>
  </si>
  <si>
    <t>all:F.INV.RT#2</t>
  </si>
  <si>
    <t>all:F.INV.RT#3</t>
  </si>
  <si>
    <t>all:F.INV.RT#4</t>
  </si>
  <si>
    <t>all:F.INV.RT#5</t>
  </si>
  <si>
    <t>all:F.INV.RT#6</t>
  </si>
  <si>
    <t>all:F.INV.RT#7</t>
  </si>
  <si>
    <t>all:F.INV.RT#8</t>
  </si>
  <si>
    <t>all:F.INV.RT#9</t>
  </si>
  <si>
    <t>all:F.INV.RT#10</t>
  </si>
  <si>
    <t>all:F.INV.RT#11</t>
  </si>
  <si>
    <t>all:F.INV.RT#12</t>
  </si>
  <si>
    <t>all:F.TEST#1</t>
  </si>
  <si>
    <t>all:F.TEST#2</t>
  </si>
  <si>
    <t>all:F.TEST#3</t>
  </si>
  <si>
    <t>all:F.TEST#4</t>
  </si>
  <si>
    <t>all:F.TEST#5</t>
  </si>
  <si>
    <t>all:F.TEST#6</t>
  </si>
  <si>
    <t>all:F.TEST#7</t>
  </si>
  <si>
    <t>all:F.TEST#8</t>
  </si>
  <si>
    <t>all:FDIST#1</t>
  </si>
  <si>
    <t>all:FDIST#2</t>
  </si>
  <si>
    <t>all:FDIST#3</t>
  </si>
  <si>
    <t>all:FDIST#4</t>
  </si>
  <si>
    <t>all:FDIST#5</t>
  </si>
  <si>
    <t>all:FDIST#6</t>
  </si>
  <si>
    <t>all:FDIST#7</t>
  </si>
  <si>
    <t>all:FDIST#8</t>
  </si>
  <si>
    <t>all:FDIST#9</t>
  </si>
  <si>
    <t>all:FDIST#10</t>
  </si>
  <si>
    <t>all:FDIST#11</t>
  </si>
  <si>
    <t>all:FDIST#12</t>
  </si>
  <si>
    <t>all:FIND#1</t>
  </si>
  <si>
    <t>all:FIND#2</t>
  </si>
  <si>
    <t>all:FIND#3</t>
  </si>
  <si>
    <t>all:FIND#4</t>
  </si>
  <si>
    <t>all:FIND#5</t>
  </si>
  <si>
    <t>all:FIND#6</t>
  </si>
  <si>
    <t>all:FIND#7</t>
  </si>
  <si>
    <t>all:FIND#8</t>
  </si>
  <si>
    <t>all:FIND#9</t>
  </si>
  <si>
    <t>all:FIND#10</t>
  </si>
  <si>
    <t>all:FIND#11</t>
  </si>
  <si>
    <t>all:FIND#12</t>
  </si>
  <si>
    <t>all:FIND#13</t>
  </si>
  <si>
    <t>all:FINDB#1</t>
  </si>
  <si>
    <t>all:FINDB#2</t>
  </si>
  <si>
    <t>all:FINDB#3</t>
  </si>
  <si>
    <t>all:FINDB#4</t>
  </si>
  <si>
    <t>all:FINDB#5</t>
  </si>
  <si>
    <t>all:FINDB#6</t>
  </si>
  <si>
    <t>all:FINDB#7</t>
  </si>
  <si>
    <t>all:FINDB#8</t>
  </si>
  <si>
    <t>all:FINDB#9</t>
  </si>
  <si>
    <t>all:FINDB#10</t>
  </si>
  <si>
    <t>all:FINDB#11</t>
  </si>
  <si>
    <t>all:FINDB#12</t>
  </si>
  <si>
    <t>all:FINDB#13</t>
  </si>
  <si>
    <t>all:FINV#1</t>
  </si>
  <si>
    <t>all:FINV#2</t>
  </si>
  <si>
    <t>all:FINV#3</t>
  </si>
  <si>
    <t>all:FINV#4</t>
  </si>
  <si>
    <t>all:FINV#5</t>
  </si>
  <si>
    <t>all:FINV#6</t>
  </si>
  <si>
    <t>all:FINV#7</t>
  </si>
  <si>
    <t>all:FINV#8</t>
  </si>
  <si>
    <t>all:FINV#9</t>
  </si>
  <si>
    <t>all:FINV#10</t>
  </si>
  <si>
    <t>all:FINV#11</t>
  </si>
  <si>
    <t>all:FINV#12</t>
  </si>
  <si>
    <t>all:FIXED#1</t>
  </si>
  <si>
    <t>all:FIXED#2</t>
  </si>
  <si>
    <t>all:FIXED#3</t>
  </si>
  <si>
    <t>all:FIXED#4</t>
  </si>
  <si>
    <t>all:FIXED#5</t>
  </si>
  <si>
    <t>all:FIXED#6</t>
  </si>
  <si>
    <t>all:FIXED#7</t>
  </si>
  <si>
    <t>all:FIXED#8</t>
  </si>
  <si>
    <t>all:FIXED#9</t>
  </si>
  <si>
    <t>all:FIXED#10</t>
  </si>
  <si>
    <t>all:FIXED#11</t>
  </si>
  <si>
    <t>all:FIXED#12</t>
  </si>
  <si>
    <t>all:FIXED#13</t>
  </si>
  <si>
    <t>all:FLOOR#1</t>
  </si>
  <si>
    <t>all:FLOOR#2</t>
  </si>
  <si>
    <t>all:FLOOR#3</t>
  </si>
  <si>
    <t>all:FLOOR#4</t>
  </si>
  <si>
    <t>all:FLOOR#5</t>
  </si>
  <si>
    <t>all:FLOOR#6</t>
  </si>
  <si>
    <t>all:FLOOR#7</t>
  </si>
  <si>
    <t>all:FLOOR#8</t>
  </si>
  <si>
    <t>all:FLOOR.MATH#1</t>
  </si>
  <si>
    <t>all:FLOOR.MATH#2</t>
  </si>
  <si>
    <t>all:FLOOR.MATH#3</t>
  </si>
  <si>
    <t>all:FLOOR.MATH#4</t>
  </si>
  <si>
    <t>all:FLOOR.MATH#5</t>
  </si>
  <si>
    <t>all:FLOOR.MATH#6</t>
  </si>
  <si>
    <t>all:FLOOR.MATH#7</t>
  </si>
  <si>
    <t>all:FLOOR.MATH#8</t>
  </si>
  <si>
    <t>all:FLOOR.MATH#9</t>
  </si>
  <si>
    <t>all:FLOOR.MATH#10</t>
  </si>
  <si>
    <t>all:FLOOR.MATH#11</t>
  </si>
  <si>
    <t>all:FLOOR.MATH#12</t>
  </si>
  <si>
    <t>all:FLOOR.MATH#13</t>
  </si>
  <si>
    <t>all:FLOOR.PRECISE#1</t>
  </si>
  <si>
    <t>all:FLOOR.PRECISE#2</t>
  </si>
  <si>
    <t>all:FLOOR.PRECISE#3</t>
  </si>
  <si>
    <t>all:FLOOR.PRECISE#4</t>
  </si>
  <si>
    <t>all:FLOOR.PRECISE#5</t>
  </si>
  <si>
    <t>all:FLOOR.PRECISE#6</t>
  </si>
  <si>
    <t>all:FLOOR.PRECISE#7</t>
  </si>
  <si>
    <t>all:FLOOR.PRECISE#8</t>
  </si>
  <si>
    <t>all:FORECAST#1</t>
  </si>
  <si>
    <t>all:FORECAST#2</t>
  </si>
  <si>
    <t>all:FORECAST#3</t>
  </si>
  <si>
    <t>all:FORECAST#4</t>
  </si>
  <si>
    <t>all:FORECAST#5</t>
  </si>
  <si>
    <t>all:FORECAST#6</t>
  </si>
  <si>
    <t>all:FORECAST#7</t>
  </si>
  <si>
    <t>all:FORECAST#8</t>
  </si>
  <si>
    <t>all:FORECAST#9</t>
  </si>
  <si>
    <t>all:FORECAST#10</t>
  </si>
  <si>
    <t>all:FORECAST#11</t>
  </si>
  <si>
    <t>all:FORECAST#12</t>
  </si>
  <si>
    <t>all:FORECAST.LINEAR#1</t>
  </si>
  <si>
    <t>all:FORECAST.LINEAR#2</t>
  </si>
  <si>
    <t>all:FORECAST.LINEAR#3</t>
  </si>
  <si>
    <t>all:FORECAST.LINEAR#4</t>
  </si>
  <si>
    <t>all:FORECAST.LINEAR#5</t>
  </si>
  <si>
    <t>all:FORECAST.LINEAR#6</t>
  </si>
  <si>
    <t>all:FORECAST.LINEAR#7</t>
  </si>
  <si>
    <t>all:FORECAST.LINEAR#8</t>
  </si>
  <si>
    <t>all:FORECAST.LINEAR#9</t>
  </si>
  <si>
    <t>all:FORECAST.LINEAR#10</t>
  </si>
  <si>
    <t>all:FORECAST.LINEAR#11</t>
  </si>
  <si>
    <t>all:FORECAST.LINEAR#12</t>
  </si>
  <si>
    <t>all:FTEST#1</t>
  </si>
  <si>
    <t>all:FTEST#2</t>
  </si>
  <si>
    <t>all:FTEST#3</t>
  </si>
  <si>
    <t>all:FTEST#4</t>
  </si>
  <si>
    <t>all:FTEST#5</t>
  </si>
  <si>
    <t>all:FTEST#6</t>
  </si>
  <si>
    <t>all:FTEST#7</t>
  </si>
  <si>
    <t>all:FTEST#8</t>
  </si>
  <si>
    <t>all:FV#1</t>
  </si>
  <si>
    <t>all:FV#2</t>
  </si>
  <si>
    <t>all:FV#3</t>
  </si>
  <si>
    <t>all:FV#4</t>
  </si>
  <si>
    <t>all:FV#5</t>
  </si>
  <si>
    <t>all:FV#6</t>
  </si>
  <si>
    <t>all:FV#7</t>
  </si>
  <si>
    <t>all:FV#8</t>
  </si>
  <si>
    <t>all:FV#9</t>
  </si>
  <si>
    <t>all:FV#10</t>
  </si>
  <si>
    <t>all:FV#11</t>
  </si>
  <si>
    <t>all:FV#12</t>
  </si>
  <si>
    <t>all:FV#13</t>
  </si>
  <si>
    <t>all:FV#14</t>
  </si>
  <si>
    <t>all:FV#15</t>
  </si>
  <si>
    <t>all:FV#16</t>
  </si>
  <si>
    <t>all:FV#17</t>
  </si>
  <si>
    <t>all:FV#18</t>
  </si>
  <si>
    <t>all:FV#19</t>
  </si>
  <si>
    <t>all:FV#20</t>
  </si>
  <si>
    <t>all:FVSCHEDULE#1</t>
  </si>
  <si>
    <t>all:FVSCHEDULE#2</t>
  </si>
  <si>
    <t>all:FVSCHEDULE#3</t>
  </si>
  <si>
    <t>all:FVSCHEDULE#4</t>
  </si>
  <si>
    <t>all:FVSCHEDULE#5</t>
  </si>
  <si>
    <t>all:FVSCHEDULE#6</t>
  </si>
  <si>
    <t>all:FVSCHEDULE#7</t>
  </si>
  <si>
    <t>all:FVSCHEDULE#8</t>
  </si>
  <si>
    <t>all:GAMMA.DIST#1</t>
  </si>
  <si>
    <t>all:GAMMA.DIST#2</t>
  </si>
  <si>
    <t>all:GAMMA.DIST#3</t>
  </si>
  <si>
    <t>all:GAMMA.DIST#4</t>
  </si>
  <si>
    <t>all:GAMMA.DIST#5</t>
  </si>
  <si>
    <t>all:GAMMA.DIST#6</t>
  </si>
  <si>
    <t>all:GAMMA.DIST#7</t>
  </si>
  <si>
    <t>all:GAMMA.DIST#8</t>
  </si>
  <si>
    <t>all:GAMMA.DIST#9</t>
  </si>
  <si>
    <t>all:GAMMA.DIST#10</t>
  </si>
  <si>
    <t>all:GAMMA.DIST#11</t>
  </si>
  <si>
    <t>all:GAMMA.DIST#12</t>
  </si>
  <si>
    <t>all:GAMMA.DIST#13</t>
  </si>
  <si>
    <t>all:GAMMA.DIST#14</t>
  </si>
  <si>
    <t>all:GAMMA.DIST#15</t>
  </si>
  <si>
    <t>all:GAMMA.DIST#16</t>
  </si>
  <si>
    <t>all:GAMMA.INV#1</t>
  </si>
  <si>
    <t>all:GAMMA.INV#2</t>
  </si>
  <si>
    <t>all:GAMMA.INV#3</t>
  </si>
  <si>
    <t>all:GAMMA.INV#4</t>
  </si>
  <si>
    <t>all:GAMMA.INV#5</t>
  </si>
  <si>
    <t>all:GAMMA.INV#6</t>
  </si>
  <si>
    <t>all:GAMMA.INV#7</t>
  </si>
  <si>
    <t>all:GAMMA.INV#8</t>
  </si>
  <si>
    <t>all:GAMMA.INV#9</t>
  </si>
  <si>
    <t>all:GAMMA.INV#10</t>
  </si>
  <si>
    <t>all:GAMMA.INV#11</t>
  </si>
  <si>
    <t>all:GAMMA.INV#12</t>
  </si>
  <si>
    <t>all:GAMMADIST#1</t>
  </si>
  <si>
    <t>all:GAMMADIST#2</t>
  </si>
  <si>
    <t>all:GAMMADIST#3</t>
  </si>
  <si>
    <t>all:GAMMADIST#4</t>
  </si>
  <si>
    <t>all:GAMMADIST#5</t>
  </si>
  <si>
    <t>all:GAMMADIST#6</t>
  </si>
  <si>
    <t>all:GAMMADIST#7</t>
  </si>
  <si>
    <t>all:GAMMADIST#8</t>
  </si>
  <si>
    <t>all:GAMMADIST#9</t>
  </si>
  <si>
    <t>all:GAMMADIST#10</t>
  </si>
  <si>
    <t>all:GAMMADIST#11</t>
  </si>
  <si>
    <t>all:GAMMADIST#12</t>
  </si>
  <si>
    <t>all:GAMMADIST#13</t>
  </si>
  <si>
    <t>all:GAMMADIST#14</t>
  </si>
  <si>
    <t>all:GAMMADIST#15</t>
  </si>
  <si>
    <t>all:GAMMADIST#16</t>
  </si>
  <si>
    <t>all:GAMMAINV#1</t>
  </si>
  <si>
    <t>all:GAMMAINV#2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</si>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</sst>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DISC(43282,54058,97.975,100,FALSE)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DMAX(D!U1:Y7,,D!AA1:AB2)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DMAX(D!U1:Y7,0,D!AA1:AB2)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DMAX(D!U1:Y7,"",D!AA1:AB2)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DMAX(D!U1:Y7,FALSE,D!AA1:AB2)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DMIN(D!U1:Y7,,D!AA1:AB2)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DMIN(D!U1:Y7,0,D!AA1:AB2)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DMIN(D!U1:Y7,"",D!AA1:AB2)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DMIN(D!U1:Y7,FALSE,D!AA1:AB2)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str" cm="1">
        <f t="array" ref="A10">DOLLAR(,2)</f>
        <v>$0.00</v>
      </c>
      <c r="B10">
        <f t="shared" si="0"/>
        <v>-3</v>
      </c>
      <c r="C10">
        <f t="shared" si="1"/>
        <v>0</v>
      </c>
      <c r="D10" t="str">
        <f t="shared" si="2"/>
        <v>$0.00</v>
      </c>
      <c r="E10" t="s">
        <v>44</v>
      </c>
    </row>
    <row r="11" spans="1:5" x14ac:dyDescent="0.2">
      <c r="A11" t="str" cm="1">
        <f t="array" ref="A11">DOLLAR(0,2)</f>
        <v>$0.00</v>
      </c>
      <c r="B11">
        <f t="shared" si="0"/>
        <v>-3</v>
      </c>
      <c r="C11">
        <f t="shared" si="1"/>
        <v>0</v>
      </c>
      <c r="D11" t="str">
        <f t="shared" si="2"/>
        <v>$0.00</v>
      </c>
      <c r="E11" t="s">
        <v>45</v>
      </c>
    </row>
    <row r="12" spans="1:5" x14ac:dyDescent="0.2">
      <c r="A12" t="e" cm="1">
        <f t="array" ref="A12">DOLLAR("",2)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str" cm="1">
        <f t="array" ref="A13">DOLLAR(FALSE,2)</f>
        <v>$0.00</v>
      </c>
      <c r="B13">
        <f t="shared" si="0"/>
        <v>-3</v>
      </c>
      <c r="C13">
        <f t="shared" si="1"/>
        <v>0</v>
      </c>
      <c r="D13" t="str">
        <f t="shared" si="2"/>
        <v>$0.00</v>
      </c>
      <c r="E13" t="s">
        <v>47</v>
      </c>
    </row>
    <row r="14" spans="1:5" x14ac:dyDescent="0.2">
      <c r="A14" t="str" cm="1">
        <f t="array" ref="A14">DOLLAR(1234.567,)</f>
        <v>$1,235</v>
      </c>
      <c r="B14">
        <f t="shared" si="0"/>
        <v>-3</v>
      </c>
      <c r="C14">
        <f t="shared" si="1"/>
        <v>0</v>
      </c>
      <c r="D14" t="str">
        <f t="shared" si="2"/>
        <v>$1,235</v>
      </c>
      <c r="E14" t="s">
        <v>48</v>
      </c>
    </row>
    <row r="15" spans="1:5" x14ac:dyDescent="0.2">
      <c r="A15" t="str" cm="1">
        <f t="array" ref="A15">DOLLAR(1234.567,0)</f>
        <v>$1,235</v>
      </c>
      <c r="B15">
        <f t="shared" si="0"/>
        <v>-3</v>
      </c>
      <c r="C15">
        <f t="shared" si="1"/>
        <v>0</v>
      </c>
      <c r="D15" t="str">
        <f t="shared" si="2"/>
        <v>$1,235</v>
      </c>
      <c r="E15" t="s">
        <v>49</v>
      </c>
    </row>
    <row r="16" spans="1:5" x14ac:dyDescent="0.2">
      <c r="A16" t="e" cm="1">
        <f t="array" ref="A16">DOLLAR(1234.567,"")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str" cm="1">
        <f t="array" ref="A17">DOLLAR(1234.567,FALSE)</f>
        <v>$1,235</v>
      </c>
      <c r="B17">
        <f t="shared" si="0"/>
        <v>-3</v>
      </c>
      <c r="C17">
        <f t="shared" si="1"/>
        <v>0</v>
      </c>
      <c r="D17" t="str">
        <f t="shared" si="2"/>
        <v>$1,235</v>
      </c>
      <c r="E17" t="s">
        <v>51</v>
      </c>
    </row>
    <row r="18" spans="1:5" x14ac:dyDescent="0.2">
      <c r="A18" t="e" cm="1">
        <f t="array" ref="A18">DOLLARDE(,16)</f>
        <v>#N/A</v>
      </c>
      <c r="B18">
        <f t="shared" si="0"/>
        <v>7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cm="1">
        <f t="array" ref="A19">DOLLARDE(0,16)</f>
        <v>0</v>
      </c>
      <c r="B19">
        <f t="shared" si="0"/>
        <v>0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DOLLARDE("",16)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DOLLARDE(FALSE,16)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DOLLARDE(1.02,)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DOLLARDE(1.02,0)</f>
        <v>#DIV/0!</v>
      </c>
      <c r="B23">
        <f t="shared" si="0"/>
        <v>2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DOLLARDE(1.02,"")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DOLLARDE(1.02,FALSE)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DOLLARFR(,16)</f>
        <v>#N/A</v>
      </c>
      <c r="B26">
        <f t="shared" si="0"/>
        <v>7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cm="1">
        <f t="array" ref="A27">DOLLARFR(0,16)</f>
        <v>0</v>
      </c>
      <c r="B27">
        <f t="shared" si="0"/>
        <v>0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DOLLARFR("",16)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DOLLARFR(FALSE,16)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DOLLARFR(1.125,)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DOLLARFR(1.125,0)</f>
        <v>#DIV/0!</v>
      </c>
      <c r="B31">
        <f t="shared" si="0"/>
        <v>2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DOLLARFR(1.125,"")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DOLLARFR(1.125,FALSE)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DPRODUCT(D!U1:Y7,,D!AA1:AB2)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DPRODUCT(D!U1:Y7,0,D!AA1:AB2)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DPRODUCT(D!U1:Y7,"",D!AA1:AB2)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DPRODUCT(D!U1:Y7,FALSE,D!AA1:AB2)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e" cm="1">
        <f t="array" ref="A38">DSTDEV(D!U1:Y7,,D!AA1:AB2)</f>
        <v>#VALUE!</v>
      </c>
      <c r="B38">
        <f t="shared" si="0"/>
        <v>3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DSTDEV(D!U1:Y7,0,D!AA1:AB2)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DSTDEV(D!U1:Y7,"",D!AA1:AB2)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DSTDEV(D!U1:Y7,FALSE,D!AA1:AB2)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DSTDEVP(D!U1:Y7,,D!AA1:AB2)</f>
        <v>#VALUE!</v>
      </c>
      <c r="B42">
        <f t="shared" si="0"/>
        <v>3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DSTDEVP(D!U1:Y7,0,D!AA1:AB2)</f>
        <v>#VALUE!</v>
      </c>
      <c r="B43">
        <f t="shared" si="0"/>
        <v>3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DSTDEVP(D!U1:Y7,"",D!AA1:AB2)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DSTDEVP(D!U1:Y7,FALSE,D!AA1:AB2)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DSUM(D!U1:Y7,,D!AA1:AB2)</f>
        <v>#VALUE!</v>
      </c>
      <c r="B46">
        <f t="shared" si="0"/>
        <v>3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DSUM(D!U1:Y7,0,D!AA1:AB2)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DSUM(D!U1:Y7,"",D!AA1:AB2)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DSUM(D!U1:Y7,FALSE,D!AA1:AB2)</f>
        <v>#VALUE!</v>
      </c>
      <c r="B49">
        <f t="shared" si="0"/>
        <v>3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DURATION(,DATE(2048,1,1),0.08,0.09,2,1)</f>
        <v>#N/A</v>
      </c>
      <c r="B50">
        <f t="shared" si="0"/>
        <v>7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DURATION(0,DATE(2048,1,1),0.08,0.09,2,1)</f>
        <v>#NUM!</v>
      </c>
      <c r="B51">
        <f t="shared" si="0"/>
        <v>6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DURATION("",DATE(2048,1,1),0.08,0.09,2,1)</f>
        <v>#VALUE!</v>
      </c>
      <c r="B52">
        <f t="shared" si="0"/>
        <v>3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DURATION(FALSE,DATE(2048,1,1),0.08,0.09,2,1)</f>
        <v>#VALUE!</v>
      </c>
      <c r="B53">
        <f t="shared" si="0"/>
        <v>3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e" cm="1">
        <f t="array" ref="A54">DURATION(DATE(2018,7,1),,0.08,0.09,2,1)</f>
        <v>#N/A</v>
      </c>
      <c r="B54">
        <f t="shared" si="0"/>
        <v>7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DURATION(DATE(2018,7,1),0,0.08,0.09,2,1)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DURATION(DATE(2018,7,1),"",0.08,0.09,2,1)</f>
        <v>#VALUE!</v>
      </c>
      <c r="B56">
        <f t="shared" si="0"/>
        <v>3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DURATION(DATE(2018,7,1),FALSE,0.08,0.09,2,1)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DURATION(DATE(2018,7,1),DATE(2048,1,1),,0.09,2,1)</f>
        <v>#N/A</v>
      </c>
      <c r="B58">
        <f t="shared" si="0"/>
        <v>7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cm="1">
        <f t="array" ref="A59">DURATION(DATE(2018,7,1),DATE(2048,1,1),0,0.09,2,1)</f>
        <v>29.499999999999996</v>
      </c>
      <c r="B59">
        <f t="shared" si="0"/>
        <v>0</v>
      </c>
      <c r="C59">
        <f t="shared" si="1"/>
        <v>29.499999999999996</v>
      </c>
      <c r="D59" t="str">
        <f t="shared" si="2"/>
        <v/>
      </c>
      <c r="E59" t="s">
        <v>93</v>
      </c>
    </row>
    <row r="60" spans="1:5" x14ac:dyDescent="0.2">
      <c r="A60" t="e" cm="1">
        <f t="array" ref="A60">DURATION(DATE(2018,7,1),DATE(2048,1,1),"",0.09,2,1)</f>
        <v>#VALUE!</v>
      </c>
      <c r="B60">
        <f t="shared" si="0"/>
        <v>3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e" cm="1">
        <f t="array" ref="A61">DURATION(DATE(2018,7,1),DATE(2048,1,1),FALSE,0.09,2,1)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DURATION(DATE(2018,7,1),DATE(2048,1,1),0.08,,2,1)</f>
        <v>#N/A</v>
      </c>
      <c r="B62">
        <f t="shared" si="0"/>
        <v>7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cm="1">
        <f t="array" ref="A63">DURATION(DATE(2018,7,1),DATE(2048,1,1),0.08,0,2,1)</f>
        <v>19.31547619047619</v>
      </c>
      <c r="B63">
        <f t="shared" si="0"/>
        <v>0</v>
      </c>
      <c r="C63">
        <f t="shared" si="1"/>
        <v>19.31547619047619</v>
      </c>
      <c r="D63" t="str">
        <f t="shared" si="2"/>
        <v/>
      </c>
      <c r="E63" t="s">
        <v>97</v>
      </c>
    </row>
    <row r="64" spans="1:5" x14ac:dyDescent="0.2">
      <c r="A64" t="e" cm="1">
        <f t="array" ref="A64">DURATION(DATE(2018,7,1),DATE(2048,1,1),0.08,"",2,1)</f>
        <v>#VALUE!</v>
      </c>
      <c r="B64">
        <f t="shared" si="0"/>
        <v>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e" cm="1">
        <f t="array" ref="A65">DURATION(DATE(2018,7,1),DATE(2048,1,1),0.08,FALSE,2,1)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e" cm="1">
        <f t="array" ref="A66">DURATION(DATE(2018,7,1),DATE(2048,1,1),0.08,0.09,,1)</f>
        <v>#N/A</v>
      </c>
      <c r="B66">
        <f t="shared" si="3"/>
        <v>7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DURATION(DATE(2018,7,1),DATE(2048,1,1),0.08,0.09,0,1)</f>
        <v>#NUM!</v>
      </c>
      <c r="B67">
        <f t="shared" si="3"/>
        <v>6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DURATION(DATE(2018,7,1),DATE(2048,1,1),0.08,0.09,"",1)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>
        <f t="array" ref="A69">DURATION(DATE(2018,7,1),DATE(2048,1,1),0.08,0.09,FALSE,1)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cm="1">
        <f t="array" ref="A70">DURATION(DATE(2018,7,1),DATE(2048,1,1),0.08,0.09,2,)</f>
        <v>10.919145281591932</v>
      </c>
      <c r="B70">
        <f t="shared" si="3"/>
        <v>0</v>
      </c>
      <c r="C70">
        <f t="shared" si="4"/>
        <v>10.919145281591932</v>
      </c>
      <c r="D70" t="str">
        <f t="shared" si="5"/>
        <v/>
      </c>
      <c r="E70" t="s">
        <v>104</v>
      </c>
    </row>
    <row r="71" spans="1:5" x14ac:dyDescent="0.2">
      <c r="A71" cm="1">
        <f t="array" ref="A71">DURATION(DATE(2018,7,1),DATE(2048,1,1),0.08,0.09,2,0)</f>
        <v>10.919145281591932</v>
      </c>
      <c r="B71">
        <f t="shared" si="3"/>
        <v>0</v>
      </c>
      <c r="C71">
        <f t="shared" si="4"/>
        <v>10.919145281591932</v>
      </c>
      <c r="D71" t="str">
        <f t="shared" si="5"/>
        <v/>
      </c>
      <c r="E71" t="s">
        <v>105</v>
      </c>
    </row>
    <row r="72" spans="1:5" x14ac:dyDescent="0.2">
      <c r="A72" t="e" cm="1">
        <f t="array" ref="A72">DURATION(DATE(2018,7,1),DATE(2048,1,1),0.08,0.09,2,"")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DURATION(DATE(2018,7,1),DATE(2048,1,1),0.08,0.09,2,FALSE)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DVAR(D!U1:Y7,,D!AA1:AB2)</f>
        <v>#VALUE!</v>
      </c>
      <c r="B74">
        <f t="shared" si="3"/>
        <v>3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DVAR(D!U1:Y7,0,D!AA1:AB2)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DVAR(D!U1:Y7,"",D!AA1:AB2)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DVAR(D!U1:Y7,FALSE,D!AA1:AB2)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DVARP(D!U1:Y7,,D!AA1:AB2)</f>
        <v>#VALUE!</v>
      </c>
      <c r="B78">
        <f t="shared" si="3"/>
        <v>3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DVARP(D!U1:Y7,0,D!AA1:AB2)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DVARP(D!U1:Y7,"",D!AA1:AB2)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DVARP(D!U1:Y7,FALSE,D!AA1:AB2)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EDATE(,1)</f>
        <v>#N/A</v>
      </c>
      <c r="B82">
        <f t="shared" si="3"/>
        <v>7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cm="1">
        <f t="array" ref="A83">EDATE(0,1)</f>
        <v>31</v>
      </c>
      <c r="B83">
        <f t="shared" si="3"/>
        <v>0</v>
      </c>
      <c r="C83">
        <f t="shared" si="4"/>
        <v>31</v>
      </c>
      <c r="D83" t="str">
        <f t="shared" si="5"/>
        <v/>
      </c>
      <c r="E83" t="s">
        <v>117</v>
      </c>
    </row>
    <row r="84" spans="1:5" x14ac:dyDescent="0.2">
      <c r="A84" t="e" cm="1">
        <f t="array" ref="A84">EDATE("",1)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e" cm="1">
        <f t="array" ref="A85">EDATE(FALSE,1)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EDATE(40558,)</f>
        <v>#N/A</v>
      </c>
      <c r="B86">
        <f t="shared" si="3"/>
        <v>7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cm="1">
        <f t="array" ref="A87">EDATE(40558,0)</f>
        <v>40558</v>
      </c>
      <c r="B87">
        <f t="shared" si="3"/>
        <v>0</v>
      </c>
      <c r="C87">
        <f t="shared" si="4"/>
        <v>40558</v>
      </c>
      <c r="D87" t="str">
        <f t="shared" si="5"/>
        <v/>
      </c>
      <c r="E87" t="s">
        <v>121</v>
      </c>
    </row>
    <row r="88" spans="1:5" x14ac:dyDescent="0.2">
      <c r="A88" t="e" cm="1">
        <f t="array" ref="A88">EDATE(40558,"")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EDATE(40558,FALSE)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EFFECT(,4)</f>
        <v>#N/A</v>
      </c>
      <c r="B90">
        <f t="shared" si="3"/>
        <v>7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EFFECT(0,4)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EFFECT("",4)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EFFECT(FALSE,4)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EFFECT(0.0525,)</f>
        <v>#N/A</v>
      </c>
      <c r="B94">
        <f t="shared" si="3"/>
        <v>7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EFFECT(0.0525,0)</f>
        <v>#NUM!</v>
      </c>
      <c r="B95">
        <f t="shared" si="3"/>
        <v>6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EFFECT(0.0525,"")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EFFECT(0.0525,FALSE)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EOMONTH(,1)</f>
        <v>#N/A</v>
      </c>
      <c r="B98">
        <f t="shared" si="3"/>
        <v>7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cm="1">
        <f t="array" ref="A99">EOMONTH(0,1)</f>
        <v>59</v>
      </c>
      <c r="B99">
        <f t="shared" si="3"/>
        <v>0</v>
      </c>
      <c r="C99">
        <f t="shared" si="4"/>
        <v>59</v>
      </c>
      <c r="D99" t="str">
        <f t="shared" si="5"/>
        <v/>
      </c>
      <c r="E99" t="s">
        <v>133</v>
      </c>
    </row>
    <row r="100" spans="1:5" x14ac:dyDescent="0.2">
      <c r="A100" t="e" cm="1">
        <f t="array" ref="A100">EOMONTH("",1)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EOMONTH(FALSE,1)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EOMONTH(40544,)</f>
        <v>#N/A</v>
      </c>
      <c r="B102">
        <f t="shared" si="3"/>
        <v>7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cm="1">
        <f t="array" ref="A103">EOMONTH(40544,0)</f>
        <v>40574</v>
      </c>
      <c r="B103">
        <f t="shared" si="3"/>
        <v>0</v>
      </c>
      <c r="C103">
        <f t="shared" si="4"/>
        <v>40574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EOMONTH(40544,"")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EOMONTH(40544,FALSE)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ERF(0.745)</f>
        <v>0.70792892009573771</v>
      </c>
      <c r="B106">
        <f t="shared" si="3"/>
        <v>0</v>
      </c>
      <c r="C106">
        <f t="shared" si="4"/>
        <v>0.70792892009573771</v>
      </c>
      <c r="D106" t="str">
        <f t="shared" si="5"/>
        <v/>
      </c>
      <c r="E106" t="s">
        <v>140</v>
      </c>
    </row>
    <row r="107" spans="1:5" x14ac:dyDescent="0.2">
      <c r="A107" t="e" cm="1">
        <f t="array" ref="A107">ERF(0.745,)</f>
        <v>#N/A</v>
      </c>
      <c r="B107">
        <f t="shared" si="3"/>
        <v>7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cm="1">
        <f t="array" ref="A108">ERF(0.745,0)</f>
        <v>-0.70792892009573771</v>
      </c>
      <c r="B108">
        <f t="shared" si="3"/>
        <v>0</v>
      </c>
      <c r="C108">
        <f t="shared" si="4"/>
        <v>-0.70792892009573771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ERF(0.745,"")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ERF(0.745,FALSE)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b" cm="1">
        <f t="array" ref="A111">EXACT(,"word")</f>
        <v>0</v>
      </c>
      <c r="B111">
        <f t="shared" si="3"/>
        <v>-2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b" cm="1">
        <f t="array" ref="A112">EXACT(0,"word")</f>
        <v>0</v>
      </c>
      <c r="B112">
        <f t="shared" si="3"/>
        <v>-2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b" cm="1">
        <f t="array" ref="A113">EXACT("","word")</f>
        <v>0</v>
      </c>
      <c r="B113">
        <f t="shared" si="3"/>
        <v>-2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b" cm="1">
        <f t="array" ref="A114">EXACT(FALSE,"word")</f>
        <v>0</v>
      </c>
      <c r="B114">
        <f t="shared" si="3"/>
        <v>-2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b" cm="1">
        <f t="array" ref="A115">EXACT("word",)</f>
        <v>0</v>
      </c>
      <c r="B115">
        <f t="shared" si="3"/>
        <v>-2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b" cm="1">
        <f t="array" ref="A116">EXACT("word",0)</f>
        <v>0</v>
      </c>
      <c r="B116">
        <f t="shared" si="3"/>
        <v>-2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b" cm="1">
        <f t="array" ref="A117">EXACT("word","")</f>
        <v>0</v>
      </c>
      <c r="B117">
        <f t="shared" si="3"/>
        <v>-2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b" cm="1">
        <f t="array" ref="A118">EXACT("word",FALSE)</f>
        <v>0</v>
      </c>
      <c r="B118">
        <f t="shared" si="3"/>
        <v>-2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cm="1">
        <f t="array" ref="A119">_xlfn.EXPON.DIST(,10,TRUE)</f>
        <v>0</v>
      </c>
      <c r="B119">
        <f t="shared" si="3"/>
        <v>0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cm="1">
        <f t="array" ref="A120">_xlfn.EXPON.DIST(0,10,TRUE)</f>
        <v>0</v>
      </c>
      <c r="B120">
        <f t="shared" si="3"/>
        <v>0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_xlfn.EXPON.DIST("",10,TRUE)</f>
        <v>#VALUE!</v>
      </c>
      <c r="B121">
        <f t="shared" si="3"/>
        <v>3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cm="1">
        <f t="array" ref="A122">_xlfn.EXPON.DIST(FALSE,10,TRUE)</f>
        <v>0</v>
      </c>
      <c r="B122">
        <f t="shared" si="3"/>
        <v>0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_xlfn.EXPON.DIST(0.2,,TRUE)</f>
        <v>#NUM!</v>
      </c>
      <c r="B123">
        <f t="shared" si="3"/>
        <v>6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_xlfn.EXPON.DIST(0.2,0,TRUE)</f>
        <v>#NUM!</v>
      </c>
      <c r="B124">
        <f t="shared" si="3"/>
        <v>6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_xlfn.EXPON.DIST(0.2,"",TRUE)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_xlfn.EXPON.DIST(0.2,FALSE,TRUE)</f>
        <v>#NUM!</v>
      </c>
      <c r="B126">
        <f t="shared" si="3"/>
        <v>6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cm="1">
        <f t="array" ref="A127">_xlfn.EXPON.DIST(0.2,10,)</f>
        <v>1.353352832366127</v>
      </c>
      <c r="B127">
        <f t="shared" si="3"/>
        <v>0</v>
      </c>
      <c r="C127">
        <f t="shared" si="4"/>
        <v>1.353352832366127</v>
      </c>
      <c r="D127" t="str">
        <f t="shared" si="5"/>
        <v/>
      </c>
      <c r="E127" t="s">
        <v>161</v>
      </c>
    </row>
    <row r="128" spans="1:5" x14ac:dyDescent="0.2">
      <c r="A128" cm="1">
        <f t="array" ref="A128">_xlfn.EXPON.DIST(0.2,10,0)</f>
        <v>1.353352832366127</v>
      </c>
      <c r="B128">
        <f t="shared" si="3"/>
        <v>0</v>
      </c>
      <c r="C128">
        <f t="shared" si="4"/>
        <v>1.353352832366127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_xlfn.EXPON.DIST(0.2,10,"")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_xlfn.EXPON.DIST(0.2,10,FALSE)</f>
        <v>1.353352832366127</v>
      </c>
      <c r="B130">
        <f t="shared" si="6"/>
        <v>0</v>
      </c>
      <c r="C130">
        <f t="shared" si="7"/>
        <v>1.353352832366127</v>
      </c>
      <c r="D130" t="str">
        <f t="shared" si="8"/>
        <v/>
      </c>
      <c r="E130" t="s">
        <v>164</v>
      </c>
    </row>
    <row r="131" spans="1:5" x14ac:dyDescent="0.2">
      <c r="A131" cm="1">
        <f t="array" ref="A131">EXPONDIST(,10,TRUE)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cm="1">
        <f t="array" ref="A132">EXPONDIST(0,10,TRUE)</f>
        <v>0</v>
      </c>
      <c r="B132">
        <f t="shared" si="6"/>
        <v>0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EXPONDIST("",10,TRUE)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cm="1">
        <f t="array" ref="A134">EXPONDIST(FALSE,10,TRUE)</f>
        <v>0</v>
      </c>
      <c r="B134">
        <f t="shared" si="6"/>
        <v>0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EXPONDIST(0.2,,TRUE)</f>
        <v>#NUM!</v>
      </c>
      <c r="B135">
        <f t="shared" si="6"/>
        <v>6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EXPONDIST(0.2,0,TRUE)</f>
        <v>#NUM!</v>
      </c>
      <c r="B136">
        <f t="shared" si="6"/>
        <v>6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EXPONDIST(0.2,"",TRUE)</f>
        <v>#VALUE!</v>
      </c>
      <c r="B137">
        <f t="shared" si="6"/>
        <v>3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EXPONDIST(0.2,FALSE,TRUE)</f>
        <v>#NUM!</v>
      </c>
      <c r="B138">
        <f t="shared" si="6"/>
        <v>6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cm="1">
        <f t="array" ref="A139">EXPONDIST(0.2,10,)</f>
        <v>1.353352832366127</v>
      </c>
      <c r="B139">
        <f t="shared" si="6"/>
        <v>0</v>
      </c>
      <c r="C139">
        <f t="shared" si="7"/>
        <v>1.353352832366127</v>
      </c>
      <c r="D139" t="str">
        <f t="shared" si="8"/>
        <v/>
      </c>
      <c r="E139" t="s">
        <v>173</v>
      </c>
    </row>
    <row r="140" spans="1:5" x14ac:dyDescent="0.2">
      <c r="A140" cm="1">
        <f t="array" ref="A140">EXPONDIST(0.2,10,0)</f>
        <v>1.353352832366127</v>
      </c>
      <c r="B140">
        <f t="shared" si="6"/>
        <v>0</v>
      </c>
      <c r="C140">
        <f t="shared" si="7"/>
        <v>1.353352832366127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EXPONDIST(0.2,10,"")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EXPONDIST(0.2,10,FALSE)</f>
        <v>1.353352832366127</v>
      </c>
      <c r="B142">
        <f t="shared" si="6"/>
        <v>0</v>
      </c>
      <c r="C142">
        <f t="shared" si="7"/>
        <v>1.353352832366127</v>
      </c>
      <c r="D142" t="str">
        <f t="shared" si="8"/>
        <v/>
      </c>
      <c r="E142" t="s">
        <v>176</v>
      </c>
    </row>
    <row r="143" spans="1:5" x14ac:dyDescent="0.2">
      <c r="A143" cm="1">
        <f t="array" ref="A143">_xlfn.F.DIST(,6,4,TRUE)</f>
        <v>0</v>
      </c>
      <c r="B143">
        <f t="shared" si="6"/>
        <v>0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cm="1">
        <f t="array" ref="A144">_xlfn.F.DIST(0,6,4,TRUE)</f>
        <v>0</v>
      </c>
      <c r="B144">
        <f t="shared" si="6"/>
        <v>0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_xlfn.F.DIST("",6,4,TRUE)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cm="1">
        <f t="array" ref="A146">_xlfn.F.DIST(FALSE,6,4,TRUE)</f>
        <v>0</v>
      </c>
      <c r="B146">
        <f t="shared" si="6"/>
        <v>0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e" cm="1">
        <f t="array" ref="A147">_xlfn.F.DIST(15.2069,,4,TRUE)</f>
        <v>#NUM!</v>
      </c>
      <c r="B147">
        <f t="shared" si="6"/>
        <v>6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_xlfn.F.DIST(15.2069,0,4,TRUE)</f>
        <v>#NUM!</v>
      </c>
      <c r="B148">
        <f t="shared" si="6"/>
        <v>6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_xlfn.F.DIST(15.2069,"",4,TRUE)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_xlfn.F.DIST(15.2069,FALSE,4,TRUE)</f>
        <v>#NUM!</v>
      </c>
      <c r="B150">
        <f t="shared" si="6"/>
        <v>6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_xlfn.F.DIST(15.2069,6,,TRUE)</f>
        <v>#NUM!</v>
      </c>
      <c r="B151">
        <f t="shared" si="6"/>
        <v>6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_xlfn.F.DIST(15.2069,6,0,TRUE)</f>
        <v>#NUM!</v>
      </c>
      <c r="B152">
        <f t="shared" si="6"/>
        <v>6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_xlfn.F.DIST(15.2069,6,"",TRUE)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_xlfn.F.DIST(15.2069,6,FALSE,TRUE)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cm="1">
        <f t="array" ref="A155">_xlfn.F.DIST(15.2069,6,4,)</f>
        <v>1.2237917087831725E-3</v>
      </c>
      <c r="B155">
        <f t="shared" si="6"/>
        <v>0</v>
      </c>
      <c r="C155">
        <f t="shared" si="7"/>
        <v>1.2237917087831725E-3</v>
      </c>
      <c r="D155" t="str">
        <f t="shared" si="8"/>
        <v/>
      </c>
      <c r="E155" t="s">
        <v>189</v>
      </c>
    </row>
    <row r="156" spans="1:5" x14ac:dyDescent="0.2">
      <c r="A156" cm="1">
        <f t="array" ref="A156">_xlfn.F.DIST(15.2069,6,4,0)</f>
        <v>1.2237917087831725E-3</v>
      </c>
      <c r="B156">
        <f t="shared" si="6"/>
        <v>0</v>
      </c>
      <c r="C156">
        <f t="shared" si="7"/>
        <v>1.2237917087831725E-3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_xlfn.F.DIST(15.2069,6,4,"")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cm="1">
        <f t="array" ref="A158">_xlfn.F.DIST(15.2069,6,4,FALSE)</f>
        <v>1.2237917087831725E-3</v>
      </c>
      <c r="B158">
        <f t="shared" si="6"/>
        <v>0</v>
      </c>
      <c r="C158">
        <f t="shared" si="7"/>
        <v>1.2237917087831725E-3</v>
      </c>
      <c r="D158" t="str">
        <f t="shared" si="8"/>
        <v/>
      </c>
      <c r="E158" t="s">
        <v>192</v>
      </c>
    </row>
    <row r="159" spans="1:5" x14ac:dyDescent="0.2">
      <c r="A159" cm="1">
        <f t="array" ref="A159">_xlfn.F.DIST.RT(,6,4)</f>
        <v>1</v>
      </c>
      <c r="B159">
        <f t="shared" si="6"/>
        <v>0</v>
      </c>
      <c r="C159">
        <f t="shared" si="7"/>
        <v>1</v>
      </c>
      <c r="D159" t="str">
        <f t="shared" si="8"/>
        <v/>
      </c>
      <c r="E159" t="s">
        <v>193</v>
      </c>
    </row>
    <row r="160" spans="1:5" x14ac:dyDescent="0.2">
      <c r="A160" cm="1">
        <f t="array" ref="A160">_xlfn.F.DIST.RT(0,6,4)</f>
        <v>1</v>
      </c>
      <c r="B160">
        <f t="shared" si="6"/>
        <v>0</v>
      </c>
      <c r="C160">
        <f t="shared" si="7"/>
        <v>1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_xlfn.F.DIST.RT("",6,4)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cm="1">
        <f t="array" ref="A162">_xlfn.F.DIST.RT(FALSE,6,4)</f>
        <v>1</v>
      </c>
      <c r="B162">
        <f t="shared" si="6"/>
        <v>0</v>
      </c>
      <c r="C162">
        <f t="shared" si="7"/>
        <v>1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_xlfn.F.DIST.RT(15.2069,,4)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_xlfn.F.DIST.RT(15.2069,0,4)</f>
        <v>#NUM!</v>
      </c>
      <c r="B164">
        <f t="shared" si="6"/>
        <v>6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_xlfn.F.DIST.RT(15.2069,"",4)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_xlfn.F.DIST.RT(15.2069,FALSE,4)</f>
        <v>#NUM!</v>
      </c>
      <c r="B166">
        <f t="shared" si="6"/>
        <v>6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_xlfn.F.DIST.RT(15.2069,6,)</f>
        <v>#NUM!</v>
      </c>
      <c r="B167">
        <f t="shared" si="6"/>
        <v>6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_xlfn.F.DIST.RT(15.2069,6,0)</f>
        <v>#NUM!</v>
      </c>
      <c r="B168">
        <f t="shared" si="6"/>
        <v>6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_xlfn.F.DIST.RT(15.2069,6,"")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_xlfn.F.DIST.RT(15.2069,6,FALSE)</f>
        <v>#NUM!</v>
      </c>
      <c r="B170">
        <f t="shared" si="6"/>
        <v>6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cm="1">
        <f t="array" ref="A171">_xlfn.F.INV(,6,4)</f>
        <v>0</v>
      </c>
      <c r="B171">
        <f t="shared" si="6"/>
        <v>0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cm="1">
        <f t="array" ref="A172">_xlfn.F.INV(0,6,4)</f>
        <v>0</v>
      </c>
      <c r="B172">
        <f t="shared" si="6"/>
        <v>0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_xlfn.F.INV("",6,4)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cm="1">
        <f t="array" ref="A174">_xlfn.F.INV(FALSE,6,4)</f>
        <v>0</v>
      </c>
      <c r="B174">
        <f t="shared" si="6"/>
        <v>0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_xlfn.F.INV(0.01,,4)</f>
        <v>#NUM!</v>
      </c>
      <c r="B175">
        <f t="shared" si="6"/>
        <v>6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_xlfn.F.INV(0.01,0,4)</f>
        <v>#NUM!</v>
      </c>
      <c r="B176">
        <f t="shared" si="6"/>
        <v>6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_xlfn.F.INV(0.01,"",4)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_xlfn.F.INV(0.01,FALSE,4)</f>
        <v>#NUM!</v>
      </c>
      <c r="B178">
        <f t="shared" si="6"/>
        <v>6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_xlfn.F.INV(0.01,6,)</f>
        <v>#NUM!</v>
      </c>
      <c r="B179">
        <f t="shared" si="6"/>
        <v>6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_xlfn.F.INV(0.01,6,0)</f>
        <v>#NUM!</v>
      </c>
      <c r="B180">
        <f t="shared" si="6"/>
        <v>6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_xlfn.F.INV(0.01,6,"")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_xlfn.F.INV(0.01,6,FALSE)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e" cm="1">
        <f t="array" ref="A183">_xlfn.F.INV.RT(,6,4)</f>
        <v>#NUM!</v>
      </c>
      <c r="B183">
        <f t="shared" si="6"/>
        <v>6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_xlfn.F.INV.RT(0,6,4)</f>
        <v>#NUM!</v>
      </c>
      <c r="B184">
        <f t="shared" si="6"/>
        <v>6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_xlfn.F.INV.RT("",6,4)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_xlfn.F.INV.RT(FALSE,6,4)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_xlfn.F.INV.RT(0.01,,4)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_xlfn.F.INV.RT(0.01,0,4)</f>
        <v>#NUM!</v>
      </c>
      <c r="B188">
        <f t="shared" si="6"/>
        <v>6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_xlfn.F.INV.RT(0.01,"",4)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_xlfn.F.INV.RT(0.01,FALSE,4)</f>
        <v>#NUM!</v>
      </c>
      <c r="B190">
        <f t="shared" si="6"/>
        <v>6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_xlfn.F.INV.RT(0.01,6,)</f>
        <v>#NUM!</v>
      </c>
      <c r="B191">
        <f t="shared" si="6"/>
        <v>6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e" cm="1">
        <f t="array" ref="A192">_xlfn.F.INV.RT(0.01,6,0)</f>
        <v>#NUM!</v>
      </c>
      <c r="B192">
        <f t="shared" si="6"/>
        <v>6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_xlfn.F.INV.RT(0.01,6,"")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_xlfn.F.INV.RT(0.01,6,FALSE)</f>
        <v>#NUM!</v>
      </c>
      <c r="B194">
        <f t="shared" si="9"/>
        <v>6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e" cm="1">
        <f t="array" ref="A195">_xlfn.F.TEST(,D!C1:C8)</f>
        <v>#VALUE!</v>
      </c>
      <c r="B195">
        <f t="shared" si="9"/>
        <v>3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e" cm="1">
        <f t="array" ref="A196">_xlfn.F.TEST(0,D!C1:C8)</f>
        <v>#DIV/0!</v>
      </c>
      <c r="B196">
        <f t="shared" si="9"/>
        <v>2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_xlfn.F.TEST("",D!C1:C8)</f>
        <v>#DIV/0!</v>
      </c>
      <c r="B197">
        <f t="shared" si="9"/>
        <v>2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_xlfn.F.TEST(FALSE,D!C1:C8)</f>
        <v>#DIV/0!</v>
      </c>
      <c r="B198">
        <f t="shared" si="9"/>
        <v>2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_xlfn.F.TEST(D!B1:B8,)</f>
        <v>#VALUE!</v>
      </c>
      <c r="B199">
        <f t="shared" si="9"/>
        <v>3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_xlfn.F.TEST(D!B1:B8,0)</f>
        <v>#DIV/0!</v>
      </c>
      <c r="B200">
        <f t="shared" si="9"/>
        <v>2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_xlfn.F.TEST(D!B1:B8,"")</f>
        <v>#DIV/0!</v>
      </c>
      <c r="B201">
        <f t="shared" si="9"/>
        <v>2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_xlfn.F.TEST(D!B1:B8,FALSE)</f>
        <v>#DIV/0!</v>
      </c>
      <c r="B202">
        <f t="shared" si="9"/>
        <v>2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cm="1">
        <f t="array" ref="A203">FDIST(,6,4)</f>
        <v>1</v>
      </c>
      <c r="B203">
        <f t="shared" si="9"/>
        <v>0</v>
      </c>
      <c r="C203">
        <f t="shared" si="10"/>
        <v>1</v>
      </c>
      <c r="D203" t="str">
        <f t="shared" si="11"/>
        <v/>
      </c>
      <c r="E203" t="s">
        <v>237</v>
      </c>
    </row>
    <row r="204" spans="1:5" x14ac:dyDescent="0.2">
      <c r="A204" cm="1">
        <f t="array" ref="A204">FDIST(0,6,4)</f>
        <v>1</v>
      </c>
      <c r="B204">
        <f t="shared" si="9"/>
        <v>0</v>
      </c>
      <c r="C204">
        <f t="shared" si="10"/>
        <v>1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FDIST("",6,4)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cm="1">
        <f t="array" ref="A206">FDIST(FALSE,6,4)</f>
        <v>1</v>
      </c>
      <c r="B206">
        <f t="shared" si="9"/>
        <v>0</v>
      </c>
      <c r="C206">
        <f t="shared" si="10"/>
        <v>1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FDIST(15.2069,,4)</f>
        <v>#NUM!</v>
      </c>
      <c r="B207">
        <f t="shared" si="9"/>
        <v>6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t="e" cm="1">
        <f t="array" ref="A208">FDIST(15.2069,0,4)</f>
        <v>#NUM!</v>
      </c>
      <c r="B208">
        <f t="shared" si="9"/>
        <v>6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FDIST(15.2069,"",4)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e" cm="1">
        <f t="array" ref="A210">FDIST(15.2069,FALSE,4)</f>
        <v>#NUM!</v>
      </c>
      <c r="B210">
        <f t="shared" si="9"/>
        <v>6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e" cm="1">
        <f t="array" ref="A211">FDIST(15.2069,6,)</f>
        <v>#NUM!</v>
      </c>
      <c r="B211">
        <f t="shared" si="9"/>
        <v>6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FDIST(15.2069,6,0)</f>
        <v>#NUM!</v>
      </c>
      <c r="B212">
        <f t="shared" si="9"/>
        <v>6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e" cm="1">
        <f t="array" ref="A213">FDIST(15.2069,6,"")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FDIST(15.2069,6,FALSE)</f>
        <v>#NUM!</v>
      </c>
      <c r="B214">
        <f t="shared" si="9"/>
        <v>6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cm="1">
        <f t="array" ref="A215">FIND(,"Miriam McGovern")</f>
        <v>1</v>
      </c>
      <c r="B215">
        <f t="shared" si="9"/>
        <v>0</v>
      </c>
      <c r="C215">
        <f t="shared" si="10"/>
        <v>1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FIND(0,"Miriam McGovern")</f>
        <v>#VALUE!</v>
      </c>
      <c r="B216">
        <f t="shared" si="9"/>
        <v>3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cm="1">
        <f t="array" ref="A217">FIND("","Miriam McGovern")</f>
        <v>1</v>
      </c>
      <c r="B217">
        <f t="shared" si="9"/>
        <v>0</v>
      </c>
      <c r="C217">
        <f t="shared" si="10"/>
        <v>1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FIND(FALSE,"Miriam McGovern")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FIND("M",)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FIND("M",0)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FIND("M","")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FIND("M",FALSE)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cm="1">
        <f t="array" ref="A223">FIND("M","Miriam McGovern")</f>
        <v>1</v>
      </c>
      <c r="B223">
        <f t="shared" si="9"/>
        <v>0</v>
      </c>
      <c r="C223">
        <f t="shared" si="10"/>
        <v>1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FIND("M","Miriam McGovern",)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FIND("M","Miriam McGovern",0)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FIND("M","Miriam McGovern","")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FIND("M","Miriam McGovern",FALSE)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cm="1">
        <f t="array" ref="A228">FINDB(,"abc")</f>
        <v>1</v>
      </c>
      <c r="B228">
        <f t="shared" si="9"/>
        <v>0</v>
      </c>
      <c r="C228">
        <f t="shared" si="10"/>
        <v>1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FINDB(0,"abc")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cm="1">
        <f t="array" ref="A230">FINDB("","abc")</f>
        <v>1</v>
      </c>
      <c r="B230">
        <f t="shared" si="9"/>
        <v>0</v>
      </c>
      <c r="C230">
        <f t="shared" si="10"/>
        <v>1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FINDB(FALSE,"abc")</f>
        <v>#VALUE!</v>
      </c>
      <c r="B231">
        <f t="shared" si="9"/>
        <v>3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FINDB("b",)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FINDB("b",0)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FINDB("b","")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FINDB("b",FALSE)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cm="1">
        <f t="array" ref="A236">FINDB("b","abc")</f>
        <v>2</v>
      </c>
      <c r="B236">
        <f t="shared" si="9"/>
        <v>0</v>
      </c>
      <c r="C236">
        <f t="shared" si="10"/>
        <v>2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FINDB("b","abc",)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e" cm="1">
        <f t="array" ref="A238">FINDB("b","abc",0)</f>
        <v>#VALUE!</v>
      </c>
      <c r="B238">
        <f t="shared" si="9"/>
        <v>3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t="e" cm="1">
        <f t="array" ref="A239">FINDB("b","abc","")</f>
        <v>#VALUE!</v>
      </c>
      <c r="B239">
        <f t="shared" si="9"/>
        <v>3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FINDB("b","abc",FALSE)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FINV(,6,4)</f>
        <v>#NUM!</v>
      </c>
      <c r="B241">
        <f t="shared" si="9"/>
        <v>6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FINV(0,6,4)</f>
        <v>#NUM!</v>
      </c>
      <c r="B242">
        <f t="shared" si="9"/>
        <v>6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t="e" cm="1">
        <f t="array" ref="A243">FINV("",6,4)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t="e" cm="1">
        <f t="array" ref="A244">FINV(FALSE,6,4)</f>
        <v>#NUM!</v>
      </c>
      <c r="B244">
        <f t="shared" si="9"/>
        <v>6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FINV(0.01,,4)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FINV(0.01,0,4)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FINV(0.01,"",4)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e" cm="1">
        <f t="array" ref="A248">FINV(0.01,FALSE,4)</f>
        <v>#NUM!</v>
      </c>
      <c r="B248">
        <f t="shared" si="9"/>
        <v>6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FINV(0.01,6,)</f>
        <v>#NUM!</v>
      </c>
      <c r="B249">
        <f t="shared" si="9"/>
        <v>6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FINV(0.01,6,0)</f>
        <v>#NUM!</v>
      </c>
      <c r="B250">
        <f t="shared" si="9"/>
        <v>6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FINV(0.01,6,"")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e" cm="1">
        <f t="array" ref="A252">FINV(0.01,6,FALSE)</f>
        <v>#NUM!</v>
      </c>
      <c r="B252">
        <f t="shared" si="9"/>
        <v>6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t="str" cm="1">
        <f t="array" ref="A253">FIXED(,1)</f>
        <v>0.0</v>
      </c>
      <c r="B253">
        <f t="shared" si="9"/>
        <v>-3</v>
      </c>
      <c r="C253">
        <f t="shared" si="10"/>
        <v>0</v>
      </c>
      <c r="D253" t="str">
        <f t="shared" si="11"/>
        <v>0.0</v>
      </c>
      <c r="E253" t="s">
        <v>287</v>
      </c>
    </row>
    <row r="254" spans="1:5" x14ac:dyDescent="0.2">
      <c r="A254" t="str" cm="1">
        <f t="array" ref="A254">FIXED(0,1)</f>
        <v>0.0</v>
      </c>
      <c r="B254">
        <f t="shared" si="9"/>
        <v>-3</v>
      </c>
      <c r="C254">
        <f t="shared" si="10"/>
        <v>0</v>
      </c>
      <c r="D254" t="str">
        <f t="shared" si="11"/>
        <v>0.0</v>
      </c>
      <c r="E254" t="s">
        <v>288</v>
      </c>
    </row>
    <row r="255" spans="1:5" x14ac:dyDescent="0.2">
      <c r="A255" t="e" cm="1">
        <f t="array" ref="A255">FIXED("",1)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str" cm="1">
        <f t="array" ref="A256">FIXED(FALSE,1)</f>
        <v>0.0</v>
      </c>
      <c r="B256">
        <f t="shared" si="9"/>
        <v>-3</v>
      </c>
      <c r="C256">
        <f t="shared" si="10"/>
        <v>0</v>
      </c>
      <c r="D256" t="str">
        <f t="shared" si="11"/>
        <v>0.0</v>
      </c>
      <c r="E256" t="s">
        <v>290</v>
      </c>
    </row>
    <row r="257" spans="1:5" x14ac:dyDescent="0.2">
      <c r="A257" t="str" cm="1">
        <f t="array" ref="A257">FIXED(1234.567,)</f>
        <v>1,234.57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1,234.57</v>
      </c>
      <c r="E257" t="s">
        <v>291</v>
      </c>
    </row>
    <row r="258" spans="1:5" x14ac:dyDescent="0.2">
      <c r="A258" t="str" cm="1">
        <f t="array" ref="A258">FIXED(1234.567,0)</f>
        <v>1,235</v>
      </c>
      <c r="B258">
        <f t="shared" si="12"/>
        <v>-3</v>
      </c>
      <c r="C258">
        <f t="shared" si="13"/>
        <v>0</v>
      </c>
      <c r="D258" t="str">
        <f t="shared" si="14"/>
        <v>1,235</v>
      </c>
      <c r="E258" t="s">
        <v>292</v>
      </c>
    </row>
    <row r="259" spans="1:5" x14ac:dyDescent="0.2">
      <c r="A259" t="e" cm="1">
        <f t="array" ref="A259">FIXED(1234.567,"")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str" cm="1">
        <f t="array" ref="A260">FIXED(1234.567,FALSE)</f>
        <v>1,235</v>
      </c>
      <c r="B260">
        <f t="shared" si="12"/>
        <v>-3</v>
      </c>
      <c r="C260">
        <f t="shared" si="13"/>
        <v>0</v>
      </c>
      <c r="D260" t="str">
        <f t="shared" si="14"/>
        <v>1,235</v>
      </c>
      <c r="E260" t="s">
        <v>294</v>
      </c>
    </row>
    <row r="261" spans="1:5" x14ac:dyDescent="0.2">
      <c r="A261" t="str" cm="1">
        <f t="array" ref="A261">FIXED(1234.567,1)</f>
        <v>1,234.6</v>
      </c>
      <c r="B261">
        <f t="shared" si="12"/>
        <v>-3</v>
      </c>
      <c r="C261">
        <f t="shared" si="13"/>
        <v>0</v>
      </c>
      <c r="D261" t="str">
        <f t="shared" si="14"/>
        <v>1,234.6</v>
      </c>
      <c r="E261" t="s">
        <v>295</v>
      </c>
    </row>
    <row r="262" spans="1:5" x14ac:dyDescent="0.2">
      <c r="A262" t="str" cm="1">
        <f t="array" ref="A262">FIXED(1234.567,1,)</f>
        <v>1,234.6</v>
      </c>
      <c r="B262">
        <f t="shared" si="12"/>
        <v>-3</v>
      </c>
      <c r="C262">
        <f t="shared" si="13"/>
        <v>0</v>
      </c>
      <c r="D262" t="str">
        <f t="shared" si="14"/>
        <v>1,234.6</v>
      </c>
      <c r="E262" t="s">
        <v>296</v>
      </c>
    </row>
    <row r="263" spans="1:5" x14ac:dyDescent="0.2">
      <c r="A263" t="str" cm="1">
        <f t="array" ref="A263">FIXED(1234.567,1,0)</f>
        <v>1,234.6</v>
      </c>
      <c r="B263">
        <f t="shared" si="12"/>
        <v>-3</v>
      </c>
      <c r="C263">
        <f t="shared" si="13"/>
        <v>0</v>
      </c>
      <c r="D263" t="str">
        <f t="shared" si="14"/>
        <v>1,234.6</v>
      </c>
      <c r="E263" t="s">
        <v>297</v>
      </c>
    </row>
    <row r="264" spans="1:5" x14ac:dyDescent="0.2">
      <c r="A264" t="e" cm="1">
        <f t="array" ref="A264">FIXED(1234.567,1,"")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t="str" cm="1">
        <f t="array" ref="A265">FIXED(1234.567,1,FALSE)</f>
        <v>1,234.6</v>
      </c>
      <c r="B265">
        <f t="shared" si="12"/>
        <v>-3</v>
      </c>
      <c r="C265">
        <f t="shared" si="13"/>
        <v>0</v>
      </c>
      <c r="D265" t="str">
        <f t="shared" si="14"/>
        <v>1,234.6</v>
      </c>
      <c r="E265" t="s">
        <v>299</v>
      </c>
    </row>
    <row r="266" spans="1:5" x14ac:dyDescent="0.2">
      <c r="A266" cm="1">
        <f t="array" ref="A266">FLOOR(,2)</f>
        <v>0</v>
      </c>
      <c r="B266">
        <f t="shared" si="12"/>
        <v>0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cm="1">
        <f t="array" ref="A267">FLOOR(0,2)</f>
        <v>0</v>
      </c>
      <c r="B267">
        <f t="shared" si="12"/>
        <v>0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e" cm="1">
        <f t="array" ref="A268">FLOOR("",2)</f>
        <v>#VALUE!</v>
      </c>
      <c r="B268">
        <f t="shared" si="12"/>
        <v>3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cm="1">
        <f t="array" ref="A269">FLOOR(FALSE,2)</f>
        <v>0</v>
      </c>
      <c r="B269">
        <f t="shared" si="12"/>
        <v>0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FLOOR(3.7,)</f>
        <v>#DIV/0!</v>
      </c>
      <c r="B270">
        <f t="shared" si="12"/>
        <v>2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FLOOR(3.7,0)</f>
        <v>#DIV/0!</v>
      </c>
      <c r="B271">
        <f t="shared" si="12"/>
        <v>2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FLOOR(3.7,"")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FLOOR(3.7,FALSE)</f>
        <v>#DIV/0!</v>
      </c>
      <c r="B273">
        <f t="shared" si="12"/>
        <v>2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_xlfn.FLOOR.MATH(,5)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cm="1">
        <f t="array" ref="A275">_xlfn.FLOOR.MATH(0,5)</f>
        <v>0</v>
      </c>
      <c r="B275">
        <f t="shared" si="12"/>
        <v>0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t="e" cm="1">
        <f t="array" ref="A276">_xlfn.FLOOR.MATH("",5)</f>
        <v>#VALUE!</v>
      </c>
      <c r="B276">
        <f t="shared" si="12"/>
        <v>3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cm="1">
        <f t="array" ref="A277">_xlfn.FLOOR.MATH(FALSE,5)</f>
        <v>0</v>
      </c>
      <c r="B277">
        <f t="shared" si="12"/>
        <v>0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cm="1">
        <f t="array" ref="A278">_xlfn.FLOOR.MATH(24.3,)</f>
        <v>24</v>
      </c>
      <c r="B278">
        <f t="shared" si="12"/>
        <v>0</v>
      </c>
      <c r="C278">
        <f t="shared" si="13"/>
        <v>24</v>
      </c>
      <c r="D278" t="str">
        <f t="shared" si="14"/>
        <v/>
      </c>
      <c r="E278" t="s">
        <v>312</v>
      </c>
    </row>
    <row r="279" spans="1:5" x14ac:dyDescent="0.2">
      <c r="A279" cm="1">
        <f t="array" ref="A279">_xlfn.FLOOR.MATH(24.3,0)</f>
        <v>0</v>
      </c>
      <c r="B279">
        <f t="shared" si="12"/>
        <v>0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_xlfn.FLOOR.MATH(24.3,"")</f>
        <v>#VALUE!</v>
      </c>
      <c r="B280">
        <f t="shared" si="12"/>
        <v>3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cm="1">
        <f t="array" ref="A281">_xlfn.FLOOR.MATH(24.3,FALSE)</f>
        <v>0</v>
      </c>
      <c r="B281">
        <f t="shared" si="12"/>
        <v>0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cm="1">
        <f t="array" ref="A282">_xlfn.FLOOR.MATH(24.3,5)</f>
        <v>20</v>
      </c>
      <c r="B282">
        <f t="shared" si="12"/>
        <v>0</v>
      </c>
      <c r="C282">
        <f t="shared" si="13"/>
        <v>20</v>
      </c>
      <c r="D282" t="str">
        <f t="shared" si="14"/>
        <v/>
      </c>
      <c r="E282" t="s">
        <v>316</v>
      </c>
    </row>
    <row r="283" spans="1:5" x14ac:dyDescent="0.2">
      <c r="A283" cm="1">
        <f t="array" ref="A283">_xlfn.FLOOR.MATH(24.3,5,)</f>
        <v>20</v>
      </c>
      <c r="B283">
        <f t="shared" si="12"/>
        <v>0</v>
      </c>
      <c r="C283">
        <f t="shared" si="13"/>
        <v>20</v>
      </c>
      <c r="D283" t="str">
        <f t="shared" si="14"/>
        <v/>
      </c>
      <c r="E283" t="s">
        <v>317</v>
      </c>
    </row>
    <row r="284" spans="1:5" x14ac:dyDescent="0.2">
      <c r="A284" cm="1">
        <f t="array" ref="A284">_xlfn.FLOOR.MATH(24.3,5,0)</f>
        <v>20</v>
      </c>
      <c r="B284">
        <f t="shared" si="12"/>
        <v>0</v>
      </c>
      <c r="C284">
        <f t="shared" si="13"/>
        <v>20</v>
      </c>
      <c r="D284" t="str">
        <f t="shared" si="14"/>
        <v/>
      </c>
      <c r="E284" t="s">
        <v>318</v>
      </c>
    </row>
    <row r="285" spans="1:5" x14ac:dyDescent="0.2">
      <c r="A285" t="e" cm="1">
        <f t="array" ref="A285">_xlfn.FLOOR.MATH(24.3,5,"")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cm="1">
        <f t="array" ref="A286">_xlfn.FLOOR.MATH(24.3,5,FALSE)</f>
        <v>20</v>
      </c>
      <c r="B286">
        <f t="shared" si="12"/>
        <v>0</v>
      </c>
      <c r="C286">
        <f t="shared" si="13"/>
        <v>20</v>
      </c>
      <c r="D286" t="str">
        <f t="shared" si="14"/>
        <v/>
      </c>
      <c r="E286" t="s">
        <v>320</v>
      </c>
    </row>
    <row r="287" spans="1:5" x14ac:dyDescent="0.2">
      <c r="A287" cm="1">
        <f t="array" ref="A287">_xlfn.FLOOR.PRECISE(,-1)</f>
        <v>0</v>
      </c>
      <c r="B287">
        <f t="shared" si="12"/>
        <v>0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_xlfn.FLOOR.PRECISE(0,-1)</f>
        <v>0</v>
      </c>
      <c r="B288">
        <f t="shared" si="12"/>
        <v>0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_xlfn.FLOOR.PRECISE("",-1)</f>
        <v>#VALUE!</v>
      </c>
      <c r="B289">
        <f t="shared" si="12"/>
        <v>3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cm="1">
        <f t="array" ref="A290">_xlfn.FLOOR.PRECISE(FALSE,-1)</f>
        <v>0</v>
      </c>
      <c r="B290">
        <f t="shared" si="12"/>
        <v>0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cm="1">
        <f t="array" ref="A291">_xlfn.FLOOR.PRECISE(-3.2,)</f>
        <v>-4</v>
      </c>
      <c r="B291">
        <f t="shared" si="12"/>
        <v>0</v>
      </c>
      <c r="C291">
        <f t="shared" si="13"/>
        <v>-4</v>
      </c>
      <c r="D291" t="str">
        <f t="shared" si="14"/>
        <v/>
      </c>
      <c r="E291" t="s">
        <v>325</v>
      </c>
    </row>
    <row r="292" spans="1:5" x14ac:dyDescent="0.2">
      <c r="A292" cm="1">
        <f t="array" ref="A292">_xlfn.FLOOR.PRECISE(-3.2,0)</f>
        <v>0</v>
      </c>
      <c r="B292">
        <f t="shared" si="12"/>
        <v>0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_xlfn.FLOOR.PRECISE(-3.2,"")</f>
        <v>#VALUE!</v>
      </c>
      <c r="B293">
        <f t="shared" si="12"/>
        <v>3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cm="1">
        <f t="array" ref="A294">_xlfn.FLOOR.PRECISE(-3.2,FALSE)</f>
        <v>0</v>
      </c>
      <c r="B294">
        <f t="shared" si="12"/>
        <v>0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FORECAST(,D!C1:C8,D!B1:B8)</f>
        <v>5.1725052609240763E-2</v>
      </c>
      <c r="B295">
        <f t="shared" si="12"/>
        <v>0</v>
      </c>
      <c r="C295">
        <f t="shared" si="13"/>
        <v>5.1725052609240763E-2</v>
      </c>
      <c r="D295" t="str">
        <f t="shared" si="14"/>
        <v/>
      </c>
      <c r="E295" t="s">
        <v>329</v>
      </c>
    </row>
    <row r="296" spans="1:5" x14ac:dyDescent="0.2">
      <c r="A296" cm="1">
        <f t="array" ref="A296">FORECAST(0,D!C1:C8,D!B1:B8)</f>
        <v>5.1725052609240763E-2</v>
      </c>
      <c r="B296">
        <f t="shared" si="12"/>
        <v>0</v>
      </c>
      <c r="C296">
        <f t="shared" si="13"/>
        <v>5.1725052609240763E-2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FORECAST("",D!C1:C8,D!B1:B8)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cm="1">
        <f t="array" ref="A298">FORECAST(FALSE,D!C1:C8,D!B1:B8)</f>
        <v>5.1725052609240763E-2</v>
      </c>
      <c r="B298">
        <f t="shared" si="12"/>
        <v>0</v>
      </c>
      <c r="C298">
        <f t="shared" si="13"/>
        <v>5.1725052609240763E-2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FORECAST(30,,D!B1:B8)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FORECAST(30,0,D!B1:B8)</f>
        <v>#N/A</v>
      </c>
      <c r="B300">
        <f t="shared" si="12"/>
        <v>7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FORECAST(30,"",D!B1:B8)</f>
        <v>#N/A</v>
      </c>
      <c r="B301">
        <f t="shared" si="12"/>
        <v>7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FORECAST(30,FALSE,D!B1:B8)</f>
        <v>#N/A</v>
      </c>
      <c r="B302">
        <f t="shared" si="12"/>
        <v>7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FORECAST(30,D!C1:C8,)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e" cm="1">
        <f t="array" ref="A304">FORECAST(30,D!C1:C8,0)</f>
        <v>#N/A</v>
      </c>
      <c r="B304">
        <f t="shared" si="12"/>
        <v>7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e" cm="1">
        <f t="array" ref="A305">FORECAST(30,D!C1:C8,"")</f>
        <v>#N/A</v>
      </c>
      <c r="B305">
        <f t="shared" si="12"/>
        <v>7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FORECAST(30,D!C1:C8,FALSE)</f>
        <v>#N/A</v>
      </c>
      <c r="B306">
        <f t="shared" si="12"/>
        <v>7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cm="1">
        <f t="array" ref="A307">_xlfn.FORECAST.LINEAR(,D!AY1:AY5,D!AZ1:AZ5)</f>
        <v>0.89999999999999947</v>
      </c>
      <c r="B307">
        <f t="shared" si="12"/>
        <v>0</v>
      </c>
      <c r="C307">
        <f t="shared" si="13"/>
        <v>0.89999999999999947</v>
      </c>
      <c r="D307" t="str">
        <f t="shared" si="14"/>
        <v/>
      </c>
      <c r="E307" t="s">
        <v>341</v>
      </c>
    </row>
    <row r="308" spans="1:5" x14ac:dyDescent="0.2">
      <c r="A308" cm="1">
        <f t="array" ref="A308">_xlfn.FORECAST.LINEAR(0,D!AY1:AY5,D!AZ1:AZ5)</f>
        <v>0.89999999999999947</v>
      </c>
      <c r="B308">
        <f t="shared" si="12"/>
        <v>0</v>
      </c>
      <c r="C308">
        <f t="shared" si="13"/>
        <v>0.89999999999999947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_xlfn.FORECAST.LINEAR("",D!AY1:AY5,D!AZ1:AZ5)</f>
        <v>#VALUE!</v>
      </c>
      <c r="B309">
        <f t="shared" si="12"/>
        <v>3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cm="1">
        <f t="array" ref="A310">_xlfn.FORECAST.LINEAR(FALSE,D!AY1:AY5,D!AZ1:AZ5)</f>
        <v>0.89999999999999947</v>
      </c>
      <c r="B310">
        <f t="shared" si="12"/>
        <v>0</v>
      </c>
      <c r="C310">
        <f t="shared" si="13"/>
        <v>0.89999999999999947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_xlfn.FORECAST.LINEAR(30,,D!AZ1:AZ5)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_xlfn.FORECAST.LINEAR(30,0,D!AZ1:AZ5)</f>
        <v>#N/A</v>
      </c>
      <c r="B312">
        <f t="shared" si="12"/>
        <v>7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_xlfn.FORECAST.LINEAR(30,"",D!AZ1:AZ5)</f>
        <v>#N/A</v>
      </c>
      <c r="B313">
        <f t="shared" si="12"/>
        <v>7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_xlfn.FORECAST.LINEAR(30,FALSE,D!AZ1:AZ5)</f>
        <v>#N/A</v>
      </c>
      <c r="B314">
        <f t="shared" si="12"/>
        <v>7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_xlfn.FORECAST.LINEAR(30,D!AY1:AY5,)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_xlfn.FORECAST.LINEAR(30,D!AY1:AY5,0)</f>
        <v>#N/A</v>
      </c>
      <c r="B316">
        <f t="shared" si="12"/>
        <v>7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_xlfn.FORECAST.LINEAR(30,D!AY1:AY5,"")</f>
        <v>#N/A</v>
      </c>
      <c r="B317">
        <f t="shared" si="12"/>
        <v>7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_xlfn.FORECAST.LINEAR(30,D!AY1:AY5,FALSE)</f>
        <v>#N/A</v>
      </c>
      <c r="B318">
        <f t="shared" si="12"/>
        <v>7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FTEST(,D!C1:C8)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FTEST(0,D!C1:C8)</f>
        <v>#DIV/0!</v>
      </c>
      <c r="B320">
        <f t="shared" si="12"/>
        <v>2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e" cm="1">
        <f t="array" ref="A321">FTEST("",D!C1:C8)</f>
        <v>#DIV/0!</v>
      </c>
      <c r="B321">
        <f t="shared" ref="B321:B384" si="15">IF(ISERROR(A321),ERROR.TYPE(A321),IF(ISNUMBER(A321),0,IF(ISLOGICAL(A321),IF(A321,-1,-2),IF(ISTEXT(A321),-3,-4))))</f>
        <v>2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e" cm="1">
        <f t="array" ref="A322">FTEST(FALSE,D!C1:C8)</f>
        <v>#DIV/0!</v>
      </c>
      <c r="B322">
        <f t="shared" si="15"/>
        <v>2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FTEST(D!B1:B8,)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FTEST(D!B1:B8,0)</f>
        <v>#DIV/0!</v>
      </c>
      <c r="B324">
        <f t="shared" si="15"/>
        <v>2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e" cm="1">
        <f t="array" ref="A325">FTEST(D!B1:B8,"")</f>
        <v>#DIV/0!</v>
      </c>
      <c r="B325">
        <f t="shared" si="15"/>
        <v>2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e" cm="1">
        <f t="array" ref="A326">FTEST(D!B1:B8,FALSE)</f>
        <v>#DIV/0!</v>
      </c>
      <c r="B326">
        <f t="shared" si="15"/>
        <v>2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cm="1">
        <f t="array" ref="A327">FV(,10,-200,-500,1)</f>
        <v>2500</v>
      </c>
      <c r="B327">
        <f t="shared" si="15"/>
        <v>0</v>
      </c>
      <c r="C327">
        <f t="shared" si="16"/>
        <v>2500</v>
      </c>
      <c r="D327" t="str">
        <f t="shared" si="17"/>
        <v/>
      </c>
      <c r="E327" t="s">
        <v>361</v>
      </c>
    </row>
    <row r="328" spans="1:5" x14ac:dyDescent="0.2">
      <c r="A328" cm="1">
        <f t="array" ref="A328">FV(0,10,-200,-500,1)</f>
        <v>2500</v>
      </c>
      <c r="B328">
        <f t="shared" si="15"/>
        <v>0</v>
      </c>
      <c r="C328">
        <f t="shared" si="16"/>
        <v>2500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FV("",10,-200,-500,1)</f>
        <v>#VALUE!</v>
      </c>
      <c r="B329">
        <f t="shared" si="15"/>
        <v>3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cm="1">
        <f t="array" ref="A330">FV(FALSE,10,-200,-500,1)</f>
        <v>2500</v>
      </c>
      <c r="B330">
        <f t="shared" si="15"/>
        <v>0</v>
      </c>
      <c r="C330">
        <f t="shared" si="16"/>
        <v>2500</v>
      </c>
      <c r="D330" t="str">
        <f t="shared" si="17"/>
        <v/>
      </c>
      <c r="E330" t="s">
        <v>364</v>
      </c>
    </row>
    <row r="331" spans="1:5" x14ac:dyDescent="0.2">
      <c r="A331" cm="1">
        <f t="array" ref="A331">FV(0.005,,-200,-500,1)</f>
        <v>500</v>
      </c>
      <c r="B331">
        <f t="shared" si="15"/>
        <v>0</v>
      </c>
      <c r="C331">
        <f t="shared" si="16"/>
        <v>500</v>
      </c>
      <c r="D331" t="str">
        <f t="shared" si="17"/>
        <v/>
      </c>
      <c r="E331" t="s">
        <v>365</v>
      </c>
    </row>
    <row r="332" spans="1:5" x14ac:dyDescent="0.2">
      <c r="A332" cm="1">
        <f t="array" ref="A332">FV(0.005,0,-200,-500,1)</f>
        <v>500</v>
      </c>
      <c r="B332">
        <f t="shared" si="15"/>
        <v>0</v>
      </c>
      <c r="C332">
        <f t="shared" si="16"/>
        <v>500</v>
      </c>
      <c r="D332" t="str">
        <f t="shared" si="17"/>
        <v/>
      </c>
      <c r="E332" t="s">
        <v>366</v>
      </c>
    </row>
    <row r="333" spans="1:5" x14ac:dyDescent="0.2">
      <c r="A333" t="e" cm="1">
        <f t="array" ref="A333">FV(0.005,"",-200,-500,1)</f>
        <v>#VALUE!</v>
      </c>
      <c r="B333">
        <f t="shared" si="15"/>
        <v>3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cm="1">
        <f t="array" ref="A334">FV(0.005,FALSE,-200,-500,1)</f>
        <v>500</v>
      </c>
      <c r="B334">
        <f t="shared" si="15"/>
        <v>0</v>
      </c>
      <c r="C334">
        <f t="shared" si="16"/>
        <v>500</v>
      </c>
      <c r="D334" t="str">
        <f t="shared" si="17"/>
        <v/>
      </c>
      <c r="E334" t="s">
        <v>368</v>
      </c>
    </row>
    <row r="335" spans="1:5" x14ac:dyDescent="0.2">
      <c r="A335" cm="1">
        <f t="array" ref="A335">FV(0.005,10,,-500,1)</f>
        <v>525.57006602039462</v>
      </c>
      <c r="B335">
        <f t="shared" si="15"/>
        <v>0</v>
      </c>
      <c r="C335">
        <f t="shared" si="16"/>
        <v>525.57006602039462</v>
      </c>
      <c r="D335" t="str">
        <f t="shared" si="17"/>
        <v/>
      </c>
      <c r="E335" t="s">
        <v>369</v>
      </c>
    </row>
    <row r="336" spans="1:5" x14ac:dyDescent="0.2">
      <c r="A336" cm="1">
        <f t="array" ref="A336">FV(0.005,10,0,-500,1)</f>
        <v>525.57006602039462</v>
      </c>
      <c r="B336">
        <f t="shared" si="15"/>
        <v>0</v>
      </c>
      <c r="C336">
        <f t="shared" si="16"/>
        <v>525.57006602039462</v>
      </c>
      <c r="D336" t="str">
        <f t="shared" si="17"/>
        <v/>
      </c>
      <c r="E336" t="s">
        <v>370</v>
      </c>
    </row>
    <row r="337" spans="1:5" x14ac:dyDescent="0.2">
      <c r="A337" t="e" cm="1">
        <f t="array" ref="A337">FV(0.005,10,"",-500,1)</f>
        <v>#VALUE!</v>
      </c>
      <c r="B337">
        <f t="shared" si="15"/>
        <v>3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cm="1">
        <f t="array" ref="A338">FV(0.005,10,FALSE,-500,1)</f>
        <v>525.57006602039462</v>
      </c>
      <c r="B338">
        <f t="shared" si="15"/>
        <v>0</v>
      </c>
      <c r="C338">
        <f t="shared" si="16"/>
        <v>525.57006602039462</v>
      </c>
      <c r="D338" t="str">
        <f t="shared" si="17"/>
        <v/>
      </c>
      <c r="E338" t="s">
        <v>372</v>
      </c>
    </row>
    <row r="339" spans="1:5" x14ac:dyDescent="0.2">
      <c r="A339" cm="1">
        <f t="array" ref="A339">FV(0.005,10,-200,,1)</f>
        <v>2055.8333080397238</v>
      </c>
      <c r="B339">
        <f t="shared" si="15"/>
        <v>0</v>
      </c>
      <c r="C339">
        <f t="shared" si="16"/>
        <v>2055.8333080397238</v>
      </c>
      <c r="D339" t="str">
        <f t="shared" si="17"/>
        <v/>
      </c>
      <c r="E339" t="s">
        <v>373</v>
      </c>
    </row>
    <row r="340" spans="1:5" x14ac:dyDescent="0.2">
      <c r="A340" cm="1">
        <f t="array" ref="A340">FV(0.005,10,-200,0,1)</f>
        <v>2055.8333080397238</v>
      </c>
      <c r="B340">
        <f t="shared" si="15"/>
        <v>0</v>
      </c>
      <c r="C340">
        <f t="shared" si="16"/>
        <v>2055.8333080397238</v>
      </c>
      <c r="D340" t="str">
        <f t="shared" si="17"/>
        <v/>
      </c>
      <c r="E340" t="s">
        <v>374</v>
      </c>
    </row>
    <row r="341" spans="1:5" x14ac:dyDescent="0.2">
      <c r="A341" t="e" cm="1">
        <f t="array" ref="A341">FV(0.005,10,-200,"",1)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cm="1">
        <f t="array" ref="A342">FV(0.005,10,-200,FALSE,1)</f>
        <v>2055.8333080397238</v>
      </c>
      <c r="B342">
        <f t="shared" si="15"/>
        <v>0</v>
      </c>
      <c r="C342">
        <f t="shared" si="16"/>
        <v>2055.8333080397238</v>
      </c>
      <c r="D342" t="str">
        <f t="shared" si="17"/>
        <v/>
      </c>
      <c r="E342" t="s">
        <v>376</v>
      </c>
    </row>
    <row r="343" spans="1:5" x14ac:dyDescent="0.2">
      <c r="A343" cm="1">
        <f t="array" ref="A343">FV(0.005,10,-200,-500,)</f>
        <v>2571.1753476519607</v>
      </c>
      <c r="B343">
        <f t="shared" si="15"/>
        <v>0</v>
      </c>
      <c r="C343">
        <f t="shared" si="16"/>
        <v>2571.1753476519607</v>
      </c>
      <c r="D343" t="str">
        <f t="shared" si="17"/>
        <v/>
      </c>
      <c r="E343" t="s">
        <v>377</v>
      </c>
    </row>
    <row r="344" spans="1:5" x14ac:dyDescent="0.2">
      <c r="A344" cm="1">
        <f t="array" ref="A344">FV(0.005,10,-200,-500,0)</f>
        <v>2571.1753476519607</v>
      </c>
      <c r="B344">
        <f t="shared" si="15"/>
        <v>0</v>
      </c>
      <c r="C344">
        <f t="shared" si="16"/>
        <v>2571.1753476519607</v>
      </c>
      <c r="D344" t="str">
        <f t="shared" si="17"/>
        <v/>
      </c>
      <c r="E344" t="s">
        <v>378</v>
      </c>
    </row>
    <row r="345" spans="1:5" x14ac:dyDescent="0.2">
      <c r="A345" t="e" cm="1">
        <f t="array" ref="A345">FV(0.005,10,-200,-500,"")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cm="1">
        <f t="array" ref="A346">FV(0.005,10,-200,-500,FALSE)</f>
        <v>2571.1753476519607</v>
      </c>
      <c r="B346">
        <f t="shared" si="15"/>
        <v>0</v>
      </c>
      <c r="C346">
        <f t="shared" si="16"/>
        <v>2571.1753476519607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FVSCHEDULE(,D!AQ1:AQ3)</f>
        <v>#N/A</v>
      </c>
      <c r="B347">
        <f t="shared" si="15"/>
        <v>7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cm="1">
        <f t="array" ref="A348">FVSCHEDULE(0,D!AQ1:AQ3)</f>
        <v>0</v>
      </c>
      <c r="B348">
        <f t="shared" si="15"/>
        <v>0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FVSCHEDULE("",D!AQ1:AQ3)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FVSCHEDULE(FALSE,D!AQ1:AQ3)</f>
        <v>#VALUE!</v>
      </c>
      <c r="B350">
        <f t="shared" si="15"/>
        <v>3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e" cm="1">
        <f t="array" ref="A351">FVSCHEDULE(1,)</f>
        <v>#N/A</v>
      </c>
      <c r="B351">
        <f t="shared" si="15"/>
        <v>7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cm="1">
        <f t="array" ref="A352">FVSCHEDULE(1,0)</f>
        <v>1</v>
      </c>
      <c r="B352">
        <f t="shared" si="15"/>
        <v>0</v>
      </c>
      <c r="C352">
        <f t="shared" si="16"/>
        <v>1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FVSCHEDULE(1,"")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FVSCHEDULE(1,FALSE)</f>
        <v>#VALUE!</v>
      </c>
      <c r="B354">
        <f t="shared" si="15"/>
        <v>3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cm="1">
        <f t="array" ref="A355">_xlfn.GAMMA.DIST(,9,2,FALSE)</f>
        <v>0</v>
      </c>
      <c r="B355">
        <f t="shared" si="15"/>
        <v>0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cm="1">
        <f t="array" ref="A356">_xlfn.GAMMA.DIST(0,9,2,FALSE)</f>
        <v>0</v>
      </c>
      <c r="B356">
        <f t="shared" si="15"/>
        <v>0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e" cm="1">
        <f t="array" ref="A357">_xlfn.GAMMA.DIST("",9,2,FALSE)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cm="1">
        <f t="array" ref="A358">_xlfn.GAMMA.DIST(FALSE,9,2,FALSE)</f>
        <v>0</v>
      </c>
      <c r="B358">
        <f t="shared" si="15"/>
        <v>0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e" cm="1">
        <f t="array" ref="A359">_xlfn.GAMMA.DIST(10.00001131,,2,FALSE)</f>
        <v>#NUM!</v>
      </c>
      <c r="B359">
        <f t="shared" si="15"/>
        <v>6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e" cm="1">
        <f t="array" ref="A360">_xlfn.GAMMA.DIST(10.00001131,0,2,FALSE)</f>
        <v>#NUM!</v>
      </c>
      <c r="B360">
        <f t="shared" si="15"/>
        <v>6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_xlfn.GAMMA.DIST(10.00001131,"",2,FALSE)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_xlfn.GAMMA.DIST(10.00001131,FALSE,2,FALSE)</f>
        <v>#NUM!</v>
      </c>
      <c r="B362">
        <f t="shared" si="15"/>
        <v>6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>
        <f t="array" ref="A363">_xlfn.GAMMA.DIST(10.00001131,9,,FALSE)</f>
        <v>#NUM!</v>
      </c>
      <c r="B363">
        <f t="shared" si="15"/>
        <v>6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_xlfn.GAMMA.DIST(10.00001131,9,0,FALSE)</f>
        <v>#NUM!</v>
      </c>
      <c r="B364">
        <f t="shared" si="15"/>
        <v>6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e" cm="1">
        <f t="array" ref="A365">_xlfn.GAMMA.DIST(10.00001131,9,"",FALSE)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t="e" cm="1">
        <f t="array" ref="A366">_xlfn.GAMMA.DIST(10.00001131,9,FALSE,FALSE)</f>
        <v>#NUM!</v>
      </c>
      <c r="B366">
        <f t="shared" si="15"/>
        <v>6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cm="1">
        <f t="array" ref="A367">_xlfn.GAMMA.DIST(10.00001131,9,2,)</f>
        <v>3.2639130418294013E-2</v>
      </c>
      <c r="B367">
        <f t="shared" si="15"/>
        <v>0</v>
      </c>
      <c r="C367">
        <f t="shared" si="16"/>
        <v>3.2639130418294013E-2</v>
      </c>
      <c r="D367" t="str">
        <f t="shared" si="17"/>
        <v/>
      </c>
      <c r="E367" t="s">
        <v>401</v>
      </c>
    </row>
    <row r="368" spans="1:5" x14ac:dyDescent="0.2">
      <c r="A368" cm="1">
        <f t="array" ref="A368">_xlfn.GAMMA.DIST(10.00001131,9,2,0)</f>
        <v>3.2639130418294013E-2</v>
      </c>
      <c r="B368">
        <f t="shared" si="15"/>
        <v>0</v>
      </c>
      <c r="C368">
        <f t="shared" si="16"/>
        <v>3.2639130418294013E-2</v>
      </c>
      <c r="D368" t="str">
        <f t="shared" si="17"/>
        <v/>
      </c>
      <c r="E368" t="s">
        <v>402</v>
      </c>
    </row>
    <row r="369" spans="1:5" x14ac:dyDescent="0.2">
      <c r="A369" t="e" cm="1">
        <f t="array" ref="A369">_xlfn.GAMMA.DIST(10.00001131,9,2,"")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cm="1">
        <f t="array" ref="A370">_xlfn.GAMMA.DIST(10.00001131,9,2,FALSE)</f>
        <v>3.2639130418294013E-2</v>
      </c>
      <c r="B370">
        <f t="shared" si="15"/>
        <v>0</v>
      </c>
      <c r="C370">
        <f t="shared" si="16"/>
        <v>3.2639130418294013E-2</v>
      </c>
      <c r="D370" t="str">
        <f t="shared" si="17"/>
        <v/>
      </c>
      <c r="E370" t="s">
        <v>404</v>
      </c>
    </row>
    <row r="371" spans="1:5" x14ac:dyDescent="0.2">
      <c r="A371" cm="1">
        <f t="array" ref="A371">_xlfn.GAMMA.INV(,9,2)</f>
        <v>0</v>
      </c>
      <c r="B371">
        <f t="shared" si="15"/>
        <v>0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cm="1">
        <f t="array" ref="A372">_xlfn.GAMMA.INV(0,9,2)</f>
        <v>0</v>
      </c>
      <c r="B372">
        <f t="shared" si="15"/>
        <v>0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_xlfn.GAMMA.INV("",9,2)</f>
        <v>#VALUE!</v>
      </c>
      <c r="B373">
        <f t="shared" si="15"/>
        <v>3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cm="1">
        <f t="array" ref="A374">_xlfn.GAMMA.INV(FALSE,9,2)</f>
        <v>0</v>
      </c>
      <c r="B374">
        <f t="shared" si="15"/>
        <v>0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e" cm="1">
        <f t="array" ref="A375">_xlfn.GAMMA.INV(0.068094,,2)</f>
        <v>#NUM!</v>
      </c>
      <c r="B375">
        <f t="shared" si="15"/>
        <v>6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_xlfn.GAMMA.INV(0.068094,0,2)</f>
        <v>#NUM!</v>
      </c>
      <c r="B376">
        <f t="shared" si="15"/>
        <v>6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t="e" cm="1">
        <f t="array" ref="A377">_xlfn.GAMMA.INV(0.068094,"",2)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_xlfn.GAMMA.INV(0.068094,FALSE,2)</f>
        <v>#NUM!</v>
      </c>
      <c r="B378">
        <f t="shared" si="15"/>
        <v>6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_xlfn.GAMMA.INV(0.068094,9,)</f>
        <v>#NUM!</v>
      </c>
      <c r="B379">
        <f t="shared" si="15"/>
        <v>6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e" cm="1">
        <f t="array" ref="A380">_xlfn.GAMMA.INV(0.068094,9,0)</f>
        <v>#NUM!</v>
      </c>
      <c r="B380">
        <f t="shared" si="15"/>
        <v>6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_xlfn.GAMMA.INV(0.068094,9,"")</f>
        <v>#VALUE!</v>
      </c>
      <c r="B381">
        <f t="shared" si="15"/>
        <v>3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_xlfn.GAMMA.INV(0.068094,9,FALSE)</f>
        <v>#NUM!</v>
      </c>
      <c r="B382">
        <f t="shared" si="15"/>
        <v>6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cm="1">
        <f t="array" ref="A383">GAMMADIST(,9,2,FALSE)</f>
        <v>0</v>
      </c>
      <c r="B383">
        <f t="shared" si="15"/>
        <v>0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cm="1">
        <f t="array" ref="A384">GAMMADIST(0,9,2,FALSE)</f>
        <v>0</v>
      </c>
      <c r="B384">
        <f t="shared" si="15"/>
        <v>0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t="e" cm="1">
        <f t="array" ref="A385">GAMMADIST("",9,2,FALSE)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GAMMADIST(FALSE,9,2,FALSE)</f>
        <v>0</v>
      </c>
      <c r="B386">
        <f t="shared" si="18"/>
        <v>0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GAMMADIST(10.00001131,,2,FALSE)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GAMMADIST(10.00001131,0,2,FALSE)</f>
        <v>#NUM!</v>
      </c>
      <c r="B388">
        <f t="shared" si="18"/>
        <v>6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e" cm="1">
        <f t="array" ref="A389">GAMMADIST(10.00001131,"",2,FALSE)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t="e" cm="1">
        <f t="array" ref="A390">GAMMADIST(10.00001131,FALSE,2,FALSE)</f>
        <v>#NUM!</v>
      </c>
      <c r="B390">
        <f t="shared" si="18"/>
        <v>6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e" cm="1">
        <f t="array" ref="A391">GAMMADIST(10.00001131,9,,FALSE)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GAMMADIST(10.00001131,9,0,FALSE)</f>
        <v>#NUM!</v>
      </c>
      <c r="B392">
        <f t="shared" si="18"/>
        <v>6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GAMMADIST(10.00001131,9,"",FALSE)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GAMMADIST(10.00001131,9,FALSE,FALSE)</f>
        <v>#NUM!</v>
      </c>
      <c r="B394">
        <f t="shared" si="18"/>
        <v>6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cm="1">
        <f t="array" ref="A395">GAMMADIST(10.00001131,9,2,)</f>
        <v>3.2639130418294013E-2</v>
      </c>
      <c r="B395">
        <f t="shared" si="18"/>
        <v>0</v>
      </c>
      <c r="C395">
        <f t="shared" si="19"/>
        <v>3.2639130418294013E-2</v>
      </c>
      <c r="D395" t="str">
        <f t="shared" si="20"/>
        <v/>
      </c>
      <c r="E395" t="s">
        <v>429</v>
      </c>
    </row>
    <row r="396" spans="1:5" x14ac:dyDescent="0.2">
      <c r="A396" cm="1">
        <f t="array" ref="A396">GAMMADIST(10.00001131,9,2,0)</f>
        <v>3.2639130418294013E-2</v>
      </c>
      <c r="B396">
        <f t="shared" si="18"/>
        <v>0</v>
      </c>
      <c r="C396">
        <f t="shared" si="19"/>
        <v>3.2639130418294013E-2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GAMMADIST(10.00001131,9,2,"")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cm="1">
        <f t="array" ref="A398">GAMMADIST(10.00001131,9,2,FALSE)</f>
        <v>3.2639130418294013E-2</v>
      </c>
      <c r="B398">
        <f t="shared" si="18"/>
        <v>0</v>
      </c>
      <c r="C398">
        <f t="shared" si="19"/>
        <v>3.2639130418294013E-2</v>
      </c>
      <c r="D398" t="str">
        <f t="shared" si="20"/>
        <v/>
      </c>
      <c r="E398" t="s">
        <v>432</v>
      </c>
    </row>
    <row r="399" spans="1:5" x14ac:dyDescent="0.2">
      <c r="A399" cm="1">
        <f t="array" ref="A399">GAMMAINV(,9,2)</f>
        <v>0</v>
      </c>
      <c r="B399">
        <f t="shared" si="18"/>
        <v>0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cm="1">
        <f t="array" ref="A400">GAMMAINV(0,9,2)</f>
        <v>0</v>
      </c>
      <c r="B400">
        <f t="shared" si="18"/>
        <v>0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2026-10-07T05:16:16Z</dcterms:created>
  <dcterms:modified xsi:type="dcterms:W3CDTF">2026-10-07T05:16:17Z</dcterms:modified>
  <cp:category/>
</cp:coreProperties>
</file>