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4"/>
  <workbookPr filterPrivacy="1"/>
  <xr:revisionPtr revIDLastSave="0" documentId="8_{49299E5F-8DF2-A444-B451-46F24EEF47E1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G" sheetId="1" r:id="rId1"/>
    <sheet name="D" sheetId="2" r:id="rId2"/>
    <sheet name="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05" i="3" l="1" a="1"/>
  <c r="A305" i="3" s="1"/>
  <c r="A304" i="3" a="1"/>
  <c r="A304" i="3" s="1"/>
  <c r="A303" i="3" a="1"/>
  <c r="A303" i="3" s="1"/>
  <c r="C303" i="3" s="1"/>
  <c r="A302" i="3" a="1"/>
  <c r="A302" i="3" s="1"/>
  <c r="B302" i="3" s="1"/>
  <c r="A301" i="3" a="1"/>
  <c r="A301" i="3" s="1"/>
  <c r="A300" i="3" a="1"/>
  <c r="A300" i="3" s="1"/>
  <c r="B300" i="3" s="1"/>
  <c r="A299" i="3" a="1"/>
  <c r="A299" i="3" s="1"/>
  <c r="A298" i="3" a="1"/>
  <c r="A298" i="3" s="1"/>
  <c r="A297" i="3" a="1"/>
  <c r="A297" i="3"/>
  <c r="A296" i="3" a="1"/>
  <c r="A296" i="3"/>
  <c r="B296" i="3" s="1"/>
  <c r="D295" i="3"/>
  <c r="C295" i="3"/>
  <c r="A295" i="3" a="1"/>
  <c r="A295" i="3" s="1"/>
  <c r="B295" i="3" s="1"/>
  <c r="A294" i="3" a="1"/>
  <c r="A294" i="3" s="1"/>
  <c r="D294" i="3" s="1"/>
  <c r="A293" i="3" a="1"/>
  <c r="A293" i="3"/>
  <c r="D293" i="3" s="1"/>
  <c r="A292" i="3" a="1"/>
  <c r="A292" i="3" s="1"/>
  <c r="D292" i="3" s="1"/>
  <c r="A291" i="3" a="1"/>
  <c r="A291" i="3"/>
  <c r="D291" i="3" s="1"/>
  <c r="A290" i="3" a="1"/>
  <c r="A290" i="3" s="1"/>
  <c r="A289" i="3" a="1"/>
  <c r="A289" i="3"/>
  <c r="C289" i="3" s="1"/>
  <c r="A288" i="3" a="1"/>
  <c r="A288" i="3" s="1"/>
  <c r="C288" i="3" s="1"/>
  <c r="A287" i="3" a="1"/>
  <c r="A287" i="3" s="1"/>
  <c r="A286" i="3" a="1"/>
  <c r="A286" i="3"/>
  <c r="D286" i="3" s="1"/>
  <c r="A285" i="3" a="1"/>
  <c r="A285" i="3" s="1"/>
  <c r="A284" i="3" a="1"/>
  <c r="A284" i="3" s="1"/>
  <c r="B284" i="3" s="1"/>
  <c r="A283" i="3" a="1"/>
  <c r="A283" i="3" s="1"/>
  <c r="A282" i="3" a="1"/>
  <c r="A282" i="3"/>
  <c r="D282" i="3" s="1"/>
  <c r="A281" i="3" a="1"/>
  <c r="A281" i="3" s="1"/>
  <c r="A280" i="3" a="1"/>
  <c r="A280" i="3" s="1"/>
  <c r="A279" i="3" a="1"/>
  <c r="A279" i="3" s="1"/>
  <c r="A278" i="3" a="1"/>
  <c r="A278" i="3"/>
  <c r="D278" i="3" s="1"/>
  <c r="A277" i="3" a="1"/>
  <c r="A277" i="3" s="1"/>
  <c r="B277" i="3" s="1"/>
  <c r="A276" i="3" a="1"/>
  <c r="A276" i="3"/>
  <c r="D276" i="3" s="1"/>
  <c r="A275" i="3" a="1"/>
  <c r="A275" i="3" s="1"/>
  <c r="A274" i="3" a="1"/>
  <c r="A274" i="3" s="1"/>
  <c r="A273" i="3" a="1"/>
  <c r="A273" i="3" s="1"/>
  <c r="A272" i="3" a="1"/>
  <c r="A272" i="3"/>
  <c r="A271" i="3" a="1"/>
  <c r="A271" i="3" s="1"/>
  <c r="A270" i="3" a="1"/>
  <c r="A270" i="3" s="1"/>
  <c r="D270" i="3" s="1"/>
  <c r="A269" i="3" a="1"/>
  <c r="A269" i="3" s="1"/>
  <c r="A268" i="3" a="1"/>
  <c r="A268" i="3"/>
  <c r="D268" i="3" s="1"/>
  <c r="A267" i="3" a="1"/>
  <c r="A267" i="3" s="1"/>
  <c r="A266" i="3" a="1"/>
  <c r="A266" i="3" s="1"/>
  <c r="B266" i="3" s="1"/>
  <c r="A265" i="3" a="1"/>
  <c r="A265" i="3" s="1"/>
  <c r="A264" i="3" a="1"/>
  <c r="A264" i="3" s="1"/>
  <c r="A263" i="3" a="1"/>
  <c r="A263" i="3"/>
  <c r="C263" i="3" s="1"/>
  <c r="A262" i="3" a="1"/>
  <c r="A262" i="3"/>
  <c r="C262" i="3" s="1"/>
  <c r="A261" i="3" a="1"/>
  <c r="A261" i="3"/>
  <c r="B261" i="3" s="1"/>
  <c r="A260" i="3" a="1"/>
  <c r="A260" i="3" s="1"/>
  <c r="A259" i="3" a="1"/>
  <c r="A259" i="3" s="1"/>
  <c r="D259" i="3" s="1"/>
  <c r="A258" i="3" a="1"/>
  <c r="A258" i="3" s="1"/>
  <c r="D258" i="3" s="1"/>
  <c r="A257" i="3" a="1"/>
  <c r="A257" i="3"/>
  <c r="C257" i="3" s="1"/>
  <c r="A256" i="3" a="1"/>
  <c r="A256" i="3" s="1"/>
  <c r="A255" i="3" a="1"/>
  <c r="A255" i="3"/>
  <c r="D255" i="3" s="1"/>
  <c r="A254" i="3" a="1"/>
  <c r="A254" i="3"/>
  <c r="A253" i="3" a="1"/>
  <c r="A253" i="3" s="1"/>
  <c r="A252" i="3" a="1"/>
  <c r="A252" i="3" s="1"/>
  <c r="D252" i="3" s="1"/>
  <c r="A251" i="3" a="1"/>
  <c r="A251" i="3" s="1"/>
  <c r="A250" i="3" a="1"/>
  <c r="A250" i="3" s="1"/>
  <c r="A249" i="3" a="1"/>
  <c r="A249" i="3"/>
  <c r="B249" i="3" s="1"/>
  <c r="A248" i="3" a="1"/>
  <c r="A248" i="3" s="1"/>
  <c r="B248" i="3" s="1"/>
  <c r="A247" i="3" a="1"/>
  <c r="A247" i="3"/>
  <c r="A246" i="3" a="1"/>
  <c r="A246" i="3" s="1"/>
  <c r="A245" i="3" a="1"/>
  <c r="A245" i="3"/>
  <c r="C245" i="3" s="1"/>
  <c r="A244" i="3" a="1"/>
  <c r="A244" i="3"/>
  <c r="C244" i="3" s="1"/>
  <c r="A243" i="3" a="1"/>
  <c r="A243" i="3"/>
  <c r="A242" i="3" a="1"/>
  <c r="A242" i="3" s="1"/>
  <c r="D241" i="3"/>
  <c r="C241" i="3"/>
  <c r="A241" i="3" a="1"/>
  <c r="A241" i="3" s="1"/>
  <c r="B241" i="3" s="1"/>
  <c r="A240" i="3" a="1"/>
  <c r="A240" i="3" s="1"/>
  <c r="D240" i="3" s="1"/>
  <c r="A239" i="3" a="1"/>
  <c r="A239" i="3"/>
  <c r="B239" i="3" s="1"/>
  <c r="A238" i="3" a="1"/>
  <c r="A238" i="3" s="1"/>
  <c r="D238" i="3" s="1"/>
  <c r="A237" i="3" a="1"/>
  <c r="A237" i="3"/>
  <c r="C237" i="3" s="1"/>
  <c r="A236" i="3" a="1"/>
  <c r="A236" i="3" s="1"/>
  <c r="A235" i="3" a="1"/>
  <c r="A235" i="3"/>
  <c r="D235" i="3" s="1"/>
  <c r="D234" i="3"/>
  <c r="C234" i="3"/>
  <c r="A234" i="3" a="1"/>
  <c r="A234" i="3" s="1"/>
  <c r="B234" i="3" s="1"/>
  <c r="A233" i="3" a="1"/>
  <c r="A233" i="3" s="1"/>
  <c r="A232" i="3" a="1"/>
  <c r="A232" i="3"/>
  <c r="D232" i="3" s="1"/>
  <c r="C231" i="3"/>
  <c r="A231" i="3" a="1"/>
  <c r="A231" i="3"/>
  <c r="B231" i="3" s="1"/>
  <c r="A230" i="3" a="1"/>
  <c r="A230" i="3" s="1"/>
  <c r="B230" i="3" s="1"/>
  <c r="A229" i="3" a="1"/>
  <c r="A229" i="3"/>
  <c r="A228" i="3" a="1"/>
  <c r="A228" i="3"/>
  <c r="D228" i="3" s="1"/>
  <c r="A227" i="3" a="1"/>
  <c r="A227" i="3" s="1"/>
  <c r="A226" i="3" a="1"/>
  <c r="A226" i="3" s="1"/>
  <c r="A225" i="3" a="1"/>
  <c r="A225" i="3"/>
  <c r="A224" i="3" a="1"/>
  <c r="A224" i="3" s="1"/>
  <c r="A223" i="3" a="1"/>
  <c r="A223" i="3" s="1"/>
  <c r="D223" i="3" s="1"/>
  <c r="A222" i="3" a="1"/>
  <c r="A222" i="3" s="1"/>
  <c r="D222" i="3" s="1"/>
  <c r="A221" i="3" a="1"/>
  <c r="A221" i="3" s="1"/>
  <c r="A220" i="3" a="1"/>
  <c r="A220" i="3"/>
  <c r="B220" i="3" s="1"/>
  <c r="A219" i="3" a="1"/>
  <c r="A219" i="3" s="1"/>
  <c r="A218" i="3" a="1"/>
  <c r="A218" i="3"/>
  <c r="A217" i="3" a="1"/>
  <c r="A217" i="3"/>
  <c r="B217" i="3" s="1"/>
  <c r="A216" i="3" a="1"/>
  <c r="A216" i="3" s="1"/>
  <c r="B216" i="3" s="1"/>
  <c r="A215" i="3" a="1"/>
  <c r="A215" i="3" s="1"/>
  <c r="A214" i="3" a="1"/>
  <c r="A214" i="3" s="1"/>
  <c r="D214" i="3" s="1"/>
  <c r="A213" i="3" a="1"/>
  <c r="A213" i="3" s="1"/>
  <c r="A212" i="3" a="1"/>
  <c r="A212" i="3" s="1"/>
  <c r="B212" i="3" s="1"/>
  <c r="A211" i="3" a="1"/>
  <c r="A211" i="3"/>
  <c r="A210" i="3" a="1"/>
  <c r="A210" i="3" s="1"/>
  <c r="B210" i="3" s="1"/>
  <c r="A209" i="3" a="1"/>
  <c r="A209" i="3"/>
  <c r="D209" i="3" s="1"/>
  <c r="A208" i="3" a="1"/>
  <c r="A208" i="3"/>
  <c r="C208" i="3" s="1"/>
  <c r="A207" i="3" a="1"/>
  <c r="A207" i="3" s="1"/>
  <c r="A206" i="3" a="1"/>
  <c r="A206" i="3"/>
  <c r="B206" i="3" s="1"/>
  <c r="A205" i="3" a="1"/>
  <c r="A205" i="3" s="1"/>
  <c r="D205" i="3" s="1"/>
  <c r="A204" i="3" a="1"/>
  <c r="A204" i="3"/>
  <c r="D204" i="3" s="1"/>
  <c r="D203" i="3"/>
  <c r="C203" i="3"/>
  <c r="B203" i="3"/>
  <c r="A203" i="3" a="1"/>
  <c r="A203" i="3"/>
  <c r="A202" i="3" a="1"/>
  <c r="A202" i="3" s="1"/>
  <c r="D202" i="3" s="1"/>
  <c r="B201" i="3"/>
  <c r="A201" i="3" a="1"/>
  <c r="A201" i="3"/>
  <c r="D201" i="3" s="1"/>
  <c r="A200" i="3" a="1"/>
  <c r="A200" i="3" s="1"/>
  <c r="A199" i="3" a="1"/>
  <c r="A199" i="3" s="1"/>
  <c r="A198" i="3" a="1"/>
  <c r="A198" i="3" s="1"/>
  <c r="C198" i="3" s="1"/>
  <c r="A197" i="3" a="1"/>
  <c r="A197" i="3" s="1"/>
  <c r="A196" i="3" a="1"/>
  <c r="A196" i="3"/>
  <c r="D196" i="3" s="1"/>
  <c r="A195" i="3" a="1"/>
  <c r="A195" i="3" s="1"/>
  <c r="D195" i="3" s="1"/>
  <c r="A194" i="3" a="1"/>
  <c r="A194" i="3" s="1"/>
  <c r="B194" i="3" s="1"/>
  <c r="A193" i="3" a="1"/>
  <c r="A193" i="3" s="1"/>
  <c r="A192" i="3" a="1"/>
  <c r="A192" i="3"/>
  <c r="D192" i="3" s="1"/>
  <c r="A191" i="3" a="1"/>
  <c r="A191" i="3" s="1"/>
  <c r="C191" i="3" s="1"/>
  <c r="A190" i="3" a="1"/>
  <c r="A190" i="3" s="1"/>
  <c r="A189" i="3" a="1"/>
  <c r="A189" i="3"/>
  <c r="B189" i="3" s="1"/>
  <c r="A188" i="3" a="1"/>
  <c r="A188" i="3"/>
  <c r="B188" i="3" s="1"/>
  <c r="A187" i="3" a="1"/>
  <c r="A187" i="3" s="1"/>
  <c r="B187" i="3" s="1"/>
  <c r="A186" i="3" a="1"/>
  <c r="A186" i="3"/>
  <c r="D186" i="3" s="1"/>
  <c r="A185" i="3" a="1"/>
  <c r="A185" i="3" s="1"/>
  <c r="B185" i="3" s="1"/>
  <c r="A184" i="3" a="1"/>
  <c r="A184" i="3" s="1"/>
  <c r="A183" i="3" a="1"/>
  <c r="A183" i="3"/>
  <c r="D183" i="3" s="1"/>
  <c r="A182" i="3" a="1"/>
  <c r="A182" i="3"/>
  <c r="A181" i="3" a="1"/>
  <c r="A181" i="3"/>
  <c r="D181" i="3" s="1"/>
  <c r="A180" i="3" a="1"/>
  <c r="A180" i="3" s="1"/>
  <c r="B180" i="3" s="1"/>
  <c r="A179" i="3" a="1"/>
  <c r="A179" i="3" s="1"/>
  <c r="A178" i="3" a="1"/>
  <c r="A178" i="3"/>
  <c r="D178" i="3" s="1"/>
  <c r="A177" i="3" a="1"/>
  <c r="A177" i="3"/>
  <c r="C177" i="3" s="1"/>
  <c r="A176" i="3" a="1"/>
  <c r="A176" i="3" s="1"/>
  <c r="B176" i="3" s="1"/>
  <c r="A175" i="3" a="1"/>
  <c r="A175" i="3" s="1"/>
  <c r="A174" i="3" a="1"/>
  <c r="A174" i="3" s="1"/>
  <c r="A173" i="3" a="1"/>
  <c r="A173" i="3" s="1"/>
  <c r="D173" i="3" s="1"/>
  <c r="A172" i="3" a="1"/>
  <c r="A172" i="3"/>
  <c r="C172" i="3" s="1"/>
  <c r="A171" i="3" a="1"/>
  <c r="A171" i="3"/>
  <c r="A170" i="3" a="1"/>
  <c r="A170" i="3" s="1"/>
  <c r="D169" i="3"/>
  <c r="A169" i="3" a="1"/>
  <c r="A169" i="3" s="1"/>
  <c r="C169" i="3" s="1"/>
  <c r="A168" i="3" a="1"/>
  <c r="A168" i="3"/>
  <c r="D168" i="3" s="1"/>
  <c r="A167" i="3" a="1"/>
  <c r="A167" i="3"/>
  <c r="D167" i="3" s="1"/>
  <c r="A166" i="3" a="1"/>
  <c r="A166" i="3" s="1"/>
  <c r="A165" i="3" a="1"/>
  <c r="A165" i="3" s="1"/>
  <c r="A164" i="3" a="1"/>
  <c r="A164" i="3"/>
  <c r="A163" i="3" a="1"/>
  <c r="A163" i="3"/>
  <c r="D163" i="3" s="1"/>
  <c r="A162" i="3" a="1"/>
  <c r="A162" i="3" s="1"/>
  <c r="D162" i="3" s="1"/>
  <c r="A161" i="3" a="1"/>
  <c r="A161" i="3" s="1"/>
  <c r="C160" i="3"/>
  <c r="A160" i="3" a="1"/>
  <c r="A160" i="3"/>
  <c r="D160" i="3" s="1"/>
  <c r="A159" i="3" a="1"/>
  <c r="A159" i="3"/>
  <c r="D159" i="3" s="1"/>
  <c r="A158" i="3" a="1"/>
  <c r="A158" i="3" s="1"/>
  <c r="B158" i="3" s="1"/>
  <c r="A157" i="3" a="1"/>
  <c r="A157" i="3" s="1"/>
  <c r="A156" i="3" a="1"/>
  <c r="A156" i="3"/>
  <c r="C156" i="3" s="1"/>
  <c r="A155" i="3" a="1"/>
  <c r="A155" i="3"/>
  <c r="B155" i="3" s="1"/>
  <c r="A154" i="3" a="1"/>
  <c r="A154" i="3"/>
  <c r="C154" i="3" s="1"/>
  <c r="A153" i="3" a="1"/>
  <c r="A153" i="3"/>
  <c r="A152" i="3" a="1"/>
  <c r="A152" i="3" s="1"/>
  <c r="D152" i="3" s="1"/>
  <c r="D151" i="3"/>
  <c r="C151" i="3"/>
  <c r="B151" i="3"/>
  <c r="A151" i="3" a="1"/>
  <c r="A151" i="3" s="1"/>
  <c r="A150" i="3" a="1"/>
  <c r="A150" i="3"/>
  <c r="D150" i="3" s="1"/>
  <c r="A149" i="3" a="1"/>
  <c r="A149" i="3"/>
  <c r="D149" i="3" s="1"/>
  <c r="A148" i="3" a="1"/>
  <c r="A148" i="3" s="1"/>
  <c r="A147" i="3" a="1"/>
  <c r="A147" i="3"/>
  <c r="C147" i="3" s="1"/>
  <c r="A146" i="3" a="1"/>
  <c r="A146" i="3"/>
  <c r="A145" i="3" a="1"/>
  <c r="A145" i="3" s="1"/>
  <c r="D145" i="3" s="1"/>
  <c r="A144" i="3" a="1"/>
  <c r="A144" i="3" s="1"/>
  <c r="D144" i="3" s="1"/>
  <c r="A143" i="3" a="1"/>
  <c r="A143" i="3" s="1"/>
  <c r="A142" i="3" a="1"/>
  <c r="A142" i="3" s="1"/>
  <c r="D142" i="3" s="1"/>
  <c r="A141" i="3" a="1"/>
  <c r="A141" i="3" s="1"/>
  <c r="A140" i="3" a="1"/>
  <c r="A140" i="3" s="1"/>
  <c r="B140" i="3" s="1"/>
  <c r="A139" i="3" a="1"/>
  <c r="A139" i="3"/>
  <c r="A138" i="3" a="1"/>
  <c r="A138" i="3" s="1"/>
  <c r="A137" i="3" a="1"/>
  <c r="A137" i="3"/>
  <c r="B137" i="3" s="1"/>
  <c r="A136" i="3" a="1"/>
  <c r="A136" i="3"/>
  <c r="C136" i="3" s="1"/>
  <c r="A135" i="3" a="1"/>
  <c r="A135" i="3"/>
  <c r="A134" i="3" a="1"/>
  <c r="A134" i="3" s="1"/>
  <c r="D134" i="3" s="1"/>
  <c r="A133" i="3" a="1"/>
  <c r="A133" i="3" s="1"/>
  <c r="D133" i="3" s="1"/>
  <c r="A132" i="3" a="1"/>
  <c r="A132" i="3"/>
  <c r="D132" i="3" s="1"/>
  <c r="A131" i="3" a="1"/>
  <c r="A131" i="3" s="1"/>
  <c r="A130" i="3" a="1"/>
  <c r="A130" i="3"/>
  <c r="D130" i="3" s="1"/>
  <c r="A129" i="3" a="1"/>
  <c r="A129" i="3"/>
  <c r="C129" i="3" s="1"/>
  <c r="A128" i="3" a="1"/>
  <c r="A128" i="3"/>
  <c r="A127" i="3" a="1"/>
  <c r="A127" i="3" s="1"/>
  <c r="A126" i="3" a="1"/>
  <c r="A126" i="3" s="1"/>
  <c r="D126" i="3" s="1"/>
  <c r="A125" i="3" a="1"/>
  <c r="A125" i="3" s="1"/>
  <c r="A124" i="3" a="1"/>
  <c r="A124" i="3" s="1"/>
  <c r="D124" i="3" s="1"/>
  <c r="A123" i="3" a="1"/>
  <c r="A123" i="3"/>
  <c r="B123" i="3" s="1"/>
  <c r="D122" i="3"/>
  <c r="A122" i="3" a="1"/>
  <c r="A122" i="3" s="1"/>
  <c r="B122" i="3" s="1"/>
  <c r="A121" i="3" a="1"/>
  <c r="A121" i="3"/>
  <c r="A120" i="3" a="1"/>
  <c r="A120" i="3"/>
  <c r="D120" i="3" s="1"/>
  <c r="A119" i="3" a="1"/>
  <c r="A119" i="3"/>
  <c r="D119" i="3" s="1"/>
  <c r="A118" i="3" a="1"/>
  <c r="A118" i="3"/>
  <c r="C118" i="3" s="1"/>
  <c r="B117" i="3"/>
  <c r="A117" i="3" a="1"/>
  <c r="A117" i="3"/>
  <c r="A116" i="3" a="1"/>
  <c r="A116" i="3" s="1"/>
  <c r="D116" i="3" s="1"/>
  <c r="A115" i="3" a="1"/>
  <c r="A115" i="3" s="1"/>
  <c r="C115" i="3" s="1"/>
  <c r="A114" i="3" a="1"/>
  <c r="A114" i="3"/>
  <c r="D114" i="3" s="1"/>
  <c r="A113" i="3" a="1"/>
  <c r="A113" i="3"/>
  <c r="D113" i="3" s="1"/>
  <c r="A112" i="3" a="1"/>
  <c r="A112" i="3"/>
  <c r="B112" i="3" s="1"/>
  <c r="A111" i="3" a="1"/>
  <c r="A111" i="3" s="1"/>
  <c r="A110" i="3" a="1"/>
  <c r="A110" i="3"/>
  <c r="A109" i="3" a="1"/>
  <c r="A109" i="3" s="1"/>
  <c r="C108" i="3"/>
  <c r="B108" i="3"/>
  <c r="A108" i="3" a="1"/>
  <c r="A108" i="3" s="1"/>
  <c r="D108" i="3" s="1"/>
  <c r="A107" i="3" a="1"/>
  <c r="A107" i="3" s="1"/>
  <c r="A106" i="3" a="1"/>
  <c r="A106" i="3"/>
  <c r="D106" i="3" s="1"/>
  <c r="A105" i="3" a="1"/>
  <c r="A105" i="3" s="1"/>
  <c r="A104" i="3" a="1"/>
  <c r="A104" i="3" s="1"/>
  <c r="B104" i="3" s="1"/>
  <c r="A103" i="3" a="1"/>
  <c r="A103" i="3"/>
  <c r="D102" i="3"/>
  <c r="C102" i="3"/>
  <c r="B102" i="3"/>
  <c r="A102" i="3" a="1"/>
  <c r="A102" i="3"/>
  <c r="A101" i="3" a="1"/>
  <c r="A101" i="3" s="1"/>
  <c r="C101" i="3" s="1"/>
  <c r="A100" i="3" a="1"/>
  <c r="A100" i="3"/>
  <c r="C100" i="3" s="1"/>
  <c r="A99" i="3" a="1"/>
  <c r="A99" i="3"/>
  <c r="A98" i="3" a="1"/>
  <c r="A98" i="3" s="1"/>
  <c r="A97" i="3" a="1"/>
  <c r="A97" i="3" s="1"/>
  <c r="D97" i="3" s="1"/>
  <c r="A96" i="3" a="1"/>
  <c r="A96" i="3"/>
  <c r="D96" i="3" s="1"/>
  <c r="A95" i="3" a="1"/>
  <c r="A95" i="3"/>
  <c r="D95" i="3" s="1"/>
  <c r="A94" i="3" a="1"/>
  <c r="A94" i="3" s="1"/>
  <c r="D93" i="3"/>
  <c r="C93" i="3"/>
  <c r="A93" i="3" a="1"/>
  <c r="A93" i="3"/>
  <c r="B93" i="3" s="1"/>
  <c r="A92" i="3" a="1"/>
  <c r="A92" i="3"/>
  <c r="A91" i="3" a="1"/>
  <c r="A91" i="3" s="1"/>
  <c r="A90" i="3" a="1"/>
  <c r="A90" i="3" s="1"/>
  <c r="C90" i="3" s="1"/>
  <c r="A89" i="3" a="1"/>
  <c r="A89" i="3" s="1"/>
  <c r="A88" i="3" a="1"/>
  <c r="A88" i="3" s="1"/>
  <c r="A87" i="3" a="1"/>
  <c r="A87" i="3"/>
  <c r="B87" i="3" s="1"/>
  <c r="A86" i="3" a="1"/>
  <c r="A86" i="3" s="1"/>
  <c r="B86" i="3" s="1"/>
  <c r="A85" i="3" a="1"/>
  <c r="A85" i="3"/>
  <c r="A84" i="3" a="1"/>
  <c r="A84" i="3" s="1"/>
  <c r="A83" i="3" a="1"/>
  <c r="A83" i="3"/>
  <c r="C83" i="3" s="1"/>
  <c r="A82" i="3" a="1"/>
  <c r="A82" i="3" s="1"/>
  <c r="A81" i="3" a="1"/>
  <c r="A81" i="3" s="1"/>
  <c r="A80" i="3" a="1"/>
  <c r="A80" i="3"/>
  <c r="D80" i="3" s="1"/>
  <c r="A79" i="3" a="1"/>
  <c r="A79" i="3" s="1"/>
  <c r="D79" i="3" s="1"/>
  <c r="A78" i="3" a="1"/>
  <c r="A78" i="3"/>
  <c r="D78" i="3" s="1"/>
  <c r="A77" i="3" a="1"/>
  <c r="A77" i="3"/>
  <c r="B77" i="3" s="1"/>
  <c r="A76" i="3" a="1"/>
  <c r="A76" i="3"/>
  <c r="D76" i="3" s="1"/>
  <c r="A75" i="3" a="1"/>
  <c r="A75" i="3" s="1"/>
  <c r="A74" i="3" a="1"/>
  <c r="A74" i="3" s="1"/>
  <c r="A73" i="3" a="1"/>
  <c r="A73" i="3"/>
  <c r="C73" i="3" s="1"/>
  <c r="A72" i="3" a="1"/>
  <c r="A72" i="3" s="1"/>
  <c r="D72" i="3" s="1"/>
  <c r="A71" i="3" a="1"/>
  <c r="A71" i="3" s="1"/>
  <c r="A70" i="3" a="1"/>
  <c r="A70" i="3" s="1"/>
  <c r="A69" i="3" a="1"/>
  <c r="A69" i="3"/>
  <c r="B69" i="3" s="1"/>
  <c r="A68" i="3" a="1"/>
  <c r="A68" i="3" s="1"/>
  <c r="B68" i="3" s="1"/>
  <c r="A67" i="3" a="1"/>
  <c r="A67" i="3"/>
  <c r="A66" i="3" a="1"/>
  <c r="A66" i="3" s="1"/>
  <c r="B66" i="3" s="1"/>
  <c r="A65" i="3" a="1"/>
  <c r="A65" i="3" s="1"/>
  <c r="D64" i="3"/>
  <c r="A64" i="3" a="1"/>
  <c r="A64" i="3"/>
  <c r="B64" i="3" s="1"/>
  <c r="A63" i="3" a="1"/>
  <c r="A63" i="3" s="1"/>
  <c r="A62" i="3" a="1"/>
  <c r="A62" i="3"/>
  <c r="C62" i="3" s="1"/>
  <c r="A61" i="3" a="1"/>
  <c r="A61" i="3" s="1"/>
  <c r="D61" i="3" s="1"/>
  <c r="A60" i="3" a="1"/>
  <c r="A60" i="3"/>
  <c r="D60" i="3" s="1"/>
  <c r="A59" i="3" a="1"/>
  <c r="A59" i="3"/>
  <c r="D59" i="3" s="1"/>
  <c r="A58" i="3" a="1"/>
  <c r="A58" i="3" s="1"/>
  <c r="C57" i="3"/>
  <c r="A57" i="3" a="1"/>
  <c r="A57" i="3"/>
  <c r="D57" i="3" s="1"/>
  <c r="A56" i="3" a="1"/>
  <c r="A56" i="3" s="1"/>
  <c r="A55" i="3" a="1"/>
  <c r="A55" i="3"/>
  <c r="D55" i="3" s="1"/>
  <c r="A54" i="3" a="1"/>
  <c r="A54" i="3" s="1"/>
  <c r="C54" i="3" s="1"/>
  <c r="A53" i="3" a="1"/>
  <c r="A53" i="3" s="1"/>
  <c r="A52" i="3" a="1"/>
  <c r="A52" i="3"/>
  <c r="D52" i="3" s="1"/>
  <c r="A51" i="3" a="1"/>
  <c r="A51" i="3" s="1"/>
  <c r="A50" i="3" a="1"/>
  <c r="A50" i="3" s="1"/>
  <c r="B50" i="3" s="1"/>
  <c r="A49" i="3" a="1"/>
  <c r="A49" i="3"/>
  <c r="A48" i="3" a="1"/>
  <c r="A48" i="3" s="1"/>
  <c r="A47" i="3" a="1"/>
  <c r="A47" i="3"/>
  <c r="C47" i="3" s="1"/>
  <c r="A46" i="3" a="1"/>
  <c r="A46" i="3"/>
  <c r="B46" i="3" s="1"/>
  <c r="A45" i="3" a="1"/>
  <c r="A45" i="3"/>
  <c r="B45" i="3" s="1"/>
  <c r="A44" i="3" a="1"/>
  <c r="A44" i="3"/>
  <c r="D44" i="3" s="1"/>
  <c r="A43" i="3" a="1"/>
  <c r="A43" i="3" s="1"/>
  <c r="B43" i="3" s="1"/>
  <c r="A42" i="3" a="1"/>
  <c r="A42" i="3"/>
  <c r="D42" i="3" s="1"/>
  <c r="A41" i="3" a="1"/>
  <c r="A41" i="3" s="1"/>
  <c r="A40" i="3" a="1"/>
  <c r="A40" i="3"/>
  <c r="C40" i="3" s="1"/>
  <c r="A39" i="3" a="1"/>
  <c r="A39" i="3" s="1"/>
  <c r="A38" i="3" a="1"/>
  <c r="A38" i="3"/>
  <c r="A37" i="3" a="1"/>
  <c r="A37" i="3" s="1"/>
  <c r="A36" i="3" a="1"/>
  <c r="A36" i="3" s="1"/>
  <c r="B36" i="3" s="1"/>
  <c r="A35" i="3" a="1"/>
  <c r="A35" i="3" s="1"/>
  <c r="A34" i="3" a="1"/>
  <c r="A34" i="3" s="1"/>
  <c r="A33" i="3" a="1"/>
  <c r="A33" i="3"/>
  <c r="B33" i="3" s="1"/>
  <c r="A32" i="3" a="1"/>
  <c r="A32" i="3" s="1"/>
  <c r="B32" i="3" s="1"/>
  <c r="A31" i="3" a="1"/>
  <c r="A31" i="3"/>
  <c r="A30" i="3" a="1"/>
  <c r="A30" i="3" s="1"/>
  <c r="C30" i="3" s="1"/>
  <c r="A29" i="3" a="1"/>
  <c r="A29" i="3"/>
  <c r="C29" i="3" s="1"/>
  <c r="A28" i="3" a="1"/>
  <c r="A28" i="3"/>
  <c r="B28" i="3" s="1"/>
  <c r="A27" i="3" a="1"/>
  <c r="A27" i="3" s="1"/>
  <c r="A26" i="3" a="1"/>
  <c r="A26" i="3"/>
  <c r="B26" i="3" s="1"/>
  <c r="A25" i="3" a="1"/>
  <c r="A25" i="3" s="1"/>
  <c r="D25" i="3" s="1"/>
  <c r="A24" i="3" a="1"/>
  <c r="A24" i="3"/>
  <c r="D24" i="3" s="1"/>
  <c r="D23" i="3"/>
  <c r="C23" i="3"/>
  <c r="B23" i="3"/>
  <c r="A23" i="3" a="1"/>
  <c r="A23" i="3"/>
  <c r="A22" i="3" a="1"/>
  <c r="A22" i="3" s="1"/>
  <c r="D22" i="3" s="1"/>
  <c r="B21" i="3"/>
  <c r="A21" i="3" a="1"/>
  <c r="A21" i="3"/>
  <c r="D21" i="3" s="1"/>
  <c r="A20" i="3" a="1"/>
  <c r="A20" i="3"/>
  <c r="B20" i="3" s="1"/>
  <c r="A19" i="3" a="1"/>
  <c r="A19" i="3"/>
  <c r="D19" i="3" s="1"/>
  <c r="A18" i="3" a="1"/>
  <c r="A18" i="3" s="1"/>
  <c r="C18" i="3" s="1"/>
  <c r="A17" i="3" a="1"/>
  <c r="A17" i="3" s="1"/>
  <c r="A16" i="3" a="1"/>
  <c r="A16" i="3"/>
  <c r="B16" i="3" s="1"/>
  <c r="A15" i="3" a="1"/>
  <c r="A15" i="3"/>
  <c r="C15" i="3" s="1"/>
  <c r="A14" i="3" a="1"/>
  <c r="A14" i="3" s="1"/>
  <c r="B14" i="3" s="1"/>
  <c r="A13" i="3" a="1"/>
  <c r="A13" i="3" s="1"/>
  <c r="A12" i="3" a="1"/>
  <c r="A12" i="3"/>
  <c r="B12" i="3" s="1"/>
  <c r="A11" i="3" a="1"/>
  <c r="A11" i="3"/>
  <c r="C11" i="3" s="1"/>
  <c r="A10" i="3" a="1"/>
  <c r="A10" i="3"/>
  <c r="B10" i="3" s="1"/>
  <c r="A9" i="3" a="1"/>
  <c r="A9" i="3" s="1"/>
  <c r="A8" i="3" a="1"/>
  <c r="A8" i="3" s="1"/>
  <c r="D8" i="3" s="1"/>
  <c r="C7" i="3"/>
  <c r="B7" i="3"/>
  <c r="A7" i="3" a="1"/>
  <c r="A7" i="3" s="1"/>
  <c r="D7" i="3" s="1"/>
  <c r="A6" i="3" a="1"/>
  <c r="A6" i="3"/>
  <c r="A5" i="3" a="1"/>
  <c r="A5" i="3"/>
  <c r="D5" i="3" s="1"/>
  <c r="A4" i="3" a="1"/>
  <c r="A4" i="3"/>
  <c r="D4" i="3" s="1"/>
  <c r="A3" i="3" a="1"/>
  <c r="A3" i="3"/>
  <c r="D3" i="3" s="1"/>
  <c r="A2" i="3" a="1"/>
  <c r="A2" i="3"/>
  <c r="B2" i="3" s="1"/>
  <c r="D1" i="3"/>
  <c r="A1" i="3" a="1"/>
  <c r="A1" i="3"/>
  <c r="C1" i="3" s="1"/>
  <c r="I15" i="2"/>
  <c r="A14" i="2"/>
  <c r="A13" i="2"/>
  <c r="AL10" i="2"/>
  <c r="A8" i="2"/>
  <c r="A7" i="2"/>
  <c r="E3" i="2"/>
  <c r="D285" i="3" l="1"/>
  <c r="C285" i="3"/>
  <c r="B285" i="3"/>
  <c r="C226" i="3"/>
  <c r="D226" i="3"/>
  <c r="B273" i="3"/>
  <c r="D273" i="3"/>
  <c r="C273" i="3"/>
  <c r="C190" i="3"/>
  <c r="D190" i="3"/>
  <c r="C227" i="3"/>
  <c r="D227" i="3"/>
  <c r="B227" i="3"/>
  <c r="C274" i="3"/>
  <c r="D274" i="3"/>
  <c r="C39" i="3"/>
  <c r="D39" i="3"/>
  <c r="B39" i="3"/>
  <c r="C219" i="3"/>
  <c r="D219" i="3"/>
  <c r="B219" i="3"/>
  <c r="C111" i="3"/>
  <c r="B111" i="3"/>
  <c r="D111" i="3"/>
  <c r="C75" i="3"/>
  <c r="B75" i="3"/>
  <c r="D75" i="3"/>
  <c r="D165" i="3"/>
  <c r="C165" i="3"/>
  <c r="B165" i="3"/>
  <c r="B82" i="3"/>
  <c r="D82" i="3"/>
  <c r="C82" i="3"/>
  <c r="B264" i="3"/>
  <c r="D264" i="3"/>
  <c r="C264" i="3"/>
  <c r="B252" i="3"/>
  <c r="D212" i="3"/>
  <c r="C112" i="3"/>
  <c r="D129" i="3"/>
  <c r="D155" i="3"/>
  <c r="C205" i="3"/>
  <c r="B237" i="3"/>
  <c r="D244" i="3"/>
  <c r="B291" i="3"/>
  <c r="B61" i="3"/>
  <c r="C69" i="3"/>
  <c r="C155" i="3"/>
  <c r="B205" i="3"/>
  <c r="B255" i="3"/>
  <c r="C291" i="3"/>
  <c r="D118" i="3"/>
  <c r="D10" i="3"/>
  <c r="B3" i="3"/>
  <c r="D83" i="3"/>
  <c r="D136" i="3"/>
  <c r="C3" i="3"/>
  <c r="D147" i="3"/>
  <c r="B129" i="3"/>
  <c r="D198" i="3"/>
  <c r="B79" i="3"/>
  <c r="D112" i="3"/>
  <c r="B5" i="3"/>
  <c r="C79" i="3"/>
  <c r="D237" i="3"/>
  <c r="C255" i="3"/>
  <c r="C300" i="3"/>
  <c r="C5" i="3"/>
  <c r="B183" i="3"/>
  <c r="B223" i="3"/>
  <c r="D245" i="3"/>
  <c r="D300" i="3"/>
  <c r="B147" i="3"/>
  <c r="D180" i="3"/>
  <c r="C188" i="3"/>
  <c r="D289" i="3"/>
  <c r="B19" i="3"/>
  <c r="C25" i="3"/>
  <c r="D69" i="3"/>
  <c r="C183" i="3"/>
  <c r="D14" i="3"/>
  <c r="C21" i="3"/>
  <c r="C201" i="3"/>
  <c r="D231" i="3"/>
  <c r="B1" i="3"/>
  <c r="D100" i="3"/>
  <c r="C217" i="3"/>
  <c r="B270" i="3"/>
  <c r="D154" i="3"/>
  <c r="C270" i="3"/>
  <c r="D188" i="3"/>
  <c r="C212" i="3"/>
  <c r="D262" i="3"/>
  <c r="C61" i="3"/>
  <c r="C28" i="3"/>
  <c r="C46" i="3"/>
  <c r="D28" i="3"/>
  <c r="D46" i="3"/>
  <c r="B57" i="3"/>
  <c r="C64" i="3"/>
  <c r="D208" i="3"/>
  <c r="D217" i="3"/>
  <c r="C10" i="3"/>
  <c r="C19" i="3"/>
  <c r="B25" i="3"/>
  <c r="C180" i="3"/>
  <c r="C32" i="3"/>
  <c r="D172" i="3"/>
  <c r="D18" i="3"/>
  <c r="D32" i="3"/>
  <c r="B160" i="3"/>
  <c r="D170" i="3"/>
  <c r="B170" i="3"/>
  <c r="C170" i="3"/>
  <c r="C94" i="3"/>
  <c r="D94" i="3"/>
  <c r="B94" i="3"/>
  <c r="C51" i="3"/>
  <c r="D51" i="3"/>
  <c r="B51" i="3"/>
  <c r="D84" i="3"/>
  <c r="C84" i="3"/>
  <c r="B84" i="3"/>
  <c r="D236" i="3"/>
  <c r="C236" i="3"/>
  <c r="B236" i="3"/>
  <c r="D127" i="3"/>
  <c r="C127" i="3"/>
  <c r="B127" i="3"/>
  <c r="C105" i="3"/>
  <c r="D105" i="3"/>
  <c r="B105" i="3"/>
  <c r="D199" i="3"/>
  <c r="C199" i="3"/>
  <c r="B199" i="3"/>
  <c r="C213" i="3"/>
  <c r="D213" i="3"/>
  <c r="B213" i="3"/>
  <c r="C221" i="3"/>
  <c r="B221" i="3"/>
  <c r="D221" i="3"/>
  <c r="D138" i="3"/>
  <c r="C138" i="3"/>
  <c r="B138" i="3"/>
  <c r="D34" i="3"/>
  <c r="B34" i="3"/>
  <c r="C34" i="3"/>
  <c r="D70" i="3"/>
  <c r="C70" i="3"/>
  <c r="B70" i="3"/>
  <c r="D98" i="3"/>
  <c r="C98" i="3"/>
  <c r="B98" i="3"/>
  <c r="D246" i="3"/>
  <c r="C246" i="3"/>
  <c r="B246" i="3"/>
  <c r="D91" i="3"/>
  <c r="C91" i="3"/>
  <c r="B91" i="3"/>
  <c r="D74" i="3"/>
  <c r="B74" i="3"/>
  <c r="C74" i="3"/>
  <c r="C81" i="3"/>
  <c r="D81" i="3"/>
  <c r="B81" i="3"/>
  <c r="C184" i="3"/>
  <c r="D184" i="3"/>
  <c r="B184" i="3"/>
  <c r="B242" i="3"/>
  <c r="D242" i="3"/>
  <c r="C242" i="3"/>
  <c r="D299" i="3"/>
  <c r="C299" i="3"/>
  <c r="B299" i="3"/>
  <c r="D88" i="3"/>
  <c r="C88" i="3"/>
  <c r="B88" i="3"/>
  <c r="D13" i="3"/>
  <c r="C13" i="3"/>
  <c r="B13" i="3"/>
  <c r="C207" i="3"/>
  <c r="D207" i="3"/>
  <c r="B207" i="3"/>
  <c r="C256" i="3"/>
  <c r="D256" i="3"/>
  <c r="B256" i="3"/>
  <c r="B166" i="3"/>
  <c r="C166" i="3"/>
  <c r="D166" i="3"/>
  <c r="D267" i="3"/>
  <c r="C267" i="3"/>
  <c r="B267" i="3"/>
  <c r="D275" i="3"/>
  <c r="C275" i="3"/>
  <c r="B275" i="3"/>
  <c r="D271" i="3"/>
  <c r="C271" i="3"/>
  <c r="B271" i="3"/>
  <c r="C27" i="3"/>
  <c r="D27" i="3"/>
  <c r="B27" i="3"/>
  <c r="B109" i="3"/>
  <c r="C109" i="3"/>
  <c r="D109" i="3"/>
  <c r="D9" i="3"/>
  <c r="C9" i="3"/>
  <c r="B9" i="3"/>
  <c r="D279" i="3"/>
  <c r="C279" i="3"/>
  <c r="B279" i="3"/>
  <c r="C253" i="3"/>
  <c r="D253" i="3"/>
  <c r="B253" i="3"/>
  <c r="B290" i="3"/>
  <c r="D290" i="3"/>
  <c r="C290" i="3"/>
  <c r="D148" i="3"/>
  <c r="C148" i="3"/>
  <c r="B148" i="3"/>
  <c r="D174" i="3"/>
  <c r="B174" i="3"/>
  <c r="C174" i="3"/>
  <c r="D131" i="3"/>
  <c r="C131" i="3"/>
  <c r="B131" i="3"/>
  <c r="D37" i="3"/>
  <c r="C37" i="3"/>
  <c r="B37" i="3"/>
  <c r="C224" i="3"/>
  <c r="D224" i="3"/>
  <c r="B224" i="3"/>
  <c r="C65" i="3"/>
  <c r="D65" i="3"/>
  <c r="B65" i="3"/>
  <c r="D304" i="3"/>
  <c r="C304" i="3"/>
  <c r="B304" i="3"/>
  <c r="B41" i="3"/>
  <c r="D41" i="3"/>
  <c r="C41" i="3"/>
  <c r="D281" i="3"/>
  <c r="C281" i="3"/>
  <c r="B281" i="3"/>
  <c r="D141" i="3"/>
  <c r="C141" i="3"/>
  <c r="B141" i="3"/>
  <c r="D48" i="3"/>
  <c r="B48" i="3"/>
  <c r="C48" i="3"/>
  <c r="D58" i="3"/>
  <c r="C58" i="3"/>
  <c r="B58" i="3"/>
  <c r="D250" i="3"/>
  <c r="C250" i="3"/>
  <c r="B250" i="3"/>
  <c r="D260" i="3"/>
  <c r="C260" i="3"/>
  <c r="B260" i="3"/>
  <c r="D103" i="3"/>
  <c r="C103" i="3"/>
  <c r="B103" i="3"/>
  <c r="B133" i="3"/>
  <c r="D66" i="3"/>
  <c r="D185" i="3"/>
  <c r="C228" i="3"/>
  <c r="C243" i="3"/>
  <c r="D243" i="3"/>
  <c r="B257" i="3"/>
  <c r="D62" i="3"/>
  <c r="D11" i="3"/>
  <c r="C63" i="3"/>
  <c r="D63" i="3"/>
  <c r="B56" i="3"/>
  <c r="D56" i="3"/>
  <c r="C56" i="3"/>
  <c r="C117" i="3"/>
  <c r="D117" i="3"/>
  <c r="B146" i="3"/>
  <c r="D146" i="3"/>
  <c r="C146" i="3"/>
  <c r="D179" i="3"/>
  <c r="C179" i="3"/>
  <c r="B179" i="3"/>
  <c r="D193" i="3"/>
  <c r="C193" i="3"/>
  <c r="B193" i="3"/>
  <c r="C14" i="3"/>
  <c r="C122" i="3"/>
  <c r="D218" i="3"/>
  <c r="B218" i="3"/>
  <c r="C218" i="3"/>
  <c r="D251" i="3"/>
  <c r="C251" i="3"/>
  <c r="B251" i="3"/>
  <c r="D265" i="3"/>
  <c r="C265" i="3"/>
  <c r="B265" i="3"/>
  <c r="C280" i="3"/>
  <c r="B280" i="3"/>
  <c r="D280" i="3"/>
  <c r="C194" i="3"/>
  <c r="D161" i="3"/>
  <c r="C161" i="3"/>
  <c r="B161" i="3"/>
  <c r="B232" i="3"/>
  <c r="D301" i="3"/>
  <c r="C301" i="3"/>
  <c r="B301" i="3"/>
  <c r="C223" i="3"/>
  <c r="C266" i="3"/>
  <c r="C123" i="3"/>
  <c r="D247" i="3"/>
  <c r="C247" i="3"/>
  <c r="B247" i="3"/>
  <c r="D194" i="3"/>
  <c r="D90" i="3"/>
  <c r="B162" i="3"/>
  <c r="D200" i="3"/>
  <c r="B200" i="3"/>
  <c r="C200" i="3"/>
  <c r="B209" i="3"/>
  <c r="D15" i="3"/>
  <c r="B29" i="3"/>
  <c r="D43" i="3"/>
  <c r="C52" i="3"/>
  <c r="B62" i="3"/>
  <c r="C66" i="3"/>
  <c r="B72" i="3"/>
  <c r="C76" i="3"/>
  <c r="D123" i="3"/>
  <c r="C133" i="3"/>
  <c r="C142" i="3"/>
  <c r="B152" i="3"/>
  <c r="D156" i="3"/>
  <c r="C162" i="3"/>
  <c r="C176" i="3"/>
  <c r="B181" i="3"/>
  <c r="C185" i="3"/>
  <c r="B195" i="3"/>
  <c r="C209" i="3"/>
  <c r="B228" i="3"/>
  <c r="B238" i="3"/>
  <c r="B286" i="3"/>
  <c r="C296" i="3"/>
  <c r="C302" i="3"/>
  <c r="D89" i="3"/>
  <c r="C89" i="3"/>
  <c r="B89" i="3"/>
  <c r="C189" i="3"/>
  <c r="D189" i="3"/>
  <c r="B80" i="3"/>
  <c r="D6" i="3"/>
  <c r="C6" i="3"/>
  <c r="B6" i="3"/>
  <c r="B156" i="3"/>
  <c r="B52" i="3"/>
  <c r="B11" i="3"/>
  <c r="D302" i="3"/>
  <c r="D20" i="3"/>
  <c r="C20" i="3"/>
  <c r="C43" i="3"/>
  <c r="C171" i="3"/>
  <c r="D171" i="3"/>
  <c r="D53" i="3"/>
  <c r="C53" i="3"/>
  <c r="B53" i="3"/>
  <c r="D175" i="3"/>
  <c r="C175" i="3"/>
  <c r="B175" i="3"/>
  <c r="C277" i="3"/>
  <c r="B47" i="3"/>
  <c r="B90" i="3"/>
  <c r="C99" i="3"/>
  <c r="D99" i="3"/>
  <c r="D2" i="3"/>
  <c r="C2" i="3"/>
  <c r="C33" i="3"/>
  <c r="D71" i="3"/>
  <c r="C71" i="3"/>
  <c r="B71" i="3"/>
  <c r="C80" i="3"/>
  <c r="C113" i="3"/>
  <c r="C137" i="3"/>
  <c r="C252" i="3"/>
  <c r="D33" i="3"/>
  <c r="D47" i="3"/>
  <c r="B99" i="3"/>
  <c r="B142" i="3"/>
  <c r="D233" i="3"/>
  <c r="C233" i="3"/>
  <c r="B233" i="3"/>
  <c r="B95" i="3"/>
  <c r="B119" i="3"/>
  <c r="C238" i="3"/>
  <c r="C95" i="3"/>
  <c r="C119" i="3"/>
  <c r="D86" i="3"/>
  <c r="B115" i="3"/>
  <c r="B144" i="3"/>
  <c r="B191" i="3"/>
  <c r="C44" i="3"/>
  <c r="B134" i="3"/>
  <c r="C144" i="3"/>
  <c r="B177" i="3"/>
  <c r="B288" i="3"/>
  <c r="B73" i="3"/>
  <c r="D283" i="3"/>
  <c r="C283" i="3"/>
  <c r="B283" i="3"/>
  <c r="D288" i="3"/>
  <c r="C72" i="3"/>
  <c r="C152" i="3"/>
  <c r="C181" i="3"/>
  <c r="C286" i="3"/>
  <c r="D67" i="3"/>
  <c r="C67" i="3"/>
  <c r="B67" i="3"/>
  <c r="C86" i="3"/>
  <c r="D297" i="3"/>
  <c r="C297" i="3"/>
  <c r="B167" i="3"/>
  <c r="D215" i="3"/>
  <c r="C215" i="3"/>
  <c r="B215" i="3"/>
  <c r="D248" i="3"/>
  <c r="B292" i="3"/>
  <c r="C16" i="3"/>
  <c r="D35" i="3"/>
  <c r="C35" i="3"/>
  <c r="B35" i="3"/>
  <c r="B163" i="3"/>
  <c r="C292" i="3"/>
  <c r="D16" i="3"/>
  <c r="B101" i="3"/>
  <c r="D115" i="3"/>
  <c r="C163" i="3"/>
  <c r="D191" i="3"/>
  <c r="C210" i="3"/>
  <c r="C225" i="3"/>
  <c r="D225" i="3"/>
  <c r="D303" i="3"/>
  <c r="B120" i="3"/>
  <c r="B130" i="3"/>
  <c r="D177" i="3"/>
  <c r="C187" i="3"/>
  <c r="D210" i="3"/>
  <c r="D220" i="3"/>
  <c r="C230" i="3"/>
  <c r="B235" i="3"/>
  <c r="C239" i="3"/>
  <c r="D30" i="3"/>
  <c r="C36" i="3"/>
  <c r="D40" i="3"/>
  <c r="B59" i="3"/>
  <c r="D73" i="3"/>
  <c r="C87" i="3"/>
  <c r="B97" i="3"/>
  <c r="D101" i="3"/>
  <c r="B106" i="3"/>
  <c r="C120" i="3"/>
  <c r="B126" i="3"/>
  <c r="C130" i="3"/>
  <c r="C135" i="3"/>
  <c r="D135" i="3"/>
  <c r="B149" i="3"/>
  <c r="B164" i="3"/>
  <c r="D164" i="3"/>
  <c r="C164" i="3"/>
  <c r="B173" i="3"/>
  <c r="D187" i="3"/>
  <c r="D197" i="3"/>
  <c r="C197" i="3"/>
  <c r="B197" i="3"/>
  <c r="C206" i="3"/>
  <c r="D211" i="3"/>
  <c r="C211" i="3"/>
  <c r="B211" i="3"/>
  <c r="D216" i="3"/>
  <c r="B225" i="3"/>
  <c r="D230" i="3"/>
  <c r="C235" i="3"/>
  <c r="D239" i="3"/>
  <c r="C249" i="3"/>
  <c r="B259" i="3"/>
  <c r="D263" i="3"/>
  <c r="B268" i="3"/>
  <c r="B278" i="3"/>
  <c r="B293" i="3"/>
  <c r="B113" i="3"/>
  <c r="D128" i="3"/>
  <c r="C128" i="3"/>
  <c r="B128" i="3"/>
  <c r="C261" i="3"/>
  <c r="D261" i="3"/>
  <c r="B15" i="3"/>
  <c r="D266" i="3"/>
  <c r="B110" i="3"/>
  <c r="D110" i="3"/>
  <c r="C110" i="3"/>
  <c r="D143" i="3"/>
  <c r="C143" i="3"/>
  <c r="B143" i="3"/>
  <c r="D176" i="3"/>
  <c r="B214" i="3"/>
  <c r="D272" i="3"/>
  <c r="C272" i="3"/>
  <c r="B272" i="3"/>
  <c r="D287" i="3"/>
  <c r="C287" i="3"/>
  <c r="B287" i="3"/>
  <c r="B44" i="3"/>
  <c r="B124" i="3"/>
  <c r="C153" i="3"/>
  <c r="D153" i="3"/>
  <c r="B303" i="3"/>
  <c r="B30" i="3"/>
  <c r="B40" i="3"/>
  <c r="D49" i="3"/>
  <c r="C49" i="3"/>
  <c r="B49" i="3"/>
  <c r="D54" i="3"/>
  <c r="B63" i="3"/>
  <c r="C68" i="3"/>
  <c r="C77" i="3"/>
  <c r="D92" i="3"/>
  <c r="C92" i="3"/>
  <c r="B92" i="3"/>
  <c r="D254" i="3"/>
  <c r="C254" i="3"/>
  <c r="B254" i="3"/>
  <c r="B263" i="3"/>
  <c r="B8" i="3"/>
  <c r="D77" i="3"/>
  <c r="C196" i="3"/>
  <c r="C216" i="3"/>
  <c r="C8" i="3"/>
  <c r="B4" i="3"/>
  <c r="D12" i="3"/>
  <c r="B18" i="3"/>
  <c r="B22" i="3"/>
  <c r="D26" i="3"/>
  <c r="D31" i="3"/>
  <c r="C31" i="3"/>
  <c r="B31" i="3"/>
  <c r="D36" i="3"/>
  <c r="C50" i="3"/>
  <c r="B55" i="3"/>
  <c r="C59" i="3"/>
  <c r="D87" i="3"/>
  <c r="C97" i="3"/>
  <c r="C106" i="3"/>
  <c r="B116" i="3"/>
  <c r="C126" i="3"/>
  <c r="C140" i="3"/>
  <c r="B145" i="3"/>
  <c r="C149" i="3"/>
  <c r="B159" i="3"/>
  <c r="C173" i="3"/>
  <c r="B192" i="3"/>
  <c r="B202" i="3"/>
  <c r="D206" i="3"/>
  <c r="D249" i="3"/>
  <c r="C259" i="3"/>
  <c r="C268" i="3"/>
  <c r="C278" i="3"/>
  <c r="C293" i="3"/>
  <c r="C104" i="3"/>
  <c r="C232" i="3"/>
  <c r="B76" i="3"/>
  <c r="C85" i="3"/>
  <c r="D85" i="3"/>
  <c r="B85" i="3"/>
  <c r="D104" i="3"/>
  <c r="D137" i="3"/>
  <c r="D157" i="3"/>
  <c r="C157" i="3"/>
  <c r="B157" i="3"/>
  <c r="C195" i="3"/>
  <c r="D29" i="3"/>
  <c r="C214" i="3"/>
  <c r="D229" i="3"/>
  <c r="C229" i="3"/>
  <c r="B229" i="3"/>
  <c r="D257" i="3"/>
  <c r="C124" i="3"/>
  <c r="D277" i="3"/>
  <c r="C282" i="3"/>
  <c r="C220" i="3"/>
  <c r="D17" i="3"/>
  <c r="C17" i="3"/>
  <c r="B17" i="3"/>
  <c r="D68" i="3"/>
  <c r="C12" i="3"/>
  <c r="C26" i="3"/>
  <c r="C4" i="3"/>
  <c r="C22" i="3"/>
  <c r="D50" i="3"/>
  <c r="C55" i="3"/>
  <c r="B83" i="3"/>
  <c r="D107" i="3"/>
  <c r="C107" i="3"/>
  <c r="B107" i="3"/>
  <c r="C116" i="3"/>
  <c r="D121" i="3"/>
  <c r="C121" i="3"/>
  <c r="B121" i="3"/>
  <c r="B135" i="3"/>
  <c r="D140" i="3"/>
  <c r="C145" i="3"/>
  <c r="C159" i="3"/>
  <c r="B169" i="3"/>
  <c r="B178" i="3"/>
  <c r="C192" i="3"/>
  <c r="B198" i="3"/>
  <c r="C202" i="3"/>
  <c r="B245" i="3"/>
  <c r="D269" i="3"/>
  <c r="C269" i="3"/>
  <c r="B269" i="3"/>
  <c r="B274" i="3"/>
  <c r="C284" i="3"/>
  <c r="B289" i="3"/>
  <c r="B38" i="3"/>
  <c r="D38" i="3"/>
  <c r="C38" i="3"/>
  <c r="B171" i="3"/>
  <c r="D296" i="3"/>
  <c r="C248" i="3"/>
  <c r="B54" i="3"/>
  <c r="B182" i="3"/>
  <c r="D182" i="3"/>
  <c r="C182" i="3"/>
  <c r="B243" i="3"/>
  <c r="B282" i="3"/>
  <c r="C158" i="3"/>
  <c r="C167" i="3"/>
  <c r="B297" i="3"/>
  <c r="D125" i="3"/>
  <c r="C125" i="3"/>
  <c r="B125" i="3"/>
  <c r="C134" i="3"/>
  <c r="D139" i="3"/>
  <c r="C139" i="3"/>
  <c r="B139" i="3"/>
  <c r="B153" i="3"/>
  <c r="D158" i="3"/>
  <c r="B196" i="3"/>
  <c r="C298" i="3"/>
  <c r="B298" i="3"/>
  <c r="D298" i="3"/>
  <c r="D45" i="3"/>
  <c r="C45" i="3"/>
  <c r="C178" i="3"/>
  <c r="D284" i="3"/>
  <c r="D305" i="3"/>
  <c r="C305" i="3"/>
  <c r="B305" i="3"/>
  <c r="B42" i="3"/>
  <c r="B78" i="3"/>
  <c r="B96" i="3"/>
  <c r="B114" i="3"/>
  <c r="B132" i="3"/>
  <c r="B150" i="3"/>
  <c r="B168" i="3"/>
  <c r="B186" i="3"/>
  <c r="B204" i="3"/>
  <c r="B222" i="3"/>
  <c r="B240" i="3"/>
  <c r="B258" i="3"/>
  <c r="B276" i="3"/>
  <c r="B294" i="3"/>
  <c r="B24" i="3"/>
  <c r="C42" i="3"/>
  <c r="C60" i="3"/>
  <c r="C78" i="3"/>
  <c r="C96" i="3"/>
  <c r="C114" i="3"/>
  <c r="C132" i="3"/>
  <c r="C150" i="3"/>
  <c r="C168" i="3"/>
  <c r="C186" i="3"/>
  <c r="C204" i="3"/>
  <c r="C222" i="3"/>
  <c r="C240" i="3"/>
  <c r="C258" i="3"/>
  <c r="C276" i="3"/>
  <c r="C294" i="3"/>
  <c r="B60" i="3"/>
  <c r="C24" i="3"/>
  <c r="B100" i="3"/>
  <c r="B118" i="3"/>
  <c r="B136" i="3"/>
  <c r="B154" i="3"/>
  <c r="B172" i="3"/>
  <c r="B190" i="3"/>
  <c r="B208" i="3"/>
  <c r="B226" i="3"/>
  <c r="B244" i="3"/>
  <c r="B26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<sst xmlns="http://schemas.openxmlformats.org/spreadsheetml/2006/main" count="368" uniqueCount="344">
  <si>
    <t>65</t>
  </si>
  <si>
    <t/>
  </si>
  <si>
    <t>B</t>
  </si>
  <si>
    <t>b</t>
  </si>
  <si>
    <t>Аренда</t>
  </si>
  <si>
    <t>one</t>
  </si>
  <si>
    <t>Tree</t>
  </si>
  <si>
    <t>Height</t>
  </si>
  <si>
    <t>Age</t>
  </si>
  <si>
    <t>Yield</t>
  </si>
  <si>
    <t>Profit</t>
  </si>
  <si>
    <t>a</t>
  </si>
  <si>
    <t>2</t>
  </si>
  <si>
    <t>аренда</t>
  </si>
  <si>
    <t>two</t>
  </si>
  <si>
    <t>Apple</t>
  </si>
  <si>
    <t>&gt;10</t>
  </si>
  <si>
    <t>Pear</t>
  </si>
  <si>
    <t>a*</t>
  </si>
  <si>
    <t>Cherry</t>
  </si>
  <si>
    <t>Plum</t>
  </si>
  <si>
    <t>abc</t>
  </si>
  <si>
    <t>Арендй</t>
  </si>
  <si>
    <t>three</t>
  </si>
  <si>
    <t>Б</t>
  </si>
  <si>
    <t>Арeнда*</t>
  </si>
  <si>
    <t>five</t>
  </si>
  <si>
    <t>x*y</t>
  </si>
  <si>
    <t>eight</t>
  </si>
  <si>
    <t>35</t>
  </si>
  <si>
    <t>A</t>
  </si>
  <si>
    <t>Чай</t>
  </si>
  <si>
    <t>thirteen</t>
  </si>
  <si>
    <t>Чаи</t>
  </si>
  <si>
    <t>3000</t>
  </si>
  <si>
    <t>Привет Мир</t>
  </si>
  <si>
    <t>1.5</t>
  </si>
  <si>
    <t>1,5</t>
  </si>
  <si>
    <t>CHAR#1</t>
  </si>
  <si>
    <t>CHAR#2</t>
  </si>
  <si>
    <t>CHAR#3</t>
  </si>
  <si>
    <t>CHAR#4</t>
  </si>
  <si>
    <t>CHAR#5</t>
  </si>
  <si>
    <t>CHAR#6</t>
  </si>
  <si>
    <t>CHAR#7</t>
  </si>
  <si>
    <t>CHAR#8</t>
  </si>
  <si>
    <t>CHAR#9</t>
  </si>
  <si>
    <t>CHAR#10</t>
  </si>
  <si>
    <t>CHAR#11</t>
  </si>
  <si>
    <t>CHAR#12</t>
  </si>
  <si>
    <t>CHAR#13</t>
  </si>
  <si>
    <t>CHAR#14</t>
  </si>
  <si>
    <t>CHAR#15</t>
  </si>
  <si>
    <t>CHAR#16</t>
  </si>
  <si>
    <t>CHAR#17</t>
  </si>
  <si>
    <t>CHAR#18</t>
  </si>
  <si>
    <t>CHAR#19</t>
  </si>
  <si>
    <t>CHAR#20</t>
  </si>
  <si>
    <t>CHAR#21</t>
  </si>
  <si>
    <t>CHAR#22</t>
  </si>
  <si>
    <t>CHAR#23</t>
  </si>
  <si>
    <t>CHAR#24</t>
  </si>
  <si>
    <t>CHAR#25</t>
  </si>
  <si>
    <t>CHAR#26</t>
  </si>
  <si>
    <t>CHAR#27</t>
  </si>
  <si>
    <t>CHAR#28</t>
  </si>
  <si>
    <t>CHAR#29</t>
  </si>
  <si>
    <t>CHAR#30</t>
  </si>
  <si>
    <t>CHAR#31</t>
  </si>
  <si>
    <t>CHAR#32</t>
  </si>
  <si>
    <t>CHAR#33</t>
  </si>
  <si>
    <t>CHAR#34</t>
  </si>
  <si>
    <t>CHAR#35</t>
  </si>
  <si>
    <t>CHAR#36</t>
  </si>
  <si>
    <t>CHAR#37</t>
  </si>
  <si>
    <t>CHAR#38</t>
  </si>
  <si>
    <t>CHAR#39</t>
  </si>
  <si>
    <t>CHAR#40</t>
  </si>
  <si>
    <t>CHAR#41</t>
  </si>
  <si>
    <t>CHAR#42</t>
  </si>
  <si>
    <t>CHAR#43</t>
  </si>
  <si>
    <t>CHAR#44</t>
  </si>
  <si>
    <t>CHAR#45</t>
  </si>
  <si>
    <t>CHAR#46</t>
  </si>
  <si>
    <t>CHAR#47</t>
  </si>
  <si>
    <t>CHAR#48</t>
  </si>
  <si>
    <t>CHAR#49</t>
  </si>
  <si>
    <t>CHAR#50</t>
  </si>
  <si>
    <t>CHAR#51</t>
  </si>
  <si>
    <t>CHAR#52</t>
  </si>
  <si>
    <t>CHAR#53</t>
  </si>
  <si>
    <t>CHAR#54</t>
  </si>
  <si>
    <t>CHAR#55</t>
  </si>
  <si>
    <t>CHAR#56</t>
  </si>
  <si>
    <t>CHAR#57</t>
  </si>
  <si>
    <t>CHAR#58</t>
  </si>
  <si>
    <t>CHAR#59</t>
  </si>
  <si>
    <t>CHAR#60</t>
  </si>
  <si>
    <t>CHAR#61</t>
  </si>
  <si>
    <t>CHAR#62</t>
  </si>
  <si>
    <t>CHAR#63</t>
  </si>
  <si>
    <t>CHAR#64</t>
  </si>
  <si>
    <t>CHAR#65</t>
  </si>
  <si>
    <t>CHAR#66</t>
  </si>
  <si>
    <t>CHAR#67</t>
  </si>
  <si>
    <t>CHAR#68</t>
  </si>
  <si>
    <t>CHAR#69</t>
  </si>
  <si>
    <t>CHAR#70</t>
  </si>
  <si>
    <t>CHAR#71</t>
  </si>
  <si>
    <t>CHAR#72</t>
  </si>
  <si>
    <t>CHAR#73</t>
  </si>
  <si>
    <t>CHAR#74</t>
  </si>
  <si>
    <t>CHAR#75</t>
  </si>
  <si>
    <t>CHAR#76</t>
  </si>
  <si>
    <t>CHAR#77</t>
  </si>
  <si>
    <t>CHAR#78</t>
  </si>
  <si>
    <t>CHAR#79</t>
  </si>
  <si>
    <t>CHAR#80</t>
  </si>
  <si>
    <t>CHAR#81</t>
  </si>
  <si>
    <t>CHAR#82</t>
  </si>
  <si>
    <t>CHAR#83</t>
  </si>
  <si>
    <t>CHAR#84</t>
  </si>
  <si>
    <t>CHAR#85</t>
  </si>
  <si>
    <t>CHAR#86</t>
  </si>
  <si>
    <t>CHAR#87</t>
  </si>
  <si>
    <t>CHAR#88</t>
  </si>
  <si>
    <t>CHAR#89</t>
  </si>
  <si>
    <t>CHAR#90</t>
  </si>
  <si>
    <t>CHAR#91</t>
  </si>
  <si>
    <t>CHAR#92</t>
  </si>
  <si>
    <t>CHAR#93</t>
  </si>
  <si>
    <t>CHAR#94</t>
  </si>
  <si>
    <t>CHAR#95</t>
  </si>
  <si>
    <t>CHAR#96</t>
  </si>
  <si>
    <t>CHAR#97</t>
  </si>
  <si>
    <t>CHAR#98</t>
  </si>
  <si>
    <t>CHAR#99</t>
  </si>
  <si>
    <t>CHAR#100</t>
  </si>
  <si>
    <t>CHAR#101</t>
  </si>
  <si>
    <t>CHAR#102</t>
  </si>
  <si>
    <t>CHAR#103</t>
  </si>
  <si>
    <t>CHAR#104</t>
  </si>
  <si>
    <t>CHAR#105</t>
  </si>
  <si>
    <t>CHAR#106</t>
  </si>
  <si>
    <t>CHAR#107</t>
  </si>
  <si>
    <t>CHAR#108</t>
  </si>
  <si>
    <t>CHAR#109</t>
  </si>
  <si>
    <t>CHAR#110</t>
  </si>
  <si>
    <t>CHAR#111</t>
  </si>
  <si>
    <t>CHAR#112</t>
  </si>
  <si>
    <t>CHAR#113</t>
  </si>
  <si>
    <t>CHAR#114</t>
  </si>
  <si>
    <t>CHAR#115</t>
  </si>
  <si>
    <t>CHAR#116</t>
  </si>
  <si>
    <t>CHAR#117</t>
  </si>
  <si>
    <t>CHAR#118</t>
  </si>
  <si>
    <t>CHAR#119</t>
  </si>
  <si>
    <t>CHAR#120</t>
  </si>
  <si>
    <t>CHAR#121</t>
  </si>
  <si>
    <t>CHAR#122</t>
  </si>
  <si>
    <t>CHAR#123</t>
  </si>
  <si>
    <t>CHAR#124</t>
  </si>
  <si>
    <t>CHAR#125</t>
  </si>
  <si>
    <t>CHAR#126</t>
  </si>
  <si>
    <t>CHAR#127</t>
  </si>
  <si>
    <t>CODE#1</t>
  </si>
  <si>
    <t>CODE#2</t>
  </si>
  <si>
    <t>CODE#3</t>
  </si>
  <si>
    <t>CODE#4</t>
  </si>
  <si>
    <t>CODE#5</t>
  </si>
  <si>
    <t>CODE#6</t>
  </si>
  <si>
    <t>CODE#7</t>
  </si>
  <si>
    <t>CODE#8</t>
  </si>
  <si>
    <t>CODE#9</t>
  </si>
  <si>
    <t>CODE#10</t>
  </si>
  <si>
    <t>CODE#11</t>
  </si>
  <si>
    <t>CODE#12</t>
  </si>
  <si>
    <t>CODE#13</t>
  </si>
  <si>
    <t>CODE#14</t>
  </si>
  <si>
    <t>CODE#15</t>
  </si>
  <si>
    <t>CODE#16</t>
  </si>
  <si>
    <t>CODE#17</t>
  </si>
  <si>
    <t>CODE#18</t>
  </si>
  <si>
    <t>CODE#19</t>
  </si>
  <si>
    <t>CODE#20</t>
  </si>
  <si>
    <t>CODE#21</t>
  </si>
  <si>
    <t>CODE#22</t>
  </si>
  <si>
    <t>CODE#23</t>
  </si>
  <si>
    <t>CODE#24</t>
  </si>
  <si>
    <t>CODE#25</t>
  </si>
  <si>
    <t>CODE#26</t>
  </si>
  <si>
    <t>CODE#27</t>
  </si>
  <si>
    <t>CODE#28</t>
  </si>
  <si>
    <t>CODE#29</t>
  </si>
  <si>
    <t>CODE#30</t>
  </si>
  <si>
    <t>CODE#31</t>
  </si>
  <si>
    <t>CODE#32</t>
  </si>
  <si>
    <t>CODE#33</t>
  </si>
  <si>
    <t>CODE#34</t>
  </si>
  <si>
    <t>CODE#35</t>
  </si>
  <si>
    <t>CODE#36</t>
  </si>
  <si>
    <t>CODE#37</t>
  </si>
  <si>
    <t>CODE#38</t>
  </si>
  <si>
    <t>CODE#39</t>
  </si>
  <si>
    <t>CODE#40</t>
  </si>
  <si>
    <t>CODE#41</t>
  </si>
  <si>
    <t>CODE#42</t>
  </si>
  <si>
    <t>CODE#43</t>
  </si>
  <si>
    <t>CODE#44</t>
  </si>
  <si>
    <t>CODE#45</t>
  </si>
  <si>
    <t>CODE#46</t>
  </si>
  <si>
    <t>CODE#47</t>
  </si>
  <si>
    <t>CODE#48</t>
  </si>
  <si>
    <t>CODE#49</t>
  </si>
  <si>
    <t>CODE#50</t>
  </si>
  <si>
    <t>CODE#51</t>
  </si>
  <si>
    <t>CODE#52</t>
  </si>
  <si>
    <t>CODE#53</t>
  </si>
  <si>
    <t>CODE#54</t>
  </si>
  <si>
    <t>CODE#55</t>
  </si>
  <si>
    <t>CODE#56</t>
  </si>
  <si>
    <t>CODE#57</t>
  </si>
  <si>
    <t>CODE#58</t>
  </si>
  <si>
    <t>CODE#59</t>
  </si>
  <si>
    <t>CODE#60</t>
  </si>
  <si>
    <t>CODE#61</t>
  </si>
  <si>
    <t>CODE#62</t>
  </si>
  <si>
    <t>CODE#63</t>
  </si>
  <si>
    <t>CODE#64</t>
  </si>
  <si>
    <t>CODE#65</t>
  </si>
  <si>
    <t>CODE#66</t>
  </si>
  <si>
    <t>CODE#67</t>
  </si>
  <si>
    <t>CODE#68</t>
  </si>
  <si>
    <t>CODE#69</t>
  </si>
  <si>
    <t>CODE#70</t>
  </si>
  <si>
    <t>CODE#71</t>
  </si>
  <si>
    <t>CODE#72</t>
  </si>
  <si>
    <t>CODE#73</t>
  </si>
  <si>
    <t>CODE#74</t>
  </si>
  <si>
    <t>CODE#75</t>
  </si>
  <si>
    <t>CODE#76</t>
  </si>
  <si>
    <t>CODE#77</t>
  </si>
  <si>
    <t>CODE#78</t>
  </si>
  <si>
    <t>CODE#79</t>
  </si>
  <si>
    <t>CODE#80</t>
  </si>
  <si>
    <t>CODE#81</t>
  </si>
  <si>
    <t>CODE#82</t>
  </si>
  <si>
    <t>CODE#83</t>
  </si>
  <si>
    <t>CODE#84</t>
  </si>
  <si>
    <t>CODE#85</t>
  </si>
  <si>
    <t>CODE#86</t>
  </si>
  <si>
    <t>CODE#87</t>
  </si>
  <si>
    <t>CODE#88</t>
  </si>
  <si>
    <t>CODE#89</t>
  </si>
  <si>
    <t>CODE#90</t>
  </si>
  <si>
    <t>CODE#91</t>
  </si>
  <si>
    <t>CODE#92</t>
  </si>
  <si>
    <t>CODE#93</t>
  </si>
  <si>
    <t>CODE#94</t>
  </si>
  <si>
    <t>CODE#95</t>
  </si>
  <si>
    <t>CODE#96</t>
  </si>
  <si>
    <t>CODE#97</t>
  </si>
  <si>
    <t>CODE#98</t>
  </si>
  <si>
    <t>CODE#99</t>
  </si>
  <si>
    <t>CODE#100</t>
  </si>
  <si>
    <t>CODE#101</t>
  </si>
  <si>
    <t>CODE#102</t>
  </si>
  <si>
    <t>CODE#103</t>
  </si>
  <si>
    <t>CODE#104</t>
  </si>
  <si>
    <t>CODE#105</t>
  </si>
  <si>
    <t>CODE#106</t>
  </si>
  <si>
    <t>CODE#107</t>
  </si>
  <si>
    <t>CODE#108</t>
  </si>
  <si>
    <t>CODE#109</t>
  </si>
  <si>
    <t>CODE#110</t>
  </si>
  <si>
    <t>CODE#111</t>
  </si>
  <si>
    <t>CODE#112</t>
  </si>
  <si>
    <t>CODE#113</t>
  </si>
  <si>
    <t>CODE#114</t>
  </si>
  <si>
    <t>CODE#115</t>
  </si>
  <si>
    <t>CODE#116</t>
  </si>
  <si>
    <t>CODE#117</t>
  </si>
  <si>
    <t>CODE#118</t>
  </si>
  <si>
    <t>CODE#119</t>
  </si>
  <si>
    <t>CODE#120</t>
  </si>
  <si>
    <t>CODE#121</t>
  </si>
  <si>
    <t>CODE#122</t>
  </si>
  <si>
    <t>CODE#123</t>
  </si>
  <si>
    <t>CODE#124</t>
  </si>
  <si>
    <t>CODE#125</t>
  </si>
  <si>
    <t>CODE#126</t>
  </si>
  <si>
    <t>CODE#127</t>
  </si>
  <si>
    <t>CHAR#128</t>
  </si>
  <si>
    <t>CHAR#129</t>
  </si>
  <si>
    <t>CHAR#130</t>
  </si>
  <si>
    <t>CHAR#131</t>
  </si>
  <si>
    <t>CHAR#132</t>
  </si>
  <si>
    <t>CHAR#133</t>
  </si>
  <si>
    <t>CHAR#134</t>
  </si>
  <si>
    <t>CHAR#135</t>
  </si>
  <si>
    <t>CHAR#136</t>
  </si>
  <si>
    <t>CHAR#137</t>
  </si>
  <si>
    <t>CHAR#138</t>
  </si>
  <si>
    <t>CHAR#139</t>
  </si>
  <si>
    <t>CHAR#140</t>
  </si>
  <si>
    <t>CHAR#141</t>
  </si>
  <si>
    <t>CHAR#142</t>
  </si>
  <si>
    <t>CHAR#143</t>
  </si>
  <si>
    <t>CHAR#144</t>
  </si>
  <si>
    <t>CHAR#145</t>
  </si>
  <si>
    <t>CHAR#146</t>
  </si>
  <si>
    <t>CHAR#147</t>
  </si>
  <si>
    <t>CHAR#148</t>
  </si>
  <si>
    <t>CHAR#149</t>
  </si>
  <si>
    <t>CHAR#150</t>
  </si>
  <si>
    <t>CHAR#151</t>
  </si>
  <si>
    <t>CHAR#152</t>
  </si>
  <si>
    <t>CHAR#153</t>
  </si>
  <si>
    <t>CHAR#154</t>
  </si>
  <si>
    <t>CHAR#155</t>
  </si>
  <si>
    <t>CODE#128</t>
  </si>
  <si>
    <t>CODE#129</t>
  </si>
  <si>
    <t>CODE#130</t>
  </si>
  <si>
    <t>CODE#131</t>
  </si>
  <si>
    <t>CODE#132</t>
  </si>
  <si>
    <t>CODE#133</t>
  </si>
  <si>
    <t>CODE#134</t>
  </si>
  <si>
    <t>CODE#135</t>
  </si>
  <si>
    <t>CODE#136</t>
  </si>
  <si>
    <t>CODE#137</t>
  </si>
  <si>
    <t>CODE#138</t>
  </si>
  <si>
    <t>CODE#139</t>
  </si>
  <si>
    <t>CODE#140</t>
  </si>
  <si>
    <t>CODE#141</t>
  </si>
  <si>
    <t>CODE#142</t>
  </si>
  <si>
    <t>CODE#143</t>
  </si>
  <si>
    <t>CODE#144</t>
  </si>
  <si>
    <t>CODE#145</t>
  </si>
  <si>
    <t>CODE#146</t>
  </si>
  <si>
    <t>CODE#147</t>
  </si>
  <si>
    <t>CODE#148</t>
  </si>
  <si>
    <t>CODE#149</t>
  </si>
  <si>
    <t>CODE#150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</si>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</sst>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/>
  </sheetViews>
  <sheetFormatPr baseColWidth="10" defaultColWidth="8.83203125" defaultRowHeight="15" x14ac:dyDescent="0.2"/>
  <sheetData>
    <row r="1" spans="1:2" x14ac:dyDescent="0.2">
      <c r="A1">
        <v>65</v>
      </c>
      <c r="B1" t="s">
        <v>0</v>
      </c>
    </row>
    <row r="2" spans="1:2" x14ac:dyDescent="0.2">
      <c r="A2">
        <v>97</v>
      </c>
      <c r="B2" t="s">
        <v>1</v>
      </c>
    </row>
    <row r="3" spans="1:2" x14ac:dyDescent="0.2">
      <c r="A3" t="s">
        <v>2</v>
      </c>
    </row>
    <row r="4" spans="1:2" x14ac:dyDescent="0.2">
      <c r="A4" t="s">
        <v>3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H17"/>
  <sheetViews>
    <sheetView workbookViewId="0"/>
  </sheetViews>
  <sheetFormatPr baseColWidth="10" defaultColWidth="8.83203125" defaultRowHeight="15" x14ac:dyDescent="0.2"/>
  <sheetData>
    <row r="1" spans="1:60" x14ac:dyDescent="0.2">
      <c r="B1">
        <v>4</v>
      </c>
      <c r="C1">
        <v>2</v>
      </c>
      <c r="D1">
        <v>1</v>
      </c>
      <c r="E1">
        <v>1</v>
      </c>
      <c r="F1" t="s">
        <v>4</v>
      </c>
      <c r="G1">
        <v>1</v>
      </c>
      <c r="H1" s="1">
        <v>45657</v>
      </c>
      <c r="I1">
        <v>-10000</v>
      </c>
      <c r="J1">
        <v>-10000</v>
      </c>
      <c r="L1">
        <v>1</v>
      </c>
      <c r="M1" t="s">
        <v>5</v>
      </c>
      <c r="N1">
        <v>10</v>
      </c>
      <c r="P1">
        <v>1</v>
      </c>
      <c r="Q1">
        <v>2</v>
      </c>
      <c r="R1">
        <v>5</v>
      </c>
      <c r="S1">
        <v>6</v>
      </c>
      <c r="U1" t="s">
        <v>6</v>
      </c>
      <c r="V1" t="s">
        <v>7</v>
      </c>
      <c r="W1" t="s">
        <v>8</v>
      </c>
      <c r="X1" t="s">
        <v>9</v>
      </c>
      <c r="Y1" t="s">
        <v>10</v>
      </c>
      <c r="AA1" t="s">
        <v>6</v>
      </c>
      <c r="AB1" t="s">
        <v>7</v>
      </c>
      <c r="AC1" t="s">
        <v>6</v>
      </c>
      <c r="AD1" t="s">
        <v>6</v>
      </c>
      <c r="AE1" t="s">
        <v>6</v>
      </c>
      <c r="AF1" t="s">
        <v>6</v>
      </c>
      <c r="AG1" t="s">
        <v>6</v>
      </c>
      <c r="AH1">
        <v>0</v>
      </c>
      <c r="AI1">
        <v>0.2</v>
      </c>
      <c r="AK1">
        <v>58</v>
      </c>
      <c r="AL1">
        <v>35</v>
      </c>
      <c r="AM1">
        <v>45.35</v>
      </c>
      <c r="AN1">
        <v>47.65</v>
      </c>
      <c r="AP1" s="1">
        <v>41235</v>
      </c>
      <c r="AQ1">
        <v>0.09</v>
      </c>
      <c r="AR1">
        <v>1</v>
      </c>
      <c r="AS1">
        <v>1</v>
      </c>
      <c r="AT1">
        <v>0</v>
      </c>
      <c r="AU1" s="1">
        <v>39448</v>
      </c>
      <c r="AV1">
        <v>4</v>
      </c>
      <c r="AW1" t="b">
        <v>1</v>
      </c>
      <c r="AX1" t="b">
        <v>1</v>
      </c>
      <c r="AY1">
        <v>3</v>
      </c>
      <c r="AZ1">
        <v>1</v>
      </c>
      <c r="BA1">
        <v>6</v>
      </c>
      <c r="BB1">
        <v>33100</v>
      </c>
      <c r="BC1">
        <v>11</v>
      </c>
      <c r="BD1">
        <v>17</v>
      </c>
      <c r="BE1">
        <v>89</v>
      </c>
      <c r="BF1">
        <v>1</v>
      </c>
      <c r="BG1">
        <v>1</v>
      </c>
      <c r="BH1" t="s">
        <v>11</v>
      </c>
    </row>
    <row r="2" spans="1:60" x14ac:dyDescent="0.2">
      <c r="A2" t="s">
        <v>12</v>
      </c>
      <c r="B2">
        <v>8</v>
      </c>
      <c r="C2">
        <v>7</v>
      </c>
      <c r="D2" t="s">
        <v>12</v>
      </c>
      <c r="E2">
        <v>2</v>
      </c>
      <c r="F2" t="s">
        <v>13</v>
      </c>
      <c r="G2">
        <v>2</v>
      </c>
      <c r="H2" s="1">
        <v>45658</v>
      </c>
      <c r="I2">
        <v>3000</v>
      </c>
      <c r="J2">
        <v>2750</v>
      </c>
      <c r="L2">
        <v>2</v>
      </c>
      <c r="M2" t="s">
        <v>14</v>
      </c>
      <c r="N2">
        <v>20</v>
      </c>
      <c r="P2">
        <v>3</v>
      </c>
      <c r="Q2">
        <v>4</v>
      </c>
      <c r="R2">
        <v>7</v>
      </c>
      <c r="S2">
        <v>8</v>
      </c>
      <c r="U2" t="s">
        <v>15</v>
      </c>
      <c r="V2">
        <v>18</v>
      </c>
      <c r="W2">
        <v>20</v>
      </c>
      <c r="X2">
        <v>14</v>
      </c>
      <c r="Y2">
        <v>105</v>
      </c>
      <c r="AA2" t="s">
        <v>15</v>
      </c>
      <c r="AB2" t="s">
        <v>16</v>
      </c>
      <c r="AC2" t="s">
        <v>17</v>
      </c>
      <c r="AD2" t="s">
        <v>18</v>
      </c>
      <c r="AE2" t="s">
        <v>19</v>
      </c>
      <c r="AF2" t="s">
        <v>20</v>
      </c>
      <c r="AH2">
        <v>1</v>
      </c>
      <c r="AI2">
        <v>0.3</v>
      </c>
      <c r="AK2">
        <v>11</v>
      </c>
      <c r="AL2">
        <v>25</v>
      </c>
      <c r="AM2">
        <v>17.559999999999999</v>
      </c>
      <c r="AN2">
        <v>18.440000000000001</v>
      </c>
      <c r="AP2" s="1">
        <v>41247</v>
      </c>
      <c r="AQ2">
        <v>0.11</v>
      </c>
      <c r="AR2">
        <v>-0.5</v>
      </c>
      <c r="AS2">
        <v>2</v>
      </c>
      <c r="AT2">
        <v>10</v>
      </c>
      <c r="AU2" s="1">
        <v>39508</v>
      </c>
      <c r="AV2">
        <v>5</v>
      </c>
      <c r="AW2" t="b">
        <v>0</v>
      </c>
      <c r="AX2" t="b">
        <v>1</v>
      </c>
      <c r="AY2">
        <v>5</v>
      </c>
      <c r="AZ2">
        <v>2</v>
      </c>
      <c r="BA2">
        <v>7</v>
      </c>
      <c r="BB2">
        <v>47300</v>
      </c>
      <c r="BC2">
        <v>12</v>
      </c>
      <c r="BD2">
        <v>18</v>
      </c>
      <c r="BE2">
        <v>88</v>
      </c>
      <c r="BF2">
        <v>2</v>
      </c>
      <c r="BG2">
        <v>2</v>
      </c>
    </row>
    <row r="3" spans="1:60" x14ac:dyDescent="0.2">
      <c r="A3" t="s">
        <v>21</v>
      </c>
      <c r="B3">
        <v>15</v>
      </c>
      <c r="C3">
        <v>11</v>
      </c>
      <c r="D3" t="s">
        <v>21</v>
      </c>
      <c r="E3" t="e">
        <f>1/0</f>
        <v>#DIV/0!</v>
      </c>
      <c r="F3" t="s">
        <v>22</v>
      </c>
      <c r="G3">
        <v>4</v>
      </c>
      <c r="H3" s="1">
        <v>45659</v>
      </c>
      <c r="I3">
        <v>4200</v>
      </c>
      <c r="J3">
        <v>4250</v>
      </c>
      <c r="L3">
        <v>3</v>
      </c>
      <c r="M3" t="s">
        <v>23</v>
      </c>
      <c r="N3">
        <v>30</v>
      </c>
      <c r="U3" t="s">
        <v>17</v>
      </c>
      <c r="V3">
        <v>12</v>
      </c>
      <c r="W3">
        <v>12</v>
      </c>
      <c r="X3">
        <v>10</v>
      </c>
      <c r="Y3">
        <v>96</v>
      </c>
      <c r="AH3">
        <v>2</v>
      </c>
      <c r="AI3">
        <v>0.1</v>
      </c>
      <c r="AK3">
        <v>10</v>
      </c>
      <c r="AL3">
        <v>23</v>
      </c>
      <c r="AM3">
        <v>16.09</v>
      </c>
      <c r="AN3">
        <v>16.91</v>
      </c>
      <c r="AP3" s="1">
        <v>41295</v>
      </c>
      <c r="AQ3">
        <v>0.1</v>
      </c>
      <c r="AR3">
        <v>4.1666666666666699E-2</v>
      </c>
      <c r="AS3">
        <v>2</v>
      </c>
      <c r="AT3">
        <v>20</v>
      </c>
      <c r="AU3" s="1">
        <v>39751</v>
      </c>
      <c r="AV3">
        <v>8</v>
      </c>
      <c r="AW3" t="s">
        <v>21</v>
      </c>
      <c r="AX3">
        <v>1</v>
      </c>
      <c r="AY3">
        <v>7</v>
      </c>
      <c r="AZ3">
        <v>3</v>
      </c>
      <c r="BB3">
        <v>69000</v>
      </c>
      <c r="BC3">
        <v>13</v>
      </c>
      <c r="BE3">
        <v>92</v>
      </c>
      <c r="BF3">
        <v>2</v>
      </c>
      <c r="BG3">
        <v>3</v>
      </c>
      <c r="BH3" t="s">
        <v>24</v>
      </c>
    </row>
    <row r="4" spans="1:60" x14ac:dyDescent="0.2">
      <c r="A4" t="b">
        <v>1</v>
      </c>
      <c r="B4">
        <v>16</v>
      </c>
      <c r="C4">
        <v>19</v>
      </c>
      <c r="D4" t="b">
        <v>1</v>
      </c>
      <c r="E4">
        <v>4</v>
      </c>
      <c r="F4" t="s">
        <v>25</v>
      </c>
      <c r="G4">
        <v>8</v>
      </c>
      <c r="H4" s="1">
        <v>45689</v>
      </c>
      <c r="I4">
        <v>6800</v>
      </c>
      <c r="J4">
        <v>3250</v>
      </c>
      <c r="L4">
        <v>5</v>
      </c>
      <c r="M4" t="s">
        <v>26</v>
      </c>
      <c r="N4">
        <v>50</v>
      </c>
      <c r="P4">
        <v>1</v>
      </c>
      <c r="Q4">
        <v>2</v>
      </c>
      <c r="R4">
        <v>3</v>
      </c>
      <c r="U4" t="s">
        <v>19</v>
      </c>
      <c r="V4">
        <v>13</v>
      </c>
      <c r="W4">
        <v>14</v>
      </c>
      <c r="X4">
        <v>9</v>
      </c>
      <c r="Y4">
        <v>105</v>
      </c>
      <c r="AH4">
        <v>3</v>
      </c>
      <c r="AI4">
        <v>0.4</v>
      </c>
      <c r="AP4" s="1">
        <v>39778</v>
      </c>
      <c r="AR4">
        <v>-1.38888888888889E-3</v>
      </c>
      <c r="AS4" t="s">
        <v>11</v>
      </c>
      <c r="AU4" s="1">
        <v>39859</v>
      </c>
      <c r="AV4">
        <v>7</v>
      </c>
      <c r="AY4">
        <v>10</v>
      </c>
      <c r="AZ4">
        <v>4</v>
      </c>
      <c r="BB4">
        <v>102000</v>
      </c>
      <c r="BC4">
        <v>14</v>
      </c>
      <c r="BE4">
        <v>101</v>
      </c>
      <c r="BF4">
        <v>3</v>
      </c>
      <c r="BG4">
        <v>4</v>
      </c>
    </row>
    <row r="5" spans="1:60" x14ac:dyDescent="0.2">
      <c r="A5" t="b">
        <v>0</v>
      </c>
      <c r="B5">
        <v>23</v>
      </c>
      <c r="C5">
        <v>21</v>
      </c>
      <c r="E5">
        <v>5</v>
      </c>
      <c r="F5" t="s">
        <v>27</v>
      </c>
      <c r="G5">
        <v>16</v>
      </c>
      <c r="H5" s="1">
        <v>45717</v>
      </c>
      <c r="I5">
        <v>1200</v>
      </c>
      <c r="J5">
        <v>2750</v>
      </c>
      <c r="L5">
        <v>8</v>
      </c>
      <c r="M5" t="s">
        <v>28</v>
      </c>
      <c r="N5">
        <v>80</v>
      </c>
      <c r="P5">
        <v>4</v>
      </c>
      <c r="Q5">
        <v>5</v>
      </c>
      <c r="R5">
        <v>6</v>
      </c>
      <c r="U5" t="s">
        <v>15</v>
      </c>
      <c r="V5">
        <v>14</v>
      </c>
      <c r="W5">
        <v>15</v>
      </c>
      <c r="X5">
        <v>10</v>
      </c>
      <c r="Y5">
        <v>75</v>
      </c>
      <c r="AK5">
        <v>58</v>
      </c>
      <c r="AL5" t="s">
        <v>29</v>
      </c>
      <c r="AP5" s="1">
        <v>39786</v>
      </c>
      <c r="AS5" t="s">
        <v>30</v>
      </c>
      <c r="AU5" s="1">
        <v>39904</v>
      </c>
      <c r="AV5">
        <v>11</v>
      </c>
      <c r="AY5">
        <v>11</v>
      </c>
      <c r="AZ5">
        <v>5</v>
      </c>
      <c r="BB5">
        <v>150000</v>
      </c>
      <c r="BC5">
        <v>15</v>
      </c>
      <c r="BE5">
        <v>94</v>
      </c>
      <c r="BF5">
        <v>5</v>
      </c>
      <c r="BG5">
        <v>3</v>
      </c>
    </row>
    <row r="6" spans="1:60" x14ac:dyDescent="0.2">
      <c r="A6" s="1">
        <v>45688</v>
      </c>
      <c r="B6">
        <v>42</v>
      </c>
      <c r="C6">
        <v>40</v>
      </c>
      <c r="D6">
        <v>5</v>
      </c>
      <c r="E6">
        <v>6</v>
      </c>
      <c r="F6" t="s">
        <v>31</v>
      </c>
      <c r="G6">
        <v>32</v>
      </c>
      <c r="H6" s="1">
        <v>45473</v>
      </c>
      <c r="L6">
        <v>13</v>
      </c>
      <c r="M6" t="s">
        <v>32</v>
      </c>
      <c r="N6">
        <v>130</v>
      </c>
      <c r="U6" t="s">
        <v>17</v>
      </c>
      <c r="V6">
        <v>9</v>
      </c>
      <c r="W6">
        <v>8</v>
      </c>
      <c r="X6">
        <v>8</v>
      </c>
      <c r="Y6">
        <v>76.8</v>
      </c>
      <c r="AK6">
        <v>11</v>
      </c>
      <c r="AP6" s="1">
        <v>39834</v>
      </c>
      <c r="AS6">
        <v>3</v>
      </c>
      <c r="AV6">
        <v>4</v>
      </c>
      <c r="BB6">
        <v>220000</v>
      </c>
      <c r="BC6">
        <v>16</v>
      </c>
      <c r="BE6">
        <v>97</v>
      </c>
      <c r="BF6">
        <v>2</v>
      </c>
      <c r="BG6">
        <v>2</v>
      </c>
    </row>
    <row r="7" spans="1:60" x14ac:dyDescent="0.2">
      <c r="A7" t="e">
        <f>1/0</f>
        <v>#DIV/0!</v>
      </c>
      <c r="B7">
        <v>-3.5</v>
      </c>
      <c r="C7">
        <v>-1</v>
      </c>
      <c r="D7" t="b">
        <v>0</v>
      </c>
      <c r="E7">
        <v>7</v>
      </c>
      <c r="F7" t="s">
        <v>33</v>
      </c>
      <c r="G7">
        <v>64</v>
      </c>
      <c r="H7" s="1">
        <v>46022</v>
      </c>
      <c r="I7">
        <v>-10000</v>
      </c>
      <c r="J7">
        <v>100</v>
      </c>
      <c r="U7" t="s">
        <v>15</v>
      </c>
      <c r="V7">
        <v>8</v>
      </c>
      <c r="W7">
        <v>9</v>
      </c>
      <c r="X7">
        <v>6</v>
      </c>
      <c r="Y7">
        <v>45</v>
      </c>
      <c r="AK7" t="b">
        <v>1</v>
      </c>
      <c r="AL7">
        <v>23</v>
      </c>
      <c r="AP7" s="1">
        <v>38719</v>
      </c>
      <c r="AS7">
        <v>1</v>
      </c>
      <c r="AU7" s="1">
        <v>39508</v>
      </c>
      <c r="AV7">
        <v>3</v>
      </c>
      <c r="BE7">
        <v>95</v>
      </c>
      <c r="BG7">
        <v>1</v>
      </c>
    </row>
    <row r="8" spans="1:60" x14ac:dyDescent="0.2">
      <c r="A8" t="e">
        <f>NA()</f>
        <v>#N/A</v>
      </c>
      <c r="B8">
        <v>10.25</v>
      </c>
      <c r="C8">
        <v>9</v>
      </c>
      <c r="D8">
        <v>3.5</v>
      </c>
      <c r="E8">
        <v>8</v>
      </c>
      <c r="I8" t="s">
        <v>34</v>
      </c>
      <c r="J8">
        <v>200</v>
      </c>
      <c r="L8">
        <v>1</v>
      </c>
      <c r="M8">
        <v>2</v>
      </c>
      <c r="N8">
        <v>3</v>
      </c>
      <c r="O8">
        <v>5</v>
      </c>
      <c r="P8">
        <v>8</v>
      </c>
      <c r="Q8">
        <v>13</v>
      </c>
      <c r="AP8" s="1">
        <v>38733</v>
      </c>
      <c r="AS8" t="s">
        <v>3</v>
      </c>
      <c r="AU8" s="1">
        <v>39448</v>
      </c>
      <c r="BG8">
        <v>2</v>
      </c>
    </row>
    <row r="9" spans="1:60" x14ac:dyDescent="0.2">
      <c r="A9" t="s">
        <v>35</v>
      </c>
      <c r="I9">
        <v>4200</v>
      </c>
      <c r="J9">
        <v>300</v>
      </c>
      <c r="L9" t="s">
        <v>5</v>
      </c>
      <c r="M9" t="s">
        <v>14</v>
      </c>
      <c r="N9" t="s">
        <v>23</v>
      </c>
      <c r="O9" t="s">
        <v>26</v>
      </c>
      <c r="P9" t="s">
        <v>28</v>
      </c>
      <c r="Q9" t="s">
        <v>32</v>
      </c>
      <c r="AK9">
        <v>58</v>
      </c>
      <c r="AL9">
        <v>35</v>
      </c>
      <c r="AU9" s="1">
        <v>39751</v>
      </c>
      <c r="BG9">
        <v>3</v>
      </c>
    </row>
    <row r="10" spans="1:60" x14ac:dyDescent="0.2">
      <c r="A10" t="s">
        <v>36</v>
      </c>
      <c r="J10">
        <v>400</v>
      </c>
      <c r="L10">
        <v>10</v>
      </c>
      <c r="M10">
        <v>20</v>
      </c>
      <c r="N10">
        <v>30</v>
      </c>
      <c r="O10">
        <v>50</v>
      </c>
      <c r="P10">
        <v>80</v>
      </c>
      <c r="Q10">
        <v>130</v>
      </c>
      <c r="AK10">
        <v>11</v>
      </c>
      <c r="AL10" t="e">
        <f>1/0</f>
        <v>#DIV/0!</v>
      </c>
      <c r="AU10" s="1">
        <v>39859</v>
      </c>
      <c r="BG10">
        <v>5</v>
      </c>
    </row>
    <row r="11" spans="1:60" x14ac:dyDescent="0.2">
      <c r="A11" t="s">
        <v>37</v>
      </c>
      <c r="I11">
        <v>6800</v>
      </c>
      <c r="J11">
        <v>500</v>
      </c>
      <c r="AK11">
        <v>10</v>
      </c>
      <c r="AL11">
        <v>23</v>
      </c>
      <c r="AU11" s="1">
        <v>39904</v>
      </c>
      <c r="BG11">
        <v>6</v>
      </c>
    </row>
    <row r="12" spans="1:60" x14ac:dyDescent="0.2">
      <c r="A12">
        <v>0</v>
      </c>
      <c r="BG12">
        <v>1</v>
      </c>
    </row>
    <row r="13" spans="1:60" x14ac:dyDescent="0.2">
      <c r="A13" t="str">
        <f>""</f>
        <v/>
      </c>
      <c r="I13">
        <v>-10000</v>
      </c>
    </row>
    <row r="14" spans="1:60" x14ac:dyDescent="0.2">
      <c r="A14" t="str">
        <f>CHAR(9)&amp;"abc"&amp;CHAR(10)</f>
        <v xml:space="preserve">	abc
</v>
      </c>
      <c r="I14">
        <v>3000</v>
      </c>
    </row>
    <row r="15" spans="1:60" x14ac:dyDescent="0.2">
      <c r="A15">
        <v>45688.75</v>
      </c>
      <c r="I15" t="e">
        <f>NA()</f>
        <v>#N/A</v>
      </c>
    </row>
    <row r="16" spans="1:60" x14ac:dyDescent="0.2">
      <c r="I16">
        <v>6800</v>
      </c>
    </row>
    <row r="17" spans="9:9" x14ac:dyDescent="0.2">
      <c r="I17">
        <v>1200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06"/>
  <sheetViews>
    <sheetView workbookViewId="0"/>
  </sheetViews>
  <sheetFormatPr baseColWidth="10" defaultColWidth="8.83203125" defaultRowHeight="15" x14ac:dyDescent="0.2"/>
  <sheetData>
    <row r="1" spans="1:5" x14ac:dyDescent="0.2">
      <c r="A1" t="str" cm="1">
        <f t="array" ref="A1">CHAR(1)</f>
        <v>_x0001_</v>
      </c>
      <c r="B1">
        <f t="shared" ref="B1:B64" si="0">IF(ISERROR(A1),ERROR.TYPE(A1),IF(ISNUMBER(A1),0,IF(ISLOGICAL(A1),IF(A1,-1,-2),IF(ISTEXT(A1),-3,-4))))</f>
        <v>-3</v>
      </c>
      <c r="C1">
        <f t="shared" ref="C1:C64" si="1">IF(ISNUMBER(A1),A1,0)</f>
        <v>0</v>
      </c>
      <c r="D1" t="str">
        <f t="shared" ref="D1:D64" si="2">IF(ISTEXT(A1),A1,"")</f>
        <v>_x0001_</v>
      </c>
      <c r="E1" t="s">
        <v>38</v>
      </c>
    </row>
    <row r="2" spans="1:5" x14ac:dyDescent="0.2">
      <c r="A2" t="str" cm="1">
        <f t="array" ref="A2">CHAR(2)</f>
        <v>_x0002_</v>
      </c>
      <c r="B2">
        <f t="shared" si="0"/>
        <v>-3</v>
      </c>
      <c r="C2">
        <f t="shared" si="1"/>
        <v>0</v>
      </c>
      <c r="D2" t="str">
        <f t="shared" si="2"/>
        <v>_x0002_</v>
      </c>
      <c r="E2" t="s">
        <v>39</v>
      </c>
    </row>
    <row r="3" spans="1:5" x14ac:dyDescent="0.2">
      <c r="A3" t="str" cm="1">
        <f t="array" ref="A3">CHAR(3)</f>
        <v>_x0003_</v>
      </c>
      <c r="B3">
        <f t="shared" si="0"/>
        <v>-3</v>
      </c>
      <c r="C3">
        <f t="shared" si="1"/>
        <v>0</v>
      </c>
      <c r="D3" t="str">
        <f t="shared" si="2"/>
        <v>_x0003_</v>
      </c>
      <c r="E3" t="s">
        <v>40</v>
      </c>
    </row>
    <row r="4" spans="1:5" x14ac:dyDescent="0.2">
      <c r="A4" t="str" cm="1">
        <f t="array" ref="A4">CHAR(4)</f>
        <v>_x0004_</v>
      </c>
      <c r="B4">
        <f t="shared" si="0"/>
        <v>-3</v>
      </c>
      <c r="C4">
        <f t="shared" si="1"/>
        <v>0</v>
      </c>
      <c r="D4" t="str">
        <f t="shared" si="2"/>
        <v>_x0004_</v>
      </c>
      <c r="E4" t="s">
        <v>41</v>
      </c>
    </row>
    <row r="5" spans="1:5" x14ac:dyDescent="0.2">
      <c r="A5" t="str" cm="1">
        <f t="array" ref="A5">CHAR(5)</f>
        <v>_x0005_</v>
      </c>
      <c r="B5">
        <f t="shared" si="0"/>
        <v>-3</v>
      </c>
      <c r="C5">
        <f t="shared" si="1"/>
        <v>0</v>
      </c>
      <c r="D5" t="str">
        <f t="shared" si="2"/>
        <v>_x0005_</v>
      </c>
      <c r="E5" t="s">
        <v>42</v>
      </c>
    </row>
    <row r="6" spans="1:5" x14ac:dyDescent="0.2">
      <c r="A6" t="str" cm="1">
        <f t="array" ref="A6">CHAR(6)</f>
        <v>_x0006_</v>
      </c>
      <c r="B6">
        <f t="shared" si="0"/>
        <v>-3</v>
      </c>
      <c r="C6">
        <f t="shared" si="1"/>
        <v>0</v>
      </c>
      <c r="D6" t="str">
        <f t="shared" si="2"/>
        <v>_x0006_</v>
      </c>
      <c r="E6" t="s">
        <v>43</v>
      </c>
    </row>
    <row r="7" spans="1:5" x14ac:dyDescent="0.2">
      <c r="A7" t="str" cm="1">
        <f t="array" ref="A7">CHAR(7)</f>
        <v>_x0007_</v>
      </c>
      <c r="B7">
        <f t="shared" si="0"/>
        <v>-3</v>
      </c>
      <c r="C7">
        <f t="shared" si="1"/>
        <v>0</v>
      </c>
      <c r="D7" t="str">
        <f t="shared" si="2"/>
        <v>_x0007_</v>
      </c>
      <c r="E7" t="s">
        <v>44</v>
      </c>
    </row>
    <row r="8" spans="1:5" x14ac:dyDescent="0.2">
      <c r="A8" t="str" cm="1">
        <f t="array" ref="A8">CHAR(8)</f>
        <v>_x0008_</v>
      </c>
      <c r="B8">
        <f t="shared" si="0"/>
        <v>-3</v>
      </c>
      <c r="C8">
        <f t="shared" si="1"/>
        <v>0</v>
      </c>
      <c r="D8" t="str">
        <f t="shared" si="2"/>
        <v>_x0008_</v>
      </c>
      <c r="E8" t="s">
        <v>45</v>
      </c>
    </row>
    <row r="9" spans="1:5" x14ac:dyDescent="0.2">
      <c r="A9" t="str" cm="1">
        <f t="array" ref="A9">CHAR(9)</f>
        <v xml:space="preserve">	</v>
      </c>
      <c r="B9">
        <f t="shared" si="0"/>
        <v>-3</v>
      </c>
      <c r="C9">
        <f t="shared" si="1"/>
        <v>0</v>
      </c>
      <c r="D9" t="str">
        <f t="shared" si="2"/>
        <v xml:space="preserve">	</v>
      </c>
      <c r="E9" t="s">
        <v>46</v>
      </c>
    </row>
    <row r="10" spans="1:5" x14ac:dyDescent="0.2">
      <c r="A10" t="str" cm="1">
        <f t="array" ref="A10">CHAR(10)</f>
        <v xml:space="preserve">
</v>
      </c>
      <c r="B10">
        <f t="shared" si="0"/>
        <v>-3</v>
      </c>
      <c r="C10">
        <f t="shared" si="1"/>
        <v>0</v>
      </c>
      <c r="D10" t="str">
        <f t="shared" si="2"/>
        <v xml:space="preserve">
</v>
      </c>
      <c r="E10" t="s">
        <v>47</v>
      </c>
    </row>
    <row r="11" spans="1:5" x14ac:dyDescent="0.2">
      <c r="A11" t="str" cm="1">
        <f t="array" ref="A11">CHAR(11)</f>
        <v>_x000B_</v>
      </c>
      <c r="B11">
        <f t="shared" si="0"/>
        <v>-3</v>
      </c>
      <c r="C11">
        <f t="shared" si="1"/>
        <v>0</v>
      </c>
      <c r="D11" t="str">
        <f t="shared" si="2"/>
        <v>_x000B_</v>
      </c>
      <c r="E11" t="s">
        <v>48</v>
      </c>
    </row>
    <row r="12" spans="1:5" x14ac:dyDescent="0.2">
      <c r="A12" t="str" cm="1">
        <f t="array" ref="A12">CHAR(12)</f>
        <v>_x000C_</v>
      </c>
      <c r="B12">
        <f t="shared" si="0"/>
        <v>-3</v>
      </c>
      <c r="C12">
        <f t="shared" si="1"/>
        <v>0</v>
      </c>
      <c r="D12" t="str">
        <f t="shared" si="2"/>
        <v>_x000C_</v>
      </c>
      <c r="E12" t="s">
        <v>49</v>
      </c>
    </row>
    <row r="13" spans="1:5" x14ac:dyDescent="0.2">
      <c r="A13" t="str" cm="1">
        <f t="array" ref="A13">CHAR(13)</f>
        <v>_x000D_</v>
      </c>
      <c r="B13">
        <f t="shared" si="0"/>
        <v>-3</v>
      </c>
      <c r="C13">
        <f t="shared" si="1"/>
        <v>0</v>
      </c>
      <c r="D13" t="str">
        <f t="shared" si="2"/>
        <v>_x000D_</v>
      </c>
      <c r="E13" t="s">
        <v>50</v>
      </c>
    </row>
    <row r="14" spans="1:5" x14ac:dyDescent="0.2">
      <c r="A14" t="str" cm="1">
        <f t="array" ref="A14">CHAR(14)</f>
        <v>_x000E_</v>
      </c>
      <c r="B14">
        <f t="shared" si="0"/>
        <v>-3</v>
      </c>
      <c r="C14">
        <f t="shared" si="1"/>
        <v>0</v>
      </c>
      <c r="D14" t="str">
        <f t="shared" si="2"/>
        <v>_x000E_</v>
      </c>
      <c r="E14" t="s">
        <v>51</v>
      </c>
    </row>
    <row r="15" spans="1:5" x14ac:dyDescent="0.2">
      <c r="A15" t="str" cm="1">
        <f t="array" ref="A15">CHAR(15)</f>
        <v>_x000F_</v>
      </c>
      <c r="B15">
        <f t="shared" si="0"/>
        <v>-3</v>
      </c>
      <c r="C15">
        <f t="shared" si="1"/>
        <v>0</v>
      </c>
      <c r="D15" t="str">
        <f t="shared" si="2"/>
        <v>_x000F_</v>
      </c>
      <c r="E15" t="s">
        <v>52</v>
      </c>
    </row>
    <row r="16" spans="1:5" x14ac:dyDescent="0.2">
      <c r="A16" t="str" cm="1">
        <f t="array" ref="A16">CHAR(16)</f>
        <v>_x0010_</v>
      </c>
      <c r="B16">
        <f t="shared" si="0"/>
        <v>-3</v>
      </c>
      <c r="C16">
        <f t="shared" si="1"/>
        <v>0</v>
      </c>
      <c r="D16" t="str">
        <f t="shared" si="2"/>
        <v>_x0010_</v>
      </c>
      <c r="E16" t="s">
        <v>53</v>
      </c>
    </row>
    <row r="17" spans="1:5" x14ac:dyDescent="0.2">
      <c r="A17" t="str" cm="1">
        <f t="array" ref="A17">CHAR(17)</f>
        <v>_x0011_</v>
      </c>
      <c r="B17">
        <f t="shared" si="0"/>
        <v>-3</v>
      </c>
      <c r="C17">
        <f t="shared" si="1"/>
        <v>0</v>
      </c>
      <c r="D17" t="str">
        <f t="shared" si="2"/>
        <v>_x0011_</v>
      </c>
      <c r="E17" t="s">
        <v>54</v>
      </c>
    </row>
    <row r="18" spans="1:5" x14ac:dyDescent="0.2">
      <c r="A18" t="str" cm="1">
        <f t="array" ref="A18">CHAR(18)</f>
        <v>_x0012_</v>
      </c>
      <c r="B18">
        <f t="shared" si="0"/>
        <v>-3</v>
      </c>
      <c r="C18">
        <f t="shared" si="1"/>
        <v>0</v>
      </c>
      <c r="D18" t="str">
        <f t="shared" si="2"/>
        <v>_x0012_</v>
      </c>
      <c r="E18" t="s">
        <v>55</v>
      </c>
    </row>
    <row r="19" spans="1:5" x14ac:dyDescent="0.2">
      <c r="A19" t="str" cm="1">
        <f t="array" ref="A19">CHAR(19)</f>
        <v>_x0013_</v>
      </c>
      <c r="B19">
        <f t="shared" si="0"/>
        <v>-3</v>
      </c>
      <c r="C19">
        <f t="shared" si="1"/>
        <v>0</v>
      </c>
      <c r="D19" t="str">
        <f t="shared" si="2"/>
        <v>_x0013_</v>
      </c>
      <c r="E19" t="s">
        <v>56</v>
      </c>
    </row>
    <row r="20" spans="1:5" x14ac:dyDescent="0.2">
      <c r="A20" t="str" cm="1">
        <f t="array" ref="A20">CHAR(20)</f>
        <v>_x0014_</v>
      </c>
      <c r="B20">
        <f t="shared" si="0"/>
        <v>-3</v>
      </c>
      <c r="C20">
        <f t="shared" si="1"/>
        <v>0</v>
      </c>
      <c r="D20" t="str">
        <f t="shared" si="2"/>
        <v>_x0014_</v>
      </c>
      <c r="E20" t="s">
        <v>57</v>
      </c>
    </row>
    <row r="21" spans="1:5" x14ac:dyDescent="0.2">
      <c r="A21" t="str" cm="1">
        <f t="array" ref="A21">CHAR(21)</f>
        <v>_x0015_</v>
      </c>
      <c r="B21">
        <f t="shared" si="0"/>
        <v>-3</v>
      </c>
      <c r="C21">
        <f t="shared" si="1"/>
        <v>0</v>
      </c>
      <c r="D21" t="str">
        <f t="shared" si="2"/>
        <v>_x0015_</v>
      </c>
      <c r="E21" t="s">
        <v>58</v>
      </c>
    </row>
    <row r="22" spans="1:5" x14ac:dyDescent="0.2">
      <c r="A22" t="str" cm="1">
        <f t="array" ref="A22">CHAR(22)</f>
        <v>_x0016_</v>
      </c>
      <c r="B22">
        <f t="shared" si="0"/>
        <v>-3</v>
      </c>
      <c r="C22">
        <f t="shared" si="1"/>
        <v>0</v>
      </c>
      <c r="D22" t="str">
        <f t="shared" si="2"/>
        <v>_x0016_</v>
      </c>
      <c r="E22" t="s">
        <v>59</v>
      </c>
    </row>
    <row r="23" spans="1:5" x14ac:dyDescent="0.2">
      <c r="A23" t="str" cm="1">
        <f t="array" ref="A23">CHAR(23)</f>
        <v>_x0017_</v>
      </c>
      <c r="B23">
        <f t="shared" si="0"/>
        <v>-3</v>
      </c>
      <c r="C23">
        <f t="shared" si="1"/>
        <v>0</v>
      </c>
      <c r="D23" t="str">
        <f t="shared" si="2"/>
        <v>_x0017_</v>
      </c>
      <c r="E23" t="s">
        <v>60</v>
      </c>
    </row>
    <row r="24" spans="1:5" x14ac:dyDescent="0.2">
      <c r="A24" t="str" cm="1">
        <f t="array" ref="A24">CHAR(24)</f>
        <v>_x0018_</v>
      </c>
      <c r="B24">
        <f t="shared" si="0"/>
        <v>-3</v>
      </c>
      <c r="C24">
        <f t="shared" si="1"/>
        <v>0</v>
      </c>
      <c r="D24" t="str">
        <f t="shared" si="2"/>
        <v>_x0018_</v>
      </c>
      <c r="E24" t="s">
        <v>61</v>
      </c>
    </row>
    <row r="25" spans="1:5" x14ac:dyDescent="0.2">
      <c r="A25" t="str" cm="1">
        <f t="array" ref="A25">CHAR(25)</f>
        <v>_x0019_</v>
      </c>
      <c r="B25">
        <f t="shared" si="0"/>
        <v>-3</v>
      </c>
      <c r="C25">
        <f t="shared" si="1"/>
        <v>0</v>
      </c>
      <c r="D25" t="str">
        <f t="shared" si="2"/>
        <v>_x0019_</v>
      </c>
      <c r="E25" t="s">
        <v>62</v>
      </c>
    </row>
    <row r="26" spans="1:5" x14ac:dyDescent="0.2">
      <c r="A26" t="str" cm="1">
        <f t="array" ref="A26">CHAR(26)</f>
        <v>_x001A_</v>
      </c>
      <c r="B26">
        <f t="shared" si="0"/>
        <v>-3</v>
      </c>
      <c r="C26">
        <f t="shared" si="1"/>
        <v>0</v>
      </c>
      <c r="D26" t="str">
        <f t="shared" si="2"/>
        <v>_x001A_</v>
      </c>
      <c r="E26" t="s">
        <v>63</v>
      </c>
    </row>
    <row r="27" spans="1:5" x14ac:dyDescent="0.2">
      <c r="A27" t="str" cm="1">
        <f t="array" ref="A27">CHAR(27)</f>
        <v>_x001B_</v>
      </c>
      <c r="B27">
        <f t="shared" si="0"/>
        <v>-3</v>
      </c>
      <c r="C27">
        <f t="shared" si="1"/>
        <v>0</v>
      </c>
      <c r="D27" t="str">
        <f t="shared" si="2"/>
        <v>_x001B_</v>
      </c>
      <c r="E27" t="s">
        <v>64</v>
      </c>
    </row>
    <row r="28" spans="1:5" x14ac:dyDescent="0.2">
      <c r="A28" t="str" cm="1">
        <f t="array" ref="A28">CHAR(28)</f>
        <v>_x001C_</v>
      </c>
      <c r="B28">
        <f t="shared" si="0"/>
        <v>-3</v>
      </c>
      <c r="C28">
        <f t="shared" si="1"/>
        <v>0</v>
      </c>
      <c r="D28" t="str">
        <f t="shared" si="2"/>
        <v>_x001C_</v>
      </c>
      <c r="E28" t="s">
        <v>65</v>
      </c>
    </row>
    <row r="29" spans="1:5" x14ac:dyDescent="0.2">
      <c r="A29" t="str" cm="1">
        <f t="array" ref="A29">CHAR(29)</f>
        <v>_x001D_</v>
      </c>
      <c r="B29">
        <f t="shared" si="0"/>
        <v>-3</v>
      </c>
      <c r="C29">
        <f t="shared" si="1"/>
        <v>0</v>
      </c>
      <c r="D29" t="str">
        <f t="shared" si="2"/>
        <v>_x001D_</v>
      </c>
      <c r="E29" t="s">
        <v>66</v>
      </c>
    </row>
    <row r="30" spans="1:5" x14ac:dyDescent="0.2">
      <c r="A30" t="str" cm="1">
        <f t="array" ref="A30">CHAR(30)</f>
        <v>_x001E_</v>
      </c>
      <c r="B30">
        <f t="shared" si="0"/>
        <v>-3</v>
      </c>
      <c r="C30">
        <f t="shared" si="1"/>
        <v>0</v>
      </c>
      <c r="D30" t="str">
        <f t="shared" si="2"/>
        <v>_x001E_</v>
      </c>
      <c r="E30" t="s">
        <v>67</v>
      </c>
    </row>
    <row r="31" spans="1:5" x14ac:dyDescent="0.2">
      <c r="A31" t="str" cm="1">
        <f t="array" ref="A31">CHAR(31)</f>
        <v>_x001F_</v>
      </c>
      <c r="B31">
        <f t="shared" si="0"/>
        <v>-3</v>
      </c>
      <c r="C31">
        <f t="shared" si="1"/>
        <v>0</v>
      </c>
      <c r="D31" t="str">
        <f t="shared" si="2"/>
        <v>_x001F_</v>
      </c>
      <c r="E31" t="s">
        <v>68</v>
      </c>
    </row>
    <row r="32" spans="1:5" x14ac:dyDescent="0.2">
      <c r="A32" t="str" cm="1">
        <f t="array" ref="A32">CHAR(32)</f>
        <v xml:space="preserve"> </v>
      </c>
      <c r="B32">
        <f t="shared" si="0"/>
        <v>-3</v>
      </c>
      <c r="C32">
        <f t="shared" si="1"/>
        <v>0</v>
      </c>
      <c r="D32" t="str">
        <f t="shared" si="2"/>
        <v xml:space="preserve"> </v>
      </c>
      <c r="E32" t="s">
        <v>69</v>
      </c>
    </row>
    <row r="33" spans="1:5" x14ac:dyDescent="0.2">
      <c r="A33" t="str" cm="1">
        <f t="array" ref="A33">CHAR(33)</f>
        <v>!</v>
      </c>
      <c r="B33">
        <f t="shared" si="0"/>
        <v>-3</v>
      </c>
      <c r="C33">
        <f t="shared" si="1"/>
        <v>0</v>
      </c>
      <c r="D33" t="str">
        <f t="shared" si="2"/>
        <v>!</v>
      </c>
      <c r="E33" t="s">
        <v>70</v>
      </c>
    </row>
    <row r="34" spans="1:5" x14ac:dyDescent="0.2">
      <c r="A34" t="str" cm="1">
        <f t="array" ref="A34">CHAR(34)</f>
        <v>"</v>
      </c>
      <c r="B34">
        <f t="shared" si="0"/>
        <v>-3</v>
      </c>
      <c r="C34">
        <f t="shared" si="1"/>
        <v>0</v>
      </c>
      <c r="D34" t="str">
        <f t="shared" si="2"/>
        <v>"</v>
      </c>
      <c r="E34" t="s">
        <v>71</v>
      </c>
    </row>
    <row r="35" spans="1:5" x14ac:dyDescent="0.2">
      <c r="A35" t="str" cm="1">
        <f t="array" ref="A35">CHAR(35)</f>
        <v>#</v>
      </c>
      <c r="B35">
        <f t="shared" si="0"/>
        <v>-3</v>
      </c>
      <c r="C35">
        <f t="shared" si="1"/>
        <v>0</v>
      </c>
      <c r="D35" t="str">
        <f t="shared" si="2"/>
        <v>#</v>
      </c>
      <c r="E35" t="s">
        <v>72</v>
      </c>
    </row>
    <row r="36" spans="1:5" x14ac:dyDescent="0.2">
      <c r="A36" t="str" cm="1">
        <f t="array" ref="A36">CHAR(36)</f>
        <v>$</v>
      </c>
      <c r="B36">
        <f t="shared" si="0"/>
        <v>-3</v>
      </c>
      <c r="C36">
        <f t="shared" si="1"/>
        <v>0</v>
      </c>
      <c r="D36" t="str">
        <f t="shared" si="2"/>
        <v>$</v>
      </c>
      <c r="E36" t="s">
        <v>73</v>
      </c>
    </row>
    <row r="37" spans="1:5" x14ac:dyDescent="0.2">
      <c r="A37" t="str" cm="1">
        <f t="array" ref="A37">CHAR(37)</f>
        <v>%</v>
      </c>
      <c r="B37">
        <f t="shared" si="0"/>
        <v>-3</v>
      </c>
      <c r="C37">
        <f t="shared" si="1"/>
        <v>0</v>
      </c>
      <c r="D37" t="str">
        <f t="shared" si="2"/>
        <v>%</v>
      </c>
      <c r="E37" t="s">
        <v>74</v>
      </c>
    </row>
    <row r="38" spans="1:5" x14ac:dyDescent="0.2">
      <c r="A38" t="str" cm="1">
        <f t="array" ref="A38">CHAR(38)</f>
        <v>&amp;</v>
      </c>
      <c r="B38">
        <f t="shared" si="0"/>
        <v>-3</v>
      </c>
      <c r="C38">
        <f t="shared" si="1"/>
        <v>0</v>
      </c>
      <c r="D38" t="str">
        <f t="shared" si="2"/>
        <v>&amp;</v>
      </c>
      <c r="E38" t="s">
        <v>75</v>
      </c>
    </row>
    <row r="39" spans="1:5" x14ac:dyDescent="0.2">
      <c r="A39" t="str" cm="1">
        <f t="array" ref="A39">CHAR(39)</f>
        <v>'</v>
      </c>
      <c r="B39">
        <f t="shared" si="0"/>
        <v>-3</v>
      </c>
      <c r="C39">
        <f t="shared" si="1"/>
        <v>0</v>
      </c>
      <c r="D39" t="str">
        <f t="shared" si="2"/>
        <v>'</v>
      </c>
      <c r="E39" t="s">
        <v>76</v>
      </c>
    </row>
    <row r="40" spans="1:5" x14ac:dyDescent="0.2">
      <c r="A40" t="str" cm="1">
        <f t="array" ref="A40">CHAR(40)</f>
        <v>(</v>
      </c>
      <c r="B40">
        <f t="shared" si="0"/>
        <v>-3</v>
      </c>
      <c r="C40">
        <f t="shared" si="1"/>
        <v>0</v>
      </c>
      <c r="D40" t="str">
        <f t="shared" si="2"/>
        <v>(</v>
      </c>
      <c r="E40" t="s">
        <v>77</v>
      </c>
    </row>
    <row r="41" spans="1:5" x14ac:dyDescent="0.2">
      <c r="A41" t="str" cm="1">
        <f t="array" ref="A41">CHAR(41)</f>
        <v>)</v>
      </c>
      <c r="B41">
        <f t="shared" si="0"/>
        <v>-3</v>
      </c>
      <c r="C41">
        <f t="shared" si="1"/>
        <v>0</v>
      </c>
      <c r="D41" t="str">
        <f t="shared" si="2"/>
        <v>)</v>
      </c>
      <c r="E41" t="s">
        <v>78</v>
      </c>
    </row>
    <row r="42" spans="1:5" x14ac:dyDescent="0.2">
      <c r="A42" t="str" cm="1">
        <f t="array" ref="A42">CHAR(42)</f>
        <v>*</v>
      </c>
      <c r="B42">
        <f t="shared" si="0"/>
        <v>-3</v>
      </c>
      <c r="C42">
        <f t="shared" si="1"/>
        <v>0</v>
      </c>
      <c r="D42" t="str">
        <f t="shared" si="2"/>
        <v>*</v>
      </c>
      <c r="E42" t="s">
        <v>79</v>
      </c>
    </row>
    <row r="43" spans="1:5" x14ac:dyDescent="0.2">
      <c r="A43" t="str" cm="1">
        <f t="array" ref="A43">CHAR(43)</f>
        <v>+</v>
      </c>
      <c r="B43">
        <f t="shared" si="0"/>
        <v>-3</v>
      </c>
      <c r="C43">
        <f t="shared" si="1"/>
        <v>0</v>
      </c>
      <c r="D43" t="str">
        <f t="shared" si="2"/>
        <v>+</v>
      </c>
      <c r="E43" t="s">
        <v>80</v>
      </c>
    </row>
    <row r="44" spans="1:5" x14ac:dyDescent="0.2">
      <c r="A44" t="str" cm="1">
        <f t="array" ref="A44">CHAR(44)</f>
        <v>,</v>
      </c>
      <c r="B44">
        <f t="shared" si="0"/>
        <v>-3</v>
      </c>
      <c r="C44">
        <f t="shared" si="1"/>
        <v>0</v>
      </c>
      <c r="D44" t="str">
        <f t="shared" si="2"/>
        <v>,</v>
      </c>
      <c r="E44" t="s">
        <v>81</v>
      </c>
    </row>
    <row r="45" spans="1:5" x14ac:dyDescent="0.2">
      <c r="A45" t="str" cm="1">
        <f t="array" ref="A45">CHAR(45)</f>
        <v>-</v>
      </c>
      <c r="B45">
        <f t="shared" si="0"/>
        <v>-3</v>
      </c>
      <c r="C45">
        <f t="shared" si="1"/>
        <v>0</v>
      </c>
      <c r="D45" t="str">
        <f t="shared" si="2"/>
        <v>-</v>
      </c>
      <c r="E45" t="s">
        <v>82</v>
      </c>
    </row>
    <row r="46" spans="1:5" x14ac:dyDescent="0.2">
      <c r="A46" t="str" cm="1">
        <f t="array" ref="A46">CHAR(46)</f>
        <v>.</v>
      </c>
      <c r="B46">
        <f t="shared" si="0"/>
        <v>-3</v>
      </c>
      <c r="C46">
        <f t="shared" si="1"/>
        <v>0</v>
      </c>
      <c r="D46" t="str">
        <f t="shared" si="2"/>
        <v>.</v>
      </c>
      <c r="E46" t="s">
        <v>83</v>
      </c>
    </row>
    <row r="47" spans="1:5" x14ac:dyDescent="0.2">
      <c r="A47" t="str" cm="1">
        <f t="array" ref="A47">CHAR(47)</f>
        <v>/</v>
      </c>
      <c r="B47">
        <f t="shared" si="0"/>
        <v>-3</v>
      </c>
      <c r="C47">
        <f t="shared" si="1"/>
        <v>0</v>
      </c>
      <c r="D47" t="str">
        <f t="shared" si="2"/>
        <v>/</v>
      </c>
      <c r="E47" t="s">
        <v>84</v>
      </c>
    </row>
    <row r="48" spans="1:5" x14ac:dyDescent="0.2">
      <c r="A48" t="str" cm="1">
        <f t="array" ref="A48">CHAR(48)</f>
        <v>0</v>
      </c>
      <c r="B48">
        <f t="shared" si="0"/>
        <v>-3</v>
      </c>
      <c r="C48">
        <f t="shared" si="1"/>
        <v>0</v>
      </c>
      <c r="D48" t="str">
        <f t="shared" si="2"/>
        <v>0</v>
      </c>
      <c r="E48" t="s">
        <v>85</v>
      </c>
    </row>
    <row r="49" spans="1:5" x14ac:dyDescent="0.2">
      <c r="A49" t="str" cm="1">
        <f t="array" ref="A49">CHAR(49)</f>
        <v>1</v>
      </c>
      <c r="B49">
        <f t="shared" si="0"/>
        <v>-3</v>
      </c>
      <c r="C49">
        <f t="shared" si="1"/>
        <v>0</v>
      </c>
      <c r="D49" t="str">
        <f t="shared" si="2"/>
        <v>1</v>
      </c>
      <c r="E49" t="s">
        <v>86</v>
      </c>
    </row>
    <row r="50" spans="1:5" x14ac:dyDescent="0.2">
      <c r="A50" t="str" cm="1">
        <f t="array" ref="A50">CHAR(50)</f>
        <v>2</v>
      </c>
      <c r="B50">
        <f t="shared" si="0"/>
        <v>-3</v>
      </c>
      <c r="C50">
        <f t="shared" si="1"/>
        <v>0</v>
      </c>
      <c r="D50" t="str">
        <f t="shared" si="2"/>
        <v>2</v>
      </c>
      <c r="E50" t="s">
        <v>87</v>
      </c>
    </row>
    <row r="51" spans="1:5" x14ac:dyDescent="0.2">
      <c r="A51" t="str" cm="1">
        <f t="array" ref="A51">CHAR(51)</f>
        <v>3</v>
      </c>
      <c r="B51">
        <f t="shared" si="0"/>
        <v>-3</v>
      </c>
      <c r="C51">
        <f t="shared" si="1"/>
        <v>0</v>
      </c>
      <c r="D51" t="str">
        <f t="shared" si="2"/>
        <v>3</v>
      </c>
      <c r="E51" t="s">
        <v>88</v>
      </c>
    </row>
    <row r="52" spans="1:5" x14ac:dyDescent="0.2">
      <c r="A52" t="str" cm="1">
        <f t="array" ref="A52">CHAR(52)</f>
        <v>4</v>
      </c>
      <c r="B52">
        <f t="shared" si="0"/>
        <v>-3</v>
      </c>
      <c r="C52">
        <f t="shared" si="1"/>
        <v>0</v>
      </c>
      <c r="D52" t="str">
        <f t="shared" si="2"/>
        <v>4</v>
      </c>
      <c r="E52" t="s">
        <v>89</v>
      </c>
    </row>
    <row r="53" spans="1:5" x14ac:dyDescent="0.2">
      <c r="A53" t="str" cm="1">
        <f t="array" ref="A53">CHAR(53)</f>
        <v>5</v>
      </c>
      <c r="B53">
        <f t="shared" si="0"/>
        <v>-3</v>
      </c>
      <c r="C53">
        <f t="shared" si="1"/>
        <v>0</v>
      </c>
      <c r="D53" t="str">
        <f t="shared" si="2"/>
        <v>5</v>
      </c>
      <c r="E53" t="s">
        <v>90</v>
      </c>
    </row>
    <row r="54" spans="1:5" x14ac:dyDescent="0.2">
      <c r="A54" t="str" cm="1">
        <f t="array" ref="A54">CHAR(54)</f>
        <v>6</v>
      </c>
      <c r="B54">
        <f t="shared" si="0"/>
        <v>-3</v>
      </c>
      <c r="C54">
        <f t="shared" si="1"/>
        <v>0</v>
      </c>
      <c r="D54" t="str">
        <f t="shared" si="2"/>
        <v>6</v>
      </c>
      <c r="E54" t="s">
        <v>91</v>
      </c>
    </row>
    <row r="55" spans="1:5" x14ac:dyDescent="0.2">
      <c r="A55" t="str" cm="1">
        <f t="array" ref="A55">CHAR(55)</f>
        <v>7</v>
      </c>
      <c r="B55">
        <f t="shared" si="0"/>
        <v>-3</v>
      </c>
      <c r="C55">
        <f t="shared" si="1"/>
        <v>0</v>
      </c>
      <c r="D55" t="str">
        <f t="shared" si="2"/>
        <v>7</v>
      </c>
      <c r="E55" t="s">
        <v>92</v>
      </c>
    </row>
    <row r="56" spans="1:5" x14ac:dyDescent="0.2">
      <c r="A56" t="str" cm="1">
        <f t="array" ref="A56">CHAR(56)</f>
        <v>8</v>
      </c>
      <c r="B56">
        <f t="shared" si="0"/>
        <v>-3</v>
      </c>
      <c r="C56">
        <f t="shared" si="1"/>
        <v>0</v>
      </c>
      <c r="D56" t="str">
        <f t="shared" si="2"/>
        <v>8</v>
      </c>
      <c r="E56" t="s">
        <v>93</v>
      </c>
    </row>
    <row r="57" spans="1:5" x14ac:dyDescent="0.2">
      <c r="A57" t="str" cm="1">
        <f t="array" ref="A57">CHAR(57)</f>
        <v>9</v>
      </c>
      <c r="B57">
        <f t="shared" si="0"/>
        <v>-3</v>
      </c>
      <c r="C57">
        <f t="shared" si="1"/>
        <v>0</v>
      </c>
      <c r="D57" t="str">
        <f t="shared" si="2"/>
        <v>9</v>
      </c>
      <c r="E57" t="s">
        <v>94</v>
      </c>
    </row>
    <row r="58" spans="1:5" x14ac:dyDescent="0.2">
      <c r="A58" t="str" cm="1">
        <f t="array" ref="A58">CHAR(58)</f>
        <v>:</v>
      </c>
      <c r="B58">
        <f t="shared" si="0"/>
        <v>-3</v>
      </c>
      <c r="C58">
        <f t="shared" si="1"/>
        <v>0</v>
      </c>
      <c r="D58" t="str">
        <f t="shared" si="2"/>
        <v>:</v>
      </c>
      <c r="E58" t="s">
        <v>95</v>
      </c>
    </row>
    <row r="59" spans="1:5" x14ac:dyDescent="0.2">
      <c r="A59" t="str" cm="1">
        <f t="array" ref="A59">CHAR(59)</f>
        <v>;</v>
      </c>
      <c r="B59">
        <f t="shared" si="0"/>
        <v>-3</v>
      </c>
      <c r="C59">
        <f t="shared" si="1"/>
        <v>0</v>
      </c>
      <c r="D59" t="str">
        <f t="shared" si="2"/>
        <v>;</v>
      </c>
      <c r="E59" t="s">
        <v>96</v>
      </c>
    </row>
    <row r="60" spans="1:5" x14ac:dyDescent="0.2">
      <c r="A60" t="str" cm="1">
        <f t="array" ref="A60">CHAR(60)</f>
        <v>&lt;</v>
      </c>
      <c r="B60">
        <f t="shared" si="0"/>
        <v>-3</v>
      </c>
      <c r="C60">
        <f t="shared" si="1"/>
        <v>0</v>
      </c>
      <c r="D60" t="str">
        <f t="shared" si="2"/>
        <v>&lt;</v>
      </c>
      <c r="E60" t="s">
        <v>97</v>
      </c>
    </row>
    <row r="61" spans="1:5" x14ac:dyDescent="0.2">
      <c r="A61" t="str" cm="1">
        <f t="array" ref="A61">CHAR(61)</f>
        <v>=</v>
      </c>
      <c r="B61">
        <f t="shared" si="0"/>
        <v>-3</v>
      </c>
      <c r="C61">
        <f t="shared" si="1"/>
        <v>0</v>
      </c>
      <c r="D61" t="str">
        <f t="shared" si="2"/>
        <v>=</v>
      </c>
      <c r="E61" t="s">
        <v>98</v>
      </c>
    </row>
    <row r="62" spans="1:5" x14ac:dyDescent="0.2">
      <c r="A62" t="str" cm="1">
        <f t="array" ref="A62">CHAR(62)</f>
        <v>&gt;</v>
      </c>
      <c r="B62">
        <f t="shared" si="0"/>
        <v>-3</v>
      </c>
      <c r="C62">
        <f t="shared" si="1"/>
        <v>0</v>
      </c>
      <c r="D62" t="str">
        <f t="shared" si="2"/>
        <v>&gt;</v>
      </c>
      <c r="E62" t="s">
        <v>99</v>
      </c>
    </row>
    <row r="63" spans="1:5" x14ac:dyDescent="0.2">
      <c r="A63" t="str" cm="1">
        <f t="array" ref="A63">CHAR(63)</f>
        <v>?</v>
      </c>
      <c r="B63">
        <f t="shared" si="0"/>
        <v>-3</v>
      </c>
      <c r="C63">
        <f t="shared" si="1"/>
        <v>0</v>
      </c>
      <c r="D63" t="str">
        <f t="shared" si="2"/>
        <v>?</v>
      </c>
      <c r="E63" t="s">
        <v>100</v>
      </c>
    </row>
    <row r="64" spans="1:5" x14ac:dyDescent="0.2">
      <c r="A64" t="str" cm="1">
        <f t="array" ref="A64">CHAR(64)</f>
        <v>@</v>
      </c>
      <c r="B64">
        <f t="shared" si="0"/>
        <v>-3</v>
      </c>
      <c r="C64">
        <f t="shared" si="1"/>
        <v>0</v>
      </c>
      <c r="D64" t="str">
        <f t="shared" si="2"/>
        <v>@</v>
      </c>
      <c r="E64" t="s">
        <v>101</v>
      </c>
    </row>
    <row r="65" spans="1:5" x14ac:dyDescent="0.2">
      <c r="A65" t="str" cm="1">
        <f t="array" ref="A65">CHAR(65)</f>
        <v>A</v>
      </c>
      <c r="B65">
        <f t="shared" ref="B65:B128" si="3">IF(ISERROR(A65),ERROR.TYPE(A65),IF(ISNUMBER(A65),0,IF(ISLOGICAL(A65),IF(A65,-1,-2),IF(ISTEXT(A65),-3,-4))))</f>
        <v>-3</v>
      </c>
      <c r="C65">
        <f t="shared" ref="C65:C128" si="4">IF(ISNUMBER(A65),A65,0)</f>
        <v>0</v>
      </c>
      <c r="D65" t="str">
        <f t="shared" ref="D65:D128" si="5">IF(ISTEXT(A65),A65,"")</f>
        <v>A</v>
      </c>
      <c r="E65" t="s">
        <v>102</v>
      </c>
    </row>
    <row r="66" spans="1:5" x14ac:dyDescent="0.2">
      <c r="A66" t="str" cm="1">
        <f t="array" ref="A66">CHAR(66)</f>
        <v>B</v>
      </c>
      <c r="B66">
        <f t="shared" si="3"/>
        <v>-3</v>
      </c>
      <c r="C66">
        <f t="shared" si="4"/>
        <v>0</v>
      </c>
      <c r="D66" t="str">
        <f t="shared" si="5"/>
        <v>B</v>
      </c>
      <c r="E66" t="s">
        <v>103</v>
      </c>
    </row>
    <row r="67" spans="1:5" x14ac:dyDescent="0.2">
      <c r="A67" t="str" cm="1">
        <f t="array" ref="A67">CHAR(67)</f>
        <v>C</v>
      </c>
      <c r="B67">
        <f t="shared" si="3"/>
        <v>-3</v>
      </c>
      <c r="C67">
        <f t="shared" si="4"/>
        <v>0</v>
      </c>
      <c r="D67" t="str">
        <f t="shared" si="5"/>
        <v>C</v>
      </c>
      <c r="E67" t="s">
        <v>104</v>
      </c>
    </row>
    <row r="68" spans="1:5" x14ac:dyDescent="0.2">
      <c r="A68" t="str" cm="1">
        <f t="array" ref="A68">CHAR(68)</f>
        <v>D</v>
      </c>
      <c r="B68">
        <f t="shared" si="3"/>
        <v>-3</v>
      </c>
      <c r="C68">
        <f t="shared" si="4"/>
        <v>0</v>
      </c>
      <c r="D68" t="str">
        <f t="shared" si="5"/>
        <v>D</v>
      </c>
      <c r="E68" t="s">
        <v>105</v>
      </c>
    </row>
    <row r="69" spans="1:5" x14ac:dyDescent="0.2">
      <c r="A69" t="str" cm="1">
        <f t="array" ref="A69">CHAR(69)</f>
        <v>E</v>
      </c>
      <c r="B69">
        <f t="shared" si="3"/>
        <v>-3</v>
      </c>
      <c r="C69">
        <f t="shared" si="4"/>
        <v>0</v>
      </c>
      <c r="D69" t="str">
        <f t="shared" si="5"/>
        <v>E</v>
      </c>
      <c r="E69" t="s">
        <v>106</v>
      </c>
    </row>
    <row r="70" spans="1:5" x14ac:dyDescent="0.2">
      <c r="A70" t="str" cm="1">
        <f t="array" ref="A70">CHAR(70)</f>
        <v>F</v>
      </c>
      <c r="B70">
        <f t="shared" si="3"/>
        <v>-3</v>
      </c>
      <c r="C70">
        <f t="shared" si="4"/>
        <v>0</v>
      </c>
      <c r="D70" t="str">
        <f t="shared" si="5"/>
        <v>F</v>
      </c>
      <c r="E70" t="s">
        <v>107</v>
      </c>
    </row>
    <row r="71" spans="1:5" x14ac:dyDescent="0.2">
      <c r="A71" t="str" cm="1">
        <f t="array" ref="A71">CHAR(71)</f>
        <v>G</v>
      </c>
      <c r="B71">
        <f t="shared" si="3"/>
        <v>-3</v>
      </c>
      <c r="C71">
        <f t="shared" si="4"/>
        <v>0</v>
      </c>
      <c r="D71" t="str">
        <f t="shared" si="5"/>
        <v>G</v>
      </c>
      <c r="E71" t="s">
        <v>108</v>
      </c>
    </row>
    <row r="72" spans="1:5" x14ac:dyDescent="0.2">
      <c r="A72" t="str" cm="1">
        <f t="array" ref="A72">CHAR(72)</f>
        <v>H</v>
      </c>
      <c r="B72">
        <f t="shared" si="3"/>
        <v>-3</v>
      </c>
      <c r="C72">
        <f t="shared" si="4"/>
        <v>0</v>
      </c>
      <c r="D72" t="str">
        <f t="shared" si="5"/>
        <v>H</v>
      </c>
      <c r="E72" t="s">
        <v>109</v>
      </c>
    </row>
    <row r="73" spans="1:5" x14ac:dyDescent="0.2">
      <c r="A73" t="str" cm="1">
        <f t="array" ref="A73">CHAR(73)</f>
        <v>I</v>
      </c>
      <c r="B73">
        <f t="shared" si="3"/>
        <v>-3</v>
      </c>
      <c r="C73">
        <f t="shared" si="4"/>
        <v>0</v>
      </c>
      <c r="D73" t="str">
        <f t="shared" si="5"/>
        <v>I</v>
      </c>
      <c r="E73" t="s">
        <v>110</v>
      </c>
    </row>
    <row r="74" spans="1:5" x14ac:dyDescent="0.2">
      <c r="A74" t="str" cm="1">
        <f t="array" ref="A74">CHAR(74)</f>
        <v>J</v>
      </c>
      <c r="B74">
        <f t="shared" si="3"/>
        <v>-3</v>
      </c>
      <c r="C74">
        <f t="shared" si="4"/>
        <v>0</v>
      </c>
      <c r="D74" t="str">
        <f t="shared" si="5"/>
        <v>J</v>
      </c>
      <c r="E74" t="s">
        <v>111</v>
      </c>
    </row>
    <row r="75" spans="1:5" x14ac:dyDescent="0.2">
      <c r="A75" t="str" cm="1">
        <f t="array" ref="A75">CHAR(75)</f>
        <v>K</v>
      </c>
      <c r="B75">
        <f t="shared" si="3"/>
        <v>-3</v>
      </c>
      <c r="C75">
        <f t="shared" si="4"/>
        <v>0</v>
      </c>
      <c r="D75" t="str">
        <f t="shared" si="5"/>
        <v>K</v>
      </c>
      <c r="E75" t="s">
        <v>112</v>
      </c>
    </row>
    <row r="76" spans="1:5" x14ac:dyDescent="0.2">
      <c r="A76" t="str" cm="1">
        <f t="array" ref="A76">CHAR(76)</f>
        <v>L</v>
      </c>
      <c r="B76">
        <f t="shared" si="3"/>
        <v>-3</v>
      </c>
      <c r="C76">
        <f t="shared" si="4"/>
        <v>0</v>
      </c>
      <c r="D76" t="str">
        <f t="shared" si="5"/>
        <v>L</v>
      </c>
      <c r="E76" t="s">
        <v>113</v>
      </c>
    </row>
    <row r="77" spans="1:5" x14ac:dyDescent="0.2">
      <c r="A77" t="str" cm="1">
        <f t="array" ref="A77">CHAR(77)</f>
        <v>M</v>
      </c>
      <c r="B77">
        <f t="shared" si="3"/>
        <v>-3</v>
      </c>
      <c r="C77">
        <f t="shared" si="4"/>
        <v>0</v>
      </c>
      <c r="D77" t="str">
        <f t="shared" si="5"/>
        <v>M</v>
      </c>
      <c r="E77" t="s">
        <v>114</v>
      </c>
    </row>
    <row r="78" spans="1:5" x14ac:dyDescent="0.2">
      <c r="A78" t="str" cm="1">
        <f t="array" ref="A78">CHAR(78)</f>
        <v>N</v>
      </c>
      <c r="B78">
        <f t="shared" si="3"/>
        <v>-3</v>
      </c>
      <c r="C78">
        <f t="shared" si="4"/>
        <v>0</v>
      </c>
      <c r="D78" t="str">
        <f t="shared" si="5"/>
        <v>N</v>
      </c>
      <c r="E78" t="s">
        <v>115</v>
      </c>
    </row>
    <row r="79" spans="1:5" x14ac:dyDescent="0.2">
      <c r="A79" t="str" cm="1">
        <f t="array" ref="A79">CHAR(79)</f>
        <v>O</v>
      </c>
      <c r="B79">
        <f t="shared" si="3"/>
        <v>-3</v>
      </c>
      <c r="C79">
        <f t="shared" si="4"/>
        <v>0</v>
      </c>
      <c r="D79" t="str">
        <f t="shared" si="5"/>
        <v>O</v>
      </c>
      <c r="E79" t="s">
        <v>116</v>
      </c>
    </row>
    <row r="80" spans="1:5" x14ac:dyDescent="0.2">
      <c r="A80" t="str" cm="1">
        <f t="array" ref="A80">CHAR(80)</f>
        <v>P</v>
      </c>
      <c r="B80">
        <f t="shared" si="3"/>
        <v>-3</v>
      </c>
      <c r="C80">
        <f t="shared" si="4"/>
        <v>0</v>
      </c>
      <c r="D80" t="str">
        <f t="shared" si="5"/>
        <v>P</v>
      </c>
      <c r="E80" t="s">
        <v>117</v>
      </c>
    </row>
    <row r="81" spans="1:5" x14ac:dyDescent="0.2">
      <c r="A81" t="str" cm="1">
        <f t="array" ref="A81">CHAR(81)</f>
        <v>Q</v>
      </c>
      <c r="B81">
        <f t="shared" si="3"/>
        <v>-3</v>
      </c>
      <c r="C81">
        <f t="shared" si="4"/>
        <v>0</v>
      </c>
      <c r="D81" t="str">
        <f t="shared" si="5"/>
        <v>Q</v>
      </c>
      <c r="E81" t="s">
        <v>118</v>
      </c>
    </row>
    <row r="82" spans="1:5" x14ac:dyDescent="0.2">
      <c r="A82" t="str" cm="1">
        <f t="array" ref="A82">CHAR(82)</f>
        <v>R</v>
      </c>
      <c r="B82">
        <f t="shared" si="3"/>
        <v>-3</v>
      </c>
      <c r="C82">
        <f t="shared" si="4"/>
        <v>0</v>
      </c>
      <c r="D82" t="str">
        <f t="shared" si="5"/>
        <v>R</v>
      </c>
      <c r="E82" t="s">
        <v>119</v>
      </c>
    </row>
    <row r="83" spans="1:5" x14ac:dyDescent="0.2">
      <c r="A83" t="str" cm="1">
        <f t="array" ref="A83">CHAR(83)</f>
        <v>S</v>
      </c>
      <c r="B83">
        <f t="shared" si="3"/>
        <v>-3</v>
      </c>
      <c r="C83">
        <f t="shared" si="4"/>
        <v>0</v>
      </c>
      <c r="D83" t="str">
        <f t="shared" si="5"/>
        <v>S</v>
      </c>
      <c r="E83" t="s">
        <v>120</v>
      </c>
    </row>
    <row r="84" spans="1:5" x14ac:dyDescent="0.2">
      <c r="A84" t="str" cm="1">
        <f t="array" ref="A84">CHAR(84)</f>
        <v>T</v>
      </c>
      <c r="B84">
        <f t="shared" si="3"/>
        <v>-3</v>
      </c>
      <c r="C84">
        <f t="shared" si="4"/>
        <v>0</v>
      </c>
      <c r="D84" t="str">
        <f t="shared" si="5"/>
        <v>T</v>
      </c>
      <c r="E84" t="s">
        <v>121</v>
      </c>
    </row>
    <row r="85" spans="1:5" x14ac:dyDescent="0.2">
      <c r="A85" t="str" cm="1">
        <f t="array" ref="A85">CHAR(85)</f>
        <v>U</v>
      </c>
      <c r="B85">
        <f t="shared" si="3"/>
        <v>-3</v>
      </c>
      <c r="C85">
        <f t="shared" si="4"/>
        <v>0</v>
      </c>
      <c r="D85" t="str">
        <f t="shared" si="5"/>
        <v>U</v>
      </c>
      <c r="E85" t="s">
        <v>122</v>
      </c>
    </row>
    <row r="86" spans="1:5" x14ac:dyDescent="0.2">
      <c r="A86" t="str" cm="1">
        <f t="array" ref="A86">CHAR(86)</f>
        <v>V</v>
      </c>
      <c r="B86">
        <f t="shared" si="3"/>
        <v>-3</v>
      </c>
      <c r="C86">
        <f t="shared" si="4"/>
        <v>0</v>
      </c>
      <c r="D86" t="str">
        <f t="shared" si="5"/>
        <v>V</v>
      </c>
      <c r="E86" t="s">
        <v>123</v>
      </c>
    </row>
    <row r="87" spans="1:5" x14ac:dyDescent="0.2">
      <c r="A87" t="str" cm="1">
        <f t="array" ref="A87">CHAR(87)</f>
        <v>W</v>
      </c>
      <c r="B87">
        <f t="shared" si="3"/>
        <v>-3</v>
      </c>
      <c r="C87">
        <f t="shared" si="4"/>
        <v>0</v>
      </c>
      <c r="D87" t="str">
        <f t="shared" si="5"/>
        <v>W</v>
      </c>
      <c r="E87" t="s">
        <v>124</v>
      </c>
    </row>
    <row r="88" spans="1:5" x14ac:dyDescent="0.2">
      <c r="A88" t="str" cm="1">
        <f t="array" ref="A88">CHAR(88)</f>
        <v>X</v>
      </c>
      <c r="B88">
        <f t="shared" si="3"/>
        <v>-3</v>
      </c>
      <c r="C88">
        <f t="shared" si="4"/>
        <v>0</v>
      </c>
      <c r="D88" t="str">
        <f t="shared" si="5"/>
        <v>X</v>
      </c>
      <c r="E88" t="s">
        <v>125</v>
      </c>
    </row>
    <row r="89" spans="1:5" x14ac:dyDescent="0.2">
      <c r="A89" t="str" cm="1">
        <f t="array" ref="A89">CHAR(89)</f>
        <v>Y</v>
      </c>
      <c r="B89">
        <f t="shared" si="3"/>
        <v>-3</v>
      </c>
      <c r="C89">
        <f t="shared" si="4"/>
        <v>0</v>
      </c>
      <c r="D89" t="str">
        <f t="shared" si="5"/>
        <v>Y</v>
      </c>
      <c r="E89" t="s">
        <v>126</v>
      </c>
    </row>
    <row r="90" spans="1:5" x14ac:dyDescent="0.2">
      <c r="A90" t="str" cm="1">
        <f t="array" ref="A90">CHAR(90)</f>
        <v>Z</v>
      </c>
      <c r="B90">
        <f t="shared" si="3"/>
        <v>-3</v>
      </c>
      <c r="C90">
        <f t="shared" si="4"/>
        <v>0</v>
      </c>
      <c r="D90" t="str">
        <f t="shared" si="5"/>
        <v>Z</v>
      </c>
      <c r="E90" t="s">
        <v>127</v>
      </c>
    </row>
    <row r="91" spans="1:5" x14ac:dyDescent="0.2">
      <c r="A91" t="str" cm="1">
        <f t="array" ref="A91">CHAR(91)</f>
        <v>[</v>
      </c>
      <c r="B91">
        <f t="shared" si="3"/>
        <v>-3</v>
      </c>
      <c r="C91">
        <f t="shared" si="4"/>
        <v>0</v>
      </c>
      <c r="D91" t="str">
        <f t="shared" si="5"/>
        <v>[</v>
      </c>
      <c r="E91" t="s">
        <v>128</v>
      </c>
    </row>
    <row r="92" spans="1:5" x14ac:dyDescent="0.2">
      <c r="A92" t="str" cm="1">
        <f t="array" ref="A92">CHAR(92)</f>
        <v>\</v>
      </c>
      <c r="B92">
        <f t="shared" si="3"/>
        <v>-3</v>
      </c>
      <c r="C92">
        <f t="shared" si="4"/>
        <v>0</v>
      </c>
      <c r="D92" t="str">
        <f t="shared" si="5"/>
        <v>\</v>
      </c>
      <c r="E92" t="s">
        <v>129</v>
      </c>
    </row>
    <row r="93" spans="1:5" x14ac:dyDescent="0.2">
      <c r="A93" t="str" cm="1">
        <f t="array" ref="A93">CHAR(93)</f>
        <v>]</v>
      </c>
      <c r="B93">
        <f t="shared" si="3"/>
        <v>-3</v>
      </c>
      <c r="C93">
        <f t="shared" si="4"/>
        <v>0</v>
      </c>
      <c r="D93" t="str">
        <f t="shared" si="5"/>
        <v>]</v>
      </c>
      <c r="E93" t="s">
        <v>130</v>
      </c>
    </row>
    <row r="94" spans="1:5" x14ac:dyDescent="0.2">
      <c r="A94" t="str" cm="1">
        <f t="array" ref="A94">CHAR(94)</f>
        <v>^</v>
      </c>
      <c r="B94">
        <f t="shared" si="3"/>
        <v>-3</v>
      </c>
      <c r="C94">
        <f t="shared" si="4"/>
        <v>0</v>
      </c>
      <c r="D94" t="str">
        <f t="shared" si="5"/>
        <v>^</v>
      </c>
      <c r="E94" t="s">
        <v>131</v>
      </c>
    </row>
    <row r="95" spans="1:5" x14ac:dyDescent="0.2">
      <c r="A95" t="str" cm="1">
        <f t="array" ref="A95">CHAR(95)</f>
        <v>_</v>
      </c>
      <c r="B95">
        <f t="shared" si="3"/>
        <v>-3</v>
      </c>
      <c r="C95">
        <f t="shared" si="4"/>
        <v>0</v>
      </c>
      <c r="D95" t="str">
        <f t="shared" si="5"/>
        <v>_</v>
      </c>
      <c r="E95" t="s">
        <v>132</v>
      </c>
    </row>
    <row r="96" spans="1:5" x14ac:dyDescent="0.2">
      <c r="A96" t="str" cm="1">
        <f t="array" ref="A96">CHAR(96)</f>
        <v>`</v>
      </c>
      <c r="B96">
        <f t="shared" si="3"/>
        <v>-3</v>
      </c>
      <c r="C96">
        <f t="shared" si="4"/>
        <v>0</v>
      </c>
      <c r="D96" t="str">
        <f t="shared" si="5"/>
        <v>`</v>
      </c>
      <c r="E96" t="s">
        <v>133</v>
      </c>
    </row>
    <row r="97" spans="1:5" x14ac:dyDescent="0.2">
      <c r="A97" t="str" cm="1">
        <f t="array" ref="A97">CHAR(97)</f>
        <v>a</v>
      </c>
      <c r="B97">
        <f t="shared" si="3"/>
        <v>-3</v>
      </c>
      <c r="C97">
        <f t="shared" si="4"/>
        <v>0</v>
      </c>
      <c r="D97" t="str">
        <f t="shared" si="5"/>
        <v>a</v>
      </c>
      <c r="E97" t="s">
        <v>134</v>
      </c>
    </row>
    <row r="98" spans="1:5" x14ac:dyDescent="0.2">
      <c r="A98" t="str" cm="1">
        <f t="array" ref="A98">CHAR(98)</f>
        <v>b</v>
      </c>
      <c r="B98">
        <f t="shared" si="3"/>
        <v>-3</v>
      </c>
      <c r="C98">
        <f t="shared" si="4"/>
        <v>0</v>
      </c>
      <c r="D98" t="str">
        <f t="shared" si="5"/>
        <v>b</v>
      </c>
      <c r="E98" t="s">
        <v>135</v>
      </c>
    </row>
    <row r="99" spans="1:5" x14ac:dyDescent="0.2">
      <c r="A99" t="str" cm="1">
        <f t="array" ref="A99">CHAR(99)</f>
        <v>c</v>
      </c>
      <c r="B99">
        <f t="shared" si="3"/>
        <v>-3</v>
      </c>
      <c r="C99">
        <f t="shared" si="4"/>
        <v>0</v>
      </c>
      <c r="D99" t="str">
        <f t="shared" si="5"/>
        <v>c</v>
      </c>
      <c r="E99" t="s">
        <v>136</v>
      </c>
    </row>
    <row r="100" spans="1:5" x14ac:dyDescent="0.2">
      <c r="A100" t="str" cm="1">
        <f t="array" ref="A100">CHAR(100)</f>
        <v>d</v>
      </c>
      <c r="B100">
        <f t="shared" si="3"/>
        <v>-3</v>
      </c>
      <c r="C100">
        <f t="shared" si="4"/>
        <v>0</v>
      </c>
      <c r="D100" t="str">
        <f t="shared" si="5"/>
        <v>d</v>
      </c>
      <c r="E100" t="s">
        <v>137</v>
      </c>
    </row>
    <row r="101" spans="1:5" x14ac:dyDescent="0.2">
      <c r="A101" t="str" cm="1">
        <f t="array" ref="A101">CHAR(101)</f>
        <v>e</v>
      </c>
      <c r="B101">
        <f t="shared" si="3"/>
        <v>-3</v>
      </c>
      <c r="C101">
        <f t="shared" si="4"/>
        <v>0</v>
      </c>
      <c r="D101" t="str">
        <f t="shared" si="5"/>
        <v>e</v>
      </c>
      <c r="E101" t="s">
        <v>138</v>
      </c>
    </row>
    <row r="102" spans="1:5" x14ac:dyDescent="0.2">
      <c r="A102" t="str" cm="1">
        <f t="array" ref="A102">CHAR(102)</f>
        <v>f</v>
      </c>
      <c r="B102">
        <f t="shared" si="3"/>
        <v>-3</v>
      </c>
      <c r="C102">
        <f t="shared" si="4"/>
        <v>0</v>
      </c>
      <c r="D102" t="str">
        <f t="shared" si="5"/>
        <v>f</v>
      </c>
      <c r="E102" t="s">
        <v>139</v>
      </c>
    </row>
    <row r="103" spans="1:5" x14ac:dyDescent="0.2">
      <c r="A103" t="str" cm="1">
        <f t="array" ref="A103">CHAR(103)</f>
        <v>g</v>
      </c>
      <c r="B103">
        <f t="shared" si="3"/>
        <v>-3</v>
      </c>
      <c r="C103">
        <f t="shared" si="4"/>
        <v>0</v>
      </c>
      <c r="D103" t="str">
        <f t="shared" si="5"/>
        <v>g</v>
      </c>
      <c r="E103" t="s">
        <v>140</v>
      </c>
    </row>
    <row r="104" spans="1:5" x14ac:dyDescent="0.2">
      <c r="A104" t="str" cm="1">
        <f t="array" ref="A104">CHAR(104)</f>
        <v>h</v>
      </c>
      <c r="B104">
        <f t="shared" si="3"/>
        <v>-3</v>
      </c>
      <c r="C104">
        <f t="shared" si="4"/>
        <v>0</v>
      </c>
      <c r="D104" t="str">
        <f t="shared" si="5"/>
        <v>h</v>
      </c>
      <c r="E104" t="s">
        <v>141</v>
      </c>
    </row>
    <row r="105" spans="1:5" x14ac:dyDescent="0.2">
      <c r="A105" t="str" cm="1">
        <f t="array" ref="A105">CHAR(105)</f>
        <v>i</v>
      </c>
      <c r="B105">
        <f t="shared" si="3"/>
        <v>-3</v>
      </c>
      <c r="C105">
        <f t="shared" si="4"/>
        <v>0</v>
      </c>
      <c r="D105" t="str">
        <f t="shared" si="5"/>
        <v>i</v>
      </c>
      <c r="E105" t="s">
        <v>142</v>
      </c>
    </row>
    <row r="106" spans="1:5" x14ac:dyDescent="0.2">
      <c r="A106" t="str" cm="1">
        <f t="array" ref="A106">CHAR(106)</f>
        <v>j</v>
      </c>
      <c r="B106">
        <f t="shared" si="3"/>
        <v>-3</v>
      </c>
      <c r="C106">
        <f t="shared" si="4"/>
        <v>0</v>
      </c>
      <c r="D106" t="str">
        <f t="shared" si="5"/>
        <v>j</v>
      </c>
      <c r="E106" t="s">
        <v>143</v>
      </c>
    </row>
    <row r="107" spans="1:5" x14ac:dyDescent="0.2">
      <c r="A107" t="str" cm="1">
        <f t="array" ref="A107">CHAR(107)</f>
        <v>k</v>
      </c>
      <c r="B107">
        <f t="shared" si="3"/>
        <v>-3</v>
      </c>
      <c r="C107">
        <f t="shared" si="4"/>
        <v>0</v>
      </c>
      <c r="D107" t="str">
        <f t="shared" si="5"/>
        <v>k</v>
      </c>
      <c r="E107" t="s">
        <v>144</v>
      </c>
    </row>
    <row r="108" spans="1:5" x14ac:dyDescent="0.2">
      <c r="A108" t="str" cm="1">
        <f t="array" ref="A108">CHAR(108)</f>
        <v>l</v>
      </c>
      <c r="B108">
        <f t="shared" si="3"/>
        <v>-3</v>
      </c>
      <c r="C108">
        <f t="shared" si="4"/>
        <v>0</v>
      </c>
      <c r="D108" t="str">
        <f t="shared" si="5"/>
        <v>l</v>
      </c>
      <c r="E108" t="s">
        <v>145</v>
      </c>
    </row>
    <row r="109" spans="1:5" x14ac:dyDescent="0.2">
      <c r="A109" t="str" cm="1">
        <f t="array" ref="A109">CHAR(109)</f>
        <v>m</v>
      </c>
      <c r="B109">
        <f t="shared" si="3"/>
        <v>-3</v>
      </c>
      <c r="C109">
        <f t="shared" si="4"/>
        <v>0</v>
      </c>
      <c r="D109" t="str">
        <f t="shared" si="5"/>
        <v>m</v>
      </c>
      <c r="E109" t="s">
        <v>146</v>
      </c>
    </row>
    <row r="110" spans="1:5" x14ac:dyDescent="0.2">
      <c r="A110" t="str" cm="1">
        <f t="array" ref="A110">CHAR(110)</f>
        <v>n</v>
      </c>
      <c r="B110">
        <f t="shared" si="3"/>
        <v>-3</v>
      </c>
      <c r="C110">
        <f t="shared" si="4"/>
        <v>0</v>
      </c>
      <c r="D110" t="str">
        <f t="shared" si="5"/>
        <v>n</v>
      </c>
      <c r="E110" t="s">
        <v>147</v>
      </c>
    </row>
    <row r="111" spans="1:5" x14ac:dyDescent="0.2">
      <c r="A111" t="str" cm="1">
        <f t="array" ref="A111">CHAR(111)</f>
        <v>o</v>
      </c>
      <c r="B111">
        <f t="shared" si="3"/>
        <v>-3</v>
      </c>
      <c r="C111">
        <f t="shared" si="4"/>
        <v>0</v>
      </c>
      <c r="D111" t="str">
        <f t="shared" si="5"/>
        <v>o</v>
      </c>
      <c r="E111" t="s">
        <v>148</v>
      </c>
    </row>
    <row r="112" spans="1:5" x14ac:dyDescent="0.2">
      <c r="A112" t="str" cm="1">
        <f t="array" ref="A112">CHAR(112)</f>
        <v>p</v>
      </c>
      <c r="B112">
        <f t="shared" si="3"/>
        <v>-3</v>
      </c>
      <c r="C112">
        <f t="shared" si="4"/>
        <v>0</v>
      </c>
      <c r="D112" t="str">
        <f t="shared" si="5"/>
        <v>p</v>
      </c>
      <c r="E112" t="s">
        <v>149</v>
      </c>
    </row>
    <row r="113" spans="1:5" x14ac:dyDescent="0.2">
      <c r="A113" t="str" cm="1">
        <f t="array" ref="A113">CHAR(113)</f>
        <v>q</v>
      </c>
      <c r="B113">
        <f t="shared" si="3"/>
        <v>-3</v>
      </c>
      <c r="C113">
        <f t="shared" si="4"/>
        <v>0</v>
      </c>
      <c r="D113" t="str">
        <f t="shared" si="5"/>
        <v>q</v>
      </c>
      <c r="E113" t="s">
        <v>150</v>
      </c>
    </row>
    <row r="114" spans="1:5" x14ac:dyDescent="0.2">
      <c r="A114" t="str" cm="1">
        <f t="array" ref="A114">CHAR(114)</f>
        <v>r</v>
      </c>
      <c r="B114">
        <f t="shared" si="3"/>
        <v>-3</v>
      </c>
      <c r="C114">
        <f t="shared" si="4"/>
        <v>0</v>
      </c>
      <c r="D114" t="str">
        <f t="shared" si="5"/>
        <v>r</v>
      </c>
      <c r="E114" t="s">
        <v>151</v>
      </c>
    </row>
    <row r="115" spans="1:5" x14ac:dyDescent="0.2">
      <c r="A115" t="str" cm="1">
        <f t="array" ref="A115">CHAR(115)</f>
        <v>s</v>
      </c>
      <c r="B115">
        <f t="shared" si="3"/>
        <v>-3</v>
      </c>
      <c r="C115">
        <f t="shared" si="4"/>
        <v>0</v>
      </c>
      <c r="D115" t="str">
        <f t="shared" si="5"/>
        <v>s</v>
      </c>
      <c r="E115" t="s">
        <v>152</v>
      </c>
    </row>
    <row r="116" spans="1:5" x14ac:dyDescent="0.2">
      <c r="A116" t="str" cm="1">
        <f t="array" ref="A116">CHAR(116)</f>
        <v>t</v>
      </c>
      <c r="B116">
        <f t="shared" si="3"/>
        <v>-3</v>
      </c>
      <c r="C116">
        <f t="shared" si="4"/>
        <v>0</v>
      </c>
      <c r="D116" t="str">
        <f t="shared" si="5"/>
        <v>t</v>
      </c>
      <c r="E116" t="s">
        <v>153</v>
      </c>
    </row>
    <row r="117" spans="1:5" x14ac:dyDescent="0.2">
      <c r="A117" t="str" cm="1">
        <f t="array" ref="A117">CHAR(117)</f>
        <v>u</v>
      </c>
      <c r="B117">
        <f t="shared" si="3"/>
        <v>-3</v>
      </c>
      <c r="C117">
        <f t="shared" si="4"/>
        <v>0</v>
      </c>
      <c r="D117" t="str">
        <f t="shared" si="5"/>
        <v>u</v>
      </c>
      <c r="E117" t="s">
        <v>154</v>
      </c>
    </row>
    <row r="118" spans="1:5" x14ac:dyDescent="0.2">
      <c r="A118" t="str" cm="1">
        <f t="array" ref="A118">CHAR(118)</f>
        <v>v</v>
      </c>
      <c r="B118">
        <f t="shared" si="3"/>
        <v>-3</v>
      </c>
      <c r="C118">
        <f t="shared" si="4"/>
        <v>0</v>
      </c>
      <c r="D118" t="str">
        <f t="shared" si="5"/>
        <v>v</v>
      </c>
      <c r="E118" t="s">
        <v>155</v>
      </c>
    </row>
    <row r="119" spans="1:5" x14ac:dyDescent="0.2">
      <c r="A119" t="str" cm="1">
        <f t="array" ref="A119">CHAR(119)</f>
        <v>w</v>
      </c>
      <c r="B119">
        <f t="shared" si="3"/>
        <v>-3</v>
      </c>
      <c r="C119">
        <f t="shared" si="4"/>
        <v>0</v>
      </c>
      <c r="D119" t="str">
        <f t="shared" si="5"/>
        <v>w</v>
      </c>
      <c r="E119" t="s">
        <v>156</v>
      </c>
    </row>
    <row r="120" spans="1:5" x14ac:dyDescent="0.2">
      <c r="A120" t="str" cm="1">
        <f t="array" ref="A120">CHAR(120)</f>
        <v>x</v>
      </c>
      <c r="B120">
        <f t="shared" si="3"/>
        <v>-3</v>
      </c>
      <c r="C120">
        <f t="shared" si="4"/>
        <v>0</v>
      </c>
      <c r="D120" t="str">
        <f t="shared" si="5"/>
        <v>x</v>
      </c>
      <c r="E120" t="s">
        <v>157</v>
      </c>
    </row>
    <row r="121" spans="1:5" x14ac:dyDescent="0.2">
      <c r="A121" t="str" cm="1">
        <f t="array" ref="A121">CHAR(121)</f>
        <v>y</v>
      </c>
      <c r="B121">
        <f t="shared" si="3"/>
        <v>-3</v>
      </c>
      <c r="C121">
        <f t="shared" si="4"/>
        <v>0</v>
      </c>
      <c r="D121" t="str">
        <f t="shared" si="5"/>
        <v>y</v>
      </c>
      <c r="E121" t="s">
        <v>158</v>
      </c>
    </row>
    <row r="122" spans="1:5" x14ac:dyDescent="0.2">
      <c r="A122" t="str" cm="1">
        <f t="array" ref="A122">CHAR(122)</f>
        <v>z</v>
      </c>
      <c r="B122">
        <f t="shared" si="3"/>
        <v>-3</v>
      </c>
      <c r="C122">
        <f t="shared" si="4"/>
        <v>0</v>
      </c>
      <c r="D122" t="str">
        <f t="shared" si="5"/>
        <v>z</v>
      </c>
      <c r="E122" t="s">
        <v>159</v>
      </c>
    </row>
    <row r="123" spans="1:5" x14ac:dyDescent="0.2">
      <c r="A123" t="str" cm="1">
        <f t="array" ref="A123">CHAR(123)</f>
        <v>{</v>
      </c>
      <c r="B123">
        <f t="shared" si="3"/>
        <v>-3</v>
      </c>
      <c r="C123">
        <f t="shared" si="4"/>
        <v>0</v>
      </c>
      <c r="D123" t="str">
        <f t="shared" si="5"/>
        <v>{</v>
      </c>
      <c r="E123" t="s">
        <v>160</v>
      </c>
    </row>
    <row r="124" spans="1:5" x14ac:dyDescent="0.2">
      <c r="A124" t="str" cm="1">
        <f t="array" ref="A124">CHAR(124)</f>
        <v>|</v>
      </c>
      <c r="B124">
        <f t="shared" si="3"/>
        <v>-3</v>
      </c>
      <c r="C124">
        <f t="shared" si="4"/>
        <v>0</v>
      </c>
      <c r="D124" t="str">
        <f t="shared" si="5"/>
        <v>|</v>
      </c>
      <c r="E124" t="s">
        <v>161</v>
      </c>
    </row>
    <row r="125" spans="1:5" x14ac:dyDescent="0.2">
      <c r="A125" t="str" cm="1">
        <f t="array" ref="A125">CHAR(125)</f>
        <v>}</v>
      </c>
      <c r="B125">
        <f t="shared" si="3"/>
        <v>-3</v>
      </c>
      <c r="C125">
        <f t="shared" si="4"/>
        <v>0</v>
      </c>
      <c r="D125" t="str">
        <f t="shared" si="5"/>
        <v>}</v>
      </c>
      <c r="E125" t="s">
        <v>162</v>
      </c>
    </row>
    <row r="126" spans="1:5" x14ac:dyDescent="0.2">
      <c r="A126" t="str" cm="1">
        <f t="array" ref="A126">CHAR(126)</f>
        <v>~</v>
      </c>
      <c r="B126">
        <f t="shared" si="3"/>
        <v>-3</v>
      </c>
      <c r="C126">
        <f t="shared" si="4"/>
        <v>0</v>
      </c>
      <c r="D126" t="str">
        <f t="shared" si="5"/>
        <v>~</v>
      </c>
      <c r="E126" t="s">
        <v>163</v>
      </c>
    </row>
    <row r="127" spans="1:5" x14ac:dyDescent="0.2">
      <c r="A127" t="str" cm="1">
        <f t="array" ref="A127">CHAR(127)</f>
        <v></v>
      </c>
      <c r="B127">
        <f t="shared" si="3"/>
        <v>-3</v>
      </c>
      <c r="C127">
        <f t="shared" si="4"/>
        <v>0</v>
      </c>
      <c r="D127" t="str">
        <f t="shared" si="5"/>
        <v></v>
      </c>
      <c r="E127" t="s">
        <v>164</v>
      </c>
    </row>
    <row r="128" spans="1:5" x14ac:dyDescent="0.2">
      <c r="A128" cm="1">
        <f t="array" ref="A128">CODE(CHAR(1))</f>
        <v>1</v>
      </c>
      <c r="B128">
        <f t="shared" si="3"/>
        <v>0</v>
      </c>
      <c r="C128">
        <f t="shared" si="4"/>
        <v>1</v>
      </c>
      <c r="D128" t="str">
        <f t="shared" si="5"/>
        <v/>
      </c>
      <c r="E128" t="s">
        <v>165</v>
      </c>
    </row>
    <row r="129" spans="1:5" x14ac:dyDescent="0.2">
      <c r="A129" cm="1">
        <f t="array" ref="A129">CODE(CHAR(2))</f>
        <v>2</v>
      </c>
      <c r="B129">
        <f t="shared" ref="B129:B192" si="6">IF(ISERROR(A129),ERROR.TYPE(A129),IF(ISNUMBER(A129),0,IF(ISLOGICAL(A129),IF(A129,-1,-2),IF(ISTEXT(A129),-3,-4))))</f>
        <v>0</v>
      </c>
      <c r="C129">
        <f t="shared" ref="C129:C192" si="7">IF(ISNUMBER(A129),A129,0)</f>
        <v>2</v>
      </c>
      <c r="D129" t="str">
        <f t="shared" ref="D129:D192" si="8">IF(ISTEXT(A129),A129,"")</f>
        <v/>
      </c>
      <c r="E129" t="s">
        <v>166</v>
      </c>
    </row>
    <row r="130" spans="1:5" x14ac:dyDescent="0.2">
      <c r="A130" cm="1">
        <f t="array" ref="A130">CODE(CHAR(3))</f>
        <v>3</v>
      </c>
      <c r="B130">
        <f t="shared" si="6"/>
        <v>0</v>
      </c>
      <c r="C130">
        <f t="shared" si="7"/>
        <v>3</v>
      </c>
      <c r="D130" t="str">
        <f t="shared" si="8"/>
        <v/>
      </c>
      <c r="E130" t="s">
        <v>167</v>
      </c>
    </row>
    <row r="131" spans="1:5" x14ac:dyDescent="0.2">
      <c r="A131" cm="1">
        <f t="array" ref="A131">CODE(CHAR(4))</f>
        <v>4</v>
      </c>
      <c r="B131">
        <f t="shared" si="6"/>
        <v>0</v>
      </c>
      <c r="C131">
        <f t="shared" si="7"/>
        <v>4</v>
      </c>
      <c r="D131" t="str">
        <f t="shared" si="8"/>
        <v/>
      </c>
      <c r="E131" t="s">
        <v>168</v>
      </c>
    </row>
    <row r="132" spans="1:5" x14ac:dyDescent="0.2">
      <c r="A132" cm="1">
        <f t="array" ref="A132">CODE(CHAR(5))</f>
        <v>5</v>
      </c>
      <c r="B132">
        <f t="shared" si="6"/>
        <v>0</v>
      </c>
      <c r="C132">
        <f t="shared" si="7"/>
        <v>5</v>
      </c>
      <c r="D132" t="str">
        <f t="shared" si="8"/>
        <v/>
      </c>
      <c r="E132" t="s">
        <v>169</v>
      </c>
    </row>
    <row r="133" spans="1:5" x14ac:dyDescent="0.2">
      <c r="A133" cm="1">
        <f t="array" ref="A133">CODE(CHAR(6))</f>
        <v>6</v>
      </c>
      <c r="B133">
        <f t="shared" si="6"/>
        <v>0</v>
      </c>
      <c r="C133">
        <f t="shared" si="7"/>
        <v>6</v>
      </c>
      <c r="D133" t="str">
        <f t="shared" si="8"/>
        <v/>
      </c>
      <c r="E133" t="s">
        <v>170</v>
      </c>
    </row>
    <row r="134" spans="1:5" x14ac:dyDescent="0.2">
      <c r="A134" cm="1">
        <f t="array" ref="A134">CODE(CHAR(7))</f>
        <v>7</v>
      </c>
      <c r="B134">
        <f t="shared" si="6"/>
        <v>0</v>
      </c>
      <c r="C134">
        <f t="shared" si="7"/>
        <v>7</v>
      </c>
      <c r="D134" t="str">
        <f t="shared" si="8"/>
        <v/>
      </c>
      <c r="E134" t="s">
        <v>171</v>
      </c>
    </row>
    <row r="135" spans="1:5" x14ac:dyDescent="0.2">
      <c r="A135" cm="1">
        <f t="array" ref="A135">CODE(CHAR(8))</f>
        <v>8</v>
      </c>
      <c r="B135">
        <f t="shared" si="6"/>
        <v>0</v>
      </c>
      <c r="C135">
        <f t="shared" si="7"/>
        <v>8</v>
      </c>
      <c r="D135" t="str">
        <f t="shared" si="8"/>
        <v/>
      </c>
      <c r="E135" t="s">
        <v>172</v>
      </c>
    </row>
    <row r="136" spans="1:5" x14ac:dyDescent="0.2">
      <c r="A136" cm="1">
        <f t="array" ref="A136">CODE(CHAR(9))</f>
        <v>9</v>
      </c>
      <c r="B136">
        <f t="shared" si="6"/>
        <v>0</v>
      </c>
      <c r="C136">
        <f t="shared" si="7"/>
        <v>9</v>
      </c>
      <c r="D136" t="str">
        <f t="shared" si="8"/>
        <v/>
      </c>
      <c r="E136" t="s">
        <v>173</v>
      </c>
    </row>
    <row r="137" spans="1:5" x14ac:dyDescent="0.2">
      <c r="A137" cm="1">
        <f t="array" ref="A137">CODE(CHAR(10))</f>
        <v>10</v>
      </c>
      <c r="B137">
        <f t="shared" si="6"/>
        <v>0</v>
      </c>
      <c r="C137">
        <f t="shared" si="7"/>
        <v>10</v>
      </c>
      <c r="D137" t="str">
        <f t="shared" si="8"/>
        <v/>
      </c>
      <c r="E137" t="s">
        <v>174</v>
      </c>
    </row>
    <row r="138" spans="1:5" x14ac:dyDescent="0.2">
      <c r="A138" cm="1">
        <f t="array" ref="A138">CODE(CHAR(11))</f>
        <v>11</v>
      </c>
      <c r="B138">
        <f t="shared" si="6"/>
        <v>0</v>
      </c>
      <c r="C138">
        <f t="shared" si="7"/>
        <v>11</v>
      </c>
      <c r="D138" t="str">
        <f t="shared" si="8"/>
        <v/>
      </c>
      <c r="E138" t="s">
        <v>175</v>
      </c>
    </row>
    <row r="139" spans="1:5" x14ac:dyDescent="0.2">
      <c r="A139" cm="1">
        <f t="array" ref="A139">CODE(CHAR(12))</f>
        <v>12</v>
      </c>
      <c r="B139">
        <f t="shared" si="6"/>
        <v>0</v>
      </c>
      <c r="C139">
        <f t="shared" si="7"/>
        <v>12</v>
      </c>
      <c r="D139" t="str">
        <f t="shared" si="8"/>
        <v/>
      </c>
      <c r="E139" t="s">
        <v>176</v>
      </c>
    </row>
    <row r="140" spans="1:5" x14ac:dyDescent="0.2">
      <c r="A140" cm="1">
        <f t="array" ref="A140">CODE(CHAR(13))</f>
        <v>13</v>
      </c>
      <c r="B140">
        <f t="shared" si="6"/>
        <v>0</v>
      </c>
      <c r="C140">
        <f t="shared" si="7"/>
        <v>13</v>
      </c>
      <c r="D140" t="str">
        <f t="shared" si="8"/>
        <v/>
      </c>
      <c r="E140" t="s">
        <v>177</v>
      </c>
    </row>
    <row r="141" spans="1:5" x14ac:dyDescent="0.2">
      <c r="A141" cm="1">
        <f t="array" ref="A141">CODE(CHAR(14))</f>
        <v>14</v>
      </c>
      <c r="B141">
        <f t="shared" si="6"/>
        <v>0</v>
      </c>
      <c r="C141">
        <f t="shared" si="7"/>
        <v>14</v>
      </c>
      <c r="D141" t="str">
        <f t="shared" si="8"/>
        <v/>
      </c>
      <c r="E141" t="s">
        <v>178</v>
      </c>
    </row>
    <row r="142" spans="1:5" x14ac:dyDescent="0.2">
      <c r="A142" cm="1">
        <f t="array" ref="A142">CODE(CHAR(15))</f>
        <v>15</v>
      </c>
      <c r="B142">
        <f t="shared" si="6"/>
        <v>0</v>
      </c>
      <c r="C142">
        <f t="shared" si="7"/>
        <v>15</v>
      </c>
      <c r="D142" t="str">
        <f t="shared" si="8"/>
        <v/>
      </c>
      <c r="E142" t="s">
        <v>179</v>
      </c>
    </row>
    <row r="143" spans="1:5" x14ac:dyDescent="0.2">
      <c r="A143" cm="1">
        <f t="array" ref="A143">CODE(CHAR(16))</f>
        <v>16</v>
      </c>
      <c r="B143">
        <f t="shared" si="6"/>
        <v>0</v>
      </c>
      <c r="C143">
        <f t="shared" si="7"/>
        <v>16</v>
      </c>
      <c r="D143" t="str">
        <f t="shared" si="8"/>
        <v/>
      </c>
      <c r="E143" t="s">
        <v>180</v>
      </c>
    </row>
    <row r="144" spans="1:5" x14ac:dyDescent="0.2">
      <c r="A144" cm="1">
        <f t="array" ref="A144">CODE(CHAR(17))</f>
        <v>17</v>
      </c>
      <c r="B144">
        <f t="shared" si="6"/>
        <v>0</v>
      </c>
      <c r="C144">
        <f t="shared" si="7"/>
        <v>17</v>
      </c>
      <c r="D144" t="str">
        <f t="shared" si="8"/>
        <v/>
      </c>
      <c r="E144" t="s">
        <v>181</v>
      </c>
    </row>
    <row r="145" spans="1:5" x14ac:dyDescent="0.2">
      <c r="A145" cm="1">
        <f t="array" ref="A145">CODE(CHAR(18))</f>
        <v>18</v>
      </c>
      <c r="B145">
        <f t="shared" si="6"/>
        <v>0</v>
      </c>
      <c r="C145">
        <f t="shared" si="7"/>
        <v>18</v>
      </c>
      <c r="D145" t="str">
        <f t="shared" si="8"/>
        <v/>
      </c>
      <c r="E145" t="s">
        <v>182</v>
      </c>
    </row>
    <row r="146" spans="1:5" x14ac:dyDescent="0.2">
      <c r="A146" cm="1">
        <f t="array" ref="A146">CODE(CHAR(19))</f>
        <v>19</v>
      </c>
      <c r="B146">
        <f t="shared" si="6"/>
        <v>0</v>
      </c>
      <c r="C146">
        <f t="shared" si="7"/>
        <v>19</v>
      </c>
      <c r="D146" t="str">
        <f t="shared" si="8"/>
        <v/>
      </c>
      <c r="E146" t="s">
        <v>183</v>
      </c>
    </row>
    <row r="147" spans="1:5" x14ac:dyDescent="0.2">
      <c r="A147" cm="1">
        <f t="array" ref="A147">CODE(CHAR(20))</f>
        <v>20</v>
      </c>
      <c r="B147">
        <f t="shared" si="6"/>
        <v>0</v>
      </c>
      <c r="C147">
        <f t="shared" si="7"/>
        <v>20</v>
      </c>
      <c r="D147" t="str">
        <f t="shared" si="8"/>
        <v/>
      </c>
      <c r="E147" t="s">
        <v>184</v>
      </c>
    </row>
    <row r="148" spans="1:5" x14ac:dyDescent="0.2">
      <c r="A148" cm="1">
        <f t="array" ref="A148">CODE(CHAR(21))</f>
        <v>21</v>
      </c>
      <c r="B148">
        <f t="shared" si="6"/>
        <v>0</v>
      </c>
      <c r="C148">
        <f t="shared" si="7"/>
        <v>21</v>
      </c>
      <c r="D148" t="str">
        <f t="shared" si="8"/>
        <v/>
      </c>
      <c r="E148" t="s">
        <v>185</v>
      </c>
    </row>
    <row r="149" spans="1:5" x14ac:dyDescent="0.2">
      <c r="A149" cm="1">
        <f t="array" ref="A149">CODE(CHAR(22))</f>
        <v>22</v>
      </c>
      <c r="B149">
        <f t="shared" si="6"/>
        <v>0</v>
      </c>
      <c r="C149">
        <f t="shared" si="7"/>
        <v>22</v>
      </c>
      <c r="D149" t="str">
        <f t="shared" si="8"/>
        <v/>
      </c>
      <c r="E149" t="s">
        <v>186</v>
      </c>
    </row>
    <row r="150" spans="1:5" x14ac:dyDescent="0.2">
      <c r="A150" cm="1">
        <f t="array" ref="A150">CODE(CHAR(23))</f>
        <v>23</v>
      </c>
      <c r="B150">
        <f t="shared" si="6"/>
        <v>0</v>
      </c>
      <c r="C150">
        <f t="shared" si="7"/>
        <v>23</v>
      </c>
      <c r="D150" t="str">
        <f t="shared" si="8"/>
        <v/>
      </c>
      <c r="E150" t="s">
        <v>187</v>
      </c>
    </row>
    <row r="151" spans="1:5" x14ac:dyDescent="0.2">
      <c r="A151" cm="1">
        <f t="array" ref="A151">CODE(CHAR(24))</f>
        <v>24</v>
      </c>
      <c r="B151">
        <f t="shared" si="6"/>
        <v>0</v>
      </c>
      <c r="C151">
        <f t="shared" si="7"/>
        <v>24</v>
      </c>
      <c r="D151" t="str">
        <f t="shared" si="8"/>
        <v/>
      </c>
      <c r="E151" t="s">
        <v>188</v>
      </c>
    </row>
    <row r="152" spans="1:5" x14ac:dyDescent="0.2">
      <c r="A152" cm="1">
        <f t="array" ref="A152">CODE(CHAR(25))</f>
        <v>25</v>
      </c>
      <c r="B152">
        <f t="shared" si="6"/>
        <v>0</v>
      </c>
      <c r="C152">
        <f t="shared" si="7"/>
        <v>25</v>
      </c>
      <c r="D152" t="str">
        <f t="shared" si="8"/>
        <v/>
      </c>
      <c r="E152" t="s">
        <v>189</v>
      </c>
    </row>
    <row r="153" spans="1:5" x14ac:dyDescent="0.2">
      <c r="A153" cm="1">
        <f t="array" ref="A153">CODE(CHAR(26))</f>
        <v>26</v>
      </c>
      <c r="B153">
        <f t="shared" si="6"/>
        <v>0</v>
      </c>
      <c r="C153">
        <f t="shared" si="7"/>
        <v>26</v>
      </c>
      <c r="D153" t="str">
        <f t="shared" si="8"/>
        <v/>
      </c>
      <c r="E153" t="s">
        <v>190</v>
      </c>
    </row>
    <row r="154" spans="1:5" x14ac:dyDescent="0.2">
      <c r="A154" cm="1">
        <f t="array" ref="A154">CODE(CHAR(27))</f>
        <v>27</v>
      </c>
      <c r="B154">
        <f t="shared" si="6"/>
        <v>0</v>
      </c>
      <c r="C154">
        <f t="shared" si="7"/>
        <v>27</v>
      </c>
      <c r="D154" t="str">
        <f t="shared" si="8"/>
        <v/>
      </c>
      <c r="E154" t="s">
        <v>191</v>
      </c>
    </row>
    <row r="155" spans="1:5" x14ac:dyDescent="0.2">
      <c r="A155" cm="1">
        <f t="array" ref="A155">CODE(CHAR(28))</f>
        <v>28</v>
      </c>
      <c r="B155">
        <f t="shared" si="6"/>
        <v>0</v>
      </c>
      <c r="C155">
        <f t="shared" si="7"/>
        <v>28</v>
      </c>
      <c r="D155" t="str">
        <f t="shared" si="8"/>
        <v/>
      </c>
      <c r="E155" t="s">
        <v>192</v>
      </c>
    </row>
    <row r="156" spans="1:5" x14ac:dyDescent="0.2">
      <c r="A156" cm="1">
        <f t="array" ref="A156">CODE(CHAR(29))</f>
        <v>29</v>
      </c>
      <c r="B156">
        <f t="shared" si="6"/>
        <v>0</v>
      </c>
      <c r="C156">
        <f t="shared" si="7"/>
        <v>29</v>
      </c>
      <c r="D156" t="str">
        <f t="shared" si="8"/>
        <v/>
      </c>
      <c r="E156" t="s">
        <v>193</v>
      </c>
    </row>
    <row r="157" spans="1:5" x14ac:dyDescent="0.2">
      <c r="A157" cm="1">
        <f t="array" ref="A157">CODE(CHAR(30))</f>
        <v>30</v>
      </c>
      <c r="B157">
        <f t="shared" si="6"/>
        <v>0</v>
      </c>
      <c r="C157">
        <f t="shared" si="7"/>
        <v>30</v>
      </c>
      <c r="D157" t="str">
        <f t="shared" si="8"/>
        <v/>
      </c>
      <c r="E157" t="s">
        <v>194</v>
      </c>
    </row>
    <row r="158" spans="1:5" x14ac:dyDescent="0.2">
      <c r="A158" cm="1">
        <f t="array" ref="A158">CODE(CHAR(31))</f>
        <v>31</v>
      </c>
      <c r="B158">
        <f t="shared" si="6"/>
        <v>0</v>
      </c>
      <c r="C158">
        <f t="shared" si="7"/>
        <v>31</v>
      </c>
      <c r="D158" t="str">
        <f t="shared" si="8"/>
        <v/>
      </c>
      <c r="E158" t="s">
        <v>195</v>
      </c>
    </row>
    <row r="159" spans="1:5" x14ac:dyDescent="0.2">
      <c r="A159" cm="1">
        <f t="array" ref="A159">CODE(CHAR(32))</f>
        <v>32</v>
      </c>
      <c r="B159">
        <f t="shared" si="6"/>
        <v>0</v>
      </c>
      <c r="C159">
        <f t="shared" si="7"/>
        <v>32</v>
      </c>
      <c r="D159" t="str">
        <f t="shared" si="8"/>
        <v/>
      </c>
      <c r="E159" t="s">
        <v>196</v>
      </c>
    </row>
    <row r="160" spans="1:5" x14ac:dyDescent="0.2">
      <c r="A160" cm="1">
        <f t="array" ref="A160">CODE(CHAR(33))</f>
        <v>33</v>
      </c>
      <c r="B160">
        <f t="shared" si="6"/>
        <v>0</v>
      </c>
      <c r="C160">
        <f t="shared" si="7"/>
        <v>33</v>
      </c>
      <c r="D160" t="str">
        <f t="shared" si="8"/>
        <v/>
      </c>
      <c r="E160" t="s">
        <v>197</v>
      </c>
    </row>
    <row r="161" spans="1:5" x14ac:dyDescent="0.2">
      <c r="A161" cm="1">
        <f t="array" ref="A161">CODE(CHAR(34))</f>
        <v>34</v>
      </c>
      <c r="B161">
        <f t="shared" si="6"/>
        <v>0</v>
      </c>
      <c r="C161">
        <f t="shared" si="7"/>
        <v>34</v>
      </c>
      <c r="D161" t="str">
        <f t="shared" si="8"/>
        <v/>
      </c>
      <c r="E161" t="s">
        <v>198</v>
      </c>
    </row>
    <row r="162" spans="1:5" x14ac:dyDescent="0.2">
      <c r="A162" cm="1">
        <f t="array" ref="A162">CODE(CHAR(35))</f>
        <v>35</v>
      </c>
      <c r="B162">
        <f t="shared" si="6"/>
        <v>0</v>
      </c>
      <c r="C162">
        <f t="shared" si="7"/>
        <v>35</v>
      </c>
      <c r="D162" t="str">
        <f t="shared" si="8"/>
        <v/>
      </c>
      <c r="E162" t="s">
        <v>199</v>
      </c>
    </row>
    <row r="163" spans="1:5" x14ac:dyDescent="0.2">
      <c r="A163" cm="1">
        <f t="array" ref="A163">CODE(CHAR(36))</f>
        <v>36</v>
      </c>
      <c r="B163">
        <f t="shared" si="6"/>
        <v>0</v>
      </c>
      <c r="C163">
        <f t="shared" si="7"/>
        <v>36</v>
      </c>
      <c r="D163" t="str">
        <f t="shared" si="8"/>
        <v/>
      </c>
      <c r="E163" t="s">
        <v>200</v>
      </c>
    </row>
    <row r="164" spans="1:5" x14ac:dyDescent="0.2">
      <c r="A164" cm="1">
        <f t="array" ref="A164">CODE(CHAR(37))</f>
        <v>37</v>
      </c>
      <c r="B164">
        <f t="shared" si="6"/>
        <v>0</v>
      </c>
      <c r="C164">
        <f t="shared" si="7"/>
        <v>37</v>
      </c>
      <c r="D164" t="str">
        <f t="shared" si="8"/>
        <v/>
      </c>
      <c r="E164" t="s">
        <v>201</v>
      </c>
    </row>
    <row r="165" spans="1:5" x14ac:dyDescent="0.2">
      <c r="A165" cm="1">
        <f t="array" ref="A165">CODE(CHAR(38))</f>
        <v>38</v>
      </c>
      <c r="B165">
        <f t="shared" si="6"/>
        <v>0</v>
      </c>
      <c r="C165">
        <f t="shared" si="7"/>
        <v>38</v>
      </c>
      <c r="D165" t="str">
        <f t="shared" si="8"/>
        <v/>
      </c>
      <c r="E165" t="s">
        <v>202</v>
      </c>
    </row>
    <row r="166" spans="1:5" x14ac:dyDescent="0.2">
      <c r="A166" cm="1">
        <f t="array" ref="A166">CODE(CHAR(39))</f>
        <v>39</v>
      </c>
      <c r="B166">
        <f t="shared" si="6"/>
        <v>0</v>
      </c>
      <c r="C166">
        <f t="shared" si="7"/>
        <v>39</v>
      </c>
      <c r="D166" t="str">
        <f t="shared" si="8"/>
        <v/>
      </c>
      <c r="E166" t="s">
        <v>203</v>
      </c>
    </row>
    <row r="167" spans="1:5" x14ac:dyDescent="0.2">
      <c r="A167" cm="1">
        <f t="array" ref="A167">CODE(CHAR(40))</f>
        <v>40</v>
      </c>
      <c r="B167">
        <f t="shared" si="6"/>
        <v>0</v>
      </c>
      <c r="C167">
        <f t="shared" si="7"/>
        <v>40</v>
      </c>
      <c r="D167" t="str">
        <f t="shared" si="8"/>
        <v/>
      </c>
      <c r="E167" t="s">
        <v>204</v>
      </c>
    </row>
    <row r="168" spans="1:5" x14ac:dyDescent="0.2">
      <c r="A168" cm="1">
        <f t="array" ref="A168">CODE(CHAR(41))</f>
        <v>41</v>
      </c>
      <c r="B168">
        <f t="shared" si="6"/>
        <v>0</v>
      </c>
      <c r="C168">
        <f t="shared" si="7"/>
        <v>41</v>
      </c>
      <c r="D168" t="str">
        <f t="shared" si="8"/>
        <v/>
      </c>
      <c r="E168" t="s">
        <v>205</v>
      </c>
    </row>
    <row r="169" spans="1:5" x14ac:dyDescent="0.2">
      <c r="A169" cm="1">
        <f t="array" ref="A169">CODE(CHAR(42))</f>
        <v>42</v>
      </c>
      <c r="B169">
        <f t="shared" si="6"/>
        <v>0</v>
      </c>
      <c r="C169">
        <f t="shared" si="7"/>
        <v>42</v>
      </c>
      <c r="D169" t="str">
        <f t="shared" si="8"/>
        <v/>
      </c>
      <c r="E169" t="s">
        <v>206</v>
      </c>
    </row>
    <row r="170" spans="1:5" x14ac:dyDescent="0.2">
      <c r="A170" cm="1">
        <f t="array" ref="A170">CODE(CHAR(43))</f>
        <v>43</v>
      </c>
      <c r="B170">
        <f t="shared" si="6"/>
        <v>0</v>
      </c>
      <c r="C170">
        <f t="shared" si="7"/>
        <v>43</v>
      </c>
      <c r="D170" t="str">
        <f t="shared" si="8"/>
        <v/>
      </c>
      <c r="E170" t="s">
        <v>207</v>
      </c>
    </row>
    <row r="171" spans="1:5" x14ac:dyDescent="0.2">
      <c r="A171" cm="1">
        <f t="array" ref="A171">CODE(CHAR(44))</f>
        <v>44</v>
      </c>
      <c r="B171">
        <f t="shared" si="6"/>
        <v>0</v>
      </c>
      <c r="C171">
        <f t="shared" si="7"/>
        <v>44</v>
      </c>
      <c r="D171" t="str">
        <f t="shared" si="8"/>
        <v/>
      </c>
      <c r="E171" t="s">
        <v>208</v>
      </c>
    </row>
    <row r="172" spans="1:5" x14ac:dyDescent="0.2">
      <c r="A172" cm="1">
        <f t="array" ref="A172">CODE(CHAR(45))</f>
        <v>45</v>
      </c>
      <c r="B172">
        <f t="shared" si="6"/>
        <v>0</v>
      </c>
      <c r="C172">
        <f t="shared" si="7"/>
        <v>45</v>
      </c>
      <c r="D172" t="str">
        <f t="shared" si="8"/>
        <v/>
      </c>
      <c r="E172" t="s">
        <v>209</v>
      </c>
    </row>
    <row r="173" spans="1:5" x14ac:dyDescent="0.2">
      <c r="A173" cm="1">
        <f t="array" ref="A173">CODE(CHAR(46))</f>
        <v>46</v>
      </c>
      <c r="B173">
        <f t="shared" si="6"/>
        <v>0</v>
      </c>
      <c r="C173">
        <f t="shared" si="7"/>
        <v>46</v>
      </c>
      <c r="D173" t="str">
        <f t="shared" si="8"/>
        <v/>
      </c>
      <c r="E173" t="s">
        <v>210</v>
      </c>
    </row>
    <row r="174" spans="1:5" x14ac:dyDescent="0.2">
      <c r="A174" cm="1">
        <f t="array" ref="A174">CODE(CHAR(47))</f>
        <v>47</v>
      </c>
      <c r="B174">
        <f t="shared" si="6"/>
        <v>0</v>
      </c>
      <c r="C174">
        <f t="shared" si="7"/>
        <v>47</v>
      </c>
      <c r="D174" t="str">
        <f t="shared" si="8"/>
        <v/>
      </c>
      <c r="E174" t="s">
        <v>211</v>
      </c>
    </row>
    <row r="175" spans="1:5" x14ac:dyDescent="0.2">
      <c r="A175" cm="1">
        <f t="array" ref="A175">CODE(CHAR(48))</f>
        <v>48</v>
      </c>
      <c r="B175">
        <f t="shared" si="6"/>
        <v>0</v>
      </c>
      <c r="C175">
        <f t="shared" si="7"/>
        <v>48</v>
      </c>
      <c r="D175" t="str">
        <f t="shared" si="8"/>
        <v/>
      </c>
      <c r="E175" t="s">
        <v>212</v>
      </c>
    </row>
    <row r="176" spans="1:5" x14ac:dyDescent="0.2">
      <c r="A176" cm="1">
        <f t="array" ref="A176">CODE(CHAR(49))</f>
        <v>49</v>
      </c>
      <c r="B176">
        <f t="shared" si="6"/>
        <v>0</v>
      </c>
      <c r="C176">
        <f t="shared" si="7"/>
        <v>49</v>
      </c>
      <c r="D176" t="str">
        <f t="shared" si="8"/>
        <v/>
      </c>
      <c r="E176" t="s">
        <v>213</v>
      </c>
    </row>
    <row r="177" spans="1:5" x14ac:dyDescent="0.2">
      <c r="A177" cm="1">
        <f t="array" ref="A177">CODE(CHAR(50))</f>
        <v>50</v>
      </c>
      <c r="B177">
        <f t="shared" si="6"/>
        <v>0</v>
      </c>
      <c r="C177">
        <f t="shared" si="7"/>
        <v>50</v>
      </c>
      <c r="D177" t="str">
        <f t="shared" si="8"/>
        <v/>
      </c>
      <c r="E177" t="s">
        <v>214</v>
      </c>
    </row>
    <row r="178" spans="1:5" x14ac:dyDescent="0.2">
      <c r="A178" cm="1">
        <f t="array" ref="A178">CODE(CHAR(51))</f>
        <v>51</v>
      </c>
      <c r="B178">
        <f t="shared" si="6"/>
        <v>0</v>
      </c>
      <c r="C178">
        <f t="shared" si="7"/>
        <v>51</v>
      </c>
      <c r="D178" t="str">
        <f t="shared" si="8"/>
        <v/>
      </c>
      <c r="E178" t="s">
        <v>215</v>
      </c>
    </row>
    <row r="179" spans="1:5" x14ac:dyDescent="0.2">
      <c r="A179" cm="1">
        <f t="array" ref="A179">CODE(CHAR(52))</f>
        <v>52</v>
      </c>
      <c r="B179">
        <f t="shared" si="6"/>
        <v>0</v>
      </c>
      <c r="C179">
        <f t="shared" si="7"/>
        <v>52</v>
      </c>
      <c r="D179" t="str">
        <f t="shared" si="8"/>
        <v/>
      </c>
      <c r="E179" t="s">
        <v>216</v>
      </c>
    </row>
    <row r="180" spans="1:5" x14ac:dyDescent="0.2">
      <c r="A180" cm="1">
        <f t="array" ref="A180">CODE(CHAR(53))</f>
        <v>53</v>
      </c>
      <c r="B180">
        <f t="shared" si="6"/>
        <v>0</v>
      </c>
      <c r="C180">
        <f t="shared" si="7"/>
        <v>53</v>
      </c>
      <c r="D180" t="str">
        <f t="shared" si="8"/>
        <v/>
      </c>
      <c r="E180" t="s">
        <v>217</v>
      </c>
    </row>
    <row r="181" spans="1:5" x14ac:dyDescent="0.2">
      <c r="A181" cm="1">
        <f t="array" ref="A181">CODE(CHAR(54))</f>
        <v>54</v>
      </c>
      <c r="B181">
        <f t="shared" si="6"/>
        <v>0</v>
      </c>
      <c r="C181">
        <f t="shared" si="7"/>
        <v>54</v>
      </c>
      <c r="D181" t="str">
        <f t="shared" si="8"/>
        <v/>
      </c>
      <c r="E181" t="s">
        <v>218</v>
      </c>
    </row>
    <row r="182" spans="1:5" x14ac:dyDescent="0.2">
      <c r="A182" cm="1">
        <f t="array" ref="A182">CODE(CHAR(55))</f>
        <v>55</v>
      </c>
      <c r="B182">
        <f t="shared" si="6"/>
        <v>0</v>
      </c>
      <c r="C182">
        <f t="shared" si="7"/>
        <v>55</v>
      </c>
      <c r="D182" t="str">
        <f t="shared" si="8"/>
        <v/>
      </c>
      <c r="E182" t="s">
        <v>219</v>
      </c>
    </row>
    <row r="183" spans="1:5" x14ac:dyDescent="0.2">
      <c r="A183" cm="1">
        <f t="array" ref="A183">CODE(CHAR(56))</f>
        <v>56</v>
      </c>
      <c r="B183">
        <f t="shared" si="6"/>
        <v>0</v>
      </c>
      <c r="C183">
        <f t="shared" si="7"/>
        <v>56</v>
      </c>
      <c r="D183" t="str">
        <f t="shared" si="8"/>
        <v/>
      </c>
      <c r="E183" t="s">
        <v>220</v>
      </c>
    </row>
    <row r="184" spans="1:5" x14ac:dyDescent="0.2">
      <c r="A184" cm="1">
        <f t="array" ref="A184">CODE(CHAR(57))</f>
        <v>57</v>
      </c>
      <c r="B184">
        <f t="shared" si="6"/>
        <v>0</v>
      </c>
      <c r="C184">
        <f t="shared" si="7"/>
        <v>57</v>
      </c>
      <c r="D184" t="str">
        <f t="shared" si="8"/>
        <v/>
      </c>
      <c r="E184" t="s">
        <v>221</v>
      </c>
    </row>
    <row r="185" spans="1:5" x14ac:dyDescent="0.2">
      <c r="A185" cm="1">
        <f t="array" ref="A185">CODE(CHAR(58))</f>
        <v>58</v>
      </c>
      <c r="B185">
        <f t="shared" si="6"/>
        <v>0</v>
      </c>
      <c r="C185">
        <f t="shared" si="7"/>
        <v>58</v>
      </c>
      <c r="D185" t="str">
        <f t="shared" si="8"/>
        <v/>
      </c>
      <c r="E185" t="s">
        <v>222</v>
      </c>
    </row>
    <row r="186" spans="1:5" x14ac:dyDescent="0.2">
      <c r="A186" cm="1">
        <f t="array" ref="A186">CODE(CHAR(59))</f>
        <v>59</v>
      </c>
      <c r="B186">
        <f t="shared" si="6"/>
        <v>0</v>
      </c>
      <c r="C186">
        <f t="shared" si="7"/>
        <v>59</v>
      </c>
      <c r="D186" t="str">
        <f t="shared" si="8"/>
        <v/>
      </c>
      <c r="E186" t="s">
        <v>223</v>
      </c>
    </row>
    <row r="187" spans="1:5" x14ac:dyDescent="0.2">
      <c r="A187" cm="1">
        <f t="array" ref="A187">CODE(CHAR(60))</f>
        <v>60</v>
      </c>
      <c r="B187">
        <f t="shared" si="6"/>
        <v>0</v>
      </c>
      <c r="C187">
        <f t="shared" si="7"/>
        <v>60</v>
      </c>
      <c r="D187" t="str">
        <f t="shared" si="8"/>
        <v/>
      </c>
      <c r="E187" t="s">
        <v>224</v>
      </c>
    </row>
    <row r="188" spans="1:5" x14ac:dyDescent="0.2">
      <c r="A188" cm="1">
        <f t="array" ref="A188">CODE(CHAR(61))</f>
        <v>61</v>
      </c>
      <c r="B188">
        <f t="shared" si="6"/>
        <v>0</v>
      </c>
      <c r="C188">
        <f t="shared" si="7"/>
        <v>61</v>
      </c>
      <c r="D188" t="str">
        <f t="shared" si="8"/>
        <v/>
      </c>
      <c r="E188" t="s">
        <v>225</v>
      </c>
    </row>
    <row r="189" spans="1:5" x14ac:dyDescent="0.2">
      <c r="A189" cm="1">
        <f t="array" ref="A189">CODE(CHAR(62))</f>
        <v>62</v>
      </c>
      <c r="B189">
        <f t="shared" si="6"/>
        <v>0</v>
      </c>
      <c r="C189">
        <f t="shared" si="7"/>
        <v>62</v>
      </c>
      <c r="D189" t="str">
        <f t="shared" si="8"/>
        <v/>
      </c>
      <c r="E189" t="s">
        <v>226</v>
      </c>
    </row>
    <row r="190" spans="1:5" x14ac:dyDescent="0.2">
      <c r="A190" cm="1">
        <f t="array" ref="A190">CODE(CHAR(63))</f>
        <v>63</v>
      </c>
      <c r="B190">
        <f t="shared" si="6"/>
        <v>0</v>
      </c>
      <c r="C190">
        <f t="shared" si="7"/>
        <v>63</v>
      </c>
      <c r="D190" t="str">
        <f t="shared" si="8"/>
        <v/>
      </c>
      <c r="E190" t="s">
        <v>227</v>
      </c>
    </row>
    <row r="191" spans="1:5" x14ac:dyDescent="0.2">
      <c r="A191" cm="1">
        <f t="array" ref="A191">CODE(CHAR(64))</f>
        <v>64</v>
      </c>
      <c r="B191">
        <f t="shared" si="6"/>
        <v>0</v>
      </c>
      <c r="C191">
        <f t="shared" si="7"/>
        <v>64</v>
      </c>
      <c r="D191" t="str">
        <f t="shared" si="8"/>
        <v/>
      </c>
      <c r="E191" t="s">
        <v>228</v>
      </c>
    </row>
    <row r="192" spans="1:5" x14ac:dyDescent="0.2">
      <c r="A192" cm="1">
        <f t="array" ref="A192">CODE(CHAR(65))</f>
        <v>65</v>
      </c>
      <c r="B192">
        <f t="shared" si="6"/>
        <v>0</v>
      </c>
      <c r="C192">
        <f t="shared" si="7"/>
        <v>65</v>
      </c>
      <c r="D192" t="str">
        <f t="shared" si="8"/>
        <v/>
      </c>
      <c r="E192" t="s">
        <v>229</v>
      </c>
    </row>
    <row r="193" spans="1:5" x14ac:dyDescent="0.2">
      <c r="A193" cm="1">
        <f t="array" ref="A193">CODE(CHAR(66))</f>
        <v>66</v>
      </c>
      <c r="B193">
        <f t="shared" ref="B193:B256" si="9">IF(ISERROR(A193),ERROR.TYPE(A193),IF(ISNUMBER(A193),0,IF(ISLOGICAL(A193),IF(A193,-1,-2),IF(ISTEXT(A193),-3,-4))))</f>
        <v>0</v>
      </c>
      <c r="C193">
        <f t="shared" ref="C193:C256" si="10">IF(ISNUMBER(A193),A193,0)</f>
        <v>66</v>
      </c>
      <c r="D193" t="str">
        <f t="shared" ref="D193:D256" si="11">IF(ISTEXT(A193),A193,"")</f>
        <v/>
      </c>
      <c r="E193" t="s">
        <v>230</v>
      </c>
    </row>
    <row r="194" spans="1:5" x14ac:dyDescent="0.2">
      <c r="A194" cm="1">
        <f t="array" ref="A194">CODE(CHAR(67))</f>
        <v>67</v>
      </c>
      <c r="B194">
        <f t="shared" si="9"/>
        <v>0</v>
      </c>
      <c r="C194">
        <f t="shared" si="10"/>
        <v>67</v>
      </c>
      <c r="D194" t="str">
        <f t="shared" si="11"/>
        <v/>
      </c>
      <c r="E194" t="s">
        <v>231</v>
      </c>
    </row>
    <row r="195" spans="1:5" x14ac:dyDescent="0.2">
      <c r="A195" cm="1">
        <f t="array" ref="A195">CODE(CHAR(68))</f>
        <v>68</v>
      </c>
      <c r="B195">
        <f t="shared" si="9"/>
        <v>0</v>
      </c>
      <c r="C195">
        <f t="shared" si="10"/>
        <v>68</v>
      </c>
      <c r="D195" t="str">
        <f t="shared" si="11"/>
        <v/>
      </c>
      <c r="E195" t="s">
        <v>232</v>
      </c>
    </row>
    <row r="196" spans="1:5" x14ac:dyDescent="0.2">
      <c r="A196" cm="1">
        <f t="array" ref="A196">CODE(CHAR(69))</f>
        <v>69</v>
      </c>
      <c r="B196">
        <f t="shared" si="9"/>
        <v>0</v>
      </c>
      <c r="C196">
        <f t="shared" si="10"/>
        <v>69</v>
      </c>
      <c r="D196" t="str">
        <f t="shared" si="11"/>
        <v/>
      </c>
      <c r="E196" t="s">
        <v>233</v>
      </c>
    </row>
    <row r="197" spans="1:5" x14ac:dyDescent="0.2">
      <c r="A197" cm="1">
        <f t="array" ref="A197">CODE(CHAR(70))</f>
        <v>70</v>
      </c>
      <c r="B197">
        <f t="shared" si="9"/>
        <v>0</v>
      </c>
      <c r="C197">
        <f t="shared" si="10"/>
        <v>70</v>
      </c>
      <c r="D197" t="str">
        <f t="shared" si="11"/>
        <v/>
      </c>
      <c r="E197" t="s">
        <v>234</v>
      </c>
    </row>
    <row r="198" spans="1:5" x14ac:dyDescent="0.2">
      <c r="A198" cm="1">
        <f t="array" ref="A198">CODE(CHAR(71))</f>
        <v>71</v>
      </c>
      <c r="B198">
        <f t="shared" si="9"/>
        <v>0</v>
      </c>
      <c r="C198">
        <f t="shared" si="10"/>
        <v>71</v>
      </c>
      <c r="D198" t="str">
        <f t="shared" si="11"/>
        <v/>
      </c>
      <c r="E198" t="s">
        <v>235</v>
      </c>
    </row>
    <row r="199" spans="1:5" x14ac:dyDescent="0.2">
      <c r="A199" cm="1">
        <f t="array" ref="A199">CODE(CHAR(72))</f>
        <v>72</v>
      </c>
      <c r="B199">
        <f t="shared" si="9"/>
        <v>0</v>
      </c>
      <c r="C199">
        <f t="shared" si="10"/>
        <v>72</v>
      </c>
      <c r="D199" t="str">
        <f t="shared" si="11"/>
        <v/>
      </c>
      <c r="E199" t="s">
        <v>236</v>
      </c>
    </row>
    <row r="200" spans="1:5" x14ac:dyDescent="0.2">
      <c r="A200" cm="1">
        <f t="array" ref="A200">CODE(CHAR(73))</f>
        <v>73</v>
      </c>
      <c r="B200">
        <f t="shared" si="9"/>
        <v>0</v>
      </c>
      <c r="C200">
        <f t="shared" si="10"/>
        <v>73</v>
      </c>
      <c r="D200" t="str">
        <f t="shared" si="11"/>
        <v/>
      </c>
      <c r="E200" t="s">
        <v>237</v>
      </c>
    </row>
    <row r="201" spans="1:5" x14ac:dyDescent="0.2">
      <c r="A201" cm="1">
        <f t="array" ref="A201">CODE(CHAR(74))</f>
        <v>74</v>
      </c>
      <c r="B201">
        <f t="shared" si="9"/>
        <v>0</v>
      </c>
      <c r="C201">
        <f t="shared" si="10"/>
        <v>74</v>
      </c>
      <c r="D201" t="str">
        <f t="shared" si="11"/>
        <v/>
      </c>
      <c r="E201" t="s">
        <v>238</v>
      </c>
    </row>
    <row r="202" spans="1:5" x14ac:dyDescent="0.2">
      <c r="A202" cm="1">
        <f t="array" ref="A202">CODE(CHAR(75))</f>
        <v>75</v>
      </c>
      <c r="B202">
        <f t="shared" si="9"/>
        <v>0</v>
      </c>
      <c r="C202">
        <f t="shared" si="10"/>
        <v>75</v>
      </c>
      <c r="D202" t="str">
        <f t="shared" si="11"/>
        <v/>
      </c>
      <c r="E202" t="s">
        <v>239</v>
      </c>
    </row>
    <row r="203" spans="1:5" x14ac:dyDescent="0.2">
      <c r="A203" cm="1">
        <f t="array" ref="A203">CODE(CHAR(76))</f>
        <v>76</v>
      </c>
      <c r="B203">
        <f t="shared" si="9"/>
        <v>0</v>
      </c>
      <c r="C203">
        <f t="shared" si="10"/>
        <v>76</v>
      </c>
      <c r="D203" t="str">
        <f t="shared" si="11"/>
        <v/>
      </c>
      <c r="E203" t="s">
        <v>240</v>
      </c>
    </row>
    <row r="204" spans="1:5" x14ac:dyDescent="0.2">
      <c r="A204" cm="1">
        <f t="array" ref="A204">CODE(CHAR(77))</f>
        <v>77</v>
      </c>
      <c r="B204">
        <f t="shared" si="9"/>
        <v>0</v>
      </c>
      <c r="C204">
        <f t="shared" si="10"/>
        <v>77</v>
      </c>
      <c r="D204" t="str">
        <f t="shared" si="11"/>
        <v/>
      </c>
      <c r="E204" t="s">
        <v>241</v>
      </c>
    </row>
    <row r="205" spans="1:5" x14ac:dyDescent="0.2">
      <c r="A205" cm="1">
        <f t="array" ref="A205">CODE(CHAR(78))</f>
        <v>78</v>
      </c>
      <c r="B205">
        <f t="shared" si="9"/>
        <v>0</v>
      </c>
      <c r="C205">
        <f t="shared" si="10"/>
        <v>78</v>
      </c>
      <c r="D205" t="str">
        <f t="shared" si="11"/>
        <v/>
      </c>
      <c r="E205" t="s">
        <v>242</v>
      </c>
    </row>
    <row r="206" spans="1:5" x14ac:dyDescent="0.2">
      <c r="A206" cm="1">
        <f t="array" ref="A206">CODE(CHAR(79))</f>
        <v>79</v>
      </c>
      <c r="B206">
        <f t="shared" si="9"/>
        <v>0</v>
      </c>
      <c r="C206">
        <f t="shared" si="10"/>
        <v>79</v>
      </c>
      <c r="D206" t="str">
        <f t="shared" si="11"/>
        <v/>
      </c>
      <c r="E206" t="s">
        <v>243</v>
      </c>
    </row>
    <row r="207" spans="1:5" x14ac:dyDescent="0.2">
      <c r="A207" cm="1">
        <f t="array" ref="A207">CODE(CHAR(80))</f>
        <v>80</v>
      </c>
      <c r="B207">
        <f t="shared" si="9"/>
        <v>0</v>
      </c>
      <c r="C207">
        <f t="shared" si="10"/>
        <v>80</v>
      </c>
      <c r="D207" t="str">
        <f t="shared" si="11"/>
        <v/>
      </c>
      <c r="E207" t="s">
        <v>244</v>
      </c>
    </row>
    <row r="208" spans="1:5" x14ac:dyDescent="0.2">
      <c r="A208" cm="1">
        <f t="array" ref="A208">CODE(CHAR(81))</f>
        <v>81</v>
      </c>
      <c r="B208">
        <f t="shared" si="9"/>
        <v>0</v>
      </c>
      <c r="C208">
        <f t="shared" si="10"/>
        <v>81</v>
      </c>
      <c r="D208" t="str">
        <f t="shared" si="11"/>
        <v/>
      </c>
      <c r="E208" t="s">
        <v>245</v>
      </c>
    </row>
    <row r="209" spans="1:5" x14ac:dyDescent="0.2">
      <c r="A209" cm="1">
        <f t="array" ref="A209">CODE(CHAR(82))</f>
        <v>82</v>
      </c>
      <c r="B209">
        <f t="shared" si="9"/>
        <v>0</v>
      </c>
      <c r="C209">
        <f t="shared" si="10"/>
        <v>82</v>
      </c>
      <c r="D209" t="str">
        <f t="shared" si="11"/>
        <v/>
      </c>
      <c r="E209" t="s">
        <v>246</v>
      </c>
    </row>
    <row r="210" spans="1:5" x14ac:dyDescent="0.2">
      <c r="A210" cm="1">
        <f t="array" ref="A210">CODE(CHAR(83))</f>
        <v>83</v>
      </c>
      <c r="B210">
        <f t="shared" si="9"/>
        <v>0</v>
      </c>
      <c r="C210">
        <f t="shared" si="10"/>
        <v>83</v>
      </c>
      <c r="D210" t="str">
        <f t="shared" si="11"/>
        <v/>
      </c>
      <c r="E210" t="s">
        <v>247</v>
      </c>
    </row>
    <row r="211" spans="1:5" x14ac:dyDescent="0.2">
      <c r="A211" cm="1">
        <f t="array" ref="A211">CODE(CHAR(84))</f>
        <v>84</v>
      </c>
      <c r="B211">
        <f t="shared" si="9"/>
        <v>0</v>
      </c>
      <c r="C211">
        <f t="shared" si="10"/>
        <v>84</v>
      </c>
      <c r="D211" t="str">
        <f t="shared" si="11"/>
        <v/>
      </c>
      <c r="E211" t="s">
        <v>248</v>
      </c>
    </row>
    <row r="212" spans="1:5" x14ac:dyDescent="0.2">
      <c r="A212" cm="1">
        <f t="array" ref="A212">CODE(CHAR(85))</f>
        <v>85</v>
      </c>
      <c r="B212">
        <f t="shared" si="9"/>
        <v>0</v>
      </c>
      <c r="C212">
        <f t="shared" si="10"/>
        <v>85</v>
      </c>
      <c r="D212" t="str">
        <f t="shared" si="11"/>
        <v/>
      </c>
      <c r="E212" t="s">
        <v>249</v>
      </c>
    </row>
    <row r="213" spans="1:5" x14ac:dyDescent="0.2">
      <c r="A213" cm="1">
        <f t="array" ref="A213">CODE(CHAR(86))</f>
        <v>86</v>
      </c>
      <c r="B213">
        <f t="shared" si="9"/>
        <v>0</v>
      </c>
      <c r="C213">
        <f t="shared" si="10"/>
        <v>86</v>
      </c>
      <c r="D213" t="str">
        <f t="shared" si="11"/>
        <v/>
      </c>
      <c r="E213" t="s">
        <v>250</v>
      </c>
    </row>
    <row r="214" spans="1:5" x14ac:dyDescent="0.2">
      <c r="A214" cm="1">
        <f t="array" ref="A214">CODE(CHAR(87))</f>
        <v>87</v>
      </c>
      <c r="B214">
        <f t="shared" si="9"/>
        <v>0</v>
      </c>
      <c r="C214">
        <f t="shared" si="10"/>
        <v>87</v>
      </c>
      <c r="D214" t="str">
        <f t="shared" si="11"/>
        <v/>
      </c>
      <c r="E214" t="s">
        <v>251</v>
      </c>
    </row>
    <row r="215" spans="1:5" x14ac:dyDescent="0.2">
      <c r="A215" cm="1">
        <f t="array" ref="A215">CODE(CHAR(88))</f>
        <v>88</v>
      </c>
      <c r="B215">
        <f t="shared" si="9"/>
        <v>0</v>
      </c>
      <c r="C215">
        <f t="shared" si="10"/>
        <v>88</v>
      </c>
      <c r="D215" t="str">
        <f t="shared" si="11"/>
        <v/>
      </c>
      <c r="E215" t="s">
        <v>252</v>
      </c>
    </row>
    <row r="216" spans="1:5" x14ac:dyDescent="0.2">
      <c r="A216" cm="1">
        <f t="array" ref="A216">CODE(CHAR(89))</f>
        <v>89</v>
      </c>
      <c r="B216">
        <f t="shared" si="9"/>
        <v>0</v>
      </c>
      <c r="C216">
        <f t="shared" si="10"/>
        <v>89</v>
      </c>
      <c r="D216" t="str">
        <f t="shared" si="11"/>
        <v/>
      </c>
      <c r="E216" t="s">
        <v>253</v>
      </c>
    </row>
    <row r="217" spans="1:5" x14ac:dyDescent="0.2">
      <c r="A217" cm="1">
        <f t="array" ref="A217">CODE(CHAR(90))</f>
        <v>90</v>
      </c>
      <c r="B217">
        <f t="shared" si="9"/>
        <v>0</v>
      </c>
      <c r="C217">
        <f t="shared" si="10"/>
        <v>90</v>
      </c>
      <c r="D217" t="str">
        <f t="shared" si="11"/>
        <v/>
      </c>
      <c r="E217" t="s">
        <v>254</v>
      </c>
    </row>
    <row r="218" spans="1:5" x14ac:dyDescent="0.2">
      <c r="A218" cm="1">
        <f t="array" ref="A218">CODE(CHAR(91))</f>
        <v>91</v>
      </c>
      <c r="B218">
        <f t="shared" si="9"/>
        <v>0</v>
      </c>
      <c r="C218">
        <f t="shared" si="10"/>
        <v>91</v>
      </c>
      <c r="D218" t="str">
        <f t="shared" si="11"/>
        <v/>
      </c>
      <c r="E218" t="s">
        <v>255</v>
      </c>
    </row>
    <row r="219" spans="1:5" x14ac:dyDescent="0.2">
      <c r="A219" cm="1">
        <f t="array" ref="A219">CODE(CHAR(92))</f>
        <v>92</v>
      </c>
      <c r="B219">
        <f t="shared" si="9"/>
        <v>0</v>
      </c>
      <c r="C219">
        <f t="shared" si="10"/>
        <v>92</v>
      </c>
      <c r="D219" t="str">
        <f t="shared" si="11"/>
        <v/>
      </c>
      <c r="E219" t="s">
        <v>256</v>
      </c>
    </row>
    <row r="220" spans="1:5" x14ac:dyDescent="0.2">
      <c r="A220" cm="1">
        <f t="array" ref="A220">CODE(CHAR(93))</f>
        <v>93</v>
      </c>
      <c r="B220">
        <f t="shared" si="9"/>
        <v>0</v>
      </c>
      <c r="C220">
        <f t="shared" si="10"/>
        <v>93</v>
      </c>
      <c r="D220" t="str">
        <f t="shared" si="11"/>
        <v/>
      </c>
      <c r="E220" t="s">
        <v>257</v>
      </c>
    </row>
    <row r="221" spans="1:5" x14ac:dyDescent="0.2">
      <c r="A221" cm="1">
        <f t="array" ref="A221">CODE(CHAR(94))</f>
        <v>94</v>
      </c>
      <c r="B221">
        <f t="shared" si="9"/>
        <v>0</v>
      </c>
      <c r="C221">
        <f t="shared" si="10"/>
        <v>94</v>
      </c>
      <c r="D221" t="str">
        <f t="shared" si="11"/>
        <v/>
      </c>
      <c r="E221" t="s">
        <v>258</v>
      </c>
    </row>
    <row r="222" spans="1:5" x14ac:dyDescent="0.2">
      <c r="A222" cm="1">
        <f t="array" ref="A222">CODE(CHAR(95))</f>
        <v>95</v>
      </c>
      <c r="B222">
        <f t="shared" si="9"/>
        <v>0</v>
      </c>
      <c r="C222">
        <f t="shared" si="10"/>
        <v>95</v>
      </c>
      <c r="D222" t="str">
        <f t="shared" si="11"/>
        <v/>
      </c>
      <c r="E222" t="s">
        <v>259</v>
      </c>
    </row>
    <row r="223" spans="1:5" x14ac:dyDescent="0.2">
      <c r="A223" cm="1">
        <f t="array" ref="A223">CODE(CHAR(96))</f>
        <v>96</v>
      </c>
      <c r="B223">
        <f t="shared" si="9"/>
        <v>0</v>
      </c>
      <c r="C223">
        <f t="shared" si="10"/>
        <v>96</v>
      </c>
      <c r="D223" t="str">
        <f t="shared" si="11"/>
        <v/>
      </c>
      <c r="E223" t="s">
        <v>260</v>
      </c>
    </row>
    <row r="224" spans="1:5" x14ac:dyDescent="0.2">
      <c r="A224" cm="1">
        <f t="array" ref="A224">CODE(CHAR(97))</f>
        <v>97</v>
      </c>
      <c r="B224">
        <f t="shared" si="9"/>
        <v>0</v>
      </c>
      <c r="C224">
        <f t="shared" si="10"/>
        <v>97</v>
      </c>
      <c r="D224" t="str">
        <f t="shared" si="11"/>
        <v/>
      </c>
      <c r="E224" t="s">
        <v>261</v>
      </c>
    </row>
    <row r="225" spans="1:5" x14ac:dyDescent="0.2">
      <c r="A225" cm="1">
        <f t="array" ref="A225">CODE(CHAR(98))</f>
        <v>98</v>
      </c>
      <c r="B225">
        <f t="shared" si="9"/>
        <v>0</v>
      </c>
      <c r="C225">
        <f t="shared" si="10"/>
        <v>98</v>
      </c>
      <c r="D225" t="str">
        <f t="shared" si="11"/>
        <v/>
      </c>
      <c r="E225" t="s">
        <v>262</v>
      </c>
    </row>
    <row r="226" spans="1:5" x14ac:dyDescent="0.2">
      <c r="A226" cm="1">
        <f t="array" ref="A226">CODE(CHAR(99))</f>
        <v>99</v>
      </c>
      <c r="B226">
        <f t="shared" si="9"/>
        <v>0</v>
      </c>
      <c r="C226">
        <f t="shared" si="10"/>
        <v>99</v>
      </c>
      <c r="D226" t="str">
        <f t="shared" si="11"/>
        <v/>
      </c>
      <c r="E226" t="s">
        <v>263</v>
      </c>
    </row>
    <row r="227" spans="1:5" x14ac:dyDescent="0.2">
      <c r="A227" cm="1">
        <f t="array" ref="A227">CODE(CHAR(100))</f>
        <v>100</v>
      </c>
      <c r="B227">
        <f t="shared" si="9"/>
        <v>0</v>
      </c>
      <c r="C227">
        <f t="shared" si="10"/>
        <v>100</v>
      </c>
      <c r="D227" t="str">
        <f t="shared" si="11"/>
        <v/>
      </c>
      <c r="E227" t="s">
        <v>264</v>
      </c>
    </row>
    <row r="228" spans="1:5" x14ac:dyDescent="0.2">
      <c r="A228" cm="1">
        <f t="array" ref="A228">CODE(CHAR(101))</f>
        <v>101</v>
      </c>
      <c r="B228">
        <f t="shared" si="9"/>
        <v>0</v>
      </c>
      <c r="C228">
        <f t="shared" si="10"/>
        <v>101</v>
      </c>
      <c r="D228" t="str">
        <f t="shared" si="11"/>
        <v/>
      </c>
      <c r="E228" t="s">
        <v>265</v>
      </c>
    </row>
    <row r="229" spans="1:5" x14ac:dyDescent="0.2">
      <c r="A229" cm="1">
        <f t="array" ref="A229">CODE(CHAR(102))</f>
        <v>102</v>
      </c>
      <c r="B229">
        <f t="shared" si="9"/>
        <v>0</v>
      </c>
      <c r="C229">
        <f t="shared" si="10"/>
        <v>102</v>
      </c>
      <c r="D229" t="str">
        <f t="shared" si="11"/>
        <v/>
      </c>
      <c r="E229" t="s">
        <v>266</v>
      </c>
    </row>
    <row r="230" spans="1:5" x14ac:dyDescent="0.2">
      <c r="A230" cm="1">
        <f t="array" ref="A230">CODE(CHAR(103))</f>
        <v>103</v>
      </c>
      <c r="B230">
        <f t="shared" si="9"/>
        <v>0</v>
      </c>
      <c r="C230">
        <f t="shared" si="10"/>
        <v>103</v>
      </c>
      <c r="D230" t="str">
        <f t="shared" si="11"/>
        <v/>
      </c>
      <c r="E230" t="s">
        <v>267</v>
      </c>
    </row>
    <row r="231" spans="1:5" x14ac:dyDescent="0.2">
      <c r="A231" cm="1">
        <f t="array" ref="A231">CODE(CHAR(104))</f>
        <v>104</v>
      </c>
      <c r="B231">
        <f t="shared" si="9"/>
        <v>0</v>
      </c>
      <c r="C231">
        <f t="shared" si="10"/>
        <v>104</v>
      </c>
      <c r="D231" t="str">
        <f t="shared" si="11"/>
        <v/>
      </c>
      <c r="E231" t="s">
        <v>268</v>
      </c>
    </row>
    <row r="232" spans="1:5" x14ac:dyDescent="0.2">
      <c r="A232" cm="1">
        <f t="array" ref="A232">CODE(CHAR(105))</f>
        <v>105</v>
      </c>
      <c r="B232">
        <f t="shared" si="9"/>
        <v>0</v>
      </c>
      <c r="C232">
        <f t="shared" si="10"/>
        <v>105</v>
      </c>
      <c r="D232" t="str">
        <f t="shared" si="11"/>
        <v/>
      </c>
      <c r="E232" t="s">
        <v>269</v>
      </c>
    </row>
    <row r="233" spans="1:5" x14ac:dyDescent="0.2">
      <c r="A233" cm="1">
        <f t="array" ref="A233">CODE(CHAR(106))</f>
        <v>106</v>
      </c>
      <c r="B233">
        <f t="shared" si="9"/>
        <v>0</v>
      </c>
      <c r="C233">
        <f t="shared" si="10"/>
        <v>106</v>
      </c>
      <c r="D233" t="str">
        <f t="shared" si="11"/>
        <v/>
      </c>
      <c r="E233" t="s">
        <v>270</v>
      </c>
    </row>
    <row r="234" spans="1:5" x14ac:dyDescent="0.2">
      <c r="A234" cm="1">
        <f t="array" ref="A234">CODE(CHAR(107))</f>
        <v>107</v>
      </c>
      <c r="B234">
        <f t="shared" si="9"/>
        <v>0</v>
      </c>
      <c r="C234">
        <f t="shared" si="10"/>
        <v>107</v>
      </c>
      <c r="D234" t="str">
        <f t="shared" si="11"/>
        <v/>
      </c>
      <c r="E234" t="s">
        <v>271</v>
      </c>
    </row>
    <row r="235" spans="1:5" x14ac:dyDescent="0.2">
      <c r="A235" cm="1">
        <f t="array" ref="A235">CODE(CHAR(108))</f>
        <v>108</v>
      </c>
      <c r="B235">
        <f t="shared" si="9"/>
        <v>0</v>
      </c>
      <c r="C235">
        <f t="shared" si="10"/>
        <v>108</v>
      </c>
      <c r="D235" t="str">
        <f t="shared" si="11"/>
        <v/>
      </c>
      <c r="E235" t="s">
        <v>272</v>
      </c>
    </row>
    <row r="236" spans="1:5" x14ac:dyDescent="0.2">
      <c r="A236" cm="1">
        <f t="array" ref="A236">CODE(CHAR(109))</f>
        <v>109</v>
      </c>
      <c r="B236">
        <f t="shared" si="9"/>
        <v>0</v>
      </c>
      <c r="C236">
        <f t="shared" si="10"/>
        <v>109</v>
      </c>
      <c r="D236" t="str">
        <f t="shared" si="11"/>
        <v/>
      </c>
      <c r="E236" t="s">
        <v>273</v>
      </c>
    </row>
    <row r="237" spans="1:5" x14ac:dyDescent="0.2">
      <c r="A237" cm="1">
        <f t="array" ref="A237">CODE(CHAR(110))</f>
        <v>110</v>
      </c>
      <c r="B237">
        <f t="shared" si="9"/>
        <v>0</v>
      </c>
      <c r="C237">
        <f t="shared" si="10"/>
        <v>110</v>
      </c>
      <c r="D237" t="str">
        <f t="shared" si="11"/>
        <v/>
      </c>
      <c r="E237" t="s">
        <v>274</v>
      </c>
    </row>
    <row r="238" spans="1:5" x14ac:dyDescent="0.2">
      <c r="A238" cm="1">
        <f t="array" ref="A238">CODE(CHAR(111))</f>
        <v>111</v>
      </c>
      <c r="B238">
        <f t="shared" si="9"/>
        <v>0</v>
      </c>
      <c r="C238">
        <f t="shared" si="10"/>
        <v>111</v>
      </c>
      <c r="D238" t="str">
        <f t="shared" si="11"/>
        <v/>
      </c>
      <c r="E238" t="s">
        <v>275</v>
      </c>
    </row>
    <row r="239" spans="1:5" x14ac:dyDescent="0.2">
      <c r="A239" cm="1">
        <f t="array" ref="A239">CODE(CHAR(112))</f>
        <v>112</v>
      </c>
      <c r="B239">
        <f t="shared" si="9"/>
        <v>0</v>
      </c>
      <c r="C239">
        <f t="shared" si="10"/>
        <v>112</v>
      </c>
      <c r="D239" t="str">
        <f t="shared" si="11"/>
        <v/>
      </c>
      <c r="E239" t="s">
        <v>276</v>
      </c>
    </row>
    <row r="240" spans="1:5" x14ac:dyDescent="0.2">
      <c r="A240" cm="1">
        <f t="array" ref="A240">CODE(CHAR(113))</f>
        <v>113</v>
      </c>
      <c r="B240">
        <f t="shared" si="9"/>
        <v>0</v>
      </c>
      <c r="C240">
        <f t="shared" si="10"/>
        <v>113</v>
      </c>
      <c r="D240" t="str">
        <f t="shared" si="11"/>
        <v/>
      </c>
      <c r="E240" t="s">
        <v>277</v>
      </c>
    </row>
    <row r="241" spans="1:5" x14ac:dyDescent="0.2">
      <c r="A241" cm="1">
        <f t="array" ref="A241">CODE(CHAR(114))</f>
        <v>114</v>
      </c>
      <c r="B241">
        <f t="shared" si="9"/>
        <v>0</v>
      </c>
      <c r="C241">
        <f t="shared" si="10"/>
        <v>114</v>
      </c>
      <c r="D241" t="str">
        <f t="shared" si="11"/>
        <v/>
      </c>
      <c r="E241" t="s">
        <v>278</v>
      </c>
    </row>
    <row r="242" spans="1:5" x14ac:dyDescent="0.2">
      <c r="A242" cm="1">
        <f t="array" ref="A242">CODE(CHAR(115))</f>
        <v>115</v>
      </c>
      <c r="B242">
        <f t="shared" si="9"/>
        <v>0</v>
      </c>
      <c r="C242">
        <f t="shared" si="10"/>
        <v>115</v>
      </c>
      <c r="D242" t="str">
        <f t="shared" si="11"/>
        <v/>
      </c>
      <c r="E242" t="s">
        <v>279</v>
      </c>
    </row>
    <row r="243" spans="1:5" x14ac:dyDescent="0.2">
      <c r="A243" cm="1">
        <f t="array" ref="A243">CODE(CHAR(116))</f>
        <v>116</v>
      </c>
      <c r="B243">
        <f t="shared" si="9"/>
        <v>0</v>
      </c>
      <c r="C243">
        <f t="shared" si="10"/>
        <v>116</v>
      </c>
      <c r="D243" t="str">
        <f t="shared" si="11"/>
        <v/>
      </c>
      <c r="E243" t="s">
        <v>280</v>
      </c>
    </row>
    <row r="244" spans="1:5" x14ac:dyDescent="0.2">
      <c r="A244" cm="1">
        <f t="array" ref="A244">CODE(CHAR(117))</f>
        <v>117</v>
      </c>
      <c r="B244">
        <f t="shared" si="9"/>
        <v>0</v>
      </c>
      <c r="C244">
        <f t="shared" si="10"/>
        <v>117</v>
      </c>
      <c r="D244" t="str">
        <f t="shared" si="11"/>
        <v/>
      </c>
      <c r="E244" t="s">
        <v>281</v>
      </c>
    </row>
    <row r="245" spans="1:5" x14ac:dyDescent="0.2">
      <c r="A245" cm="1">
        <f t="array" ref="A245">CODE(CHAR(118))</f>
        <v>118</v>
      </c>
      <c r="B245">
        <f t="shared" si="9"/>
        <v>0</v>
      </c>
      <c r="C245">
        <f t="shared" si="10"/>
        <v>118</v>
      </c>
      <c r="D245" t="str">
        <f t="shared" si="11"/>
        <v/>
      </c>
      <c r="E245" t="s">
        <v>282</v>
      </c>
    </row>
    <row r="246" spans="1:5" x14ac:dyDescent="0.2">
      <c r="A246" cm="1">
        <f t="array" ref="A246">CODE(CHAR(119))</f>
        <v>119</v>
      </c>
      <c r="B246">
        <f t="shared" si="9"/>
        <v>0</v>
      </c>
      <c r="C246">
        <f t="shared" si="10"/>
        <v>119</v>
      </c>
      <c r="D246" t="str">
        <f t="shared" si="11"/>
        <v/>
      </c>
      <c r="E246" t="s">
        <v>283</v>
      </c>
    </row>
    <row r="247" spans="1:5" x14ac:dyDescent="0.2">
      <c r="A247" cm="1">
        <f t="array" ref="A247">CODE(CHAR(120))</f>
        <v>120</v>
      </c>
      <c r="B247">
        <f t="shared" si="9"/>
        <v>0</v>
      </c>
      <c r="C247">
        <f t="shared" si="10"/>
        <v>120</v>
      </c>
      <c r="D247" t="str">
        <f t="shared" si="11"/>
        <v/>
      </c>
      <c r="E247" t="s">
        <v>284</v>
      </c>
    </row>
    <row r="248" spans="1:5" x14ac:dyDescent="0.2">
      <c r="A248" cm="1">
        <f t="array" ref="A248">CODE(CHAR(121))</f>
        <v>121</v>
      </c>
      <c r="B248">
        <f t="shared" si="9"/>
        <v>0</v>
      </c>
      <c r="C248">
        <f t="shared" si="10"/>
        <v>121</v>
      </c>
      <c r="D248" t="str">
        <f t="shared" si="11"/>
        <v/>
      </c>
      <c r="E248" t="s">
        <v>285</v>
      </c>
    </row>
    <row r="249" spans="1:5" x14ac:dyDescent="0.2">
      <c r="A249" cm="1">
        <f t="array" ref="A249">CODE(CHAR(122))</f>
        <v>122</v>
      </c>
      <c r="B249">
        <f t="shared" si="9"/>
        <v>0</v>
      </c>
      <c r="C249">
        <f t="shared" si="10"/>
        <v>122</v>
      </c>
      <c r="D249" t="str">
        <f t="shared" si="11"/>
        <v/>
      </c>
      <c r="E249" t="s">
        <v>286</v>
      </c>
    </row>
    <row r="250" spans="1:5" x14ac:dyDescent="0.2">
      <c r="A250" cm="1">
        <f t="array" ref="A250">CODE(CHAR(123))</f>
        <v>123</v>
      </c>
      <c r="B250">
        <f t="shared" si="9"/>
        <v>0</v>
      </c>
      <c r="C250">
        <f t="shared" si="10"/>
        <v>123</v>
      </c>
      <c r="D250" t="str">
        <f t="shared" si="11"/>
        <v/>
      </c>
      <c r="E250" t="s">
        <v>287</v>
      </c>
    </row>
    <row r="251" spans="1:5" x14ac:dyDescent="0.2">
      <c r="A251" cm="1">
        <f t="array" ref="A251">CODE(CHAR(124))</f>
        <v>124</v>
      </c>
      <c r="B251">
        <f t="shared" si="9"/>
        <v>0</v>
      </c>
      <c r="C251">
        <f t="shared" si="10"/>
        <v>124</v>
      </c>
      <c r="D251" t="str">
        <f t="shared" si="11"/>
        <v/>
      </c>
      <c r="E251" t="s">
        <v>288</v>
      </c>
    </row>
    <row r="252" spans="1:5" x14ac:dyDescent="0.2">
      <c r="A252" cm="1">
        <f t="array" ref="A252">CODE(CHAR(125))</f>
        <v>125</v>
      </c>
      <c r="B252">
        <f t="shared" si="9"/>
        <v>0</v>
      </c>
      <c r="C252">
        <f t="shared" si="10"/>
        <v>125</v>
      </c>
      <c r="D252" t="str">
        <f t="shared" si="11"/>
        <v/>
      </c>
      <c r="E252" t="s">
        <v>289</v>
      </c>
    </row>
    <row r="253" spans="1:5" x14ac:dyDescent="0.2">
      <c r="A253" cm="1">
        <f t="array" ref="A253">CODE(CHAR(126))</f>
        <v>126</v>
      </c>
      <c r="B253">
        <f t="shared" si="9"/>
        <v>0</v>
      </c>
      <c r="C253">
        <f t="shared" si="10"/>
        <v>126</v>
      </c>
      <c r="D253" t="str">
        <f t="shared" si="11"/>
        <v/>
      </c>
      <c r="E253" t="s">
        <v>290</v>
      </c>
    </row>
    <row r="254" spans="1:5" x14ac:dyDescent="0.2">
      <c r="A254" cm="1">
        <f t="array" ref="A254">CODE(CHAR(127))</f>
        <v>127</v>
      </c>
      <c r="B254">
        <f t="shared" si="9"/>
        <v>0</v>
      </c>
      <c r="C254">
        <f t="shared" si="10"/>
        <v>127</v>
      </c>
      <c r="D254" t="str">
        <f t="shared" si="11"/>
        <v/>
      </c>
      <c r="E254" t="s">
        <v>291</v>
      </c>
    </row>
    <row r="255" spans="1:5" x14ac:dyDescent="0.2">
      <c r="A255" t="e" cm="1">
        <f t="array" ref="A255">CHAR(0)</f>
        <v>#VALUE!</v>
      </c>
      <c r="B255">
        <f t="shared" si="9"/>
        <v>3</v>
      </c>
      <c r="C255">
        <f t="shared" si="10"/>
        <v>0</v>
      </c>
      <c r="D255" t="str">
        <f t="shared" si="11"/>
        <v/>
      </c>
      <c r="E255" t="s">
        <v>292</v>
      </c>
    </row>
    <row r="256" spans="1:5" x14ac:dyDescent="0.2">
      <c r="A256" t="e" cm="1">
        <f t="array" ref="A256">CHAR(256)</f>
        <v>#VALUE!</v>
      </c>
      <c r="B256">
        <f t="shared" si="9"/>
        <v>3</v>
      </c>
      <c r="C256">
        <f t="shared" si="10"/>
        <v>0</v>
      </c>
      <c r="D256" t="str">
        <f t="shared" si="11"/>
        <v/>
      </c>
      <c r="E256" t="s">
        <v>293</v>
      </c>
    </row>
    <row r="257" spans="1:5" x14ac:dyDescent="0.2">
      <c r="A257" t="e" cm="1">
        <f t="array" ref="A257">CHAR(-1)</f>
        <v>#VALUE!</v>
      </c>
      <c r="B257">
        <f t="shared" ref="B257:B320" si="12">IF(ISERROR(A257),ERROR.TYPE(A257),IF(ISNUMBER(A257),0,IF(ISLOGICAL(A257),IF(A257,-1,-2),IF(ISTEXT(A257),-3,-4))))</f>
        <v>3</v>
      </c>
      <c r="C257">
        <f t="shared" ref="C257:C305" si="13">IF(ISNUMBER(A257),A257,0)</f>
        <v>0</v>
      </c>
      <c r="D257" t="str">
        <f t="shared" ref="D257:D305" si="14">IF(ISTEXT(A257),A257,"")</f>
        <v/>
      </c>
      <c r="E257" t="s">
        <v>294</v>
      </c>
    </row>
    <row r="258" spans="1:5" x14ac:dyDescent="0.2">
      <c r="A258" t="str" cm="1">
        <f t="array" ref="A258">CHAR(65.9)</f>
        <v>A</v>
      </c>
      <c r="B258">
        <f t="shared" si="12"/>
        <v>-3</v>
      </c>
      <c r="C258">
        <f t="shared" si="13"/>
        <v>0</v>
      </c>
      <c r="D258" t="str">
        <f t="shared" si="14"/>
        <v>A</v>
      </c>
      <c r="E258" t="s">
        <v>295</v>
      </c>
    </row>
    <row r="259" spans="1:5" x14ac:dyDescent="0.2">
      <c r="A259" t="str" cm="1">
        <f t="array" ref="A259">CHAR(65.1)</f>
        <v>A</v>
      </c>
      <c r="B259">
        <f t="shared" si="12"/>
        <v>-3</v>
      </c>
      <c r="C259">
        <f t="shared" si="13"/>
        <v>0</v>
      </c>
      <c r="D259" t="str">
        <f t="shared" si="14"/>
        <v>A</v>
      </c>
      <c r="E259" t="s">
        <v>296</v>
      </c>
    </row>
    <row r="260" spans="1:5" x14ac:dyDescent="0.2">
      <c r="A260" t="e" cm="1">
        <f t="array" ref="A260">CHAR(0.5)</f>
        <v>#VALUE!</v>
      </c>
      <c r="B260">
        <f t="shared" si="12"/>
        <v>3</v>
      </c>
      <c r="C260">
        <f t="shared" si="13"/>
        <v>0</v>
      </c>
      <c r="D260" t="str">
        <f t="shared" si="14"/>
        <v/>
      </c>
      <c r="E260" t="s">
        <v>297</v>
      </c>
    </row>
    <row r="261" spans="1:5" x14ac:dyDescent="0.2">
      <c r="A261" t="e" cm="1">
        <f t="array" ref="A261">CHAR(0.99999)</f>
        <v>#VALUE!</v>
      </c>
      <c r="B261">
        <f t="shared" si="12"/>
        <v>3</v>
      </c>
      <c r="C261">
        <f t="shared" si="13"/>
        <v>0</v>
      </c>
      <c r="D261" t="str">
        <f t="shared" si="14"/>
        <v/>
      </c>
      <c r="E261" t="s">
        <v>298</v>
      </c>
    </row>
    <row r="262" spans="1:5" x14ac:dyDescent="0.2">
      <c r="A262" t="str" cm="1">
        <f t="array" ref="A262">CHAR(127.9)</f>
        <v></v>
      </c>
      <c r="B262">
        <f t="shared" si="12"/>
        <v>-3</v>
      </c>
      <c r="C262">
        <f t="shared" si="13"/>
        <v>0</v>
      </c>
      <c r="D262" t="str">
        <f t="shared" si="14"/>
        <v></v>
      </c>
      <c r="E262" t="s">
        <v>299</v>
      </c>
    </row>
    <row r="263" spans="1:5" x14ac:dyDescent="0.2">
      <c r="A263" t="e" cm="1">
        <f t="array" ref="A263">CHAR(1E+300)</f>
        <v>#VALUE!</v>
      </c>
      <c r="B263">
        <f t="shared" si="12"/>
        <v>3</v>
      </c>
      <c r="C263">
        <f t="shared" si="13"/>
        <v>0</v>
      </c>
      <c r="D263" t="str">
        <f t="shared" si="14"/>
        <v/>
      </c>
      <c r="E263" t="s">
        <v>300</v>
      </c>
    </row>
    <row r="264" spans="1:5" x14ac:dyDescent="0.2">
      <c r="A264" t="e" cm="1">
        <f t="array" ref="A264">CHAR(-0.5)</f>
        <v>#VALUE!</v>
      </c>
      <c r="B264">
        <f t="shared" si="12"/>
        <v>3</v>
      </c>
      <c r="C264">
        <f t="shared" si="13"/>
        <v>0</v>
      </c>
      <c r="D264" t="str">
        <f t="shared" si="14"/>
        <v/>
      </c>
      <c r="E264" t="s">
        <v>301</v>
      </c>
    </row>
    <row r="265" spans="1:5" x14ac:dyDescent="0.2">
      <c r="A265" t="str" cm="1">
        <f t="array" ref="A265">CHAR("65")</f>
        <v>A</v>
      </c>
      <c r="B265">
        <f t="shared" si="12"/>
        <v>-3</v>
      </c>
      <c r="C265">
        <f t="shared" si="13"/>
        <v>0</v>
      </c>
      <c r="D265" t="str">
        <f t="shared" si="14"/>
        <v>A</v>
      </c>
      <c r="E265" t="s">
        <v>302</v>
      </c>
    </row>
    <row r="266" spans="1:5" x14ac:dyDescent="0.2">
      <c r="A266" t="str" cm="1">
        <f t="array" ref="A266">CHAR(" 65 ")</f>
        <v>A</v>
      </c>
      <c r="B266">
        <f t="shared" si="12"/>
        <v>-3</v>
      </c>
      <c r="C266">
        <f t="shared" si="13"/>
        <v>0</v>
      </c>
      <c r="D266" t="str">
        <f t="shared" si="14"/>
        <v>A</v>
      </c>
      <c r="E266" t="s">
        <v>303</v>
      </c>
    </row>
    <row r="267" spans="1:5" x14ac:dyDescent="0.2">
      <c r="A267" t="str" cm="1">
        <f t="array" ref="A267">CHAR("6.5E+1")</f>
        <v>A</v>
      </c>
      <c r="B267">
        <f t="shared" si="12"/>
        <v>-3</v>
      </c>
      <c r="C267">
        <f t="shared" si="13"/>
        <v>0</v>
      </c>
      <c r="D267" t="str">
        <f t="shared" si="14"/>
        <v>A</v>
      </c>
      <c r="E267" t="s">
        <v>304</v>
      </c>
    </row>
    <row r="268" spans="1:5" x14ac:dyDescent="0.2">
      <c r="A268" t="e" cm="1">
        <f t="array" ref="A268">CHAR("1,5")</f>
        <v>#VALUE!</v>
      </c>
      <c r="B268">
        <f t="shared" si="12"/>
        <v>3</v>
      </c>
      <c r="C268">
        <f t="shared" si="13"/>
        <v>0</v>
      </c>
      <c r="D268" t="str">
        <f t="shared" si="14"/>
        <v/>
      </c>
      <c r="E268" t="s">
        <v>305</v>
      </c>
    </row>
    <row r="269" spans="1:5" x14ac:dyDescent="0.2">
      <c r="A269" t="e" cm="1">
        <f t="array" ref="A269">CHAR("abc")</f>
        <v>#VALUE!</v>
      </c>
      <c r="B269">
        <f t="shared" si="12"/>
        <v>3</v>
      </c>
      <c r="C269">
        <f t="shared" si="13"/>
        <v>0</v>
      </c>
      <c r="D269" t="str">
        <f t="shared" si="14"/>
        <v/>
      </c>
      <c r="E269" t="s">
        <v>306</v>
      </c>
    </row>
    <row r="270" spans="1:5" x14ac:dyDescent="0.2">
      <c r="A270" t="e" cm="1">
        <f t="array" ref="A270">CHAR("")</f>
        <v>#VALUE!</v>
      </c>
      <c r="B270">
        <f t="shared" si="12"/>
        <v>3</v>
      </c>
      <c r="C270">
        <f t="shared" si="13"/>
        <v>0</v>
      </c>
      <c r="D270" t="str">
        <f t="shared" si="14"/>
        <v/>
      </c>
      <c r="E270" t="s">
        <v>307</v>
      </c>
    </row>
    <row r="271" spans="1:5" x14ac:dyDescent="0.2">
      <c r="A271" t="str" cm="1">
        <f t="array" ref="A271">CHAR(TRUE)</f>
        <v>_x0001_</v>
      </c>
      <c r="B271">
        <f t="shared" si="12"/>
        <v>-3</v>
      </c>
      <c r="C271">
        <f t="shared" si="13"/>
        <v>0</v>
      </c>
      <c r="D271" t="str">
        <f t="shared" si="14"/>
        <v>_x0001_</v>
      </c>
      <c r="E271" t="s">
        <v>308</v>
      </c>
    </row>
    <row r="272" spans="1:5" x14ac:dyDescent="0.2">
      <c r="A272" t="e" cm="1">
        <f t="array" ref="A272">CHAR(FALSE)</f>
        <v>#VALUE!</v>
      </c>
      <c r="B272">
        <f t="shared" si="12"/>
        <v>3</v>
      </c>
      <c r="C272">
        <f t="shared" si="13"/>
        <v>0</v>
      </c>
      <c r="D272" t="str">
        <f t="shared" si="14"/>
        <v/>
      </c>
      <c r="E272" t="s">
        <v>309</v>
      </c>
    </row>
    <row r="273" spans="1:5" x14ac:dyDescent="0.2">
      <c r="A273" t="e" cm="1">
        <f t="array" ref="A273">CHAR(D!A1)</f>
        <v>#VALUE!</v>
      </c>
      <c r="B273">
        <f t="shared" si="12"/>
        <v>3</v>
      </c>
      <c r="C273">
        <f t="shared" si="13"/>
        <v>0</v>
      </c>
      <c r="D273" t="str">
        <f t="shared" si="14"/>
        <v/>
      </c>
      <c r="E273" t="s">
        <v>310</v>
      </c>
    </row>
    <row r="274" spans="1:5" x14ac:dyDescent="0.2">
      <c r="A274" t="str" cm="1">
        <f t="array" ref="A274">CHAR(G!B1)</f>
        <v>A</v>
      </c>
      <c r="B274">
        <f t="shared" si="12"/>
        <v>-3</v>
      </c>
      <c r="C274">
        <f t="shared" si="13"/>
        <v>0</v>
      </c>
      <c r="D274" t="str">
        <f t="shared" si="14"/>
        <v>A</v>
      </c>
      <c r="E274" t="s">
        <v>311</v>
      </c>
    </row>
    <row r="275" spans="1:5" x14ac:dyDescent="0.2">
      <c r="A275" t="e" cm="1">
        <f t="array" ref="A275">CHAR(G!B2)</f>
        <v>#VALUE!</v>
      </c>
      <c r="B275">
        <f t="shared" si="12"/>
        <v>3</v>
      </c>
      <c r="C275">
        <f t="shared" si="13"/>
        <v>0</v>
      </c>
      <c r="D275" t="str">
        <f t="shared" si="14"/>
        <v/>
      </c>
      <c r="E275" t="s">
        <v>312</v>
      </c>
    </row>
    <row r="276" spans="1:5" x14ac:dyDescent="0.2">
      <c r="A276" t="e" cm="1">
        <f t="array" ref="A276">CHAR(NA())</f>
        <v>#N/A</v>
      </c>
      <c r="B276">
        <f t="shared" si="12"/>
        <v>7</v>
      </c>
      <c r="C276">
        <f t="shared" si="13"/>
        <v>0</v>
      </c>
      <c r="D276" t="str">
        <f t="shared" si="14"/>
        <v/>
      </c>
      <c r="E276" t="s">
        <v>313</v>
      </c>
    </row>
    <row r="277" spans="1:5" x14ac:dyDescent="0.2">
      <c r="A277" t="e" cm="1">
        <f t="array" ref="A277">CHAR(1/0)</f>
        <v>#DIV/0!</v>
      </c>
      <c r="B277">
        <f t="shared" si="12"/>
        <v>2</v>
      </c>
      <c r="C277">
        <f t="shared" si="13"/>
        <v>0</v>
      </c>
      <c r="D277" t="str">
        <f t="shared" si="14"/>
        <v/>
      </c>
      <c r="E277" t="s">
        <v>314</v>
      </c>
    </row>
    <row r="278" spans="1:5" x14ac:dyDescent="0.2">
      <c r="A278" t="str" cm="1">
        <f t="array" ref="A278">_xlfn.TEXTJOIN("|",FALSE,CHAR({65,66,67}))</f>
        <v>A|B|C</v>
      </c>
      <c r="B278">
        <f t="shared" si="12"/>
        <v>-3</v>
      </c>
      <c r="C278">
        <f t="shared" si="13"/>
        <v>0</v>
      </c>
      <c r="D278" t="str">
        <f t="shared" si="14"/>
        <v>A|B|C</v>
      </c>
      <c r="E278" t="s">
        <v>315</v>
      </c>
    </row>
    <row r="279" spans="1:5" x14ac:dyDescent="0.2">
      <c r="A279" t="str" cm="1">
        <f t="array" ref="A279">_xlfn.TEXTJOIN("|",FALSE,CHAR(G!A1:A2))</f>
        <v>A|a</v>
      </c>
      <c r="B279">
        <f t="shared" si="12"/>
        <v>-3</v>
      </c>
      <c r="C279">
        <f t="shared" si="13"/>
        <v>0</v>
      </c>
      <c r="D279" t="str">
        <f t="shared" si="14"/>
        <v>A|a</v>
      </c>
      <c r="E279" t="s">
        <v>316</v>
      </c>
    </row>
    <row r="280" spans="1:5" x14ac:dyDescent="0.2">
      <c r="A280" t="str" cm="1">
        <f t="array" ref="A280">_xlfn.TEXTJOIN("|",FALSE,CHAR({1;127}))</f>
        <v>_x0001_|</v>
      </c>
      <c r="B280">
        <f t="shared" si="12"/>
        <v>-3</v>
      </c>
      <c r="C280">
        <f t="shared" si="13"/>
        <v>0</v>
      </c>
      <c r="D280" t="str">
        <f t="shared" si="14"/>
        <v>_x0001_|</v>
      </c>
      <c r="E280" t="s">
        <v>317</v>
      </c>
    </row>
    <row r="281" spans="1:5" x14ac:dyDescent="0.2">
      <c r="A281" cm="1">
        <f t="array" ref="A281">LEN(CHAR(200))</f>
        <v>1</v>
      </c>
      <c r="B281">
        <f t="shared" si="12"/>
        <v>0</v>
      </c>
      <c r="C281">
        <f t="shared" si="13"/>
        <v>1</v>
      </c>
      <c r="D281" t="str">
        <f t="shared" si="14"/>
        <v/>
      </c>
      <c r="E281" t="s">
        <v>318</v>
      </c>
    </row>
    <row r="282" spans="1:5" x14ac:dyDescent="0.2">
      <c r="A282" t="b" cm="1">
        <f t="array" ref="A282">ISTEXT(CHAR(255))</f>
        <v>1</v>
      </c>
      <c r="B282">
        <f t="shared" si="12"/>
        <v>-1</v>
      </c>
      <c r="C282">
        <f t="shared" si="13"/>
        <v>0</v>
      </c>
      <c r="D282" t="str">
        <f t="shared" si="14"/>
        <v/>
      </c>
      <c r="E282" t="s">
        <v>319</v>
      </c>
    </row>
    <row r="283" spans="1:5" x14ac:dyDescent="0.2">
      <c r="A283" cm="1">
        <f t="array" ref="A283">CODE("A")</f>
        <v>65</v>
      </c>
      <c r="B283">
        <f t="shared" si="12"/>
        <v>0</v>
      </c>
      <c r="C283">
        <f t="shared" si="13"/>
        <v>65</v>
      </c>
      <c r="D283" t="str">
        <f t="shared" si="14"/>
        <v/>
      </c>
      <c r="E283" t="s">
        <v>320</v>
      </c>
    </row>
    <row r="284" spans="1:5" x14ac:dyDescent="0.2">
      <c r="A284" cm="1">
        <f t="array" ref="A284">CODE("abc")</f>
        <v>97</v>
      </c>
      <c r="B284">
        <f t="shared" si="12"/>
        <v>0</v>
      </c>
      <c r="C284">
        <f t="shared" si="13"/>
        <v>97</v>
      </c>
      <c r="D284" t="str">
        <f t="shared" si="14"/>
        <v/>
      </c>
      <c r="E284" t="s">
        <v>321</v>
      </c>
    </row>
    <row r="285" spans="1:5" x14ac:dyDescent="0.2">
      <c r="A285" cm="1">
        <f t="array" ref="A285">CODE(" ")</f>
        <v>32</v>
      </c>
      <c r="B285">
        <f t="shared" si="12"/>
        <v>0</v>
      </c>
      <c r="C285">
        <f t="shared" si="13"/>
        <v>32</v>
      </c>
      <c r="D285" t="str">
        <f t="shared" si="14"/>
        <v/>
      </c>
      <c r="E285" t="s">
        <v>322</v>
      </c>
    </row>
    <row r="286" spans="1:5" x14ac:dyDescent="0.2">
      <c r="A286" cm="1">
        <f t="array" ref="A286">CODE("~")</f>
        <v>126</v>
      </c>
      <c r="B286">
        <f t="shared" si="12"/>
        <v>0</v>
      </c>
      <c r="C286">
        <f t="shared" si="13"/>
        <v>126</v>
      </c>
      <c r="D286" t="str">
        <f t="shared" si="14"/>
        <v/>
      </c>
      <c r="E286" t="s">
        <v>323</v>
      </c>
    </row>
    <row r="287" spans="1:5" x14ac:dyDescent="0.2">
      <c r="A287" t="e" cm="1">
        <f t="array" ref="A287">CODE("")</f>
        <v>#VALUE!</v>
      </c>
      <c r="B287">
        <f t="shared" si="12"/>
        <v>3</v>
      </c>
      <c r="C287">
        <f t="shared" si="13"/>
        <v>0</v>
      </c>
      <c r="D287" t="str">
        <f t="shared" si="14"/>
        <v/>
      </c>
      <c r="E287" t="s">
        <v>324</v>
      </c>
    </row>
    <row r="288" spans="1:5" x14ac:dyDescent="0.2">
      <c r="A288" cm="1">
        <f t="array" ref="A288">CODE(65)</f>
        <v>54</v>
      </c>
      <c r="B288">
        <f t="shared" si="12"/>
        <v>0</v>
      </c>
      <c r="C288">
        <f t="shared" si="13"/>
        <v>54</v>
      </c>
      <c r="D288" t="str">
        <f t="shared" si="14"/>
        <v/>
      </c>
      <c r="E288" t="s">
        <v>325</v>
      </c>
    </row>
    <row r="289" spans="1:5" x14ac:dyDescent="0.2">
      <c r="A289" cm="1">
        <f t="array" ref="A289">CODE(1.5)</f>
        <v>49</v>
      </c>
      <c r="B289">
        <f t="shared" si="12"/>
        <v>0</v>
      </c>
      <c r="C289">
        <f t="shared" si="13"/>
        <v>49</v>
      </c>
      <c r="D289" t="str">
        <f t="shared" si="14"/>
        <v/>
      </c>
      <c r="E289" t="s">
        <v>326</v>
      </c>
    </row>
    <row r="290" spans="1:5" x14ac:dyDescent="0.2">
      <c r="A290" cm="1">
        <f t="array" ref="A290">CODE(-1)</f>
        <v>45</v>
      </c>
      <c r="B290">
        <f t="shared" si="12"/>
        <v>0</v>
      </c>
      <c r="C290">
        <f t="shared" si="13"/>
        <v>45</v>
      </c>
      <c r="D290" t="str">
        <f t="shared" si="14"/>
        <v/>
      </c>
      <c r="E290" t="s">
        <v>327</v>
      </c>
    </row>
    <row r="291" spans="1:5" x14ac:dyDescent="0.2">
      <c r="A291" cm="1">
        <f t="array" ref="A291">CODE(0.5)</f>
        <v>48</v>
      </c>
      <c r="B291">
        <f t="shared" si="12"/>
        <v>0</v>
      </c>
      <c r="C291">
        <f t="shared" si="13"/>
        <v>48</v>
      </c>
      <c r="D291" t="str">
        <f t="shared" si="14"/>
        <v/>
      </c>
      <c r="E291" t="s">
        <v>328</v>
      </c>
    </row>
    <row r="292" spans="1:5" x14ac:dyDescent="0.2">
      <c r="A292" t="e" cm="1">
        <f t="array" ref="A292">CODE(D!A1)</f>
        <v>#VALUE!</v>
      </c>
      <c r="B292">
        <f t="shared" si="12"/>
        <v>3</v>
      </c>
      <c r="C292">
        <f t="shared" si="13"/>
        <v>0</v>
      </c>
      <c r="D292" t="str">
        <f t="shared" si="14"/>
        <v/>
      </c>
      <c r="E292" t="s">
        <v>329</v>
      </c>
    </row>
    <row r="293" spans="1:5" x14ac:dyDescent="0.2">
      <c r="A293" t="e" cm="1">
        <f t="array" ref="A293">CODE(G!B2)</f>
        <v>#VALUE!</v>
      </c>
      <c r="B293">
        <f t="shared" si="12"/>
        <v>3</v>
      </c>
      <c r="C293">
        <f t="shared" si="13"/>
        <v>0</v>
      </c>
      <c r="D293" t="str">
        <f t="shared" si="14"/>
        <v/>
      </c>
      <c r="E293" t="s">
        <v>330</v>
      </c>
    </row>
    <row r="294" spans="1:5" x14ac:dyDescent="0.2">
      <c r="A294" cm="1">
        <f t="array" ref="A294">CODE(G!B1)</f>
        <v>54</v>
      </c>
      <c r="B294">
        <f t="shared" si="12"/>
        <v>0</v>
      </c>
      <c r="C294">
        <f t="shared" si="13"/>
        <v>54</v>
      </c>
      <c r="D294" t="str">
        <f t="shared" si="14"/>
        <v/>
      </c>
      <c r="E294" t="s">
        <v>331</v>
      </c>
    </row>
    <row r="295" spans="1:5" x14ac:dyDescent="0.2">
      <c r="A295" t="e" cm="1">
        <f t="array" ref="A295">CODE(NA())</f>
        <v>#N/A</v>
      </c>
      <c r="B295">
        <f t="shared" si="12"/>
        <v>7</v>
      </c>
      <c r="C295">
        <f t="shared" si="13"/>
        <v>0</v>
      </c>
      <c r="D295" t="str">
        <f t="shared" si="14"/>
        <v/>
      </c>
      <c r="E295" t="s">
        <v>332</v>
      </c>
    </row>
    <row r="296" spans="1:5" x14ac:dyDescent="0.2">
      <c r="A296" cm="1">
        <f t="array" ref="A296">CODE(CHAR(10)&amp;"x")</f>
        <v>10</v>
      </c>
      <c r="B296">
        <f t="shared" si="12"/>
        <v>0</v>
      </c>
      <c r="C296">
        <f t="shared" si="13"/>
        <v>10</v>
      </c>
      <c r="D296" t="str">
        <f t="shared" si="14"/>
        <v/>
      </c>
      <c r="E296" t="s">
        <v>333</v>
      </c>
    </row>
    <row r="297" spans="1:5" x14ac:dyDescent="0.2">
      <c r="A297" cm="1">
        <f t="array" ref="A297">CODE("中")</f>
        <v>95</v>
      </c>
      <c r="B297">
        <f t="shared" si="12"/>
        <v>0</v>
      </c>
      <c r="C297">
        <f t="shared" si="13"/>
        <v>95</v>
      </c>
      <c r="D297" t="str">
        <f t="shared" si="14"/>
        <v/>
      </c>
      <c r="E297" t="s">
        <v>334</v>
      </c>
    </row>
    <row r="298" spans="1:5" x14ac:dyDescent="0.2">
      <c r="A298" cm="1">
        <f t="array" ref="A298">CODE("😀")</f>
        <v>95</v>
      </c>
      <c r="B298">
        <f t="shared" si="12"/>
        <v>0</v>
      </c>
      <c r="C298">
        <f t="shared" si="13"/>
        <v>95</v>
      </c>
      <c r="D298" t="str">
        <f t="shared" si="14"/>
        <v/>
      </c>
      <c r="E298" t="s">
        <v>335</v>
      </c>
    </row>
    <row r="299" spans="1:5" x14ac:dyDescent="0.2">
      <c r="A299" cm="1">
        <f t="array" ref="A299">CODE("ā")</f>
        <v>95</v>
      </c>
      <c r="B299">
        <f t="shared" si="12"/>
        <v>0</v>
      </c>
      <c r="C299">
        <f t="shared" si="13"/>
        <v>95</v>
      </c>
      <c r="D299" t="str">
        <f t="shared" si="14"/>
        <v/>
      </c>
      <c r="E299" t="s">
        <v>336</v>
      </c>
    </row>
    <row r="300" spans="1:5" x14ac:dyDescent="0.2">
      <c r="A300" cm="1">
        <f t="array" ref="A300">CODE("Ā")</f>
        <v>95</v>
      </c>
      <c r="B300">
        <f t="shared" si="12"/>
        <v>0</v>
      </c>
      <c r="C300">
        <f t="shared" si="13"/>
        <v>95</v>
      </c>
      <c r="D300" t="str">
        <f t="shared" si="14"/>
        <v/>
      </c>
      <c r="E300" t="s">
        <v>337</v>
      </c>
    </row>
    <row r="301" spans="1:5" x14ac:dyDescent="0.2">
      <c r="A301" cm="1">
        <f t="array" ref="A301">CODE("ŋ")</f>
        <v>95</v>
      </c>
      <c r="B301">
        <f t="shared" si="12"/>
        <v>0</v>
      </c>
      <c r="C301">
        <f t="shared" si="13"/>
        <v>95</v>
      </c>
      <c r="D301" t="str">
        <f t="shared" si="14"/>
        <v/>
      </c>
      <c r="E301" t="s">
        <v>338</v>
      </c>
    </row>
    <row r="302" spans="1:5" x14ac:dyDescent="0.2">
      <c r="A302" cm="1">
        <f t="array" ref="A302">CODE("ğ")</f>
        <v>95</v>
      </c>
      <c r="B302">
        <f t="shared" si="12"/>
        <v>0</v>
      </c>
      <c r="C302">
        <f t="shared" si="13"/>
        <v>95</v>
      </c>
      <c r="D302" t="str">
        <f t="shared" si="14"/>
        <v/>
      </c>
      <c r="E302" t="s">
        <v>339</v>
      </c>
    </row>
    <row r="303" spans="1:5" x14ac:dyDescent="0.2">
      <c r="A303" cm="1">
        <f t="array" ref="A303">CODE("ʃ")</f>
        <v>95</v>
      </c>
      <c r="B303">
        <f t="shared" si="12"/>
        <v>0</v>
      </c>
      <c r="C303">
        <f t="shared" si="13"/>
        <v>95</v>
      </c>
      <c r="D303" t="str">
        <f t="shared" si="14"/>
        <v/>
      </c>
      <c r="E303" t="s">
        <v>340</v>
      </c>
    </row>
    <row r="304" spans="1:5" x14ac:dyDescent="0.2">
      <c r="A304" cm="1">
        <f t="array" ref="A304">SUM(CODE({"A","b"}))</f>
        <v>163</v>
      </c>
      <c r="B304">
        <f t="shared" si="12"/>
        <v>0</v>
      </c>
      <c r="C304">
        <f t="shared" si="13"/>
        <v>163</v>
      </c>
      <c r="D304" t="str">
        <f t="shared" si="14"/>
        <v/>
      </c>
      <c r="E304" t="s">
        <v>341</v>
      </c>
    </row>
    <row r="305" spans="1:5" x14ac:dyDescent="0.2">
      <c r="A305" cm="1">
        <f t="array" ref="A305">SUM(CODE(G!A3:A4))</f>
        <v>164</v>
      </c>
      <c r="B305">
        <f t="shared" si="12"/>
        <v>0</v>
      </c>
      <c r="C305">
        <f t="shared" si="13"/>
        <v>164</v>
      </c>
      <c r="D305" t="str">
        <f t="shared" si="14"/>
        <v/>
      </c>
      <c r="E305" t="s">
        <v>342</v>
      </c>
    </row>
    <row r="306" spans="1:5" x14ac:dyDescent="0.2">
      <c r="A306" t="s">
        <v>343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</vt:lpstr>
      <vt:lpstr>D</vt:lpstr>
      <vt:lpstr>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2026-10-07T08:57:44Z</dcterms:created>
  <dcterms:modified xsi:type="dcterms:W3CDTF">2026-10-07T08:57:45Z</dcterms:modified>
  <cp:category/>
</cp:coreProperties>
</file>