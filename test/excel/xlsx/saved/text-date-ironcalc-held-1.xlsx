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1"/>
  <workbookPr filterPrivacy="1"/>
  <xr:revisionPtr revIDLastSave="0" documentId="8_{304AA2A4-577F-D34A-A51D-BDF1E4D0FFF4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Tx" sheetId="1" r:id="rId1"/>
    <sheet name="D" sheetId="2" r:id="rId2"/>
    <sheet name="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" i="3" l="1" a="1"/>
  <c r="A19" i="3"/>
  <c r="D19" i="3" s="1"/>
  <c r="A18" i="3" a="1"/>
  <c r="A18" i="3" s="1"/>
  <c r="A17" i="3" a="1"/>
  <c r="A17" i="3" s="1"/>
  <c r="A16" i="3" a="1"/>
  <c r="A16" i="3" s="1"/>
  <c r="A15" i="3" a="1"/>
  <c r="A15" i="3" s="1"/>
  <c r="A14" i="3" a="1"/>
  <c r="A14" i="3" s="1"/>
  <c r="A13" i="3" a="1"/>
  <c r="A13" i="3" s="1"/>
  <c r="A12" i="3" a="1"/>
  <c r="A12" i="3" s="1"/>
  <c r="A11" i="3" a="1"/>
  <c r="A11" i="3" s="1"/>
  <c r="D11" i="3" s="1"/>
  <c r="D10" i="3"/>
  <c r="C10" i="3"/>
  <c r="A10" i="3" a="1"/>
  <c r="A10" i="3"/>
  <c r="B10" i="3" s="1"/>
  <c r="A9" i="3" a="1"/>
  <c r="A9" i="3" s="1"/>
  <c r="A8" i="3" a="1"/>
  <c r="A8" i="3"/>
  <c r="D8" i="3" s="1"/>
  <c r="A7" i="3" a="1"/>
  <c r="A7" i="3"/>
  <c r="D7" i="3" s="1"/>
  <c r="A6" i="3" a="1"/>
  <c r="A6" i="3" s="1"/>
  <c r="A5" i="3" a="1"/>
  <c r="A5" i="3" s="1"/>
  <c r="A4" i="3" a="1"/>
  <c r="A4" i="3" s="1"/>
  <c r="A3" i="3" a="1"/>
  <c r="A3" i="3" s="1"/>
  <c r="A2" i="3" a="1"/>
  <c r="A2" i="3" s="1"/>
  <c r="A1" i="3" a="1"/>
  <c r="A1" i="3" s="1"/>
  <c r="I15" i="2"/>
  <c r="A14" i="2"/>
  <c r="A13" i="2"/>
  <c r="AL10" i="2"/>
  <c r="A8" i="2"/>
  <c r="A7" i="2"/>
  <c r="E3" i="2"/>
  <c r="A1" i="1"/>
  <c r="C12" i="3" l="1"/>
  <c r="D12" i="3"/>
  <c r="D18" i="3"/>
  <c r="C18" i="3"/>
  <c r="B18" i="3"/>
  <c r="C2" i="3"/>
  <c r="B2" i="3"/>
  <c r="D2" i="3"/>
  <c r="B4" i="3"/>
  <c r="C4" i="3"/>
  <c r="D4" i="3"/>
  <c r="B5" i="3"/>
  <c r="D5" i="3"/>
  <c r="C5" i="3"/>
  <c r="D6" i="3"/>
  <c r="B6" i="3"/>
  <c r="C6" i="3"/>
  <c r="B9" i="3"/>
  <c r="D9" i="3"/>
  <c r="C9" i="3"/>
  <c r="D3" i="3"/>
  <c r="C3" i="3"/>
  <c r="B3" i="3"/>
  <c r="C14" i="3"/>
  <c r="B14" i="3"/>
  <c r="D14" i="3"/>
  <c r="D15" i="3"/>
  <c r="B15" i="3"/>
  <c r="C15" i="3"/>
  <c r="C16" i="3"/>
  <c r="D16" i="3"/>
  <c r="B16" i="3"/>
  <c r="C17" i="3"/>
  <c r="D17" i="3"/>
  <c r="B17" i="3"/>
  <c r="D1" i="3"/>
  <c r="C1" i="3"/>
  <c r="B1" i="3"/>
  <c r="D13" i="3"/>
  <c r="B13" i="3"/>
  <c r="C13" i="3"/>
  <c r="B8" i="3"/>
  <c r="C7" i="3"/>
  <c r="C8" i="3"/>
  <c r="B19" i="3"/>
  <c r="B7" i="3"/>
  <c r="B12" i="3"/>
  <c r="C19" i="3"/>
  <c r="B11" i="3"/>
  <c r="C1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<sst xmlns="http://schemas.openxmlformats.org/spreadsheetml/2006/main" count="79" uniqueCount="56">
  <si>
    <t>mm###</t>
  </si>
  <si>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</si>
  <si>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</si>
  <si>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</si>
  <si>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</si>
  <si>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</si>
  <si>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</si>
  <si>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</si>
  <si>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</si>
  <si>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</si>
  <si>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</si>
  <si>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</si>
  <si>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</si>
  <si>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</si>
  <si>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</si>
  <si>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</si>
  <si>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</si>
  <si>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</si>
  <si>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</si>
  <si>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</si>
  <si>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</si>
  <si>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</si>
  <si>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</si>
  <si>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</si>
  <si>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</si>
  <si>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</si>
  <si>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</si>
  <si>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</si>
  <si>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</si>
  <si>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</si>
  <si>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</si>
  <si>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</si>
  <si>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</si>
  <si>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</si>
  <si>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</si>
  <si>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</si>
  <si>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TEXT#1</t>
  </si>
  <si>
    <t>TEXT#2</t>
  </si>
  <si>
    <t>TEXT#3</t>
  </si>
  <si>
    <t>TEXT#4</t>
  </si>
  <si>
    <t>TEXT#5</t>
  </si>
  <si>
    <t>TEXT#6</t>
  </si>
  <si>
    <t>TEXT#7</t>
  </si>
  <si>
    <t>TEXT#8</t>
  </si>
  <si>
    <t>TEXT#9</t>
  </si>
  <si>
    <t>TEXT#10</t>
  </si>
  <si>
    <t>TEXT#11</t>
  </si>
  <si>
    <t>TEXT#12</t>
  </si>
  <si>
    <t>TEXT#13</t>
  </si>
  <si>
    <t>TEXT#14</t>
  </si>
  <si>
    <t>TEXT#15</t>
  </si>
  <si>
    <t>TEXT#16</t>
  </si>
  <si>
    <t>TEXT#17</t>
  </si>
  <si>
    <t>TEXT#18</t>
  </si>
  <si>
    <t>TEXT#19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</si>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</sst>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/>
  </sheetViews>
  <sheetFormatPr baseColWidth="10" defaultColWidth="8.83203125" defaultRowHeight="15" x14ac:dyDescent="0.2"/>
  <sheetData>
    <row r="1" spans="1:2" x14ac:dyDescent="0.2">
      <c r="A1">
        <f>42042+123</f>
        <v>42165</v>
      </c>
      <c r="B1" t="s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1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2</v>
      </c>
      <c r="N1">
        <v>10</v>
      </c>
      <c r="P1">
        <v>1</v>
      </c>
      <c r="Q1">
        <v>2</v>
      </c>
      <c r="R1">
        <v>5</v>
      </c>
      <c r="S1">
        <v>6</v>
      </c>
      <c r="U1" t="s">
        <v>3</v>
      </c>
      <c r="V1" t="s">
        <v>4</v>
      </c>
      <c r="W1" t="s">
        <v>5</v>
      </c>
      <c r="X1" t="s">
        <v>6</v>
      </c>
      <c r="Y1" t="s">
        <v>7</v>
      </c>
      <c r="AA1" t="s">
        <v>3</v>
      </c>
      <c r="AB1" t="s">
        <v>4</v>
      </c>
      <c r="AC1" t="s">
        <v>3</v>
      </c>
      <c r="AD1" t="s">
        <v>3</v>
      </c>
      <c r="AE1" t="s">
        <v>3</v>
      </c>
      <c r="AF1" t="s">
        <v>3</v>
      </c>
      <c r="AG1" t="s">
        <v>3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8</v>
      </c>
    </row>
    <row r="2" spans="1:60" x14ac:dyDescent="0.2">
      <c r="A2" t="s">
        <v>9</v>
      </c>
      <c r="B2">
        <v>8</v>
      </c>
      <c r="C2">
        <v>7</v>
      </c>
      <c r="D2" t="s">
        <v>9</v>
      </c>
      <c r="E2">
        <v>2</v>
      </c>
      <c r="F2" t="s">
        <v>10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11</v>
      </c>
      <c r="N2">
        <v>20</v>
      </c>
      <c r="P2">
        <v>3</v>
      </c>
      <c r="Q2">
        <v>4</v>
      </c>
      <c r="R2">
        <v>7</v>
      </c>
      <c r="S2">
        <v>8</v>
      </c>
      <c r="U2" t="s">
        <v>12</v>
      </c>
      <c r="V2">
        <v>18</v>
      </c>
      <c r="W2">
        <v>20</v>
      </c>
      <c r="X2">
        <v>14</v>
      </c>
      <c r="Y2">
        <v>105</v>
      </c>
      <c r="AA2" t="s">
        <v>12</v>
      </c>
      <c r="AB2" t="s">
        <v>13</v>
      </c>
      <c r="AC2" t="s">
        <v>14</v>
      </c>
      <c r="AD2" t="s">
        <v>15</v>
      </c>
      <c r="AE2" t="s">
        <v>16</v>
      </c>
      <c r="AF2" t="s">
        <v>17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18</v>
      </c>
      <c r="B3">
        <v>15</v>
      </c>
      <c r="C3">
        <v>11</v>
      </c>
      <c r="D3" t="s">
        <v>18</v>
      </c>
      <c r="E3" t="e">
        <f>1/0</f>
        <v>#DIV/0!</v>
      </c>
      <c r="F3" t="s">
        <v>19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20</v>
      </c>
      <c r="N3">
        <v>30</v>
      </c>
      <c r="U3" t="s">
        <v>14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18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21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22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23</v>
      </c>
      <c r="N4">
        <v>50</v>
      </c>
      <c r="P4">
        <v>1</v>
      </c>
      <c r="Q4">
        <v>2</v>
      </c>
      <c r="R4">
        <v>3</v>
      </c>
      <c r="U4" t="s">
        <v>16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8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24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25</v>
      </c>
      <c r="N5">
        <v>80</v>
      </c>
      <c r="P5">
        <v>4</v>
      </c>
      <c r="Q5">
        <v>5</v>
      </c>
      <c r="R5">
        <v>6</v>
      </c>
      <c r="U5" t="s">
        <v>12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26</v>
      </c>
      <c r="AP5" s="1">
        <v>39786</v>
      </c>
      <c r="AS5" t="s">
        <v>27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28</v>
      </c>
      <c r="G6">
        <v>32</v>
      </c>
      <c r="H6" s="1">
        <v>45473</v>
      </c>
      <c r="L6">
        <v>13</v>
      </c>
      <c r="M6" t="s">
        <v>29</v>
      </c>
      <c r="N6">
        <v>130</v>
      </c>
      <c r="U6" t="s">
        <v>14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30</v>
      </c>
      <c r="G7">
        <v>64</v>
      </c>
      <c r="H7" s="1">
        <v>46022</v>
      </c>
      <c r="I7">
        <v>-10000</v>
      </c>
      <c r="J7">
        <v>100</v>
      </c>
      <c r="U7" t="s">
        <v>12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31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32</v>
      </c>
      <c r="AU8" s="1">
        <v>39448</v>
      </c>
      <c r="BG8">
        <v>2</v>
      </c>
    </row>
    <row r="9" spans="1:60" x14ac:dyDescent="0.2">
      <c r="A9" t="s">
        <v>33</v>
      </c>
      <c r="I9">
        <v>4200</v>
      </c>
      <c r="J9">
        <v>300</v>
      </c>
      <c r="L9" t="s">
        <v>2</v>
      </c>
      <c r="M9" t="s">
        <v>11</v>
      </c>
      <c r="N9" t="s">
        <v>20</v>
      </c>
      <c r="O9" t="s">
        <v>23</v>
      </c>
      <c r="P9" t="s">
        <v>25</v>
      </c>
      <c r="Q9" t="s">
        <v>29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34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35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"/>
  <sheetViews>
    <sheetView workbookViewId="0"/>
  </sheetViews>
  <sheetFormatPr baseColWidth="10" defaultColWidth="8.83203125" defaultRowHeight="15" x14ac:dyDescent="0.2"/>
  <sheetData>
    <row r="1" spans="1:5" x14ac:dyDescent="0.2">
      <c r="A1" t="e" cm="1">
        <f t="array" ref="A1">TEXT(41181,"mm###")</f>
        <v>#VALUE!</v>
      </c>
      <c r="B1">
        <f t="shared" ref="B1:B19" si="0">IF(ISERROR(A1),ERROR.TYPE(A1),IF(ISNUMBER(A1),0,IF(ISLOGICAL(A1),IF(A1,-1,-2),IF(ISTEXT(A1),-3,-4))))</f>
        <v>3</v>
      </c>
      <c r="C1">
        <f t="shared" ref="C1:C19" si="1">IF(ISNUMBER(A1),A1,0)</f>
        <v>0</v>
      </c>
      <c r="D1" t="str">
        <f t="shared" ref="D1:D19" si="2">IF(ISTEXT(A1),A1,"")</f>
        <v/>
      </c>
      <c r="E1" t="s">
        <v>36</v>
      </c>
    </row>
    <row r="2" spans="1:5" x14ac:dyDescent="0.2">
      <c r="A2" t="e" cm="1">
        <f t="array" ref="A2">TEXT(1,"mm###")</f>
        <v>#VALUE!</v>
      </c>
      <c r="B2">
        <f t="shared" si="0"/>
        <v>3</v>
      </c>
      <c r="C2">
        <f t="shared" si="1"/>
        <v>0</v>
      </c>
      <c r="D2" t="str">
        <f t="shared" si="2"/>
        <v/>
      </c>
      <c r="E2" t="s">
        <v>37</v>
      </c>
    </row>
    <row r="3" spans="1:5" x14ac:dyDescent="0.2">
      <c r="A3" t="e" cm="1">
        <f t="array" ref="A3">TEXT(Tx!A1,Tx!B1)</f>
        <v>#VALUE!</v>
      </c>
      <c r="B3">
        <f t="shared" si="0"/>
        <v>3</v>
      </c>
      <c r="C3">
        <f t="shared" si="1"/>
        <v>0</v>
      </c>
      <c r="D3" t="str">
        <f t="shared" si="2"/>
        <v/>
      </c>
      <c r="E3" t="s">
        <v>38</v>
      </c>
    </row>
    <row r="4" spans="1:5" x14ac:dyDescent="0.2">
      <c r="A4" t="e" cm="1">
        <f t="array" ref="A4">TEXT(41181,"mm0")</f>
        <v>#VALUE!</v>
      </c>
      <c r="B4">
        <f t="shared" si="0"/>
        <v>3</v>
      </c>
      <c r="C4">
        <f t="shared" si="1"/>
        <v>0</v>
      </c>
      <c r="D4" t="str">
        <f t="shared" si="2"/>
        <v/>
      </c>
      <c r="E4" t="s">
        <v>39</v>
      </c>
    </row>
    <row r="5" spans="1:5" x14ac:dyDescent="0.2">
      <c r="A5" t="e" cm="1">
        <f t="array" ref="A5">TEXT(41181,"mm?")</f>
        <v>#VALUE!</v>
      </c>
      <c r="B5">
        <f t="shared" si="0"/>
        <v>3</v>
      </c>
      <c r="C5">
        <f t="shared" si="1"/>
        <v>0</v>
      </c>
      <c r="D5" t="str">
        <f t="shared" si="2"/>
        <v/>
      </c>
      <c r="E5" t="s">
        <v>40</v>
      </c>
    </row>
    <row r="6" spans="1:5" x14ac:dyDescent="0.2">
      <c r="A6" t="e" cm="1">
        <f t="array" ref="A6">TEXT(41181,"yyyy#")</f>
        <v>#VALUE!</v>
      </c>
      <c r="B6">
        <f t="shared" si="0"/>
        <v>3</v>
      </c>
      <c r="C6">
        <f t="shared" si="1"/>
        <v>0</v>
      </c>
      <c r="D6" t="str">
        <f t="shared" si="2"/>
        <v/>
      </c>
      <c r="E6" t="s">
        <v>41</v>
      </c>
    </row>
    <row r="7" spans="1:5" x14ac:dyDescent="0.2">
      <c r="A7" t="e" cm="1">
        <f t="array" ref="A7">TEXT(41181,"0.0 yyyy")</f>
        <v>#VALUE!</v>
      </c>
      <c r="B7">
        <f t="shared" si="0"/>
        <v>3</v>
      </c>
      <c r="C7">
        <f t="shared" si="1"/>
        <v>0</v>
      </c>
      <c r="D7" t="str">
        <f t="shared" si="2"/>
        <v/>
      </c>
      <c r="E7" t="s">
        <v>42</v>
      </c>
    </row>
    <row r="8" spans="1:5" x14ac:dyDescent="0.2">
      <c r="A8" t="e" cm="1">
        <f t="array" ref="A8">TEXT(41181,"#,##0 mm")</f>
        <v>#VALUE!</v>
      </c>
      <c r="B8">
        <f t="shared" si="0"/>
        <v>3</v>
      </c>
      <c r="C8">
        <f t="shared" si="1"/>
        <v>0</v>
      </c>
      <c r="D8" t="str">
        <f t="shared" si="2"/>
        <v/>
      </c>
      <c r="E8" t="s">
        <v>43</v>
      </c>
    </row>
    <row r="9" spans="1:5" x14ac:dyDescent="0.2">
      <c r="A9" t="e" cm="1">
        <f t="array" ref="A9">TEXT(41181.5,"hh 00")</f>
        <v>#VALUE!</v>
      </c>
      <c r="B9">
        <f t="shared" si="0"/>
        <v>3</v>
      </c>
      <c r="C9">
        <f t="shared" si="1"/>
        <v>0</v>
      </c>
      <c r="D9" t="str">
        <f t="shared" si="2"/>
        <v/>
      </c>
      <c r="E9" t="s">
        <v>44</v>
      </c>
    </row>
    <row r="10" spans="1:5" x14ac:dyDescent="0.2">
      <c r="A10" t="e" cm="1">
        <f t="array" ref="A10">TEXT(1.5,"[h] #")</f>
        <v>#VALUE!</v>
      </c>
      <c r="B10">
        <f t="shared" si="0"/>
        <v>3</v>
      </c>
      <c r="C10">
        <f t="shared" si="1"/>
        <v>0</v>
      </c>
      <c r="D10" t="str">
        <f t="shared" si="2"/>
        <v/>
      </c>
      <c r="E10" t="s">
        <v>45</v>
      </c>
    </row>
    <row r="11" spans="1:5" x14ac:dyDescent="0.2">
      <c r="A11" t="str" cm="1">
        <f t="array" ref="A11">TEXT(41181.5,"mm.00")</f>
        <v>00.00</v>
      </c>
      <c r="B11">
        <f t="shared" si="0"/>
        <v>-3</v>
      </c>
      <c r="C11">
        <f t="shared" si="1"/>
        <v>0</v>
      </c>
      <c r="D11" t="str">
        <f t="shared" si="2"/>
        <v>00.00</v>
      </c>
      <c r="E11" t="s">
        <v>46</v>
      </c>
    </row>
    <row r="12" spans="1:5" x14ac:dyDescent="0.2">
      <c r="A12" t="str" cm="1">
        <f t="array" ref="A12">TEXT(41181.5,"hh:mm:ss.00")</f>
        <v>12:00:00.00</v>
      </c>
      <c r="B12">
        <f t="shared" si="0"/>
        <v>-3</v>
      </c>
      <c r="C12">
        <f t="shared" si="1"/>
        <v>0</v>
      </c>
      <c r="D12" t="str">
        <f t="shared" si="2"/>
        <v>12:00:00.00</v>
      </c>
      <c r="E12" t="s">
        <v>47</v>
      </c>
    </row>
    <row r="13" spans="1:5" x14ac:dyDescent="0.2">
      <c r="A13" t="str" cm="1">
        <f t="array" ref="A13">TEXT(41181.5,"ss.000")</f>
        <v>00.000</v>
      </c>
      <c r="B13">
        <f t="shared" si="0"/>
        <v>-3</v>
      </c>
      <c r="C13">
        <f t="shared" si="1"/>
        <v>0</v>
      </c>
      <c r="D13" t="str">
        <f t="shared" si="2"/>
        <v>00.000</v>
      </c>
      <c r="E13" t="s">
        <v>48</v>
      </c>
    </row>
    <row r="14" spans="1:5" x14ac:dyDescent="0.2">
      <c r="A14" t="e" cm="1">
        <f t="array" ref="A14">TEXT(41181.5,"hh:mm:ss.##")</f>
        <v>#VALUE!</v>
      </c>
      <c r="B14">
        <f t="shared" si="0"/>
        <v>3</v>
      </c>
      <c r="C14">
        <f t="shared" si="1"/>
        <v>0</v>
      </c>
      <c r="D14" t="str">
        <f t="shared" si="2"/>
        <v/>
      </c>
      <c r="E14" t="s">
        <v>49</v>
      </c>
    </row>
    <row r="15" spans="1:5" x14ac:dyDescent="0.2">
      <c r="A15" t="e" cm="1">
        <f t="array" ref="A15">TEXT(41181.5,"hh:mm:ss.0#")</f>
        <v>#VALUE!</v>
      </c>
      <c r="B15">
        <f t="shared" si="0"/>
        <v>3</v>
      </c>
      <c r="C15">
        <f t="shared" si="1"/>
        <v>0</v>
      </c>
      <c r="D15" t="str">
        <f t="shared" si="2"/>
        <v/>
      </c>
      <c r="E15" t="s">
        <v>50</v>
      </c>
    </row>
    <row r="16" spans="1:5" x14ac:dyDescent="0.2">
      <c r="A16" t="str" cm="1">
        <f t="array" ref="A16">TEXT(41181,"mm\#")</f>
        <v>09#</v>
      </c>
      <c r="B16">
        <f t="shared" si="0"/>
        <v>-3</v>
      </c>
      <c r="C16">
        <f t="shared" si="1"/>
        <v>0</v>
      </c>
      <c r="D16" t="str">
        <f t="shared" si="2"/>
        <v>09#</v>
      </c>
      <c r="E16" t="s">
        <v>51</v>
      </c>
    </row>
    <row r="17" spans="1:5" x14ac:dyDescent="0.2">
      <c r="A17" t="str" cm="1">
        <f t="array" ref="A17">TEXT(41181,"mm""#""")</f>
        <v>09#</v>
      </c>
      <c r="B17">
        <f t="shared" si="0"/>
        <v>-3</v>
      </c>
      <c r="C17">
        <f t="shared" si="1"/>
        <v>0</v>
      </c>
      <c r="D17" t="str">
        <f t="shared" si="2"/>
        <v>09#</v>
      </c>
      <c r="E17" t="s">
        <v>52</v>
      </c>
    </row>
    <row r="18" spans="1:5" x14ac:dyDescent="0.2">
      <c r="A18" t="str" cm="1">
        <f t="array" ref="A18">TEXT(41181,"mm;###")</f>
        <v>09</v>
      </c>
      <c r="B18">
        <f t="shared" si="0"/>
        <v>-3</v>
      </c>
      <c r="C18">
        <f t="shared" si="1"/>
        <v>0</v>
      </c>
      <c r="D18" t="str">
        <f t="shared" si="2"/>
        <v>09</v>
      </c>
      <c r="E18" t="s">
        <v>53</v>
      </c>
    </row>
    <row r="19" spans="1:5" x14ac:dyDescent="0.2">
      <c r="A19" t="str" cm="1">
        <f t="array" ref="A19">TEXT(-5,"mm;###")</f>
        <v>5</v>
      </c>
      <c r="B19">
        <f t="shared" si="0"/>
        <v>-3</v>
      </c>
      <c r="C19">
        <f t="shared" si="1"/>
        <v>0</v>
      </c>
      <c r="D19" t="str">
        <f t="shared" si="2"/>
        <v>5</v>
      </c>
      <c r="E19" t="s">
        <v>54</v>
      </c>
    </row>
    <row r="20" spans="1:5" x14ac:dyDescent="0.2">
      <c r="A20" t="s">
        <v>55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Tx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2026-10-17T13:08:47Z</dcterms:created>
  <dcterms:modified xsi:type="dcterms:W3CDTF">2026-10-17T13:08:48Z</dcterms:modified>
  <cp:category/>
</cp:coreProperties>
</file>