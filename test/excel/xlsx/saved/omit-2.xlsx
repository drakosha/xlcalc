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EC0A60C-2525-F947-860A-0FB343DE5E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D399" i="2" s="1"/>
  <c r="A398" i="2" a="1"/>
  <c r="A398" i="2" s="1"/>
  <c r="D398" i="2" s="1"/>
  <c r="A397" i="2" a="1"/>
  <c r="A397" i="2" s="1"/>
  <c r="A396" i="2" a="1"/>
  <c r="A396" i="2"/>
  <c r="A395" i="2" a="1"/>
  <c r="A395" i="2" s="1"/>
  <c r="A394" i="2" a="1"/>
  <c r="A394" i="2" s="1"/>
  <c r="A393" i="2" a="1"/>
  <c r="A393" i="2" s="1"/>
  <c r="A392" i="2" a="1"/>
  <c r="A392" i="2"/>
  <c r="A391" i="2" a="1"/>
  <c r="A391" i="2" s="1"/>
  <c r="D391" i="2" s="1"/>
  <c r="A390" i="2" a="1"/>
  <c r="A390" i="2" s="1"/>
  <c r="D390" i="2" s="1"/>
  <c r="A389" i="2" a="1"/>
  <c r="A389" i="2" s="1"/>
  <c r="A388" i="2" a="1"/>
  <c r="A388" i="2"/>
  <c r="D388" i="2" s="1"/>
  <c r="A387" i="2" a="1"/>
  <c r="A387" i="2" s="1"/>
  <c r="A386" i="2" a="1"/>
  <c r="A386" i="2" s="1"/>
  <c r="A385" i="2" a="1"/>
  <c r="A385" i="2"/>
  <c r="A384" i="2" a="1"/>
  <c r="A384" i="2" s="1"/>
  <c r="C384" i="2" s="1"/>
  <c r="A383" i="2" a="1"/>
  <c r="A383" i="2" s="1"/>
  <c r="B383" i="2" s="1"/>
  <c r="A382" i="2" a="1"/>
  <c r="A382" i="2"/>
  <c r="D382" i="2" s="1"/>
  <c r="A381" i="2" a="1"/>
  <c r="A381" i="2" s="1"/>
  <c r="C381" i="2" s="1"/>
  <c r="A380" i="2" a="1"/>
  <c r="A380" i="2" s="1"/>
  <c r="A379" i="2" a="1"/>
  <c r="A379" i="2" s="1"/>
  <c r="C379" i="2" s="1"/>
  <c r="A378" i="2" a="1"/>
  <c r="A378" i="2"/>
  <c r="A377" i="2" a="1"/>
  <c r="A377" i="2" s="1"/>
  <c r="A376" i="2" a="1"/>
  <c r="A376" i="2"/>
  <c r="D376" i="2" s="1"/>
  <c r="A375" i="2" a="1"/>
  <c r="A375" i="2"/>
  <c r="C375" i="2" s="1"/>
  <c r="A374" i="2" a="1"/>
  <c r="A374" i="2"/>
  <c r="D374" i="2" s="1"/>
  <c r="A373" i="2" a="1"/>
  <c r="A373" i="2" s="1"/>
  <c r="D373" i="2" s="1"/>
  <c r="A372" i="2" a="1"/>
  <c r="A372" i="2" s="1"/>
  <c r="B372" i="2" s="1"/>
  <c r="A371" i="2" a="1"/>
  <c r="A371" i="2" s="1"/>
  <c r="A370" i="2" a="1"/>
  <c r="A370" i="2"/>
  <c r="B370" i="2" s="1"/>
  <c r="A369" i="2" a="1"/>
  <c r="A369" i="2"/>
  <c r="A368" i="2" a="1"/>
  <c r="A368" i="2"/>
  <c r="D368" i="2" s="1"/>
  <c r="A367" i="2" a="1"/>
  <c r="A367" i="2"/>
  <c r="A366" i="2" a="1"/>
  <c r="A366" i="2" s="1"/>
  <c r="B366" i="2" s="1"/>
  <c r="A365" i="2" a="1"/>
  <c r="A365" i="2" s="1"/>
  <c r="D365" i="2" s="1"/>
  <c r="A364" i="2" a="1"/>
  <c r="A364" i="2" s="1"/>
  <c r="D363" i="2"/>
  <c r="C363" i="2"/>
  <c r="A363" i="2" a="1"/>
  <c r="A363" i="2" s="1"/>
  <c r="B363" i="2" s="1"/>
  <c r="A362" i="2" a="1"/>
  <c r="A362" i="2" s="1"/>
  <c r="A361" i="2" a="1"/>
  <c r="A361" i="2" s="1"/>
  <c r="B361" i="2" s="1"/>
  <c r="A360" i="2" a="1"/>
  <c r="A360" i="2"/>
  <c r="A359" i="2" a="1"/>
  <c r="A359" i="2" s="1"/>
  <c r="A358" i="2" a="1"/>
  <c r="A358" i="2" s="1"/>
  <c r="A357" i="2" a="1"/>
  <c r="A357" i="2" s="1"/>
  <c r="A356" i="2" a="1"/>
  <c r="A356" i="2" s="1"/>
  <c r="A355" i="2" a="1"/>
  <c r="A355" i="2" s="1"/>
  <c r="D355" i="2" s="1"/>
  <c r="A354" i="2" a="1"/>
  <c r="A354" i="2" s="1"/>
  <c r="B354" i="2" s="1"/>
  <c r="A353" i="2" a="1"/>
  <c r="A353" i="2"/>
  <c r="A352" i="2" a="1"/>
  <c r="A352" i="2"/>
  <c r="D352" i="2" s="1"/>
  <c r="A351" i="2" a="1"/>
  <c r="A351" i="2" s="1"/>
  <c r="A350" i="2" a="1"/>
  <c r="A350" i="2" s="1"/>
  <c r="A349" i="2" a="1"/>
  <c r="A349" i="2" s="1"/>
  <c r="D349" i="2" s="1"/>
  <c r="A348" i="2" a="1"/>
  <c r="A348" i="2" s="1"/>
  <c r="A347" i="2" a="1"/>
  <c r="A347" i="2"/>
  <c r="A346" i="2" a="1"/>
  <c r="A346" i="2"/>
  <c r="D345" i="2"/>
  <c r="C345" i="2"/>
  <c r="A345" i="2" a="1"/>
  <c r="A345" i="2" s="1"/>
  <c r="B345" i="2" s="1"/>
  <c r="A344" i="2" a="1"/>
  <c r="A344" i="2" s="1"/>
  <c r="A343" i="2" a="1"/>
  <c r="A343" i="2" s="1"/>
  <c r="B343" i="2" s="1"/>
  <c r="A342" i="2" a="1"/>
  <c r="A342" i="2" s="1"/>
  <c r="A341" i="2" a="1"/>
  <c r="A341" i="2" s="1"/>
  <c r="A340" i="2" a="1"/>
  <c r="A340" i="2"/>
  <c r="D340" i="2" s="1"/>
  <c r="A339" i="2" a="1"/>
  <c r="A339" i="2" s="1"/>
  <c r="A338" i="2" a="1"/>
  <c r="A338" i="2"/>
  <c r="A337" i="2" a="1"/>
  <c r="A337" i="2"/>
  <c r="D337" i="2" s="1"/>
  <c r="A336" i="2" a="1"/>
  <c r="A336" i="2" s="1"/>
  <c r="C336" i="2" s="1"/>
  <c r="A335" i="2" a="1"/>
  <c r="A335" i="2" s="1"/>
  <c r="A334" i="2" a="1"/>
  <c r="A334" i="2" s="1"/>
  <c r="A333" i="2" a="1"/>
  <c r="A333" i="2" s="1"/>
  <c r="B333" i="2" s="1"/>
  <c r="A332" i="2" a="1"/>
  <c r="A332" i="2"/>
  <c r="B332" i="2" s="1"/>
  <c r="A331" i="2" a="1"/>
  <c r="A331" i="2"/>
  <c r="A330" i="2" a="1"/>
  <c r="A330" i="2" s="1"/>
  <c r="C330" i="2" s="1"/>
  <c r="A329" i="2" a="1"/>
  <c r="A329" i="2"/>
  <c r="A328" i="2" a="1"/>
  <c r="A328" i="2"/>
  <c r="D327" i="2"/>
  <c r="A327" i="2" a="1"/>
  <c r="A327" i="2" s="1"/>
  <c r="C327" i="2" s="1"/>
  <c r="A326" i="2" a="1"/>
  <c r="A326" i="2" s="1"/>
  <c r="B326" i="2" s="1"/>
  <c r="D325" i="2"/>
  <c r="A325" i="2" a="1"/>
  <c r="A325" i="2" s="1"/>
  <c r="C325" i="2" s="1"/>
  <c r="A324" i="2" a="1"/>
  <c r="A324" i="2"/>
  <c r="B324" i="2" s="1"/>
  <c r="A323" i="2" a="1"/>
  <c r="A323" i="2" s="1"/>
  <c r="B323" i="2" s="1"/>
  <c r="A322" i="2" a="1"/>
  <c r="A322" i="2"/>
  <c r="A321" i="2" a="1"/>
  <c r="A321" i="2"/>
  <c r="C321" i="2" s="1"/>
  <c r="A320" i="2" a="1"/>
  <c r="A320" i="2" s="1"/>
  <c r="C319" i="2"/>
  <c r="A319" i="2" a="1"/>
  <c r="A319" i="2"/>
  <c r="D319" i="2" s="1"/>
  <c r="A318" i="2" a="1"/>
  <c r="A318" i="2" s="1"/>
  <c r="D318" i="2" s="1"/>
  <c r="A317" i="2" a="1"/>
  <c r="A317" i="2" s="1"/>
  <c r="A316" i="2" a="1"/>
  <c r="A316" i="2"/>
  <c r="C316" i="2" s="1"/>
  <c r="A315" i="2" a="1"/>
  <c r="A315" i="2"/>
  <c r="D315" i="2" s="1"/>
  <c r="A314" i="2" a="1"/>
  <c r="A314" i="2" s="1"/>
  <c r="B314" i="2" s="1"/>
  <c r="A313" i="2" a="1"/>
  <c r="A313" i="2" s="1"/>
  <c r="D313" i="2" s="1"/>
  <c r="A312" i="2" a="1"/>
  <c r="A312" i="2" s="1"/>
  <c r="C312" i="2" s="1"/>
  <c r="A311" i="2" a="1"/>
  <c r="A311" i="2" s="1"/>
  <c r="A310" i="2" a="1"/>
  <c r="A310" i="2" s="1"/>
  <c r="A309" i="2" a="1"/>
  <c r="A309" i="2" s="1"/>
  <c r="B309" i="2" s="1"/>
  <c r="A308" i="2" a="1"/>
  <c r="A308" i="2"/>
  <c r="A307" i="2" a="1"/>
  <c r="A307" i="2" s="1"/>
  <c r="B307" i="2" s="1"/>
  <c r="A306" i="2" a="1"/>
  <c r="A306" i="2"/>
  <c r="A305" i="2" a="1"/>
  <c r="A305" i="2" s="1"/>
  <c r="B305" i="2" s="1"/>
  <c r="A304" i="2" a="1"/>
  <c r="A304" i="2" s="1"/>
  <c r="D304" i="2" s="1"/>
  <c r="D303" i="2"/>
  <c r="A303" i="2" a="1"/>
  <c r="A303" i="2"/>
  <c r="C303" i="2" s="1"/>
  <c r="A302" i="2" a="1"/>
  <c r="A302" i="2"/>
  <c r="A301" i="2" a="1"/>
  <c r="A301" i="2" s="1"/>
  <c r="A300" i="2" a="1"/>
  <c r="A300" i="2" s="1"/>
  <c r="C300" i="2" s="1"/>
  <c r="A299" i="2" a="1"/>
  <c r="A299" i="2"/>
  <c r="D298" i="2"/>
  <c r="C298" i="2"/>
  <c r="B298" i="2"/>
  <c r="A298" i="2" a="1"/>
  <c r="A298" i="2"/>
  <c r="A297" i="2" a="1"/>
  <c r="A297" i="2"/>
  <c r="D297" i="2" s="1"/>
  <c r="A296" i="2" a="1"/>
  <c r="A296" i="2"/>
  <c r="B296" i="2" s="1"/>
  <c r="A295" i="2" a="1"/>
  <c r="A295" i="2"/>
  <c r="D295" i="2" s="1"/>
  <c r="A294" i="2" a="1"/>
  <c r="A294" i="2"/>
  <c r="C294" i="2" s="1"/>
  <c r="A293" i="2" a="1"/>
  <c r="A293" i="2"/>
  <c r="B293" i="2" s="1"/>
  <c r="A292" i="2" a="1"/>
  <c r="A292" i="2"/>
  <c r="D291" i="2"/>
  <c r="A291" i="2" a="1"/>
  <c r="A291" i="2" s="1"/>
  <c r="B291" i="2" s="1"/>
  <c r="A290" i="2" a="1"/>
  <c r="A290" i="2"/>
  <c r="A289" i="2" a="1"/>
  <c r="A289" i="2" s="1"/>
  <c r="B289" i="2" s="1"/>
  <c r="A288" i="2" a="1"/>
  <c r="A288" i="2"/>
  <c r="B288" i="2" s="1"/>
  <c r="A287" i="2" a="1"/>
  <c r="A287" i="2" s="1"/>
  <c r="A286" i="2" a="1"/>
  <c r="A286" i="2"/>
  <c r="D286" i="2" s="1"/>
  <c r="A285" i="2" a="1"/>
  <c r="A285" i="2"/>
  <c r="C285" i="2" s="1"/>
  <c r="A284" i="2" a="1"/>
  <c r="A284" i="2"/>
  <c r="A283" i="2" a="1"/>
  <c r="A283" i="2" s="1"/>
  <c r="D283" i="2" s="1"/>
  <c r="D282" i="2"/>
  <c r="A282" i="2" a="1"/>
  <c r="A282" i="2" s="1"/>
  <c r="C282" i="2" s="1"/>
  <c r="A281" i="2" a="1"/>
  <c r="A281" i="2" s="1"/>
  <c r="A280" i="2" a="1"/>
  <c r="A280" i="2"/>
  <c r="C280" i="2" s="1"/>
  <c r="A279" i="2" a="1"/>
  <c r="A279" i="2"/>
  <c r="D279" i="2" s="1"/>
  <c r="A278" i="2" a="1"/>
  <c r="A278" i="2"/>
  <c r="B278" i="2" s="1"/>
  <c r="A277" i="2" a="1"/>
  <c r="A277" i="2" s="1"/>
  <c r="D277" i="2" s="1"/>
  <c r="A276" i="2" a="1"/>
  <c r="A276" i="2" s="1"/>
  <c r="A275" i="2" a="1"/>
  <c r="A275" i="2"/>
  <c r="B275" i="2" s="1"/>
  <c r="A274" i="2" a="1"/>
  <c r="A274" i="2" s="1"/>
  <c r="A273" i="2" a="1"/>
  <c r="A273" i="2" s="1"/>
  <c r="B273" i="2" s="1"/>
  <c r="A272" i="2" a="1"/>
  <c r="A272" i="2"/>
  <c r="A271" i="2" a="1"/>
  <c r="A271" i="2" s="1"/>
  <c r="B271" i="2" s="1"/>
  <c r="A270" i="2" a="1"/>
  <c r="A270" i="2"/>
  <c r="B270" i="2" s="1"/>
  <c r="A269" i="2" a="1"/>
  <c r="A269" i="2"/>
  <c r="B269" i="2" s="1"/>
  <c r="A268" i="2" a="1"/>
  <c r="A268" i="2"/>
  <c r="D268" i="2" s="1"/>
  <c r="A267" i="2" a="1"/>
  <c r="A267" i="2" s="1"/>
  <c r="A266" i="2" a="1"/>
  <c r="A266" i="2" s="1"/>
  <c r="A265" i="2" a="1"/>
  <c r="A265" i="2"/>
  <c r="D265" i="2" s="1"/>
  <c r="A264" i="2" a="1"/>
  <c r="A264" i="2" s="1"/>
  <c r="B264" i="2" s="1"/>
  <c r="A263" i="2" a="1"/>
  <c r="A263" i="2"/>
  <c r="A262" i="2" a="1"/>
  <c r="A262" i="2"/>
  <c r="D262" i="2" s="1"/>
  <c r="A261" i="2" a="1"/>
  <c r="A261" i="2" s="1"/>
  <c r="B261" i="2" s="1"/>
  <c r="D260" i="2"/>
  <c r="C260" i="2"/>
  <c r="A260" i="2" a="1"/>
  <c r="A260" i="2"/>
  <c r="B260" i="2" s="1"/>
  <c r="A259" i="2" a="1"/>
  <c r="A259" i="2" s="1"/>
  <c r="D259" i="2" s="1"/>
  <c r="A258" i="2" a="1"/>
  <c r="A258" i="2"/>
  <c r="A257" i="2" a="1"/>
  <c r="A257" i="2"/>
  <c r="A256" i="2" a="1"/>
  <c r="A256" i="2"/>
  <c r="A255" i="2" a="1"/>
  <c r="A255" i="2" s="1"/>
  <c r="D255" i="2" s="1"/>
  <c r="A254" i="2" a="1"/>
  <c r="A254" i="2"/>
  <c r="D253" i="2"/>
  <c r="C253" i="2"/>
  <c r="A253" i="2" a="1"/>
  <c r="A253" i="2" s="1"/>
  <c r="B253" i="2" s="1"/>
  <c r="A252" i="2" a="1"/>
  <c r="A252" i="2" s="1"/>
  <c r="A251" i="2" a="1"/>
  <c r="A251" i="2"/>
  <c r="B251" i="2" s="1"/>
  <c r="A250" i="2" a="1"/>
  <c r="A250" i="2"/>
  <c r="C250" i="2" s="1"/>
  <c r="A249" i="2" a="1"/>
  <c r="A249" i="2" s="1"/>
  <c r="A248" i="2" a="1"/>
  <c r="A248" i="2"/>
  <c r="B248" i="2" s="1"/>
  <c r="A247" i="2" a="1"/>
  <c r="A247" i="2" s="1"/>
  <c r="D247" i="2" s="1"/>
  <c r="D246" i="2"/>
  <c r="A246" i="2" a="1"/>
  <c r="A246" i="2" s="1"/>
  <c r="C246" i="2" s="1"/>
  <c r="A245" i="2" a="1"/>
  <c r="A245" i="2" s="1"/>
  <c r="A244" i="2" a="1"/>
  <c r="A244" i="2"/>
  <c r="B244" i="2" s="1"/>
  <c r="A243" i="2" a="1"/>
  <c r="A243" i="2"/>
  <c r="A242" i="2" a="1"/>
  <c r="A242" i="2"/>
  <c r="B242" i="2" s="1"/>
  <c r="A241" i="2" a="1"/>
  <c r="A241" i="2" s="1"/>
  <c r="C241" i="2" s="1"/>
  <c r="A240" i="2" a="1"/>
  <c r="A240" i="2"/>
  <c r="A239" i="2" a="1"/>
  <c r="A239" i="2" s="1"/>
  <c r="B239" i="2" s="1"/>
  <c r="A238" i="2" a="1"/>
  <c r="A238" i="2" s="1"/>
  <c r="A237" i="2" a="1"/>
  <c r="A237" i="2" s="1"/>
  <c r="C237" i="2" s="1"/>
  <c r="A236" i="2" a="1"/>
  <c r="A236" i="2" s="1"/>
  <c r="D236" i="2" s="1"/>
  <c r="A235" i="2" a="1"/>
  <c r="A235" i="2" s="1"/>
  <c r="B235" i="2" s="1"/>
  <c r="A234" i="2" a="1"/>
  <c r="A234" i="2"/>
  <c r="A233" i="2" a="1"/>
  <c r="A233" i="2"/>
  <c r="B233" i="2" s="1"/>
  <c r="A232" i="2" a="1"/>
  <c r="A232" i="2" s="1"/>
  <c r="B232" i="2" s="1"/>
  <c r="A231" i="2" a="1"/>
  <c r="A231" i="2" s="1"/>
  <c r="A230" i="2" a="1"/>
  <c r="A230" i="2" s="1"/>
  <c r="B230" i="2" s="1"/>
  <c r="A229" i="2" a="1"/>
  <c r="A229" i="2"/>
  <c r="A228" i="2" a="1"/>
  <c r="A228" i="2" s="1"/>
  <c r="D228" i="2" s="1"/>
  <c r="A227" i="2" a="1"/>
  <c r="A227" i="2" s="1"/>
  <c r="A226" i="2" a="1"/>
  <c r="A226" i="2" s="1"/>
  <c r="A225" i="2" a="1"/>
  <c r="A225" i="2"/>
  <c r="B225" i="2" s="1"/>
  <c r="A224" i="2" a="1"/>
  <c r="A224" i="2"/>
  <c r="B224" i="2" s="1"/>
  <c r="A223" i="2" a="1"/>
  <c r="A223" i="2"/>
  <c r="D223" i="2" s="1"/>
  <c r="A222" i="2" a="1"/>
  <c r="A222" i="2"/>
  <c r="D221" i="2"/>
  <c r="C221" i="2"/>
  <c r="B221" i="2"/>
  <c r="A221" i="2" a="1"/>
  <c r="A221" i="2"/>
  <c r="A220" i="2" a="1"/>
  <c r="A220" i="2" s="1"/>
  <c r="A219" i="2" a="1"/>
  <c r="A219" i="2" s="1"/>
  <c r="B219" i="2" s="1"/>
  <c r="A218" i="2" a="1"/>
  <c r="A218" i="2"/>
  <c r="C218" i="2" s="1"/>
  <c r="A217" i="2" a="1"/>
  <c r="A217" i="2" s="1"/>
  <c r="D217" i="2" s="1"/>
  <c r="A216" i="2" a="1"/>
  <c r="A216" i="2"/>
  <c r="B216" i="2" s="1"/>
  <c r="A215" i="2" a="1"/>
  <c r="A215" i="2"/>
  <c r="B215" i="2" s="1"/>
  <c r="A214" i="2" a="1"/>
  <c r="A214" i="2" s="1"/>
  <c r="A213" i="2" a="1"/>
  <c r="A213" i="2" s="1"/>
  <c r="A212" i="2" a="1"/>
  <c r="A212" i="2"/>
  <c r="D212" i="2" s="1"/>
  <c r="A211" i="2" a="1"/>
  <c r="A211" i="2"/>
  <c r="A210" i="2" a="1"/>
  <c r="A210" i="2" s="1"/>
  <c r="D210" i="2" s="1"/>
  <c r="A209" i="2" a="1"/>
  <c r="A209" i="2" s="1"/>
  <c r="A208" i="2" a="1"/>
  <c r="A208" i="2" s="1"/>
  <c r="A207" i="2" a="1"/>
  <c r="A207" i="2" s="1"/>
  <c r="A206" i="2" a="1"/>
  <c r="A206" i="2" s="1"/>
  <c r="A205" i="2" a="1"/>
  <c r="A205" i="2" s="1"/>
  <c r="D205" i="2" s="1"/>
  <c r="A204" i="2" a="1"/>
  <c r="A204" i="2"/>
  <c r="C204" i="2" s="1"/>
  <c r="A203" i="2" a="1"/>
  <c r="A203" i="2" s="1"/>
  <c r="C203" i="2" s="1"/>
  <c r="A202" i="2" a="1"/>
  <c r="A202" i="2"/>
  <c r="A201" i="2" a="1"/>
  <c r="A201" i="2" s="1"/>
  <c r="D201" i="2" s="1"/>
  <c r="A200" i="2" a="1"/>
  <c r="A200" i="2" s="1"/>
  <c r="B200" i="2" s="1"/>
  <c r="A199" i="2" a="1"/>
  <c r="A199" i="2" s="1"/>
  <c r="A198" i="2" a="1"/>
  <c r="A198" i="2" s="1"/>
  <c r="A197" i="2" a="1"/>
  <c r="A197" i="2" s="1"/>
  <c r="C197" i="2" s="1"/>
  <c r="A196" i="2" a="1"/>
  <c r="A196" i="2" s="1"/>
  <c r="B196" i="2" s="1"/>
  <c r="A195" i="2" a="1"/>
  <c r="A195" i="2" s="1"/>
  <c r="D195" i="2" s="1"/>
  <c r="A194" i="2" a="1"/>
  <c r="A194" i="2" s="1"/>
  <c r="A193" i="2" a="1"/>
  <c r="A193" i="2"/>
  <c r="A192" i="2" a="1"/>
  <c r="A192" i="2" s="1"/>
  <c r="D192" i="2" s="1"/>
  <c r="A191" i="2" a="1"/>
  <c r="A191" i="2"/>
  <c r="A190" i="2" a="1"/>
  <c r="A190" i="2"/>
  <c r="D190" i="2" s="1"/>
  <c r="A189" i="2" a="1"/>
  <c r="A189" i="2" s="1"/>
  <c r="B189" i="2" s="1"/>
  <c r="D188" i="2"/>
  <c r="C188" i="2"/>
  <c r="A188" i="2" a="1"/>
  <c r="A188" i="2"/>
  <c r="B188" i="2" s="1"/>
  <c r="A187" i="2" a="1"/>
  <c r="A187" i="2" s="1"/>
  <c r="A186" i="2" a="1"/>
  <c r="A186" i="2" s="1"/>
  <c r="C186" i="2" s="1"/>
  <c r="A185" i="2" a="1"/>
  <c r="A185" i="2" s="1"/>
  <c r="D185" i="2" s="1"/>
  <c r="A184" i="2" a="1"/>
  <c r="A184" i="2"/>
  <c r="A183" i="2" a="1"/>
  <c r="A183" i="2" s="1"/>
  <c r="D183" i="2" s="1"/>
  <c r="A182" i="2" a="1"/>
  <c r="A182" i="2"/>
  <c r="C182" i="2" s="1"/>
  <c r="A181" i="2" a="1"/>
  <c r="A181" i="2" s="1"/>
  <c r="A180" i="2" a="1"/>
  <c r="A180" i="2"/>
  <c r="A179" i="2" a="1"/>
  <c r="A179" i="2"/>
  <c r="A178" i="2" a="1"/>
  <c r="A178" i="2" s="1"/>
  <c r="A177" i="2" a="1"/>
  <c r="A177" i="2" s="1"/>
  <c r="A176" i="2" a="1"/>
  <c r="A176" i="2"/>
  <c r="A175" i="2" a="1"/>
  <c r="A175" i="2"/>
  <c r="D175" i="2" s="1"/>
  <c r="A174" i="2" a="1"/>
  <c r="A174" i="2" s="1"/>
  <c r="B174" i="2" s="1"/>
  <c r="A173" i="2" a="1"/>
  <c r="A173" i="2"/>
  <c r="D172" i="2"/>
  <c r="A172" i="2" a="1"/>
  <c r="A172" i="2"/>
  <c r="C172" i="2" s="1"/>
  <c r="A171" i="2" a="1"/>
  <c r="A171" i="2"/>
  <c r="D171" i="2" s="1"/>
  <c r="A170" i="2" a="1"/>
  <c r="A170" i="2"/>
  <c r="B170" i="2" s="1"/>
  <c r="A169" i="2" a="1"/>
  <c r="A169" i="2"/>
  <c r="D169" i="2" s="1"/>
  <c r="A168" i="2" a="1"/>
  <c r="A168" i="2" s="1"/>
  <c r="D168" i="2" s="1"/>
  <c r="A167" i="2" a="1"/>
  <c r="A167" i="2"/>
  <c r="B167" i="2" s="1"/>
  <c r="A166" i="2" a="1"/>
  <c r="A166" i="2"/>
  <c r="A165" i="2" a="1"/>
  <c r="A165" i="2" s="1"/>
  <c r="D165" i="2" s="1"/>
  <c r="A164" i="2" a="1"/>
  <c r="A164" i="2" s="1"/>
  <c r="D164" i="2" s="1"/>
  <c r="A163" i="2" a="1"/>
  <c r="A163" i="2" s="1"/>
  <c r="D163" i="2" s="1"/>
  <c r="A162" i="2" a="1"/>
  <c r="A162" i="2"/>
  <c r="B162" i="2" s="1"/>
  <c r="A161" i="2" a="1"/>
  <c r="A161" i="2"/>
  <c r="D161" i="2" s="1"/>
  <c r="A160" i="2" a="1"/>
  <c r="A160" i="2"/>
  <c r="D160" i="2" s="1"/>
  <c r="A159" i="2" a="1"/>
  <c r="A159" i="2" s="1"/>
  <c r="D159" i="2" s="1"/>
  <c r="A158" i="2" a="1"/>
  <c r="A158" i="2"/>
  <c r="A157" i="2" a="1"/>
  <c r="A157" i="2" s="1"/>
  <c r="D157" i="2" s="1"/>
  <c r="A156" i="2" a="1"/>
  <c r="A156" i="2" s="1"/>
  <c r="D156" i="2" s="1"/>
  <c r="A155" i="2" a="1"/>
  <c r="A155" i="2"/>
  <c r="D154" i="2"/>
  <c r="C154" i="2"/>
  <c r="B154" i="2"/>
  <c r="A154" i="2" a="1"/>
  <c r="A154" i="2"/>
  <c r="A153" i="2" a="1"/>
  <c r="A153" i="2" s="1"/>
  <c r="A152" i="2" a="1"/>
  <c r="A152" i="2"/>
  <c r="B152" i="2" s="1"/>
  <c r="A151" i="2" a="1"/>
  <c r="A151" i="2"/>
  <c r="D151" i="2" s="1"/>
  <c r="A150" i="2" a="1"/>
  <c r="A150" i="2" s="1"/>
  <c r="C150" i="2" s="1"/>
  <c r="A149" i="2" a="1"/>
  <c r="A149" i="2"/>
  <c r="A148" i="2" a="1"/>
  <c r="A148" i="2" s="1"/>
  <c r="A147" i="2" a="1"/>
  <c r="A147" i="2" s="1"/>
  <c r="A146" i="2" a="1"/>
  <c r="A146" i="2"/>
  <c r="C146" i="2" s="1"/>
  <c r="A145" i="2" a="1"/>
  <c r="A145" i="2" s="1"/>
  <c r="D145" i="2" s="1"/>
  <c r="A144" i="2" a="1"/>
  <c r="A144" i="2" s="1"/>
  <c r="A143" i="2" a="1"/>
  <c r="A143" i="2"/>
  <c r="B143" i="2" s="1"/>
  <c r="A142" i="2" a="1"/>
  <c r="A142" i="2"/>
  <c r="D142" i="2" s="1"/>
  <c r="A141" i="2" a="1"/>
  <c r="A141" i="2" s="1"/>
  <c r="A140" i="2" a="1"/>
  <c r="A140" i="2"/>
  <c r="D140" i="2" s="1"/>
  <c r="A139" i="2" a="1"/>
  <c r="A139" i="2" s="1"/>
  <c r="A138" i="2" a="1"/>
  <c r="A138" i="2" s="1"/>
  <c r="B138" i="2" s="1"/>
  <c r="A137" i="2" a="1"/>
  <c r="A137" i="2" s="1"/>
  <c r="A136" i="2" a="1"/>
  <c r="A136" i="2"/>
  <c r="D136" i="2" s="1"/>
  <c r="A135" i="2" a="1"/>
  <c r="A135" i="2"/>
  <c r="A134" i="2" a="1"/>
  <c r="A134" i="2"/>
  <c r="B134" i="2" s="1"/>
  <c r="A133" i="2" a="1"/>
  <c r="A133" i="2"/>
  <c r="D133" i="2" s="1"/>
  <c r="A132" i="2" a="1"/>
  <c r="A132" i="2" s="1"/>
  <c r="C132" i="2" s="1"/>
  <c r="A131" i="2" a="1"/>
  <c r="A131" i="2" s="1"/>
  <c r="A130" i="2" a="1"/>
  <c r="A130" i="2" s="1"/>
  <c r="A129" i="2" a="1"/>
  <c r="A129" i="2" s="1"/>
  <c r="A128" i="2" a="1"/>
  <c r="A128" i="2"/>
  <c r="D128" i="2" s="1"/>
  <c r="A127" i="2" a="1"/>
  <c r="A127" i="2"/>
  <c r="D127" i="2" s="1"/>
  <c r="A126" i="2" a="1"/>
  <c r="A126" i="2"/>
  <c r="A125" i="2" a="1"/>
  <c r="A125" i="2" s="1"/>
  <c r="A124" i="2" a="1"/>
  <c r="A124" i="2" s="1"/>
  <c r="D124" i="2" s="1"/>
  <c r="A123" i="2" a="1"/>
  <c r="A123" i="2" s="1"/>
  <c r="A122" i="2" a="1"/>
  <c r="A122" i="2" s="1"/>
  <c r="D122" i="2" s="1"/>
  <c r="A121" i="2" a="1"/>
  <c r="A121" i="2"/>
  <c r="D121" i="2" s="1"/>
  <c r="A120" i="2" a="1"/>
  <c r="A120" i="2" s="1"/>
  <c r="A119" i="2" a="1"/>
  <c r="A119" i="2"/>
  <c r="A118" i="2" a="1"/>
  <c r="A118" i="2"/>
  <c r="D118" i="2" s="1"/>
  <c r="A117" i="2" a="1"/>
  <c r="A117" i="2"/>
  <c r="D116" i="2"/>
  <c r="C116" i="2"/>
  <c r="A116" i="2" a="1"/>
  <c r="A116" i="2" s="1"/>
  <c r="B116" i="2" s="1"/>
  <c r="A115" i="2" a="1"/>
  <c r="A115" i="2" s="1"/>
  <c r="A114" i="2" a="1"/>
  <c r="A114" i="2" s="1"/>
  <c r="C114" i="2" s="1"/>
  <c r="A113" i="2" a="1"/>
  <c r="A113" i="2"/>
  <c r="A112" i="2" a="1"/>
  <c r="A112" i="2"/>
  <c r="A111" i="2" a="1"/>
  <c r="A111" i="2"/>
  <c r="A110" i="2" a="1"/>
  <c r="A110" i="2" s="1"/>
  <c r="A109" i="2" a="1"/>
  <c r="A109" i="2"/>
  <c r="D109" i="2" s="1"/>
  <c r="A108" i="2" a="1"/>
  <c r="A108" i="2"/>
  <c r="B108" i="2" s="1"/>
  <c r="A107" i="2" a="1"/>
  <c r="A107" i="2" s="1"/>
  <c r="A106" i="2" a="1"/>
  <c r="A106" i="2" s="1"/>
  <c r="D106" i="2" s="1"/>
  <c r="A105" i="2" a="1"/>
  <c r="A105" i="2" s="1"/>
  <c r="D105" i="2" s="1"/>
  <c r="A104" i="2" a="1"/>
  <c r="A104" i="2"/>
  <c r="A103" i="2" a="1"/>
  <c r="A103" i="2"/>
  <c r="B103" i="2" s="1"/>
  <c r="A102" i="2" a="1"/>
  <c r="A102" i="2" s="1"/>
  <c r="B102" i="2" s="1"/>
  <c r="A101" i="2" a="1"/>
  <c r="A101" i="2"/>
  <c r="A100" i="2" a="1"/>
  <c r="A100" i="2"/>
  <c r="D100" i="2" s="1"/>
  <c r="D99" i="2"/>
  <c r="C99" i="2"/>
  <c r="A99" i="2" a="1"/>
  <c r="A99" i="2" s="1"/>
  <c r="B99" i="2" s="1"/>
  <c r="A98" i="2" a="1"/>
  <c r="A98" i="2" s="1"/>
  <c r="A97" i="2" a="1"/>
  <c r="A97" i="2" s="1"/>
  <c r="D97" i="2" s="1"/>
  <c r="A96" i="2" a="1"/>
  <c r="A96" i="2"/>
  <c r="C96" i="2" s="1"/>
  <c r="A95" i="2" a="1"/>
  <c r="A95" i="2"/>
  <c r="D95" i="2" s="1"/>
  <c r="A94" i="2" a="1"/>
  <c r="A94" i="2"/>
  <c r="A93" i="2" a="1"/>
  <c r="A93" i="2"/>
  <c r="C93" i="2" s="1"/>
  <c r="A92" i="2" a="1"/>
  <c r="A92" i="2" s="1"/>
  <c r="C91" i="2"/>
  <c r="A91" i="2" a="1"/>
  <c r="A91" i="2"/>
  <c r="D91" i="2" s="1"/>
  <c r="A90" i="2" a="1"/>
  <c r="A90" i="2" s="1"/>
  <c r="A89" i="2" a="1"/>
  <c r="A89" i="2"/>
  <c r="C89" i="2" s="1"/>
  <c r="A88" i="2" a="1"/>
  <c r="A88" i="2"/>
  <c r="C88" i="2" s="1"/>
  <c r="A87" i="2" a="1"/>
  <c r="A87" i="2" s="1"/>
  <c r="B87" i="2" s="1"/>
  <c r="A86" i="2" a="1"/>
  <c r="A86" i="2"/>
  <c r="B86" i="2" s="1"/>
  <c r="A85" i="2" a="1"/>
  <c r="A85" i="2"/>
  <c r="C85" i="2" s="1"/>
  <c r="D84" i="2"/>
  <c r="C84" i="2"/>
  <c r="A84" i="2" a="1"/>
  <c r="A84" i="2" s="1"/>
  <c r="B84" i="2" s="1"/>
  <c r="A83" i="2" a="1"/>
  <c r="A83" i="2"/>
  <c r="A82" i="2" a="1"/>
  <c r="A82" i="2"/>
  <c r="B82" i="2" s="1"/>
  <c r="A81" i="2" a="1"/>
  <c r="A81" i="2" s="1"/>
  <c r="A80" i="2" a="1"/>
  <c r="A80" i="2" s="1"/>
  <c r="B80" i="2" s="1"/>
  <c r="A79" i="2" a="1"/>
  <c r="A79" i="2"/>
  <c r="D79" i="2" s="1"/>
  <c r="D78" i="2"/>
  <c r="C78" i="2"/>
  <c r="A78" i="2" a="1"/>
  <c r="A78" i="2" s="1"/>
  <c r="B78" i="2" s="1"/>
  <c r="A77" i="2" a="1"/>
  <c r="A77" i="2"/>
  <c r="D77" i="2" s="1"/>
  <c r="A76" i="2" a="1"/>
  <c r="A76" i="2" s="1"/>
  <c r="A75" i="2" a="1"/>
  <c r="A75" i="2"/>
  <c r="D75" i="2" s="1"/>
  <c r="A74" i="2" a="1"/>
  <c r="A74" i="2" s="1"/>
  <c r="D74" i="2" s="1"/>
  <c r="A73" i="2" a="1"/>
  <c r="A73" i="2"/>
  <c r="D73" i="2" s="1"/>
  <c r="A72" i="2" a="1"/>
  <c r="A72" i="2"/>
  <c r="A71" i="2" a="1"/>
  <c r="A71" i="2"/>
  <c r="A70" i="2" a="1"/>
  <c r="A70" i="2" s="1"/>
  <c r="C70" i="2" s="1"/>
  <c r="A69" i="2" a="1"/>
  <c r="A69" i="2" s="1"/>
  <c r="A68" i="2" a="1"/>
  <c r="A68" i="2" s="1"/>
  <c r="D68" i="2" s="1"/>
  <c r="A67" i="2" a="1"/>
  <c r="A67" i="2" s="1"/>
  <c r="D67" i="2" s="1"/>
  <c r="A66" i="2" a="1"/>
  <c r="A66" i="2" s="1"/>
  <c r="B66" i="2" s="1"/>
  <c r="A65" i="2" a="1"/>
  <c r="A65" i="2" s="1"/>
  <c r="A64" i="2" a="1"/>
  <c r="A64" i="2"/>
  <c r="C64" i="2" s="1"/>
  <c r="A63" i="2" a="1"/>
  <c r="A63" i="2"/>
  <c r="C63" i="2" s="1"/>
  <c r="A62" i="2" a="1"/>
  <c r="A62" i="2" s="1"/>
  <c r="A61" i="2" a="1"/>
  <c r="A61" i="2" s="1"/>
  <c r="A60" i="2" a="1"/>
  <c r="A60" i="2" s="1"/>
  <c r="B60" i="2" s="1"/>
  <c r="A59" i="2" a="1"/>
  <c r="A59" i="2" s="1"/>
  <c r="B59" i="2" s="1"/>
  <c r="A58" i="2" a="1"/>
  <c r="A58" i="2"/>
  <c r="A57" i="2" a="1"/>
  <c r="A57" i="2"/>
  <c r="C57" i="2" s="1"/>
  <c r="A56" i="2" a="1"/>
  <c r="A56" i="2"/>
  <c r="D56" i="2" s="1"/>
  <c r="D55" i="2"/>
  <c r="C55" i="2"/>
  <c r="B55" i="2"/>
  <c r="A55" i="2" a="1"/>
  <c r="A55" i="2"/>
  <c r="A54" i="2" a="1"/>
  <c r="A54" i="2"/>
  <c r="A53" i="2" a="1"/>
  <c r="A53" i="2"/>
  <c r="B53" i="2" s="1"/>
  <c r="A52" i="2" a="1"/>
  <c r="A52" i="2"/>
  <c r="B52" i="2" s="1"/>
  <c r="A51" i="2" a="1"/>
  <c r="A51" i="2"/>
  <c r="C51" i="2" s="1"/>
  <c r="A50" i="2" a="1"/>
  <c r="A50" i="2"/>
  <c r="B50" i="2" s="1"/>
  <c r="A49" i="2" a="1"/>
  <c r="A49" i="2" s="1"/>
  <c r="A48" i="2" a="1"/>
  <c r="A48" i="2" s="1"/>
  <c r="D48" i="2" s="1"/>
  <c r="A47" i="2" a="1"/>
  <c r="A47" i="2" s="1"/>
  <c r="A46" i="2" a="1"/>
  <c r="A46" i="2"/>
  <c r="A45" i="2" a="1"/>
  <c r="A45" i="2" s="1"/>
  <c r="D45" i="2" s="1"/>
  <c r="A44" i="2" a="1"/>
  <c r="A44" i="2" s="1"/>
  <c r="B44" i="2" s="1"/>
  <c r="A43" i="2" a="1"/>
  <c r="A43" i="2" s="1"/>
  <c r="B43" i="2" s="1"/>
  <c r="A42" i="2" a="1"/>
  <c r="A42" i="2"/>
  <c r="A41" i="2" a="1"/>
  <c r="A41" i="2"/>
  <c r="A40" i="2" a="1"/>
  <c r="A40" i="2"/>
  <c r="A39" i="2" a="1"/>
  <c r="A39" i="2" s="1"/>
  <c r="B39" i="2" s="1"/>
  <c r="A38" i="2" a="1"/>
  <c r="A38" i="2"/>
  <c r="A37" i="2" a="1"/>
  <c r="A37" i="2"/>
  <c r="A36" i="2" a="1"/>
  <c r="A36" i="2"/>
  <c r="D36" i="2" s="1"/>
  <c r="A35" i="2" a="1"/>
  <c r="A35" i="2"/>
  <c r="C35" i="2" s="1"/>
  <c r="A34" i="2" a="1"/>
  <c r="A34" i="2"/>
  <c r="D34" i="2" s="1"/>
  <c r="A33" i="2" a="1"/>
  <c r="A33" i="2"/>
  <c r="A32" i="2" a="1"/>
  <c r="A32" i="2"/>
  <c r="C32" i="2" s="1"/>
  <c r="A31" i="2" a="1"/>
  <c r="A31" i="2"/>
  <c r="D31" i="2" s="1"/>
  <c r="D30" i="2"/>
  <c r="C30" i="2"/>
  <c r="B30" i="2"/>
  <c r="A30" i="2" a="1"/>
  <c r="A30" i="2" s="1"/>
  <c r="A29" i="2" a="1"/>
  <c r="A29" i="2"/>
  <c r="A28" i="2" a="1"/>
  <c r="A28" i="2"/>
  <c r="B28" i="2" s="1"/>
  <c r="A27" i="2" a="1"/>
  <c r="A27" i="2"/>
  <c r="A26" i="2" a="1"/>
  <c r="A26" i="2" s="1"/>
  <c r="B26" i="2" s="1"/>
  <c r="A25" i="2" a="1"/>
  <c r="A25" i="2"/>
  <c r="A24" i="2" a="1"/>
  <c r="A24" i="2"/>
  <c r="C24" i="2" s="1"/>
  <c r="A23" i="2" a="1"/>
  <c r="A23" i="2"/>
  <c r="A22" i="2" a="1"/>
  <c r="A22" i="2"/>
  <c r="C22" i="2" s="1"/>
  <c r="A21" i="2" a="1"/>
  <c r="A21" i="2" s="1"/>
  <c r="D21" i="2" s="1"/>
  <c r="A20" i="2" a="1"/>
  <c r="A20" i="2"/>
  <c r="C20" i="2" s="1"/>
  <c r="A19" i="2" a="1"/>
  <c r="A19" i="2"/>
  <c r="A18" i="2" a="1"/>
  <c r="A18" i="2"/>
  <c r="D18" i="2" s="1"/>
  <c r="A17" i="2" a="1"/>
  <c r="A17" i="2"/>
  <c r="D17" i="2" s="1"/>
  <c r="A16" i="2" a="1"/>
  <c r="A16" i="2" s="1"/>
  <c r="C16" i="2" s="1"/>
  <c r="A15" i="2" a="1"/>
  <c r="A15" i="2"/>
  <c r="A14" i="2" a="1"/>
  <c r="A14" i="2" s="1"/>
  <c r="C14" i="2" s="1"/>
  <c r="A13" i="2" a="1"/>
  <c r="A13" i="2"/>
  <c r="B13" i="2" s="1"/>
  <c r="D12" i="2"/>
  <c r="C12" i="2"/>
  <c r="A12" i="2" a="1"/>
  <c r="A12" i="2" s="1"/>
  <c r="B12" i="2" s="1"/>
  <c r="A11" i="2" a="1"/>
  <c r="A11" i="2"/>
  <c r="A10" i="2" a="1"/>
  <c r="A10" i="2"/>
  <c r="D10" i="2" s="1"/>
  <c r="A9" i="2" a="1"/>
  <c r="A9" i="2"/>
  <c r="C9" i="2" s="1"/>
  <c r="A8" i="2" a="1"/>
  <c r="A8" i="2"/>
  <c r="B8" i="2" s="1"/>
  <c r="A7" i="2" a="1"/>
  <c r="A7" i="2" s="1"/>
  <c r="A6" i="2" a="1"/>
  <c r="A6" i="2"/>
  <c r="B6" i="2" s="1"/>
  <c r="A5" i="2" a="1"/>
  <c r="A5" i="2" s="1"/>
  <c r="A4" i="2" a="1"/>
  <c r="A4" i="2" s="1"/>
  <c r="C4" i="2" s="1"/>
  <c r="A3" i="2" a="1"/>
  <c r="A3" i="2" s="1"/>
  <c r="D3" i="2" s="1"/>
  <c r="A2" i="2" a="1"/>
  <c r="A2" i="2"/>
  <c r="C2" i="2" s="1"/>
  <c r="A1" i="2" a="1"/>
  <c r="A1" i="2"/>
  <c r="B1" i="2" s="1"/>
  <c r="I15" i="1"/>
  <c r="A14" i="1"/>
  <c r="A13" i="1"/>
  <c r="AL10" i="1"/>
  <c r="A8" i="1"/>
  <c r="A7" i="1"/>
  <c r="E3" i="1"/>
  <c r="D178" i="2" l="1"/>
  <c r="C178" i="2"/>
  <c r="B178" i="2"/>
  <c r="D386" i="2"/>
  <c r="C386" i="2"/>
  <c r="B386" i="2"/>
  <c r="C92" i="2"/>
  <c r="D92" i="2"/>
  <c r="B206" i="2"/>
  <c r="C206" i="2"/>
  <c r="D206" i="2"/>
  <c r="B377" i="2"/>
  <c r="D377" i="2"/>
  <c r="C377" i="2"/>
  <c r="B266" i="2"/>
  <c r="D266" i="2"/>
  <c r="C266" i="2"/>
  <c r="C358" i="2"/>
  <c r="D358" i="2"/>
  <c r="B395" i="2"/>
  <c r="D395" i="2"/>
  <c r="C395" i="2"/>
  <c r="D350" i="2"/>
  <c r="C350" i="2"/>
  <c r="B350" i="2"/>
  <c r="B125" i="2"/>
  <c r="C125" i="2"/>
  <c r="D125" i="2"/>
  <c r="C393" i="2"/>
  <c r="D393" i="2"/>
  <c r="B214" i="2"/>
  <c r="D214" i="2"/>
  <c r="C214" i="2"/>
  <c r="D334" i="2"/>
  <c r="C334" i="2"/>
  <c r="B334" i="2"/>
  <c r="C339" i="2"/>
  <c r="D339" i="2"/>
  <c r="C207" i="2"/>
  <c r="D207" i="2"/>
  <c r="B207" i="2"/>
  <c r="D61" i="2"/>
  <c r="B61" i="2"/>
  <c r="C61" i="2"/>
  <c r="B356" i="2"/>
  <c r="C356" i="2"/>
  <c r="D356" i="2"/>
  <c r="C357" i="2"/>
  <c r="D357" i="2"/>
  <c r="B118" i="2"/>
  <c r="C118" i="2"/>
  <c r="B182" i="2"/>
  <c r="D16" i="2"/>
  <c r="D63" i="2"/>
  <c r="B142" i="2"/>
  <c r="C242" i="2"/>
  <c r="D8" i="2"/>
  <c r="C291" i="2"/>
  <c r="B327" i="2"/>
  <c r="C314" i="2"/>
  <c r="C343" i="2"/>
  <c r="D321" i="2"/>
  <c r="C372" i="2"/>
  <c r="C255" i="2"/>
  <c r="D372" i="2"/>
  <c r="D379" i="2"/>
  <c r="B336" i="2"/>
  <c r="C109" i="2"/>
  <c r="B255" i="2"/>
  <c r="D278" i="2"/>
  <c r="B51" i="2"/>
  <c r="D182" i="2"/>
  <c r="B133" i="2"/>
  <c r="C278" i="2"/>
  <c r="D307" i="2"/>
  <c r="C133" i="2"/>
  <c r="C102" i="2"/>
  <c r="C8" i="2"/>
  <c r="D85" i="2"/>
  <c r="C248" i="2"/>
  <c r="C80" i="2"/>
  <c r="D248" i="2"/>
  <c r="D102" i="2"/>
  <c r="B175" i="2"/>
  <c r="D271" i="2"/>
  <c r="B127" i="2"/>
  <c r="D134" i="2"/>
  <c r="C142" i="2"/>
  <c r="C175" i="2"/>
  <c r="D218" i="2"/>
  <c r="B316" i="2"/>
  <c r="B381" i="2"/>
  <c r="D250" i="2"/>
  <c r="B280" i="2"/>
  <c r="C354" i="2"/>
  <c r="C388" i="2"/>
  <c r="C52" i="2"/>
  <c r="C152" i="2"/>
  <c r="C219" i="2"/>
  <c r="C273" i="2"/>
  <c r="D316" i="2"/>
  <c r="D52" i="2"/>
  <c r="D64" i="2"/>
  <c r="C82" i="2"/>
  <c r="C143" i="2"/>
  <c r="D152" i="2"/>
  <c r="B160" i="2"/>
  <c r="B205" i="2"/>
  <c r="D219" i="2"/>
  <c r="D273" i="2"/>
  <c r="D280" i="2"/>
  <c r="C332" i="2"/>
  <c r="D361" i="2"/>
  <c r="B368" i="2"/>
  <c r="D242" i="2"/>
  <c r="D300" i="2"/>
  <c r="B388" i="2"/>
  <c r="D57" i="2"/>
  <c r="D309" i="2"/>
  <c r="D82" i="2"/>
  <c r="B136" i="2"/>
  <c r="D143" i="2"/>
  <c r="C160" i="2"/>
  <c r="C170" i="2"/>
  <c r="C205" i="2"/>
  <c r="C289" i="2"/>
  <c r="C296" i="2"/>
  <c r="D332" i="2"/>
  <c r="C368" i="2"/>
  <c r="D375" i="2"/>
  <c r="B109" i="2"/>
  <c r="C189" i="2"/>
  <c r="D32" i="2"/>
  <c r="C271" i="2"/>
  <c r="C223" i="2"/>
  <c r="B57" i="2"/>
  <c r="C264" i="2"/>
  <c r="C127" i="2"/>
  <c r="B64" i="2"/>
  <c r="C224" i="2"/>
  <c r="C374" i="2"/>
  <c r="C136" i="2"/>
  <c r="D170" i="2"/>
  <c r="D289" i="2"/>
  <c r="D296" i="2"/>
  <c r="C230" i="2"/>
  <c r="D314" i="2"/>
  <c r="D189" i="2"/>
  <c r="C307" i="2"/>
  <c r="D285" i="2"/>
  <c r="D51" i="2"/>
  <c r="C134" i="2"/>
  <c r="B300" i="2"/>
  <c r="C323" i="2"/>
  <c r="D264" i="2"/>
  <c r="D323" i="2"/>
  <c r="D96" i="2"/>
  <c r="D224" i="2"/>
  <c r="D354" i="2"/>
  <c r="C361" i="2"/>
  <c r="B246" i="2"/>
  <c r="D343" i="2"/>
  <c r="D230" i="2"/>
  <c r="B223" i="2"/>
  <c r="D80" i="2"/>
  <c r="D336" i="2"/>
  <c r="D88" i="2"/>
  <c r="C309" i="2"/>
  <c r="D381" i="2"/>
  <c r="B35" i="2"/>
  <c r="B2" i="2"/>
  <c r="D35" i="2"/>
  <c r="C59" i="2"/>
  <c r="D2" i="2"/>
  <c r="D59" i="2"/>
  <c r="B91" i="2"/>
  <c r="B282" i="2"/>
  <c r="D384" i="2"/>
  <c r="D5" i="2"/>
  <c r="C5" i="2"/>
  <c r="B5" i="2"/>
  <c r="D344" i="2"/>
  <c r="C344" i="2"/>
  <c r="B344" i="2"/>
  <c r="C110" i="2"/>
  <c r="B110" i="2"/>
  <c r="D110" i="2"/>
  <c r="B359" i="2"/>
  <c r="D359" i="2"/>
  <c r="C359" i="2"/>
  <c r="D387" i="2"/>
  <c r="C387" i="2"/>
  <c r="B387" i="2"/>
  <c r="D7" i="2"/>
  <c r="C7" i="2"/>
  <c r="B7" i="2"/>
  <c r="D301" i="2"/>
  <c r="C301" i="2"/>
  <c r="B301" i="2"/>
  <c r="C348" i="2"/>
  <c r="D348" i="2"/>
  <c r="B348" i="2"/>
  <c r="D81" i="2"/>
  <c r="C81" i="2"/>
  <c r="B81" i="2"/>
  <c r="B287" i="2"/>
  <c r="D287" i="2"/>
  <c r="C287" i="2"/>
  <c r="C276" i="2"/>
  <c r="D276" i="2"/>
  <c r="B276" i="2"/>
  <c r="B341" i="2"/>
  <c r="D341" i="2"/>
  <c r="C341" i="2"/>
  <c r="D139" i="2"/>
  <c r="C139" i="2"/>
  <c r="B139" i="2"/>
  <c r="C107" i="2"/>
  <c r="B107" i="2"/>
  <c r="D107" i="2"/>
  <c r="D187" i="2"/>
  <c r="B187" i="2"/>
  <c r="C187" i="2"/>
  <c r="D38" i="2"/>
  <c r="C38" i="2"/>
  <c r="B70" i="2"/>
  <c r="D119" i="2"/>
  <c r="C119" i="2"/>
  <c r="B119" i="2"/>
  <c r="B38" i="2"/>
  <c r="C196" i="2"/>
  <c r="D220" i="2"/>
  <c r="C220" i="2"/>
  <c r="B220" i="2"/>
  <c r="B279" i="2"/>
  <c r="D120" i="2"/>
  <c r="C120" i="2"/>
  <c r="C302" i="2"/>
  <c r="B302" i="2"/>
  <c r="B150" i="2"/>
  <c r="D225" i="2"/>
  <c r="B226" i="2"/>
  <c r="D226" i="2"/>
  <c r="C226" i="2"/>
  <c r="D292" i="2"/>
  <c r="C292" i="2"/>
  <c r="B292" i="2"/>
  <c r="D46" i="2"/>
  <c r="C46" i="2"/>
  <c r="D72" i="2"/>
  <c r="C72" i="2"/>
  <c r="B98" i="2"/>
  <c r="D98" i="2"/>
  <c r="D104" i="2"/>
  <c r="C104" i="2"/>
  <c r="B104" i="2"/>
  <c r="D215" i="2"/>
  <c r="D245" i="2"/>
  <c r="C245" i="2"/>
  <c r="B245" i="2"/>
  <c r="D347" i="2"/>
  <c r="C347" i="2"/>
  <c r="B347" i="2"/>
  <c r="B18" i="2"/>
  <c r="C66" i="2"/>
  <c r="D202" i="2"/>
  <c r="C202" i="2"/>
  <c r="B202" i="2"/>
  <c r="B290" i="2"/>
  <c r="D290" i="2"/>
  <c r="C290" i="2"/>
  <c r="D362" i="2"/>
  <c r="C362" i="2"/>
  <c r="B362" i="2"/>
  <c r="D196" i="2"/>
  <c r="D274" i="2"/>
  <c r="C274" i="2"/>
  <c r="B274" i="2"/>
  <c r="C28" i="2"/>
  <c r="B97" i="2"/>
  <c r="D191" i="2"/>
  <c r="C191" i="2"/>
  <c r="B191" i="2"/>
  <c r="C232" i="2"/>
  <c r="B297" i="2"/>
  <c r="D114" i="2"/>
  <c r="D180" i="2"/>
  <c r="C180" i="2"/>
  <c r="D4" i="2"/>
  <c r="B4" i="2"/>
  <c r="D40" i="2"/>
  <c r="B40" i="2"/>
  <c r="D115" i="2"/>
  <c r="C115" i="2"/>
  <c r="B210" i="2"/>
  <c r="C257" i="2"/>
  <c r="B257" i="2"/>
  <c r="C262" i="2"/>
  <c r="C315" i="2"/>
  <c r="D322" i="2"/>
  <c r="C322" i="2"/>
  <c r="B322" i="2"/>
  <c r="D329" i="2"/>
  <c r="C329" i="2"/>
  <c r="C352" i="2"/>
  <c r="D364" i="2"/>
  <c r="C364" i="2"/>
  <c r="B364" i="2"/>
  <c r="C13" i="2"/>
  <c r="B56" i="2"/>
  <c r="C77" i="2"/>
  <c r="C98" i="2"/>
  <c r="B121" i="2"/>
  <c r="D144" i="2"/>
  <c r="C144" i="2"/>
  <c r="B144" i="2"/>
  <c r="B156" i="2"/>
  <c r="C174" i="2"/>
  <c r="B180" i="2"/>
  <c r="B192" i="2"/>
  <c r="D198" i="2"/>
  <c r="C198" i="2"/>
  <c r="C210" i="2"/>
  <c r="D293" i="2"/>
  <c r="C293" i="2"/>
  <c r="B9" i="2"/>
  <c r="D13" i="2"/>
  <c r="C18" i="2"/>
  <c r="B24" i="2"/>
  <c r="C40" i="2"/>
  <c r="B46" i="2"/>
  <c r="C56" i="2"/>
  <c r="D66" i="2"/>
  <c r="B72" i="2"/>
  <c r="B93" i="2"/>
  <c r="B115" i="2"/>
  <c r="C121" i="2"/>
  <c r="B151" i="2"/>
  <c r="C156" i="2"/>
  <c r="B169" i="2"/>
  <c r="D174" i="2"/>
  <c r="D181" i="2"/>
  <c r="C181" i="2"/>
  <c r="B181" i="2"/>
  <c r="C192" i="2"/>
  <c r="B198" i="2"/>
  <c r="C233" i="2"/>
  <c r="C239" i="2"/>
  <c r="C251" i="2"/>
  <c r="D257" i="2"/>
  <c r="C269" i="2"/>
  <c r="D310" i="2"/>
  <c r="C310" i="2"/>
  <c r="B310" i="2"/>
  <c r="B329" i="2"/>
  <c r="C365" i="2"/>
  <c r="B365" i="2"/>
  <c r="B384" i="2"/>
  <c r="D396" i="2"/>
  <c r="C396" i="2"/>
  <c r="B396" i="2"/>
  <c r="D131" i="2"/>
  <c r="C131" i="2"/>
  <c r="B131" i="2"/>
  <c r="D208" i="2"/>
  <c r="C208" i="2"/>
  <c r="B208" i="2"/>
  <c r="C267" i="2"/>
  <c r="B267" i="2"/>
  <c r="C65" i="2"/>
  <c r="B65" i="2"/>
  <c r="D65" i="2"/>
  <c r="D173" i="2"/>
  <c r="C173" i="2"/>
  <c r="B173" i="2"/>
  <c r="B203" i="2"/>
  <c r="D237" i="2"/>
  <c r="B3" i="2"/>
  <c r="C103" i="2"/>
  <c r="D209" i="2"/>
  <c r="C209" i="2"/>
  <c r="B209" i="2"/>
  <c r="D232" i="2"/>
  <c r="D132" i="2"/>
  <c r="C47" i="2"/>
  <c r="B47" i="2"/>
  <c r="D233" i="2"/>
  <c r="D239" i="2"/>
  <c r="D251" i="2"/>
  <c r="C258" i="2"/>
  <c r="D258" i="2"/>
  <c r="D269" i="2"/>
  <c r="C243" i="2"/>
  <c r="B243" i="2"/>
  <c r="C284" i="2"/>
  <c r="B284" i="2"/>
  <c r="D76" i="2"/>
  <c r="B76" i="2"/>
  <c r="D149" i="2"/>
  <c r="C149" i="2"/>
  <c r="B149" i="2"/>
  <c r="D394" i="2"/>
  <c r="C394" i="2"/>
  <c r="B394" i="2"/>
  <c r="C45" i="2"/>
  <c r="B45" i="2"/>
  <c r="D70" i="2"/>
  <c r="B114" i="2"/>
  <c r="B308" i="2"/>
  <c r="D308" i="2"/>
  <c r="C308" i="2"/>
  <c r="D369" i="2"/>
  <c r="C369" i="2"/>
  <c r="B369" i="2"/>
  <c r="C17" i="2"/>
  <c r="D238" i="2"/>
  <c r="C238" i="2"/>
  <c r="B238" i="2"/>
  <c r="D203" i="2"/>
  <c r="B262" i="2"/>
  <c r="C199" i="2"/>
  <c r="D199" i="2"/>
  <c r="B228" i="2"/>
  <c r="D234" i="2"/>
  <c r="C234" i="2"/>
  <c r="B234" i="2"/>
  <c r="C240" i="2"/>
  <c r="D240" i="2"/>
  <c r="B240" i="2"/>
  <c r="D311" i="2"/>
  <c r="C311" i="2"/>
  <c r="B311" i="2"/>
  <c r="B330" i="2"/>
  <c r="D397" i="2"/>
  <c r="C397" i="2"/>
  <c r="C33" i="2"/>
  <c r="D33" i="2"/>
  <c r="B33" i="2"/>
  <c r="D44" i="2"/>
  <c r="B17" i="2"/>
  <c r="D86" i="2"/>
  <c r="D137" i="2"/>
  <c r="C137" i="2"/>
  <c r="B137" i="2"/>
  <c r="B185" i="2"/>
  <c r="C3" i="2"/>
  <c r="B34" i="2"/>
  <c r="D103" i="2"/>
  <c r="B132" i="2"/>
  <c r="D150" i="2"/>
  <c r="C185" i="2"/>
  <c r="C297" i="2"/>
  <c r="C29" i="2"/>
  <c r="D29" i="2"/>
  <c r="B29" i="2"/>
  <c r="D60" i="2"/>
  <c r="C222" i="2"/>
  <c r="D222" i="2"/>
  <c r="B222" i="2"/>
  <c r="D24" i="2"/>
  <c r="C25" i="2"/>
  <c r="B25" i="2"/>
  <c r="C50" i="2"/>
  <c r="D50" i="2"/>
  <c r="C338" i="2"/>
  <c r="B338" i="2"/>
  <c r="B237" i="2"/>
  <c r="D328" i="2"/>
  <c r="C328" i="2"/>
  <c r="B328" i="2"/>
  <c r="D28" i="2"/>
  <c r="C60" i="2"/>
  <c r="C97" i="2"/>
  <c r="B352" i="2"/>
  <c r="D370" i="2"/>
  <c r="C370" i="2"/>
  <c r="C34" i="2"/>
  <c r="B77" i="2"/>
  <c r="C83" i="2"/>
  <c r="B83" i="2"/>
  <c r="D83" i="2"/>
  <c r="C151" i="2"/>
  <c r="D193" i="2"/>
  <c r="B193" i="2"/>
  <c r="B73" i="2"/>
  <c r="C157" i="2"/>
  <c r="D243" i="2"/>
  <c r="D284" i="2"/>
  <c r="C86" i="2"/>
  <c r="D383" i="2"/>
  <c r="C383" i="2"/>
  <c r="D39" i="2"/>
  <c r="C215" i="2"/>
  <c r="D275" i="2"/>
  <c r="C275" i="2"/>
  <c r="D302" i="2"/>
  <c r="D47" i="2"/>
  <c r="D93" i="2"/>
  <c r="D252" i="2"/>
  <c r="C252" i="2"/>
  <c r="B252" i="2"/>
  <c r="B62" i="2"/>
  <c r="D62" i="2"/>
  <c r="B258" i="2"/>
  <c r="B48" i="2"/>
  <c r="B106" i="2"/>
  <c r="C164" i="2"/>
  <c r="D360" i="2"/>
  <c r="C360" i="2"/>
  <c r="B360" i="2"/>
  <c r="B212" i="2"/>
  <c r="B391" i="2"/>
  <c r="B398" i="2"/>
  <c r="D108" i="2"/>
  <c r="C108" i="2"/>
  <c r="D261" i="2"/>
  <c r="C261" i="2"/>
  <c r="C167" i="2"/>
  <c r="D167" i="2"/>
  <c r="C249" i="2"/>
  <c r="B249" i="2"/>
  <c r="D249" i="2"/>
  <c r="B179" i="2"/>
  <c r="D179" i="2"/>
  <c r="C179" i="2"/>
  <c r="C279" i="2"/>
  <c r="D23" i="2"/>
  <c r="C23" i="2"/>
  <c r="B23" i="2"/>
  <c r="D126" i="2"/>
  <c r="C126" i="2"/>
  <c r="B126" i="2"/>
  <c r="C87" i="2"/>
  <c r="D87" i="2"/>
  <c r="B315" i="2"/>
  <c r="D19" i="2"/>
  <c r="C19" i="2"/>
  <c r="B19" i="2"/>
  <c r="D9" i="2"/>
  <c r="C123" i="2"/>
  <c r="B123" i="2"/>
  <c r="B164" i="2"/>
  <c r="C228" i="2"/>
  <c r="D330" i="2"/>
  <c r="B397" i="2"/>
  <c r="C42" i="2"/>
  <c r="D42" i="2"/>
  <c r="C73" i="2"/>
  <c r="B89" i="2"/>
  <c r="D123" i="2"/>
  <c r="B146" i="2"/>
  <c r="C200" i="2"/>
  <c r="B294" i="2"/>
  <c r="D342" i="2"/>
  <c r="C342" i="2"/>
  <c r="B342" i="2"/>
  <c r="B10" i="2"/>
  <c r="C15" i="2"/>
  <c r="D15" i="2"/>
  <c r="B15" i="2"/>
  <c r="C48" i="2"/>
  <c r="B68" i="2"/>
  <c r="C106" i="2"/>
  <c r="C111" i="2"/>
  <c r="B111" i="2"/>
  <c r="D229" i="2"/>
  <c r="C229" i="2"/>
  <c r="D294" i="2"/>
  <c r="C305" i="2"/>
  <c r="C1" i="2"/>
  <c r="C68" i="2"/>
  <c r="D89" i="2"/>
  <c r="D101" i="2"/>
  <c r="C101" i="2"/>
  <c r="B101" i="2"/>
  <c r="C128" i="2"/>
  <c r="C141" i="2"/>
  <c r="B141" i="2"/>
  <c r="D146" i="2"/>
  <c r="D153" i="2"/>
  <c r="C153" i="2"/>
  <c r="C212" i="2"/>
  <c r="C235" i="2"/>
  <c r="C247" i="2"/>
  <c r="B265" i="2"/>
  <c r="D305" i="2"/>
  <c r="B312" i="2"/>
  <c r="B355" i="2"/>
  <c r="C391" i="2"/>
  <c r="C398" i="2"/>
  <c r="D113" i="2"/>
  <c r="C113" i="2"/>
  <c r="B113" i="2"/>
  <c r="D22" i="2"/>
  <c r="B22" i="2"/>
  <c r="D320" i="2"/>
  <c r="C320" i="2"/>
  <c r="B320" i="2"/>
  <c r="D333" i="2"/>
  <c r="C333" i="2"/>
  <c r="D351" i="2"/>
  <c r="C351" i="2"/>
  <c r="B351" i="2"/>
  <c r="C76" i="2"/>
  <c r="B161" i="2"/>
  <c r="C161" i="2"/>
  <c r="C244" i="2"/>
  <c r="D244" i="2"/>
  <c r="B197" i="2"/>
  <c r="D197" i="2"/>
  <c r="D211" i="2"/>
  <c r="C211" i="2"/>
  <c r="B211" i="2"/>
  <c r="B157" i="2"/>
  <c r="B199" i="2"/>
  <c r="D270" i="2"/>
  <c r="C270" i="2"/>
  <c r="D14" i="2"/>
  <c r="C62" i="2"/>
  <c r="D117" i="2"/>
  <c r="C117" i="2"/>
  <c r="B117" i="2"/>
  <c r="D158" i="2"/>
  <c r="C158" i="2"/>
  <c r="B158" i="2"/>
  <c r="D288" i="2"/>
  <c r="C288" i="2"/>
  <c r="B128" i="2"/>
  <c r="B176" i="2"/>
  <c r="D176" i="2"/>
  <c r="C176" i="2"/>
  <c r="C194" i="2"/>
  <c r="D194" i="2"/>
  <c r="B247" i="2"/>
  <c r="C36" i="2"/>
  <c r="B42" i="2"/>
  <c r="C53" i="2"/>
  <c r="C6" i="2"/>
  <c r="C49" i="2"/>
  <c r="B49" i="2"/>
  <c r="C74" i="2"/>
  <c r="D90" i="2"/>
  <c r="C90" i="2"/>
  <c r="B90" i="2"/>
  <c r="B95" i="2"/>
  <c r="D111" i="2"/>
  <c r="B124" i="2"/>
  <c r="D135" i="2"/>
  <c r="C135" i="2"/>
  <c r="B135" i="2"/>
  <c r="D141" i="2"/>
  <c r="D147" i="2"/>
  <c r="C147" i="2"/>
  <c r="B165" i="2"/>
  <c r="B183" i="2"/>
  <c r="B194" i="2"/>
  <c r="B201" i="2"/>
  <c r="B229" i="2"/>
  <c r="D235" i="2"/>
  <c r="C265" i="2"/>
  <c r="D306" i="2"/>
  <c r="C306" i="2"/>
  <c r="D312" i="2"/>
  <c r="C355" i="2"/>
  <c r="B373" i="2"/>
  <c r="C380" i="2"/>
  <c r="D380" i="2"/>
  <c r="B380" i="2"/>
  <c r="D392" i="2"/>
  <c r="C392" i="2"/>
  <c r="B392" i="2"/>
  <c r="D338" i="2"/>
  <c r="C225" i="2"/>
  <c r="C39" i="2"/>
  <c r="D71" i="2"/>
  <c r="C71" i="2"/>
  <c r="B71" i="2"/>
  <c r="B120" i="2"/>
  <c r="D155" i="2"/>
  <c r="C155" i="2"/>
  <c r="B155" i="2"/>
  <c r="D346" i="2"/>
  <c r="C346" i="2"/>
  <c r="B346" i="2"/>
  <c r="D162" i="2"/>
  <c r="C162" i="2"/>
  <c r="C41" i="2"/>
  <c r="B41" i="2"/>
  <c r="C169" i="2"/>
  <c r="D94" i="2"/>
  <c r="B94" i="2"/>
  <c r="C94" i="2"/>
  <c r="C193" i="2"/>
  <c r="B20" i="2"/>
  <c r="B36" i="2"/>
  <c r="D200" i="2"/>
  <c r="B74" i="2"/>
  <c r="D1" i="2"/>
  <c r="D20" i="2"/>
  <c r="C26" i="2"/>
  <c r="D53" i="2"/>
  <c r="C21" i="2"/>
  <c r="B21" i="2"/>
  <c r="D54" i="2"/>
  <c r="C54" i="2"/>
  <c r="B54" i="2"/>
  <c r="C69" i="2"/>
  <c r="D69" i="2"/>
  <c r="B85" i="2"/>
  <c r="C95" i="2"/>
  <c r="D112" i="2"/>
  <c r="C112" i="2"/>
  <c r="B112" i="2"/>
  <c r="C124" i="2"/>
  <c r="C129" i="2"/>
  <c r="B129" i="2"/>
  <c r="B147" i="2"/>
  <c r="B153" i="2"/>
  <c r="C165" i="2"/>
  <c r="B171" i="2"/>
  <c r="C183" i="2"/>
  <c r="C201" i="2"/>
  <c r="D254" i="2"/>
  <c r="C254" i="2"/>
  <c r="B254" i="2"/>
  <c r="B272" i="2"/>
  <c r="D272" i="2"/>
  <c r="C272" i="2"/>
  <c r="B283" i="2"/>
  <c r="D326" i="2"/>
  <c r="C326" i="2"/>
  <c r="B337" i="2"/>
  <c r="C373" i="2"/>
  <c r="D130" i="2"/>
  <c r="C130" i="2"/>
  <c r="B130" i="2"/>
  <c r="C44" i="2"/>
  <c r="D267" i="2"/>
  <c r="C168" i="2"/>
  <c r="B168" i="2"/>
  <c r="D256" i="2"/>
  <c r="C256" i="2"/>
  <c r="B256" i="2"/>
  <c r="D138" i="2"/>
  <c r="C138" i="2"/>
  <c r="B14" i="2"/>
  <c r="D41" i="2"/>
  <c r="B217" i="2"/>
  <c r="D324" i="2"/>
  <c r="C324" i="2"/>
  <c r="C366" i="2"/>
  <c r="D366" i="2"/>
  <c r="D378" i="2"/>
  <c r="C378" i="2"/>
  <c r="B378" i="2"/>
  <c r="C217" i="2"/>
  <c r="D241" i="2"/>
  <c r="B241" i="2"/>
  <c r="D317" i="2"/>
  <c r="C317" i="2"/>
  <c r="B317" i="2"/>
  <c r="D331" i="2"/>
  <c r="C331" i="2"/>
  <c r="B331" i="2"/>
  <c r="D25" i="2"/>
  <c r="C10" i="2"/>
  <c r="C37" i="2"/>
  <c r="B37" i="2"/>
  <c r="D58" i="2"/>
  <c r="B58" i="2"/>
  <c r="C58" i="2"/>
  <c r="D6" i="2"/>
  <c r="D11" i="2"/>
  <c r="C11" i="2"/>
  <c r="B11" i="2"/>
  <c r="B16" i="2"/>
  <c r="D26" i="2"/>
  <c r="B32" i="2"/>
  <c r="C43" i="2"/>
  <c r="D27" i="2"/>
  <c r="C27" i="2"/>
  <c r="B27" i="2"/>
  <c r="D37" i="2"/>
  <c r="D43" i="2"/>
  <c r="D49" i="2"/>
  <c r="B69" i="2"/>
  <c r="D129" i="2"/>
  <c r="D148" i="2"/>
  <c r="C148" i="2"/>
  <c r="B148" i="2"/>
  <c r="C171" i="2"/>
  <c r="C283" i="2"/>
  <c r="B306" i="2"/>
  <c r="B319" i="2"/>
  <c r="C337" i="2"/>
  <c r="D216" i="2"/>
  <c r="C216" i="2"/>
  <c r="B325" i="2"/>
  <c r="B379" i="2"/>
  <c r="D184" i="2"/>
  <c r="C184" i="2"/>
  <c r="B184" i="2"/>
  <c r="D166" i="2"/>
  <c r="C166" i="2"/>
  <c r="B166" i="2"/>
  <c r="B374" i="2"/>
  <c r="D385" i="2"/>
  <c r="C385" i="2"/>
  <c r="D389" i="2"/>
  <c r="C389" i="2"/>
  <c r="B389" i="2"/>
  <c r="C231" i="2"/>
  <c r="B231" i="2"/>
  <c r="B163" i="2"/>
  <c r="C213" i="2"/>
  <c r="B213" i="2"/>
  <c r="D231" i="2"/>
  <c r="D263" i="2"/>
  <c r="C263" i="2"/>
  <c r="B263" i="2"/>
  <c r="D353" i="2"/>
  <c r="C353" i="2"/>
  <c r="B353" i="2"/>
  <c r="D367" i="2"/>
  <c r="C367" i="2"/>
  <c r="D371" i="2"/>
  <c r="C371" i="2"/>
  <c r="B371" i="2"/>
  <c r="B385" i="2"/>
  <c r="B399" i="2"/>
  <c r="B31" i="2"/>
  <c r="B67" i="2"/>
  <c r="B75" i="2"/>
  <c r="B79" i="2"/>
  <c r="B100" i="2"/>
  <c r="B122" i="2"/>
  <c r="B140" i="2"/>
  <c r="B145" i="2"/>
  <c r="C163" i="2"/>
  <c r="B190" i="2"/>
  <c r="C195" i="2"/>
  <c r="B195" i="2"/>
  <c r="B204" i="2"/>
  <c r="D213" i="2"/>
  <c r="B236" i="2"/>
  <c r="B268" i="2"/>
  <c r="B277" i="2"/>
  <c r="B286" i="2"/>
  <c r="B295" i="2"/>
  <c r="B304" i="2"/>
  <c r="B313" i="2"/>
  <c r="B318" i="2"/>
  <c r="B340" i="2"/>
  <c r="B349" i="2"/>
  <c r="B376" i="2"/>
  <c r="B390" i="2"/>
  <c r="C399" i="2"/>
  <c r="D281" i="2"/>
  <c r="C281" i="2"/>
  <c r="B281" i="2"/>
  <c r="D299" i="2"/>
  <c r="C299" i="2"/>
  <c r="B299" i="2"/>
  <c r="D335" i="2"/>
  <c r="C335" i="2"/>
  <c r="B335" i="2"/>
  <c r="C31" i="2"/>
  <c r="B63" i="2"/>
  <c r="C67" i="2"/>
  <c r="C75" i="2"/>
  <c r="C79" i="2"/>
  <c r="B88" i="2"/>
  <c r="B92" i="2"/>
  <c r="B96" i="2"/>
  <c r="C100" i="2"/>
  <c r="C105" i="2"/>
  <c r="B105" i="2"/>
  <c r="C122" i="2"/>
  <c r="C140" i="2"/>
  <c r="C145" i="2"/>
  <c r="B172" i="2"/>
  <c r="C177" i="2"/>
  <c r="B177" i="2"/>
  <c r="B186" i="2"/>
  <c r="C190" i="2"/>
  <c r="D204" i="2"/>
  <c r="B218" i="2"/>
  <c r="D227" i="2"/>
  <c r="C227" i="2"/>
  <c r="B227" i="2"/>
  <c r="C236" i="2"/>
  <c r="B250" i="2"/>
  <c r="B259" i="2"/>
  <c r="C268" i="2"/>
  <c r="C277" i="2"/>
  <c r="C286" i="2"/>
  <c r="C295" i="2"/>
  <c r="C304" i="2"/>
  <c r="C313" i="2"/>
  <c r="C318" i="2"/>
  <c r="C340" i="2"/>
  <c r="C349" i="2"/>
  <c r="B358" i="2"/>
  <c r="B367" i="2"/>
  <c r="C376" i="2"/>
  <c r="C390" i="2"/>
  <c r="C159" i="2"/>
  <c r="B159" i="2"/>
  <c r="D177" i="2"/>
  <c r="D186" i="2"/>
  <c r="C259" i="2"/>
  <c r="B382" i="2"/>
  <c r="B400" i="2"/>
  <c r="B285" i="2"/>
  <c r="B303" i="2"/>
  <c r="B321" i="2"/>
  <c r="B339" i="2"/>
  <c r="B357" i="2"/>
  <c r="B375" i="2"/>
  <c r="C382" i="2"/>
  <c r="B393" i="2"/>
  <c r="C40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<sst xmlns="http://schemas.openxmlformats.org/spreadsheetml/2006/main" count="459" uniqueCount="436">
  <si>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</si>
  <si>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</si>
  <si>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</si>
  <si>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</si>
  <si>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</si>
  <si>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</si>
  <si>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</si>
  <si>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</si>
  <si>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</si>
  <si>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</si>
  <si>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</si>
  <si>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</si>
  <si>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</si>
  <si>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</si>
  <si>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</si>
  <si>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</si>
  <si>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</si>
  <si>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</si>
  <si>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</si>
  <si>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</si>
  <si>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</si>
  <si>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</si>
  <si>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</si>
  <si>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</si>
  <si>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</si>
  <si>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</si>
  <si>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</si>
  <si>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</si>
  <si>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</si>
  <si>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</si>
  <si>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</si>
  <si>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</si>
  <si>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</si>
  <si>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</si>
  <si>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</si>
  <si>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all:BESSELI#4</t>
  </si>
  <si>
    <t>all:BESSELI#5</t>
  </si>
  <si>
    <t>all:BESSELI#6</t>
  </si>
  <si>
    <t>all:BESSELJ#1</t>
  </si>
  <si>
    <t>all:BESSELJ#2</t>
  </si>
  <si>
    <t>all:BESSELJ#3</t>
  </si>
  <si>
    <t>all:BESSELJ#4</t>
  </si>
  <si>
    <t>all:BESSELJ#5</t>
  </si>
  <si>
    <t>all:BESSELJ#6</t>
  </si>
  <si>
    <t>all:BESSELK#1</t>
  </si>
  <si>
    <t>all:BESSELK#2</t>
  </si>
  <si>
    <t>all:BESSELK#3</t>
  </si>
  <si>
    <t>all:BESSELK#4</t>
  </si>
  <si>
    <t>all:BESSELK#5</t>
  </si>
  <si>
    <t>all:BESSELK#6</t>
  </si>
  <si>
    <t>all:BESSELY#1</t>
  </si>
  <si>
    <t>all:BESSELY#2</t>
  </si>
  <si>
    <t>all:BESSELY#3</t>
  </si>
  <si>
    <t>all:BESSELY#4</t>
  </si>
  <si>
    <t>all:BESSELY#5</t>
  </si>
  <si>
    <t>all:BESSELY#6</t>
  </si>
  <si>
    <t>all:BETA.DIST#1</t>
  </si>
  <si>
    <t>all:BETA.DIST#2</t>
  </si>
  <si>
    <t>all:BETA.DIST#3</t>
  </si>
  <si>
    <t>all:BETA.DIST#4</t>
  </si>
  <si>
    <t>all:BETA.DIST#5</t>
  </si>
  <si>
    <t>all:BETA.DIST#6</t>
  </si>
  <si>
    <t>all:BETA.DIST#7</t>
  </si>
  <si>
    <t>all:BETA.DIST#8</t>
  </si>
  <si>
    <t>all:BETA.DIST#9</t>
  </si>
  <si>
    <t>all:BETA.DIST#10</t>
  </si>
  <si>
    <t>all:BETA.DIST#11</t>
  </si>
  <si>
    <t>all:BETA.DIST#12</t>
  </si>
  <si>
    <t>all:BETA.DIST#13</t>
  </si>
  <si>
    <t>all:BETA.DIST#14</t>
  </si>
  <si>
    <t>all:BETA.DIST#15</t>
  </si>
  <si>
    <t>all:BETA.DIST#16</t>
  </si>
  <si>
    <t>all:BETA.DIST#17</t>
  </si>
  <si>
    <t>all:BETA.DIST#18</t>
  </si>
  <si>
    <t>all:BETA.DIST#19</t>
  </si>
  <si>
    <t>all:BETA.DIST#20</t>
  </si>
  <si>
    <t>all:BETA.DIST#21</t>
  </si>
  <si>
    <t>all:BETA.DIST#22</t>
  </si>
  <si>
    <t>all:BETA.DIST#23</t>
  </si>
  <si>
    <t>all:BETA.DIST#24</t>
  </si>
  <si>
    <t>all:BETA.INV#1</t>
  </si>
  <si>
    <t>all:BETA.INV#2</t>
  </si>
  <si>
    <t>all:BETA.INV#3</t>
  </si>
  <si>
    <t>all:BETA.INV#4</t>
  </si>
  <si>
    <t>all:BETA.INV#5</t>
  </si>
  <si>
    <t>all:BETA.INV#6</t>
  </si>
  <si>
    <t>all:BETA.INV#7</t>
  </si>
  <si>
    <t>all:BETA.INV#8</t>
  </si>
  <si>
    <t>all:BETA.INV#9</t>
  </si>
  <si>
    <t>all:BETA.INV#10</t>
  </si>
  <si>
    <t>all:BETA.INV#11</t>
  </si>
  <si>
    <t>all:BETA.INV#12</t>
  </si>
  <si>
    <t>all:BETA.INV#13</t>
  </si>
  <si>
    <t>all:BETA.INV#14</t>
  </si>
  <si>
    <t>all:BETA.INV#15</t>
  </si>
  <si>
    <t>all:BETA.INV#16</t>
  </si>
  <si>
    <t>all:BETA.INV#17</t>
  </si>
  <si>
    <t>all:BETA.INV#18</t>
  </si>
  <si>
    <t>all:BETA.INV#19</t>
  </si>
  <si>
    <t>all:BETA.INV#20</t>
  </si>
  <si>
    <t>all:BETADIST#1</t>
  </si>
  <si>
    <t>all:BETADIST#2</t>
  </si>
  <si>
    <t>all:BETADIST#3</t>
  </si>
  <si>
    <t>all:BETADIST#4</t>
  </si>
  <si>
    <t>all:BETADIST#5</t>
  </si>
  <si>
    <t>all:BETADIST#6</t>
  </si>
  <si>
    <t>all:BETADIST#7</t>
  </si>
  <si>
    <t>all:BETADIST#8</t>
  </si>
  <si>
    <t>all:BETADIST#9</t>
  </si>
  <si>
    <t>all:BETADIST#10</t>
  </si>
  <si>
    <t>all:BETADIST#11</t>
  </si>
  <si>
    <t>all:BETADIST#12</t>
  </si>
  <si>
    <t>all:BETADIST#13</t>
  </si>
  <si>
    <t>all:BETADIST#14</t>
  </si>
  <si>
    <t>all:BETADIST#15</t>
  </si>
  <si>
    <t>all:BETADIST#16</t>
  </si>
  <si>
    <t>all:BETADIST#17</t>
  </si>
  <si>
    <t>all:BETADIST#18</t>
  </si>
  <si>
    <t>all:BETADIST#19</t>
  </si>
  <si>
    <t>all:BETADIST#20</t>
  </si>
  <si>
    <t>all:BETAINV#1</t>
  </si>
  <si>
    <t>all:BETAINV#2</t>
  </si>
  <si>
    <t>all:BETAINV#3</t>
  </si>
  <si>
    <t>all:BETAINV#4</t>
  </si>
  <si>
    <t>all:BETAINV#5</t>
  </si>
  <si>
    <t>all:BETAINV#6</t>
  </si>
  <si>
    <t>all:BETAINV#7</t>
  </si>
  <si>
    <t>all:BETAINV#8</t>
  </si>
  <si>
    <t>all:BETAINV#9</t>
  </si>
  <si>
    <t>all:BETAINV#10</t>
  </si>
  <si>
    <t>all:BETAINV#11</t>
  </si>
  <si>
    <t>all:BETAINV#12</t>
  </si>
  <si>
    <t>all:BETAINV#13</t>
  </si>
  <si>
    <t>all:BETAINV#14</t>
  </si>
  <si>
    <t>all:BETAINV#15</t>
  </si>
  <si>
    <t>all:BETAINV#16</t>
  </si>
  <si>
    <t>all:BETAINV#17</t>
  </si>
  <si>
    <t>all:BETAINV#18</t>
  </si>
  <si>
    <t>all:BETAINV#19</t>
  </si>
  <si>
    <t>all:BETAINV#20</t>
  </si>
  <si>
    <t>all:BIN2HEX#1</t>
  </si>
  <si>
    <t>all:BIN2HEX#2</t>
  </si>
  <si>
    <t>all:BIN2HEX#3</t>
  </si>
  <si>
    <t>all:BIN2HEX#4</t>
  </si>
  <si>
    <t>all:BIN2HEX#5</t>
  </si>
  <si>
    <t>all:BIN2HEX#6</t>
  </si>
  <si>
    <t>all:BIN2HEX#7</t>
  </si>
  <si>
    <t>all:BIN2HEX#8</t>
  </si>
  <si>
    <t>all:BIN2OCT#1</t>
  </si>
  <si>
    <t>all:BIN2OCT#2</t>
  </si>
  <si>
    <t>all:BIN2OCT#3</t>
  </si>
  <si>
    <t>all:BIN2OCT#4</t>
  </si>
  <si>
    <t>all:BIN2OCT#5</t>
  </si>
  <si>
    <t>all:BIN2OCT#6</t>
  </si>
  <si>
    <t>all:BIN2OCT#7</t>
  </si>
  <si>
    <t>all:BIN2OCT#8</t>
  </si>
  <si>
    <t>all:BINOM.DIST#1</t>
  </si>
  <si>
    <t>all:BINOM.DIST#2</t>
  </si>
  <si>
    <t>all:BINOM.DIST#3</t>
  </si>
  <si>
    <t>all:BINOM.DIST#4</t>
  </si>
  <si>
    <t>all:BINOM.DIST#5</t>
  </si>
  <si>
    <t>all:BINOM.DIST#6</t>
  </si>
  <si>
    <t>all:BINOM.DIST#7</t>
  </si>
  <si>
    <t>all:BINOM.DIST#8</t>
  </si>
  <si>
    <t>all:BINOM.DIST#9</t>
  </si>
  <si>
    <t>all:BINOM.DIST#10</t>
  </si>
  <si>
    <t>all:BINOM.DIST#11</t>
  </si>
  <si>
    <t>all:BINOM.DIST#12</t>
  </si>
  <si>
    <t>all:BINOM.DIST#13</t>
  </si>
  <si>
    <t>all:BINOM.DIST#14</t>
  </si>
  <si>
    <t>all:BINOM.DIST#15</t>
  </si>
  <si>
    <t>all:BINOM.DIST#16</t>
  </si>
  <si>
    <t>all:BINOM.DIST.RANGE#1</t>
  </si>
  <si>
    <t>all:BINOM.DIST.RANGE#2</t>
  </si>
  <si>
    <t>all:BINOM.DIST.RANGE#3</t>
  </si>
  <si>
    <t>all:BINOM.DIST.RANGE#4</t>
  </si>
  <si>
    <t>all:BINOM.DIST.RANGE#5</t>
  </si>
  <si>
    <t>all:BINOM.DIST.RANGE#6</t>
  </si>
  <si>
    <t>all:BINOM.DIST.RANGE#7</t>
  </si>
  <si>
    <t>all:BINOM.DIST.RANGE#8</t>
  </si>
  <si>
    <t>all:BINOM.DIST.RANGE#9</t>
  </si>
  <si>
    <t>all:BINOM.DIST.RANGE#10</t>
  </si>
  <si>
    <t>all:BINOM.DIST.RANGE#11</t>
  </si>
  <si>
    <t>all:BINOM.DIST.RANGE#12</t>
  </si>
  <si>
    <t>all:BINOM.DIST.RANGE#13</t>
  </si>
  <si>
    <t>all:BINOM.DIST.RANGE#14</t>
  </si>
  <si>
    <t>all:BINOM.DIST.RANGE#15</t>
  </si>
  <si>
    <t>all:BINOM.DIST.RANGE#16</t>
  </si>
  <si>
    <t>all:BINOM.DIST.RANGE#17</t>
  </si>
  <si>
    <t>all:BINOM.INV#1</t>
  </si>
  <si>
    <t>all:BINOM.INV#2</t>
  </si>
  <si>
    <t>all:BINOM.INV#3</t>
  </si>
  <si>
    <t>all:BINOM.INV#4</t>
  </si>
  <si>
    <t>all:BINOM.INV#5</t>
  </si>
  <si>
    <t>all:BINOM.INV#6</t>
  </si>
  <si>
    <t>all:BINOM.INV#7</t>
  </si>
  <si>
    <t>all:BINOM.INV#8</t>
  </si>
  <si>
    <t>all:BINOM.INV#9</t>
  </si>
  <si>
    <t>all:BINOM.INV#10</t>
  </si>
  <si>
    <t>all:BINOM.INV#11</t>
  </si>
  <si>
    <t>all:BINOM.INV#12</t>
  </si>
  <si>
    <t>all:BINOMDIST#1</t>
  </si>
  <si>
    <t>all:BINOMDIST#2</t>
  </si>
  <si>
    <t>all:BINOMDIST#3</t>
  </si>
  <si>
    <t>all:BINOMDIST#4</t>
  </si>
  <si>
    <t>all:BINOMDIST#5</t>
  </si>
  <si>
    <t>all:BINOMDIST#6</t>
  </si>
  <si>
    <t>all:BINOMDIST#7</t>
  </si>
  <si>
    <t>all:BINOMDIST#8</t>
  </si>
  <si>
    <t>all:BINOMDIST#9</t>
  </si>
  <si>
    <t>all:BINOMDIST#10</t>
  </si>
  <si>
    <t>all:BINOMDIST#11</t>
  </si>
  <si>
    <t>all:BINOMDIST#12</t>
  </si>
  <si>
    <t>all:BINOMDIST#13</t>
  </si>
  <si>
    <t>all:BINOMDIST#14</t>
  </si>
  <si>
    <t>all:BINOMDIST#15</t>
  </si>
  <si>
    <t>all:BINOMDIST#16</t>
  </si>
  <si>
    <t>all:BITAND#1</t>
  </si>
  <si>
    <t>all:BITAND#2</t>
  </si>
  <si>
    <t>all:BITAND#3</t>
  </si>
  <si>
    <t>all:BITAND#4</t>
  </si>
  <si>
    <t>all:BITAND#5</t>
  </si>
  <si>
    <t>all:BITAND#6</t>
  </si>
  <si>
    <t>all:BITAND#7</t>
  </si>
  <si>
    <t>all:BITAND#8</t>
  </si>
  <si>
    <t>all:BITLSHIFT#1</t>
  </si>
  <si>
    <t>all:BITLSHIFT#2</t>
  </si>
  <si>
    <t>all:BITLSHIFT#3</t>
  </si>
  <si>
    <t>all:BITLSHIFT#4</t>
  </si>
  <si>
    <t>all:BITLSHIFT#5</t>
  </si>
  <si>
    <t>all:BITLSHIFT#6</t>
  </si>
  <si>
    <t>all:BITLSHIFT#7</t>
  </si>
  <si>
    <t>all:BITLSHIFT#8</t>
  </si>
  <si>
    <t>all:BITOR#1</t>
  </si>
  <si>
    <t>all:BITOR#2</t>
  </si>
  <si>
    <t>all:BITOR#3</t>
  </si>
  <si>
    <t>all:BITOR#4</t>
  </si>
  <si>
    <t>all:BITOR#5</t>
  </si>
  <si>
    <t>all:BITOR#6</t>
  </si>
  <si>
    <t>all:BITOR#7</t>
  </si>
  <si>
    <t>all:BITOR#8</t>
  </si>
  <si>
    <t>all:BITRSHIFT#1</t>
  </si>
  <si>
    <t>all:BITRSHIFT#2</t>
  </si>
  <si>
    <t>all:BITRSHIFT#3</t>
  </si>
  <si>
    <t>all:BITRSHIFT#4</t>
  </si>
  <si>
    <t>all:BITRSHIFT#5</t>
  </si>
  <si>
    <t>all:BITRSHIFT#6</t>
  </si>
  <si>
    <t>all:BITRSHIFT#7</t>
  </si>
  <si>
    <t>all:BITRSHIFT#8</t>
  </si>
  <si>
    <t>all:BITXOR#1</t>
  </si>
  <si>
    <t>all:BITXOR#2</t>
  </si>
  <si>
    <t>all:BITXOR#3</t>
  </si>
  <si>
    <t>all:BITXOR#4</t>
  </si>
  <si>
    <t>all:BITXOR#5</t>
  </si>
  <si>
    <t>all:BITXOR#6</t>
  </si>
  <si>
    <t>all:BITXOR#7</t>
  </si>
  <si>
    <t>all:BITXOR#8</t>
  </si>
  <si>
    <t>all:CEILING#1</t>
  </si>
  <si>
    <t>all:CEILING#2</t>
  </si>
  <si>
    <t>all:CEILING#3</t>
  </si>
  <si>
    <t>all:CEILING#4</t>
  </si>
  <si>
    <t>all:CEILING#5</t>
  </si>
  <si>
    <t>all:CEILING#6</t>
  </si>
  <si>
    <t>all:CEILING#7</t>
  </si>
  <si>
    <t>all:CEILING#8</t>
  </si>
  <si>
    <t>all:CEILING.MATH#1</t>
  </si>
  <si>
    <t>all:CEILING.MATH#2</t>
  </si>
  <si>
    <t>all:CEILING.MATH#3</t>
  </si>
  <si>
    <t>all:CEILING.MATH#4</t>
  </si>
  <si>
    <t>all:CEILING.MATH#5</t>
  </si>
  <si>
    <t>all:CEILING.MATH#6</t>
  </si>
  <si>
    <t>all:CEILING.MATH#7</t>
  </si>
  <si>
    <t>all:CEILING.MATH#8</t>
  </si>
  <si>
    <t>all:CEILING.MATH#9</t>
  </si>
  <si>
    <t>all:CEILING.MATH#10</t>
  </si>
  <si>
    <t>all:CEILING.MATH#11</t>
  </si>
  <si>
    <t>all:CEILING.MATH#12</t>
  </si>
  <si>
    <t>all:CEILING.MATH#13</t>
  </si>
  <si>
    <t>all:CEILING.PRECISE#1</t>
  </si>
  <si>
    <t>all:CEILING.PRECISE#2</t>
  </si>
  <si>
    <t>all:CEILING.PRECISE#3</t>
  </si>
  <si>
    <t>all:CEILING.PRECISE#4</t>
  </si>
  <si>
    <t>all:CEILING.PRECISE#5</t>
  </si>
  <si>
    <t>all:CHIDIST#1</t>
  </si>
  <si>
    <t>all:CHIDIST#2</t>
  </si>
  <si>
    <t>all:CHIDIST#3</t>
  </si>
  <si>
    <t>all:CHIDIST#4</t>
  </si>
  <si>
    <t>all:CHIDIST#5</t>
  </si>
  <si>
    <t>all:CHIDIST#6</t>
  </si>
  <si>
    <t>all:CHIDIST#7</t>
  </si>
  <si>
    <t>all:CHIDIST#8</t>
  </si>
  <si>
    <t>all:CHIINV#1</t>
  </si>
  <si>
    <t>all:CHIINV#2</t>
  </si>
  <si>
    <t>all:CHIINV#3</t>
  </si>
  <si>
    <t>all:CHIINV#4</t>
  </si>
  <si>
    <t>all:CHIINV#5</t>
  </si>
  <si>
    <t>all:CHIINV#6</t>
  </si>
  <si>
    <t>all:CHIINV#7</t>
  </si>
  <si>
    <t>all:CHIINV#8</t>
  </si>
  <si>
    <t>all:CHISQ.DIST#1</t>
  </si>
  <si>
    <t>all:CHISQ.DIST#2</t>
  </si>
  <si>
    <t>all:CHISQ.DIST#3</t>
  </si>
  <si>
    <t>all:CHISQ.DIST#4</t>
  </si>
  <si>
    <t>all:CHISQ.DIST#5</t>
  </si>
  <si>
    <t>all:CHISQ.DIST#6</t>
  </si>
  <si>
    <t>all:CHISQ.DIST#7</t>
  </si>
  <si>
    <t>all:CHISQ.DIST#8</t>
  </si>
  <si>
    <t>all:CHISQ.DIST#9</t>
  </si>
  <si>
    <t>all:CHISQ.DIST#10</t>
  </si>
  <si>
    <t>all:CHISQ.DIST#11</t>
  </si>
  <si>
    <t>all:CHISQ.DIST#12</t>
  </si>
  <si>
    <t>all:CHISQ.DIST.RT#1</t>
  </si>
  <si>
    <t>all:CHISQ.DIST.RT#2</t>
  </si>
  <si>
    <t>all:CHISQ.DIST.RT#3</t>
  </si>
  <si>
    <t>all:CHISQ.DIST.RT#4</t>
  </si>
  <si>
    <t>all:CHISQ.DIST.RT#5</t>
  </si>
  <si>
    <t>all:CHISQ.DIST.RT#6</t>
  </si>
  <si>
    <t>all:CHISQ.DIST.RT#7</t>
  </si>
  <si>
    <t>all:CHISQ.DIST.RT#8</t>
  </si>
  <si>
    <t>all:CHISQ.INV#1</t>
  </si>
  <si>
    <t>all:CHISQ.INV#2</t>
  </si>
  <si>
    <t>all:CHISQ.INV#3</t>
  </si>
  <si>
    <t>all:CHISQ.INV#4</t>
  </si>
  <si>
    <t>all:CHISQ.INV#5</t>
  </si>
  <si>
    <t>all:CHISQ.INV#6</t>
  </si>
  <si>
    <t>all:CHISQ.INV#7</t>
  </si>
  <si>
    <t>all:CHISQ.INV#8</t>
  </si>
  <si>
    <t>all:CHISQ.INV.RT#1</t>
  </si>
  <si>
    <t>all:CHISQ.INV.RT#2</t>
  </si>
  <si>
    <t>all:CHISQ.INV.RT#3</t>
  </si>
  <si>
    <t>all:CHISQ.INV.RT#4</t>
  </si>
  <si>
    <t>all:CHISQ.INV.RT#5</t>
  </si>
  <si>
    <t>all:CHISQ.INV.RT#6</t>
  </si>
  <si>
    <t>all:CHISQ.INV.RT#7</t>
  </si>
  <si>
    <t>all:CHISQ.INV.RT#8</t>
  </si>
  <si>
    <t>all:CHISQ.TEST#1</t>
  </si>
  <si>
    <t>all:CHISQ.TEST#2</t>
  </si>
  <si>
    <t>all:CHISQ.TEST#3</t>
  </si>
  <si>
    <t>all:CHISQ.TEST#4</t>
  </si>
  <si>
    <t>all:CHISQ.TEST#5</t>
  </si>
  <si>
    <t>all:CHISQ.TEST#6</t>
  </si>
  <si>
    <t>all:CHISQ.TEST#7</t>
  </si>
  <si>
    <t>all:CHISQ.TEST#8</t>
  </si>
  <si>
    <t>all:CHITEST#1</t>
  </si>
  <si>
    <t>all:CHITEST#2</t>
  </si>
  <si>
    <t>all:CHITEST#3</t>
  </si>
  <si>
    <t>all:CHITEST#4</t>
  </si>
  <si>
    <t>all:CHITEST#5</t>
  </si>
  <si>
    <t>all:CHITEST#6</t>
  </si>
  <si>
    <t>all:CHITEST#7</t>
  </si>
  <si>
    <t>all:CHITEST#8</t>
  </si>
  <si>
    <t>all:CHOOSE#1</t>
  </si>
  <si>
    <t>all:CHOOSE#2</t>
  </si>
  <si>
    <t>all:CHOOSE#3</t>
  </si>
  <si>
    <t>all:CHOOSE#4</t>
  </si>
  <si>
    <t>all:CHOOSE#5</t>
  </si>
  <si>
    <t>all:CHOOSE#6</t>
  </si>
  <si>
    <t>all:CHOOSE#7</t>
  </si>
  <si>
    <t>all:CHOOSE#8</t>
  </si>
  <si>
    <t>all:CHOOSE#9</t>
  </si>
  <si>
    <t>all:CHOOSE#10</t>
  </si>
  <si>
    <t>all:CHOOSE#11</t>
  </si>
  <si>
    <t>all:CHOOSE#12</t>
  </si>
  <si>
    <t>all:CHOOSE#13</t>
  </si>
  <si>
    <t>all:CHOOSE#14</t>
  </si>
  <si>
    <t>all:CHOOSE#15</t>
  </si>
  <si>
    <t>all:CHOOSE#16</t>
  </si>
  <si>
    <t>all:CHOOSE#17</t>
  </si>
  <si>
    <t>all:CHOOSE#18</t>
  </si>
  <si>
    <t>all:CHOOSE#19</t>
  </si>
  <si>
    <t>all:CHOOSE#20</t>
  </si>
  <si>
    <t>all:CHOOSE#21</t>
  </si>
  <si>
    <t>all:COMBIN#1</t>
  </si>
  <si>
    <t>all:COMBIN#2</t>
  </si>
  <si>
    <t>all:COMBIN#3</t>
  </si>
  <si>
    <t>all:COMBIN#4</t>
  </si>
  <si>
    <t>all:COMBIN#5</t>
  </si>
  <si>
    <t>all:COMBIN#6</t>
  </si>
  <si>
    <t>all:COMBIN#7</t>
  </si>
  <si>
    <t>all:COMBIN#8</t>
  </si>
  <si>
    <t>all:COMBINA#1</t>
  </si>
  <si>
    <t>all:COMBINA#2</t>
  </si>
  <si>
    <t>all:COMBINA#3</t>
  </si>
  <si>
    <t>all:COMBINA#4</t>
  </si>
  <si>
    <t>all:COMBINA#5</t>
  </si>
  <si>
    <t>all:COMBINA#6</t>
  </si>
  <si>
    <t>all:COMBINA#7</t>
  </si>
  <si>
    <t>all:COMBINA#8</t>
  </si>
  <si>
    <t>all:COMPLEX#1</t>
  </si>
  <si>
    <t>all:COMPLEX#2</t>
  </si>
  <si>
    <t>all:COMPLEX#3</t>
  </si>
  <si>
    <t>all:COMPLEX#4</t>
  </si>
  <si>
    <t>all:COMPLEX#5</t>
  </si>
  <si>
    <t>all:COMPLEX#6</t>
  </si>
  <si>
    <t>all:COMPLEX#7</t>
  </si>
  <si>
    <t>all:COMPLEX#8</t>
  </si>
  <si>
    <t>all:COMPLEX#9</t>
  </si>
  <si>
    <t>all:COMPLEX#10</t>
  </si>
  <si>
    <t>all:COMPLEX#11</t>
  </si>
  <si>
    <t>all:COMPLEX#12</t>
  </si>
  <si>
    <t>all:COMPLEX#13</t>
  </si>
  <si>
    <t>all:CONCAT#1</t>
  </si>
  <si>
    <t>all:CONCAT#2</t>
  </si>
  <si>
    <t>all:CONCAT#3</t>
  </si>
  <si>
    <t>all:CONCAT#4</t>
  </si>
  <si>
    <t>all:CONCAT#5</t>
  </si>
  <si>
    <t>all:CONCAT#6</t>
  </si>
  <si>
    <t>all:CONCAT#7</t>
  </si>
  <si>
    <t>all:CONCAT#8</t>
  </si>
  <si>
    <t>all:CONCAT#9</t>
  </si>
  <si>
    <t>all:CONCAT#10</t>
  </si>
  <si>
    <t>all:CONCAT#11</t>
  </si>
  <si>
    <t>all:CONCAT#12</t>
  </si>
  <si>
    <t>all:CONCAT#13</t>
  </si>
  <si>
    <t>all:CONCAT#14</t>
  </si>
  <si>
    <t>all:CONCAT#15</t>
  </si>
  <si>
    <t>all:CONCAT#16</t>
  </si>
  <si>
    <t>all:CONCAT#17</t>
  </si>
  <si>
    <t>all:CONCATENATE#1</t>
  </si>
  <si>
    <t>all:CONCATENATE#2</t>
  </si>
  <si>
    <t>all:CONCATENATE#3</t>
  </si>
  <si>
    <t>all:CONCATENATE#4</t>
  </si>
  <si>
    <t>all:CONCATENATE#5</t>
  </si>
  <si>
    <t>all:CONCATENATE#6</t>
  </si>
  <si>
    <t>all:CONCATENATE#7</t>
  </si>
  <si>
    <t>all:CONCATENATE#8</t>
  </si>
  <si>
    <t>all:CONCATENATE#9</t>
  </si>
  <si>
    <t>all:CONCATENATE#10</t>
  </si>
  <si>
    <t>all:CONCATENATE#11</t>
  </si>
  <si>
    <t>all:CONCATENATE#12</t>
  </si>
  <si>
    <t>all:CONCATENATE#13</t>
  </si>
  <si>
    <t>all:CONFIDENCE#1</t>
  </si>
  <si>
    <t>all:CONFIDENCE#2</t>
  </si>
  <si>
    <t>all:CONFIDENCE#3</t>
  </si>
  <si>
    <t>all:CONFIDENCE#4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</si>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</sst>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BESSELI(FALSE,1)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BESSELI(1.5,)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BESSELI(1.5,0)</f>
        <v>1.6467232021476756</v>
      </c>
      <c r="B3">
        <f t="shared" si="0"/>
        <v>0</v>
      </c>
      <c r="C3">
        <f t="shared" si="1"/>
        <v>1.6467232021476756</v>
      </c>
      <c r="D3" t="str">
        <f t="shared" si="2"/>
        <v/>
      </c>
      <c r="E3" t="s">
        <v>37</v>
      </c>
    </row>
    <row r="4" spans="1:5" x14ac:dyDescent="0.2">
      <c r="A4" t="e" cm="1">
        <f t="array" ref="A4">BESSELJ(,2)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BESSELJ(0,2)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BESSELJ("",2)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BESSELJ(FALSE,2)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BESSELJ(1.9,)</f>
        <v>#N/A</v>
      </c>
      <c r="B8">
        <f t="shared" si="0"/>
        <v>7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BESSELJ(1.9,0)</f>
        <v>0.28181856183176462</v>
      </c>
      <c r="B9">
        <f t="shared" si="0"/>
        <v>0</v>
      </c>
      <c r="C9">
        <f t="shared" si="1"/>
        <v>0.28181856183176462</v>
      </c>
      <c r="D9" t="str">
        <f t="shared" si="2"/>
        <v/>
      </c>
      <c r="E9" t="s">
        <v>43</v>
      </c>
    </row>
    <row r="10" spans="1:5" x14ac:dyDescent="0.2">
      <c r="A10" t="e" cm="1">
        <f t="array" ref="A10">BESSELK(,1)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BESSELK(0,1)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BESSELK("",1)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BESSELK(FALSE,1)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BESSELK(1.5,)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BESSELK(1.5,0)</f>
        <v>0.21380556932365397</v>
      </c>
      <c r="B15">
        <f t="shared" si="0"/>
        <v>0</v>
      </c>
      <c r="C15">
        <f t="shared" si="1"/>
        <v>0.21380556932365397</v>
      </c>
      <c r="D15" t="str">
        <f t="shared" si="2"/>
        <v/>
      </c>
      <c r="E15" t="s">
        <v>49</v>
      </c>
    </row>
    <row r="16" spans="1:5" x14ac:dyDescent="0.2">
      <c r="A16" t="e" cm="1">
        <f t="array" ref="A16">BESSELY(,1)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BESSELY(0,1)</f>
        <v>#NUM!</v>
      </c>
      <c r="B17">
        <f t="shared" si="0"/>
        <v>6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BESSELY("",1)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BESSELY(FALSE,1)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BESSELY(2.5,)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BESSELY(2.5,0)</f>
        <v>0.49807035844668862</v>
      </c>
      <c r="B21">
        <f t="shared" si="0"/>
        <v>0</v>
      </c>
      <c r="C21">
        <f t="shared" si="1"/>
        <v>0.49807035844668862</v>
      </c>
      <c r="D21" t="str">
        <f t="shared" si="2"/>
        <v/>
      </c>
      <c r="E21" t="s">
        <v>55</v>
      </c>
    </row>
    <row r="22" spans="1:5" x14ac:dyDescent="0.2">
      <c r="A22" t="e" cm="1">
        <f t="array" ref="A22">_xlfn.BETA.DIST(,8,10,TRUE,1,3)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_xlfn.BETA.DIST(0,8,10,TRUE,1,3)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_xlfn.BETA.DIST("",8,10,TRUE,1,3)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_xlfn.BETA.DIST(FALSE,8,10,TRUE,1,3)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_xlfn.BETA.DIST(2,,10,TRUE,1,3)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_xlfn.BETA.DIST(2,0,10,TRUE,1,3)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_xlfn.BETA.DIST(2,"",10,TRUE,1,3)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_xlfn.BETA.DIST(2,FALSE,10,TRUE,1,3)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_xlfn.BETA.DIST(2,8,,TRUE,1,3)</f>
        <v>#NUM!</v>
      </c>
      <c r="B30">
        <f t="shared" si="0"/>
        <v>6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_xlfn.BETA.DIST(2,8,0,TRUE,1,3)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_xlfn.BETA.DIST(2,8,"",TRUE,1,3)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_xlfn.BETA.DIST(2,8,FALSE,TRUE,1,3)</f>
        <v>#NUM!</v>
      </c>
      <c r="B33">
        <f t="shared" si="0"/>
        <v>6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_xlfn.BETA.DIST(2,8,10,,1,3)</f>
        <v>1.4837646484375</v>
      </c>
      <c r="B34">
        <f t="shared" si="0"/>
        <v>0</v>
      </c>
      <c r="C34">
        <f t="shared" si="1"/>
        <v>1.4837646484375</v>
      </c>
      <c r="D34" t="str">
        <f t="shared" si="2"/>
        <v/>
      </c>
      <c r="E34" t="s">
        <v>68</v>
      </c>
    </row>
    <row r="35" spans="1:5" x14ac:dyDescent="0.2">
      <c r="A35" cm="1">
        <f t="array" ref="A35">_xlfn.BETA.DIST(2,8,10,0,1,3)</f>
        <v>1.4837646484375</v>
      </c>
      <c r="B35">
        <f t="shared" si="0"/>
        <v>0</v>
      </c>
      <c r="C35">
        <f t="shared" si="1"/>
        <v>1.4837646484375</v>
      </c>
      <c r="D35" t="str">
        <f t="shared" si="2"/>
        <v/>
      </c>
      <c r="E35" t="s">
        <v>69</v>
      </c>
    </row>
    <row r="36" spans="1:5" x14ac:dyDescent="0.2">
      <c r="A36" t="e" cm="1">
        <f t="array" ref="A36">_xlfn.BETA.DIST(2,8,10,"",1,3)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_xlfn.BETA.DIST(2,8,10,FALSE,1,3)</f>
        <v>1.4837646484375</v>
      </c>
      <c r="B37">
        <f t="shared" si="0"/>
        <v>0</v>
      </c>
      <c r="C37">
        <f t="shared" si="1"/>
        <v>1.4837646484375</v>
      </c>
      <c r="D37" t="str">
        <f t="shared" si="2"/>
        <v/>
      </c>
      <c r="E37" t="s">
        <v>71</v>
      </c>
    </row>
    <row r="38" spans="1:5" x14ac:dyDescent="0.2">
      <c r="A38" cm="1">
        <f t="array" ref="A38">_xlfn.BETA.DIST(2,8,10,TRUE,,3)</f>
        <v>0.97271551376313492</v>
      </c>
      <c r="B38">
        <f t="shared" si="0"/>
        <v>0</v>
      </c>
      <c r="C38">
        <f t="shared" si="1"/>
        <v>0.97271551376313492</v>
      </c>
      <c r="D38" t="str">
        <f t="shared" si="2"/>
        <v/>
      </c>
      <c r="E38" t="s">
        <v>72</v>
      </c>
    </row>
    <row r="39" spans="1:5" x14ac:dyDescent="0.2">
      <c r="A39" cm="1">
        <f t="array" ref="A39">_xlfn.BETA.DIST(2,8,10,TRUE,0,3)</f>
        <v>0.97271551376313492</v>
      </c>
      <c r="B39">
        <f t="shared" si="0"/>
        <v>0</v>
      </c>
      <c r="C39">
        <f t="shared" si="1"/>
        <v>0.97271551376313492</v>
      </c>
      <c r="D39" t="str">
        <f t="shared" si="2"/>
        <v/>
      </c>
      <c r="E39" t="s">
        <v>73</v>
      </c>
    </row>
    <row r="40" spans="1:5" x14ac:dyDescent="0.2">
      <c r="A40" t="e" cm="1">
        <f t="array" ref="A40">_xlfn.BETA.DIST(2,8,10,TRUE,"",3)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cm="1">
        <f t="array" ref="A41">_xlfn.BETA.DIST(2,8,10,TRUE,FALSE,3)</f>
        <v>0.97271551376313492</v>
      </c>
      <c r="B41">
        <f t="shared" si="0"/>
        <v>0</v>
      </c>
      <c r="C41">
        <f t="shared" si="1"/>
        <v>0.97271551376313492</v>
      </c>
      <c r="D41" t="str">
        <f t="shared" si="2"/>
        <v/>
      </c>
      <c r="E41" t="s">
        <v>75</v>
      </c>
    </row>
    <row r="42" spans="1:5" x14ac:dyDescent="0.2">
      <c r="A42" t="e" cm="1">
        <f t="array" ref="A42">_xlfn.BETA.DIST(2,8,10,TRUE,1,)</f>
        <v>#NUM!</v>
      </c>
      <c r="B42">
        <f t="shared" si="0"/>
        <v>6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_xlfn.BETA.DIST(2,8,10,TRUE,1,0)</f>
        <v>#NUM!</v>
      </c>
      <c r="B43">
        <f t="shared" si="0"/>
        <v>6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_xlfn.BETA.DIST(2,8,10,TRUE,1,"")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_xlfn.BETA.DIST(2,8,10,TRUE,1,FALSE)</f>
        <v>#NUM!</v>
      </c>
      <c r="B45">
        <f t="shared" si="0"/>
        <v>6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_xlfn.BETA.INV(,8,10,1,3)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_xlfn.BETA.INV(0,8,10,1,3)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_xlfn.BETA.INV("",8,10,1,3)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_xlfn.BETA.INV(FALSE,8,10,1,3)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_xlfn.BETA.INV(0.685470581,,10,1,3)</f>
        <v>#NUM!</v>
      </c>
      <c r="B50">
        <f t="shared" si="0"/>
        <v>6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_xlfn.BETA.INV(0.685470581,0,10,1,3)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_xlfn.BETA.INV(0.685470581,"",10,1,3)</f>
        <v>#VALUE!</v>
      </c>
      <c r="B52">
        <f t="shared" si="0"/>
        <v>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_xlfn.BETA.INV(0.685470581,FALSE,10,1,3)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_xlfn.BETA.INV(0.685470581,8,,1,3)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_xlfn.BETA.INV(0.685470581,8,0,1,3)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_xlfn.BETA.INV(0.685470581,8,"",1,3)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_xlfn.BETA.INV(0.685470581,8,FALSE,1,3)</f>
        <v>#NUM!</v>
      </c>
      <c r="B57">
        <f t="shared" si="0"/>
        <v>6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cm="1">
        <f t="array" ref="A58">_xlfn.BETA.INV(0.685470581,8,10,,3)</f>
        <v>1.499999999944714</v>
      </c>
      <c r="B58">
        <f t="shared" si="0"/>
        <v>0</v>
      </c>
      <c r="C58">
        <f t="shared" si="1"/>
        <v>1.499999999944714</v>
      </c>
      <c r="D58" t="str">
        <f t="shared" si="2"/>
        <v/>
      </c>
      <c r="E58" t="s">
        <v>92</v>
      </c>
    </row>
    <row r="59" spans="1:5" x14ac:dyDescent="0.2">
      <c r="A59" cm="1">
        <f t="array" ref="A59">_xlfn.BETA.INV(0.685470581,8,10,0,3)</f>
        <v>1.499999999944714</v>
      </c>
      <c r="B59">
        <f t="shared" si="0"/>
        <v>0</v>
      </c>
      <c r="C59">
        <f t="shared" si="1"/>
        <v>1.499999999944714</v>
      </c>
      <c r="D59" t="str">
        <f t="shared" si="2"/>
        <v/>
      </c>
      <c r="E59" t="s">
        <v>93</v>
      </c>
    </row>
    <row r="60" spans="1:5" x14ac:dyDescent="0.2">
      <c r="A60" t="e" cm="1">
        <f t="array" ref="A60">_xlfn.BETA.INV(0.685470581,8,10,"",3)</f>
        <v>#VALUE!</v>
      </c>
      <c r="B60">
        <f t="shared" si="0"/>
        <v>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cm="1">
        <f t="array" ref="A61">_xlfn.BETA.INV(0.685470581,8,10,FALSE,3)</f>
        <v>1.499999999944714</v>
      </c>
      <c r="B61">
        <f t="shared" si="0"/>
        <v>0</v>
      </c>
      <c r="C61">
        <f t="shared" si="1"/>
        <v>1.499999999944714</v>
      </c>
      <c r="D61" t="str">
        <f t="shared" si="2"/>
        <v/>
      </c>
      <c r="E61" t="s">
        <v>95</v>
      </c>
    </row>
    <row r="62" spans="1:5" x14ac:dyDescent="0.2">
      <c r="A62" t="e" cm="1">
        <f t="array" ref="A62">_xlfn.BETA.INV(0.685470581,8,10,1,)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_xlfn.BETA.INV(0.685470581,8,10,1,0)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_xlfn.BETA.INV(0.685470581,8,10,1,"")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_xlfn.BETA.INV(0.685470581,8,10,1,FALSE)</f>
        <v>#NUM!</v>
      </c>
      <c r="B65">
        <f t="shared" ref="B65:B128" si="3">IF(ISERROR(A65),ERROR.TYPE(A65),IF(ISNUMBER(A65),0,IF(ISLOGICAL(A65),IF(A65,-1,-2),IF(ISTEXT(A65),-3,-4))))</f>
        <v>6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BETADIST(,8,10,1,3)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BETADIST(0,8,10,1,3)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BETADIST("",8,10,1,3)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BETADIST(FALSE,8,10,1,3)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BETADIST(2,,10,1,3)</f>
        <v>#NUM!</v>
      </c>
      <c r="B70">
        <f t="shared" si="3"/>
        <v>6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BETADIST(2,0,10,1,3)</f>
        <v>#NUM!</v>
      </c>
      <c r="B71">
        <f t="shared" si="3"/>
        <v>6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BETADIST(2,"",10,1,3)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BETADIST(2,FALSE,10,1,3)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BETADIST(2,8,,1,3)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BETADIST(2,8,0,1,3)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BETADIST(2,8,"",1,3)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BETADIST(2,8,FALSE,1,3)</f>
        <v>#NUM!</v>
      </c>
      <c r="B77">
        <f t="shared" si="3"/>
        <v>6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cm="1">
        <f t="array" ref="A78">BETADIST(2,8,10,,3)</f>
        <v>0.97271551376313492</v>
      </c>
      <c r="B78">
        <f t="shared" si="3"/>
        <v>0</v>
      </c>
      <c r="C78">
        <f t="shared" si="4"/>
        <v>0.97271551376313492</v>
      </c>
      <c r="D78" t="str">
        <f t="shared" si="5"/>
        <v/>
      </c>
      <c r="E78" t="s">
        <v>112</v>
      </c>
    </row>
    <row r="79" spans="1:5" x14ac:dyDescent="0.2">
      <c r="A79" cm="1">
        <f t="array" ref="A79">BETADIST(2,8,10,0,3)</f>
        <v>0.97271551376313492</v>
      </c>
      <c r="B79">
        <f t="shared" si="3"/>
        <v>0</v>
      </c>
      <c r="C79">
        <f t="shared" si="4"/>
        <v>0.97271551376313492</v>
      </c>
      <c r="D79" t="str">
        <f t="shared" si="5"/>
        <v/>
      </c>
      <c r="E79" t="s">
        <v>113</v>
      </c>
    </row>
    <row r="80" spans="1:5" x14ac:dyDescent="0.2">
      <c r="A80" t="e" cm="1">
        <f t="array" ref="A80">BETADIST(2,8,10,"",3)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cm="1">
        <f t="array" ref="A81">BETADIST(2,8,10,FALSE,3)</f>
        <v>0.97271551376313492</v>
      </c>
      <c r="B81">
        <f t="shared" si="3"/>
        <v>0</v>
      </c>
      <c r="C81">
        <f t="shared" si="4"/>
        <v>0.97271551376313492</v>
      </c>
      <c r="D81" t="str">
        <f t="shared" si="5"/>
        <v/>
      </c>
      <c r="E81" t="s">
        <v>115</v>
      </c>
    </row>
    <row r="82" spans="1:5" x14ac:dyDescent="0.2">
      <c r="A82" t="e" cm="1">
        <f t="array" ref="A82">BETADIST(2,8,10,1,)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BETADIST(2,8,10,1,0)</f>
        <v>#NUM!</v>
      </c>
      <c r="B83">
        <f t="shared" si="3"/>
        <v>6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BETADIST(2,8,10,1,"")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BETADIST(2,8,10,1,FALSE)</f>
        <v>#NUM!</v>
      </c>
      <c r="B85">
        <f t="shared" si="3"/>
        <v>6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BETAINV(,8,10,1,3)</f>
        <v>#NUM!</v>
      </c>
      <c r="B86">
        <f t="shared" si="3"/>
        <v>6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BETAINV(0,8,10,1,3)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BETAINV("",8,10,1,3)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BETAINV(FALSE,8,10,1,3)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BETAINV(0.685470581,,10,1,3)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BETAINV(0.685470581,0,10,1,3)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BETAINV(0.685470581,"",10,1,3)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BETAINV(0.685470581,FALSE,10,1,3)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BETAINV(0.685470581,8,,1,3)</f>
        <v>#NUM!</v>
      </c>
      <c r="B94">
        <f t="shared" si="3"/>
        <v>6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BETAINV(0.685470581,8,0,1,3)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BETAINV(0.685470581,8,"",1,3)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BETAINV(0.685470581,8,FALSE,1,3)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cm="1">
        <f t="array" ref="A98">BETAINV(0.685470581,8,10,,3)</f>
        <v>1.499999999944714</v>
      </c>
      <c r="B98">
        <f t="shared" si="3"/>
        <v>0</v>
      </c>
      <c r="C98">
        <f t="shared" si="4"/>
        <v>1.499999999944714</v>
      </c>
      <c r="D98" t="str">
        <f t="shared" si="5"/>
        <v/>
      </c>
      <c r="E98" t="s">
        <v>132</v>
      </c>
    </row>
    <row r="99" spans="1:5" x14ac:dyDescent="0.2">
      <c r="A99" cm="1">
        <f t="array" ref="A99">BETAINV(0.685470581,8,10,0,3)</f>
        <v>1.499999999944714</v>
      </c>
      <c r="B99">
        <f t="shared" si="3"/>
        <v>0</v>
      </c>
      <c r="C99">
        <f t="shared" si="4"/>
        <v>1.499999999944714</v>
      </c>
      <c r="D99" t="str">
        <f t="shared" si="5"/>
        <v/>
      </c>
      <c r="E99" t="s">
        <v>133</v>
      </c>
    </row>
    <row r="100" spans="1:5" x14ac:dyDescent="0.2">
      <c r="A100" t="e" cm="1">
        <f t="array" ref="A100">BETAINV(0.685470581,8,10,"",3)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cm="1">
        <f t="array" ref="A101">BETAINV(0.685470581,8,10,FALSE,3)</f>
        <v>1.499999999944714</v>
      </c>
      <c r="B101">
        <f t="shared" si="3"/>
        <v>0</v>
      </c>
      <c r="C101">
        <f t="shared" si="4"/>
        <v>1.499999999944714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BETAINV(0.685470581,8,10,1,)</f>
        <v>#NUM!</v>
      </c>
      <c r="B102">
        <f t="shared" si="3"/>
        <v>6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BETAINV(0.685470581,8,10,1,0)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BETAINV(0.685470581,8,10,1,"")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BETAINV(0.685470581,8,10,1,FALSE)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e" cm="1">
        <f t="array" ref="A106">BIN2HEX(,4)</f>
        <v>#N/A</v>
      </c>
      <c r="B106">
        <f t="shared" si="3"/>
        <v>7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str" cm="1">
        <f t="array" ref="A107">BIN2HEX(0,4)</f>
        <v>0000</v>
      </c>
      <c r="B107">
        <f t="shared" si="3"/>
        <v>-3</v>
      </c>
      <c r="C107">
        <f t="shared" si="4"/>
        <v>0</v>
      </c>
      <c r="D107" t="str">
        <f t="shared" si="5"/>
        <v>0000</v>
      </c>
      <c r="E107" t="s">
        <v>141</v>
      </c>
    </row>
    <row r="108" spans="1:5" x14ac:dyDescent="0.2">
      <c r="A108" t="str" cm="1">
        <f t="array" ref="A108">BIN2HEX("",4)</f>
        <v>0000</v>
      </c>
      <c r="B108">
        <f t="shared" si="3"/>
        <v>-3</v>
      </c>
      <c r="C108">
        <f t="shared" si="4"/>
        <v>0</v>
      </c>
      <c r="D108" t="str">
        <f t="shared" si="5"/>
        <v>0000</v>
      </c>
      <c r="E108" t="s">
        <v>142</v>
      </c>
    </row>
    <row r="109" spans="1:5" x14ac:dyDescent="0.2">
      <c r="A109" t="e" cm="1">
        <f t="array" ref="A109">BIN2HEX(FALSE,4)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str" cm="1">
        <f t="array" ref="A110">BIN2HEX("11111011",)</f>
        <v>FB</v>
      </c>
      <c r="B110">
        <f t="shared" si="3"/>
        <v>-3</v>
      </c>
      <c r="C110">
        <f t="shared" si="4"/>
        <v>0</v>
      </c>
      <c r="D110" t="str">
        <f t="shared" si="5"/>
        <v>FB</v>
      </c>
      <c r="E110" t="s">
        <v>144</v>
      </c>
    </row>
    <row r="111" spans="1:5" x14ac:dyDescent="0.2">
      <c r="A111" t="e" cm="1">
        <f t="array" ref="A111">BIN2HEX("11111011",0)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BIN2HEX("11111011","")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BIN2HEX("11111011",FALSE)</f>
        <v>#VALUE!</v>
      </c>
      <c r="B113">
        <f t="shared" si="3"/>
        <v>3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BIN2OCT(,3)</f>
        <v>#N/A</v>
      </c>
      <c r="B114">
        <f t="shared" si="3"/>
        <v>7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str" cm="1">
        <f t="array" ref="A115">BIN2OCT(0,3)</f>
        <v>000</v>
      </c>
      <c r="B115">
        <f t="shared" si="3"/>
        <v>-3</v>
      </c>
      <c r="C115">
        <f t="shared" si="4"/>
        <v>0</v>
      </c>
      <c r="D115" t="str">
        <f t="shared" si="5"/>
        <v>000</v>
      </c>
      <c r="E115" t="s">
        <v>149</v>
      </c>
    </row>
    <row r="116" spans="1:5" x14ac:dyDescent="0.2">
      <c r="A116" t="str" cm="1">
        <f t="array" ref="A116">BIN2OCT("",3)</f>
        <v>000</v>
      </c>
      <c r="B116">
        <f t="shared" si="3"/>
        <v>-3</v>
      </c>
      <c r="C116">
        <f t="shared" si="4"/>
        <v>0</v>
      </c>
      <c r="D116" t="str">
        <f t="shared" si="5"/>
        <v>000</v>
      </c>
      <c r="E116" t="s">
        <v>150</v>
      </c>
    </row>
    <row r="117" spans="1:5" x14ac:dyDescent="0.2">
      <c r="A117" t="e" cm="1">
        <f t="array" ref="A117">BIN2OCT(FALSE,3)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str" cm="1">
        <f t="array" ref="A118">BIN2OCT("1001",)</f>
        <v>11</v>
      </c>
      <c r="B118">
        <f t="shared" si="3"/>
        <v>-3</v>
      </c>
      <c r="C118">
        <f t="shared" si="4"/>
        <v>0</v>
      </c>
      <c r="D118" t="str">
        <f t="shared" si="5"/>
        <v>11</v>
      </c>
      <c r="E118" t="s">
        <v>152</v>
      </c>
    </row>
    <row r="119" spans="1:5" x14ac:dyDescent="0.2">
      <c r="A119" t="e" cm="1">
        <f t="array" ref="A119">BIN2OCT("1001",0)</f>
        <v>#NUM!</v>
      </c>
      <c r="B119">
        <f t="shared" si="3"/>
        <v>6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BIN2OCT("1001","")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BIN2OCT("1001",FALSE)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cm="1">
        <f t="array" ref="A122">_xlfn.BINOM.DIST(,10,0.5,FALSE)</f>
        <v>9.765625E-4</v>
      </c>
      <c r="B122">
        <f t="shared" si="3"/>
        <v>0</v>
      </c>
      <c r="C122">
        <f t="shared" si="4"/>
        <v>9.765625E-4</v>
      </c>
      <c r="D122" t="str">
        <f t="shared" si="5"/>
        <v/>
      </c>
      <c r="E122" t="s">
        <v>156</v>
      </c>
    </row>
    <row r="123" spans="1:5" x14ac:dyDescent="0.2">
      <c r="A123" cm="1">
        <f t="array" ref="A123">_xlfn.BINOM.DIST(0,10,0.5,FALSE)</f>
        <v>9.765625E-4</v>
      </c>
      <c r="B123">
        <f t="shared" si="3"/>
        <v>0</v>
      </c>
      <c r="C123">
        <f t="shared" si="4"/>
        <v>9.765625E-4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_xlfn.BINOM.DIST("",10,0.5,FALSE)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cm="1">
        <f t="array" ref="A125">_xlfn.BINOM.DIST(FALSE,10,0.5,FALSE)</f>
        <v>9.765625E-4</v>
      </c>
      <c r="B125">
        <f t="shared" si="3"/>
        <v>0</v>
      </c>
      <c r="C125">
        <f t="shared" si="4"/>
        <v>9.765625E-4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_xlfn.BINOM.DIST(6,,0.5,FALSE)</f>
        <v>#NUM!</v>
      </c>
      <c r="B126">
        <f t="shared" si="3"/>
        <v>6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_xlfn.BINOM.DIST(6,0,0.5,FALSE)</f>
        <v>#NUM!</v>
      </c>
      <c r="B127">
        <f t="shared" si="3"/>
        <v>6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_xlfn.BINOM.DIST(6,"",0.5,FALSE)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_xlfn.BINOM.DIST(6,FALSE,0.5,FALSE)</f>
        <v>#NUM!</v>
      </c>
      <c r="B129">
        <f t="shared" ref="B129:B192" si="6">IF(ISERROR(A129),ERROR.TYPE(A129),IF(ISNUMBER(A129),0,IF(ISLOGICAL(A129),IF(A129,-1,-2),IF(ISTEXT(A129),-3,-4))))</f>
        <v>6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_xlfn.BINOM.DIST(6,10,,FALSE)</f>
        <v>0</v>
      </c>
      <c r="B130">
        <f t="shared" si="6"/>
        <v>0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_xlfn.BINOM.DIST(6,10,0,FALSE)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_xlfn.BINOM.DIST(6,10,"",FALSE)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cm="1">
        <f t="array" ref="A133">_xlfn.BINOM.DIST(6,10,FALSE,FALSE)</f>
        <v>0</v>
      </c>
      <c r="B133">
        <f t="shared" si="6"/>
        <v>0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cm="1">
        <f t="array" ref="A134">_xlfn.BINOM.DIST(6,10,0.5,)</f>
        <v>0.20507812500000006</v>
      </c>
      <c r="B134">
        <f t="shared" si="6"/>
        <v>0</v>
      </c>
      <c r="C134">
        <f t="shared" si="7"/>
        <v>0.20507812500000006</v>
      </c>
      <c r="D134" t="str">
        <f t="shared" si="8"/>
        <v/>
      </c>
      <c r="E134" t="s">
        <v>168</v>
      </c>
    </row>
    <row r="135" spans="1:5" x14ac:dyDescent="0.2">
      <c r="A135" cm="1">
        <f t="array" ref="A135">_xlfn.BINOM.DIST(6,10,0.5,0)</f>
        <v>0.20507812500000006</v>
      </c>
      <c r="B135">
        <f t="shared" si="6"/>
        <v>0</v>
      </c>
      <c r="C135">
        <f t="shared" si="7"/>
        <v>0.20507812500000006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_xlfn.BINOM.DIST(6,10,0.5,"")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_xlfn.BINOM.DIST(6,10,0.5,FALSE)</f>
        <v>0.20507812500000006</v>
      </c>
      <c r="B137">
        <f t="shared" si="6"/>
        <v>0</v>
      </c>
      <c r="C137">
        <f t="shared" si="7"/>
        <v>0.20507812500000006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_xlfn.BINOM.DIST.RANGE(,0.75,48)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_xlfn.BINOM.DIST.RANGE(0,0.75,48)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_xlfn.BINOM.DIST.RANGE("",0.75,48)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_xlfn.BINOM.DIST.RANGE(FALSE,0.75,48)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_xlfn.BINOM.DIST.RANGE(60,,48)</f>
        <v>0</v>
      </c>
      <c r="B142">
        <f t="shared" si="6"/>
        <v>0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cm="1">
        <f t="array" ref="A143">_xlfn.BINOM.DIST.RANGE(60,0,48)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_xlfn.BINOM.DIST.RANGE(60,"",48)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cm="1">
        <f t="array" ref="A145">_xlfn.BINOM.DIST.RANGE(60,FALSE,48)</f>
        <v>0</v>
      </c>
      <c r="B145">
        <f t="shared" si="6"/>
        <v>0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cm="1">
        <f t="array" ref="A146">_xlfn.BINOM.DIST.RANGE(60,0.75,)</f>
        <v>7.5231638452626684E-37</v>
      </c>
      <c r="B146">
        <f t="shared" si="6"/>
        <v>0</v>
      </c>
      <c r="C146">
        <f t="shared" si="7"/>
        <v>7.5231638452626684E-37</v>
      </c>
      <c r="D146" t="str">
        <f t="shared" si="8"/>
        <v/>
      </c>
      <c r="E146" t="s">
        <v>180</v>
      </c>
    </row>
    <row r="147" spans="1:5" x14ac:dyDescent="0.2">
      <c r="A147" cm="1">
        <f t="array" ref="A147">_xlfn.BINOM.DIST.RANGE(60,0.75,0)</f>
        <v>7.5231638452626684E-37</v>
      </c>
      <c r="B147">
        <f t="shared" si="6"/>
        <v>0</v>
      </c>
      <c r="C147">
        <f t="shared" si="7"/>
        <v>7.5231638452626684E-37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_xlfn.BINOM.DIST.RANGE(60,0.75,"")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cm="1">
        <f t="array" ref="A149">_xlfn.BINOM.DIST.RANGE(60,0.75,FALSE)</f>
        <v>7.5231638452626684E-37</v>
      </c>
      <c r="B149">
        <f t="shared" si="6"/>
        <v>0</v>
      </c>
      <c r="C149">
        <f t="shared" si="7"/>
        <v>7.5231638452626684E-37</v>
      </c>
      <c r="D149" t="str">
        <f t="shared" si="8"/>
        <v/>
      </c>
      <c r="E149" t="s">
        <v>183</v>
      </c>
    </row>
    <row r="150" spans="1:5" x14ac:dyDescent="0.2">
      <c r="A150" cm="1">
        <f t="array" ref="A150">_xlfn.BINOM.DIST.RANGE(60,0.75,48)</f>
        <v>8.3974967429047503E-2</v>
      </c>
      <c r="B150">
        <f t="shared" si="6"/>
        <v>0</v>
      </c>
      <c r="C150">
        <f t="shared" si="7"/>
        <v>8.3974967429047503E-2</v>
      </c>
      <c r="D150" t="str">
        <f t="shared" si="8"/>
        <v/>
      </c>
      <c r="E150" t="s">
        <v>184</v>
      </c>
    </row>
    <row r="151" spans="1:5" x14ac:dyDescent="0.2">
      <c r="A151" cm="1">
        <f t="array" ref="A151">_xlfn.BINOM.DIST.RANGE(60,0.75,48,)</f>
        <v>8.3974967429047503E-2</v>
      </c>
      <c r="B151">
        <f t="shared" si="6"/>
        <v>0</v>
      </c>
      <c r="C151">
        <f t="shared" si="7"/>
        <v>8.3974967429047503E-2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_xlfn.BINOM.DIST.RANGE(60,0.75,48,0)</f>
        <v>#NUM!</v>
      </c>
      <c r="B152">
        <f t="shared" si="6"/>
        <v>6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_xlfn.BINOM.DIST.RANGE(60,0.75,48,"")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_xlfn.BINOM.DIST.RANGE(60,0.75,48,FALSE)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cm="1">
        <f t="array" ref="A155">_xlfn.BINOM.INV(,0.5,0.75)</f>
        <v>0</v>
      </c>
      <c r="B155">
        <f t="shared" si="6"/>
        <v>0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cm="1">
        <f t="array" ref="A156">_xlfn.BINOM.INV(0,0.5,0.75)</f>
        <v>0</v>
      </c>
      <c r="B156">
        <f t="shared" si="6"/>
        <v>0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_xlfn.BINOM.INV("",0.5,0.75)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cm="1">
        <f t="array" ref="A158">_xlfn.BINOM.INV(FALSE,0.5,0.75)</f>
        <v>0</v>
      </c>
      <c r="B158">
        <f t="shared" si="6"/>
        <v>0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_xlfn.BINOM.INV(6,,0.75)</f>
        <v>#NUM!</v>
      </c>
      <c r="B159">
        <f t="shared" si="6"/>
        <v>6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_xlfn.BINOM.INV(6,0,0.75)</f>
        <v>#NUM!</v>
      </c>
      <c r="B160">
        <f t="shared" si="6"/>
        <v>6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_xlfn.BINOM.INV(6,"",0.75)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_xlfn.BINOM.INV(6,FALSE,0.75)</f>
        <v>#NUM!</v>
      </c>
      <c r="B162">
        <f t="shared" si="6"/>
        <v>6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_xlfn.BINOM.INV(6,0.5,)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_xlfn.BINOM.INV(6,0.5,0)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_xlfn.BINOM.INV(6,0.5,"")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_xlfn.BINOM.INV(6,0.5,FALSE)</f>
        <v>#NUM!</v>
      </c>
      <c r="B166">
        <f t="shared" si="6"/>
        <v>6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cm="1">
        <f t="array" ref="A167">BINOMDIST(,10,0.5,FALSE)</f>
        <v>9.765625E-4</v>
      </c>
      <c r="B167">
        <f t="shared" si="6"/>
        <v>0</v>
      </c>
      <c r="C167">
        <f t="shared" si="7"/>
        <v>9.765625E-4</v>
      </c>
      <c r="D167" t="str">
        <f t="shared" si="8"/>
        <v/>
      </c>
      <c r="E167" t="s">
        <v>201</v>
      </c>
    </row>
    <row r="168" spans="1:5" x14ac:dyDescent="0.2">
      <c r="A168" cm="1">
        <f t="array" ref="A168">BINOMDIST(0,10,0.5,FALSE)</f>
        <v>9.765625E-4</v>
      </c>
      <c r="B168">
        <f t="shared" si="6"/>
        <v>0</v>
      </c>
      <c r="C168">
        <f t="shared" si="7"/>
        <v>9.765625E-4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BINOMDIST("",10,0.5,FALSE)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BINOMDIST(FALSE,10,0.5,FALSE)</f>
        <v>9.765625E-4</v>
      </c>
      <c r="B170">
        <f t="shared" si="6"/>
        <v>0</v>
      </c>
      <c r="C170">
        <f t="shared" si="7"/>
        <v>9.765625E-4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BINOMDIST(6,,0.5,FALSE)</f>
        <v>#NUM!</v>
      </c>
      <c r="B171">
        <f t="shared" si="6"/>
        <v>6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BINOMDIST(6,0,0.5,FALSE)</f>
        <v>#NUM!</v>
      </c>
      <c r="B172">
        <f t="shared" si="6"/>
        <v>6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BINOMDIST(6,"",0.5,FALSE)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BINOMDIST(6,FALSE,0.5,FALSE)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cm="1">
        <f t="array" ref="A175">BINOMDIST(6,10,,FALSE)</f>
        <v>0</v>
      </c>
      <c r="B175">
        <f t="shared" si="6"/>
        <v>0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cm="1">
        <f t="array" ref="A176">BINOMDIST(6,10,0,FALSE)</f>
        <v>0</v>
      </c>
      <c r="B176">
        <f t="shared" si="6"/>
        <v>0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BINOMDIST(6,10,"",FALSE)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cm="1">
        <f t="array" ref="A178">BINOMDIST(6,10,FALSE,FALSE)</f>
        <v>0</v>
      </c>
      <c r="B178">
        <f t="shared" si="6"/>
        <v>0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cm="1">
        <f t="array" ref="A179">BINOMDIST(6,10,0.5,)</f>
        <v>0.20507812500000006</v>
      </c>
      <c r="B179">
        <f t="shared" si="6"/>
        <v>0</v>
      </c>
      <c r="C179">
        <f t="shared" si="7"/>
        <v>0.20507812500000006</v>
      </c>
      <c r="D179" t="str">
        <f t="shared" si="8"/>
        <v/>
      </c>
      <c r="E179" t="s">
        <v>213</v>
      </c>
    </row>
    <row r="180" spans="1:5" x14ac:dyDescent="0.2">
      <c r="A180" cm="1">
        <f t="array" ref="A180">BINOMDIST(6,10,0.5,0)</f>
        <v>0.20507812500000006</v>
      </c>
      <c r="B180">
        <f t="shared" si="6"/>
        <v>0</v>
      </c>
      <c r="C180">
        <f t="shared" si="7"/>
        <v>0.20507812500000006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BINOMDIST(6,10,0.5,"")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cm="1">
        <f t="array" ref="A182">BINOMDIST(6,10,0.5,FALSE)</f>
        <v>0.20507812500000006</v>
      </c>
      <c r="B182">
        <f t="shared" si="6"/>
        <v>0</v>
      </c>
      <c r="C182">
        <f t="shared" si="7"/>
        <v>0.20507812500000006</v>
      </c>
      <c r="D182" t="str">
        <f t="shared" si="8"/>
        <v/>
      </c>
      <c r="E182" t="s">
        <v>216</v>
      </c>
    </row>
    <row r="183" spans="1:5" x14ac:dyDescent="0.2">
      <c r="A183" cm="1">
        <f t="array" ref="A183">_xlfn.BITAND(,5)</f>
        <v>0</v>
      </c>
      <c r="B183">
        <f t="shared" si="6"/>
        <v>0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cm="1">
        <f t="array" ref="A184">_xlfn.BITAND(0,5)</f>
        <v>0</v>
      </c>
      <c r="B184">
        <f t="shared" si="6"/>
        <v>0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_xlfn.BITAND("",5)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cm="1">
        <f t="array" ref="A186">_xlfn.BITAND(FALSE,5)</f>
        <v>0</v>
      </c>
      <c r="B186">
        <f t="shared" si="6"/>
        <v>0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_xlfn.BITAND(1,)</f>
        <v>0</v>
      </c>
      <c r="B187">
        <f t="shared" si="6"/>
        <v>0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cm="1">
        <f t="array" ref="A188">_xlfn.BITAND(1,0)</f>
        <v>0</v>
      </c>
      <c r="B188">
        <f t="shared" si="6"/>
        <v>0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_xlfn.BITAND(1,"")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cm="1">
        <f t="array" ref="A190">_xlfn.BITAND(1,FALSE)</f>
        <v>0</v>
      </c>
      <c r="B190">
        <f t="shared" si="6"/>
        <v>0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cm="1">
        <f t="array" ref="A191">_xlfn.BITLSHIFT(,2)</f>
        <v>0</v>
      </c>
      <c r="B191">
        <f t="shared" si="6"/>
        <v>0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cm="1">
        <f t="array" ref="A192">_xlfn.BITLSHIFT(0,2)</f>
        <v>0</v>
      </c>
      <c r="B192">
        <f t="shared" si="6"/>
        <v>0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_xlfn.BITLSHIFT("",2)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_xlfn.BITLSHIFT(FALSE,2)</f>
        <v>0</v>
      </c>
      <c r="B194">
        <f t="shared" si="9"/>
        <v>0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_xlfn.BITLSHIFT(4,)</f>
        <v>4</v>
      </c>
      <c r="B195">
        <f t="shared" si="9"/>
        <v>0</v>
      </c>
      <c r="C195">
        <f t="shared" si="10"/>
        <v>4</v>
      </c>
      <c r="D195" t="str">
        <f t="shared" si="11"/>
        <v/>
      </c>
      <c r="E195" t="s">
        <v>229</v>
      </c>
    </row>
    <row r="196" spans="1:5" x14ac:dyDescent="0.2">
      <c r="A196" cm="1">
        <f t="array" ref="A196">_xlfn.BITLSHIFT(4,0)</f>
        <v>4</v>
      </c>
      <c r="B196">
        <f t="shared" si="9"/>
        <v>0</v>
      </c>
      <c r="C196">
        <f t="shared" si="10"/>
        <v>4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_xlfn.BITLSHIFT(4,"")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cm="1">
        <f t="array" ref="A198">_xlfn.BITLSHIFT(4,FALSE)</f>
        <v>4</v>
      </c>
      <c r="B198">
        <f t="shared" si="9"/>
        <v>0</v>
      </c>
      <c r="C198">
        <f t="shared" si="10"/>
        <v>4</v>
      </c>
      <c r="D198" t="str">
        <f t="shared" si="11"/>
        <v/>
      </c>
      <c r="E198" t="s">
        <v>232</v>
      </c>
    </row>
    <row r="199" spans="1:5" x14ac:dyDescent="0.2">
      <c r="A199" cm="1">
        <f t="array" ref="A199">_xlfn.BITOR(,10)</f>
        <v>10</v>
      </c>
      <c r="B199">
        <f t="shared" si="9"/>
        <v>0</v>
      </c>
      <c r="C199">
        <f t="shared" si="10"/>
        <v>10</v>
      </c>
      <c r="D199" t="str">
        <f t="shared" si="11"/>
        <v/>
      </c>
      <c r="E199" t="s">
        <v>233</v>
      </c>
    </row>
    <row r="200" spans="1:5" x14ac:dyDescent="0.2">
      <c r="A200" cm="1">
        <f t="array" ref="A200">_xlfn.BITOR(0,10)</f>
        <v>10</v>
      </c>
      <c r="B200">
        <f t="shared" si="9"/>
        <v>0</v>
      </c>
      <c r="C200">
        <f t="shared" si="10"/>
        <v>10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_xlfn.BITOR("",10)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cm="1">
        <f t="array" ref="A202">_xlfn.BITOR(FALSE,10)</f>
        <v>10</v>
      </c>
      <c r="B202">
        <f t="shared" si="9"/>
        <v>0</v>
      </c>
      <c r="C202">
        <f t="shared" si="10"/>
        <v>10</v>
      </c>
      <c r="D202" t="str">
        <f t="shared" si="11"/>
        <v/>
      </c>
      <c r="E202" t="s">
        <v>236</v>
      </c>
    </row>
    <row r="203" spans="1:5" x14ac:dyDescent="0.2">
      <c r="A203" cm="1">
        <f t="array" ref="A203">_xlfn.BITOR(23,)</f>
        <v>23</v>
      </c>
      <c r="B203">
        <f t="shared" si="9"/>
        <v>0</v>
      </c>
      <c r="C203">
        <f t="shared" si="10"/>
        <v>23</v>
      </c>
      <c r="D203" t="str">
        <f t="shared" si="11"/>
        <v/>
      </c>
      <c r="E203" t="s">
        <v>237</v>
      </c>
    </row>
    <row r="204" spans="1:5" x14ac:dyDescent="0.2">
      <c r="A204" cm="1">
        <f t="array" ref="A204">_xlfn.BITOR(23,0)</f>
        <v>23</v>
      </c>
      <c r="B204">
        <f t="shared" si="9"/>
        <v>0</v>
      </c>
      <c r="C204">
        <f t="shared" si="10"/>
        <v>23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_xlfn.BITOR(23,"")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cm="1">
        <f t="array" ref="A206">_xlfn.BITOR(23,FALSE)</f>
        <v>23</v>
      </c>
      <c r="B206">
        <f t="shared" si="9"/>
        <v>0</v>
      </c>
      <c r="C206">
        <f t="shared" si="10"/>
        <v>23</v>
      </c>
      <c r="D206" t="str">
        <f t="shared" si="11"/>
        <v/>
      </c>
      <c r="E206" t="s">
        <v>240</v>
      </c>
    </row>
    <row r="207" spans="1:5" x14ac:dyDescent="0.2">
      <c r="A207" cm="1">
        <f t="array" ref="A207">_xlfn.BITRSHIFT(,2)</f>
        <v>0</v>
      </c>
      <c r="B207">
        <f t="shared" si="9"/>
        <v>0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_xlfn.BITRSHIFT(0,2)</f>
        <v>0</v>
      </c>
      <c r="B208">
        <f t="shared" si="9"/>
        <v>0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_xlfn.BITRSHIFT("",2)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_xlfn.BITRSHIFT(FALSE,2)</f>
        <v>0</v>
      </c>
      <c r="B210">
        <f t="shared" si="9"/>
        <v>0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cm="1">
        <f t="array" ref="A211">_xlfn.BITRSHIFT(13,)</f>
        <v>13</v>
      </c>
      <c r="B211">
        <f t="shared" si="9"/>
        <v>0</v>
      </c>
      <c r="C211">
        <f t="shared" si="10"/>
        <v>13</v>
      </c>
      <c r="D211" t="str">
        <f t="shared" si="11"/>
        <v/>
      </c>
      <c r="E211" t="s">
        <v>245</v>
      </c>
    </row>
    <row r="212" spans="1:5" x14ac:dyDescent="0.2">
      <c r="A212" cm="1">
        <f t="array" ref="A212">_xlfn.BITRSHIFT(13,0)</f>
        <v>13</v>
      </c>
      <c r="B212">
        <f t="shared" si="9"/>
        <v>0</v>
      </c>
      <c r="C212">
        <f t="shared" si="10"/>
        <v>13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_xlfn.BITRSHIFT(13,"")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cm="1">
        <f t="array" ref="A214">_xlfn.BITRSHIFT(13,FALSE)</f>
        <v>13</v>
      </c>
      <c r="B214">
        <f t="shared" si="9"/>
        <v>0</v>
      </c>
      <c r="C214">
        <f t="shared" si="10"/>
        <v>13</v>
      </c>
      <c r="D214" t="str">
        <f t="shared" si="11"/>
        <v/>
      </c>
      <c r="E214" t="s">
        <v>248</v>
      </c>
    </row>
    <row r="215" spans="1:5" x14ac:dyDescent="0.2">
      <c r="A215" cm="1">
        <f t="array" ref="A215">_xlfn.BITXOR(,3)</f>
        <v>3</v>
      </c>
      <c r="B215">
        <f t="shared" si="9"/>
        <v>0</v>
      </c>
      <c r="C215">
        <f t="shared" si="10"/>
        <v>3</v>
      </c>
      <c r="D215" t="str">
        <f t="shared" si="11"/>
        <v/>
      </c>
      <c r="E215" t="s">
        <v>249</v>
      </c>
    </row>
    <row r="216" spans="1:5" x14ac:dyDescent="0.2">
      <c r="A216" cm="1">
        <f t="array" ref="A216">_xlfn.BITXOR(0,3)</f>
        <v>3</v>
      </c>
      <c r="B216">
        <f t="shared" si="9"/>
        <v>0</v>
      </c>
      <c r="C216">
        <f t="shared" si="10"/>
        <v>3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_xlfn.BITXOR("",3)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_xlfn.BITXOR(FALSE,3)</f>
        <v>3</v>
      </c>
      <c r="B218">
        <f t="shared" si="9"/>
        <v>0</v>
      </c>
      <c r="C218">
        <f t="shared" si="10"/>
        <v>3</v>
      </c>
      <c r="D218" t="str">
        <f t="shared" si="11"/>
        <v/>
      </c>
      <c r="E218" t="s">
        <v>252</v>
      </c>
    </row>
    <row r="219" spans="1:5" x14ac:dyDescent="0.2">
      <c r="A219" cm="1">
        <f t="array" ref="A219">_xlfn.BITXOR(5,)</f>
        <v>5</v>
      </c>
      <c r="B219">
        <f t="shared" si="9"/>
        <v>0</v>
      </c>
      <c r="C219">
        <f t="shared" si="10"/>
        <v>5</v>
      </c>
      <c r="D219" t="str">
        <f t="shared" si="11"/>
        <v/>
      </c>
      <c r="E219" t="s">
        <v>253</v>
      </c>
    </row>
    <row r="220" spans="1:5" x14ac:dyDescent="0.2">
      <c r="A220" cm="1">
        <f t="array" ref="A220">_xlfn.BITXOR(5,0)</f>
        <v>5</v>
      </c>
      <c r="B220">
        <f t="shared" si="9"/>
        <v>0</v>
      </c>
      <c r="C220">
        <f t="shared" si="10"/>
        <v>5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_xlfn.BITXOR(5,"")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cm="1">
        <f t="array" ref="A222">_xlfn.BITXOR(5,FALSE)</f>
        <v>5</v>
      </c>
      <c r="B222">
        <f t="shared" si="9"/>
        <v>0</v>
      </c>
      <c r="C222">
        <f t="shared" si="10"/>
        <v>5</v>
      </c>
      <c r="D222" t="str">
        <f t="shared" si="11"/>
        <v/>
      </c>
      <c r="E222" t="s">
        <v>256</v>
      </c>
    </row>
    <row r="223" spans="1:5" x14ac:dyDescent="0.2">
      <c r="A223" cm="1">
        <f t="array" ref="A223">CEILING(,1)</f>
        <v>0</v>
      </c>
      <c r="B223">
        <f t="shared" si="9"/>
        <v>0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CEILING(0,1)</f>
        <v>0</v>
      </c>
      <c r="B224">
        <f t="shared" si="9"/>
        <v>0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CEILING("",1)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cm="1">
        <f t="array" ref="A226">CEILING(FALSE,1)</f>
        <v>0</v>
      </c>
      <c r="B226">
        <f t="shared" si="9"/>
        <v>0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cm="1">
        <f t="array" ref="A227">CEILING(2.5,)</f>
        <v>0</v>
      </c>
      <c r="B227">
        <f t="shared" si="9"/>
        <v>0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cm="1">
        <f t="array" ref="A228">CEILING(2.5,0)</f>
        <v>0</v>
      </c>
      <c r="B228">
        <f t="shared" si="9"/>
        <v>0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CEILING(2.5,"")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cm="1">
        <f t="array" ref="A230">CEILING(2.5,FALSE)</f>
        <v>0</v>
      </c>
      <c r="B230">
        <f t="shared" si="9"/>
        <v>0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_xlfn.CEILING.MATH(,5)</f>
        <v>0</v>
      </c>
      <c r="B231">
        <f t="shared" si="9"/>
        <v>0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cm="1">
        <f t="array" ref="A232">_xlfn.CEILING.MATH(0,5)</f>
        <v>0</v>
      </c>
      <c r="B232">
        <f t="shared" si="9"/>
        <v>0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_xlfn.CEILING.MATH("",5)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cm="1">
        <f t="array" ref="A234">_xlfn.CEILING.MATH(FALSE,5)</f>
        <v>0</v>
      </c>
      <c r="B234">
        <f t="shared" si="9"/>
        <v>0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cm="1">
        <f t="array" ref="A235">_xlfn.CEILING.MATH(24.3,)</f>
        <v>25</v>
      </c>
      <c r="B235">
        <f t="shared" si="9"/>
        <v>0</v>
      </c>
      <c r="C235">
        <f t="shared" si="10"/>
        <v>25</v>
      </c>
      <c r="D235" t="str">
        <f t="shared" si="11"/>
        <v/>
      </c>
      <c r="E235" t="s">
        <v>269</v>
      </c>
    </row>
    <row r="236" spans="1:5" x14ac:dyDescent="0.2">
      <c r="A236" cm="1">
        <f t="array" ref="A236">_xlfn.CEILING.MATH(24.3,0)</f>
        <v>0</v>
      </c>
      <c r="B236">
        <f t="shared" si="9"/>
        <v>0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_xlfn.CEILING.MATH(24.3,"")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cm="1">
        <f t="array" ref="A238">_xlfn.CEILING.MATH(24.3,FALSE)</f>
        <v>0</v>
      </c>
      <c r="B238">
        <f t="shared" si="9"/>
        <v>0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cm="1">
        <f t="array" ref="A239">_xlfn.CEILING.MATH(24.3,5)</f>
        <v>25</v>
      </c>
      <c r="B239">
        <f t="shared" si="9"/>
        <v>0</v>
      </c>
      <c r="C239">
        <f t="shared" si="10"/>
        <v>25</v>
      </c>
      <c r="D239" t="str">
        <f t="shared" si="11"/>
        <v/>
      </c>
      <c r="E239" t="s">
        <v>273</v>
      </c>
    </row>
    <row r="240" spans="1:5" x14ac:dyDescent="0.2">
      <c r="A240" cm="1">
        <f t="array" ref="A240">_xlfn.CEILING.MATH(24.3,5,)</f>
        <v>25</v>
      </c>
      <c r="B240">
        <f t="shared" si="9"/>
        <v>0</v>
      </c>
      <c r="C240">
        <f t="shared" si="10"/>
        <v>25</v>
      </c>
      <c r="D240" t="str">
        <f t="shared" si="11"/>
        <v/>
      </c>
      <c r="E240" t="s">
        <v>274</v>
      </c>
    </row>
    <row r="241" spans="1:5" x14ac:dyDescent="0.2">
      <c r="A241" cm="1">
        <f t="array" ref="A241">_xlfn.CEILING.MATH(24.3,5,0)</f>
        <v>25</v>
      </c>
      <c r="B241">
        <f t="shared" si="9"/>
        <v>0</v>
      </c>
      <c r="C241">
        <f t="shared" si="10"/>
        <v>25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_xlfn.CEILING.MATH(24.3,5,"")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cm="1">
        <f t="array" ref="A243">_xlfn.CEILING.MATH(24.3,5,FALSE)</f>
        <v>25</v>
      </c>
      <c r="B243">
        <f t="shared" si="9"/>
        <v>0</v>
      </c>
      <c r="C243">
        <f t="shared" si="10"/>
        <v>25</v>
      </c>
      <c r="D243" t="str">
        <f t="shared" si="11"/>
        <v/>
      </c>
      <c r="E243" t="s">
        <v>277</v>
      </c>
    </row>
    <row r="244" spans="1:5" x14ac:dyDescent="0.2">
      <c r="A244" cm="1">
        <f t="array" ref="A244">_xlfn.CEILING.PRECISE(4.3)</f>
        <v>5</v>
      </c>
      <c r="B244">
        <f t="shared" si="9"/>
        <v>0</v>
      </c>
      <c r="C244">
        <f t="shared" si="10"/>
        <v>5</v>
      </c>
      <c r="D244" t="str">
        <f t="shared" si="11"/>
        <v/>
      </c>
      <c r="E244" t="s">
        <v>278</v>
      </c>
    </row>
    <row r="245" spans="1:5" x14ac:dyDescent="0.2">
      <c r="A245" cm="1">
        <f t="array" ref="A245">_xlfn.CEILING.PRECISE(4.3,)</f>
        <v>5</v>
      </c>
      <c r="B245">
        <f t="shared" si="9"/>
        <v>0</v>
      </c>
      <c r="C245">
        <f t="shared" si="10"/>
        <v>5</v>
      </c>
      <c r="D245" t="str">
        <f t="shared" si="11"/>
        <v/>
      </c>
      <c r="E245" t="s">
        <v>279</v>
      </c>
    </row>
    <row r="246" spans="1:5" x14ac:dyDescent="0.2">
      <c r="A246" cm="1">
        <f t="array" ref="A246">_xlfn.CEILING.PRECISE(4.3,0)</f>
        <v>0</v>
      </c>
      <c r="B246">
        <f t="shared" si="9"/>
        <v>0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_xlfn.CEILING.PRECISE(4.3,"")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cm="1">
        <f t="array" ref="A248">_xlfn.CEILING.PRECISE(4.3,FALSE)</f>
        <v>0</v>
      </c>
      <c r="B248">
        <f t="shared" si="9"/>
        <v>0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CHIDIST(,10)</f>
        <v>1</v>
      </c>
      <c r="B249">
        <f t="shared" si="9"/>
        <v>0</v>
      </c>
      <c r="C249">
        <f t="shared" si="10"/>
        <v>1</v>
      </c>
      <c r="D249" t="str">
        <f t="shared" si="11"/>
        <v/>
      </c>
      <c r="E249" t="s">
        <v>283</v>
      </c>
    </row>
    <row r="250" spans="1:5" x14ac:dyDescent="0.2">
      <c r="A250" cm="1">
        <f t="array" ref="A250">CHIDIST(0,10)</f>
        <v>1</v>
      </c>
      <c r="B250">
        <f t="shared" si="9"/>
        <v>0</v>
      </c>
      <c r="C250">
        <f t="shared" si="10"/>
        <v>1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CHIDIST("",10)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cm="1">
        <f t="array" ref="A252">CHIDIST(FALSE,10)</f>
        <v>1</v>
      </c>
      <c r="B252">
        <f t="shared" si="9"/>
        <v>0</v>
      </c>
      <c r="C252">
        <f t="shared" si="10"/>
        <v>1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CHIDIST(18.307,)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CHIDIST(18.307,0)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CHIDIST(18.307,"")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CHIDIST(18.307,FALSE)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CHIINV(,10)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CHIINV(0,10)</f>
        <v>#NUM!</v>
      </c>
      <c r="B258">
        <f t="shared" si="12"/>
        <v>6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CHIINV("",10)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CHIINV(FALSE,10)</f>
        <v>#NUM!</v>
      </c>
      <c r="B260">
        <f t="shared" si="12"/>
        <v>6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CHIINV(0.050001,)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CHIINV(0.050001,0)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CHIINV(0.050001,"")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CHIINV(0.050001,FALSE)</f>
        <v>#NUM!</v>
      </c>
      <c r="B264">
        <f t="shared" si="12"/>
        <v>6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cm="1">
        <f t="array" ref="A265">_xlfn.CHISQ.DIST(,1,TRUE)</f>
        <v>0</v>
      </c>
      <c r="B265">
        <f t="shared" si="12"/>
        <v>0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cm="1">
        <f t="array" ref="A266">_xlfn.CHISQ.DIST(0,1,TRUE)</f>
        <v>0</v>
      </c>
      <c r="B266">
        <f t="shared" si="12"/>
        <v>0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_xlfn.CHISQ.DIST("",1,TRUE)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cm="1">
        <f t="array" ref="A268">_xlfn.CHISQ.DIST(FALSE,1,TRUE)</f>
        <v>0</v>
      </c>
      <c r="B268">
        <f t="shared" si="12"/>
        <v>0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_xlfn.CHISQ.DIST(0.5,,TRUE)</f>
        <v>#NUM!</v>
      </c>
      <c r="B269">
        <f t="shared" si="12"/>
        <v>6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_xlfn.CHISQ.DIST(0.5,0,TRUE)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_xlfn.CHISQ.DIST(0.5,"",TRUE)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_xlfn.CHISQ.DIST(0.5,FALSE,TRUE)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_xlfn.CHISQ.DIST(0.5,1,)</f>
        <v>0.43939128946772238</v>
      </c>
      <c r="B273">
        <f t="shared" si="12"/>
        <v>0</v>
      </c>
      <c r="C273">
        <f t="shared" si="13"/>
        <v>0.43939128946772238</v>
      </c>
      <c r="D273" t="str">
        <f t="shared" si="14"/>
        <v/>
      </c>
      <c r="E273" t="s">
        <v>307</v>
      </c>
    </row>
    <row r="274" spans="1:5" x14ac:dyDescent="0.2">
      <c r="A274" cm="1">
        <f t="array" ref="A274">_xlfn.CHISQ.DIST(0.5,1,0)</f>
        <v>0.43939128946772238</v>
      </c>
      <c r="B274">
        <f t="shared" si="12"/>
        <v>0</v>
      </c>
      <c r="C274">
        <f t="shared" si="13"/>
        <v>0.43939128946772238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_xlfn.CHISQ.DIST(0.5,1,"")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_xlfn.CHISQ.DIST(0.5,1,FALSE)</f>
        <v>0.43939128946772238</v>
      </c>
      <c r="B276">
        <f t="shared" si="12"/>
        <v>0</v>
      </c>
      <c r="C276">
        <f t="shared" si="13"/>
        <v>0.43939128946772238</v>
      </c>
      <c r="D276" t="str">
        <f t="shared" si="14"/>
        <v/>
      </c>
      <c r="E276" t="s">
        <v>310</v>
      </c>
    </row>
    <row r="277" spans="1:5" x14ac:dyDescent="0.2">
      <c r="A277" cm="1">
        <f t="array" ref="A277">_xlfn.CHISQ.DIST.RT(,10)</f>
        <v>1</v>
      </c>
      <c r="B277">
        <f t="shared" si="12"/>
        <v>0</v>
      </c>
      <c r="C277">
        <f t="shared" si="13"/>
        <v>1</v>
      </c>
      <c r="D277" t="str">
        <f t="shared" si="14"/>
        <v/>
      </c>
      <c r="E277" t="s">
        <v>311</v>
      </c>
    </row>
    <row r="278" spans="1:5" x14ac:dyDescent="0.2">
      <c r="A278" cm="1">
        <f t="array" ref="A278">_xlfn.CHISQ.DIST.RT(0,10)</f>
        <v>1</v>
      </c>
      <c r="B278">
        <f t="shared" si="12"/>
        <v>0</v>
      </c>
      <c r="C278">
        <f t="shared" si="13"/>
        <v>1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_xlfn.CHISQ.DIST.RT("",10)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_xlfn.CHISQ.DIST.RT(FALSE,10)</f>
        <v>1</v>
      </c>
      <c r="B280">
        <f t="shared" si="12"/>
        <v>0</v>
      </c>
      <c r="C280">
        <f t="shared" si="13"/>
        <v>1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_xlfn.CHISQ.DIST.RT(18.307,)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_xlfn.CHISQ.DIST.RT(18.307,0)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_xlfn.CHISQ.DIST.RT(18.307,"")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_xlfn.CHISQ.DIST.RT(18.307,FALSE)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_xlfn.CHISQ.INV(,1)</f>
        <v>0</v>
      </c>
      <c r="B285">
        <f t="shared" si="12"/>
        <v>0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cm="1">
        <f t="array" ref="A286">_xlfn.CHISQ.INV(0,1)</f>
        <v>0</v>
      </c>
      <c r="B286">
        <f t="shared" si="12"/>
        <v>0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_xlfn.CHISQ.INV("",1)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_xlfn.CHISQ.INV(FALSE,1)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_xlfn.CHISQ.INV(0.93,)</f>
        <v>#NUM!</v>
      </c>
      <c r="B289">
        <f t="shared" si="12"/>
        <v>6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_xlfn.CHISQ.INV(0.93,0)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_xlfn.CHISQ.INV(0.93,"")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_xlfn.CHISQ.INV(0.93,FALSE)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_xlfn.CHISQ.INV.RT(,10)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_xlfn.CHISQ.INV.RT(0,10)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_xlfn.CHISQ.INV.RT("",10)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_xlfn.CHISQ.INV.RT(FALSE,10)</f>
        <v>#NUM!</v>
      </c>
      <c r="B296">
        <f t="shared" si="12"/>
        <v>6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_xlfn.CHISQ.INV.RT(0.050001,)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_xlfn.CHISQ.INV.RT(0.050001,0)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_xlfn.CHISQ.INV.RT(0.050001,"")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_xlfn.CHISQ.INV.RT(0.050001,FALSE)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_xlfn.CHISQ.TEST(,D!AM1:AN3)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_xlfn.CHISQ.TEST(0,D!AM1:AN3)</f>
        <v>#N/A</v>
      </c>
      <c r="B302">
        <f t="shared" si="12"/>
        <v>7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_xlfn.CHISQ.TEST("",D!AM1:AN3)</f>
        <v>#N/A</v>
      </c>
      <c r="B303">
        <f t="shared" si="12"/>
        <v>7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_xlfn.CHISQ.TEST(FALSE,D!AM1:AN3)</f>
        <v>#N/A</v>
      </c>
      <c r="B304">
        <f t="shared" si="12"/>
        <v>7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_xlfn.CHISQ.TEST(D!AK1:AL3,)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_xlfn.CHISQ.TEST(D!AK1:AL3,0)</f>
        <v>#N/A</v>
      </c>
      <c r="B306">
        <f t="shared" si="12"/>
        <v>7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_xlfn.CHISQ.TEST(D!AK1:AL3,"")</f>
        <v>#N/A</v>
      </c>
      <c r="B307">
        <f t="shared" si="12"/>
        <v>7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_xlfn.CHISQ.TEST(D!AK1:AL3,FALSE)</f>
        <v>#N/A</v>
      </c>
      <c r="B308">
        <f t="shared" si="12"/>
        <v>7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CHITEST(,D!AM1:AN3)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CHITEST(0,D!AM1:AN3)</f>
        <v>#N/A</v>
      </c>
      <c r="B310">
        <f t="shared" si="12"/>
        <v>7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CHITEST("",D!AM1:AN3)</f>
        <v>#N/A</v>
      </c>
      <c r="B311">
        <f t="shared" si="12"/>
        <v>7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CHITEST(FALSE,D!AM1:AN3)</f>
        <v>#N/A</v>
      </c>
      <c r="B312">
        <f t="shared" si="12"/>
        <v>7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CHITEST(D!AK1:AL3,)</f>
        <v>#VALUE!</v>
      </c>
      <c r="B313">
        <f t="shared" si="12"/>
        <v>3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CHITEST(D!AK1:AL3,0)</f>
        <v>#N/A</v>
      </c>
      <c r="B314">
        <f t="shared" si="12"/>
        <v>7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CHITEST(D!AK1:AL3,"")</f>
        <v>#N/A</v>
      </c>
      <c r="B315">
        <f t="shared" si="12"/>
        <v>7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CHITEST(D!AK1:AL3,FALSE)</f>
        <v>#N/A</v>
      </c>
      <c r="B316">
        <f t="shared" si="12"/>
        <v>7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CHOOSE(,"a","b","c")</f>
        <v>#VALUE!</v>
      </c>
      <c r="B317">
        <f t="shared" si="12"/>
        <v>3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CHOOSE(0,"a","b","c")</f>
        <v>#VALUE!</v>
      </c>
      <c r="B318">
        <f t="shared" si="12"/>
        <v>3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CHOOSE("","a","b","c")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CHOOSE(FALSE,"a","b","c")</f>
        <v>#VALUE!</v>
      </c>
      <c r="B320">
        <f t="shared" si="12"/>
        <v>3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str" cm="1">
        <f t="array" ref="A321">CHOOSE(2,,"b","c")</f>
        <v>b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b</v>
      </c>
      <c r="E321" t="s">
        <v>355</v>
      </c>
    </row>
    <row r="322" spans="1:5" x14ac:dyDescent="0.2">
      <c r="A322" t="str" cm="1">
        <f t="array" ref="A322">CHOOSE(2,0,"b","c")</f>
        <v>b</v>
      </c>
      <c r="B322">
        <f t="shared" si="15"/>
        <v>-3</v>
      </c>
      <c r="C322">
        <f t="shared" si="16"/>
        <v>0</v>
      </c>
      <c r="D322" t="str">
        <f t="shared" si="17"/>
        <v>b</v>
      </c>
      <c r="E322" t="s">
        <v>356</v>
      </c>
    </row>
    <row r="323" spans="1:5" x14ac:dyDescent="0.2">
      <c r="A323" t="str" cm="1">
        <f t="array" ref="A323">CHOOSE(2,"","b","c")</f>
        <v>b</v>
      </c>
      <c r="B323">
        <f t="shared" si="15"/>
        <v>-3</v>
      </c>
      <c r="C323">
        <f t="shared" si="16"/>
        <v>0</v>
      </c>
      <c r="D323" t="str">
        <f t="shared" si="17"/>
        <v>b</v>
      </c>
      <c r="E323" t="s">
        <v>357</v>
      </c>
    </row>
    <row r="324" spans="1:5" x14ac:dyDescent="0.2">
      <c r="A324" t="str" cm="1">
        <f t="array" ref="A324">CHOOSE(2,FALSE,"b","c")</f>
        <v>b</v>
      </c>
      <c r="B324">
        <f t="shared" si="15"/>
        <v>-3</v>
      </c>
      <c r="C324">
        <f t="shared" si="16"/>
        <v>0</v>
      </c>
      <c r="D324" t="str">
        <f t="shared" si="17"/>
        <v>b</v>
      </c>
      <c r="E324" t="s">
        <v>358</v>
      </c>
    </row>
    <row r="325" spans="1:5" x14ac:dyDescent="0.2">
      <c r="A325" cm="1">
        <f t="array" ref="A325">CHOOSE(2,"a",,"c")</f>
        <v>0</v>
      </c>
      <c r="B325">
        <f t="shared" si="15"/>
        <v>0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cm="1">
        <f t="array" ref="A326">CHOOSE(2,"a",0,"c")</f>
        <v>0</v>
      </c>
      <c r="B326">
        <f t="shared" si="15"/>
        <v>0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str" cm="1">
        <f t="array" ref="A327">CHOOSE(2,"a","","c")</f>
        <v/>
      </c>
      <c r="B327">
        <f t="shared" si="15"/>
        <v>-3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b" cm="1">
        <f t="array" ref="A328">CHOOSE(2,"a",FALSE,"c")</f>
        <v>0</v>
      </c>
      <c r="B328">
        <f t="shared" si="15"/>
        <v>-2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str" cm="1">
        <f t="array" ref="A329">CHOOSE(2,"a","b",)</f>
        <v>b</v>
      </c>
      <c r="B329">
        <f t="shared" si="15"/>
        <v>-3</v>
      </c>
      <c r="C329">
        <f t="shared" si="16"/>
        <v>0</v>
      </c>
      <c r="D329" t="str">
        <f t="shared" si="17"/>
        <v>b</v>
      </c>
      <c r="E329" t="s">
        <v>363</v>
      </c>
    </row>
    <row r="330" spans="1:5" x14ac:dyDescent="0.2">
      <c r="A330" t="str" cm="1">
        <f t="array" ref="A330">CHOOSE(2,"a","b",0)</f>
        <v>b</v>
      </c>
      <c r="B330">
        <f t="shared" si="15"/>
        <v>-3</v>
      </c>
      <c r="C330">
        <f t="shared" si="16"/>
        <v>0</v>
      </c>
      <c r="D330" t="str">
        <f t="shared" si="17"/>
        <v>b</v>
      </c>
      <c r="E330" t="s">
        <v>364</v>
      </c>
    </row>
    <row r="331" spans="1:5" x14ac:dyDescent="0.2">
      <c r="A331" t="str" cm="1">
        <f t="array" ref="A331">CHOOSE(2,"a","b","")</f>
        <v>b</v>
      </c>
      <c r="B331">
        <f t="shared" si="15"/>
        <v>-3</v>
      </c>
      <c r="C331">
        <f t="shared" si="16"/>
        <v>0</v>
      </c>
      <c r="D331" t="str">
        <f t="shared" si="17"/>
        <v>b</v>
      </c>
      <c r="E331" t="s">
        <v>365</v>
      </c>
    </row>
    <row r="332" spans="1:5" x14ac:dyDescent="0.2">
      <c r="A332" t="str" cm="1">
        <f t="array" ref="A332">CHOOSE(2,"a","b",FALSE)</f>
        <v>b</v>
      </c>
      <c r="B332">
        <f t="shared" si="15"/>
        <v>-3</v>
      </c>
      <c r="C332">
        <f t="shared" si="16"/>
        <v>0</v>
      </c>
      <c r="D332" t="str">
        <f t="shared" si="17"/>
        <v>b</v>
      </c>
      <c r="E332" t="s">
        <v>366</v>
      </c>
    </row>
    <row r="333" spans="1:5" x14ac:dyDescent="0.2">
      <c r="A333" t="str" cm="1">
        <f t="array" ref="A333">CHOOSE(2,"a","b","c")</f>
        <v>b</v>
      </c>
      <c r="B333">
        <f t="shared" si="15"/>
        <v>-3</v>
      </c>
      <c r="C333">
        <f t="shared" si="16"/>
        <v>0</v>
      </c>
      <c r="D333" t="str">
        <f t="shared" si="17"/>
        <v>b</v>
      </c>
      <c r="E333" t="s">
        <v>367</v>
      </c>
    </row>
    <row r="334" spans="1:5" x14ac:dyDescent="0.2">
      <c r="A334" t="str" cm="1">
        <f t="array" ref="A334">CHOOSE(2,"a","b","c",)</f>
        <v>b</v>
      </c>
      <c r="B334">
        <f t="shared" si="15"/>
        <v>-3</v>
      </c>
      <c r="C334">
        <f t="shared" si="16"/>
        <v>0</v>
      </c>
      <c r="D334" t="str">
        <f t="shared" si="17"/>
        <v>b</v>
      </c>
      <c r="E334" t="s">
        <v>368</v>
      </c>
    </row>
    <row r="335" spans="1:5" x14ac:dyDescent="0.2">
      <c r="A335" t="str" cm="1">
        <f t="array" ref="A335">CHOOSE(2,"a","b","c",0)</f>
        <v>b</v>
      </c>
      <c r="B335">
        <f t="shared" si="15"/>
        <v>-3</v>
      </c>
      <c r="C335">
        <f t="shared" si="16"/>
        <v>0</v>
      </c>
      <c r="D335" t="str">
        <f t="shared" si="17"/>
        <v>b</v>
      </c>
      <c r="E335" t="s">
        <v>369</v>
      </c>
    </row>
    <row r="336" spans="1:5" x14ac:dyDescent="0.2">
      <c r="A336" t="str" cm="1">
        <f t="array" ref="A336">CHOOSE(2,"a","b","c","")</f>
        <v>b</v>
      </c>
      <c r="B336">
        <f t="shared" si="15"/>
        <v>-3</v>
      </c>
      <c r="C336">
        <f t="shared" si="16"/>
        <v>0</v>
      </c>
      <c r="D336" t="str">
        <f t="shared" si="17"/>
        <v>b</v>
      </c>
      <c r="E336" t="s">
        <v>370</v>
      </c>
    </row>
    <row r="337" spans="1:5" x14ac:dyDescent="0.2">
      <c r="A337" t="str" cm="1">
        <f t="array" ref="A337">CHOOSE(2,"a","b","c",FALSE)</f>
        <v>b</v>
      </c>
      <c r="B337">
        <f t="shared" si="15"/>
        <v>-3</v>
      </c>
      <c r="C337">
        <f t="shared" si="16"/>
        <v>0</v>
      </c>
      <c r="D337" t="str">
        <f t="shared" si="17"/>
        <v>b</v>
      </c>
      <c r="E337" t="s">
        <v>371</v>
      </c>
    </row>
    <row r="338" spans="1:5" x14ac:dyDescent="0.2">
      <c r="A338" t="e" cm="1">
        <f t="array" ref="A338">COMBIN(,2)</f>
        <v>#NUM!</v>
      </c>
      <c r="B338">
        <f t="shared" si="15"/>
        <v>6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COMBIN(0,2)</f>
        <v>#NUM!</v>
      </c>
      <c r="B339">
        <f t="shared" si="15"/>
        <v>6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COMBIN("",2)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COMBIN(FALSE,2)</f>
        <v>#NUM!</v>
      </c>
      <c r="B341">
        <f t="shared" si="15"/>
        <v>6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cm="1">
        <f t="array" ref="A342">COMBIN(8,)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376</v>
      </c>
    </row>
    <row r="343" spans="1:5" x14ac:dyDescent="0.2">
      <c r="A343" cm="1">
        <f t="array" ref="A343">COMBIN(8,0)</f>
        <v>1</v>
      </c>
      <c r="B343">
        <f t="shared" si="15"/>
        <v>0</v>
      </c>
      <c r="C343">
        <f t="shared" si="16"/>
        <v>1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COMBIN(8,"")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cm="1">
        <f t="array" ref="A345">COMBIN(8,FALSE)</f>
        <v>1</v>
      </c>
      <c r="B345">
        <f t="shared" si="15"/>
        <v>0</v>
      </c>
      <c r="C345">
        <f t="shared" si="16"/>
        <v>1</v>
      </c>
      <c r="D345" t="str">
        <f t="shared" si="17"/>
        <v/>
      </c>
      <c r="E345" t="s">
        <v>379</v>
      </c>
    </row>
    <row r="346" spans="1:5" x14ac:dyDescent="0.2">
      <c r="A346" t="e" cm="1">
        <f t="array" ref="A346">_xlfn.COMBINA(,3)</f>
        <v>#NUM!</v>
      </c>
      <c r="B346">
        <f t="shared" si="15"/>
        <v>6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_xlfn.COMBINA(0,3)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_xlfn.COMBINA("",3)</f>
        <v>#VALUE!</v>
      </c>
      <c r="B348">
        <f t="shared" si="15"/>
        <v>3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_xlfn.COMBINA(FALSE,3)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cm="1">
        <f t="array" ref="A350">_xlfn.COMBINA(4,)</f>
        <v>1</v>
      </c>
      <c r="B350">
        <f t="shared" si="15"/>
        <v>0</v>
      </c>
      <c r="C350">
        <f t="shared" si="16"/>
        <v>1</v>
      </c>
      <c r="D350" t="str">
        <f t="shared" si="17"/>
        <v/>
      </c>
      <c r="E350" t="s">
        <v>384</v>
      </c>
    </row>
    <row r="351" spans="1:5" x14ac:dyDescent="0.2">
      <c r="A351" cm="1">
        <f t="array" ref="A351">_xlfn.COMBINA(4,0)</f>
        <v>1</v>
      </c>
      <c r="B351">
        <f t="shared" si="15"/>
        <v>0</v>
      </c>
      <c r="C351">
        <f t="shared" si="16"/>
        <v>1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_xlfn.COMBINA(4,"")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cm="1">
        <f t="array" ref="A353">_xlfn.COMBINA(4,FALSE)</f>
        <v>1</v>
      </c>
      <c r="B353">
        <f t="shared" si="15"/>
        <v>0</v>
      </c>
      <c r="C353">
        <f t="shared" si="16"/>
        <v>1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COMPLEX(,4)</f>
        <v>#N/A</v>
      </c>
      <c r="B354">
        <f t="shared" si="15"/>
        <v>7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str" cm="1">
        <f t="array" ref="A355">COMPLEX(0,4)</f>
        <v>4i</v>
      </c>
      <c r="B355">
        <f t="shared" si="15"/>
        <v>-3</v>
      </c>
      <c r="C355">
        <f t="shared" si="16"/>
        <v>0</v>
      </c>
      <c r="D355" t="str">
        <f t="shared" si="17"/>
        <v>4i</v>
      </c>
      <c r="E355" t="s">
        <v>389</v>
      </c>
    </row>
    <row r="356" spans="1:5" x14ac:dyDescent="0.2">
      <c r="A356" t="e" cm="1">
        <f t="array" ref="A356">COMPLEX("",4)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COMPLEX(FALSE,4)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COMPLEX(3,)</f>
        <v>#N/A</v>
      </c>
      <c r="B358">
        <f t="shared" si="15"/>
        <v>7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str" cm="1">
        <f t="array" ref="A359">COMPLEX(3,0)</f>
        <v>3</v>
      </c>
      <c r="B359">
        <f t="shared" si="15"/>
        <v>-3</v>
      </c>
      <c r="C359">
        <f t="shared" si="16"/>
        <v>0</v>
      </c>
      <c r="D359" t="str">
        <f t="shared" si="17"/>
        <v>3</v>
      </c>
      <c r="E359" t="s">
        <v>393</v>
      </c>
    </row>
    <row r="360" spans="1:5" x14ac:dyDescent="0.2">
      <c r="A360" t="e" cm="1">
        <f t="array" ref="A360">COMPLEX(3,"")</f>
        <v>#VALUE!</v>
      </c>
      <c r="B360">
        <f t="shared" si="15"/>
        <v>3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COMPLEX(3,FALSE)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str" cm="1">
        <f t="array" ref="A362">COMPLEX(3,4)</f>
        <v>3+4i</v>
      </c>
      <c r="B362">
        <f t="shared" si="15"/>
        <v>-3</v>
      </c>
      <c r="C362">
        <f t="shared" si="16"/>
        <v>0</v>
      </c>
      <c r="D362" t="str">
        <f t="shared" si="17"/>
        <v>3+4i</v>
      </c>
      <c r="E362" t="s">
        <v>396</v>
      </c>
    </row>
    <row r="363" spans="1:5" x14ac:dyDescent="0.2">
      <c r="A363" t="str" cm="1">
        <f t="array" ref="A363">COMPLEX(3,4,)</f>
        <v>3+4i</v>
      </c>
      <c r="B363">
        <f t="shared" si="15"/>
        <v>-3</v>
      </c>
      <c r="C363">
        <f t="shared" si="16"/>
        <v>0</v>
      </c>
      <c r="D363" t="str">
        <f t="shared" si="17"/>
        <v>3+4i</v>
      </c>
      <c r="E363" t="s">
        <v>397</v>
      </c>
    </row>
    <row r="364" spans="1:5" x14ac:dyDescent="0.2">
      <c r="A364" t="e" cm="1">
        <f t="array" ref="A364">COMPLEX(3,4,0)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str" cm="1">
        <f t="array" ref="A365">COMPLEX(3,4,"")</f>
        <v>3+4i</v>
      </c>
      <c r="B365">
        <f t="shared" si="15"/>
        <v>-3</v>
      </c>
      <c r="C365">
        <f t="shared" si="16"/>
        <v>0</v>
      </c>
      <c r="D365" t="str">
        <f t="shared" si="17"/>
        <v>3+4i</v>
      </c>
      <c r="E365" t="s">
        <v>399</v>
      </c>
    </row>
    <row r="366" spans="1:5" x14ac:dyDescent="0.2">
      <c r="A366" t="e" cm="1">
        <f t="array" ref="A366">COMPLEX(3,4,FALSE)</f>
        <v>#VALUE!</v>
      </c>
      <c r="B366">
        <f t="shared" si="15"/>
        <v>3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str" cm="1">
        <f t="array" ref="A367">_xlfn.CONCAT(,"b","c")</f>
        <v>bc</v>
      </c>
      <c r="B367">
        <f t="shared" si="15"/>
        <v>-3</v>
      </c>
      <c r="C367">
        <f t="shared" si="16"/>
        <v>0</v>
      </c>
      <c r="D367" t="str">
        <f t="shared" si="17"/>
        <v>bc</v>
      </c>
      <c r="E367" t="s">
        <v>401</v>
      </c>
    </row>
    <row r="368" spans="1:5" x14ac:dyDescent="0.2">
      <c r="A368" t="str" cm="1">
        <f t="array" ref="A368">_xlfn.CONCAT(0,"b","c")</f>
        <v>0bc</v>
      </c>
      <c r="B368">
        <f t="shared" si="15"/>
        <v>-3</v>
      </c>
      <c r="C368">
        <f t="shared" si="16"/>
        <v>0</v>
      </c>
      <c r="D368" t="str">
        <f t="shared" si="17"/>
        <v>0bc</v>
      </c>
      <c r="E368" t="s">
        <v>402</v>
      </c>
    </row>
    <row r="369" spans="1:5" x14ac:dyDescent="0.2">
      <c r="A369" t="str" cm="1">
        <f t="array" ref="A369">_xlfn.CONCAT("","b","c")</f>
        <v>bc</v>
      </c>
      <c r="B369">
        <f t="shared" si="15"/>
        <v>-3</v>
      </c>
      <c r="C369">
        <f t="shared" si="16"/>
        <v>0</v>
      </c>
      <c r="D369" t="str">
        <f t="shared" si="17"/>
        <v>bc</v>
      </c>
      <c r="E369" t="s">
        <v>403</v>
      </c>
    </row>
    <row r="370" spans="1:5" x14ac:dyDescent="0.2">
      <c r="A370" t="str" cm="1">
        <f t="array" ref="A370">_xlfn.CONCAT(FALSE,"b","c")</f>
        <v>FALSEbc</v>
      </c>
      <c r="B370">
        <f t="shared" si="15"/>
        <v>-3</v>
      </c>
      <c r="C370">
        <f t="shared" si="16"/>
        <v>0</v>
      </c>
      <c r="D370" t="str">
        <f t="shared" si="17"/>
        <v>FALSEbc</v>
      </c>
      <c r="E370" t="s">
        <v>404</v>
      </c>
    </row>
    <row r="371" spans="1:5" x14ac:dyDescent="0.2">
      <c r="A371" t="str" cm="1">
        <f t="array" ref="A371">_xlfn.CONCAT("a",,"c")</f>
        <v>ac</v>
      </c>
      <c r="B371">
        <f t="shared" si="15"/>
        <v>-3</v>
      </c>
      <c r="C371">
        <f t="shared" si="16"/>
        <v>0</v>
      </c>
      <c r="D371" t="str">
        <f t="shared" si="17"/>
        <v>ac</v>
      </c>
      <c r="E371" t="s">
        <v>405</v>
      </c>
    </row>
    <row r="372" spans="1:5" x14ac:dyDescent="0.2">
      <c r="A372" t="str" cm="1">
        <f t="array" ref="A372">_xlfn.CONCAT("a",0,"c")</f>
        <v>a0c</v>
      </c>
      <c r="B372">
        <f t="shared" si="15"/>
        <v>-3</v>
      </c>
      <c r="C372">
        <f t="shared" si="16"/>
        <v>0</v>
      </c>
      <c r="D372" t="str">
        <f t="shared" si="17"/>
        <v>a0c</v>
      </c>
      <c r="E372" t="s">
        <v>406</v>
      </c>
    </row>
    <row r="373" spans="1:5" x14ac:dyDescent="0.2">
      <c r="A373" t="str" cm="1">
        <f t="array" ref="A373">_xlfn.CONCAT("a","","c")</f>
        <v>ac</v>
      </c>
      <c r="B373">
        <f t="shared" si="15"/>
        <v>-3</v>
      </c>
      <c r="C373">
        <f t="shared" si="16"/>
        <v>0</v>
      </c>
      <c r="D373" t="str">
        <f t="shared" si="17"/>
        <v>ac</v>
      </c>
      <c r="E373" t="s">
        <v>407</v>
      </c>
    </row>
    <row r="374" spans="1:5" x14ac:dyDescent="0.2">
      <c r="A374" t="str" cm="1">
        <f t="array" ref="A374">_xlfn.CONCAT("a",FALSE,"c")</f>
        <v>aFALSEc</v>
      </c>
      <c r="B374">
        <f t="shared" si="15"/>
        <v>-3</v>
      </c>
      <c r="C374">
        <f t="shared" si="16"/>
        <v>0</v>
      </c>
      <c r="D374" t="str">
        <f t="shared" si="17"/>
        <v>aFALSEc</v>
      </c>
      <c r="E374" t="s">
        <v>408</v>
      </c>
    </row>
    <row r="375" spans="1:5" x14ac:dyDescent="0.2">
      <c r="A375" t="str" cm="1">
        <f t="array" ref="A375">_xlfn.CONCAT("a","b",)</f>
        <v>ab</v>
      </c>
      <c r="B375">
        <f t="shared" si="15"/>
        <v>-3</v>
      </c>
      <c r="C375">
        <f t="shared" si="16"/>
        <v>0</v>
      </c>
      <c r="D375" t="str">
        <f t="shared" si="17"/>
        <v>ab</v>
      </c>
      <c r="E375" t="s">
        <v>409</v>
      </c>
    </row>
    <row r="376" spans="1:5" x14ac:dyDescent="0.2">
      <c r="A376" t="str" cm="1">
        <f t="array" ref="A376">_xlfn.CONCAT("a","b",0)</f>
        <v>ab0</v>
      </c>
      <c r="B376">
        <f t="shared" si="15"/>
        <v>-3</v>
      </c>
      <c r="C376">
        <f t="shared" si="16"/>
        <v>0</v>
      </c>
      <c r="D376" t="str">
        <f t="shared" si="17"/>
        <v>ab0</v>
      </c>
      <c r="E376" t="s">
        <v>410</v>
      </c>
    </row>
    <row r="377" spans="1:5" x14ac:dyDescent="0.2">
      <c r="A377" t="str" cm="1">
        <f t="array" ref="A377">_xlfn.CONCAT("a","b","")</f>
        <v>ab</v>
      </c>
      <c r="B377">
        <f t="shared" si="15"/>
        <v>-3</v>
      </c>
      <c r="C377">
        <f t="shared" si="16"/>
        <v>0</v>
      </c>
      <c r="D377" t="str">
        <f t="shared" si="17"/>
        <v>ab</v>
      </c>
      <c r="E377" t="s">
        <v>411</v>
      </c>
    </row>
    <row r="378" spans="1:5" x14ac:dyDescent="0.2">
      <c r="A378" t="str" cm="1">
        <f t="array" ref="A378">_xlfn.CONCAT("a","b",FALSE)</f>
        <v>abFALSE</v>
      </c>
      <c r="B378">
        <f t="shared" si="15"/>
        <v>-3</v>
      </c>
      <c r="C378">
        <f t="shared" si="16"/>
        <v>0</v>
      </c>
      <c r="D378" t="str">
        <f t="shared" si="17"/>
        <v>abFALSE</v>
      </c>
      <c r="E378" t="s">
        <v>412</v>
      </c>
    </row>
    <row r="379" spans="1:5" x14ac:dyDescent="0.2">
      <c r="A379" t="str" cm="1">
        <f t="array" ref="A379">_xlfn.CONCAT("a","b","c")</f>
        <v>abc</v>
      </c>
      <c r="B379">
        <f t="shared" si="15"/>
        <v>-3</v>
      </c>
      <c r="C379">
        <f t="shared" si="16"/>
        <v>0</v>
      </c>
      <c r="D379" t="str">
        <f t="shared" si="17"/>
        <v>abc</v>
      </c>
      <c r="E379" t="s">
        <v>413</v>
      </c>
    </row>
    <row r="380" spans="1:5" x14ac:dyDescent="0.2">
      <c r="A380" t="str" cm="1">
        <f t="array" ref="A380">_xlfn.CONCAT("a","b","c",)</f>
        <v>abc</v>
      </c>
      <c r="B380">
        <f t="shared" si="15"/>
        <v>-3</v>
      </c>
      <c r="C380">
        <f t="shared" si="16"/>
        <v>0</v>
      </c>
      <c r="D380" t="str">
        <f t="shared" si="17"/>
        <v>abc</v>
      </c>
      <c r="E380" t="s">
        <v>414</v>
      </c>
    </row>
    <row r="381" spans="1:5" x14ac:dyDescent="0.2">
      <c r="A381" t="str" cm="1">
        <f t="array" ref="A381">_xlfn.CONCAT("a","b","c",0)</f>
        <v>abc0</v>
      </c>
      <c r="B381">
        <f t="shared" si="15"/>
        <v>-3</v>
      </c>
      <c r="C381">
        <f t="shared" si="16"/>
        <v>0</v>
      </c>
      <c r="D381" t="str">
        <f t="shared" si="17"/>
        <v>abc0</v>
      </c>
      <c r="E381" t="s">
        <v>415</v>
      </c>
    </row>
    <row r="382" spans="1:5" x14ac:dyDescent="0.2">
      <c r="A382" t="str" cm="1">
        <f t="array" ref="A382">_xlfn.CONCAT("a","b","c","")</f>
        <v>abc</v>
      </c>
      <c r="B382">
        <f t="shared" si="15"/>
        <v>-3</v>
      </c>
      <c r="C382">
        <f t="shared" si="16"/>
        <v>0</v>
      </c>
      <c r="D382" t="str">
        <f t="shared" si="17"/>
        <v>abc</v>
      </c>
      <c r="E382" t="s">
        <v>416</v>
      </c>
    </row>
    <row r="383" spans="1:5" x14ac:dyDescent="0.2">
      <c r="A383" t="str" cm="1">
        <f t="array" ref="A383">_xlfn.CONCAT("a","b","c",FALSE)</f>
        <v>abcFALSE</v>
      </c>
      <c r="B383">
        <f t="shared" si="15"/>
        <v>-3</v>
      </c>
      <c r="C383">
        <f t="shared" si="16"/>
        <v>0</v>
      </c>
      <c r="D383" t="str">
        <f t="shared" si="17"/>
        <v>abcFALSE</v>
      </c>
      <c r="E383" t="s">
        <v>417</v>
      </c>
    </row>
    <row r="384" spans="1:5" x14ac:dyDescent="0.2">
      <c r="A384" t="str" cm="1">
        <f t="array" ref="A384">CONCATENATE(,"b")</f>
        <v>b</v>
      </c>
      <c r="B384">
        <f t="shared" si="15"/>
        <v>-3</v>
      </c>
      <c r="C384">
        <f t="shared" si="16"/>
        <v>0</v>
      </c>
      <c r="D384" t="str">
        <f t="shared" si="17"/>
        <v>b</v>
      </c>
      <c r="E384" t="s">
        <v>418</v>
      </c>
    </row>
    <row r="385" spans="1:5" x14ac:dyDescent="0.2">
      <c r="A385" t="str" cm="1">
        <f t="array" ref="A385">CONCATENATE(0,"b")</f>
        <v>0b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0b</v>
      </c>
      <c r="E385" t="s">
        <v>419</v>
      </c>
    </row>
    <row r="386" spans="1:5" x14ac:dyDescent="0.2">
      <c r="A386" t="str" cm="1">
        <f t="array" ref="A386">CONCATENATE("","b")</f>
        <v>b</v>
      </c>
      <c r="B386">
        <f t="shared" si="18"/>
        <v>-3</v>
      </c>
      <c r="C386">
        <f t="shared" si="19"/>
        <v>0</v>
      </c>
      <c r="D386" t="str">
        <f t="shared" si="20"/>
        <v>b</v>
      </c>
      <c r="E386" t="s">
        <v>420</v>
      </c>
    </row>
    <row r="387" spans="1:5" x14ac:dyDescent="0.2">
      <c r="A387" t="str" cm="1">
        <f t="array" ref="A387">CONCATENATE(FALSE,"b")</f>
        <v>FALSEb</v>
      </c>
      <c r="B387">
        <f t="shared" si="18"/>
        <v>-3</v>
      </c>
      <c r="C387">
        <f t="shared" si="19"/>
        <v>0</v>
      </c>
      <c r="D387" t="str">
        <f t="shared" si="20"/>
        <v>FALSEb</v>
      </c>
      <c r="E387" t="s">
        <v>421</v>
      </c>
    </row>
    <row r="388" spans="1:5" x14ac:dyDescent="0.2">
      <c r="A388" t="str" cm="1">
        <f t="array" ref="A388">CONCATENATE("a",)</f>
        <v>a</v>
      </c>
      <c r="B388">
        <f t="shared" si="18"/>
        <v>-3</v>
      </c>
      <c r="C388">
        <f t="shared" si="19"/>
        <v>0</v>
      </c>
      <c r="D388" t="str">
        <f t="shared" si="20"/>
        <v>a</v>
      </c>
      <c r="E388" t="s">
        <v>422</v>
      </c>
    </row>
    <row r="389" spans="1:5" x14ac:dyDescent="0.2">
      <c r="A389" t="str" cm="1">
        <f t="array" ref="A389">CONCATENATE("a",0)</f>
        <v>a0</v>
      </c>
      <c r="B389">
        <f t="shared" si="18"/>
        <v>-3</v>
      </c>
      <c r="C389">
        <f t="shared" si="19"/>
        <v>0</v>
      </c>
      <c r="D389" t="str">
        <f t="shared" si="20"/>
        <v>a0</v>
      </c>
      <c r="E389" t="s">
        <v>423</v>
      </c>
    </row>
    <row r="390" spans="1:5" x14ac:dyDescent="0.2">
      <c r="A390" t="str" cm="1">
        <f t="array" ref="A390">CONCATENATE("a","")</f>
        <v>a</v>
      </c>
      <c r="B390">
        <f t="shared" si="18"/>
        <v>-3</v>
      </c>
      <c r="C390">
        <f t="shared" si="19"/>
        <v>0</v>
      </c>
      <c r="D390" t="str">
        <f t="shared" si="20"/>
        <v>a</v>
      </c>
      <c r="E390" t="s">
        <v>424</v>
      </c>
    </row>
    <row r="391" spans="1:5" x14ac:dyDescent="0.2">
      <c r="A391" t="str" cm="1">
        <f t="array" ref="A391">CONCATENATE("a",FALSE)</f>
        <v>aFALSE</v>
      </c>
      <c r="B391">
        <f t="shared" si="18"/>
        <v>-3</v>
      </c>
      <c r="C391">
        <f t="shared" si="19"/>
        <v>0</v>
      </c>
      <c r="D391" t="str">
        <f t="shared" si="20"/>
        <v>aFALSE</v>
      </c>
      <c r="E391" t="s">
        <v>425</v>
      </c>
    </row>
    <row r="392" spans="1:5" x14ac:dyDescent="0.2">
      <c r="A392" t="str" cm="1">
        <f t="array" ref="A392">CONCATENATE("a","b")</f>
        <v>ab</v>
      </c>
      <c r="B392">
        <f t="shared" si="18"/>
        <v>-3</v>
      </c>
      <c r="C392">
        <f t="shared" si="19"/>
        <v>0</v>
      </c>
      <c r="D392" t="str">
        <f t="shared" si="20"/>
        <v>ab</v>
      </c>
      <c r="E392" t="s">
        <v>426</v>
      </c>
    </row>
    <row r="393" spans="1:5" x14ac:dyDescent="0.2">
      <c r="A393" t="str" cm="1">
        <f t="array" ref="A393">CONCATENATE("a","b",)</f>
        <v>ab</v>
      </c>
      <c r="B393">
        <f t="shared" si="18"/>
        <v>-3</v>
      </c>
      <c r="C393">
        <f t="shared" si="19"/>
        <v>0</v>
      </c>
      <c r="D393" t="str">
        <f t="shared" si="20"/>
        <v>ab</v>
      </c>
      <c r="E393" t="s">
        <v>427</v>
      </c>
    </row>
    <row r="394" spans="1:5" x14ac:dyDescent="0.2">
      <c r="A394" t="str" cm="1">
        <f t="array" ref="A394">CONCATENATE("a","b",0)</f>
        <v>ab0</v>
      </c>
      <c r="B394">
        <f t="shared" si="18"/>
        <v>-3</v>
      </c>
      <c r="C394">
        <f t="shared" si="19"/>
        <v>0</v>
      </c>
      <c r="D394" t="str">
        <f t="shared" si="20"/>
        <v>ab0</v>
      </c>
      <c r="E394" t="s">
        <v>428</v>
      </c>
    </row>
    <row r="395" spans="1:5" x14ac:dyDescent="0.2">
      <c r="A395" t="str" cm="1">
        <f t="array" ref="A395">CONCATENATE("a","b","")</f>
        <v>ab</v>
      </c>
      <c r="B395">
        <f t="shared" si="18"/>
        <v>-3</v>
      </c>
      <c r="C395">
        <f t="shared" si="19"/>
        <v>0</v>
      </c>
      <c r="D395" t="str">
        <f t="shared" si="20"/>
        <v>ab</v>
      </c>
      <c r="E395" t="s">
        <v>429</v>
      </c>
    </row>
    <row r="396" spans="1:5" x14ac:dyDescent="0.2">
      <c r="A396" t="str" cm="1">
        <f t="array" ref="A396">CONCATENATE("a","b",FALSE)</f>
        <v>abFALSE</v>
      </c>
      <c r="B396">
        <f t="shared" si="18"/>
        <v>-3</v>
      </c>
      <c r="C396">
        <f t="shared" si="19"/>
        <v>0</v>
      </c>
      <c r="D396" t="str">
        <f t="shared" si="20"/>
        <v>abFALSE</v>
      </c>
      <c r="E396" t="s">
        <v>430</v>
      </c>
    </row>
    <row r="397" spans="1:5" x14ac:dyDescent="0.2">
      <c r="A397" t="e" cm="1">
        <f t="array" ref="A397">CONFIDENCE(,2.5,50)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CONFIDENCE(0,2.5,50)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CONFIDENCE("",2.5,50)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CONFIDENCE(FALSE,2.5,50)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2026-10-07T05:16:14Z</dcterms:created>
  <dcterms:modified xsi:type="dcterms:W3CDTF">2026-10-07T05:16:15Z</dcterms:modified>
  <cp:category/>
</cp:coreProperties>
</file>