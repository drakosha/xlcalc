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77437947-3855-B04C-B9C9-77A00E9E0CE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y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 a="1"/>
  <c r="A9" i="3" s="1"/>
  <c r="A8" i="3" a="1"/>
  <c r="A8" i="3" s="1"/>
  <c r="A6" i="3" a="1"/>
  <c r="A6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A6" i="1"/>
  <c r="A5" i="3" s="1" a="1"/>
  <c r="A5" i="3" s="1"/>
  <c r="A7" i="3" l="1" a="1"/>
  <c r="A7" i="3" s="1"/>
  <c r="B7" i="3" s="1"/>
  <c r="C5" i="3"/>
  <c r="B5" i="3"/>
  <c r="D5" i="3"/>
  <c r="C2" i="3"/>
  <c r="B2" i="3"/>
  <c r="D2" i="3"/>
  <c r="D3" i="3"/>
  <c r="B3" i="3"/>
  <c r="C3" i="3"/>
  <c r="C4" i="3"/>
  <c r="B4" i="3"/>
  <c r="D4" i="3"/>
  <c r="D8" i="3"/>
  <c r="C8" i="3"/>
  <c r="B8" i="3"/>
  <c r="D1" i="3"/>
  <c r="C1" i="3"/>
  <c r="B1" i="3"/>
  <c r="D6" i="3"/>
  <c r="B6" i="3"/>
  <c r="C6" i="3"/>
  <c r="D9" i="3"/>
  <c r="C9" i="3"/>
  <c r="B9" i="3"/>
  <c r="C7" i="3" l="1"/>
  <c r="D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<sst xmlns="http://schemas.openxmlformats.org/spreadsheetml/2006/main" count="69" uniqueCount="45">
  <si>
    <t>end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</si>
  <si>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</si>
  <si>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</si>
  <si>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</si>
  <si>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</si>
  <si>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</si>
  <si>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</si>
  <si>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</si>
  <si>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</si>
  <si>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</si>
  <si>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</si>
  <si>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</si>
  <si>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</si>
  <si>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</si>
  <si>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</si>
  <si>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</si>
  <si>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</si>
  <si>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</si>
  <si>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</si>
  <si>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</si>
  <si>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</si>
  <si>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</si>
  <si>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</si>
  <si>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</si>
  <si>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</si>
  <si>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</si>
  <si>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</si>
  <si>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</si>
  <si>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</si>
  <si>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</si>
  <si>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</si>
  <si>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</si>
  <si>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</si>
  <si>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</si>
  <si>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</si>
  <si>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</si>
  <si>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XMATCH#1</t>
  </si>
  <si>
    <t>XMATCH#2</t>
  </si>
  <si>
    <t>XMATCH#3</t>
  </si>
  <si>
    <t>XMATCH#4</t>
  </si>
  <si>
    <t>XMATCH#5</t>
  </si>
  <si>
    <t>XMATCH#6</t>
  </si>
  <si>
    <t>XMATCH#7</t>
  </si>
  <si>
    <t>XMATCH#8</t>
  </si>
  <si>
    <t>XMATCH#9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</si>
</sst>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1.5</v>
      </c>
    </row>
    <row r="2" spans="1:1" x14ac:dyDescent="0.2">
      <c r="A2">
        <v>1E+20</v>
      </c>
    </row>
    <row r="3" spans="1:1" x14ac:dyDescent="0.2">
      <c r="A3">
        <v>-7</v>
      </c>
    </row>
    <row r="4" spans="1:1" x14ac:dyDescent="0.2">
      <c r="A4" t="b">
        <v>1</v>
      </c>
    </row>
    <row r="6" spans="1:1" x14ac:dyDescent="0.2">
      <c r="A6" t="e">
        <f>NA()</f>
        <v>#N/A</v>
      </c>
    </row>
    <row r="7" spans="1:1" x14ac:dyDescent="0.2">
      <c r="A7" t="s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</v>
      </c>
      <c r="N1">
        <v>10</v>
      </c>
      <c r="P1">
        <v>1</v>
      </c>
      <c r="Q1">
        <v>2</v>
      </c>
      <c r="R1">
        <v>5</v>
      </c>
      <c r="S1">
        <v>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AA1" t="s">
        <v>3</v>
      </c>
      <c r="AB1" t="s">
        <v>4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32</v>
      </c>
      <c r="AU8" s="1">
        <v>39448</v>
      </c>
      <c r="BG8">
        <v>2</v>
      </c>
    </row>
    <row r="9" spans="1:60" x14ac:dyDescent="0.2">
      <c r="A9" t="s">
        <v>33</v>
      </c>
      <c r="I9">
        <v>4200</v>
      </c>
      <c r="J9">
        <v>300</v>
      </c>
      <c r="L9" t="s">
        <v>2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_xlfn.XMATCH("1\.5",Ry!A1:A7,3)</f>
        <v>1</v>
      </c>
      <c r="B1">
        <f t="shared" ref="B1:B9" si="0">IF(ISERROR(A1),ERROR.TYPE(A1),IF(ISNUMBER(A1),0,IF(ISLOGICAL(A1),IF(A1,-1,-2),IF(ISTEXT(A1),-3,-4))))</f>
        <v>0</v>
      </c>
      <c r="C1">
        <f t="shared" ref="C1:C9" si="1">IF(ISNUMBER(A1),A1,0)</f>
        <v>1</v>
      </c>
      <c r="D1" t="str">
        <f t="shared" ref="D1:D9" si="2">IF(ISTEXT(A1),A1,"")</f>
        <v/>
      </c>
      <c r="E1" t="s">
        <v>36</v>
      </c>
    </row>
    <row r="2" spans="1:5" x14ac:dyDescent="0.2">
      <c r="A2" cm="1">
        <f t="array" ref="A2">_xlfn.XMATCH("E\+20",Ry!A1:A7,3)</f>
        <v>2</v>
      </c>
      <c r="B2">
        <f t="shared" si="0"/>
        <v>0</v>
      </c>
      <c r="C2">
        <f t="shared" si="1"/>
        <v>2</v>
      </c>
      <c r="D2" t="str">
        <f t="shared" si="2"/>
        <v/>
      </c>
      <c r="E2" t="s">
        <v>37</v>
      </c>
    </row>
    <row r="3" spans="1:5" x14ac:dyDescent="0.2">
      <c r="A3" cm="1">
        <f t="array" ref="A3">_xlfn.XMATCH("^-",Ry!A1:A7,3)</f>
        <v>3</v>
      </c>
      <c r="B3">
        <f t="shared" si="0"/>
        <v>0</v>
      </c>
      <c r="C3">
        <f t="shared" si="1"/>
        <v>3</v>
      </c>
      <c r="D3" t="str">
        <f t="shared" si="2"/>
        <v/>
      </c>
      <c r="E3" t="s">
        <v>38</v>
      </c>
    </row>
    <row r="4" spans="1:5" x14ac:dyDescent="0.2">
      <c r="A4" cm="1">
        <f t="array" ref="A4">_xlfn.XMATCH("TRUE",Ry!A1:A7,3)</f>
        <v>4</v>
      </c>
      <c r="B4">
        <f t="shared" si="0"/>
        <v>0</v>
      </c>
      <c r="C4">
        <f t="shared" si="1"/>
        <v>4</v>
      </c>
      <c r="D4" t="str">
        <f t="shared" si="2"/>
        <v/>
      </c>
      <c r="E4" t="s">
        <v>39</v>
      </c>
    </row>
    <row r="5" spans="1:5" x14ac:dyDescent="0.2">
      <c r="A5" t="e" cm="1">
        <f t="array" ref="A5">_xlfn.XMATCH("N/A",Ry!A1:A7,3)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40</v>
      </c>
    </row>
    <row r="6" spans="1:5" x14ac:dyDescent="0.2">
      <c r="A6" cm="1">
        <f t="array" ref="A6">_xlfn.XMATCH("^$",Ry!A1:A7,3)</f>
        <v>5</v>
      </c>
      <c r="B6">
        <f t="shared" si="0"/>
        <v>0</v>
      </c>
      <c r="C6">
        <f t="shared" si="1"/>
        <v>5</v>
      </c>
      <c r="D6" t="str">
        <f t="shared" si="2"/>
        <v/>
      </c>
      <c r="E6" t="s">
        <v>41</v>
      </c>
    </row>
    <row r="7" spans="1:5" x14ac:dyDescent="0.2">
      <c r="A7" cm="1">
        <f t="array" ref="A7">_xlfn.XMATCH("d$",Ry!A1:A7,3)</f>
        <v>7</v>
      </c>
      <c r="B7">
        <f t="shared" si="0"/>
        <v>0</v>
      </c>
      <c r="C7">
        <f t="shared" si="1"/>
        <v>7</v>
      </c>
      <c r="D7" t="str">
        <f t="shared" si="2"/>
        <v/>
      </c>
      <c r="E7" t="s">
        <v>42</v>
      </c>
    </row>
    <row r="8" spans="1:5" x14ac:dyDescent="0.2">
      <c r="A8" cm="1">
        <f t="array" ref="A8">_xlfn.XMATCH(1.5,Ry!A1:A7,3)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43</v>
      </c>
    </row>
    <row r="9" spans="1:5" x14ac:dyDescent="0.2">
      <c r="A9" cm="1">
        <f t="array" ref="A9">_xlfn.XMATCH(TRUE,Ry!A1:A7,3)</f>
        <v>4</v>
      </c>
      <c r="B9">
        <f t="shared" si="0"/>
        <v>0</v>
      </c>
      <c r="C9">
        <f t="shared" si="1"/>
        <v>4</v>
      </c>
      <c r="D9" t="str">
        <f t="shared" si="2"/>
        <v/>
      </c>
      <c r="E9" t="s">
        <v>44</v>
      </c>
    </row>
    <row r="10" spans="1:5" x14ac:dyDescent="0.2">
      <c r="A10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Ry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2026-10-17T16:02:33Z</dcterms:created>
  <dcterms:modified xsi:type="dcterms:W3CDTF">2026-10-17T16:02:34Z</dcterms:modified>
  <cp:category/>
</cp:coreProperties>
</file>