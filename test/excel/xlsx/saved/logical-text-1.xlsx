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13374EB5-935B-B241-A3BA-A9C8A6850FB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G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3" l="1" a="1"/>
  <c r="A51" i="3" s="1"/>
  <c r="A50" i="3" a="1"/>
  <c r="A50" i="3" s="1"/>
  <c r="A49" i="3" a="1"/>
  <c r="A49" i="3"/>
  <c r="D49" i="3" s="1"/>
  <c r="A48" i="3" a="1"/>
  <c r="A48" i="3" s="1"/>
  <c r="A47" i="3" a="1"/>
  <c r="A47" i="3"/>
  <c r="D47" i="3" s="1"/>
  <c r="A46" i="3" a="1"/>
  <c r="A46" i="3"/>
  <c r="C46" i="3" s="1"/>
  <c r="A45" i="3" a="1"/>
  <c r="A45" i="3"/>
  <c r="D45" i="3" s="1"/>
  <c r="A44" i="3" a="1"/>
  <c r="A44" i="3"/>
  <c r="C44" i="3" s="1"/>
  <c r="A43" i="3" a="1"/>
  <c r="A43" i="3" s="1"/>
  <c r="C43" i="3" s="1"/>
  <c r="A42" i="3" a="1"/>
  <c r="A42" i="3" s="1"/>
  <c r="C42" i="3" s="1"/>
  <c r="A41" i="3" a="1"/>
  <c r="A41" i="3" s="1"/>
  <c r="A40" i="3" a="1"/>
  <c r="A40" i="3" s="1"/>
  <c r="A39" i="3" a="1"/>
  <c r="A39" i="3"/>
  <c r="B39" i="3" s="1"/>
  <c r="A38" i="3" a="1"/>
  <c r="A38" i="3"/>
  <c r="D38" i="3" s="1"/>
  <c r="A37" i="3" a="1"/>
  <c r="A37" i="3"/>
  <c r="D37" i="3" s="1"/>
  <c r="A36" i="3" a="1"/>
  <c r="A36" i="3"/>
  <c r="C36" i="3" s="1"/>
  <c r="A35" i="3" a="1"/>
  <c r="A35" i="3" s="1"/>
  <c r="C35" i="3" s="1"/>
  <c r="A34" i="3" a="1"/>
  <c r="A34" i="3" s="1"/>
  <c r="C34" i="3" s="1"/>
  <c r="A33" i="3" a="1"/>
  <c r="A33" i="3"/>
  <c r="D33" i="3" s="1"/>
  <c r="A32" i="3" a="1"/>
  <c r="A32" i="3"/>
  <c r="C32" i="3" s="1"/>
  <c r="A31" i="3" a="1"/>
  <c r="A31" i="3"/>
  <c r="D31" i="3" s="1"/>
  <c r="A30" i="3" a="1"/>
  <c r="A30" i="3" s="1"/>
  <c r="A29" i="3" a="1"/>
  <c r="A29" i="3"/>
  <c r="B29" i="3" s="1"/>
  <c r="A28" i="3" a="1"/>
  <c r="A28" i="3" s="1"/>
  <c r="C28" i="3" s="1"/>
  <c r="A27" i="3" a="1"/>
  <c r="A27" i="3"/>
  <c r="B27" i="3" s="1"/>
  <c r="A26" i="3" a="1"/>
  <c r="A26" i="3" s="1"/>
  <c r="A25" i="3" a="1"/>
  <c r="A25" i="3" s="1"/>
  <c r="D25" i="3" s="1"/>
  <c r="A24" i="3" a="1"/>
  <c r="A24" i="3"/>
  <c r="B24" i="3" s="1"/>
  <c r="A23" i="3" a="1"/>
  <c r="A23" i="3" s="1"/>
  <c r="A22" i="3" a="1"/>
  <c r="A22" i="3"/>
  <c r="D22" i="3" s="1"/>
  <c r="A21" i="3" a="1"/>
  <c r="A21" i="3"/>
  <c r="B21" i="3" s="1"/>
  <c r="A20" i="3" a="1"/>
  <c r="A20" i="3"/>
  <c r="D20" i="3" s="1"/>
  <c r="A19" i="3" a="1"/>
  <c r="A19" i="3"/>
  <c r="D19" i="3" s="1"/>
  <c r="A18" i="3" a="1"/>
  <c r="A18" i="3" s="1"/>
  <c r="D18" i="3" s="1"/>
  <c r="A17" i="3" a="1"/>
  <c r="A17" i="3" s="1"/>
  <c r="D17" i="3" s="1"/>
  <c r="A16" i="3" a="1"/>
  <c r="A16" i="3"/>
  <c r="D16" i="3" s="1"/>
  <c r="A15" i="3" a="1"/>
  <c r="A15" i="3"/>
  <c r="D15" i="3" s="1"/>
  <c r="A14" i="3" a="1"/>
  <c r="A14" i="3"/>
  <c r="C14" i="3" s="1"/>
  <c r="A13" i="3" a="1"/>
  <c r="A13" i="3"/>
  <c r="D13" i="3" s="1"/>
  <c r="A12" i="3" a="1"/>
  <c r="A12" i="3" s="1"/>
  <c r="A11" i="3" a="1"/>
  <c r="A11" i="3" s="1"/>
  <c r="A10" i="3" a="1"/>
  <c r="A10" i="3"/>
  <c r="C10" i="3" s="1"/>
  <c r="A9" i="3" a="1"/>
  <c r="A9" i="3"/>
  <c r="C9" i="3" s="1"/>
  <c r="A8" i="3" a="1"/>
  <c r="A8" i="3" s="1"/>
  <c r="A7" i="3" a="1"/>
  <c r="A7" i="3" s="1"/>
  <c r="A6" i="3" a="1"/>
  <c r="A6" i="3"/>
  <c r="C6" i="3" s="1"/>
  <c r="A5" i="3" a="1"/>
  <c r="A5" i="3" s="1"/>
  <c r="A4" i="3" a="1"/>
  <c r="A4" i="3"/>
  <c r="D4" i="3" s="1"/>
  <c r="A3" i="3" a="1"/>
  <c r="A3" i="3"/>
  <c r="B3" i="3" s="1"/>
  <c r="A2" i="3" a="1"/>
  <c r="A2" i="3"/>
  <c r="C2" i="3" s="1"/>
  <c r="A1" i="3" a="1"/>
  <c r="A1" i="3" s="1"/>
  <c r="I15" i="2"/>
  <c r="A14" i="2"/>
  <c r="A13" i="2"/>
  <c r="AL10" i="2"/>
  <c r="A8" i="2"/>
  <c r="A7" i="2"/>
  <c r="E3" i="2"/>
  <c r="B8" i="3" l="1"/>
  <c r="C8" i="3"/>
  <c r="D8" i="3"/>
  <c r="B26" i="3"/>
  <c r="C26" i="3"/>
  <c r="D26" i="3"/>
  <c r="C50" i="3"/>
  <c r="D50" i="3"/>
  <c r="B50" i="3"/>
  <c r="D1" i="3"/>
  <c r="B1" i="3"/>
  <c r="C1" i="3"/>
  <c r="C37" i="3"/>
  <c r="B19" i="3"/>
  <c r="D44" i="3"/>
  <c r="B37" i="3"/>
  <c r="C19" i="3"/>
  <c r="C30" i="3"/>
  <c r="D30" i="3"/>
  <c r="B30" i="3"/>
  <c r="C11" i="3"/>
  <c r="B11" i="3"/>
  <c r="D11" i="3"/>
  <c r="C7" i="3"/>
  <c r="B7" i="3"/>
  <c r="D7" i="3"/>
  <c r="D41" i="3"/>
  <c r="C41" i="3"/>
  <c r="B41" i="3"/>
  <c r="C12" i="3"/>
  <c r="B12" i="3"/>
  <c r="D12" i="3"/>
  <c r="D23" i="3"/>
  <c r="B23" i="3"/>
  <c r="C23" i="3"/>
  <c r="D48" i="3"/>
  <c r="C48" i="3"/>
  <c r="B48" i="3"/>
  <c r="C5" i="3"/>
  <c r="B5" i="3"/>
  <c r="D5" i="3"/>
  <c r="D40" i="3"/>
  <c r="C40" i="3"/>
  <c r="B40" i="3"/>
  <c r="D51" i="3"/>
  <c r="C51" i="3"/>
  <c r="B51" i="3"/>
  <c r="B16" i="3"/>
  <c r="C16" i="3"/>
  <c r="B45" i="3"/>
  <c r="B20" i="3"/>
  <c r="C27" i="3"/>
  <c r="D34" i="3"/>
  <c r="C45" i="3"/>
  <c r="D9" i="3"/>
  <c r="B13" i="3"/>
  <c r="C20" i="3"/>
  <c r="D27" i="3"/>
  <c r="B31" i="3"/>
  <c r="C38" i="3"/>
  <c r="D2" i="3"/>
  <c r="C13" i="3"/>
  <c r="C49" i="3"/>
  <c r="B17" i="3"/>
  <c r="C24" i="3"/>
  <c r="D24" i="3"/>
  <c r="D43" i="3"/>
  <c r="B47" i="3"/>
  <c r="D6" i="3"/>
  <c r="B10" i="3"/>
  <c r="C17" i="3"/>
  <c r="B28" i="3"/>
  <c r="D42" i="3"/>
  <c r="B46" i="3"/>
  <c r="D14" i="3"/>
  <c r="B18" i="3"/>
  <c r="C25" i="3"/>
  <c r="D32" i="3"/>
  <c r="B36" i="3"/>
  <c r="C18" i="3"/>
  <c r="B22" i="3"/>
  <c r="C29" i="3"/>
  <c r="D36" i="3"/>
  <c r="C47" i="3"/>
  <c r="C3" i="3"/>
  <c r="D10" i="3"/>
  <c r="B14" i="3"/>
  <c r="C21" i="3"/>
  <c r="D28" i="3"/>
  <c r="B32" i="3"/>
  <c r="C39" i="3"/>
  <c r="D46" i="3"/>
  <c r="D3" i="3"/>
  <c r="D21" i="3"/>
  <c r="B25" i="3"/>
  <c r="D39" i="3"/>
  <c r="B43" i="3"/>
  <c r="B15" i="3"/>
  <c r="C22" i="3"/>
  <c r="D29" i="3"/>
  <c r="B33" i="3"/>
  <c r="D35" i="3"/>
  <c r="B4" i="3"/>
  <c r="C4" i="3"/>
  <c r="C15" i="3"/>
  <c r="C33" i="3"/>
  <c r="B44" i="3"/>
  <c r="B34" i="3"/>
  <c r="B9" i="3"/>
  <c r="B2" i="3"/>
  <c r="B38" i="3"/>
  <c r="B49" i="3"/>
  <c r="B6" i="3"/>
  <c r="C31" i="3"/>
  <c r="B42" i="3"/>
  <c r="B3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<sst xmlns="http://schemas.openxmlformats.org/spreadsheetml/2006/main" count="114" uniqueCount="91">
  <si>
    <t>TRUE</t>
  </si>
  <si>
    <t>ИСТИНА</t>
  </si>
  <si>
    <t>FALSE</t>
  </si>
  <si>
    <t>ЛОЖЬ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</si>
  <si>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</si>
  <si>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</si>
  <si>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</si>
  <si>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</si>
  <si>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</si>
  <si>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</si>
  <si>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</si>
  <si>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</si>
  <si>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</si>
  <si>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</si>
  <si>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</si>
  <si>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</si>
  <si>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</si>
  <si>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</si>
  <si>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</si>
  <si>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</si>
  <si>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</si>
  <si>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</si>
  <si>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</si>
  <si>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</si>
  <si>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</si>
  <si>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</si>
  <si>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</si>
  <si>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</si>
  <si>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</si>
  <si>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</si>
  <si>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</si>
  <si>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</si>
  <si>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</si>
  <si>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</si>
  <si>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</si>
  <si>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</si>
  <si>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</si>
  <si>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</si>
  <si>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</si>
  <si>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AND#1</t>
  </si>
  <si>
    <t>AND#2</t>
  </si>
  <si>
    <t>AND#3</t>
  </si>
  <si>
    <t>AND#4</t>
  </si>
  <si>
    <t>AND#5</t>
  </si>
  <si>
    <t>AND#6</t>
  </si>
  <si>
    <t>AND#7</t>
  </si>
  <si>
    <t>AND#8</t>
  </si>
  <si>
    <t>AND#9</t>
  </si>
  <si>
    <t>AND#10</t>
  </si>
  <si>
    <t>AND#11</t>
  </si>
  <si>
    <t>AND#12</t>
  </si>
  <si>
    <t>AND#13</t>
  </si>
  <si>
    <t>AND#14</t>
  </si>
  <si>
    <t>AND#15</t>
  </si>
  <si>
    <t>AND#16</t>
  </si>
  <si>
    <t>AND#17</t>
  </si>
  <si>
    <t>OR#1</t>
  </si>
  <si>
    <t>OR#2</t>
  </si>
  <si>
    <t>OR#3</t>
  </si>
  <si>
    <t>OR#4</t>
  </si>
  <si>
    <t>OR#5</t>
  </si>
  <si>
    <t>OR#6</t>
  </si>
  <si>
    <t>OR#7</t>
  </si>
  <si>
    <t>OR#8</t>
  </si>
  <si>
    <t>OR#9</t>
  </si>
  <si>
    <t>OR#10</t>
  </si>
  <si>
    <t>OR#11</t>
  </si>
  <si>
    <t>OR#12</t>
  </si>
  <si>
    <t>OR#13</t>
  </si>
  <si>
    <t>OR#14</t>
  </si>
  <si>
    <t>OR#15</t>
  </si>
  <si>
    <t>OR#16</t>
  </si>
  <si>
    <t>OR#17</t>
  </si>
  <si>
    <t>XOR#1</t>
  </si>
  <si>
    <t>XOR#2</t>
  </si>
  <si>
    <t>XOR#3</t>
  </si>
  <si>
    <t>XOR#4</t>
  </si>
  <si>
    <t>XOR#5</t>
  </si>
  <si>
    <t>XOR#6</t>
  </si>
  <si>
    <t>XOR#7</t>
  </si>
  <si>
    <t>XOR#8</t>
  </si>
  <si>
    <t>XOR#9</t>
  </si>
  <si>
    <t>XOR#10</t>
  </si>
  <si>
    <t>XOR#11</t>
  </si>
  <si>
    <t>XOR#12</t>
  </si>
  <si>
    <t>XOR#13</t>
  </si>
  <si>
    <t>XOR#14</t>
  </si>
  <si>
    <t>XOR#15</t>
  </si>
  <si>
    <t>XOR#16</t>
  </si>
  <si>
    <t>XOR#17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</si>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</sst>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4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5</v>
      </c>
      <c r="N1">
        <v>10</v>
      </c>
      <c r="P1">
        <v>1</v>
      </c>
      <c r="Q1">
        <v>2</v>
      </c>
      <c r="R1">
        <v>5</v>
      </c>
      <c r="S1">
        <v>6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AA1" t="s">
        <v>6</v>
      </c>
      <c r="AB1" t="s">
        <v>7</v>
      </c>
      <c r="AC1" t="s">
        <v>6</v>
      </c>
      <c r="AD1" t="s">
        <v>6</v>
      </c>
      <c r="AE1" t="s">
        <v>6</v>
      </c>
      <c r="AF1" t="s">
        <v>6</v>
      </c>
      <c r="AG1" t="s">
        <v>6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11</v>
      </c>
    </row>
    <row r="2" spans="1:60" x14ac:dyDescent="0.2">
      <c r="A2" t="s">
        <v>12</v>
      </c>
      <c r="B2">
        <v>8</v>
      </c>
      <c r="C2">
        <v>7</v>
      </c>
      <c r="D2" t="s">
        <v>12</v>
      </c>
      <c r="E2">
        <v>2</v>
      </c>
      <c r="F2" t="s">
        <v>13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14</v>
      </c>
      <c r="N2">
        <v>20</v>
      </c>
      <c r="P2">
        <v>3</v>
      </c>
      <c r="Q2">
        <v>4</v>
      </c>
      <c r="R2">
        <v>7</v>
      </c>
      <c r="S2">
        <v>8</v>
      </c>
      <c r="U2" t="s">
        <v>15</v>
      </c>
      <c r="V2">
        <v>18</v>
      </c>
      <c r="W2">
        <v>20</v>
      </c>
      <c r="X2">
        <v>14</v>
      </c>
      <c r="Y2">
        <v>105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21</v>
      </c>
      <c r="B3">
        <v>15</v>
      </c>
      <c r="C3">
        <v>11</v>
      </c>
      <c r="D3" t="s">
        <v>21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17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19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11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15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17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15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5</v>
      </c>
      <c r="M9" t="s">
        <v>14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workbookViewId="0"/>
  </sheetViews>
  <sheetFormatPr baseColWidth="10" defaultColWidth="8.83203125" defaultRowHeight="15" x14ac:dyDescent="0.2"/>
  <sheetData>
    <row r="1" spans="1:5" x14ac:dyDescent="0.2">
      <c r="A1" t="b" cm="1">
        <f t="array" ref="A1">AND("TRUE")</f>
        <v>1</v>
      </c>
      <c r="B1">
        <f t="shared" ref="B1:B32" si="0">IF(ISERROR(A1),ERROR.TYPE(A1),IF(ISNUMBER(A1),0,IF(ISLOGICAL(A1),IF(A1,-1,-2),IF(ISTEXT(A1),-3,-4))))</f>
        <v>-1</v>
      </c>
      <c r="C1">
        <f t="shared" ref="C1:C32" si="1">IF(ISNUMBER(A1),A1,0)</f>
        <v>0</v>
      </c>
      <c r="D1" t="str">
        <f t="shared" ref="D1:D32" si="2">IF(ISTEXT(A1),A1,"")</f>
        <v/>
      </c>
      <c r="E1" t="s">
        <v>39</v>
      </c>
    </row>
    <row r="2" spans="1:5" x14ac:dyDescent="0.2">
      <c r="A2" t="b" cm="1">
        <f t="array" ref="A2">AND("true")</f>
        <v>1</v>
      </c>
      <c r="B2">
        <f t="shared" si="0"/>
        <v>-1</v>
      </c>
      <c r="C2">
        <f t="shared" si="1"/>
        <v>0</v>
      </c>
      <c r="D2" t="str">
        <f t="shared" si="2"/>
        <v/>
      </c>
      <c r="E2" t="s">
        <v>40</v>
      </c>
    </row>
    <row r="3" spans="1:5" x14ac:dyDescent="0.2">
      <c r="A3" t="b" cm="1">
        <f t="array" ref="A3">AND("FALSE")</f>
        <v>0</v>
      </c>
      <c r="B3">
        <f t="shared" si="0"/>
        <v>-2</v>
      </c>
      <c r="C3">
        <f t="shared" si="1"/>
        <v>0</v>
      </c>
      <c r="D3" t="str">
        <f t="shared" si="2"/>
        <v/>
      </c>
      <c r="E3" t="s">
        <v>41</v>
      </c>
    </row>
    <row r="4" spans="1:5" x14ac:dyDescent="0.2">
      <c r="A4" t="e" cm="1">
        <f t="array" ref="A4">AND("ИСТИНА")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42</v>
      </c>
    </row>
    <row r="5" spans="1:5" x14ac:dyDescent="0.2">
      <c r="A5" t="e" cm="1">
        <f t="array" ref="A5">AND("истина")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43</v>
      </c>
    </row>
    <row r="6" spans="1:5" x14ac:dyDescent="0.2">
      <c r="A6" t="e" cm="1">
        <f t="array" ref="A6">AND("ЛОЖЬ")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44</v>
      </c>
    </row>
    <row r="7" spans="1:5" x14ac:dyDescent="0.2">
      <c r="A7" t="e" cm="1">
        <f t="array" ref="A7">AND(" TRUE")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45</v>
      </c>
    </row>
    <row r="8" spans="1:5" x14ac:dyDescent="0.2">
      <c r="A8" t="b" cm="1">
        <f t="array" ref="A8">AND("TRUE",FALSE)</f>
        <v>0</v>
      </c>
      <c r="B8">
        <f t="shared" si="0"/>
        <v>-2</v>
      </c>
      <c r="C8">
        <f t="shared" si="1"/>
        <v>0</v>
      </c>
      <c r="D8" t="str">
        <f t="shared" si="2"/>
        <v/>
      </c>
      <c r="E8" t="s">
        <v>46</v>
      </c>
    </row>
    <row r="9" spans="1:5" x14ac:dyDescent="0.2">
      <c r="A9" t="b" cm="1">
        <f t="array" ref="A9">AND("FALSE",TRUE)</f>
        <v>0</v>
      </c>
      <c r="B9">
        <f t="shared" si="0"/>
        <v>-2</v>
      </c>
      <c r="C9">
        <f t="shared" si="1"/>
        <v>0</v>
      </c>
      <c r="D9" t="str">
        <f t="shared" si="2"/>
        <v/>
      </c>
      <c r="E9" t="s">
        <v>47</v>
      </c>
    </row>
    <row r="10" spans="1:5" x14ac:dyDescent="0.2">
      <c r="A10" t="b" cm="1">
        <f t="array" ref="A10">AND("ИСТИНА",FALSE)</f>
        <v>0</v>
      </c>
      <c r="B10">
        <f t="shared" si="0"/>
        <v>-2</v>
      </c>
      <c r="C10">
        <f t="shared" si="1"/>
        <v>0</v>
      </c>
      <c r="D10" t="str">
        <f t="shared" si="2"/>
        <v/>
      </c>
      <c r="E10" t="s">
        <v>48</v>
      </c>
    </row>
    <row r="11" spans="1:5" x14ac:dyDescent="0.2">
      <c r="A11" t="b" cm="1">
        <f t="array" ref="A11">AND("ЛОЖЬ",TRUE)</f>
        <v>1</v>
      </c>
      <c r="B11">
        <f t="shared" si="0"/>
        <v>-1</v>
      </c>
      <c r="C11">
        <f t="shared" si="1"/>
        <v>0</v>
      </c>
      <c r="D11" t="str">
        <f t="shared" si="2"/>
        <v/>
      </c>
      <c r="E11" t="s">
        <v>49</v>
      </c>
    </row>
    <row r="12" spans="1:5" x14ac:dyDescent="0.2">
      <c r="A12" t="e" cm="1">
        <f t="array" ref="A12">AND(G!A1)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50</v>
      </c>
    </row>
    <row r="13" spans="1:5" x14ac:dyDescent="0.2">
      <c r="A13" t="e" cm="1">
        <f t="array" ref="A13">AND(G!A2)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51</v>
      </c>
    </row>
    <row r="14" spans="1:5" x14ac:dyDescent="0.2">
      <c r="A14" t="e" cm="1">
        <f t="array" ref="A14">AND(G!A1:A4)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52</v>
      </c>
    </row>
    <row r="15" spans="1:5" x14ac:dyDescent="0.2">
      <c r="A15" t="b" cm="1">
        <f t="array" ref="A15">AND(G!A1,TRUE)</f>
        <v>1</v>
      </c>
      <c r="B15">
        <f t="shared" si="0"/>
        <v>-1</v>
      </c>
      <c r="C15">
        <f t="shared" si="1"/>
        <v>0</v>
      </c>
      <c r="D15" t="str">
        <f t="shared" si="2"/>
        <v/>
      </c>
      <c r="E15" t="s">
        <v>53</v>
      </c>
    </row>
    <row r="16" spans="1:5" x14ac:dyDescent="0.2">
      <c r="A16" t="e" cm="1">
        <f t="array" ref="A16">AND({"TRUE"})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54</v>
      </c>
    </row>
    <row r="17" spans="1:5" x14ac:dyDescent="0.2">
      <c r="A17" t="b" cm="1">
        <f t="array" ref="A17">AND({"ИСТИНА",TRUE})</f>
        <v>1</v>
      </c>
      <c r="B17">
        <f t="shared" si="0"/>
        <v>-1</v>
      </c>
      <c r="C17">
        <f t="shared" si="1"/>
        <v>0</v>
      </c>
      <c r="D17" t="str">
        <f t="shared" si="2"/>
        <v/>
      </c>
      <c r="E17" t="s">
        <v>55</v>
      </c>
    </row>
    <row r="18" spans="1:5" x14ac:dyDescent="0.2">
      <c r="A18" t="b" cm="1">
        <f t="array" ref="A18">OR("TRUE")</f>
        <v>1</v>
      </c>
      <c r="B18">
        <f t="shared" si="0"/>
        <v>-1</v>
      </c>
      <c r="C18">
        <f t="shared" si="1"/>
        <v>0</v>
      </c>
      <c r="D18" t="str">
        <f t="shared" si="2"/>
        <v/>
      </c>
      <c r="E18" t="s">
        <v>56</v>
      </c>
    </row>
    <row r="19" spans="1:5" x14ac:dyDescent="0.2">
      <c r="A19" t="b" cm="1">
        <f t="array" ref="A19">OR("true")</f>
        <v>1</v>
      </c>
      <c r="B19">
        <f t="shared" si="0"/>
        <v>-1</v>
      </c>
      <c r="C19">
        <f t="shared" si="1"/>
        <v>0</v>
      </c>
      <c r="D19" t="str">
        <f t="shared" si="2"/>
        <v/>
      </c>
      <c r="E19" t="s">
        <v>57</v>
      </c>
    </row>
    <row r="20" spans="1:5" x14ac:dyDescent="0.2">
      <c r="A20" t="b" cm="1">
        <f t="array" ref="A20">OR("FALSE")</f>
        <v>0</v>
      </c>
      <c r="B20">
        <f t="shared" si="0"/>
        <v>-2</v>
      </c>
      <c r="C20">
        <f t="shared" si="1"/>
        <v>0</v>
      </c>
      <c r="D20" t="str">
        <f t="shared" si="2"/>
        <v/>
      </c>
      <c r="E20" t="s">
        <v>58</v>
      </c>
    </row>
    <row r="21" spans="1:5" x14ac:dyDescent="0.2">
      <c r="A21" t="e" cm="1">
        <f t="array" ref="A21">OR("ИСТИНА")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59</v>
      </c>
    </row>
    <row r="22" spans="1:5" x14ac:dyDescent="0.2">
      <c r="A22" t="e" cm="1">
        <f t="array" ref="A22">OR("истина")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60</v>
      </c>
    </row>
    <row r="23" spans="1:5" x14ac:dyDescent="0.2">
      <c r="A23" t="e" cm="1">
        <f t="array" ref="A23">OR("ЛОЖЬ")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61</v>
      </c>
    </row>
    <row r="24" spans="1:5" x14ac:dyDescent="0.2">
      <c r="A24" t="e" cm="1">
        <f t="array" ref="A24">OR(" TRUE")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62</v>
      </c>
    </row>
    <row r="25" spans="1:5" x14ac:dyDescent="0.2">
      <c r="A25" t="b" cm="1">
        <f t="array" ref="A25">OR("TRUE",FALSE)</f>
        <v>1</v>
      </c>
      <c r="B25">
        <f t="shared" si="0"/>
        <v>-1</v>
      </c>
      <c r="C25">
        <f t="shared" si="1"/>
        <v>0</v>
      </c>
      <c r="D25" t="str">
        <f t="shared" si="2"/>
        <v/>
      </c>
      <c r="E25" t="s">
        <v>63</v>
      </c>
    </row>
    <row r="26" spans="1:5" x14ac:dyDescent="0.2">
      <c r="A26" t="b" cm="1">
        <f t="array" ref="A26">OR("FALSE",TRUE)</f>
        <v>1</v>
      </c>
      <c r="B26">
        <f t="shared" si="0"/>
        <v>-1</v>
      </c>
      <c r="C26">
        <f t="shared" si="1"/>
        <v>0</v>
      </c>
      <c r="D26" t="str">
        <f t="shared" si="2"/>
        <v/>
      </c>
      <c r="E26" t="s">
        <v>64</v>
      </c>
    </row>
    <row r="27" spans="1:5" x14ac:dyDescent="0.2">
      <c r="A27" t="b" cm="1">
        <f t="array" ref="A27">OR("ИСТИНА",FALSE)</f>
        <v>0</v>
      </c>
      <c r="B27">
        <f t="shared" si="0"/>
        <v>-2</v>
      </c>
      <c r="C27">
        <f t="shared" si="1"/>
        <v>0</v>
      </c>
      <c r="D27" t="str">
        <f t="shared" si="2"/>
        <v/>
      </c>
      <c r="E27" t="s">
        <v>65</v>
      </c>
    </row>
    <row r="28" spans="1:5" x14ac:dyDescent="0.2">
      <c r="A28" t="b" cm="1">
        <f t="array" ref="A28">OR("ЛОЖЬ",TRUE)</f>
        <v>1</v>
      </c>
      <c r="B28">
        <f t="shared" si="0"/>
        <v>-1</v>
      </c>
      <c r="C28">
        <f t="shared" si="1"/>
        <v>0</v>
      </c>
      <c r="D28" t="str">
        <f t="shared" si="2"/>
        <v/>
      </c>
      <c r="E28" t="s">
        <v>66</v>
      </c>
    </row>
    <row r="29" spans="1:5" x14ac:dyDescent="0.2">
      <c r="A29" t="e" cm="1">
        <f t="array" ref="A29">OR(G!A1)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67</v>
      </c>
    </row>
    <row r="30" spans="1:5" x14ac:dyDescent="0.2">
      <c r="A30" t="e" cm="1">
        <f t="array" ref="A30">OR(G!A2)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68</v>
      </c>
    </row>
    <row r="31" spans="1:5" x14ac:dyDescent="0.2">
      <c r="A31" t="e" cm="1">
        <f t="array" ref="A31">OR(G!A1:A4)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69</v>
      </c>
    </row>
    <row r="32" spans="1:5" x14ac:dyDescent="0.2">
      <c r="A32" t="b" cm="1">
        <f t="array" ref="A32">OR(G!A1,TRUE)</f>
        <v>1</v>
      </c>
      <c r="B32">
        <f t="shared" si="0"/>
        <v>-1</v>
      </c>
      <c r="C32">
        <f t="shared" si="1"/>
        <v>0</v>
      </c>
      <c r="D32" t="str">
        <f t="shared" si="2"/>
        <v/>
      </c>
      <c r="E32" t="s">
        <v>70</v>
      </c>
    </row>
    <row r="33" spans="1:5" x14ac:dyDescent="0.2">
      <c r="A33" t="e" cm="1">
        <f t="array" ref="A33">OR({"TRUE"})</f>
        <v>#VALUE!</v>
      </c>
      <c r="B33">
        <f t="shared" ref="B33:B64" si="3">IF(ISERROR(A33),ERROR.TYPE(A33),IF(ISNUMBER(A33),0,IF(ISLOGICAL(A33),IF(A33,-1,-2),IF(ISTEXT(A33),-3,-4))))</f>
        <v>3</v>
      </c>
      <c r="C33">
        <f t="shared" ref="C33:C51" si="4">IF(ISNUMBER(A33),A33,0)</f>
        <v>0</v>
      </c>
      <c r="D33" t="str">
        <f t="shared" ref="D33:D51" si="5">IF(ISTEXT(A33),A33,"")</f>
        <v/>
      </c>
      <c r="E33" t="s">
        <v>71</v>
      </c>
    </row>
    <row r="34" spans="1:5" x14ac:dyDescent="0.2">
      <c r="A34" t="b" cm="1">
        <f t="array" ref="A34">OR({"ИСТИНА",TRUE})</f>
        <v>1</v>
      </c>
      <c r="B34">
        <f t="shared" si="3"/>
        <v>-1</v>
      </c>
      <c r="C34">
        <f t="shared" si="4"/>
        <v>0</v>
      </c>
      <c r="D34" t="str">
        <f t="shared" si="5"/>
        <v/>
      </c>
      <c r="E34" t="s">
        <v>72</v>
      </c>
    </row>
    <row r="35" spans="1:5" x14ac:dyDescent="0.2">
      <c r="A35" t="b" cm="1">
        <f t="array" ref="A35">_xlfn.XOR("TRUE")</f>
        <v>1</v>
      </c>
      <c r="B35">
        <f t="shared" si="3"/>
        <v>-1</v>
      </c>
      <c r="C35">
        <f t="shared" si="4"/>
        <v>0</v>
      </c>
      <c r="D35" t="str">
        <f t="shared" si="5"/>
        <v/>
      </c>
      <c r="E35" t="s">
        <v>73</v>
      </c>
    </row>
    <row r="36" spans="1:5" x14ac:dyDescent="0.2">
      <c r="A36" t="b" cm="1">
        <f t="array" ref="A36">_xlfn.XOR("true")</f>
        <v>1</v>
      </c>
      <c r="B36">
        <f t="shared" si="3"/>
        <v>-1</v>
      </c>
      <c r="C36">
        <f t="shared" si="4"/>
        <v>0</v>
      </c>
      <c r="D36" t="str">
        <f t="shared" si="5"/>
        <v/>
      </c>
      <c r="E36" t="s">
        <v>74</v>
      </c>
    </row>
    <row r="37" spans="1:5" x14ac:dyDescent="0.2">
      <c r="A37" t="b" cm="1">
        <f t="array" ref="A37">_xlfn.XOR("FALSE")</f>
        <v>0</v>
      </c>
      <c r="B37">
        <f t="shared" si="3"/>
        <v>-2</v>
      </c>
      <c r="C37">
        <f t="shared" si="4"/>
        <v>0</v>
      </c>
      <c r="D37" t="str">
        <f t="shared" si="5"/>
        <v/>
      </c>
      <c r="E37" t="s">
        <v>75</v>
      </c>
    </row>
    <row r="38" spans="1:5" x14ac:dyDescent="0.2">
      <c r="A38" t="e" cm="1">
        <f t="array" ref="A38">_xlfn.XOR("ИСТИНА")</f>
        <v>#VALUE!</v>
      </c>
      <c r="B38">
        <f t="shared" si="3"/>
        <v>3</v>
      </c>
      <c r="C38">
        <f t="shared" si="4"/>
        <v>0</v>
      </c>
      <c r="D38" t="str">
        <f t="shared" si="5"/>
        <v/>
      </c>
      <c r="E38" t="s">
        <v>76</v>
      </c>
    </row>
    <row r="39" spans="1:5" x14ac:dyDescent="0.2">
      <c r="A39" t="e" cm="1">
        <f t="array" ref="A39">_xlfn.XOR("истина")</f>
        <v>#VALUE!</v>
      </c>
      <c r="B39">
        <f t="shared" si="3"/>
        <v>3</v>
      </c>
      <c r="C39">
        <f t="shared" si="4"/>
        <v>0</v>
      </c>
      <c r="D39" t="str">
        <f t="shared" si="5"/>
        <v/>
      </c>
      <c r="E39" t="s">
        <v>77</v>
      </c>
    </row>
    <row r="40" spans="1:5" x14ac:dyDescent="0.2">
      <c r="A40" t="e" cm="1">
        <f t="array" ref="A40">_xlfn.XOR("ЛОЖЬ")</f>
        <v>#VALUE!</v>
      </c>
      <c r="B40">
        <f t="shared" si="3"/>
        <v>3</v>
      </c>
      <c r="C40">
        <f t="shared" si="4"/>
        <v>0</v>
      </c>
      <c r="D40" t="str">
        <f t="shared" si="5"/>
        <v/>
      </c>
      <c r="E40" t="s">
        <v>78</v>
      </c>
    </row>
    <row r="41" spans="1:5" x14ac:dyDescent="0.2">
      <c r="A41" t="e" cm="1">
        <f t="array" ref="A41">_xlfn.XOR(" TRUE")</f>
        <v>#VALUE!</v>
      </c>
      <c r="B41">
        <f t="shared" si="3"/>
        <v>3</v>
      </c>
      <c r="C41">
        <f t="shared" si="4"/>
        <v>0</v>
      </c>
      <c r="D41" t="str">
        <f t="shared" si="5"/>
        <v/>
      </c>
      <c r="E41" t="s">
        <v>79</v>
      </c>
    </row>
    <row r="42" spans="1:5" x14ac:dyDescent="0.2">
      <c r="A42" t="b" cm="1">
        <f t="array" ref="A42">_xlfn.XOR("TRUE",FALSE)</f>
        <v>1</v>
      </c>
      <c r="B42">
        <f t="shared" si="3"/>
        <v>-1</v>
      </c>
      <c r="C42">
        <f t="shared" si="4"/>
        <v>0</v>
      </c>
      <c r="D42" t="str">
        <f t="shared" si="5"/>
        <v/>
      </c>
      <c r="E42" t="s">
        <v>80</v>
      </c>
    </row>
    <row r="43" spans="1:5" x14ac:dyDescent="0.2">
      <c r="A43" t="b" cm="1">
        <f t="array" ref="A43">_xlfn.XOR("FALSE",TRUE)</f>
        <v>1</v>
      </c>
      <c r="B43">
        <f t="shared" si="3"/>
        <v>-1</v>
      </c>
      <c r="C43">
        <f t="shared" si="4"/>
        <v>0</v>
      </c>
      <c r="D43" t="str">
        <f t="shared" si="5"/>
        <v/>
      </c>
      <c r="E43" t="s">
        <v>81</v>
      </c>
    </row>
    <row r="44" spans="1:5" x14ac:dyDescent="0.2">
      <c r="A44" t="b" cm="1">
        <f t="array" ref="A44">_xlfn.XOR("ИСТИНА",FALSE)</f>
        <v>0</v>
      </c>
      <c r="B44">
        <f t="shared" si="3"/>
        <v>-2</v>
      </c>
      <c r="C44">
        <f t="shared" si="4"/>
        <v>0</v>
      </c>
      <c r="D44" t="str">
        <f t="shared" si="5"/>
        <v/>
      </c>
      <c r="E44" t="s">
        <v>82</v>
      </c>
    </row>
    <row r="45" spans="1:5" x14ac:dyDescent="0.2">
      <c r="A45" t="b" cm="1">
        <f t="array" ref="A45">_xlfn.XOR("ЛОЖЬ",TRUE)</f>
        <v>1</v>
      </c>
      <c r="B45">
        <f t="shared" si="3"/>
        <v>-1</v>
      </c>
      <c r="C45">
        <f t="shared" si="4"/>
        <v>0</v>
      </c>
      <c r="D45" t="str">
        <f t="shared" si="5"/>
        <v/>
      </c>
      <c r="E45" t="s">
        <v>83</v>
      </c>
    </row>
    <row r="46" spans="1:5" x14ac:dyDescent="0.2">
      <c r="A46" t="e" cm="1">
        <f t="array" ref="A46">_xlfn.XOR(G!A1)</f>
        <v>#VALUE!</v>
      </c>
      <c r="B46">
        <f t="shared" si="3"/>
        <v>3</v>
      </c>
      <c r="C46">
        <f t="shared" si="4"/>
        <v>0</v>
      </c>
      <c r="D46" t="str">
        <f t="shared" si="5"/>
        <v/>
      </c>
      <c r="E46" t="s">
        <v>84</v>
      </c>
    </row>
    <row r="47" spans="1:5" x14ac:dyDescent="0.2">
      <c r="A47" t="e" cm="1">
        <f t="array" ref="A47">_xlfn.XOR(G!A2)</f>
        <v>#VALUE!</v>
      </c>
      <c r="B47">
        <f t="shared" si="3"/>
        <v>3</v>
      </c>
      <c r="C47">
        <f t="shared" si="4"/>
        <v>0</v>
      </c>
      <c r="D47" t="str">
        <f t="shared" si="5"/>
        <v/>
      </c>
      <c r="E47" t="s">
        <v>85</v>
      </c>
    </row>
    <row r="48" spans="1:5" x14ac:dyDescent="0.2">
      <c r="A48" t="e" cm="1">
        <f t="array" ref="A48">_xlfn.XOR(G!A1:A4)</f>
        <v>#VALUE!</v>
      </c>
      <c r="B48">
        <f t="shared" si="3"/>
        <v>3</v>
      </c>
      <c r="C48">
        <f t="shared" si="4"/>
        <v>0</v>
      </c>
      <c r="D48" t="str">
        <f t="shared" si="5"/>
        <v/>
      </c>
      <c r="E48" t="s">
        <v>86</v>
      </c>
    </row>
    <row r="49" spans="1:5" x14ac:dyDescent="0.2">
      <c r="A49" t="b" cm="1">
        <f t="array" ref="A49">_xlfn.XOR(G!A1,TRUE)</f>
        <v>1</v>
      </c>
      <c r="B49">
        <f t="shared" si="3"/>
        <v>-1</v>
      </c>
      <c r="C49">
        <f t="shared" si="4"/>
        <v>0</v>
      </c>
      <c r="D49" t="str">
        <f t="shared" si="5"/>
        <v/>
      </c>
      <c r="E49" t="s">
        <v>87</v>
      </c>
    </row>
    <row r="50" spans="1:5" x14ac:dyDescent="0.2">
      <c r="A50" t="e" cm="1">
        <f t="array" ref="A50">_xlfn.XOR({"TRUE"})</f>
        <v>#VALUE!</v>
      </c>
      <c r="B50">
        <f t="shared" si="3"/>
        <v>3</v>
      </c>
      <c r="C50">
        <f t="shared" si="4"/>
        <v>0</v>
      </c>
      <c r="D50" t="str">
        <f t="shared" si="5"/>
        <v/>
      </c>
      <c r="E50" t="s">
        <v>88</v>
      </c>
    </row>
    <row r="51" spans="1:5" x14ac:dyDescent="0.2">
      <c r="A51" t="b" cm="1">
        <f t="array" ref="A51">_xlfn.XOR({"ИСТИНА",TRUE})</f>
        <v>1</v>
      </c>
      <c r="B51">
        <f t="shared" si="3"/>
        <v>-1</v>
      </c>
      <c r="C51">
        <f t="shared" si="4"/>
        <v>0</v>
      </c>
      <c r="D51" t="str">
        <f t="shared" si="5"/>
        <v/>
      </c>
      <c r="E51" t="s">
        <v>89</v>
      </c>
    </row>
    <row r="52" spans="1:5" x14ac:dyDescent="0.2">
      <c r="A52" t="s">
        <v>90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2026-10-07T05:15:49Z</dcterms:created>
  <dcterms:modified xsi:type="dcterms:W3CDTF">2026-10-07T05:15:49Z</dcterms:modified>
  <cp:category/>
</cp:coreProperties>
</file>