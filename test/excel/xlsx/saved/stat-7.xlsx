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550917B7-94C0-5E40-8BD4-9E36C00D21A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D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8" i="3" l="1" a="1"/>
  <c r="A278" i="3" s="1"/>
  <c r="A277" i="3" a="1"/>
  <c r="A277" i="3" s="1"/>
  <c r="A276" i="3" a="1"/>
  <c r="A276" i="3" s="1"/>
  <c r="A275" i="3" a="1"/>
  <c r="A275" i="3" s="1"/>
  <c r="A274" i="3" a="1"/>
  <c r="A274" i="3" s="1"/>
  <c r="A273" i="3" a="1"/>
  <c r="A273" i="3" s="1"/>
  <c r="A272" i="3" a="1"/>
  <c r="A272" i="3" s="1"/>
  <c r="A271" i="3" a="1"/>
  <c r="A271" i="3" s="1"/>
  <c r="B271" i="3" s="1"/>
  <c r="A270" i="3" a="1"/>
  <c r="A270" i="3" s="1"/>
  <c r="A269" i="3" a="1"/>
  <c r="A269" i="3" s="1"/>
  <c r="A268" i="3" a="1"/>
  <c r="A268" i="3" s="1"/>
  <c r="A267" i="3" a="1"/>
  <c r="A267" i="3"/>
  <c r="D267" i="3" s="1"/>
  <c r="A266" i="3" a="1"/>
  <c r="A266" i="3" s="1"/>
  <c r="A265" i="3" a="1"/>
  <c r="A265" i="3"/>
  <c r="D265" i="3" s="1"/>
  <c r="C264" i="3"/>
  <c r="B264" i="3"/>
  <c r="A264" i="3" a="1"/>
  <c r="A264" i="3"/>
  <c r="D264" i="3" s="1"/>
  <c r="A263" i="3" a="1"/>
  <c r="A263" i="3"/>
  <c r="D263" i="3" s="1"/>
  <c r="A262" i="3" a="1"/>
  <c r="A262" i="3" s="1"/>
  <c r="A261" i="3" a="1"/>
  <c r="A261" i="3"/>
  <c r="C261" i="3" s="1"/>
  <c r="A260" i="3" a="1"/>
  <c r="A260" i="3" s="1"/>
  <c r="C260" i="3" s="1"/>
  <c r="A259" i="3" a="1"/>
  <c r="A259" i="3" s="1"/>
  <c r="A258" i="3" a="1"/>
  <c r="A258" i="3" s="1"/>
  <c r="B258" i="3" s="1"/>
  <c r="A257" i="3" a="1"/>
  <c r="A257" i="3" s="1"/>
  <c r="C257" i="3" s="1"/>
  <c r="C256" i="3"/>
  <c r="A256" i="3" a="1"/>
  <c r="A256" i="3" s="1"/>
  <c r="B256" i="3" s="1"/>
  <c r="A255" i="3" a="1"/>
  <c r="A255" i="3" s="1"/>
  <c r="B255" i="3" s="1"/>
  <c r="A254" i="3" a="1"/>
  <c r="A254" i="3" s="1"/>
  <c r="B254" i="3" s="1"/>
  <c r="A253" i="3" a="1"/>
  <c r="A253" i="3"/>
  <c r="B253" i="3" s="1"/>
  <c r="A252" i="3" a="1"/>
  <c r="A252" i="3" s="1"/>
  <c r="A251" i="3" a="1"/>
  <c r="A251" i="3" s="1"/>
  <c r="A249" i="3" a="1"/>
  <c r="A249" i="3" s="1"/>
  <c r="A248" i="3" a="1"/>
  <c r="A248" i="3"/>
  <c r="D248" i="3" s="1"/>
  <c r="A247" i="3" a="1"/>
  <c r="A247" i="3"/>
  <c r="D247" i="3" s="1"/>
  <c r="A246" i="3" a="1"/>
  <c r="A246" i="3" s="1"/>
  <c r="D246" i="3" s="1"/>
  <c r="A245" i="3" a="1"/>
  <c r="A245" i="3"/>
  <c r="D245" i="3" s="1"/>
  <c r="A244" i="3" a="1"/>
  <c r="A244" i="3"/>
  <c r="A243" i="3" a="1"/>
  <c r="A243" i="3"/>
  <c r="C243" i="3" s="1"/>
  <c r="A242" i="3" a="1"/>
  <c r="A242" i="3" s="1"/>
  <c r="C242" i="3" s="1"/>
  <c r="B241" i="3"/>
  <c r="A241" i="3" a="1"/>
  <c r="A241" i="3" s="1"/>
  <c r="A240" i="3" a="1"/>
  <c r="A240" i="3" s="1"/>
  <c r="A239" i="3" a="1"/>
  <c r="A239" i="3" s="1"/>
  <c r="C239" i="3" s="1"/>
  <c r="A238" i="3" a="1"/>
  <c r="A238" i="3" s="1"/>
  <c r="B238" i="3" s="1"/>
  <c r="A237" i="3" a="1"/>
  <c r="A237" i="3" s="1"/>
  <c r="A236" i="3" a="1"/>
  <c r="A236" i="3" s="1"/>
  <c r="B236" i="3" s="1"/>
  <c r="A235" i="3" a="1"/>
  <c r="A235" i="3" s="1"/>
  <c r="A234" i="3" a="1"/>
  <c r="A234" i="3" s="1"/>
  <c r="A233" i="3" a="1"/>
  <c r="A233" i="3"/>
  <c r="A223" i="3" a="1"/>
  <c r="A223" i="3" s="1"/>
  <c r="A222" i="3" a="1"/>
  <c r="A222" i="3" s="1"/>
  <c r="A220" i="3" a="1"/>
  <c r="A220" i="3" s="1"/>
  <c r="B220" i="3" s="1"/>
  <c r="A219" i="3" a="1"/>
  <c r="A219" i="3" s="1"/>
  <c r="A218" i="3" a="1"/>
  <c r="A218" i="3" s="1"/>
  <c r="B218" i="3" s="1"/>
  <c r="A217" i="3" a="1"/>
  <c r="A217" i="3" s="1"/>
  <c r="A216" i="3" a="1"/>
  <c r="A216" i="3" s="1"/>
  <c r="A215" i="3" a="1"/>
  <c r="A215" i="3" s="1"/>
  <c r="A213" i="3" a="1"/>
  <c r="A213" i="3"/>
  <c r="D213" i="3" s="1"/>
  <c r="C212" i="3"/>
  <c r="A212" i="3" a="1"/>
  <c r="A212" i="3"/>
  <c r="D212" i="3" s="1"/>
  <c r="A211" i="3" a="1"/>
  <c r="A211" i="3" s="1"/>
  <c r="D211" i="3" s="1"/>
  <c r="A210" i="3" a="1"/>
  <c r="A210" i="3"/>
  <c r="D210" i="3" s="1"/>
  <c r="A209" i="3" a="1"/>
  <c r="A209" i="3"/>
  <c r="D208" i="3"/>
  <c r="A208" i="3" a="1"/>
  <c r="A208" i="3"/>
  <c r="A206" i="3" a="1"/>
  <c r="A206" i="3" s="1"/>
  <c r="C206" i="3" s="1"/>
  <c r="A205" i="3" a="1"/>
  <c r="A205" i="3" s="1"/>
  <c r="A204" i="3" a="1"/>
  <c r="A204" i="3" s="1"/>
  <c r="D203" i="3"/>
  <c r="A203" i="3" a="1"/>
  <c r="A203" i="3" s="1"/>
  <c r="C203" i="3" s="1"/>
  <c r="A202" i="3" a="1"/>
  <c r="A202" i="3" s="1"/>
  <c r="B202" i="3" s="1"/>
  <c r="A201" i="3" a="1"/>
  <c r="A201" i="3" s="1"/>
  <c r="B201" i="3" s="1"/>
  <c r="A199" i="3" a="1"/>
  <c r="A199" i="3"/>
  <c r="B199" i="3" s="1"/>
  <c r="A198" i="3" a="1"/>
  <c r="A198" i="3"/>
  <c r="A197" i="3" a="1"/>
  <c r="A197" i="3" s="1"/>
  <c r="A196" i="3" a="1"/>
  <c r="A196" i="3" s="1"/>
  <c r="C195" i="3"/>
  <c r="A195" i="3" a="1"/>
  <c r="A195" i="3"/>
  <c r="D195" i="3" s="1"/>
  <c r="A194" i="3" a="1"/>
  <c r="A194" i="3" s="1"/>
  <c r="A192" i="3" a="1"/>
  <c r="A192" i="3" s="1"/>
  <c r="A191" i="3" a="1"/>
  <c r="A191" i="3" s="1"/>
  <c r="D191" i="3" s="1"/>
  <c r="A190" i="3" a="1"/>
  <c r="A190" i="3"/>
  <c r="D190" i="3" s="1"/>
  <c r="A189" i="3" a="1"/>
  <c r="A189" i="3" s="1"/>
  <c r="C189" i="3" s="1"/>
  <c r="A188" i="3" a="1"/>
  <c r="A188" i="3" s="1"/>
  <c r="C188" i="3" s="1"/>
  <c r="A187" i="3" a="1"/>
  <c r="A187" i="3" s="1"/>
  <c r="A185" i="3" a="1"/>
  <c r="A185" i="3" s="1"/>
  <c r="C185" i="3" s="1"/>
  <c r="A184" i="3" a="1"/>
  <c r="A184" i="3" s="1"/>
  <c r="B184" i="3" s="1"/>
  <c r="A183" i="3" a="1"/>
  <c r="A183" i="3" s="1"/>
  <c r="B183" i="3" s="1"/>
  <c r="A182" i="3" a="1"/>
  <c r="A182" i="3" s="1"/>
  <c r="B182" i="3" s="1"/>
  <c r="A180" i="3" a="1"/>
  <c r="A180" i="3" s="1"/>
  <c r="A179" i="3" a="1"/>
  <c r="A179" i="3" s="1"/>
  <c r="A178" i="3" a="1"/>
  <c r="A178" i="3" s="1"/>
  <c r="A177" i="3" a="1"/>
  <c r="A177" i="3"/>
  <c r="D177" i="3" s="1"/>
  <c r="C176" i="3"/>
  <c r="A176" i="3" a="1"/>
  <c r="A176" i="3"/>
  <c r="D176" i="3" s="1"/>
  <c r="A175" i="3" a="1"/>
  <c r="A175" i="3"/>
  <c r="D175" i="3" s="1"/>
  <c r="A173" i="3" a="1"/>
  <c r="A173" i="3" s="1"/>
  <c r="C173" i="3" s="1"/>
  <c r="A172" i="3" a="1"/>
  <c r="A172" i="3"/>
  <c r="A171" i="3" a="1"/>
  <c r="A171" i="3"/>
  <c r="C171" i="3" s="1"/>
  <c r="A170" i="3" a="1"/>
  <c r="A170" i="3" s="1"/>
  <c r="C170" i="3" s="1"/>
  <c r="A169" i="3" a="1"/>
  <c r="A169" i="3" s="1"/>
  <c r="C169" i="3" s="1"/>
  <c r="A168" i="3" a="1"/>
  <c r="A168" i="3" s="1"/>
  <c r="A167" i="3" a="1"/>
  <c r="A167" i="3" s="1"/>
  <c r="C167" i="3" s="1"/>
  <c r="A166" i="3" a="1"/>
  <c r="A166" i="3" s="1"/>
  <c r="B166" i="3" s="1"/>
  <c r="A165" i="3" a="1"/>
  <c r="A165" i="3" s="1"/>
  <c r="B165" i="3" s="1"/>
  <c r="D163" i="3"/>
  <c r="A163" i="3" a="1"/>
  <c r="A163" i="3"/>
  <c r="B163" i="3" s="1"/>
  <c r="A162" i="3" a="1"/>
  <c r="A162" i="3" s="1"/>
  <c r="A161" i="3" a="1"/>
  <c r="A161" i="3" s="1"/>
  <c r="A160" i="3" a="1"/>
  <c r="A160" i="3"/>
  <c r="A159" i="3" a="1"/>
  <c r="A159" i="3" s="1"/>
  <c r="D159" i="3" s="1"/>
  <c r="A158" i="3" a="1"/>
  <c r="A158" i="3" s="1"/>
  <c r="A157" i="3" a="1"/>
  <c r="A157" i="3"/>
  <c r="D157" i="3" s="1"/>
  <c r="A156" i="3" a="1"/>
  <c r="A156" i="3" s="1"/>
  <c r="A155" i="3" a="1"/>
  <c r="A155" i="3"/>
  <c r="C155" i="3" s="1"/>
  <c r="A154" i="3" a="1"/>
  <c r="A154" i="3" s="1"/>
  <c r="A153" i="3" a="1"/>
  <c r="A153" i="3" s="1"/>
  <c r="A152" i="3" a="1"/>
  <c r="A152" i="3" s="1"/>
  <c r="C152" i="3" s="1"/>
  <c r="A151" i="3" a="1"/>
  <c r="A151" i="3" s="1"/>
  <c r="C151" i="3" s="1"/>
  <c r="A150" i="3" a="1"/>
  <c r="A150" i="3" s="1"/>
  <c r="A149" i="3" a="1"/>
  <c r="A149" i="3" s="1"/>
  <c r="D149" i="3" s="1"/>
  <c r="A148" i="3" a="1"/>
  <c r="A148" i="3" s="1"/>
  <c r="B148" i="3" s="1"/>
  <c r="A147" i="3" a="1"/>
  <c r="A147" i="3" s="1"/>
  <c r="B147" i="3" s="1"/>
  <c r="A146" i="3" a="1"/>
  <c r="A146" i="3" s="1"/>
  <c r="A143" i="3" a="1"/>
  <c r="A143" i="3"/>
  <c r="A142" i="3" a="1"/>
  <c r="A142" i="3" s="1"/>
  <c r="A141" i="3" a="1"/>
  <c r="A141" i="3"/>
  <c r="D141" i="3" s="1"/>
  <c r="A140" i="3" a="1"/>
  <c r="A140" i="3"/>
  <c r="D140" i="3" s="1"/>
  <c r="A139" i="3" a="1"/>
  <c r="A139" i="3"/>
  <c r="D139" i="3" s="1"/>
  <c r="A138" i="3" a="1"/>
  <c r="A138" i="3" s="1"/>
  <c r="A137" i="3" a="1"/>
  <c r="A137" i="3"/>
  <c r="C137" i="3" s="1"/>
  <c r="A136" i="3" a="1"/>
  <c r="A136" i="3" s="1"/>
  <c r="C136" i="3" s="1"/>
  <c r="A135" i="3" a="1"/>
  <c r="A135" i="3" s="1"/>
  <c r="A134" i="3" a="1"/>
  <c r="A134" i="3" s="1"/>
  <c r="C134" i="3" s="1"/>
  <c r="A133" i="3" a="1"/>
  <c r="A133" i="3" s="1"/>
  <c r="C133" i="3" s="1"/>
  <c r="C132" i="3"/>
  <c r="A132" i="3" a="1"/>
  <c r="A132" i="3" s="1"/>
  <c r="D132" i="3" s="1"/>
  <c r="A131" i="3" a="1"/>
  <c r="A131" i="3" s="1"/>
  <c r="D131" i="3" s="1"/>
  <c r="A130" i="3" a="1"/>
  <c r="A130" i="3" s="1"/>
  <c r="B130" i="3" s="1"/>
  <c r="A129" i="3" a="1"/>
  <c r="A129" i="3"/>
  <c r="B129" i="3" s="1"/>
  <c r="A128" i="3" a="1"/>
  <c r="A128" i="3"/>
  <c r="B128" i="3" s="1"/>
  <c r="A127" i="3" a="1"/>
  <c r="A127" i="3" s="1"/>
  <c r="A126" i="3" a="1"/>
  <c r="A126" i="3" s="1"/>
  <c r="A125" i="3" a="1"/>
  <c r="A125" i="3" s="1"/>
  <c r="A124" i="3" a="1"/>
  <c r="A124" i="3" s="1"/>
  <c r="D124" i="3" s="1"/>
  <c r="A123" i="3" a="1"/>
  <c r="A123" i="3"/>
  <c r="D123" i="3" s="1"/>
  <c r="A122" i="3" a="1"/>
  <c r="A122" i="3"/>
  <c r="D122" i="3" s="1"/>
  <c r="A121" i="3" a="1"/>
  <c r="A121" i="3"/>
  <c r="D121" i="3" s="1"/>
  <c r="A120" i="3" a="1"/>
  <c r="A120" i="3" s="1"/>
  <c r="D120" i="3" s="1"/>
  <c r="A119" i="3" a="1"/>
  <c r="A119" i="3"/>
  <c r="C119" i="3" s="1"/>
  <c r="A118" i="3" a="1"/>
  <c r="A118" i="3"/>
  <c r="C118" i="3" s="1"/>
  <c r="A117" i="3" a="1"/>
  <c r="A117" i="3" s="1"/>
  <c r="C117" i="3" s="1"/>
  <c r="A116" i="3" a="1"/>
  <c r="A116" i="3" s="1"/>
  <c r="C116" i="3" s="1"/>
  <c r="A115" i="3" a="1"/>
  <c r="A115" i="3" s="1"/>
  <c r="C115" i="3" s="1"/>
  <c r="A114" i="3" a="1"/>
  <c r="A114" i="3" s="1"/>
  <c r="C114" i="3" s="1"/>
  <c r="A113" i="3" a="1"/>
  <c r="A113" i="3" s="1"/>
  <c r="D113" i="3" s="1"/>
  <c r="A112" i="3" a="1"/>
  <c r="A112" i="3" s="1"/>
  <c r="B112" i="3" s="1"/>
  <c r="A111" i="3" a="1"/>
  <c r="A111" i="3" s="1"/>
  <c r="A110" i="3" a="1"/>
  <c r="A110" i="3"/>
  <c r="B110" i="3" s="1"/>
  <c r="A109" i="3" a="1"/>
  <c r="A109" i="3" s="1"/>
  <c r="A108" i="3" a="1"/>
  <c r="A108" i="3" s="1"/>
  <c r="A107" i="3" a="1"/>
  <c r="A107" i="3" s="1"/>
  <c r="D107" i="3" s="1"/>
  <c r="A106" i="3" a="1"/>
  <c r="A106" i="3" s="1"/>
  <c r="A105" i="3" a="1"/>
  <c r="A105" i="3" s="1"/>
  <c r="A104" i="3" a="1"/>
  <c r="A104" i="3"/>
  <c r="D104" i="3" s="1"/>
  <c r="A103" i="3" a="1"/>
  <c r="A103" i="3"/>
  <c r="D103" i="3" s="1"/>
  <c r="A102" i="3" a="1"/>
  <c r="A102" i="3"/>
  <c r="D102" i="3" s="1"/>
  <c r="D101" i="3"/>
  <c r="A101" i="3" a="1"/>
  <c r="A101" i="3"/>
  <c r="C101" i="3" s="1"/>
  <c r="A100" i="3" a="1"/>
  <c r="A100" i="3"/>
  <c r="C100" i="3" s="1"/>
  <c r="A99" i="3" a="1"/>
  <c r="A99" i="3" s="1"/>
  <c r="A98" i="3" a="1"/>
  <c r="A98" i="3" s="1"/>
  <c r="C98" i="3" s="1"/>
  <c r="A97" i="3" a="1"/>
  <c r="A97" i="3" s="1"/>
  <c r="C97" i="3" s="1"/>
  <c r="A96" i="3" a="1"/>
  <c r="A96" i="3" s="1"/>
  <c r="B96" i="3" s="1"/>
  <c r="C95" i="3"/>
  <c r="A95" i="3" a="1"/>
  <c r="A95" i="3" s="1"/>
  <c r="D95" i="3" s="1"/>
  <c r="A94" i="3" a="1"/>
  <c r="A94" i="3" s="1"/>
  <c r="B94" i="3" s="1"/>
  <c r="A93" i="3" a="1"/>
  <c r="A93" i="3"/>
  <c r="B93" i="3" s="1"/>
  <c r="A92" i="3" a="1"/>
  <c r="A92" i="3" s="1"/>
  <c r="B92" i="3" s="1"/>
  <c r="A91" i="3" a="1"/>
  <c r="A91" i="3"/>
  <c r="B91" i="3" s="1"/>
  <c r="A90" i="3" a="1"/>
  <c r="A90" i="3" s="1"/>
  <c r="C90" i="3" s="1"/>
  <c r="A89" i="3" a="1"/>
  <c r="A89" i="3" s="1"/>
  <c r="A88" i="3" a="1"/>
  <c r="A88" i="3" s="1"/>
  <c r="A87" i="3" a="1"/>
  <c r="A87" i="3"/>
  <c r="D87" i="3" s="1"/>
  <c r="C86" i="3"/>
  <c r="A86" i="3" a="1"/>
  <c r="A86" i="3"/>
  <c r="D86" i="3" s="1"/>
  <c r="A85" i="3" a="1"/>
  <c r="A85" i="3" s="1"/>
  <c r="A84" i="3" a="1"/>
  <c r="A84" i="3" s="1"/>
  <c r="A83" i="3" a="1"/>
  <c r="A83" i="3"/>
  <c r="C83" i="3" s="1"/>
  <c r="A82" i="3" a="1"/>
  <c r="A82" i="3" s="1"/>
  <c r="A81" i="3" a="1"/>
  <c r="A81" i="3" s="1"/>
  <c r="A80" i="3" a="1"/>
  <c r="A80" i="3" s="1"/>
  <c r="C80" i="3" s="1"/>
  <c r="A79" i="3" a="1"/>
  <c r="A79" i="3" s="1"/>
  <c r="C79" i="3" s="1"/>
  <c r="A78" i="3" a="1"/>
  <c r="A78" i="3" s="1"/>
  <c r="D78" i="3" s="1"/>
  <c r="A77" i="3" a="1"/>
  <c r="A77" i="3" s="1"/>
  <c r="C77" i="3" s="1"/>
  <c r="A76" i="3" a="1"/>
  <c r="A76" i="3" s="1"/>
  <c r="B76" i="3" s="1"/>
  <c r="A75" i="3" a="1"/>
  <c r="A75" i="3" s="1"/>
  <c r="A74" i="3" a="1"/>
  <c r="A74" i="3" s="1"/>
  <c r="A73" i="3" a="1"/>
  <c r="A73" i="3" s="1"/>
  <c r="B73" i="3" s="1"/>
  <c r="A72" i="3" a="1"/>
  <c r="A72" i="3"/>
  <c r="A71" i="3" a="1"/>
  <c r="A71" i="3" s="1"/>
  <c r="A70" i="3" a="1"/>
  <c r="A70" i="3" s="1"/>
  <c r="D70" i="3" s="1"/>
  <c r="A69" i="3" a="1"/>
  <c r="A69" i="3"/>
  <c r="D69" i="3" s="1"/>
  <c r="C68" i="3"/>
  <c r="A68" i="3" a="1"/>
  <c r="A68" i="3"/>
  <c r="D68" i="3" s="1"/>
  <c r="D67" i="3"/>
  <c r="C67" i="3"/>
  <c r="A67" i="3" a="1"/>
  <c r="A67" i="3"/>
  <c r="B67" i="3" s="1"/>
  <c r="A66" i="3" a="1"/>
  <c r="A66" i="3" s="1"/>
  <c r="D66" i="3" s="1"/>
  <c r="A65" i="3" a="1"/>
  <c r="A65" i="3" s="1"/>
  <c r="A64" i="3" a="1"/>
  <c r="A64" i="3" s="1"/>
  <c r="A63" i="3" a="1"/>
  <c r="A63" i="3"/>
  <c r="C63" i="3" s="1"/>
  <c r="A62" i="3" a="1"/>
  <c r="A62" i="3" s="1"/>
  <c r="D62" i="3" s="1"/>
  <c r="A61" i="3" a="1"/>
  <c r="A61" i="3" s="1"/>
  <c r="C61" i="3" s="1"/>
  <c r="A60" i="3" a="1"/>
  <c r="A60" i="3" s="1"/>
  <c r="D60" i="3" s="1"/>
  <c r="A59" i="3" a="1"/>
  <c r="A59" i="3"/>
  <c r="B59" i="3" s="1"/>
  <c r="A58" i="3" a="1"/>
  <c r="A58" i="3" s="1"/>
  <c r="A57" i="3" a="1"/>
  <c r="A57" i="3"/>
  <c r="B57" i="3" s="1"/>
  <c r="A56" i="3" a="1"/>
  <c r="A56" i="3"/>
  <c r="B56" i="3" s="1"/>
  <c r="D55" i="3"/>
  <c r="C55" i="3"/>
  <c r="A55" i="3" a="1"/>
  <c r="A55" i="3"/>
  <c r="B55" i="3" s="1"/>
  <c r="A54" i="3" a="1"/>
  <c r="A54" i="3" s="1"/>
  <c r="A53" i="3" a="1"/>
  <c r="A53" i="3" s="1"/>
  <c r="A52" i="3" a="1"/>
  <c r="A52" i="3" s="1"/>
  <c r="A51" i="3" a="1"/>
  <c r="A51" i="3" s="1"/>
  <c r="A50" i="3" a="1"/>
  <c r="A50" i="3" s="1"/>
  <c r="A49" i="3" a="1"/>
  <c r="A49" i="3"/>
  <c r="D49" i="3" s="1"/>
  <c r="A48" i="3" a="1"/>
  <c r="A48" i="3" s="1"/>
  <c r="D48" i="3" s="1"/>
  <c r="A47" i="3" a="1"/>
  <c r="A47" i="3"/>
  <c r="C47" i="3" s="1"/>
  <c r="A46" i="3" a="1"/>
  <c r="A46" i="3" s="1"/>
  <c r="A45" i="3" a="1"/>
  <c r="A45" i="3" s="1"/>
  <c r="A44" i="3" a="1"/>
  <c r="A44" i="3" s="1"/>
  <c r="D44" i="3" s="1"/>
  <c r="A43" i="3" a="1"/>
  <c r="A43" i="3" s="1"/>
  <c r="B43" i="3" s="1"/>
  <c r="D42" i="3"/>
  <c r="C42" i="3"/>
  <c r="B42" i="3"/>
  <c r="A42" i="3" a="1"/>
  <c r="A42" i="3" s="1"/>
  <c r="A41" i="3" a="1"/>
  <c r="A41" i="3"/>
  <c r="C41" i="3" s="1"/>
  <c r="A40" i="3" a="1"/>
  <c r="A40" i="3"/>
  <c r="B40" i="3" s="1"/>
  <c r="A39" i="3" a="1"/>
  <c r="A39" i="3"/>
  <c r="B39" i="3" s="1"/>
  <c r="A38" i="3" a="1"/>
  <c r="A38" i="3" s="1"/>
  <c r="A37" i="3" a="1"/>
  <c r="A37" i="3"/>
  <c r="D37" i="3" s="1"/>
  <c r="A36" i="3" a="1"/>
  <c r="A36" i="3" s="1"/>
  <c r="D36" i="3" s="1"/>
  <c r="A35" i="3" a="1"/>
  <c r="A35" i="3"/>
  <c r="D35" i="3" s="1"/>
  <c r="A34" i="3" a="1"/>
  <c r="A34" i="3"/>
  <c r="D34" i="3" s="1"/>
  <c r="A33" i="3" a="1"/>
  <c r="A33" i="3"/>
  <c r="C33" i="3" s="1"/>
  <c r="A32" i="3" a="1"/>
  <c r="A32" i="3"/>
  <c r="D32" i="3" s="1"/>
  <c r="A31" i="3" a="1"/>
  <c r="A31" i="3"/>
  <c r="D31" i="3" s="1"/>
  <c r="A30" i="3" a="1"/>
  <c r="A30" i="3" s="1"/>
  <c r="A29" i="3" a="1"/>
  <c r="A29" i="3" s="1"/>
  <c r="A28" i="3" a="1"/>
  <c r="A28" i="3"/>
  <c r="C28" i="3" s="1"/>
  <c r="A27" i="3" a="1"/>
  <c r="A27" i="3"/>
  <c r="C27" i="3" s="1"/>
  <c r="D26" i="3"/>
  <c r="C26" i="3"/>
  <c r="A26" i="3" a="1"/>
  <c r="A26" i="3" s="1"/>
  <c r="B26" i="3" s="1"/>
  <c r="A25" i="3" a="1"/>
  <c r="A25" i="3" s="1"/>
  <c r="C25" i="3" s="1"/>
  <c r="A24" i="3" a="1"/>
  <c r="A24" i="3" s="1"/>
  <c r="C24" i="3" s="1"/>
  <c r="A23" i="3" a="1"/>
  <c r="A23" i="3"/>
  <c r="C23" i="3" s="1"/>
  <c r="A22" i="3" a="1"/>
  <c r="A22" i="3" s="1"/>
  <c r="C21" i="3"/>
  <c r="A21" i="3" a="1"/>
  <c r="A21" i="3"/>
  <c r="B21" i="3" s="1"/>
  <c r="A20" i="3" a="1"/>
  <c r="A20" i="3" s="1"/>
  <c r="B20" i="3" s="1"/>
  <c r="A19" i="3" a="1"/>
  <c r="A19" i="3" s="1"/>
  <c r="A18" i="3" a="1"/>
  <c r="A18" i="3"/>
  <c r="D18" i="3" s="1"/>
  <c r="A17" i="3" a="1"/>
  <c r="A17" i="3" s="1"/>
  <c r="A16" i="3" a="1"/>
  <c r="A16" i="3"/>
  <c r="D16" i="3" s="1"/>
  <c r="A15" i="3" a="1"/>
  <c r="A15" i="3"/>
  <c r="D15" i="3" s="1"/>
  <c r="A14" i="3" a="1"/>
  <c r="A14" i="3"/>
  <c r="B14" i="3" s="1"/>
  <c r="A13" i="3" a="1"/>
  <c r="A13" i="3" s="1"/>
  <c r="A12" i="3" a="1"/>
  <c r="A12" i="3" s="1"/>
  <c r="A11" i="3" a="1"/>
  <c r="A11" i="3" s="1"/>
  <c r="A10" i="3" a="1"/>
  <c r="A10" i="3" s="1"/>
  <c r="C10" i="3" s="1"/>
  <c r="A9" i="3" a="1"/>
  <c r="A9" i="3"/>
  <c r="D9" i="3" s="1"/>
  <c r="A8" i="3" a="1"/>
  <c r="A8" i="3" s="1"/>
  <c r="D8" i="3" s="1"/>
  <c r="A7" i="3" a="1"/>
  <c r="A7" i="3" s="1"/>
  <c r="B7" i="3" s="1"/>
  <c r="A6" i="3" a="1"/>
  <c r="A6" i="3"/>
  <c r="D6" i="3" s="1"/>
  <c r="A5" i="3" a="1"/>
  <c r="A5" i="3" s="1"/>
  <c r="A4" i="3" a="1"/>
  <c r="A4" i="3"/>
  <c r="B4" i="3" s="1"/>
  <c r="A3" i="3" a="1"/>
  <c r="A3" i="3" s="1"/>
  <c r="B3" i="3" s="1"/>
  <c r="A2" i="3" a="1"/>
  <c r="A2" i="3"/>
  <c r="B2" i="3" s="1"/>
  <c r="A1" i="3" a="1"/>
  <c r="A1" i="3"/>
  <c r="D1" i="3" s="1"/>
  <c r="I15" i="2"/>
  <c r="A14" i="2"/>
  <c r="A13" i="2"/>
  <c r="A250" i="3" s="1" a="1"/>
  <c r="A250" i="3" s="1"/>
  <c r="AL10" i="2"/>
  <c r="A8" i="2"/>
  <c r="A7" i="2"/>
  <c r="A228" i="3" s="1" a="1"/>
  <c r="A228" i="3" s="1"/>
  <c r="E3" i="2"/>
  <c r="A224" i="3" s="1" a="1"/>
  <c r="A224" i="3" s="1"/>
  <c r="D142" i="3" l="1"/>
  <c r="B142" i="3"/>
  <c r="C142" i="3"/>
  <c r="C82" i="3"/>
  <c r="D82" i="3"/>
  <c r="D194" i="3"/>
  <c r="C194" i="3"/>
  <c r="B194" i="3"/>
  <c r="D266" i="3"/>
  <c r="C266" i="3"/>
  <c r="B266" i="3"/>
  <c r="D106" i="3"/>
  <c r="C106" i="3"/>
  <c r="C29" i="3"/>
  <c r="D29" i="3"/>
  <c r="D156" i="3"/>
  <c r="B156" i="3"/>
  <c r="D192" i="3"/>
  <c r="C192" i="3"/>
  <c r="B192" i="3"/>
  <c r="D13" i="3"/>
  <c r="B13" i="3"/>
  <c r="D85" i="3"/>
  <c r="C85" i="3"/>
  <c r="C65" i="3"/>
  <c r="B65" i="3"/>
  <c r="D105" i="3"/>
  <c r="C105" i="3"/>
  <c r="B105" i="3"/>
  <c r="D84" i="3"/>
  <c r="B84" i="3"/>
  <c r="B38" i="3"/>
  <c r="D38" i="3"/>
  <c r="C153" i="3"/>
  <c r="D153" i="3"/>
  <c r="B153" i="3"/>
  <c r="B219" i="3"/>
  <c r="D219" i="3"/>
  <c r="C219" i="3"/>
  <c r="C138" i="3"/>
  <c r="B138" i="3"/>
  <c r="D138" i="3"/>
  <c r="B237" i="3"/>
  <c r="D237" i="3"/>
  <c r="C237" i="3"/>
  <c r="D249" i="3"/>
  <c r="C249" i="3"/>
  <c r="B249" i="3"/>
  <c r="D51" i="3"/>
  <c r="C51" i="3"/>
  <c r="B51" i="3"/>
  <c r="D158" i="3"/>
  <c r="C158" i="3"/>
  <c r="B158" i="3"/>
  <c r="D5" i="3"/>
  <c r="B5" i="3"/>
  <c r="B50" i="3"/>
  <c r="D50" i="3"/>
  <c r="C50" i="3"/>
  <c r="B44" i="3"/>
  <c r="C76" i="3"/>
  <c r="C183" i="3"/>
  <c r="D202" i="3"/>
  <c r="A221" i="3" a="1"/>
  <c r="A221" i="3" s="1"/>
  <c r="C221" i="3" s="1"/>
  <c r="C37" i="3"/>
  <c r="C44" i="3"/>
  <c r="C59" i="3"/>
  <c r="D119" i="3"/>
  <c r="C128" i="3"/>
  <c r="B137" i="3"/>
  <c r="A174" i="3" a="1"/>
  <c r="A174" i="3" s="1"/>
  <c r="B267" i="3"/>
  <c r="B23" i="3"/>
  <c r="B68" i="3"/>
  <c r="D77" i="3"/>
  <c r="C102" i="3"/>
  <c r="D128" i="3"/>
  <c r="C184" i="3"/>
  <c r="B203" i="3"/>
  <c r="B212" i="3"/>
  <c r="C267" i="3"/>
  <c r="A227" i="3" a="1"/>
  <c r="A227" i="3" s="1"/>
  <c r="B25" i="3"/>
  <c r="B47" i="3"/>
  <c r="B69" i="3"/>
  <c r="C96" i="3"/>
  <c r="C113" i="3"/>
  <c r="C165" i="3"/>
  <c r="B213" i="3"/>
  <c r="C16" i="3"/>
  <c r="D25" i="3"/>
  <c r="B33" i="3"/>
  <c r="D47" i="3"/>
  <c r="B63" i="3"/>
  <c r="C69" i="3"/>
  <c r="D96" i="3"/>
  <c r="B104" i="3"/>
  <c r="B131" i="3"/>
  <c r="B149" i="3"/>
  <c r="B157" i="3"/>
  <c r="B188" i="3"/>
  <c r="C213" i="3"/>
  <c r="B24" i="3"/>
  <c r="D33" i="3"/>
  <c r="D114" i="3"/>
  <c r="B122" i="3"/>
  <c r="B176" i="3"/>
  <c r="B195" i="3"/>
  <c r="A186" i="3" a="1"/>
  <c r="A186" i="3" s="1"/>
  <c r="B186" i="3" s="1"/>
  <c r="B79" i="3"/>
  <c r="D147" i="3"/>
  <c r="D256" i="3"/>
  <c r="C34" i="3"/>
  <c r="D133" i="3"/>
  <c r="A164" i="3" a="1"/>
  <c r="A164" i="3" s="1"/>
  <c r="B164" i="3" s="1"/>
  <c r="B9" i="3"/>
  <c r="D116" i="3"/>
  <c r="D152" i="3"/>
  <c r="B1" i="3"/>
  <c r="C56" i="3"/>
  <c r="C91" i="3"/>
  <c r="B100" i="3"/>
  <c r="C141" i="3"/>
  <c r="B257" i="3"/>
  <c r="B34" i="3"/>
  <c r="B133" i="3"/>
  <c r="D91" i="3"/>
  <c r="B210" i="3"/>
  <c r="B248" i="3"/>
  <c r="C210" i="3"/>
  <c r="C248" i="3"/>
  <c r="D41" i="3"/>
  <c r="C123" i="3"/>
  <c r="B101" i="3"/>
  <c r="B118" i="3"/>
  <c r="D108" i="3"/>
  <c r="B108" i="3"/>
  <c r="C108" i="3"/>
  <c r="D162" i="3"/>
  <c r="B162" i="3"/>
  <c r="C162" i="3"/>
  <c r="D268" i="3"/>
  <c r="B268" i="3"/>
  <c r="C268" i="3"/>
  <c r="D252" i="3"/>
  <c r="C252" i="3"/>
  <c r="B252" i="3"/>
  <c r="B146" i="3"/>
  <c r="D146" i="3"/>
  <c r="C146" i="3"/>
  <c r="C46" i="3"/>
  <c r="D46" i="3"/>
  <c r="B46" i="3"/>
  <c r="D53" i="3"/>
  <c r="C53" i="3"/>
  <c r="B53" i="3"/>
  <c r="D234" i="3"/>
  <c r="C234" i="3"/>
  <c r="B234" i="3"/>
  <c r="D88" i="3"/>
  <c r="B88" i="3"/>
  <c r="C88" i="3"/>
  <c r="C81" i="3"/>
  <c r="D81" i="3"/>
  <c r="B81" i="3"/>
  <c r="D89" i="3"/>
  <c r="C89" i="3"/>
  <c r="B89" i="3"/>
  <c r="B235" i="3"/>
  <c r="D235" i="3"/>
  <c r="C235" i="3"/>
  <c r="D250" i="3"/>
  <c r="B250" i="3"/>
  <c r="C250" i="3"/>
  <c r="C64" i="3"/>
  <c r="D64" i="3"/>
  <c r="B64" i="3"/>
  <c r="C30" i="3"/>
  <c r="B30" i="3"/>
  <c r="D30" i="3"/>
  <c r="D52" i="3"/>
  <c r="B52" i="3"/>
  <c r="C52" i="3"/>
  <c r="D54" i="3"/>
  <c r="C54" i="3"/>
  <c r="B54" i="3"/>
  <c r="C224" i="3"/>
  <c r="D224" i="3"/>
  <c r="B224" i="3"/>
  <c r="D71" i="3"/>
  <c r="C71" i="3"/>
  <c r="B71" i="3"/>
  <c r="C99" i="3"/>
  <c r="D99" i="3"/>
  <c r="B99" i="3"/>
  <c r="D196" i="3"/>
  <c r="B196" i="3"/>
  <c r="C196" i="3"/>
  <c r="D216" i="3"/>
  <c r="C216" i="3"/>
  <c r="B216" i="3"/>
  <c r="B109" i="3"/>
  <c r="D109" i="3"/>
  <c r="C109" i="3"/>
  <c r="B111" i="3"/>
  <c r="C111" i="3"/>
  <c r="D111" i="3"/>
  <c r="D197" i="3"/>
  <c r="C197" i="3"/>
  <c r="B197" i="3"/>
  <c r="B217" i="3"/>
  <c r="D217" i="3"/>
  <c r="C217" i="3"/>
  <c r="B22" i="3"/>
  <c r="D22" i="3"/>
  <c r="C22" i="3"/>
  <c r="C45" i="3"/>
  <c r="D45" i="3"/>
  <c r="B45" i="3"/>
  <c r="D17" i="3"/>
  <c r="C17" i="3"/>
  <c r="B17" i="3"/>
  <c r="D178" i="3"/>
  <c r="B178" i="3"/>
  <c r="C178" i="3"/>
  <c r="C11" i="3"/>
  <c r="B11" i="3"/>
  <c r="D11" i="3"/>
  <c r="D125" i="3"/>
  <c r="C125" i="3"/>
  <c r="B125" i="3"/>
  <c r="C135" i="3"/>
  <c r="D135" i="3"/>
  <c r="B135" i="3"/>
  <c r="D228" i="3"/>
  <c r="C228" i="3"/>
  <c r="B228" i="3"/>
  <c r="D12" i="3"/>
  <c r="C12" i="3"/>
  <c r="B12" i="3"/>
  <c r="B74" i="3"/>
  <c r="C74" i="3"/>
  <c r="D74" i="3"/>
  <c r="D126" i="3"/>
  <c r="B126" i="3"/>
  <c r="C126" i="3"/>
  <c r="D180" i="3"/>
  <c r="B180" i="3"/>
  <c r="C180" i="3"/>
  <c r="B19" i="3"/>
  <c r="D19" i="3"/>
  <c r="C19" i="3"/>
  <c r="B58" i="3"/>
  <c r="D58" i="3"/>
  <c r="C58" i="3"/>
  <c r="B75" i="3"/>
  <c r="D75" i="3"/>
  <c r="C75" i="3"/>
  <c r="B127" i="3"/>
  <c r="D127" i="3"/>
  <c r="C127" i="3"/>
  <c r="D215" i="3"/>
  <c r="C215" i="3"/>
  <c r="B215" i="3"/>
  <c r="B170" i="3"/>
  <c r="D198" i="3"/>
  <c r="C198" i="3"/>
  <c r="B198" i="3"/>
  <c r="D204" i="3"/>
  <c r="C204" i="3"/>
  <c r="D259" i="3"/>
  <c r="C259" i="3"/>
  <c r="D270" i="3"/>
  <c r="C270" i="3"/>
  <c r="B270" i="3"/>
  <c r="B78" i="3"/>
  <c r="C110" i="3"/>
  <c r="B115" i="3"/>
  <c r="D143" i="3"/>
  <c r="B143" i="3"/>
  <c r="C148" i="3"/>
  <c r="C154" i="3"/>
  <c r="B154" i="3"/>
  <c r="C164" i="3"/>
  <c r="D170" i="3"/>
  <c r="B175" i="3"/>
  <c r="D187" i="3"/>
  <c r="C187" i="3"/>
  <c r="B204" i="3"/>
  <c r="B242" i="3"/>
  <c r="B247" i="3"/>
  <c r="B259" i="3"/>
  <c r="D186" i="3"/>
  <c r="C186" i="3"/>
  <c r="D59" i="3"/>
  <c r="B6" i="3"/>
  <c r="C6" i="3"/>
  <c r="D10" i="3"/>
  <c r="C18" i="3"/>
  <c r="B31" i="3"/>
  <c r="C39" i="3"/>
  <c r="B60" i="3"/>
  <c r="D73" i="3"/>
  <c r="C78" i="3"/>
  <c r="B83" i="3"/>
  <c r="B87" i="3"/>
  <c r="D110" i="3"/>
  <c r="D115" i="3"/>
  <c r="B120" i="3"/>
  <c r="B124" i="3"/>
  <c r="B134" i="3"/>
  <c r="D148" i="3"/>
  <c r="D164" i="3"/>
  <c r="C175" i="3"/>
  <c r="A181" i="3" a="1"/>
  <c r="A181" i="3" s="1"/>
  <c r="B187" i="3"/>
  <c r="D205" i="3"/>
  <c r="C205" i="3"/>
  <c r="D222" i="3"/>
  <c r="C222" i="3"/>
  <c r="C236" i="3"/>
  <c r="D242" i="3"/>
  <c r="C247" i="3"/>
  <c r="C253" i="3"/>
  <c r="C2" i="3"/>
  <c r="C14" i="3"/>
  <c r="D43" i="3"/>
  <c r="D2" i="3"/>
  <c r="D14" i="3"/>
  <c r="B27" i="3"/>
  <c r="C31" i="3"/>
  <c r="B35" i="3"/>
  <c r="D39" i="3"/>
  <c r="B48" i="3"/>
  <c r="C60" i="3"/>
  <c r="D83" i="3"/>
  <c r="C87" i="3"/>
  <c r="C92" i="3"/>
  <c r="B97" i="3"/>
  <c r="C120" i="3"/>
  <c r="C124" i="3"/>
  <c r="C129" i="3"/>
  <c r="D134" i="3"/>
  <c r="C143" i="3"/>
  <c r="D154" i="3"/>
  <c r="B205" i="3"/>
  <c r="B222" i="3"/>
  <c r="D236" i="3"/>
  <c r="D253" i="3"/>
  <c r="B260" i="3"/>
  <c r="B265" i="3"/>
  <c r="D27" i="3"/>
  <c r="D92" i="3"/>
  <c r="D97" i="3"/>
  <c r="B102" i="3"/>
  <c r="B106" i="3"/>
  <c r="B116" i="3"/>
  <c r="D129" i="3"/>
  <c r="B159" i="3"/>
  <c r="B171" i="3"/>
  <c r="C199" i="3"/>
  <c r="B211" i="3"/>
  <c r="D223" i="3"/>
  <c r="C223" i="3"/>
  <c r="D260" i="3"/>
  <c r="C265" i="3"/>
  <c r="C271" i="3"/>
  <c r="B139" i="3"/>
  <c r="A144" i="3" a="1"/>
  <c r="A144" i="3" s="1"/>
  <c r="C149" i="3"/>
  <c r="C159" i="3"/>
  <c r="D165" i="3"/>
  <c r="D171" i="3"/>
  <c r="D188" i="3"/>
  <c r="D199" i="3"/>
  <c r="B206" i="3"/>
  <c r="C211" i="3"/>
  <c r="B223" i="3"/>
  <c r="B243" i="3"/>
  <c r="C254" i="3"/>
  <c r="D271" i="3"/>
  <c r="C130" i="3"/>
  <c r="C139" i="3"/>
  <c r="B155" i="3"/>
  <c r="D160" i="3"/>
  <c r="B160" i="3"/>
  <c r="C172" i="3"/>
  <c r="B172" i="3"/>
  <c r="C182" i="3"/>
  <c r="A200" i="3" a="1"/>
  <c r="A200" i="3" s="1"/>
  <c r="D206" i="3"/>
  <c r="D243" i="3"/>
  <c r="D254" i="3"/>
  <c r="D272" i="3"/>
  <c r="B272" i="3"/>
  <c r="B10" i="3"/>
  <c r="C43" i="3"/>
  <c r="C7" i="3"/>
  <c r="C40" i="3"/>
  <c r="B61" i="3"/>
  <c r="B98" i="3"/>
  <c r="D3" i="3"/>
  <c r="D7" i="3"/>
  <c r="C15" i="3"/>
  <c r="B28" i="3"/>
  <c r="B32" i="3"/>
  <c r="B36" i="3"/>
  <c r="D40" i="3"/>
  <c r="D61" i="3"/>
  <c r="C84" i="3"/>
  <c r="C93" i="3"/>
  <c r="D98" i="3"/>
  <c r="B121" i="3"/>
  <c r="D130" i="3"/>
  <c r="D150" i="3"/>
  <c r="C150" i="3"/>
  <c r="D155" i="3"/>
  <c r="C166" i="3"/>
  <c r="D182" i="3"/>
  <c r="C244" i="3"/>
  <c r="B244" i="3"/>
  <c r="B261" i="3"/>
  <c r="C272" i="3"/>
  <c r="B18" i="3"/>
  <c r="A230" i="3" a="1"/>
  <c r="A230" i="3" s="1"/>
  <c r="A226" i="3" a="1"/>
  <c r="A226" i="3" s="1"/>
  <c r="A193" i="3" a="1"/>
  <c r="A193" i="3" s="1"/>
  <c r="A225" i="3" a="1"/>
  <c r="A225" i="3" s="1"/>
  <c r="A207" i="3" a="1"/>
  <c r="A207" i="3" s="1"/>
  <c r="D56" i="3"/>
  <c r="C3" i="3"/>
  <c r="B15" i="3"/>
  <c r="C32" i="3"/>
  <c r="C36" i="3"/>
  <c r="B49" i="3"/>
  <c r="C57" i="3"/>
  <c r="B66" i="3"/>
  <c r="B70" i="3"/>
  <c r="B80" i="3"/>
  <c r="D93" i="3"/>
  <c r="B107" i="3"/>
  <c r="C112" i="3"/>
  <c r="B117" i="3"/>
  <c r="C121" i="3"/>
  <c r="A145" i="3" a="1"/>
  <c r="A145" i="3" s="1"/>
  <c r="B150" i="3"/>
  <c r="C160" i="3"/>
  <c r="D166" i="3"/>
  <c r="D172" i="3"/>
  <c r="B189" i="3"/>
  <c r="C218" i="3"/>
  <c r="C255" i="3"/>
  <c r="D261" i="3"/>
  <c r="D273" i="3"/>
  <c r="B273" i="3"/>
  <c r="C48" i="3"/>
  <c r="D65" i="3"/>
  <c r="D28" i="3"/>
  <c r="C49" i="3"/>
  <c r="D57" i="3"/>
  <c r="B62" i="3"/>
  <c r="C66" i="3"/>
  <c r="C70" i="3"/>
  <c r="D80" i="3"/>
  <c r="B103" i="3"/>
  <c r="C107" i="3"/>
  <c r="D112" i="3"/>
  <c r="D117" i="3"/>
  <c r="B140" i="3"/>
  <c r="D161" i="3"/>
  <c r="C161" i="3"/>
  <c r="B161" i="3"/>
  <c r="B177" i="3"/>
  <c r="D189" i="3"/>
  <c r="D218" i="3"/>
  <c r="A232" i="3" a="1"/>
  <c r="A232" i="3" s="1"/>
  <c r="C238" i="3"/>
  <c r="D244" i="3"/>
  <c r="D255" i="3"/>
  <c r="C262" i="3"/>
  <c r="B262" i="3"/>
  <c r="C273" i="3"/>
  <c r="C73" i="3"/>
  <c r="C35" i="3"/>
  <c r="D23" i="3"/>
  <c r="C4" i="3"/>
  <c r="C8" i="3"/>
  <c r="C20" i="3"/>
  <c r="D24" i="3"/>
  <c r="B41" i="3"/>
  <c r="C62" i="3"/>
  <c r="C94" i="3"/>
  <c r="C103" i="3"/>
  <c r="C131" i="3"/>
  <c r="B136" i="3"/>
  <c r="C140" i="3"/>
  <c r="B151" i="3"/>
  <c r="B167" i="3"/>
  <c r="C177" i="3"/>
  <c r="D183" i="3"/>
  <c r="C190" i="3"/>
  <c r="B190" i="3"/>
  <c r="C201" i="3"/>
  <c r="C208" i="3"/>
  <c r="B208" i="3"/>
  <c r="D238" i="3"/>
  <c r="C245" i="3"/>
  <c r="B245" i="3"/>
  <c r="D274" i="3"/>
  <c r="B274" i="3"/>
  <c r="D79" i="3"/>
  <c r="B8" i="3"/>
  <c r="D4" i="3"/>
  <c r="B16" i="3"/>
  <c r="D20" i="3"/>
  <c r="B29" i="3"/>
  <c r="B37" i="3"/>
  <c r="B85" i="3"/>
  <c r="D94" i="3"/>
  <c r="B113" i="3"/>
  <c r="D136" i="3"/>
  <c r="D151" i="3"/>
  <c r="C156" i="3"/>
  <c r="D167" i="3"/>
  <c r="B173" i="3"/>
  <c r="D201" i="3"/>
  <c r="D233" i="3"/>
  <c r="C233" i="3"/>
  <c r="B233" i="3"/>
  <c r="D262" i="3"/>
  <c r="C274" i="3"/>
  <c r="D168" i="3"/>
  <c r="C168" i="3"/>
  <c r="D173" i="3"/>
  <c r="B239" i="3"/>
  <c r="C263" i="3"/>
  <c r="B263" i="3"/>
  <c r="D275" i="3"/>
  <c r="C275" i="3"/>
  <c r="D90" i="3"/>
  <c r="B90" i="3"/>
  <c r="D76" i="3"/>
  <c r="B95" i="3"/>
  <c r="D118" i="3"/>
  <c r="C122" i="3"/>
  <c r="B132" i="3"/>
  <c r="B141" i="3"/>
  <c r="B152" i="3"/>
  <c r="B168" i="3"/>
  <c r="D184" i="3"/>
  <c r="C191" i="3"/>
  <c r="B191" i="3"/>
  <c r="C202" i="3"/>
  <c r="C209" i="3"/>
  <c r="B209" i="3"/>
  <c r="D239" i="3"/>
  <c r="B275" i="3"/>
  <c r="D276" i="3"/>
  <c r="C276" i="3"/>
  <c r="B276" i="3"/>
  <c r="C227" i="3"/>
  <c r="B227" i="3"/>
  <c r="D240" i="3"/>
  <c r="C240" i="3"/>
  <c r="D251" i="3"/>
  <c r="C251" i="3"/>
  <c r="B251" i="3"/>
  <c r="C1" i="3"/>
  <c r="C5" i="3"/>
  <c r="C9" i="3"/>
  <c r="C13" i="3"/>
  <c r="D21" i="3"/>
  <c r="D63" i="3"/>
  <c r="B77" i="3"/>
  <c r="D100" i="3"/>
  <c r="C104" i="3"/>
  <c r="B114" i="3"/>
  <c r="D137" i="3"/>
  <c r="C157" i="3"/>
  <c r="B169" i="3"/>
  <c r="B185" i="3"/>
  <c r="D209" i="3"/>
  <c r="A214" i="3" a="1"/>
  <c r="A214" i="3" s="1"/>
  <c r="C220" i="3"/>
  <c r="D227" i="3"/>
  <c r="B240" i="3"/>
  <c r="B246" i="3"/>
  <c r="D257" i="3"/>
  <c r="D277" i="3"/>
  <c r="C277" i="3"/>
  <c r="B277" i="3"/>
  <c r="D72" i="3"/>
  <c r="B72" i="3"/>
  <c r="D179" i="3"/>
  <c r="C179" i="3"/>
  <c r="B179" i="3"/>
  <c r="C38" i="3"/>
  <c r="C72" i="3"/>
  <c r="B82" i="3"/>
  <c r="B86" i="3"/>
  <c r="B119" i="3"/>
  <c r="B123" i="3"/>
  <c r="C147" i="3"/>
  <c r="C163" i="3"/>
  <c r="D169" i="3"/>
  <c r="D185" i="3"/>
  <c r="D220" i="3"/>
  <c r="D241" i="3"/>
  <c r="C241" i="3"/>
  <c r="C246" i="3"/>
  <c r="D258" i="3"/>
  <c r="C258" i="3"/>
  <c r="D269" i="3"/>
  <c r="C269" i="3"/>
  <c r="B269" i="3"/>
  <c r="D278" i="3"/>
  <c r="C278" i="3"/>
  <c r="B278" i="3"/>
  <c r="A229" i="3" a="1"/>
  <c r="A229" i="3" s="1"/>
  <c r="A231" i="3" a="1"/>
  <c r="A231" i="3" s="1"/>
  <c r="D174" i="3" l="1"/>
  <c r="C174" i="3"/>
  <c r="B174" i="3"/>
  <c r="D221" i="3"/>
  <c r="B221" i="3"/>
  <c r="D229" i="3"/>
  <c r="C229" i="3"/>
  <c r="B229" i="3"/>
  <c r="D214" i="3"/>
  <c r="B214" i="3"/>
  <c r="C214" i="3"/>
  <c r="C207" i="3"/>
  <c r="D207" i="3"/>
  <c r="B207" i="3"/>
  <c r="C225" i="3"/>
  <c r="D225" i="3"/>
  <c r="B225" i="3"/>
  <c r="D193" i="3"/>
  <c r="C193" i="3"/>
  <c r="B193" i="3"/>
  <c r="C226" i="3"/>
  <c r="B226" i="3"/>
  <c r="D226" i="3"/>
  <c r="B200" i="3"/>
  <c r="D200" i="3"/>
  <c r="C200" i="3"/>
  <c r="D230" i="3"/>
  <c r="C230" i="3"/>
  <c r="B230" i="3"/>
  <c r="B145" i="3"/>
  <c r="D145" i="3"/>
  <c r="C145" i="3"/>
  <c r="D144" i="3"/>
  <c r="B144" i="3"/>
  <c r="C144" i="3"/>
  <c r="B181" i="3"/>
  <c r="D181" i="3"/>
  <c r="C181" i="3"/>
  <c r="D231" i="3"/>
  <c r="C231" i="3"/>
  <c r="B231" i="3"/>
  <c r="D232" i="3"/>
  <c r="B232" i="3"/>
  <c r="C2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<sst xmlns="http://schemas.openxmlformats.org/spreadsheetml/2006/main" count="342" uniqueCount="317">
  <si>
    <t>a</t>
  </si>
  <si>
    <t>3</t>
  </si>
  <si>
    <t>b</t>
  </si>
  <si>
    <t>c</t>
  </si>
  <si>
    <t>x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</si>
  <si>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</si>
  <si>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</si>
  <si>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</si>
  <si>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</si>
  <si>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</si>
  <si>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</si>
  <si>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</si>
  <si>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</si>
  <si>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</si>
  <si>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</si>
  <si>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</si>
  <si>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</si>
  <si>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</si>
  <si>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</si>
  <si>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</si>
  <si>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</si>
  <si>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</si>
  <si>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</si>
  <si>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</si>
  <si>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</si>
  <si>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</si>
  <si>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</si>
  <si>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</si>
  <si>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</si>
  <si>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</si>
  <si>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</si>
  <si>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</si>
  <si>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</si>
  <si>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</si>
  <si>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</si>
  <si>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</si>
  <si>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</si>
  <si>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</si>
  <si>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WEIBULL.DIST#2</t>
  </si>
  <si>
    <t>WEIBULL.DIST#3</t>
  </si>
  <si>
    <t>WEIBULL.DIST#4</t>
  </si>
  <si>
    <t>WEIBULL.DIST#5</t>
  </si>
  <si>
    <t>WEIBULL.DIST#6</t>
  </si>
  <si>
    <t>WEIBULL.DIST#7</t>
  </si>
  <si>
    <t>WEIBULL.DIST#8</t>
  </si>
  <si>
    <t>WEIBULL.DIST#9</t>
  </si>
  <si>
    <t>WEIBULL.DIST#10</t>
  </si>
  <si>
    <t>WEIBULL.DIST#11</t>
  </si>
  <si>
    <t>WEIBULL.DIST#12</t>
  </si>
  <si>
    <t>WEIBULL.DIST#13</t>
  </si>
  <si>
    <t>WEIBULL.DIST#14</t>
  </si>
  <si>
    <t>WEIBULL.DIST#15</t>
  </si>
  <si>
    <t>WEIBULL.DIST#16</t>
  </si>
  <si>
    <t>WEIBULL.DIST#17</t>
  </si>
  <si>
    <t>WEIBULL.DIST#18</t>
  </si>
  <si>
    <t>WEIBULL.DIST#19</t>
  </si>
  <si>
    <t>WEIBULL.DIST#20</t>
  </si>
  <si>
    <t>WEIBULL.DIST#21</t>
  </si>
  <si>
    <t>WEIBULL.DIST#22</t>
  </si>
  <si>
    <t>WEIBULL.DIST#23</t>
  </si>
  <si>
    <t>WEIBULL.DIST#24</t>
  </si>
  <si>
    <t>WEIBULL.DIST#25</t>
  </si>
  <si>
    <t>WEIBULL.DIST#26</t>
  </si>
  <si>
    <t>WEIBULL.DIST#27</t>
  </si>
  <si>
    <t>WEIBULL.DIST#28</t>
  </si>
  <si>
    <t>CONFIDENCE#1</t>
  </si>
  <si>
    <t>CONFIDENCE#2</t>
  </si>
  <si>
    <t>CONFIDENCE#3</t>
  </si>
  <si>
    <t>CONFIDENCE#4</t>
  </si>
  <si>
    <t>CONFIDENCE#5</t>
  </si>
  <si>
    <t>CONFIDENCE#6</t>
  </si>
  <si>
    <t>CONFIDENCE#7</t>
  </si>
  <si>
    <t>CONFIDENCE#8</t>
  </si>
  <si>
    <t>CONFIDENCE#9</t>
  </si>
  <si>
    <t>CONFIDENCE#10</t>
  </si>
  <si>
    <t>CONFIDENCE#11</t>
  </si>
  <si>
    <t>CONFIDENCE#12</t>
  </si>
  <si>
    <t>CONFIDENCE#13</t>
  </si>
  <si>
    <t>CONFIDENCE#14</t>
  </si>
  <si>
    <t>CONFIDENCE#15</t>
  </si>
  <si>
    <t>CONFIDENCE#16</t>
  </si>
  <si>
    <t>CONFIDENCE.NORM#1</t>
  </si>
  <si>
    <t>CONFIDENCE.NORM#2</t>
  </si>
  <si>
    <t>CONFIDENCE.NORM#3</t>
  </si>
  <si>
    <t>CONFIDENCE.NORM#4</t>
  </si>
  <si>
    <t>CONFIDENCE.NORM#5</t>
  </si>
  <si>
    <t>CONFIDENCE.NORM#6</t>
  </si>
  <si>
    <t>CONFIDENCE.NORM#7</t>
  </si>
  <si>
    <t>CONFIDENCE.NORM#8</t>
  </si>
  <si>
    <t>CONFIDENCE.NORM#9</t>
  </si>
  <si>
    <t>CONFIDENCE.NORM#10</t>
  </si>
  <si>
    <t>CONFIDENCE.NORM#11</t>
  </si>
  <si>
    <t>CONFIDENCE.NORM#12</t>
  </si>
  <si>
    <t>CONFIDENCE.NORM#13</t>
  </si>
  <si>
    <t>CONFIDENCE.NORM#14</t>
  </si>
  <si>
    <t>CONFIDENCE.NORM#15</t>
  </si>
  <si>
    <t>CONFIDENCE.NORM#16</t>
  </si>
  <si>
    <t>CONFIDENCE.T#1</t>
  </si>
  <si>
    <t>CONFIDENCE.T#2</t>
  </si>
  <si>
    <t>CONFIDENCE.T#3</t>
  </si>
  <si>
    <t>CONFIDENCE.T#4</t>
  </si>
  <si>
    <t>CONFIDENCE.T#5</t>
  </si>
  <si>
    <t>CONFIDENCE.T#6</t>
  </si>
  <si>
    <t>CONFIDENCE.T#7</t>
  </si>
  <si>
    <t>CONFIDENCE.T#8</t>
  </si>
  <si>
    <t>CONFIDENCE.T#9</t>
  </si>
  <si>
    <t>CONFIDENCE.T#10</t>
  </si>
  <si>
    <t>CONFIDENCE.T#11</t>
  </si>
  <si>
    <t>CONFIDENCE.T#12</t>
  </si>
  <si>
    <t>CONFIDENCE.T#13</t>
  </si>
  <si>
    <t>CONFIDENCE.T#14</t>
  </si>
  <si>
    <t>CONFIDENCE.T#15</t>
  </si>
  <si>
    <t>CONFIDENCE.T#16</t>
  </si>
  <si>
    <t>PERMUT#1</t>
  </si>
  <si>
    <t>PERMUT#2</t>
  </si>
  <si>
    <t>PERMUT#3</t>
  </si>
  <si>
    <t>PERMUT#4</t>
  </si>
  <si>
    <t>PERMUT#5</t>
  </si>
  <si>
    <t>PERMUT#6</t>
  </si>
  <si>
    <t>PERMUT#7</t>
  </si>
  <si>
    <t>PERMUT#8</t>
  </si>
  <si>
    <t>PERMUT#9</t>
  </si>
  <si>
    <t>PERMUT#10</t>
  </si>
  <si>
    <t>PERMUT#11</t>
  </si>
  <si>
    <t>PERMUT#12</t>
  </si>
  <si>
    <t>PERMUT#13</t>
  </si>
  <si>
    <t>PERMUT#14</t>
  </si>
  <si>
    <t>PERMUT#15</t>
  </si>
  <si>
    <t>PERMUT#16</t>
  </si>
  <si>
    <t>PERMUT#17</t>
  </si>
  <si>
    <t>PERMUT#18</t>
  </si>
  <si>
    <t>PERMUTATIONA#1</t>
  </si>
  <si>
    <t>PERMUTATIONA#2</t>
  </si>
  <si>
    <t>PERMUTATIONA#3</t>
  </si>
  <si>
    <t>PERMUTATIONA#4</t>
  </si>
  <si>
    <t>PERMUTATIONA#5</t>
  </si>
  <si>
    <t>PERMUTATIONA#6</t>
  </si>
  <si>
    <t>PERMUTATIONA#7</t>
  </si>
  <si>
    <t>PERMUTATIONA#8</t>
  </si>
  <si>
    <t>PERMUTATIONA#9</t>
  </si>
  <si>
    <t>PERMUTATIONA#10</t>
  </si>
  <si>
    <t>PERMUTATIONA#11</t>
  </si>
  <si>
    <t>PERMUTATIONA#12</t>
  </si>
  <si>
    <t>PERMUTATIONA#13</t>
  </si>
  <si>
    <t>PERMUTATIONA#14</t>
  </si>
  <si>
    <t>PERMUTATIONA#15</t>
  </si>
  <si>
    <t>PERMUTATIONA#16</t>
  </si>
  <si>
    <t>PERMUTATIONA#17</t>
  </si>
  <si>
    <t>PERMUTATIONA#18</t>
  </si>
  <si>
    <t>PERMUTATIONA#19</t>
  </si>
  <si>
    <t>PERMUTATIONA#20</t>
  </si>
  <si>
    <t>PERMUTATIONA#21</t>
  </si>
  <si>
    <t>PERMUTATIONA#22</t>
  </si>
  <si>
    <t>PERMUTATIONA#23</t>
  </si>
  <si>
    <t>STANDARDIZE#1</t>
  </si>
  <si>
    <t>STANDARDIZE#2</t>
  </si>
  <si>
    <t>STANDARDIZE#3</t>
  </si>
  <si>
    <t>STANDARDIZE#4</t>
  </si>
  <si>
    <t>FISHERINV#1</t>
  </si>
  <si>
    <t>FISHERINV#2</t>
  </si>
  <si>
    <t>FISHERINV#3</t>
  </si>
  <si>
    <t>FISHERINV#4</t>
  </si>
  <si>
    <t>FISHERINV#5</t>
  </si>
  <si>
    <t>FISHERINV#6</t>
  </si>
  <si>
    <t>FISHERINV#7</t>
  </si>
  <si>
    <t>FISHER#1</t>
  </si>
  <si>
    <t>FISHER#2</t>
  </si>
  <si>
    <t>FISHER#3</t>
  </si>
  <si>
    <t>FISHER#4</t>
  </si>
  <si>
    <t>COUNTIF#1</t>
  </si>
  <si>
    <t>AVERAGEIF#1</t>
  </si>
  <si>
    <t>COUNTIF#2</t>
  </si>
  <si>
    <t>AVERAGEIF#2</t>
  </si>
  <si>
    <t>COUNTIF#3</t>
  </si>
  <si>
    <t>AVERAGEIF#3</t>
  </si>
  <si>
    <t>COUNTIF#4</t>
  </si>
  <si>
    <t>AVERAGEIF#4</t>
  </si>
  <si>
    <t>COUNTIF#5</t>
  </si>
  <si>
    <t>AVERAGEIF#5</t>
  </si>
  <si>
    <t>COUNTIF#6</t>
  </si>
  <si>
    <t>AVERAGEIF#6</t>
  </si>
  <si>
    <t>COUNTIF#7</t>
  </si>
  <si>
    <t>AVERAGEIF#7</t>
  </si>
  <si>
    <t>COUNTIF#8</t>
  </si>
  <si>
    <t>AVERAGEIF#8</t>
  </si>
  <si>
    <t>COUNTIF#9</t>
  </si>
  <si>
    <t>AVERAGEIF#9</t>
  </si>
  <si>
    <t>COUNTIF#10</t>
  </si>
  <si>
    <t>AVERAGEIF#10</t>
  </si>
  <si>
    <t>COUNTIF#11</t>
  </si>
  <si>
    <t>AVERAGEIF#11</t>
  </si>
  <si>
    <t>COUNTIF#12</t>
  </si>
  <si>
    <t>AVERAGEIF#12</t>
  </si>
  <si>
    <t>COUNTIF#13</t>
  </si>
  <si>
    <t>AVERAGEIF#13</t>
  </si>
  <si>
    <t>AVERAGEIF#14</t>
  </si>
  <si>
    <t>AVERAGEIF#15</t>
  </si>
  <si>
    <t>AVERAGEIF#16</t>
  </si>
  <si>
    <t>AVERAGEIF#17</t>
  </si>
  <si>
    <t>AVERAGEIF#18</t>
  </si>
  <si>
    <t>AVERAGEIF#19</t>
  </si>
  <si>
    <t>AVERAGEIF#20</t>
  </si>
  <si>
    <t>AVERAGEIF#21</t>
  </si>
  <si>
    <t>AVERAGEIF#22</t>
  </si>
  <si>
    <t>AVERAGEIF#23</t>
  </si>
  <si>
    <t>AVERAGEIF#24</t>
  </si>
  <si>
    <t>AVERAGEIF#25</t>
  </si>
  <si>
    <t>AVERAGEIF#26</t>
  </si>
  <si>
    <t>AVERAGEIF#27</t>
  </si>
  <si>
    <t>AVERAGEIF#28</t>
  </si>
  <si>
    <t>AVERAGEIF#29</t>
  </si>
  <si>
    <t>AVERAGEIF#30</t>
  </si>
  <si>
    <t>COUNTIF#14</t>
  </si>
  <si>
    <t>COUNTIF#15</t>
  </si>
  <si>
    <t>COUNTIF#16</t>
  </si>
  <si>
    <t>COUNTIF#17</t>
  </si>
  <si>
    <t>COUNTIF#18</t>
  </si>
  <si>
    <t>COUNTIF#19</t>
  </si>
  <si>
    <t>COUNTIF#20</t>
  </si>
  <si>
    <t>AVERAGEIFS#1</t>
  </si>
  <si>
    <t>AVERAGEIFS#2</t>
  </si>
  <si>
    <t>AVERAGEIFS#3</t>
  </si>
  <si>
    <t>AVERAGEIFS#4</t>
  </si>
  <si>
    <t>AVERAGEIFS#5</t>
  </si>
  <si>
    <t>AVERAGEIFS#6</t>
  </si>
  <si>
    <t>AVERAGEIFS#7</t>
  </si>
  <si>
    <t>AVERAGEIFS#8</t>
  </si>
  <si>
    <t>AVERAGEIFS#9</t>
  </si>
  <si>
    <t>AVERAGEIFS#10</t>
  </si>
  <si>
    <t>AVERAGEIFS#11</t>
  </si>
  <si>
    <t>AVERAGEIFS#12</t>
  </si>
  <si>
    <t>AVERAGEIFS#13</t>
  </si>
  <si>
    <t>AVERAGEIFS#14</t>
  </si>
  <si>
    <t>MAXIFS#1</t>
  </si>
  <si>
    <t>MAXIFS#2</t>
  </si>
  <si>
    <t>MAXIFS#3</t>
  </si>
  <si>
    <t>MAXIFS#4</t>
  </si>
  <si>
    <t>MAXIFS#5</t>
  </si>
  <si>
    <t>MAXIFS#6</t>
  </si>
  <si>
    <t>MAXIFS#7</t>
  </si>
  <si>
    <t>MAXIFS#8</t>
  </si>
  <si>
    <t>MAXIFS#9</t>
  </si>
  <si>
    <t>MAXIFS#10</t>
  </si>
  <si>
    <t>MAXIFS#11</t>
  </si>
  <si>
    <t>MAXIFS#12</t>
  </si>
  <si>
    <t>MAXIFS#13</t>
  </si>
  <si>
    <t>MAXIFS#14</t>
  </si>
  <si>
    <t>MINIFS#1</t>
  </si>
  <si>
    <t>MINIFS#2</t>
  </si>
  <si>
    <t>MINIFS#3</t>
  </si>
  <si>
    <t>MINIFS#4</t>
  </si>
  <si>
    <t>MINIFS#5</t>
  </si>
  <si>
    <t>MINIFS#6</t>
  </si>
  <si>
    <t>MINIFS#7</t>
  </si>
  <si>
    <t>MINIFS#8</t>
  </si>
  <si>
    <t>MINIFS#9</t>
  </si>
  <si>
    <t>MINIFS#10</t>
  </si>
  <si>
    <t>MINIFS#11</t>
  </si>
  <si>
    <t>MINIFS#12</t>
  </si>
  <si>
    <t>MINIFS#13</t>
  </si>
  <si>
    <t>MINIFS#14</t>
  </si>
  <si>
    <t>COUNTIF#21</t>
  </si>
  <si>
    <t>COUNTIF#22</t>
  </si>
  <si>
    <t>COUNTIF#23</t>
  </si>
  <si>
    <t>COUNTIF#24</t>
  </si>
  <si>
    <t>COUNTIF#25</t>
  </si>
  <si>
    <t>COUNTIFS#1</t>
  </si>
  <si>
    <t>COUNTIFS#2</t>
  </si>
  <si>
    <t>AVERAGEIF#31</t>
  </si>
  <si>
    <t>AVERAGEIFS#15</t>
  </si>
  <si>
    <t>BINOM.INV#19</t>
  </si>
  <si>
    <t>BINOM.INV#20</t>
  </si>
  <si>
    <t>BINOM.INV#21</t>
  </si>
  <si>
    <t>BINOM.INV#22</t>
  </si>
  <si>
    <t>BINOM.INV#23</t>
  </si>
  <si>
    <t>BINOM.INV#24</t>
  </si>
  <si>
    <t>BINOM.INV#25</t>
  </si>
  <si>
    <t>BINOM.INV#26</t>
  </si>
  <si>
    <t>BINOM.INV#27</t>
  </si>
  <si>
    <t>BINOM.INV#28</t>
  </si>
  <si>
    <t>BINOM.INV#29</t>
  </si>
  <si>
    <t>BINOM.INV#30</t>
  </si>
  <si>
    <t>BINOM.INV#31</t>
  </si>
  <si>
    <t>BINOM.INV#32</t>
  </si>
  <si>
    <t>MODE#25</t>
  </si>
  <si>
    <t>MODE#26</t>
  </si>
  <si>
    <t>MODE#27</t>
  </si>
  <si>
    <t>MODE#28</t>
  </si>
  <si>
    <t>MODE#29</t>
  </si>
  <si>
    <t>T.DIST#53</t>
  </si>
  <si>
    <t>T.DIST.2T#27</t>
  </si>
  <si>
    <t>T.INV#29</t>
  </si>
  <si>
    <t>CHISQ.DIST#51</t>
  </si>
  <si>
    <t>F.DIST#39</t>
  </si>
  <si>
    <t>F.INV#19</t>
  </si>
  <si>
    <t>GAMMA.DIST#49</t>
  </si>
  <si>
    <t>GAMMA.DIST#50</t>
  </si>
  <si>
    <t>GAMMA.DIST#51</t>
  </si>
  <si>
    <t>GAMMA.DIST#52</t>
  </si>
  <si>
    <t>GAMMA.DIST#53</t>
  </si>
  <si>
    <t>GAMMA.DIST#54</t>
  </si>
  <si>
    <t>GAMMA.INV#25</t>
  </si>
  <si>
    <t>GAMMA.INV#26</t>
  </si>
  <si>
    <t>GAMMA.INV#27</t>
  </si>
  <si>
    <t>GAMMA.INV#28</t>
  </si>
  <si>
    <t>GAMMA.INV#29</t>
  </si>
  <si>
    <t>GAMMA.INV#30</t>
  </si>
  <si>
    <t>GAMMA.INV#31</t>
  </si>
  <si>
    <t>GAMMA.INV#32</t>
  </si>
  <si>
    <t>GAMMA.INV#33</t>
  </si>
  <si>
    <t>CHISQ.INV#26</t>
  </si>
  <si>
    <t>CHISQ.INV#27</t>
  </si>
  <si>
    <t>CHISQ.INV#28</t>
  </si>
  <si>
    <t>CHISQ.INV.RT#26</t>
  </si>
  <si>
    <t>CHISQ.INV.RT#27</t>
  </si>
  <si>
    <t>CHISQ.INV.RT#28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</si>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</sst>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3</v>
      </c>
      <c r="B1">
        <v>1.5</v>
      </c>
      <c r="C1">
        <v>5</v>
      </c>
      <c r="D1">
        <v>5</v>
      </c>
      <c r="E1">
        <v>4</v>
      </c>
      <c r="F1">
        <v>1</v>
      </c>
      <c r="G1">
        <v>10</v>
      </c>
      <c r="H1">
        <v>20</v>
      </c>
      <c r="I1">
        <v>12</v>
      </c>
      <c r="J1">
        <v>18</v>
      </c>
      <c r="L1">
        <v>10</v>
      </c>
      <c r="M1">
        <v>20</v>
      </c>
      <c r="N1">
        <v>30</v>
      </c>
      <c r="O1">
        <v>1.0000000000000001E-5</v>
      </c>
      <c r="P1" t="s">
        <v>0</v>
      </c>
      <c r="Q1">
        <v>60.22</v>
      </c>
      <c r="R1">
        <v>59.42</v>
      </c>
      <c r="S1">
        <v>1000000000.1</v>
      </c>
      <c r="T1">
        <v>5</v>
      </c>
      <c r="U1">
        <v>-2</v>
      </c>
      <c r="V1">
        <v>1</v>
      </c>
      <c r="W1">
        <v>1</v>
      </c>
      <c r="X1">
        <v>9.9999999999999997E+199</v>
      </c>
      <c r="Y1" t="b">
        <v>1</v>
      </c>
      <c r="Z1">
        <v>1</v>
      </c>
    </row>
    <row r="2" spans="1:26" x14ac:dyDescent="0.2">
      <c r="A2">
        <v>7</v>
      </c>
      <c r="B2">
        <v>6</v>
      </c>
      <c r="C2" t="s">
        <v>1</v>
      </c>
      <c r="D2">
        <v>5</v>
      </c>
      <c r="F2">
        <v>3</v>
      </c>
      <c r="G2">
        <v>30</v>
      </c>
      <c r="H2">
        <v>40</v>
      </c>
      <c r="I2">
        <v>28</v>
      </c>
      <c r="J2">
        <v>42</v>
      </c>
      <c r="L2">
        <v>12</v>
      </c>
      <c r="M2">
        <v>18</v>
      </c>
      <c r="N2">
        <v>30</v>
      </c>
      <c r="O2">
        <v>2</v>
      </c>
      <c r="P2" t="s">
        <v>2</v>
      </c>
      <c r="Q2">
        <v>48.04</v>
      </c>
      <c r="R2">
        <v>48.9</v>
      </c>
      <c r="S2">
        <v>1000000000.2</v>
      </c>
      <c r="T2">
        <v>3</v>
      </c>
      <c r="U2">
        <v>0</v>
      </c>
      <c r="V2">
        <v>2</v>
      </c>
      <c r="W2">
        <v>0</v>
      </c>
      <c r="X2">
        <v>9.9999999999999997E+199</v>
      </c>
      <c r="Y2" t="b">
        <v>0</v>
      </c>
      <c r="Z2">
        <v>2</v>
      </c>
    </row>
    <row r="3" spans="1:26" x14ac:dyDescent="0.2">
      <c r="A3">
        <v>7</v>
      </c>
      <c r="B3">
        <v>8</v>
      </c>
      <c r="C3" t="b">
        <v>1</v>
      </c>
      <c r="D3">
        <v>5</v>
      </c>
      <c r="G3">
        <v>15</v>
      </c>
      <c r="H3">
        <v>25</v>
      </c>
      <c r="I3">
        <v>16</v>
      </c>
      <c r="J3">
        <v>24</v>
      </c>
      <c r="O3">
        <v>100000</v>
      </c>
      <c r="P3" t="s">
        <v>3</v>
      </c>
      <c r="Q3">
        <v>41.64</v>
      </c>
      <c r="R3">
        <v>45.29</v>
      </c>
      <c r="S3">
        <v>1000000000.3</v>
      </c>
      <c r="T3">
        <v>5</v>
      </c>
      <c r="U3">
        <v>2</v>
      </c>
      <c r="V3">
        <v>3</v>
      </c>
      <c r="W3">
        <v>3</v>
      </c>
      <c r="X3">
        <v>9.9999999999999997E+199</v>
      </c>
      <c r="Y3" t="b">
        <v>1</v>
      </c>
      <c r="Z3">
        <v>3</v>
      </c>
    </row>
    <row r="4" spans="1:26" x14ac:dyDescent="0.2">
      <c r="A4">
        <v>2</v>
      </c>
      <c r="B4">
        <v>2.5</v>
      </c>
      <c r="C4" t="s">
        <v>4</v>
      </c>
      <c r="D4">
        <v>5</v>
      </c>
      <c r="O4">
        <v>0.5</v>
      </c>
      <c r="Q4">
        <v>56.14</v>
      </c>
      <c r="R4">
        <v>54.42</v>
      </c>
      <c r="S4">
        <v>1000000000.4</v>
      </c>
      <c r="T4">
        <v>1</v>
      </c>
      <c r="Y4">
        <v>2</v>
      </c>
      <c r="Z4">
        <v>4</v>
      </c>
    </row>
    <row r="5" spans="1:26" x14ac:dyDescent="0.2">
      <c r="A5">
        <v>-1.5</v>
      </c>
      <c r="B5">
        <v>0</v>
      </c>
      <c r="O5">
        <v>7</v>
      </c>
      <c r="Q5">
        <v>59.48</v>
      </c>
      <c r="R5">
        <v>62.13</v>
      </c>
      <c r="S5">
        <v>1000000000.5</v>
      </c>
      <c r="T5">
        <v>5</v>
      </c>
      <c r="Z5">
        <v>5</v>
      </c>
    </row>
    <row r="6" spans="1:26" x14ac:dyDescent="0.2">
      <c r="A6">
        <v>10</v>
      </c>
      <c r="B6">
        <v>9</v>
      </c>
      <c r="C6">
        <v>2</v>
      </c>
      <c r="Q6">
        <v>44.8</v>
      </c>
      <c r="R6">
        <v>46.99</v>
      </c>
      <c r="T6">
        <v>3</v>
      </c>
      <c r="Z6">
        <v>6</v>
      </c>
    </row>
    <row r="7" spans="1:26" x14ac:dyDescent="0.2">
      <c r="A7">
        <v>7</v>
      </c>
      <c r="B7">
        <v>7.5</v>
      </c>
      <c r="Q7">
        <v>45.92</v>
      </c>
      <c r="R7">
        <v>44.35</v>
      </c>
      <c r="T7">
        <v>8</v>
      </c>
    </row>
    <row r="8" spans="1:26" x14ac:dyDescent="0.2">
      <c r="A8">
        <v>2</v>
      </c>
      <c r="B8">
        <v>3</v>
      </c>
      <c r="Q8">
        <v>60.99</v>
      </c>
      <c r="R8">
        <v>64.89</v>
      </c>
      <c r="T8">
        <v>0</v>
      </c>
    </row>
    <row r="9" spans="1:26" x14ac:dyDescent="0.2">
      <c r="A9">
        <v>0</v>
      </c>
      <c r="B9">
        <v>1</v>
      </c>
      <c r="Q9">
        <v>56.67</v>
      </c>
      <c r="R9">
        <v>57.04</v>
      </c>
    </row>
    <row r="10" spans="1:26" x14ac:dyDescent="0.2">
      <c r="A10">
        <v>4.25</v>
      </c>
      <c r="B10">
        <v>4</v>
      </c>
      <c r="Q10">
        <v>43.39</v>
      </c>
      <c r="R10">
        <v>42.99</v>
      </c>
    </row>
    <row r="11" spans="1:26" x14ac:dyDescent="0.2">
      <c r="A11">
        <v>12</v>
      </c>
      <c r="B11">
        <v>11.5</v>
      </c>
      <c r="Q11">
        <v>51.81</v>
      </c>
      <c r="R11">
        <v>55.97</v>
      </c>
    </row>
    <row r="12" spans="1:26" x14ac:dyDescent="0.2">
      <c r="A12">
        <v>2</v>
      </c>
      <c r="B12">
        <v>2</v>
      </c>
      <c r="Q12">
        <v>63.6</v>
      </c>
      <c r="R12">
        <v>62.46</v>
      </c>
    </row>
    <row r="13" spans="1:26" x14ac:dyDescent="0.2">
      <c r="Q13">
        <v>52.81</v>
      </c>
      <c r="R13">
        <v>54.17</v>
      </c>
    </row>
    <row r="14" spans="1:26" x14ac:dyDescent="0.2">
      <c r="Q14">
        <v>44.48</v>
      </c>
      <c r="R14">
        <v>47.8</v>
      </c>
    </row>
    <row r="15" spans="1:26" x14ac:dyDescent="0.2">
      <c r="Q15">
        <v>58.09</v>
      </c>
      <c r="R15">
        <v>56.29</v>
      </c>
    </row>
    <row r="16" spans="1:26" x14ac:dyDescent="0.2">
      <c r="Q16">
        <v>63.59</v>
      </c>
      <c r="R16">
        <v>66.66</v>
      </c>
    </row>
    <row r="17" spans="17:18" x14ac:dyDescent="0.2">
      <c r="Q17">
        <v>49.24</v>
      </c>
      <c r="R17">
        <v>50.95</v>
      </c>
    </row>
    <row r="18" spans="17:18" x14ac:dyDescent="0.2">
      <c r="Q18">
        <v>48.12</v>
      </c>
      <c r="R18">
        <v>46.78</v>
      </c>
    </row>
    <row r="19" spans="17:18" x14ac:dyDescent="0.2">
      <c r="Q19">
        <v>63.43</v>
      </c>
      <c r="R19">
        <v>67.510000000000005</v>
      </c>
    </row>
    <row r="20" spans="17:18" x14ac:dyDescent="0.2">
      <c r="Q20">
        <v>61.29</v>
      </c>
      <c r="R20">
        <v>61.19</v>
      </c>
    </row>
    <row r="21" spans="17:18" x14ac:dyDescent="0.2">
      <c r="Q21">
        <v>47.2</v>
      </c>
      <c r="R21">
        <v>47.25</v>
      </c>
    </row>
    <row r="22" spans="17:18" x14ac:dyDescent="0.2">
      <c r="Q22">
        <v>53.65</v>
      </c>
      <c r="R22">
        <v>57.68</v>
      </c>
    </row>
    <row r="23" spans="17:18" x14ac:dyDescent="0.2">
      <c r="Q23">
        <v>66.760000000000005</v>
      </c>
      <c r="R23">
        <v>65.34</v>
      </c>
    </row>
    <row r="24" spans="17:18" x14ac:dyDescent="0.2">
      <c r="Q24">
        <v>57.61</v>
      </c>
      <c r="R24">
        <v>59.47</v>
      </c>
    </row>
    <row r="25" spans="17:18" x14ac:dyDescent="0.2">
      <c r="Q25">
        <v>47.54</v>
      </c>
      <c r="R25">
        <v>50.48</v>
      </c>
    </row>
    <row r="26" spans="17:18" x14ac:dyDescent="0.2">
      <c r="Q26">
        <v>59.96</v>
      </c>
      <c r="R26">
        <v>58.18</v>
      </c>
    </row>
    <row r="27" spans="17:18" x14ac:dyDescent="0.2">
      <c r="Q27">
        <v>67.5</v>
      </c>
      <c r="R27">
        <v>70.930000000000007</v>
      </c>
    </row>
    <row r="28" spans="17:18" x14ac:dyDescent="0.2">
      <c r="Q28">
        <v>53.82</v>
      </c>
      <c r="R28">
        <v>55.03</v>
      </c>
    </row>
    <row r="29" spans="17:18" x14ac:dyDescent="0.2">
      <c r="Q29">
        <v>50.48</v>
      </c>
      <c r="R29">
        <v>49.44</v>
      </c>
    </row>
    <row r="30" spans="17:18" x14ac:dyDescent="0.2">
      <c r="Q30">
        <v>65.7</v>
      </c>
      <c r="R30">
        <v>69.88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2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6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9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_xlfn.WEIBULL.DIST(105,20,100,FALSE)</f>
        <v>3.5588864024503564E-2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3.5588864024503564E-2</v>
      </c>
      <c r="D1" t="str">
        <f t="shared" ref="D1:D64" si="2">IF(ISTEXT(A1),A1,"")</f>
        <v/>
      </c>
      <c r="E1" t="s">
        <v>38</v>
      </c>
    </row>
    <row r="2" spans="1:5" x14ac:dyDescent="0.2">
      <c r="A2" cm="1">
        <f t="array" ref="A2">_xlfn.WEIBULL.DIST(0.00001,0.5,1,TRUE)</f>
        <v>3.1572829264671131E-3</v>
      </c>
      <c r="B2">
        <f t="shared" si="0"/>
        <v>0</v>
      </c>
      <c r="C2">
        <f t="shared" si="1"/>
        <v>3.1572829264671131E-3</v>
      </c>
      <c r="D2" t="str">
        <f t="shared" si="2"/>
        <v/>
      </c>
      <c r="E2" t="s">
        <v>39</v>
      </c>
    </row>
    <row r="3" spans="1:5" x14ac:dyDescent="0.2">
      <c r="A3" cm="1">
        <f t="array" ref="A3">_xlfn.WEIBULL.DIST(0.00001,0.5,1,FALSE)</f>
        <v>157.61467274515908</v>
      </c>
      <c r="B3">
        <f t="shared" si="0"/>
        <v>0</v>
      </c>
      <c r="C3">
        <f t="shared" si="1"/>
        <v>157.61467274515908</v>
      </c>
      <c r="D3" t="str">
        <f t="shared" si="2"/>
        <v/>
      </c>
      <c r="E3" t="s">
        <v>40</v>
      </c>
    </row>
    <row r="4" spans="1:5" x14ac:dyDescent="0.2">
      <c r="A4" cm="1">
        <f t="array" ref="A4">_xlfn.WEIBULL.DIST(0,0.5,1,TRUE)</f>
        <v>0</v>
      </c>
      <c r="B4">
        <f t="shared" si="0"/>
        <v>0</v>
      </c>
      <c r="C4">
        <f t="shared" si="1"/>
        <v>0</v>
      </c>
      <c r="D4" t="str">
        <f t="shared" si="2"/>
        <v/>
      </c>
      <c r="E4" t="s">
        <v>41</v>
      </c>
    </row>
    <row r="5" spans="1:5" x14ac:dyDescent="0.2">
      <c r="A5" cm="1">
        <f t="array" ref="A5">_xlfn.WEIBULL.DIST(0,0.5,1,FALSE)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42</v>
      </c>
    </row>
    <row r="6" spans="1:5" x14ac:dyDescent="0.2">
      <c r="A6" cm="1">
        <f t="array" ref="A6">_xlfn.WEIBULL.DIST(0,1,2,TRUE)</f>
        <v>0</v>
      </c>
      <c r="B6">
        <f t="shared" si="0"/>
        <v>0</v>
      </c>
      <c r="C6">
        <f t="shared" si="1"/>
        <v>0</v>
      </c>
      <c r="D6" t="str">
        <f t="shared" si="2"/>
        <v/>
      </c>
      <c r="E6" t="s">
        <v>43</v>
      </c>
    </row>
    <row r="7" spans="1:5" x14ac:dyDescent="0.2">
      <c r="A7" cm="1">
        <f t="array" ref="A7">_xlfn.WEIBULL.DIST(0,1,2,FALSE)</f>
        <v>0</v>
      </c>
      <c r="B7">
        <f t="shared" si="0"/>
        <v>0</v>
      </c>
      <c r="C7">
        <f t="shared" si="1"/>
        <v>0</v>
      </c>
      <c r="D7" t="str">
        <f t="shared" si="2"/>
        <v/>
      </c>
      <c r="E7" t="s">
        <v>44</v>
      </c>
    </row>
    <row r="8" spans="1:5" x14ac:dyDescent="0.2">
      <c r="A8" cm="1">
        <f t="array" ref="A8">_xlfn.WEIBULL.DIST(0,2,2,TRUE)</f>
        <v>0</v>
      </c>
      <c r="B8">
        <f t="shared" si="0"/>
        <v>0</v>
      </c>
      <c r="C8">
        <f t="shared" si="1"/>
        <v>0</v>
      </c>
      <c r="D8" t="str">
        <f t="shared" si="2"/>
        <v/>
      </c>
      <c r="E8" t="s">
        <v>45</v>
      </c>
    </row>
    <row r="9" spans="1:5" x14ac:dyDescent="0.2">
      <c r="A9" cm="1">
        <f t="array" ref="A9">_xlfn.WEIBULL.DIST(0,2,2,FALSE)</f>
        <v>0</v>
      </c>
      <c r="B9">
        <f t="shared" si="0"/>
        <v>0</v>
      </c>
      <c r="C9">
        <f t="shared" si="1"/>
        <v>0</v>
      </c>
      <c r="D9" t="str">
        <f t="shared" si="2"/>
        <v/>
      </c>
      <c r="E9" t="s">
        <v>46</v>
      </c>
    </row>
    <row r="10" spans="1:5" x14ac:dyDescent="0.2">
      <c r="A10" cm="1">
        <f t="array" ref="A10">_xlfn.WEIBULL.DIST(105,1000,100,TRUE)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47</v>
      </c>
    </row>
    <row r="11" spans="1:5" x14ac:dyDescent="0.2">
      <c r="A11" t="e" cm="1">
        <f t="array" ref="A11">_xlfn.WEIBULL.DIST(105,1000,100,FALSE)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48</v>
      </c>
    </row>
    <row r="12" spans="1:5" x14ac:dyDescent="0.2">
      <c r="A12" t="e" cm="1">
        <f t="array" ref="A12">_xlfn.WEIBULL.DIST(105,20000,100,TRUE)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49</v>
      </c>
    </row>
    <row r="13" spans="1:5" x14ac:dyDescent="0.2">
      <c r="A13" t="e" cm="1">
        <f t="array" ref="A13">_xlfn.WEIBULL.DIST(105,20000,100,FALSE)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50</v>
      </c>
    </row>
    <row r="14" spans="1:5" x14ac:dyDescent="0.2">
      <c r="A14" cm="1">
        <f t="array" ref="A14">_xlfn.WEIBULL.DIST(95,20000,100,TRUE)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51</v>
      </c>
    </row>
    <row r="15" spans="1:5" x14ac:dyDescent="0.2">
      <c r="A15" t="e" cm="1">
        <f t="array" ref="A15">_xlfn.WEIBULL.DIST(95,20000,100,FALSE)</f>
        <v>#NUM!</v>
      </c>
      <c r="B15">
        <f t="shared" si="0"/>
        <v>6</v>
      </c>
      <c r="C15">
        <f t="shared" si="1"/>
        <v>0</v>
      </c>
      <c r="D15" t="str">
        <f t="shared" si="2"/>
        <v/>
      </c>
      <c r="E15" t="s">
        <v>52</v>
      </c>
    </row>
    <row r="16" spans="1:5" x14ac:dyDescent="0.2">
      <c r="A16" cm="1">
        <f t="array" ref="A16">_xlfn.WEIBULL.DIST(3,20,100,TRUE)</f>
        <v>3.4867844009999791E-31</v>
      </c>
      <c r="B16">
        <f t="shared" si="0"/>
        <v>0</v>
      </c>
      <c r="C16">
        <f t="shared" si="1"/>
        <v>3.4867844009999791E-31</v>
      </c>
      <c r="D16" t="str">
        <f t="shared" si="2"/>
        <v/>
      </c>
      <c r="E16" t="s">
        <v>53</v>
      </c>
    </row>
    <row r="17" spans="1:5" x14ac:dyDescent="0.2">
      <c r="A17" cm="1">
        <f t="array" ref="A17">_xlfn.WEIBULL.DIST(3,20,100,FALSE)</f>
        <v>2.3245229339999669E-30</v>
      </c>
      <c r="B17">
        <f t="shared" si="0"/>
        <v>0</v>
      </c>
      <c r="C17">
        <f t="shared" si="1"/>
        <v>2.3245229339999669E-30</v>
      </c>
      <c r="D17" t="str">
        <f t="shared" si="2"/>
        <v/>
      </c>
      <c r="E17" t="s">
        <v>54</v>
      </c>
    </row>
    <row r="18" spans="1:5" x14ac:dyDescent="0.2">
      <c r="A18" t="e" cm="1">
        <f t="array" ref="A18">_xlfn.WEIBULL.DIST(1E+300,2,1,TRUE)</f>
        <v>#NUM!</v>
      </c>
      <c r="B18">
        <f t="shared" si="0"/>
        <v>6</v>
      </c>
      <c r="C18">
        <f t="shared" si="1"/>
        <v>0</v>
      </c>
      <c r="D18" t="str">
        <f t="shared" si="2"/>
        <v/>
      </c>
      <c r="E18" t="s">
        <v>55</v>
      </c>
    </row>
    <row r="19" spans="1:5" x14ac:dyDescent="0.2">
      <c r="A19" t="e" cm="1">
        <f t="array" ref="A19">_xlfn.WEIBULL.DIST(1E+300,2,1,FALSE)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56</v>
      </c>
    </row>
    <row r="20" spans="1:5" x14ac:dyDescent="0.2">
      <c r="A20" t="e" cm="1">
        <f t="array" ref="A20">_xlfn.WEIBULL.DIST(5,0,1,TRUE)</f>
        <v>#NUM!</v>
      </c>
      <c r="B20">
        <f t="shared" si="0"/>
        <v>6</v>
      </c>
      <c r="C20">
        <f t="shared" si="1"/>
        <v>0</v>
      </c>
      <c r="D20" t="str">
        <f t="shared" si="2"/>
        <v/>
      </c>
      <c r="E20" t="s">
        <v>57</v>
      </c>
    </row>
    <row r="21" spans="1:5" x14ac:dyDescent="0.2">
      <c r="A21" t="e" cm="1">
        <f t="array" ref="A21">_xlfn.WEIBULL.DIST(5,0,1,FALSE)</f>
        <v>#NUM!</v>
      </c>
      <c r="B21">
        <f t="shared" si="0"/>
        <v>6</v>
      </c>
      <c r="C21">
        <f t="shared" si="1"/>
        <v>0</v>
      </c>
      <c r="D21" t="str">
        <f t="shared" si="2"/>
        <v/>
      </c>
      <c r="E21" t="s">
        <v>58</v>
      </c>
    </row>
    <row r="22" spans="1:5" x14ac:dyDescent="0.2">
      <c r="A22" t="e" cm="1">
        <f t="array" ref="A22">_xlfn.WEIBULL.DIST(5,1,0,TRUE)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59</v>
      </c>
    </row>
    <row r="23" spans="1:5" x14ac:dyDescent="0.2">
      <c r="A23" t="e" cm="1">
        <f t="array" ref="A23">_xlfn.WEIBULL.DIST(5,1,0,FALSE)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60</v>
      </c>
    </row>
    <row r="24" spans="1:5" x14ac:dyDescent="0.2">
      <c r="A24" t="e" cm="1">
        <f t="array" ref="A24">_xlfn.WEIBULL.DIST(-1,2,1,TRUE)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61</v>
      </c>
    </row>
    <row r="25" spans="1:5" x14ac:dyDescent="0.2">
      <c r="A25" t="e" cm="1">
        <f t="array" ref="A25">_xlfn.WEIBULL.DIST(-1,2,1,FALSE)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62</v>
      </c>
    </row>
    <row r="26" spans="1:5" x14ac:dyDescent="0.2">
      <c r="A26" t="e" cm="1">
        <f t="array" ref="A26">_xlfn.WEIBULL.DIST(5,2,1E-300,TRUE)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63</v>
      </c>
    </row>
    <row r="27" spans="1:5" x14ac:dyDescent="0.2">
      <c r="A27" t="e" cm="1">
        <f t="array" ref="A27">_xlfn.WEIBULL.DIST(5,2,1E-300,FALSE)</f>
        <v>#DIV/0!</v>
      </c>
      <c r="B27">
        <f t="shared" si="0"/>
        <v>2</v>
      </c>
      <c r="C27">
        <f t="shared" si="1"/>
        <v>0</v>
      </c>
      <c r="D27" t="str">
        <f t="shared" si="2"/>
        <v/>
      </c>
      <c r="E27" t="s">
        <v>64</v>
      </c>
    </row>
    <row r="28" spans="1:5" x14ac:dyDescent="0.2">
      <c r="A28" cm="1">
        <f t="array" ref="A28">CONFIDENCE(0.05,2.5,50)</f>
        <v>0.69295191217483865</v>
      </c>
      <c r="B28">
        <f t="shared" si="0"/>
        <v>0</v>
      </c>
      <c r="C28">
        <f t="shared" si="1"/>
        <v>0.69295191217483865</v>
      </c>
      <c r="D28" t="str">
        <f t="shared" si="2"/>
        <v/>
      </c>
      <c r="E28" t="s">
        <v>65</v>
      </c>
    </row>
    <row r="29" spans="1:5" x14ac:dyDescent="0.2">
      <c r="A29" cm="1">
        <f t="array" ref="A29">CONFIDENCE(0.05,1,1)</f>
        <v>1.9599639845400536</v>
      </c>
      <c r="B29">
        <f t="shared" si="0"/>
        <v>0</v>
      </c>
      <c r="C29">
        <f t="shared" si="1"/>
        <v>1.9599639845400536</v>
      </c>
      <c r="D29" t="str">
        <f t="shared" si="2"/>
        <v/>
      </c>
      <c r="E29" t="s">
        <v>66</v>
      </c>
    </row>
    <row r="30" spans="1:5" x14ac:dyDescent="0.2">
      <c r="A30" cm="1">
        <f t="array" ref="A30">CONFIDENCE(0.05,1,2)</f>
        <v>1.3859038243496773</v>
      </c>
      <c r="B30">
        <f t="shared" si="0"/>
        <v>0</v>
      </c>
      <c r="C30">
        <f t="shared" si="1"/>
        <v>1.3859038243496773</v>
      </c>
      <c r="D30" t="str">
        <f t="shared" si="2"/>
        <v/>
      </c>
      <c r="E30" t="s">
        <v>67</v>
      </c>
    </row>
    <row r="31" spans="1:5" x14ac:dyDescent="0.2">
      <c r="A31" cm="1">
        <f t="array" ref="A31">CONFIDENCE(0.05,1,1.9)</f>
        <v>1.9599639845400536</v>
      </c>
      <c r="B31">
        <f t="shared" si="0"/>
        <v>0</v>
      </c>
      <c r="C31">
        <f t="shared" si="1"/>
        <v>1.9599639845400536</v>
      </c>
      <c r="D31" t="str">
        <f t="shared" si="2"/>
        <v/>
      </c>
      <c r="E31" t="s">
        <v>68</v>
      </c>
    </row>
    <row r="32" spans="1:5" x14ac:dyDescent="0.2">
      <c r="A32" cm="1">
        <f t="array" ref="A32">CONFIDENCE(0.05,1,2.9)</f>
        <v>1.3859038243496773</v>
      </c>
      <c r="B32">
        <f t="shared" si="0"/>
        <v>0</v>
      </c>
      <c r="C32">
        <f t="shared" si="1"/>
        <v>1.3859038243496773</v>
      </c>
      <c r="D32" t="str">
        <f t="shared" si="2"/>
        <v/>
      </c>
      <c r="E32" t="s">
        <v>69</v>
      </c>
    </row>
    <row r="33" spans="1:5" x14ac:dyDescent="0.2">
      <c r="A33" cm="1">
        <f t="array" ref="A33">CONFIDENCE(0.0000000001,1,10)</f>
        <v>2.0450294913028211</v>
      </c>
      <c r="B33">
        <f t="shared" si="0"/>
        <v>0</v>
      </c>
      <c r="C33">
        <f t="shared" si="1"/>
        <v>2.0450294913028211</v>
      </c>
      <c r="D33" t="str">
        <f t="shared" si="2"/>
        <v/>
      </c>
      <c r="E33" t="s">
        <v>70</v>
      </c>
    </row>
    <row r="34" spans="1:5" x14ac:dyDescent="0.2">
      <c r="A34" cm="1">
        <f t="array" ref="A34">CONFIDENCE(0.999999,1,10)</f>
        <v>3.9633272981610354E-7</v>
      </c>
      <c r="B34">
        <f t="shared" si="0"/>
        <v>0</v>
      </c>
      <c r="C34">
        <f t="shared" si="1"/>
        <v>3.9633272981610354E-7</v>
      </c>
      <c r="D34" t="str">
        <f t="shared" si="2"/>
        <v/>
      </c>
      <c r="E34" t="s">
        <v>71</v>
      </c>
    </row>
    <row r="35" spans="1:5" x14ac:dyDescent="0.2">
      <c r="A35" t="e" cm="1">
        <f t="array" ref="A35">CONFIDENCE(1,1,10)</f>
        <v>#NUM!</v>
      </c>
      <c r="B35">
        <f t="shared" si="0"/>
        <v>6</v>
      </c>
      <c r="C35">
        <f t="shared" si="1"/>
        <v>0</v>
      </c>
      <c r="D35" t="str">
        <f t="shared" si="2"/>
        <v/>
      </c>
      <c r="E35" t="s">
        <v>72</v>
      </c>
    </row>
    <row r="36" spans="1:5" x14ac:dyDescent="0.2">
      <c r="A36" t="e" cm="1">
        <f t="array" ref="A36">CONFIDENCE(0,1,10)</f>
        <v>#NUM!</v>
      </c>
      <c r="B36">
        <f t="shared" si="0"/>
        <v>6</v>
      </c>
      <c r="C36">
        <f t="shared" si="1"/>
        <v>0</v>
      </c>
      <c r="D36" t="str">
        <f t="shared" si="2"/>
        <v/>
      </c>
      <c r="E36" t="s">
        <v>73</v>
      </c>
    </row>
    <row r="37" spans="1:5" x14ac:dyDescent="0.2">
      <c r="A37" t="e" cm="1">
        <f t="array" ref="A37">CONFIDENCE(0.05,0,10)</f>
        <v>#NUM!</v>
      </c>
      <c r="B37">
        <f t="shared" si="0"/>
        <v>6</v>
      </c>
      <c r="C37">
        <f t="shared" si="1"/>
        <v>0</v>
      </c>
      <c r="D37" t="str">
        <f t="shared" si="2"/>
        <v/>
      </c>
      <c r="E37" t="s">
        <v>74</v>
      </c>
    </row>
    <row r="38" spans="1:5" x14ac:dyDescent="0.2">
      <c r="A38" t="e" cm="1">
        <f t="array" ref="A38">CONFIDENCE(0.05,-1,10)</f>
        <v>#NUM!</v>
      </c>
      <c r="B38">
        <f t="shared" si="0"/>
        <v>6</v>
      </c>
      <c r="C38">
        <f t="shared" si="1"/>
        <v>0</v>
      </c>
      <c r="D38" t="str">
        <f t="shared" si="2"/>
        <v/>
      </c>
      <c r="E38" t="s">
        <v>75</v>
      </c>
    </row>
    <row r="39" spans="1:5" x14ac:dyDescent="0.2">
      <c r="A39" t="e" cm="1">
        <f t="array" ref="A39">CONFIDENCE(0.05,1,0)</f>
        <v>#NUM!</v>
      </c>
      <c r="B39">
        <f t="shared" si="0"/>
        <v>6</v>
      </c>
      <c r="C39">
        <f t="shared" si="1"/>
        <v>0</v>
      </c>
      <c r="D39" t="str">
        <f t="shared" si="2"/>
        <v/>
      </c>
      <c r="E39" t="s">
        <v>76</v>
      </c>
    </row>
    <row r="40" spans="1:5" x14ac:dyDescent="0.2">
      <c r="A40" t="e" cm="1">
        <f t="array" ref="A40">CONFIDENCE(0.05,1,0.9)</f>
        <v>#NUM!</v>
      </c>
      <c r="B40">
        <f t="shared" si="0"/>
        <v>6</v>
      </c>
      <c r="C40">
        <f t="shared" si="1"/>
        <v>0</v>
      </c>
      <c r="D40" t="str">
        <f t="shared" si="2"/>
        <v/>
      </c>
      <c r="E40" t="s">
        <v>77</v>
      </c>
    </row>
    <row r="41" spans="1:5" x14ac:dyDescent="0.2">
      <c r="A41" cm="1">
        <f t="array" ref="A41">CONFIDENCE(0.05,1,10000000000)</f>
        <v>1.9599639845400536E-5</v>
      </c>
      <c r="B41">
        <f t="shared" si="0"/>
        <v>0</v>
      </c>
      <c r="C41">
        <f t="shared" si="1"/>
        <v>1.9599639845400536E-5</v>
      </c>
      <c r="D41" t="str">
        <f t="shared" si="2"/>
        <v/>
      </c>
      <c r="E41" t="s">
        <v>78</v>
      </c>
    </row>
    <row r="42" spans="1:5" x14ac:dyDescent="0.2">
      <c r="A42" cm="1">
        <f t="array" ref="A42">CONFIDENCE(0.05,1E+300,5)</f>
        <v>8.765225405765813E+299</v>
      </c>
      <c r="B42">
        <f t="shared" si="0"/>
        <v>0</v>
      </c>
      <c r="C42">
        <f t="shared" si="1"/>
        <v>8.765225405765813E+299</v>
      </c>
      <c r="D42" t="str">
        <f t="shared" si="2"/>
        <v/>
      </c>
      <c r="E42" t="s">
        <v>79</v>
      </c>
    </row>
    <row r="43" spans="1:5" x14ac:dyDescent="0.2">
      <c r="A43" cm="1">
        <f t="array" ref="A43">CONFIDENCE("0.1",TRUE,"7")</f>
        <v>0.62169623428802889</v>
      </c>
      <c r="B43">
        <f t="shared" si="0"/>
        <v>0</v>
      </c>
      <c r="C43">
        <f t="shared" si="1"/>
        <v>0.62169623428802889</v>
      </c>
      <c r="D43" t="str">
        <f t="shared" si="2"/>
        <v/>
      </c>
      <c r="E43" t="s">
        <v>80</v>
      </c>
    </row>
    <row r="44" spans="1:5" x14ac:dyDescent="0.2">
      <c r="A44" cm="1">
        <f t="array" ref="A44">_xlfn.CONFIDENCE.NORM(0.05,2.5,50)</f>
        <v>0.69295191217483865</v>
      </c>
      <c r="B44">
        <f t="shared" si="0"/>
        <v>0</v>
      </c>
      <c r="C44">
        <f t="shared" si="1"/>
        <v>0.69295191217483865</v>
      </c>
      <c r="D44" t="str">
        <f t="shared" si="2"/>
        <v/>
      </c>
      <c r="E44" t="s">
        <v>81</v>
      </c>
    </row>
    <row r="45" spans="1:5" x14ac:dyDescent="0.2">
      <c r="A45" cm="1">
        <f t="array" ref="A45">_xlfn.CONFIDENCE.NORM(0.05,1,1)</f>
        <v>1.9599639845400536</v>
      </c>
      <c r="B45">
        <f t="shared" si="0"/>
        <v>0</v>
      </c>
      <c r="C45">
        <f t="shared" si="1"/>
        <v>1.9599639845400536</v>
      </c>
      <c r="D45" t="str">
        <f t="shared" si="2"/>
        <v/>
      </c>
      <c r="E45" t="s">
        <v>82</v>
      </c>
    </row>
    <row r="46" spans="1:5" x14ac:dyDescent="0.2">
      <c r="A46" cm="1">
        <f t="array" ref="A46">_xlfn.CONFIDENCE.NORM(0.05,1,2)</f>
        <v>1.3859038243496773</v>
      </c>
      <c r="B46">
        <f t="shared" si="0"/>
        <v>0</v>
      </c>
      <c r="C46">
        <f t="shared" si="1"/>
        <v>1.3859038243496773</v>
      </c>
      <c r="D46" t="str">
        <f t="shared" si="2"/>
        <v/>
      </c>
      <c r="E46" t="s">
        <v>83</v>
      </c>
    </row>
    <row r="47" spans="1:5" x14ac:dyDescent="0.2">
      <c r="A47" cm="1">
        <f t="array" ref="A47">_xlfn.CONFIDENCE.NORM(0.05,1,1.9)</f>
        <v>1.9599639845400536</v>
      </c>
      <c r="B47">
        <f t="shared" si="0"/>
        <v>0</v>
      </c>
      <c r="C47">
        <f t="shared" si="1"/>
        <v>1.9599639845400536</v>
      </c>
      <c r="D47" t="str">
        <f t="shared" si="2"/>
        <v/>
      </c>
      <c r="E47" t="s">
        <v>84</v>
      </c>
    </row>
    <row r="48" spans="1:5" x14ac:dyDescent="0.2">
      <c r="A48" cm="1">
        <f t="array" ref="A48">_xlfn.CONFIDENCE.NORM(0.05,1,2.9)</f>
        <v>1.3859038243496773</v>
      </c>
      <c r="B48">
        <f t="shared" si="0"/>
        <v>0</v>
      </c>
      <c r="C48">
        <f t="shared" si="1"/>
        <v>1.3859038243496773</v>
      </c>
      <c r="D48" t="str">
        <f t="shared" si="2"/>
        <v/>
      </c>
      <c r="E48" t="s">
        <v>85</v>
      </c>
    </row>
    <row r="49" spans="1:5" x14ac:dyDescent="0.2">
      <c r="A49" cm="1">
        <f t="array" ref="A49">_xlfn.CONFIDENCE.NORM(0.0000000001,1,10)</f>
        <v>2.0450294913028211</v>
      </c>
      <c r="B49">
        <f t="shared" si="0"/>
        <v>0</v>
      </c>
      <c r="C49">
        <f t="shared" si="1"/>
        <v>2.0450294913028211</v>
      </c>
      <c r="D49" t="str">
        <f t="shared" si="2"/>
        <v/>
      </c>
      <c r="E49" t="s">
        <v>86</v>
      </c>
    </row>
    <row r="50" spans="1:5" x14ac:dyDescent="0.2">
      <c r="A50" cm="1">
        <f t="array" ref="A50">_xlfn.CONFIDENCE.NORM(0.999999,1,10)</f>
        <v>3.9633272981610354E-7</v>
      </c>
      <c r="B50">
        <f t="shared" si="0"/>
        <v>0</v>
      </c>
      <c r="C50">
        <f t="shared" si="1"/>
        <v>3.9633272981610354E-7</v>
      </c>
      <c r="D50" t="str">
        <f t="shared" si="2"/>
        <v/>
      </c>
      <c r="E50" t="s">
        <v>87</v>
      </c>
    </row>
    <row r="51" spans="1:5" x14ac:dyDescent="0.2">
      <c r="A51" t="e" cm="1">
        <f t="array" ref="A51">_xlfn.CONFIDENCE.NORM(1,1,10)</f>
        <v>#NUM!</v>
      </c>
      <c r="B51">
        <f t="shared" si="0"/>
        <v>6</v>
      </c>
      <c r="C51">
        <f t="shared" si="1"/>
        <v>0</v>
      </c>
      <c r="D51" t="str">
        <f t="shared" si="2"/>
        <v/>
      </c>
      <c r="E51" t="s">
        <v>88</v>
      </c>
    </row>
    <row r="52" spans="1:5" x14ac:dyDescent="0.2">
      <c r="A52" t="e" cm="1">
        <f t="array" ref="A52">_xlfn.CONFIDENCE.NORM(0,1,10)</f>
        <v>#NUM!</v>
      </c>
      <c r="B52">
        <f t="shared" si="0"/>
        <v>6</v>
      </c>
      <c r="C52">
        <f t="shared" si="1"/>
        <v>0</v>
      </c>
      <c r="D52" t="str">
        <f t="shared" si="2"/>
        <v/>
      </c>
      <c r="E52" t="s">
        <v>89</v>
      </c>
    </row>
    <row r="53" spans="1:5" x14ac:dyDescent="0.2">
      <c r="A53" t="e" cm="1">
        <f t="array" ref="A53">_xlfn.CONFIDENCE.NORM(0.05,0,10)</f>
        <v>#NUM!</v>
      </c>
      <c r="B53">
        <f t="shared" si="0"/>
        <v>6</v>
      </c>
      <c r="C53">
        <f t="shared" si="1"/>
        <v>0</v>
      </c>
      <c r="D53" t="str">
        <f t="shared" si="2"/>
        <v/>
      </c>
      <c r="E53" t="s">
        <v>90</v>
      </c>
    </row>
    <row r="54" spans="1:5" x14ac:dyDescent="0.2">
      <c r="A54" t="e" cm="1">
        <f t="array" ref="A54">_xlfn.CONFIDENCE.NORM(0.05,-1,10)</f>
        <v>#NUM!</v>
      </c>
      <c r="B54">
        <f t="shared" si="0"/>
        <v>6</v>
      </c>
      <c r="C54">
        <f t="shared" si="1"/>
        <v>0</v>
      </c>
      <c r="D54" t="str">
        <f t="shared" si="2"/>
        <v/>
      </c>
      <c r="E54" t="s">
        <v>91</v>
      </c>
    </row>
    <row r="55" spans="1:5" x14ac:dyDescent="0.2">
      <c r="A55" t="e" cm="1">
        <f t="array" ref="A55">_xlfn.CONFIDENCE.NORM(0.05,1,0)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92</v>
      </c>
    </row>
    <row r="56" spans="1:5" x14ac:dyDescent="0.2">
      <c r="A56" t="e" cm="1">
        <f t="array" ref="A56">_xlfn.CONFIDENCE.NORM(0.05,1,0.9)</f>
        <v>#NUM!</v>
      </c>
      <c r="B56">
        <f t="shared" si="0"/>
        <v>6</v>
      </c>
      <c r="C56">
        <f t="shared" si="1"/>
        <v>0</v>
      </c>
      <c r="D56" t="str">
        <f t="shared" si="2"/>
        <v/>
      </c>
      <c r="E56" t="s">
        <v>93</v>
      </c>
    </row>
    <row r="57" spans="1:5" x14ac:dyDescent="0.2">
      <c r="A57" cm="1">
        <f t="array" ref="A57">_xlfn.CONFIDENCE.NORM(0.05,1,10000000000)</f>
        <v>1.9599639845400536E-5</v>
      </c>
      <c r="B57">
        <f t="shared" si="0"/>
        <v>0</v>
      </c>
      <c r="C57">
        <f t="shared" si="1"/>
        <v>1.9599639845400536E-5</v>
      </c>
      <c r="D57" t="str">
        <f t="shared" si="2"/>
        <v/>
      </c>
      <c r="E57" t="s">
        <v>94</v>
      </c>
    </row>
    <row r="58" spans="1:5" x14ac:dyDescent="0.2">
      <c r="A58" cm="1">
        <f t="array" ref="A58">_xlfn.CONFIDENCE.NORM(0.05,1E+300,5)</f>
        <v>8.765225405765813E+299</v>
      </c>
      <c r="B58">
        <f t="shared" si="0"/>
        <v>0</v>
      </c>
      <c r="C58">
        <f t="shared" si="1"/>
        <v>8.765225405765813E+299</v>
      </c>
      <c r="D58" t="str">
        <f t="shared" si="2"/>
        <v/>
      </c>
      <c r="E58" t="s">
        <v>95</v>
      </c>
    </row>
    <row r="59" spans="1:5" x14ac:dyDescent="0.2">
      <c r="A59" cm="1">
        <f t="array" ref="A59">_xlfn.CONFIDENCE.NORM("0.1",TRUE,"7")</f>
        <v>0.62169623428802889</v>
      </c>
      <c r="B59">
        <f t="shared" si="0"/>
        <v>0</v>
      </c>
      <c r="C59">
        <f t="shared" si="1"/>
        <v>0.62169623428802889</v>
      </c>
      <c r="D59" t="str">
        <f t="shared" si="2"/>
        <v/>
      </c>
      <c r="E59" t="s">
        <v>96</v>
      </c>
    </row>
    <row r="60" spans="1:5" x14ac:dyDescent="0.2">
      <c r="A60" cm="1">
        <f t="array" ref="A60">_xlfn.CONFIDENCE.T(0.05,2.5,50)</f>
        <v>0.71049213873932449</v>
      </c>
      <c r="B60">
        <f t="shared" si="0"/>
        <v>0</v>
      </c>
      <c r="C60">
        <f t="shared" si="1"/>
        <v>0.71049213873932449</v>
      </c>
      <c r="D60" t="str">
        <f t="shared" si="2"/>
        <v/>
      </c>
      <c r="E60" t="s">
        <v>97</v>
      </c>
    </row>
    <row r="61" spans="1:5" x14ac:dyDescent="0.2">
      <c r="A61" t="e" cm="1">
        <f t="array" ref="A61">_xlfn.CONFIDENCE.T(0.05,1,1)</f>
        <v>#DIV/0!</v>
      </c>
      <c r="B61">
        <f t="shared" si="0"/>
        <v>2</v>
      </c>
      <c r="C61">
        <f t="shared" si="1"/>
        <v>0</v>
      </c>
      <c r="D61" t="str">
        <f t="shared" si="2"/>
        <v/>
      </c>
      <c r="E61" t="s">
        <v>98</v>
      </c>
    </row>
    <row r="62" spans="1:5" x14ac:dyDescent="0.2">
      <c r="A62" cm="1">
        <f t="array" ref="A62">_xlfn.CONFIDENCE.T(0.05,1,2)</f>
        <v>8.9846435320937594</v>
      </c>
      <c r="B62">
        <f t="shared" si="0"/>
        <v>0</v>
      </c>
      <c r="C62">
        <f t="shared" si="1"/>
        <v>8.9846435320937594</v>
      </c>
      <c r="D62" t="str">
        <f t="shared" si="2"/>
        <v/>
      </c>
      <c r="E62" t="s">
        <v>99</v>
      </c>
    </row>
    <row r="63" spans="1:5" x14ac:dyDescent="0.2">
      <c r="A63" t="e" cm="1">
        <f t="array" ref="A63">_xlfn.CONFIDENCE.T(0.05,1,1.9)</f>
        <v>#DIV/0!</v>
      </c>
      <c r="B63">
        <f t="shared" si="0"/>
        <v>2</v>
      </c>
      <c r="C63">
        <f t="shared" si="1"/>
        <v>0</v>
      </c>
      <c r="D63" t="str">
        <f t="shared" si="2"/>
        <v/>
      </c>
      <c r="E63" t="s">
        <v>100</v>
      </c>
    </row>
    <row r="64" spans="1:5" x14ac:dyDescent="0.2">
      <c r="A64" cm="1">
        <f t="array" ref="A64">_xlfn.CONFIDENCE.T(0.05,1,2.9)</f>
        <v>8.9846435320937594</v>
      </c>
      <c r="B64">
        <f t="shared" si="0"/>
        <v>0</v>
      </c>
      <c r="C64">
        <f t="shared" si="1"/>
        <v>8.9846435320937594</v>
      </c>
      <c r="D64" t="str">
        <f t="shared" si="2"/>
        <v/>
      </c>
      <c r="E64" t="s">
        <v>101</v>
      </c>
    </row>
    <row r="65" spans="1:5" x14ac:dyDescent="0.2">
      <c r="A65" cm="1">
        <f t="array" ref="A65">_xlfn.CONFIDENCE.T(0.0000000001,1,10)</f>
        <v>10.504660825024196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10.504660825024196</v>
      </c>
      <c r="D65" t="str">
        <f t="shared" ref="D65:D128" si="5">IF(ISTEXT(A65),A65,"")</f>
        <v/>
      </c>
      <c r="E65" t="s">
        <v>102</v>
      </c>
    </row>
    <row r="66" spans="1:5" x14ac:dyDescent="0.2">
      <c r="A66" cm="1">
        <f t="array" ref="A66">_xlfn.CONFIDENCE.T(0.999999,1,10)</f>
        <v>4.0747334685113576E-7</v>
      </c>
      <c r="B66">
        <f t="shared" si="3"/>
        <v>0</v>
      </c>
      <c r="C66">
        <f t="shared" si="4"/>
        <v>4.0747334685113576E-7</v>
      </c>
      <c r="D66" t="str">
        <f t="shared" si="5"/>
        <v/>
      </c>
      <c r="E66" t="s">
        <v>103</v>
      </c>
    </row>
    <row r="67" spans="1:5" x14ac:dyDescent="0.2">
      <c r="A67" t="e" cm="1">
        <f t="array" ref="A67">_xlfn.CONFIDENCE.T(1,1,10)</f>
        <v>#NUM!</v>
      </c>
      <c r="B67">
        <f t="shared" si="3"/>
        <v>6</v>
      </c>
      <c r="C67">
        <f t="shared" si="4"/>
        <v>0</v>
      </c>
      <c r="D67" t="str">
        <f t="shared" si="5"/>
        <v/>
      </c>
      <c r="E67" t="s">
        <v>104</v>
      </c>
    </row>
    <row r="68" spans="1:5" x14ac:dyDescent="0.2">
      <c r="A68" t="e" cm="1">
        <f t="array" ref="A68">_xlfn.CONFIDENCE.T(0,1,10)</f>
        <v>#NUM!</v>
      </c>
      <c r="B68">
        <f t="shared" si="3"/>
        <v>6</v>
      </c>
      <c r="C68">
        <f t="shared" si="4"/>
        <v>0</v>
      </c>
      <c r="D68" t="str">
        <f t="shared" si="5"/>
        <v/>
      </c>
      <c r="E68" t="s">
        <v>105</v>
      </c>
    </row>
    <row r="69" spans="1:5" x14ac:dyDescent="0.2">
      <c r="A69" t="e" cm="1">
        <f t="array" ref="A69">_xlfn.CONFIDENCE.T(0.05,0,10)</f>
        <v>#NUM!</v>
      </c>
      <c r="B69">
        <f t="shared" si="3"/>
        <v>6</v>
      </c>
      <c r="C69">
        <f t="shared" si="4"/>
        <v>0</v>
      </c>
      <c r="D69" t="str">
        <f t="shared" si="5"/>
        <v/>
      </c>
      <c r="E69" t="s">
        <v>106</v>
      </c>
    </row>
    <row r="70" spans="1:5" x14ac:dyDescent="0.2">
      <c r="A70" t="e" cm="1">
        <f t="array" ref="A70">_xlfn.CONFIDENCE.T(0.05,-1,10)</f>
        <v>#NUM!</v>
      </c>
      <c r="B70">
        <f t="shared" si="3"/>
        <v>6</v>
      </c>
      <c r="C70">
        <f t="shared" si="4"/>
        <v>0</v>
      </c>
      <c r="D70" t="str">
        <f t="shared" si="5"/>
        <v/>
      </c>
      <c r="E70" t="s">
        <v>107</v>
      </c>
    </row>
    <row r="71" spans="1:5" x14ac:dyDescent="0.2">
      <c r="A71" t="e" cm="1">
        <f t="array" ref="A71">_xlfn.CONFIDENCE.T(0.05,1,0)</f>
        <v>#NUM!</v>
      </c>
      <c r="B71">
        <f t="shared" si="3"/>
        <v>6</v>
      </c>
      <c r="C71">
        <f t="shared" si="4"/>
        <v>0</v>
      </c>
      <c r="D71" t="str">
        <f t="shared" si="5"/>
        <v/>
      </c>
      <c r="E71" t="s">
        <v>108</v>
      </c>
    </row>
    <row r="72" spans="1:5" x14ac:dyDescent="0.2">
      <c r="A72" t="e" cm="1">
        <f t="array" ref="A72">_xlfn.CONFIDENCE.T(0.05,1,0.9)</f>
        <v>#NUM!</v>
      </c>
      <c r="B72">
        <f t="shared" si="3"/>
        <v>6</v>
      </c>
      <c r="C72">
        <f t="shared" si="4"/>
        <v>0</v>
      </c>
      <c r="D72" t="str">
        <f t="shared" si="5"/>
        <v/>
      </c>
      <c r="E72" t="s">
        <v>109</v>
      </c>
    </row>
    <row r="73" spans="1:5" x14ac:dyDescent="0.2">
      <c r="A73" cm="1">
        <f t="array" ref="A73">_xlfn.CONFIDENCE.T(0.05,1,10000000000)</f>
        <v>1.9599644085189063E-5</v>
      </c>
      <c r="B73">
        <f t="shared" si="3"/>
        <v>0</v>
      </c>
      <c r="C73">
        <f t="shared" si="4"/>
        <v>1.9599644085189063E-5</v>
      </c>
      <c r="D73" t="str">
        <f t="shared" si="5"/>
        <v/>
      </c>
      <c r="E73" t="s">
        <v>110</v>
      </c>
    </row>
    <row r="74" spans="1:5" x14ac:dyDescent="0.2">
      <c r="A74" cm="1">
        <f t="array" ref="A74">_xlfn.CONFIDENCE.T(0.05,1E+300,5)</f>
        <v>1.2416639982037641E+300</v>
      </c>
      <c r="B74">
        <f t="shared" si="3"/>
        <v>0</v>
      </c>
      <c r="C74">
        <f t="shared" si="4"/>
        <v>1.2416639982037641E+300</v>
      </c>
      <c r="D74" t="str">
        <f t="shared" si="5"/>
        <v/>
      </c>
      <c r="E74" t="s">
        <v>111</v>
      </c>
    </row>
    <row r="75" spans="1:5" x14ac:dyDescent="0.2">
      <c r="A75" cm="1">
        <f t="array" ref="A75">_xlfn.CONFIDENCE.T("0.1",TRUE,"7")</f>
        <v>0.73445311068688879</v>
      </c>
      <c r="B75">
        <f t="shared" si="3"/>
        <v>0</v>
      </c>
      <c r="C75">
        <f t="shared" si="4"/>
        <v>0.73445311068688879</v>
      </c>
      <c r="D75" t="str">
        <f t="shared" si="5"/>
        <v/>
      </c>
      <c r="E75" t="s">
        <v>112</v>
      </c>
    </row>
    <row r="76" spans="1:5" x14ac:dyDescent="0.2">
      <c r="A76" cm="1">
        <f t="array" ref="A76">PERMUT(100,3)</f>
        <v>970200</v>
      </c>
      <c r="B76">
        <f t="shared" si="3"/>
        <v>0</v>
      </c>
      <c r="C76">
        <f t="shared" si="4"/>
        <v>970200</v>
      </c>
      <c r="D76" t="str">
        <f t="shared" si="5"/>
        <v/>
      </c>
      <c r="E76" t="s">
        <v>113</v>
      </c>
    </row>
    <row r="77" spans="1:5" x14ac:dyDescent="0.2">
      <c r="A77" cm="1">
        <f t="array" ref="A77">PERMUT(3,2)</f>
        <v>6</v>
      </c>
      <c r="B77">
        <f t="shared" si="3"/>
        <v>0</v>
      </c>
      <c r="C77">
        <f t="shared" si="4"/>
        <v>6</v>
      </c>
      <c r="D77" t="str">
        <f t="shared" si="5"/>
        <v/>
      </c>
      <c r="E77" t="s">
        <v>114</v>
      </c>
    </row>
    <row r="78" spans="1:5" x14ac:dyDescent="0.2">
      <c r="A78" cm="1">
        <f t="array" ref="A78">PERMUT(5,0)</f>
        <v>1</v>
      </c>
      <c r="B78">
        <f t="shared" si="3"/>
        <v>0</v>
      </c>
      <c r="C78">
        <f t="shared" si="4"/>
        <v>1</v>
      </c>
      <c r="D78" t="str">
        <f t="shared" si="5"/>
        <v/>
      </c>
      <c r="E78" t="s">
        <v>115</v>
      </c>
    </row>
    <row r="79" spans="1:5" x14ac:dyDescent="0.2">
      <c r="A79" cm="1">
        <f t="array" ref="A79">PERMUT(0,0)</f>
        <v>1</v>
      </c>
      <c r="B79">
        <f t="shared" si="3"/>
        <v>0</v>
      </c>
      <c r="C79">
        <f t="shared" si="4"/>
        <v>1</v>
      </c>
      <c r="D79" t="str">
        <f t="shared" si="5"/>
        <v/>
      </c>
      <c r="E79" t="s">
        <v>116</v>
      </c>
    </row>
    <row r="80" spans="1:5" x14ac:dyDescent="0.2">
      <c r="A80" cm="1">
        <f t="array" ref="A80">PERMUT(5.9,2.9)</f>
        <v>20</v>
      </c>
      <c r="B80">
        <f t="shared" si="3"/>
        <v>0</v>
      </c>
      <c r="C80">
        <f t="shared" si="4"/>
        <v>20</v>
      </c>
      <c r="D80" t="str">
        <f t="shared" si="5"/>
        <v/>
      </c>
      <c r="E80" t="s">
        <v>117</v>
      </c>
    </row>
    <row r="81" spans="1:5" x14ac:dyDescent="0.2">
      <c r="A81" cm="1">
        <f t="array" ref="A81">PERMUT(170,170)</f>
        <v>7.257415615307994E+306</v>
      </c>
      <c r="B81">
        <f t="shared" si="3"/>
        <v>0</v>
      </c>
      <c r="C81">
        <f t="shared" si="4"/>
        <v>7.257415615307994E+306</v>
      </c>
      <c r="D81" t="str">
        <f t="shared" si="5"/>
        <v/>
      </c>
      <c r="E81" t="s">
        <v>118</v>
      </c>
    </row>
    <row r="82" spans="1:5" x14ac:dyDescent="0.2">
      <c r="A82" t="e" cm="1">
        <f t="array" ref="A82">PERMUT(171,171)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119</v>
      </c>
    </row>
    <row r="83" spans="1:5" x14ac:dyDescent="0.2">
      <c r="A83" cm="1">
        <f t="array" ref="A83">PERMUT(1000,100)</f>
        <v>5.9589266322404756E+297</v>
      </c>
      <c r="B83">
        <f t="shared" si="3"/>
        <v>0</v>
      </c>
      <c r="C83">
        <f t="shared" si="4"/>
        <v>5.9589266322404756E+297</v>
      </c>
      <c r="D83" t="str">
        <f t="shared" si="5"/>
        <v/>
      </c>
      <c r="E83" t="s">
        <v>120</v>
      </c>
    </row>
    <row r="84" spans="1:5" x14ac:dyDescent="0.2">
      <c r="A84" t="e" cm="1">
        <f t="array" ref="A84">PERMUT(1000,200)</f>
        <v>#NUM!</v>
      </c>
      <c r="B84">
        <f t="shared" si="3"/>
        <v>6</v>
      </c>
      <c r="C84">
        <f t="shared" si="4"/>
        <v>0</v>
      </c>
      <c r="D84" t="str">
        <f t="shared" si="5"/>
        <v/>
      </c>
      <c r="E84" t="s">
        <v>121</v>
      </c>
    </row>
    <row r="85" spans="1:5" x14ac:dyDescent="0.2">
      <c r="A85" cm="1">
        <f t="array" ref="A85">PERMUT(1000000,50)</f>
        <v>9.9877572981796188E+299</v>
      </c>
      <c r="B85">
        <f t="shared" si="3"/>
        <v>0</v>
      </c>
      <c r="C85">
        <f t="shared" si="4"/>
        <v>9.9877572981796188E+299</v>
      </c>
      <c r="D85" t="str">
        <f t="shared" si="5"/>
        <v/>
      </c>
      <c r="E85" t="s">
        <v>122</v>
      </c>
    </row>
    <row r="86" spans="1:5" x14ac:dyDescent="0.2">
      <c r="A86" t="e" cm="1">
        <f t="array" ref="A86">PERMUT(2147483647,1)</f>
        <v>#NUM!</v>
      </c>
      <c r="B86">
        <f t="shared" si="3"/>
        <v>6</v>
      </c>
      <c r="C86">
        <f t="shared" si="4"/>
        <v>0</v>
      </c>
      <c r="D86" t="str">
        <f t="shared" si="5"/>
        <v/>
      </c>
      <c r="E86" t="s">
        <v>123</v>
      </c>
    </row>
    <row r="87" spans="1:5" x14ac:dyDescent="0.2">
      <c r="A87" t="e" cm="1">
        <f t="array" ref="A87">PERMUT(2147483648,1)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124</v>
      </c>
    </row>
    <row r="88" spans="1:5" x14ac:dyDescent="0.2">
      <c r="A88" t="e" cm="1">
        <f t="array" ref="A88">PERMUT(4294967295,1)</f>
        <v>#NUM!</v>
      </c>
      <c r="B88">
        <f t="shared" si="3"/>
        <v>6</v>
      </c>
      <c r="C88">
        <f t="shared" si="4"/>
        <v>0</v>
      </c>
      <c r="D88" t="str">
        <f t="shared" si="5"/>
        <v/>
      </c>
      <c r="E88" t="s">
        <v>125</v>
      </c>
    </row>
    <row r="89" spans="1:5" x14ac:dyDescent="0.2">
      <c r="A89" t="e" cm="1">
        <f t="array" ref="A89">PERMUT(4294967296,1)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126</v>
      </c>
    </row>
    <row r="90" spans="1:5" x14ac:dyDescent="0.2">
      <c r="A90" cm="1">
        <f t="array" ref="A90">PERMUT(1000000000,2)</f>
        <v>9.99999999E+17</v>
      </c>
      <c r="B90">
        <f t="shared" si="3"/>
        <v>0</v>
      </c>
      <c r="C90">
        <f t="shared" si="4"/>
        <v>9.99999999E+17</v>
      </c>
      <c r="D90" t="str">
        <f t="shared" si="5"/>
        <v/>
      </c>
      <c r="E90" t="s">
        <v>127</v>
      </c>
    </row>
    <row r="91" spans="1:5" x14ac:dyDescent="0.2">
      <c r="A91" t="e" cm="1">
        <f t="array" ref="A91">PERMUT(5,6)</f>
        <v>#NUM!</v>
      </c>
      <c r="B91">
        <f t="shared" si="3"/>
        <v>6</v>
      </c>
      <c r="C91">
        <f t="shared" si="4"/>
        <v>0</v>
      </c>
      <c r="D91" t="str">
        <f t="shared" si="5"/>
        <v/>
      </c>
      <c r="E91" t="s">
        <v>128</v>
      </c>
    </row>
    <row r="92" spans="1:5" x14ac:dyDescent="0.2">
      <c r="A92" t="e" cm="1">
        <f t="array" ref="A92">PERMUT(-1,0)</f>
        <v>#NUM!</v>
      </c>
      <c r="B92">
        <f t="shared" si="3"/>
        <v>6</v>
      </c>
      <c r="C92">
        <f t="shared" si="4"/>
        <v>0</v>
      </c>
      <c r="D92" t="str">
        <f t="shared" si="5"/>
        <v/>
      </c>
      <c r="E92" t="s">
        <v>129</v>
      </c>
    </row>
    <row r="93" spans="1:5" x14ac:dyDescent="0.2">
      <c r="A93" t="e" cm="1">
        <f t="array" ref="A93">PERMUT(5,-1)</f>
        <v>#NUM!</v>
      </c>
      <c r="B93">
        <f t="shared" si="3"/>
        <v>6</v>
      </c>
      <c r="C93">
        <f t="shared" si="4"/>
        <v>0</v>
      </c>
      <c r="D93" t="str">
        <f t="shared" si="5"/>
        <v/>
      </c>
      <c r="E93" t="s">
        <v>130</v>
      </c>
    </row>
    <row r="94" spans="1:5" x14ac:dyDescent="0.2">
      <c r="A94" cm="1">
        <f t="array" ref="A94">_xlfn.PERMUTATIONA(100,3)</f>
        <v>1000000</v>
      </c>
      <c r="B94">
        <f t="shared" si="3"/>
        <v>0</v>
      </c>
      <c r="C94">
        <f t="shared" si="4"/>
        <v>1000000</v>
      </c>
      <c r="D94" t="str">
        <f t="shared" si="5"/>
        <v/>
      </c>
      <c r="E94" t="s">
        <v>131</v>
      </c>
    </row>
    <row r="95" spans="1:5" x14ac:dyDescent="0.2">
      <c r="A95" cm="1">
        <f t="array" ref="A95">_xlfn.PERMUTATIONA(3,2)</f>
        <v>9</v>
      </c>
      <c r="B95">
        <f t="shared" si="3"/>
        <v>0</v>
      </c>
      <c r="C95">
        <f t="shared" si="4"/>
        <v>9</v>
      </c>
      <c r="D95" t="str">
        <f t="shared" si="5"/>
        <v/>
      </c>
      <c r="E95" t="s">
        <v>132</v>
      </c>
    </row>
    <row r="96" spans="1:5" x14ac:dyDescent="0.2">
      <c r="A96" cm="1">
        <f t="array" ref="A96">_xlfn.PERMUTATIONA(5,0)</f>
        <v>1</v>
      </c>
      <c r="B96">
        <f t="shared" si="3"/>
        <v>0</v>
      </c>
      <c r="C96">
        <f t="shared" si="4"/>
        <v>1</v>
      </c>
      <c r="D96" t="str">
        <f t="shared" si="5"/>
        <v/>
      </c>
      <c r="E96" t="s">
        <v>133</v>
      </c>
    </row>
    <row r="97" spans="1:5" x14ac:dyDescent="0.2">
      <c r="A97" cm="1">
        <f t="array" ref="A97">_xlfn.PERMUTATIONA(0,0)</f>
        <v>1</v>
      </c>
      <c r="B97">
        <f t="shared" si="3"/>
        <v>0</v>
      </c>
      <c r="C97">
        <f t="shared" si="4"/>
        <v>1</v>
      </c>
      <c r="D97" t="str">
        <f t="shared" si="5"/>
        <v/>
      </c>
      <c r="E97" t="s">
        <v>134</v>
      </c>
    </row>
    <row r="98" spans="1:5" x14ac:dyDescent="0.2">
      <c r="A98" cm="1">
        <f t="array" ref="A98">_xlfn.PERMUTATIONA(5.9,2.9)</f>
        <v>25</v>
      </c>
      <c r="B98">
        <f t="shared" si="3"/>
        <v>0</v>
      </c>
      <c r="C98">
        <f t="shared" si="4"/>
        <v>25</v>
      </c>
      <c r="D98" t="str">
        <f t="shared" si="5"/>
        <v/>
      </c>
      <c r="E98" t="s">
        <v>135</v>
      </c>
    </row>
    <row r="99" spans="1:5" x14ac:dyDescent="0.2">
      <c r="A99" t="e" cm="1">
        <f t="array" ref="A99">_xlfn.PERMUTATIONA(170,170)</f>
        <v>#NUM!</v>
      </c>
      <c r="B99">
        <f t="shared" si="3"/>
        <v>6</v>
      </c>
      <c r="C99">
        <f t="shared" si="4"/>
        <v>0</v>
      </c>
      <c r="D99" t="str">
        <f t="shared" si="5"/>
        <v/>
      </c>
      <c r="E99" t="s">
        <v>136</v>
      </c>
    </row>
    <row r="100" spans="1:5" x14ac:dyDescent="0.2">
      <c r="A100" t="e" cm="1">
        <f t="array" ref="A100">_xlfn.PERMUTATIONA(171,171)</f>
        <v>#NUM!</v>
      </c>
      <c r="B100">
        <f t="shared" si="3"/>
        <v>6</v>
      </c>
      <c r="C100">
        <f t="shared" si="4"/>
        <v>0</v>
      </c>
      <c r="D100" t="str">
        <f t="shared" si="5"/>
        <v/>
      </c>
      <c r="E100" t="s">
        <v>137</v>
      </c>
    </row>
    <row r="101" spans="1:5" x14ac:dyDescent="0.2">
      <c r="A101" cm="1">
        <f t="array" ref="A101">_xlfn.PERMUTATIONA(1000,100)</f>
        <v>1.0000000000000001E+300</v>
      </c>
      <c r="B101">
        <f t="shared" si="3"/>
        <v>0</v>
      </c>
      <c r="C101">
        <f t="shared" si="4"/>
        <v>1.0000000000000001E+300</v>
      </c>
      <c r="D101" t="str">
        <f t="shared" si="5"/>
        <v/>
      </c>
      <c r="E101" t="s">
        <v>138</v>
      </c>
    </row>
    <row r="102" spans="1:5" x14ac:dyDescent="0.2">
      <c r="A102" t="e" cm="1">
        <f t="array" ref="A102">_xlfn.PERMUTATIONA(1000,200)</f>
        <v>#NUM!</v>
      </c>
      <c r="B102">
        <f t="shared" si="3"/>
        <v>6</v>
      </c>
      <c r="C102">
        <f t="shared" si="4"/>
        <v>0</v>
      </c>
      <c r="D102" t="str">
        <f t="shared" si="5"/>
        <v/>
      </c>
      <c r="E102" t="s">
        <v>139</v>
      </c>
    </row>
    <row r="103" spans="1:5" x14ac:dyDescent="0.2">
      <c r="A103" cm="1">
        <f t="array" ref="A103">_xlfn.PERMUTATIONA(1000000,50)</f>
        <v>1.0000000000000001E+300</v>
      </c>
      <c r="B103">
        <f t="shared" si="3"/>
        <v>0</v>
      </c>
      <c r="C103">
        <f t="shared" si="4"/>
        <v>1.0000000000000001E+300</v>
      </c>
      <c r="D103" t="str">
        <f t="shared" si="5"/>
        <v/>
      </c>
      <c r="E103" t="s">
        <v>140</v>
      </c>
    </row>
    <row r="104" spans="1:5" x14ac:dyDescent="0.2">
      <c r="A104" t="e" cm="1">
        <f t="array" ref="A104">_xlfn.PERMUTATIONA(2147483647,1)</f>
        <v>#NUM!</v>
      </c>
      <c r="B104">
        <f t="shared" si="3"/>
        <v>6</v>
      </c>
      <c r="C104">
        <f t="shared" si="4"/>
        <v>0</v>
      </c>
      <c r="D104" t="str">
        <f t="shared" si="5"/>
        <v/>
      </c>
      <c r="E104" t="s">
        <v>141</v>
      </c>
    </row>
    <row r="105" spans="1:5" x14ac:dyDescent="0.2">
      <c r="A105" t="e" cm="1">
        <f t="array" ref="A105">_xlfn.PERMUTATIONA(2147483648,1)</f>
        <v>#NUM!</v>
      </c>
      <c r="B105">
        <f t="shared" si="3"/>
        <v>6</v>
      </c>
      <c r="C105">
        <f t="shared" si="4"/>
        <v>0</v>
      </c>
      <c r="D105" t="str">
        <f t="shared" si="5"/>
        <v/>
      </c>
      <c r="E105" t="s">
        <v>142</v>
      </c>
    </row>
    <row r="106" spans="1:5" x14ac:dyDescent="0.2">
      <c r="A106" t="e" cm="1">
        <f t="array" ref="A106">_xlfn.PERMUTATIONA(4294967295,1)</f>
        <v>#NUM!</v>
      </c>
      <c r="B106">
        <f t="shared" si="3"/>
        <v>6</v>
      </c>
      <c r="C106">
        <f t="shared" si="4"/>
        <v>0</v>
      </c>
      <c r="D106" t="str">
        <f t="shared" si="5"/>
        <v/>
      </c>
      <c r="E106" t="s">
        <v>143</v>
      </c>
    </row>
    <row r="107" spans="1:5" x14ac:dyDescent="0.2">
      <c r="A107" t="e" cm="1">
        <f t="array" ref="A107">_xlfn.PERMUTATIONA(4294967296,1)</f>
        <v>#NUM!</v>
      </c>
      <c r="B107">
        <f t="shared" si="3"/>
        <v>6</v>
      </c>
      <c r="C107">
        <f t="shared" si="4"/>
        <v>0</v>
      </c>
      <c r="D107" t="str">
        <f t="shared" si="5"/>
        <v/>
      </c>
      <c r="E107" t="s">
        <v>144</v>
      </c>
    </row>
    <row r="108" spans="1:5" x14ac:dyDescent="0.2">
      <c r="A108" cm="1">
        <f t="array" ref="A108">_xlfn.PERMUTATIONA(1000000000,2)</f>
        <v>1E+18</v>
      </c>
      <c r="B108">
        <f t="shared" si="3"/>
        <v>0</v>
      </c>
      <c r="C108">
        <f t="shared" si="4"/>
        <v>1E+18</v>
      </c>
      <c r="D108" t="str">
        <f t="shared" si="5"/>
        <v/>
      </c>
      <c r="E108" t="s">
        <v>145</v>
      </c>
    </row>
    <row r="109" spans="1:5" x14ac:dyDescent="0.2">
      <c r="A109" cm="1">
        <f t="array" ref="A109">_xlfn.PERMUTATIONA(5,6)</f>
        <v>15625</v>
      </c>
      <c r="B109">
        <f t="shared" si="3"/>
        <v>0</v>
      </c>
      <c r="C109">
        <f t="shared" si="4"/>
        <v>15625</v>
      </c>
      <c r="D109" t="str">
        <f t="shared" si="5"/>
        <v/>
      </c>
      <c r="E109" t="s">
        <v>146</v>
      </c>
    </row>
    <row r="110" spans="1:5" x14ac:dyDescent="0.2">
      <c r="A110" t="e" cm="1">
        <f t="array" ref="A110">_xlfn.PERMUTATIONA(-1,0)</f>
        <v>#NUM!</v>
      </c>
      <c r="B110">
        <f t="shared" si="3"/>
        <v>6</v>
      </c>
      <c r="C110">
        <f t="shared" si="4"/>
        <v>0</v>
      </c>
      <c r="D110" t="str">
        <f t="shared" si="5"/>
        <v/>
      </c>
      <c r="E110" t="s">
        <v>147</v>
      </c>
    </row>
    <row r="111" spans="1:5" x14ac:dyDescent="0.2">
      <c r="A111" t="e" cm="1">
        <f t="array" ref="A111">_xlfn.PERMUTATIONA(5,-1)</f>
        <v>#NUM!</v>
      </c>
      <c r="B111">
        <f t="shared" si="3"/>
        <v>6</v>
      </c>
      <c r="C111">
        <f t="shared" si="4"/>
        <v>0</v>
      </c>
      <c r="D111" t="str">
        <f t="shared" si="5"/>
        <v/>
      </c>
      <c r="E111" t="s">
        <v>148</v>
      </c>
    </row>
    <row r="112" spans="1:5" x14ac:dyDescent="0.2">
      <c r="A112" cm="1">
        <f t="array" ref="A112">_xlfn.PERMUTATIONA(0,2)</f>
        <v>0</v>
      </c>
      <c r="B112">
        <f t="shared" si="3"/>
        <v>0</v>
      </c>
      <c r="C112">
        <f t="shared" si="4"/>
        <v>0</v>
      </c>
      <c r="D112" t="str">
        <f t="shared" si="5"/>
        <v/>
      </c>
      <c r="E112" t="s">
        <v>149</v>
      </c>
    </row>
    <row r="113" spans="1:5" x14ac:dyDescent="0.2">
      <c r="A113" cm="1">
        <f t="array" ref="A113">_xlfn.PERMUTATIONA(10,300)</f>
        <v>1.0000000000000001E+300</v>
      </c>
      <c r="B113">
        <f t="shared" si="3"/>
        <v>0</v>
      </c>
      <c r="C113">
        <f t="shared" si="4"/>
        <v>1.0000000000000001E+300</v>
      </c>
      <c r="D113" t="str">
        <f t="shared" si="5"/>
        <v/>
      </c>
      <c r="E113" t="s">
        <v>150</v>
      </c>
    </row>
    <row r="114" spans="1:5" x14ac:dyDescent="0.2">
      <c r="A114" t="e" cm="1">
        <f t="array" ref="A114">_xlfn.PERMUTATIONA(10,400)</f>
        <v>#NUM!</v>
      </c>
      <c r="B114">
        <f t="shared" si="3"/>
        <v>6</v>
      </c>
      <c r="C114">
        <f t="shared" si="4"/>
        <v>0</v>
      </c>
      <c r="D114" t="str">
        <f t="shared" si="5"/>
        <v/>
      </c>
      <c r="E114" t="s">
        <v>151</v>
      </c>
    </row>
    <row r="115" spans="1:5" x14ac:dyDescent="0.2">
      <c r="A115" cm="1">
        <f t="array" ref="A115">_xlfn.PERMUTATIONA(2,1023)</f>
        <v>8.9884656743115795E+307</v>
      </c>
      <c r="B115">
        <f t="shared" si="3"/>
        <v>0</v>
      </c>
      <c r="C115">
        <f t="shared" si="4"/>
        <v>8.9884656743115795E+307</v>
      </c>
      <c r="D115" t="str">
        <f t="shared" si="5"/>
        <v/>
      </c>
      <c r="E115" t="s">
        <v>152</v>
      </c>
    </row>
    <row r="116" spans="1:5" x14ac:dyDescent="0.2">
      <c r="A116" t="e" cm="1">
        <f t="array" ref="A116">_xlfn.PERMUTATIONA(2,1024)</f>
        <v>#NUM!</v>
      </c>
      <c r="B116">
        <f t="shared" si="3"/>
        <v>6</v>
      </c>
      <c r="C116">
        <f t="shared" si="4"/>
        <v>0</v>
      </c>
      <c r="D116" t="str">
        <f t="shared" si="5"/>
        <v/>
      </c>
      <c r="E116" t="s">
        <v>153</v>
      </c>
    </row>
    <row r="117" spans="1:5" x14ac:dyDescent="0.2">
      <c r="A117" t="e" cm="1">
        <f t="array" ref="A117">STANDARDIZE(42,40,0)</f>
        <v>#NUM!</v>
      </c>
      <c r="B117">
        <f t="shared" si="3"/>
        <v>6</v>
      </c>
      <c r="C117">
        <f t="shared" si="4"/>
        <v>0</v>
      </c>
      <c r="D117" t="str">
        <f t="shared" si="5"/>
        <v/>
      </c>
      <c r="E117" t="s">
        <v>154</v>
      </c>
    </row>
    <row r="118" spans="1:5" x14ac:dyDescent="0.2">
      <c r="A118" cm="1">
        <f t="array" ref="A118">STANDARDIZE(42,40,1E-300)</f>
        <v>1.9999999999999998E+300</v>
      </c>
      <c r="B118">
        <f t="shared" si="3"/>
        <v>0</v>
      </c>
      <c r="C118">
        <f t="shared" si="4"/>
        <v>1.9999999999999998E+300</v>
      </c>
      <c r="D118" t="str">
        <f t="shared" si="5"/>
        <v/>
      </c>
      <c r="E118" t="s">
        <v>155</v>
      </c>
    </row>
    <row r="119" spans="1:5" x14ac:dyDescent="0.2">
      <c r="A119" cm="1">
        <f t="array" ref="A119">STANDARDIZE(1E+300,-1E+300,1)</f>
        <v>2.0000000000000001E+300</v>
      </c>
      <c r="B119">
        <f t="shared" si="3"/>
        <v>0</v>
      </c>
      <c r="C119">
        <f t="shared" si="4"/>
        <v>2.0000000000000001E+300</v>
      </c>
      <c r="D119" t="str">
        <f t="shared" si="5"/>
        <v/>
      </c>
      <c r="E119" t="s">
        <v>156</v>
      </c>
    </row>
    <row r="120" spans="1:5" x14ac:dyDescent="0.2">
      <c r="A120" t="e" cm="1">
        <f t="array" ref="A120">STANDARDIZE(42,40,-1E-300)</f>
        <v>#NUM!</v>
      </c>
      <c r="B120">
        <f t="shared" si="3"/>
        <v>6</v>
      </c>
      <c r="C120">
        <f t="shared" si="4"/>
        <v>0</v>
      </c>
      <c r="D120" t="str">
        <f t="shared" si="5"/>
        <v/>
      </c>
      <c r="E120" t="s">
        <v>157</v>
      </c>
    </row>
    <row r="121" spans="1:5" x14ac:dyDescent="0.2">
      <c r="A121" cm="1">
        <f t="array" ref="A121">FISHERINV(-10000000000)</f>
        <v>-1</v>
      </c>
      <c r="B121">
        <f t="shared" si="3"/>
        <v>0</v>
      </c>
      <c r="C121">
        <f t="shared" si="4"/>
        <v>-1</v>
      </c>
      <c r="D121" t="str">
        <f t="shared" si="5"/>
        <v/>
      </c>
      <c r="E121" t="s">
        <v>158</v>
      </c>
    </row>
    <row r="122" spans="1:5" x14ac:dyDescent="0.2">
      <c r="A122" cm="1">
        <f t="array" ref="A122">FISHERINV(-20)</f>
        <v>-1</v>
      </c>
      <c r="B122">
        <f t="shared" si="3"/>
        <v>0</v>
      </c>
      <c r="C122">
        <f t="shared" si="4"/>
        <v>-1</v>
      </c>
      <c r="D122" t="str">
        <f t="shared" si="5"/>
        <v/>
      </c>
      <c r="E122" t="s">
        <v>159</v>
      </c>
    </row>
    <row r="123" spans="1:5" x14ac:dyDescent="0.2">
      <c r="A123" cm="1">
        <f t="array" ref="A123">FISHERINV(20)</f>
        <v>1</v>
      </c>
      <c r="B123">
        <f t="shared" si="3"/>
        <v>0</v>
      </c>
      <c r="C123">
        <f t="shared" si="4"/>
        <v>1</v>
      </c>
      <c r="D123" t="str">
        <f t="shared" si="5"/>
        <v/>
      </c>
      <c r="E123" t="s">
        <v>160</v>
      </c>
    </row>
    <row r="124" spans="1:5" x14ac:dyDescent="0.2">
      <c r="A124" cm="1">
        <f t="array" ref="A124">FISHERINV(0.0000000001)</f>
        <v>1.0000000826403709E-10</v>
      </c>
      <c r="B124">
        <f t="shared" si="3"/>
        <v>0</v>
      </c>
      <c r="C124">
        <f t="shared" si="4"/>
        <v>1.0000000826403709E-10</v>
      </c>
      <c r="D124" t="str">
        <f t="shared" si="5"/>
        <v/>
      </c>
      <c r="E124" t="s">
        <v>161</v>
      </c>
    </row>
    <row r="125" spans="1:5" x14ac:dyDescent="0.2">
      <c r="A125" cm="1">
        <f t="array" ref="A125">FISHERINV(-0.0000000001)</f>
        <v>-1.0000000828403711E-10</v>
      </c>
      <c r="B125">
        <f t="shared" si="3"/>
        <v>0</v>
      </c>
      <c r="C125">
        <f t="shared" si="4"/>
        <v>-1.0000000828403711E-10</v>
      </c>
      <c r="D125" t="str">
        <f t="shared" si="5"/>
        <v/>
      </c>
      <c r="E125" t="s">
        <v>162</v>
      </c>
    </row>
    <row r="126" spans="1:5" x14ac:dyDescent="0.2">
      <c r="A126" cm="1">
        <f t="array" ref="A126">FISHERINV(400)</f>
        <v>1</v>
      </c>
      <c r="B126">
        <f t="shared" si="3"/>
        <v>0</v>
      </c>
      <c r="C126">
        <f t="shared" si="4"/>
        <v>1</v>
      </c>
      <c r="D126" t="str">
        <f t="shared" si="5"/>
        <v/>
      </c>
      <c r="E126" t="s">
        <v>163</v>
      </c>
    </row>
    <row r="127" spans="1:5" x14ac:dyDescent="0.2">
      <c r="A127" cm="1">
        <f t="array" ref="A127">FISHERINV(-400)</f>
        <v>-1</v>
      </c>
      <c r="B127">
        <f t="shared" si="3"/>
        <v>0</v>
      </c>
      <c r="C127">
        <f t="shared" si="4"/>
        <v>-1</v>
      </c>
      <c r="D127" t="str">
        <f t="shared" si="5"/>
        <v/>
      </c>
      <c r="E127" t="s">
        <v>164</v>
      </c>
    </row>
    <row r="128" spans="1:5" x14ac:dyDescent="0.2">
      <c r="A128" t="e" cm="1">
        <f t="array" ref="A128">FISHER(1)</f>
        <v>#NUM!</v>
      </c>
      <c r="B128">
        <f t="shared" si="3"/>
        <v>6</v>
      </c>
      <c r="C128">
        <f t="shared" si="4"/>
        <v>0</v>
      </c>
      <c r="D128" t="str">
        <f t="shared" si="5"/>
        <v/>
      </c>
      <c r="E128" t="s">
        <v>165</v>
      </c>
    </row>
    <row r="129" spans="1:5" x14ac:dyDescent="0.2">
      <c r="A129" t="e" cm="1">
        <f t="array" ref="A129">FISHER(-1)</f>
        <v>#NUM!</v>
      </c>
      <c r="B129">
        <f t="shared" ref="B129:B192" si="6">IF(ISERROR(A129),ERROR.TYPE(A129),IF(ISNUMBER(A129),0,IF(ISLOGICAL(A129),IF(A129,-1,-2),IF(ISTEXT(A129),-3,-4))))</f>
        <v>6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166</v>
      </c>
    </row>
    <row r="130" spans="1:5" x14ac:dyDescent="0.2">
      <c r="A130" cm="1">
        <f t="array" ref="A130">FISHER(0.9999999999)</f>
        <v>11.859499013855018</v>
      </c>
      <c r="B130">
        <f t="shared" si="6"/>
        <v>0</v>
      </c>
      <c r="C130">
        <f t="shared" si="7"/>
        <v>11.859499013855018</v>
      </c>
      <c r="D130" t="str">
        <f t="shared" si="8"/>
        <v/>
      </c>
      <c r="E130" t="s">
        <v>167</v>
      </c>
    </row>
    <row r="131" spans="1:5" x14ac:dyDescent="0.2">
      <c r="A131" cm="1">
        <f t="array" ref="A131">FISHER(0.0000000001)</f>
        <v>1.0000000826403709E-10</v>
      </c>
      <c r="B131">
        <f t="shared" si="6"/>
        <v>0</v>
      </c>
      <c r="C131">
        <f t="shared" si="7"/>
        <v>1.0000000826403709E-10</v>
      </c>
      <c r="D131" t="str">
        <f t="shared" si="8"/>
        <v/>
      </c>
      <c r="E131" t="s">
        <v>168</v>
      </c>
    </row>
    <row r="132" spans="1:5" x14ac:dyDescent="0.2">
      <c r="A132" cm="1">
        <f t="array" ref="A132">COUNTIF(D!G1:G7,"&gt;4")</f>
        <v>4</v>
      </c>
      <c r="B132">
        <f t="shared" si="6"/>
        <v>0</v>
      </c>
      <c r="C132">
        <f t="shared" si="7"/>
        <v>4</v>
      </c>
      <c r="D132" t="str">
        <f t="shared" si="8"/>
        <v/>
      </c>
      <c r="E132" t="s">
        <v>169</v>
      </c>
    </row>
    <row r="133" spans="1:5" x14ac:dyDescent="0.2">
      <c r="A133" cm="1">
        <f t="array" ref="A133">AVERAGEIF(D!G1:G7,"&gt;4")</f>
        <v>30</v>
      </c>
      <c r="B133">
        <f t="shared" si="6"/>
        <v>0</v>
      </c>
      <c r="C133">
        <f t="shared" si="7"/>
        <v>30</v>
      </c>
      <c r="D133" t="str">
        <f t="shared" si="8"/>
        <v/>
      </c>
      <c r="E133" t="s">
        <v>170</v>
      </c>
    </row>
    <row r="134" spans="1:5" x14ac:dyDescent="0.2">
      <c r="A134" cm="1">
        <f t="array" ref="A134">COUNTIF(D!F1:F7,"Ар*")</f>
        <v>4</v>
      </c>
      <c r="B134">
        <f t="shared" si="6"/>
        <v>0</v>
      </c>
      <c r="C134">
        <f t="shared" si="7"/>
        <v>4</v>
      </c>
      <c r="D134" t="str">
        <f t="shared" si="8"/>
        <v/>
      </c>
      <c r="E134" t="s">
        <v>171</v>
      </c>
    </row>
    <row r="135" spans="1:5" x14ac:dyDescent="0.2">
      <c r="A135" t="e" cm="1">
        <f t="array" ref="A135">AVERAGEIF(D!F1:F7,"Ар*")</f>
        <v>#DIV/0!</v>
      </c>
      <c r="B135">
        <f t="shared" si="6"/>
        <v>2</v>
      </c>
      <c r="C135">
        <f t="shared" si="7"/>
        <v>0</v>
      </c>
      <c r="D135" t="str">
        <f t="shared" si="8"/>
        <v/>
      </c>
      <c r="E135" t="s">
        <v>172</v>
      </c>
    </row>
    <row r="136" spans="1:5" x14ac:dyDescent="0.2">
      <c r="A136" cm="1">
        <f t="array" ref="A136">COUNTIF(D!D1:D8,"")</f>
        <v>1</v>
      </c>
      <c r="B136">
        <f t="shared" si="6"/>
        <v>0</v>
      </c>
      <c r="C136">
        <f t="shared" si="7"/>
        <v>1</v>
      </c>
      <c r="D136" t="str">
        <f t="shared" si="8"/>
        <v/>
      </c>
      <c r="E136" t="s">
        <v>173</v>
      </c>
    </row>
    <row r="137" spans="1:5" x14ac:dyDescent="0.2">
      <c r="A137" t="e" cm="1">
        <f t="array" ref="A137">AVERAGEIF(D!D1:D8,"")</f>
        <v>#DIV/0!</v>
      </c>
      <c r="B137">
        <f t="shared" si="6"/>
        <v>2</v>
      </c>
      <c r="C137">
        <f t="shared" si="7"/>
        <v>0</v>
      </c>
      <c r="D137" t="str">
        <f t="shared" si="8"/>
        <v/>
      </c>
      <c r="E137" t="s">
        <v>174</v>
      </c>
    </row>
    <row r="138" spans="1:5" x14ac:dyDescent="0.2">
      <c r="A138" cm="1">
        <f t="array" ref="A138">COUNTIF(D!D1:D8,"&lt;&gt;")</f>
        <v>7</v>
      </c>
      <c r="B138">
        <f t="shared" si="6"/>
        <v>0</v>
      </c>
      <c r="C138">
        <f t="shared" si="7"/>
        <v>7</v>
      </c>
      <c r="D138" t="str">
        <f t="shared" si="8"/>
        <v/>
      </c>
      <c r="E138" t="s">
        <v>175</v>
      </c>
    </row>
    <row r="139" spans="1:5" x14ac:dyDescent="0.2">
      <c r="A139" cm="1">
        <f t="array" ref="A139">AVERAGEIF(D!D1:D8,"&lt;&gt;")</f>
        <v>3.1666666666666665</v>
      </c>
      <c r="B139">
        <f t="shared" si="6"/>
        <v>0</v>
      </c>
      <c r="C139">
        <f t="shared" si="7"/>
        <v>3.1666666666666665</v>
      </c>
      <c r="D139" t="str">
        <f t="shared" si="8"/>
        <v/>
      </c>
      <c r="E139" t="s">
        <v>176</v>
      </c>
    </row>
    <row r="140" spans="1:5" x14ac:dyDescent="0.2">
      <c r="A140" cm="1">
        <f t="array" ref="A140">COUNTIF(D!D1:D8,TRUE)</f>
        <v>1</v>
      </c>
      <c r="B140">
        <f t="shared" si="6"/>
        <v>0</v>
      </c>
      <c r="C140">
        <f t="shared" si="7"/>
        <v>1</v>
      </c>
      <c r="D140" t="str">
        <f t="shared" si="8"/>
        <v/>
      </c>
      <c r="E140" t="s">
        <v>177</v>
      </c>
    </row>
    <row r="141" spans="1:5" x14ac:dyDescent="0.2">
      <c r="A141" t="e" cm="1">
        <f t="array" ref="A141">AVERAGEIF(D!D1:D8,TRUE)</f>
        <v>#DIV/0!</v>
      </c>
      <c r="B141">
        <f t="shared" si="6"/>
        <v>2</v>
      </c>
      <c r="C141">
        <f t="shared" si="7"/>
        <v>0</v>
      </c>
      <c r="D141" t="str">
        <f t="shared" si="8"/>
        <v/>
      </c>
      <c r="E141" t="s">
        <v>178</v>
      </c>
    </row>
    <row r="142" spans="1:5" x14ac:dyDescent="0.2">
      <c r="A142" cm="1">
        <f t="array" ref="A142">COUNTIF(D!D1:D8,"2")</f>
        <v>1</v>
      </c>
      <c r="B142">
        <f t="shared" si="6"/>
        <v>0</v>
      </c>
      <c r="C142">
        <f t="shared" si="7"/>
        <v>1</v>
      </c>
      <c r="D142" t="str">
        <f t="shared" si="8"/>
        <v/>
      </c>
      <c r="E142" t="s">
        <v>179</v>
      </c>
    </row>
    <row r="143" spans="1:5" x14ac:dyDescent="0.2">
      <c r="A143" t="e" cm="1">
        <f t="array" ref="A143">AVERAGEIF(D!D1:D8,"2")</f>
        <v>#DIV/0!</v>
      </c>
      <c r="B143">
        <f t="shared" si="6"/>
        <v>2</v>
      </c>
      <c r="C143">
        <f t="shared" si="7"/>
        <v>0</v>
      </c>
      <c r="D143" t="str">
        <f t="shared" si="8"/>
        <v/>
      </c>
      <c r="E143" t="s">
        <v>180</v>
      </c>
    </row>
    <row r="144" spans="1:5" x14ac:dyDescent="0.2">
      <c r="A144" cm="1">
        <f t="array" ref="A144">COUNTIF(D!E1:E8,"&gt;1")</f>
        <v>6</v>
      </c>
      <c r="B144">
        <f t="shared" si="6"/>
        <v>0</v>
      </c>
      <c r="C144">
        <f t="shared" si="7"/>
        <v>6</v>
      </c>
      <c r="D144" t="str">
        <f t="shared" si="8"/>
        <v/>
      </c>
      <c r="E144" t="s">
        <v>181</v>
      </c>
    </row>
    <row r="145" spans="1:5" x14ac:dyDescent="0.2">
      <c r="A145" cm="1">
        <f t="array" ref="A145">AVERAGEIF(D!E1:E8,"&gt;1")</f>
        <v>5.333333333333333</v>
      </c>
      <c r="B145">
        <f t="shared" si="6"/>
        <v>0</v>
      </c>
      <c r="C145">
        <f t="shared" si="7"/>
        <v>5.333333333333333</v>
      </c>
      <c r="D145" t="str">
        <f t="shared" si="8"/>
        <v/>
      </c>
      <c r="E145" t="s">
        <v>182</v>
      </c>
    </row>
    <row r="146" spans="1:5" x14ac:dyDescent="0.2">
      <c r="A146" cm="1">
        <f t="array" ref="A146">COUNTIF(D!F1:F7,"нет")</f>
        <v>0</v>
      </c>
      <c r="B146">
        <f t="shared" si="6"/>
        <v>0</v>
      </c>
      <c r="C146">
        <f t="shared" si="7"/>
        <v>0</v>
      </c>
      <c r="D146" t="str">
        <f t="shared" si="8"/>
        <v/>
      </c>
      <c r="E146" t="s">
        <v>183</v>
      </c>
    </row>
    <row r="147" spans="1:5" x14ac:dyDescent="0.2">
      <c r="A147" t="e" cm="1">
        <f t="array" ref="A147">AVERAGEIF(D!F1:F7,"нет")</f>
        <v>#DIV/0!</v>
      </c>
      <c r="B147">
        <f t="shared" si="6"/>
        <v>2</v>
      </c>
      <c r="C147">
        <f t="shared" si="7"/>
        <v>0</v>
      </c>
      <c r="D147" t="str">
        <f t="shared" si="8"/>
        <v/>
      </c>
      <c r="E147" t="s">
        <v>184</v>
      </c>
    </row>
    <row r="148" spans="1:5" x14ac:dyDescent="0.2">
      <c r="A148" cm="1">
        <f t="array" ref="A148">COUNTIF(SD!A1:A12,7)</f>
        <v>3</v>
      </c>
      <c r="B148">
        <f t="shared" si="6"/>
        <v>0</v>
      </c>
      <c r="C148">
        <f t="shared" si="7"/>
        <v>3</v>
      </c>
      <c r="D148" t="str">
        <f t="shared" si="8"/>
        <v/>
      </c>
      <c r="E148" t="s">
        <v>185</v>
      </c>
    </row>
    <row r="149" spans="1:5" x14ac:dyDescent="0.2">
      <c r="A149" cm="1">
        <f t="array" ref="A149">AVERAGEIF(SD!A1:A12,7)</f>
        <v>7</v>
      </c>
      <c r="B149">
        <f t="shared" si="6"/>
        <v>0</v>
      </c>
      <c r="C149">
        <f t="shared" si="7"/>
        <v>7</v>
      </c>
      <c r="D149" t="str">
        <f t="shared" si="8"/>
        <v/>
      </c>
      <c r="E149" t="s">
        <v>186</v>
      </c>
    </row>
    <row r="150" spans="1:5" x14ac:dyDescent="0.2">
      <c r="A150" cm="1">
        <f t="array" ref="A150">COUNTIF(SD!A1:A12,"&gt;=2")</f>
        <v>10</v>
      </c>
      <c r="B150">
        <f t="shared" si="6"/>
        <v>0</v>
      </c>
      <c r="C150">
        <f t="shared" si="7"/>
        <v>10</v>
      </c>
      <c r="D150" t="str">
        <f t="shared" si="8"/>
        <v/>
      </c>
      <c r="E150" t="s">
        <v>187</v>
      </c>
    </row>
    <row r="151" spans="1:5" x14ac:dyDescent="0.2">
      <c r="A151" cm="1">
        <f t="array" ref="A151">AVERAGEIF(SD!A1:A12,"&gt;=2")</f>
        <v>5.625</v>
      </c>
      <c r="B151">
        <f t="shared" si="6"/>
        <v>0</v>
      </c>
      <c r="C151">
        <f t="shared" si="7"/>
        <v>5.625</v>
      </c>
      <c r="D151" t="str">
        <f t="shared" si="8"/>
        <v/>
      </c>
      <c r="E151" t="s">
        <v>188</v>
      </c>
    </row>
    <row r="152" spans="1:5" x14ac:dyDescent="0.2">
      <c r="A152" cm="1">
        <f t="array" ref="A152">COUNTIF(SD!C1:C6,"&lt;&gt;x")</f>
        <v>5</v>
      </c>
      <c r="B152">
        <f t="shared" si="6"/>
        <v>0</v>
      </c>
      <c r="C152">
        <f t="shared" si="7"/>
        <v>5</v>
      </c>
      <c r="D152" t="str">
        <f t="shared" si="8"/>
        <v/>
      </c>
      <c r="E152" t="s">
        <v>189</v>
      </c>
    </row>
    <row r="153" spans="1:5" x14ac:dyDescent="0.2">
      <c r="A153" cm="1">
        <f t="array" ref="A153">AVERAGEIF(SD!C1:C6,"&lt;&gt;x")</f>
        <v>3.5</v>
      </c>
      <c r="B153">
        <f t="shared" si="6"/>
        <v>0</v>
      </c>
      <c r="C153">
        <f t="shared" si="7"/>
        <v>3.5</v>
      </c>
      <c r="D153" t="str">
        <f t="shared" si="8"/>
        <v/>
      </c>
      <c r="E153" t="s">
        <v>190</v>
      </c>
    </row>
    <row r="154" spans="1:5" x14ac:dyDescent="0.2">
      <c r="A154" cm="1">
        <f t="array" ref="A154">COUNTIF(SD!A1:A12,SD!E1)</f>
        <v>0</v>
      </c>
      <c r="B154">
        <f t="shared" si="6"/>
        <v>0</v>
      </c>
      <c r="C154">
        <f t="shared" si="7"/>
        <v>0</v>
      </c>
      <c r="D154" t="str">
        <f t="shared" si="8"/>
        <v/>
      </c>
      <c r="E154" t="s">
        <v>191</v>
      </c>
    </row>
    <row r="155" spans="1:5" x14ac:dyDescent="0.2">
      <c r="A155" t="e" cm="1">
        <f t="array" ref="A155">AVERAGEIF(SD!A1:A12,SD!E1)</f>
        <v>#DIV/0!</v>
      </c>
      <c r="B155">
        <f t="shared" si="6"/>
        <v>2</v>
      </c>
      <c r="C155">
        <f t="shared" si="7"/>
        <v>0</v>
      </c>
      <c r="D155" t="str">
        <f t="shared" si="8"/>
        <v/>
      </c>
      <c r="E155" t="s">
        <v>192</v>
      </c>
    </row>
    <row r="156" spans="1:5" x14ac:dyDescent="0.2">
      <c r="A156" cm="1">
        <f t="array" ref="A156">COUNTIF(D!H1:H7,"&gt;=2025-01-01")</f>
        <v>5</v>
      </c>
      <c r="B156">
        <f t="shared" si="6"/>
        <v>0</v>
      </c>
      <c r="C156">
        <f t="shared" si="7"/>
        <v>5</v>
      </c>
      <c r="D156" t="str">
        <f t="shared" si="8"/>
        <v/>
      </c>
      <c r="E156" t="s">
        <v>193</v>
      </c>
    </row>
    <row r="157" spans="1:5" x14ac:dyDescent="0.2">
      <c r="A157" cm="1">
        <f t="array" ref="A157">AVERAGEIF(D!H1:H7,"&gt;=2025-01-01")</f>
        <v>45749</v>
      </c>
      <c r="B157">
        <f t="shared" si="6"/>
        <v>0</v>
      </c>
      <c r="C157">
        <f t="shared" si="7"/>
        <v>45749</v>
      </c>
      <c r="D157" t="str">
        <f t="shared" si="8"/>
        <v/>
      </c>
      <c r="E157" t="s">
        <v>194</v>
      </c>
    </row>
    <row r="158" spans="1:5" x14ac:dyDescent="0.2">
      <c r="A158" cm="1">
        <f t="array" ref="A158">AVERAGEIF(D!G1:G7,"&gt;4",D!B1:B8)</f>
        <v>19.375</v>
      </c>
      <c r="B158">
        <f t="shared" si="6"/>
        <v>0</v>
      </c>
      <c r="C158">
        <f t="shared" si="7"/>
        <v>19.375</v>
      </c>
      <c r="D158" t="str">
        <f t="shared" si="8"/>
        <v/>
      </c>
      <c r="E158" t="s">
        <v>195</v>
      </c>
    </row>
    <row r="159" spans="1:5" x14ac:dyDescent="0.2">
      <c r="A159" cm="1">
        <f t="array" ref="A159">AVERAGEIF(D!F1:F7,"Ар*",D!B1:B8)</f>
        <v>10.75</v>
      </c>
      <c r="B159">
        <f t="shared" si="6"/>
        <v>0</v>
      </c>
      <c r="C159">
        <f t="shared" si="7"/>
        <v>10.75</v>
      </c>
      <c r="D159" t="str">
        <f t="shared" si="8"/>
        <v/>
      </c>
      <c r="E159" t="s">
        <v>196</v>
      </c>
    </row>
    <row r="160" spans="1:5" x14ac:dyDescent="0.2">
      <c r="A160" cm="1">
        <f t="array" ref="A160">AVERAGEIF(D!D1:D8,"",D!B1:B8)</f>
        <v>23</v>
      </c>
      <c r="B160">
        <f t="shared" si="6"/>
        <v>0</v>
      </c>
      <c r="C160">
        <f t="shared" si="7"/>
        <v>23</v>
      </c>
      <c r="D160" t="str">
        <f t="shared" si="8"/>
        <v/>
      </c>
      <c r="E160" t="s">
        <v>197</v>
      </c>
    </row>
    <row r="161" spans="1:5" x14ac:dyDescent="0.2">
      <c r="A161" cm="1">
        <f t="array" ref="A161">AVERAGEIF(D!D1:D8,"&lt;&gt;",D!B1:B8)</f>
        <v>13.107142857142858</v>
      </c>
      <c r="B161">
        <f t="shared" si="6"/>
        <v>0</v>
      </c>
      <c r="C161">
        <f t="shared" si="7"/>
        <v>13.107142857142858</v>
      </c>
      <c r="D161" t="str">
        <f t="shared" si="8"/>
        <v/>
      </c>
      <c r="E161" t="s">
        <v>198</v>
      </c>
    </row>
    <row r="162" spans="1:5" x14ac:dyDescent="0.2">
      <c r="A162" cm="1">
        <f t="array" ref="A162">AVERAGEIF(D!D1:D8,TRUE,D!B1:B8)</f>
        <v>16</v>
      </c>
      <c r="B162">
        <f t="shared" si="6"/>
        <v>0</v>
      </c>
      <c r="C162">
        <f t="shared" si="7"/>
        <v>16</v>
      </c>
      <c r="D162" t="str">
        <f t="shared" si="8"/>
        <v/>
      </c>
      <c r="E162" t="s">
        <v>199</v>
      </c>
    </row>
    <row r="163" spans="1:5" x14ac:dyDescent="0.2">
      <c r="A163" cm="1">
        <f t="array" ref="A163">AVERAGEIF(D!D1:D8,"2",D!B1:B8)</f>
        <v>8</v>
      </c>
      <c r="B163">
        <f t="shared" si="6"/>
        <v>0</v>
      </c>
      <c r="C163">
        <f t="shared" si="7"/>
        <v>8</v>
      </c>
      <c r="D163" t="str">
        <f t="shared" si="8"/>
        <v/>
      </c>
      <c r="E163" t="s">
        <v>200</v>
      </c>
    </row>
    <row r="164" spans="1:5" x14ac:dyDescent="0.2">
      <c r="A164" cm="1">
        <f t="array" ref="A164">AVERAGEIF(D!E1:E8,"&gt;1",D!B1:B8)</f>
        <v>15.958333333333334</v>
      </c>
      <c r="B164">
        <f t="shared" si="6"/>
        <v>0</v>
      </c>
      <c r="C164">
        <f t="shared" si="7"/>
        <v>15.958333333333334</v>
      </c>
      <c r="D164" t="str">
        <f t="shared" si="8"/>
        <v/>
      </c>
      <c r="E164" t="s">
        <v>201</v>
      </c>
    </row>
    <row r="165" spans="1:5" x14ac:dyDescent="0.2">
      <c r="A165" t="e" cm="1">
        <f t="array" ref="A165">AVERAGEIF(D!F1:F7,"нет",D!B1:B8)</f>
        <v>#DIV/0!</v>
      </c>
      <c r="B165">
        <f t="shared" si="6"/>
        <v>2</v>
      </c>
      <c r="C165">
        <f t="shared" si="7"/>
        <v>0</v>
      </c>
      <c r="D165" t="str">
        <f t="shared" si="8"/>
        <v/>
      </c>
      <c r="E165" t="s">
        <v>202</v>
      </c>
    </row>
    <row r="166" spans="1:5" x14ac:dyDescent="0.2">
      <c r="A166" cm="1">
        <f t="array" aca="1" ref="A166" ca="1">AVERAGEIF(SD!A1:A12,7,D!B1:B8)</f>
        <v>6.5</v>
      </c>
      <c r="B166">
        <f t="shared" ca="1" si="6"/>
        <v>0</v>
      </c>
      <c r="C166">
        <f t="shared" ca="1" si="7"/>
        <v>6.5</v>
      </c>
      <c r="D166" t="str">
        <f t="shared" ca="1" si="8"/>
        <v/>
      </c>
      <c r="E166" t="s">
        <v>203</v>
      </c>
    </row>
    <row r="167" spans="1:5" x14ac:dyDescent="0.2">
      <c r="A167" cm="1">
        <f t="array" aca="1" ref="A167" ca="1">AVERAGEIF(SD!A1:A12,"&gt;2",SD!B1)</f>
        <v>6.7857142857142856</v>
      </c>
      <c r="B167">
        <f t="shared" ca="1" si="6"/>
        <v>0</v>
      </c>
      <c r="C167">
        <f t="shared" ca="1" si="7"/>
        <v>6.7857142857142856</v>
      </c>
      <c r="D167" t="str">
        <f t="shared" ca="1" si="8"/>
        <v/>
      </c>
      <c r="E167" t="s">
        <v>204</v>
      </c>
    </row>
    <row r="168" spans="1:5" x14ac:dyDescent="0.2">
      <c r="A168" cm="1">
        <f t="array" aca="1" ref="A168" ca="1">AVERAGEIF(SD!A1:A12,"&gt;2",SD!C1:C3)</f>
        <v>3.5</v>
      </c>
      <c r="B168">
        <f t="shared" ca="1" si="6"/>
        <v>0</v>
      </c>
      <c r="C168">
        <f t="shared" ca="1" si="7"/>
        <v>3.5</v>
      </c>
      <c r="D168" t="str">
        <f t="shared" ca="1" si="8"/>
        <v/>
      </c>
      <c r="E168" t="s">
        <v>205</v>
      </c>
    </row>
    <row r="169" spans="1:5" x14ac:dyDescent="0.2">
      <c r="A169" t="e" cm="1">
        <f t="array" aca="1" ref="A169" ca="1">AVERAGEIF(SD!A1:A12,"&gt;2",SD!P1)</f>
        <v>#DIV/0!</v>
      </c>
      <c r="B169">
        <f t="shared" ca="1" si="6"/>
        <v>2</v>
      </c>
      <c r="C169">
        <f t="shared" ca="1" si="7"/>
        <v>0</v>
      </c>
      <c r="D169" t="str">
        <f t="shared" ca="1" si="8"/>
        <v/>
      </c>
      <c r="E169" t="s">
        <v>206</v>
      </c>
    </row>
    <row r="170" spans="1:5" x14ac:dyDescent="0.2">
      <c r="A170" t="e" cm="1">
        <f t="array" ref="A170">AVERAGEIF(SD!A1:A12,"&gt;100")</f>
        <v>#DIV/0!</v>
      </c>
      <c r="B170">
        <f t="shared" si="6"/>
        <v>2</v>
      </c>
      <c r="C170">
        <f t="shared" si="7"/>
        <v>0</v>
      </c>
      <c r="D170" t="str">
        <f t="shared" si="8"/>
        <v/>
      </c>
      <c r="E170" t="s">
        <v>207</v>
      </c>
    </row>
    <row r="171" spans="1:5" x14ac:dyDescent="0.2">
      <c r="A171" t="e" cm="1">
        <f t="array" ref="A171">AVERAGEIF(SD!P1:P3,"a")</f>
        <v>#DIV/0!</v>
      </c>
      <c r="B171">
        <f t="shared" si="6"/>
        <v>2</v>
      </c>
      <c r="C171">
        <f t="shared" si="7"/>
        <v>0</v>
      </c>
      <c r="D171" t="str">
        <f t="shared" si="8"/>
        <v/>
      </c>
      <c r="E171" t="s">
        <v>208</v>
      </c>
    </row>
    <row r="172" spans="1:5" x14ac:dyDescent="0.2">
      <c r="A172" cm="1">
        <f t="array" ref="A172">AVERAGEIF(SD!P1:P3,"*",SD!A1:A3)</f>
        <v>5.666666666666667</v>
      </c>
      <c r="B172">
        <f t="shared" si="6"/>
        <v>0</v>
      </c>
      <c r="C172">
        <f t="shared" si="7"/>
        <v>5.666666666666667</v>
      </c>
      <c r="D172" t="str">
        <f t="shared" si="8"/>
        <v/>
      </c>
      <c r="E172" t="s">
        <v>209</v>
      </c>
    </row>
    <row r="173" spans="1:5" x14ac:dyDescent="0.2">
      <c r="A173" cm="1">
        <f t="array" ref="A173">AVERAGEIF(SD!A:A,"&gt;5")</f>
        <v>8.6</v>
      </c>
      <c r="B173">
        <f t="shared" si="6"/>
        <v>0</v>
      </c>
      <c r="C173">
        <f t="shared" si="7"/>
        <v>8.6</v>
      </c>
      <c r="D173" t="str">
        <f t="shared" si="8"/>
        <v/>
      </c>
      <c r="E173" t="s">
        <v>210</v>
      </c>
    </row>
    <row r="174" spans="1:5" x14ac:dyDescent="0.2">
      <c r="A174" t="e" cm="1">
        <f t="array" ref="A174">AVERAGEIF(D!A7,1)</f>
        <v>#DIV/0!</v>
      </c>
      <c r="B174">
        <f t="shared" si="6"/>
        <v>2</v>
      </c>
      <c r="C174">
        <f t="shared" si="7"/>
        <v>0</v>
      </c>
      <c r="D174" t="str">
        <f t="shared" si="8"/>
        <v/>
      </c>
      <c r="E174" t="s">
        <v>211</v>
      </c>
    </row>
    <row r="175" spans="1:5" x14ac:dyDescent="0.2">
      <c r="A175" cm="1">
        <f t="array" ref="A175">COUNTIF(SD!A:A,"&gt;5")</f>
        <v>5</v>
      </c>
      <c r="B175">
        <f t="shared" si="6"/>
        <v>0</v>
      </c>
      <c r="C175">
        <f t="shared" si="7"/>
        <v>5</v>
      </c>
      <c r="D175" t="str">
        <f t="shared" si="8"/>
        <v/>
      </c>
      <c r="E175" t="s">
        <v>212</v>
      </c>
    </row>
    <row r="176" spans="1:5" x14ac:dyDescent="0.2">
      <c r="A176" cm="1">
        <f t="array" ref="A176">COUNTIF(SD!A:A,"")</f>
        <v>1048564</v>
      </c>
      <c r="B176">
        <f t="shared" si="6"/>
        <v>0</v>
      </c>
      <c r="C176">
        <f t="shared" si="7"/>
        <v>1048564</v>
      </c>
      <c r="D176" t="str">
        <f t="shared" si="8"/>
        <v/>
      </c>
      <c r="E176" t="s">
        <v>213</v>
      </c>
    </row>
    <row r="177" spans="1:5" x14ac:dyDescent="0.2">
      <c r="A177" cm="1">
        <f t="array" ref="A177">COUNTIF(SD!A1:B12,2)</f>
        <v>4</v>
      </c>
      <c r="B177">
        <f t="shared" si="6"/>
        <v>0</v>
      </c>
      <c r="C177">
        <f t="shared" si="7"/>
        <v>4</v>
      </c>
      <c r="D177" t="str">
        <f t="shared" si="8"/>
        <v/>
      </c>
      <c r="E177" t="s">
        <v>214</v>
      </c>
    </row>
    <row r="178" spans="1:5" x14ac:dyDescent="0.2">
      <c r="A178" cm="1">
        <f t="array" ref="A178">COUNTIF(SD!Y1:Y4,TRUE)</f>
        <v>2</v>
      </c>
      <c r="B178">
        <f t="shared" si="6"/>
        <v>0</v>
      </c>
      <c r="C178">
        <f t="shared" si="7"/>
        <v>2</v>
      </c>
      <c r="D178" t="str">
        <f t="shared" si="8"/>
        <v/>
      </c>
      <c r="E178" t="s">
        <v>215</v>
      </c>
    </row>
    <row r="179" spans="1:5" x14ac:dyDescent="0.2">
      <c r="A179" cm="1">
        <f t="array" ref="A179">COUNTIF(SD!Y1:Y4,"TRUE")</f>
        <v>2</v>
      </c>
      <c r="B179">
        <f t="shared" si="6"/>
        <v>0</v>
      </c>
      <c r="C179">
        <f t="shared" si="7"/>
        <v>2</v>
      </c>
      <c r="D179" t="str">
        <f t="shared" si="8"/>
        <v/>
      </c>
      <c r="E179" t="s">
        <v>216</v>
      </c>
    </row>
    <row r="180" spans="1:5" x14ac:dyDescent="0.2">
      <c r="A180" cm="1">
        <f t="array" ref="A180">COUNTIF(SD!P1:P3,"?")</f>
        <v>3</v>
      </c>
      <c r="B180">
        <f t="shared" si="6"/>
        <v>0</v>
      </c>
      <c r="C180">
        <f t="shared" si="7"/>
        <v>3</v>
      </c>
      <c r="D180" t="str">
        <f t="shared" si="8"/>
        <v/>
      </c>
      <c r="E180" t="s">
        <v>217</v>
      </c>
    </row>
    <row r="181" spans="1:5" x14ac:dyDescent="0.2">
      <c r="A181" cm="1">
        <f t="array" ref="A181">COUNTIF(D!E1:E8,D!A7)</f>
        <v>1</v>
      </c>
      <c r="B181">
        <f t="shared" si="6"/>
        <v>0</v>
      </c>
      <c r="C181">
        <f t="shared" si="7"/>
        <v>1</v>
      </c>
      <c r="D181" t="str">
        <f t="shared" si="8"/>
        <v/>
      </c>
      <c r="E181" t="s">
        <v>218</v>
      </c>
    </row>
    <row r="182" spans="1:5" x14ac:dyDescent="0.2">
      <c r="A182" cm="1">
        <f t="array" ref="A182">AVERAGEIFS(D!G1:G7,D!G1:G7,"&gt;4")</f>
        <v>30</v>
      </c>
      <c r="B182">
        <f t="shared" si="6"/>
        <v>0</v>
      </c>
      <c r="C182">
        <f t="shared" si="7"/>
        <v>30</v>
      </c>
      <c r="D182" t="str">
        <f t="shared" si="8"/>
        <v/>
      </c>
      <c r="E182" t="s">
        <v>219</v>
      </c>
    </row>
    <row r="183" spans="1:5" x14ac:dyDescent="0.2">
      <c r="A183" cm="1">
        <f t="array" ref="A183">AVERAGEIFS(D!G1:G7,D!F1:F7,"Ар*",D!G1:G7,"&gt;1")</f>
        <v>4.666666666666667</v>
      </c>
      <c r="B183">
        <f t="shared" si="6"/>
        <v>0</v>
      </c>
      <c r="C183">
        <f t="shared" si="7"/>
        <v>4.666666666666667</v>
      </c>
      <c r="D183" t="str">
        <f t="shared" si="8"/>
        <v/>
      </c>
      <c r="E183" t="s">
        <v>220</v>
      </c>
    </row>
    <row r="184" spans="1:5" x14ac:dyDescent="0.2">
      <c r="A184" cm="1">
        <f t="array" ref="A184">AVERAGEIFS(D!B1:B8,D!D1:D8,"")</f>
        <v>23</v>
      </c>
      <c r="B184">
        <f t="shared" si="6"/>
        <v>0</v>
      </c>
      <c r="C184">
        <f t="shared" si="7"/>
        <v>23</v>
      </c>
      <c r="D184" t="str">
        <f t="shared" si="8"/>
        <v/>
      </c>
      <c r="E184" t="s">
        <v>221</v>
      </c>
    </row>
    <row r="185" spans="1:5" x14ac:dyDescent="0.2">
      <c r="A185" cm="1">
        <f t="array" ref="A185">AVERAGEIFS(D!B1:B8,D!D1:D8,TRUE)</f>
        <v>16</v>
      </c>
      <c r="B185">
        <f t="shared" si="6"/>
        <v>0</v>
      </c>
      <c r="C185">
        <f t="shared" si="7"/>
        <v>16</v>
      </c>
      <c r="D185" t="str">
        <f t="shared" si="8"/>
        <v/>
      </c>
      <c r="E185" t="s">
        <v>222</v>
      </c>
    </row>
    <row r="186" spans="1:5" x14ac:dyDescent="0.2">
      <c r="A186" cm="1">
        <f t="array" ref="A186">AVERAGEIFS(D!B1:B8,D!E1:E8,"&gt;1")</f>
        <v>15.958333333333334</v>
      </c>
      <c r="B186">
        <f t="shared" si="6"/>
        <v>0</v>
      </c>
      <c r="C186">
        <f t="shared" si="7"/>
        <v>15.958333333333334</v>
      </c>
      <c r="D186" t="str">
        <f t="shared" si="8"/>
        <v/>
      </c>
      <c r="E186" t="s">
        <v>223</v>
      </c>
    </row>
    <row r="187" spans="1:5" x14ac:dyDescent="0.2">
      <c r="A187" t="e" cm="1">
        <f t="array" ref="A187">AVERAGEIFS(D!G1:G7,D!F1:F7,"нет")</f>
        <v>#DIV/0!</v>
      </c>
      <c r="B187">
        <f t="shared" si="6"/>
        <v>2</v>
      </c>
      <c r="C187">
        <f t="shared" si="7"/>
        <v>0</v>
      </c>
      <c r="D187" t="str">
        <f t="shared" si="8"/>
        <v/>
      </c>
      <c r="E187" t="s">
        <v>224</v>
      </c>
    </row>
    <row r="188" spans="1:5" x14ac:dyDescent="0.2">
      <c r="A188" cm="1">
        <f t="array" ref="A188">AVERAGEIFS(SD!B1:B12,SD!A1:A12,"&gt;=2")</f>
        <v>5.5</v>
      </c>
      <c r="B188">
        <f t="shared" si="6"/>
        <v>0</v>
      </c>
      <c r="C188">
        <f t="shared" si="7"/>
        <v>5.5</v>
      </c>
      <c r="D188" t="str">
        <f t="shared" si="8"/>
        <v/>
      </c>
      <c r="E188" t="s">
        <v>225</v>
      </c>
    </row>
    <row r="189" spans="1:5" x14ac:dyDescent="0.2">
      <c r="A189" cm="1">
        <f t="array" ref="A189">AVERAGEIFS(SD!C1:C6,SD!A1:A6,"&gt;0")</f>
        <v>3.5</v>
      </c>
      <c r="B189">
        <f t="shared" si="6"/>
        <v>0</v>
      </c>
      <c r="C189">
        <f t="shared" si="7"/>
        <v>3.5</v>
      </c>
      <c r="D189" t="str">
        <f t="shared" si="8"/>
        <v/>
      </c>
      <c r="E189" t="s">
        <v>226</v>
      </c>
    </row>
    <row r="190" spans="1:5" x14ac:dyDescent="0.2">
      <c r="A190" t="e" cm="1">
        <f t="array" ref="A190">AVERAGEIFS(SD!P1:P3,SD!A1:A3,"&gt;0")</f>
        <v>#DIV/0!</v>
      </c>
      <c r="B190">
        <f t="shared" si="6"/>
        <v>2</v>
      </c>
      <c r="C190">
        <f t="shared" si="7"/>
        <v>0</v>
      </c>
      <c r="D190" t="str">
        <f t="shared" si="8"/>
        <v/>
      </c>
      <c r="E190" t="s">
        <v>227</v>
      </c>
    </row>
    <row r="191" spans="1:5" x14ac:dyDescent="0.2">
      <c r="A191" t="e" cm="1">
        <f t="array" ref="A191">AVERAGEIFS(SD!B1:B12,SD!A1:A11,"&gt;0")</f>
        <v>#VALUE!</v>
      </c>
      <c r="B191">
        <f t="shared" si="6"/>
        <v>3</v>
      </c>
      <c r="C191">
        <f t="shared" si="7"/>
        <v>0</v>
      </c>
      <c r="D191" t="str">
        <f t="shared" si="8"/>
        <v/>
      </c>
      <c r="E191" t="s">
        <v>228</v>
      </c>
    </row>
    <row r="192" spans="1:5" x14ac:dyDescent="0.2">
      <c r="A192" cm="1">
        <f t="array" ref="A192">AVERAGEIFS(SD!B:B,SD!A:A,"&gt;5")</f>
        <v>8.4</v>
      </c>
      <c r="B192">
        <f t="shared" si="6"/>
        <v>0</v>
      </c>
      <c r="C192">
        <f t="shared" si="7"/>
        <v>8.4</v>
      </c>
      <c r="D192" t="str">
        <f t="shared" si="8"/>
        <v/>
      </c>
      <c r="E192" t="s">
        <v>229</v>
      </c>
    </row>
    <row r="193" spans="1:5" x14ac:dyDescent="0.2">
      <c r="A193" t="e" cm="1">
        <f t="array" ref="A193">AVERAGEIFS(D!E1:E8,D!B1:B8,"&gt;0")</f>
        <v>#DIV/0!</v>
      </c>
      <c r="B193">
        <f t="shared" ref="B193:B256" si="9">IF(ISERROR(A193),ERROR.TYPE(A193),IF(ISNUMBER(A193),0,IF(ISLOGICAL(A193),IF(A193,-1,-2),IF(ISTEXT(A193),-3,-4))))</f>
        <v>2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230</v>
      </c>
    </row>
    <row r="194" spans="1:5" x14ac:dyDescent="0.2">
      <c r="A194" cm="1">
        <f t="array" ref="A194">AVERAGEIFS(D!E1:E8,D!B1:B8,"&gt;20")</f>
        <v>5.5</v>
      </c>
      <c r="B194">
        <f t="shared" si="9"/>
        <v>0</v>
      </c>
      <c r="C194">
        <f t="shared" si="10"/>
        <v>5.5</v>
      </c>
      <c r="D194" t="str">
        <f t="shared" si="11"/>
        <v/>
      </c>
      <c r="E194" t="s">
        <v>231</v>
      </c>
    </row>
    <row r="195" spans="1:5" x14ac:dyDescent="0.2">
      <c r="A195" cm="1">
        <f t="array" ref="A195">AVERAGEIFS(SD!B1:B12,SD!A1:A12,7,SD!B1:B12,"&lt;8")</f>
        <v>6.75</v>
      </c>
      <c r="B195">
        <f t="shared" si="9"/>
        <v>0</v>
      </c>
      <c r="C195">
        <f t="shared" si="10"/>
        <v>6.75</v>
      </c>
      <c r="D195" t="str">
        <f t="shared" si="11"/>
        <v/>
      </c>
      <c r="E195" t="s">
        <v>232</v>
      </c>
    </row>
    <row r="196" spans="1:5" x14ac:dyDescent="0.2">
      <c r="A196" cm="1">
        <f t="array" ref="A196">_xlfn.MAXIFS(D!G1:G7,D!G1:G7,"&gt;4")</f>
        <v>64</v>
      </c>
      <c r="B196">
        <f t="shared" si="9"/>
        <v>0</v>
      </c>
      <c r="C196">
        <f t="shared" si="10"/>
        <v>64</v>
      </c>
      <c r="D196" t="str">
        <f t="shared" si="11"/>
        <v/>
      </c>
      <c r="E196" t="s">
        <v>233</v>
      </c>
    </row>
    <row r="197" spans="1:5" x14ac:dyDescent="0.2">
      <c r="A197" cm="1">
        <f t="array" ref="A197">_xlfn.MAXIFS(D!G1:G7,D!F1:F7,"Ар*",D!G1:G7,"&gt;1")</f>
        <v>8</v>
      </c>
      <c r="B197">
        <f t="shared" si="9"/>
        <v>0</v>
      </c>
      <c r="C197">
        <f t="shared" si="10"/>
        <v>8</v>
      </c>
      <c r="D197" t="str">
        <f t="shared" si="11"/>
        <v/>
      </c>
      <c r="E197" t="s">
        <v>234</v>
      </c>
    </row>
    <row r="198" spans="1:5" x14ac:dyDescent="0.2">
      <c r="A198" cm="1">
        <f t="array" ref="A198">_xlfn.MAXIFS(D!B1:B8,D!D1:D8,"")</f>
        <v>23</v>
      </c>
      <c r="B198">
        <f t="shared" si="9"/>
        <v>0</v>
      </c>
      <c r="C198">
        <f t="shared" si="10"/>
        <v>23</v>
      </c>
      <c r="D198" t="str">
        <f t="shared" si="11"/>
        <v/>
      </c>
      <c r="E198" t="s">
        <v>235</v>
      </c>
    </row>
    <row r="199" spans="1:5" x14ac:dyDescent="0.2">
      <c r="A199" cm="1">
        <f t="array" ref="A199">_xlfn.MAXIFS(D!B1:B8,D!D1:D8,TRUE)</f>
        <v>16</v>
      </c>
      <c r="B199">
        <f t="shared" si="9"/>
        <v>0</v>
      </c>
      <c r="C199">
        <f t="shared" si="10"/>
        <v>16</v>
      </c>
      <c r="D199" t="str">
        <f t="shared" si="11"/>
        <v/>
      </c>
      <c r="E199" t="s">
        <v>236</v>
      </c>
    </row>
    <row r="200" spans="1:5" x14ac:dyDescent="0.2">
      <c r="A200" cm="1">
        <f t="array" ref="A200">_xlfn.MAXIFS(D!B1:B8,D!E1:E8,"&gt;1")</f>
        <v>42</v>
      </c>
      <c r="B200">
        <f t="shared" si="9"/>
        <v>0</v>
      </c>
      <c r="C200">
        <f t="shared" si="10"/>
        <v>42</v>
      </c>
      <c r="D200" t="str">
        <f t="shared" si="11"/>
        <v/>
      </c>
      <c r="E200" t="s">
        <v>237</v>
      </c>
    </row>
    <row r="201" spans="1:5" x14ac:dyDescent="0.2">
      <c r="A201" cm="1">
        <f t="array" ref="A201">_xlfn.MAXIFS(D!G1:G7,D!F1:F7,"нет")</f>
        <v>0</v>
      </c>
      <c r="B201">
        <f t="shared" si="9"/>
        <v>0</v>
      </c>
      <c r="C201">
        <f t="shared" si="10"/>
        <v>0</v>
      </c>
      <c r="D201" t="str">
        <f t="shared" si="11"/>
        <v/>
      </c>
      <c r="E201" t="s">
        <v>238</v>
      </c>
    </row>
    <row r="202" spans="1:5" x14ac:dyDescent="0.2">
      <c r="A202" cm="1">
        <f t="array" ref="A202">_xlfn.MAXIFS(SD!B1:B12,SD!A1:A12,"&gt;=2")</f>
        <v>11.5</v>
      </c>
      <c r="B202">
        <f t="shared" si="9"/>
        <v>0</v>
      </c>
      <c r="C202">
        <f t="shared" si="10"/>
        <v>11.5</v>
      </c>
      <c r="D202" t="str">
        <f t="shared" si="11"/>
        <v/>
      </c>
      <c r="E202" t="s">
        <v>239</v>
      </c>
    </row>
    <row r="203" spans="1:5" x14ac:dyDescent="0.2">
      <c r="A203" cm="1">
        <f t="array" ref="A203">_xlfn.MAXIFS(SD!C1:C6,SD!A1:A6,"&gt;0")</f>
        <v>5</v>
      </c>
      <c r="B203">
        <f t="shared" si="9"/>
        <v>0</v>
      </c>
      <c r="C203">
        <f t="shared" si="10"/>
        <v>5</v>
      </c>
      <c r="D203" t="str">
        <f t="shared" si="11"/>
        <v/>
      </c>
      <c r="E203" t="s">
        <v>240</v>
      </c>
    </row>
    <row r="204" spans="1:5" x14ac:dyDescent="0.2">
      <c r="A204" cm="1">
        <f t="array" ref="A204">_xlfn.MAXIFS(SD!P1:P3,SD!A1:A3,"&gt;0")</f>
        <v>0</v>
      </c>
      <c r="B204">
        <f t="shared" si="9"/>
        <v>0</v>
      </c>
      <c r="C204">
        <f t="shared" si="10"/>
        <v>0</v>
      </c>
      <c r="D204" t="str">
        <f t="shared" si="11"/>
        <v/>
      </c>
      <c r="E204" t="s">
        <v>241</v>
      </c>
    </row>
    <row r="205" spans="1:5" x14ac:dyDescent="0.2">
      <c r="A205" t="e" cm="1">
        <f t="array" ref="A205">_xlfn.MAXIFS(SD!B1:B12,SD!A1:A11,"&gt;0")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242</v>
      </c>
    </row>
    <row r="206" spans="1:5" x14ac:dyDescent="0.2">
      <c r="A206" cm="1">
        <f t="array" ref="A206">_xlfn.MAXIFS(SD!B:B,SD!A:A,"&gt;5")</f>
        <v>11.5</v>
      </c>
      <c r="B206">
        <f t="shared" si="9"/>
        <v>0</v>
      </c>
      <c r="C206">
        <f t="shared" si="10"/>
        <v>11.5</v>
      </c>
      <c r="D206" t="str">
        <f t="shared" si="11"/>
        <v/>
      </c>
      <c r="E206" t="s">
        <v>243</v>
      </c>
    </row>
    <row r="207" spans="1:5" x14ac:dyDescent="0.2">
      <c r="A207" t="e" cm="1">
        <f t="array" ref="A207">_xlfn.MAXIFS(D!E1:E8,D!B1:B8,"&gt;0")</f>
        <v>#DIV/0!</v>
      </c>
      <c r="B207">
        <f t="shared" si="9"/>
        <v>2</v>
      </c>
      <c r="C207">
        <f t="shared" si="10"/>
        <v>0</v>
      </c>
      <c r="D207" t="str">
        <f t="shared" si="11"/>
        <v/>
      </c>
      <c r="E207" t="s">
        <v>244</v>
      </c>
    </row>
    <row r="208" spans="1:5" x14ac:dyDescent="0.2">
      <c r="A208" cm="1">
        <f t="array" ref="A208">_xlfn.MAXIFS(D!E1:E8,D!B1:B8,"&gt;20")</f>
        <v>6</v>
      </c>
      <c r="B208">
        <f t="shared" si="9"/>
        <v>0</v>
      </c>
      <c r="C208">
        <f t="shared" si="10"/>
        <v>6</v>
      </c>
      <c r="D208" t="str">
        <f t="shared" si="11"/>
        <v/>
      </c>
      <c r="E208" t="s">
        <v>245</v>
      </c>
    </row>
    <row r="209" spans="1:5" x14ac:dyDescent="0.2">
      <c r="A209" cm="1">
        <f t="array" ref="A209">_xlfn.MAXIFS(SD!B1:B12,SD!A1:A12,7,SD!B1:B12,"&lt;8")</f>
        <v>7.5</v>
      </c>
      <c r="B209">
        <f t="shared" si="9"/>
        <v>0</v>
      </c>
      <c r="C209">
        <f t="shared" si="10"/>
        <v>7.5</v>
      </c>
      <c r="D209" t="str">
        <f t="shared" si="11"/>
        <v/>
      </c>
      <c r="E209" t="s">
        <v>246</v>
      </c>
    </row>
    <row r="210" spans="1:5" x14ac:dyDescent="0.2">
      <c r="A210" cm="1">
        <f t="array" ref="A210">_xlfn.MINIFS(D!G1:G7,D!G1:G7,"&gt;4")</f>
        <v>8</v>
      </c>
      <c r="B210">
        <f t="shared" si="9"/>
        <v>0</v>
      </c>
      <c r="C210">
        <f t="shared" si="10"/>
        <v>8</v>
      </c>
      <c r="D210" t="str">
        <f t="shared" si="11"/>
        <v/>
      </c>
      <c r="E210" t="s">
        <v>247</v>
      </c>
    </row>
    <row r="211" spans="1:5" x14ac:dyDescent="0.2">
      <c r="A211" cm="1">
        <f t="array" ref="A211">_xlfn.MINIFS(D!G1:G7,D!F1:F7,"Ар*",D!G1:G7,"&gt;1")</f>
        <v>2</v>
      </c>
      <c r="B211">
        <f t="shared" si="9"/>
        <v>0</v>
      </c>
      <c r="C211">
        <f t="shared" si="10"/>
        <v>2</v>
      </c>
      <c r="D211" t="str">
        <f t="shared" si="11"/>
        <v/>
      </c>
      <c r="E211" t="s">
        <v>248</v>
      </c>
    </row>
    <row r="212" spans="1:5" x14ac:dyDescent="0.2">
      <c r="A212" cm="1">
        <f t="array" ref="A212">_xlfn.MINIFS(D!B1:B8,D!D1:D8,"")</f>
        <v>23</v>
      </c>
      <c r="B212">
        <f t="shared" si="9"/>
        <v>0</v>
      </c>
      <c r="C212">
        <f t="shared" si="10"/>
        <v>23</v>
      </c>
      <c r="D212" t="str">
        <f t="shared" si="11"/>
        <v/>
      </c>
      <c r="E212" t="s">
        <v>249</v>
      </c>
    </row>
    <row r="213" spans="1:5" x14ac:dyDescent="0.2">
      <c r="A213" cm="1">
        <f t="array" ref="A213">_xlfn.MINIFS(D!B1:B8,D!D1:D8,TRUE)</f>
        <v>16</v>
      </c>
      <c r="B213">
        <f t="shared" si="9"/>
        <v>0</v>
      </c>
      <c r="C213">
        <f t="shared" si="10"/>
        <v>16</v>
      </c>
      <c r="D213" t="str">
        <f t="shared" si="11"/>
        <v/>
      </c>
      <c r="E213" t="s">
        <v>250</v>
      </c>
    </row>
    <row r="214" spans="1:5" x14ac:dyDescent="0.2">
      <c r="A214" cm="1">
        <f t="array" ref="A214">_xlfn.MINIFS(D!B1:B8,D!E1:E8,"&gt;1")</f>
        <v>-3.5</v>
      </c>
      <c r="B214">
        <f t="shared" si="9"/>
        <v>0</v>
      </c>
      <c r="C214">
        <f t="shared" si="10"/>
        <v>-3.5</v>
      </c>
      <c r="D214" t="str">
        <f t="shared" si="11"/>
        <v/>
      </c>
      <c r="E214" t="s">
        <v>251</v>
      </c>
    </row>
    <row r="215" spans="1:5" x14ac:dyDescent="0.2">
      <c r="A215" cm="1">
        <f t="array" ref="A215">_xlfn.MINIFS(D!G1:G7,D!F1:F7,"нет")</f>
        <v>0</v>
      </c>
      <c r="B215">
        <f t="shared" si="9"/>
        <v>0</v>
      </c>
      <c r="C215">
        <f t="shared" si="10"/>
        <v>0</v>
      </c>
      <c r="D215" t="str">
        <f t="shared" si="11"/>
        <v/>
      </c>
      <c r="E215" t="s">
        <v>252</v>
      </c>
    </row>
    <row r="216" spans="1:5" x14ac:dyDescent="0.2">
      <c r="A216" cm="1">
        <f t="array" ref="A216">_xlfn.MINIFS(SD!B1:B12,SD!A1:A12,"&gt;=2")</f>
        <v>1.5</v>
      </c>
      <c r="B216">
        <f t="shared" si="9"/>
        <v>0</v>
      </c>
      <c r="C216">
        <f t="shared" si="10"/>
        <v>1.5</v>
      </c>
      <c r="D216" t="str">
        <f t="shared" si="11"/>
        <v/>
      </c>
      <c r="E216" t="s">
        <v>253</v>
      </c>
    </row>
    <row r="217" spans="1:5" x14ac:dyDescent="0.2">
      <c r="A217" cm="1">
        <f t="array" ref="A217">_xlfn.MINIFS(SD!C1:C6,SD!A1:A6,"&gt;0")</f>
        <v>2</v>
      </c>
      <c r="B217">
        <f t="shared" si="9"/>
        <v>0</v>
      </c>
      <c r="C217">
        <f t="shared" si="10"/>
        <v>2</v>
      </c>
      <c r="D217" t="str">
        <f t="shared" si="11"/>
        <v/>
      </c>
      <c r="E217" t="s">
        <v>254</v>
      </c>
    </row>
    <row r="218" spans="1:5" x14ac:dyDescent="0.2">
      <c r="A218" cm="1">
        <f t="array" ref="A218">_xlfn.MINIFS(SD!P1:P3,SD!A1:A3,"&gt;0")</f>
        <v>0</v>
      </c>
      <c r="B218">
        <f t="shared" si="9"/>
        <v>0</v>
      </c>
      <c r="C218">
        <f t="shared" si="10"/>
        <v>0</v>
      </c>
      <c r="D218" t="str">
        <f t="shared" si="11"/>
        <v/>
      </c>
      <c r="E218" t="s">
        <v>255</v>
      </c>
    </row>
    <row r="219" spans="1:5" x14ac:dyDescent="0.2">
      <c r="A219" t="e" cm="1">
        <f t="array" ref="A219">_xlfn.MINIFS(SD!B1:B12,SD!A1:A11,"&gt;0")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256</v>
      </c>
    </row>
    <row r="220" spans="1:5" x14ac:dyDescent="0.2">
      <c r="A220" cm="1">
        <f t="array" ref="A220">_xlfn.MINIFS(SD!B:B,SD!A:A,"&gt;5")</f>
        <v>6</v>
      </c>
      <c r="B220">
        <f t="shared" si="9"/>
        <v>0</v>
      </c>
      <c r="C220">
        <f t="shared" si="10"/>
        <v>6</v>
      </c>
      <c r="D220" t="str">
        <f t="shared" si="11"/>
        <v/>
      </c>
      <c r="E220" t="s">
        <v>257</v>
      </c>
    </row>
    <row r="221" spans="1:5" x14ac:dyDescent="0.2">
      <c r="A221" t="e" cm="1">
        <f t="array" ref="A221">_xlfn.MINIFS(D!E1:E8,D!B1:B8,"&gt;0")</f>
        <v>#DIV/0!</v>
      </c>
      <c r="B221">
        <f t="shared" si="9"/>
        <v>2</v>
      </c>
      <c r="C221">
        <f t="shared" si="10"/>
        <v>0</v>
      </c>
      <c r="D221" t="str">
        <f t="shared" si="11"/>
        <v/>
      </c>
      <c r="E221" t="s">
        <v>258</v>
      </c>
    </row>
    <row r="222" spans="1:5" x14ac:dyDescent="0.2">
      <c r="A222" cm="1">
        <f t="array" ref="A222">_xlfn.MINIFS(D!E1:E8,D!B1:B8,"&gt;20")</f>
        <v>5</v>
      </c>
      <c r="B222">
        <f t="shared" si="9"/>
        <v>0</v>
      </c>
      <c r="C222">
        <f t="shared" si="10"/>
        <v>5</v>
      </c>
      <c r="D222" t="str">
        <f t="shared" si="11"/>
        <v/>
      </c>
      <c r="E222" t="s">
        <v>259</v>
      </c>
    </row>
    <row r="223" spans="1:5" x14ac:dyDescent="0.2">
      <c r="A223" cm="1">
        <f t="array" ref="A223">_xlfn.MINIFS(SD!B1:B12,SD!A1:A12,7,SD!B1:B12,"&lt;8")</f>
        <v>6</v>
      </c>
      <c r="B223">
        <f t="shared" si="9"/>
        <v>0</v>
      </c>
      <c r="C223">
        <f t="shared" si="10"/>
        <v>6</v>
      </c>
      <c r="D223" t="str">
        <f t="shared" si="11"/>
        <v/>
      </c>
      <c r="E223" t="s">
        <v>260</v>
      </c>
    </row>
    <row r="224" spans="1:5" x14ac:dyDescent="0.2">
      <c r="A224" cm="1">
        <f t="array" ref="A224">COUNTIF(D!E1:E8,"#DIV/0!")</f>
        <v>1</v>
      </c>
      <c r="B224">
        <f t="shared" si="9"/>
        <v>0</v>
      </c>
      <c r="C224">
        <f t="shared" si="10"/>
        <v>1</v>
      </c>
      <c r="D224" t="str">
        <f t="shared" si="11"/>
        <v/>
      </c>
      <c r="E224" t="s">
        <v>261</v>
      </c>
    </row>
    <row r="225" spans="1:5" x14ac:dyDescent="0.2">
      <c r="A225" cm="1">
        <f t="array" ref="A225">COUNTIF(D!E1:E8,"=#DIV/0!")</f>
        <v>1</v>
      </c>
      <c r="B225">
        <f t="shared" si="9"/>
        <v>0</v>
      </c>
      <c r="C225">
        <f t="shared" si="10"/>
        <v>1</v>
      </c>
      <c r="D225" t="str">
        <f t="shared" si="11"/>
        <v/>
      </c>
      <c r="E225" t="s">
        <v>262</v>
      </c>
    </row>
    <row r="226" spans="1:5" x14ac:dyDescent="0.2">
      <c r="A226" cm="1">
        <f t="array" ref="A226">COUNTIF(D!E1:E8,"&lt;&gt;#DIV/0!")</f>
        <v>7</v>
      </c>
      <c r="B226">
        <f t="shared" si="9"/>
        <v>0</v>
      </c>
      <c r="C226">
        <f t="shared" si="10"/>
        <v>7</v>
      </c>
      <c r="D226" t="str">
        <f t="shared" si="11"/>
        <v/>
      </c>
      <c r="E226" t="s">
        <v>263</v>
      </c>
    </row>
    <row r="227" spans="1:5" x14ac:dyDescent="0.2">
      <c r="A227" cm="1">
        <f t="array" ref="A227">COUNTIF(D!A7:A8,D!A8)</f>
        <v>1</v>
      </c>
      <c r="B227">
        <f t="shared" si="9"/>
        <v>0</v>
      </c>
      <c r="C227">
        <f t="shared" si="10"/>
        <v>1</v>
      </c>
      <c r="D227" t="str">
        <f t="shared" si="11"/>
        <v/>
      </c>
      <c r="E227" t="s">
        <v>264</v>
      </c>
    </row>
    <row r="228" spans="1:5" x14ac:dyDescent="0.2">
      <c r="A228" cm="1">
        <f t="array" ref="A228">COUNTIF(D!A7:A8,"#N/A")</f>
        <v>1</v>
      </c>
      <c r="B228">
        <f t="shared" si="9"/>
        <v>0</v>
      </c>
      <c r="C228">
        <f t="shared" si="10"/>
        <v>1</v>
      </c>
      <c r="D228" t="str">
        <f t="shared" si="11"/>
        <v/>
      </c>
      <c r="E228" t="s">
        <v>265</v>
      </c>
    </row>
    <row r="229" spans="1:5" x14ac:dyDescent="0.2">
      <c r="A229" cm="1">
        <f t="array" ref="A229">COUNTIFS(D!E1:E8,D!A7)</f>
        <v>1</v>
      </c>
      <c r="B229">
        <f t="shared" si="9"/>
        <v>0</v>
      </c>
      <c r="C229">
        <f t="shared" si="10"/>
        <v>1</v>
      </c>
      <c r="D229" t="str">
        <f t="shared" si="11"/>
        <v/>
      </c>
      <c r="E229" t="s">
        <v>266</v>
      </c>
    </row>
    <row r="230" spans="1:5" x14ac:dyDescent="0.2">
      <c r="A230" cm="1">
        <f t="array" ref="A230">COUNTIFS(D!E1:E8,"#DIV/0!",D!B1:B8,"&gt;0")</f>
        <v>1</v>
      </c>
      <c r="B230">
        <f t="shared" si="9"/>
        <v>0</v>
      </c>
      <c r="C230">
        <f t="shared" si="10"/>
        <v>1</v>
      </c>
      <c r="D230" t="str">
        <f t="shared" si="11"/>
        <v/>
      </c>
      <c r="E230" t="s">
        <v>267</v>
      </c>
    </row>
    <row r="231" spans="1:5" x14ac:dyDescent="0.2">
      <c r="A231" cm="1">
        <f t="array" ref="A231">AVERAGEIF(D!E1:E8,D!A7,D!B1:B8)</f>
        <v>15</v>
      </c>
      <c r="B231">
        <f t="shared" si="9"/>
        <v>0</v>
      </c>
      <c r="C231">
        <f t="shared" si="10"/>
        <v>15</v>
      </c>
      <c r="D231" t="str">
        <f t="shared" si="11"/>
        <v/>
      </c>
      <c r="E231" t="s">
        <v>268</v>
      </c>
    </row>
    <row r="232" spans="1:5" x14ac:dyDescent="0.2">
      <c r="A232" cm="1">
        <f t="array" ref="A232">AVERAGEIFS(D!B1:B8,D!E1:E8,"#DIV/0!")</f>
        <v>15</v>
      </c>
      <c r="B232">
        <f t="shared" si="9"/>
        <v>0</v>
      </c>
      <c r="C232">
        <f t="shared" si="10"/>
        <v>15</v>
      </c>
      <c r="D232" t="str">
        <f t="shared" si="11"/>
        <v/>
      </c>
      <c r="E232" t="s">
        <v>269</v>
      </c>
    </row>
    <row r="233" spans="1:5" x14ac:dyDescent="0.2">
      <c r="A233" cm="1">
        <f t="array" ref="A233">_xlfn.BINOM.INV(1,0.5,0.5)</f>
        <v>1</v>
      </c>
      <c r="B233">
        <f t="shared" si="9"/>
        <v>0</v>
      </c>
      <c r="C233">
        <f t="shared" si="10"/>
        <v>1</v>
      </c>
      <c r="D233" t="str">
        <f t="shared" si="11"/>
        <v/>
      </c>
      <c r="E233" t="s">
        <v>270</v>
      </c>
    </row>
    <row r="234" spans="1:5" x14ac:dyDescent="0.2">
      <c r="A234" cm="1">
        <f t="array" ref="A234">_xlfn.BINOM.INV(2,0.5,0.25)</f>
        <v>1</v>
      </c>
      <c r="B234">
        <f t="shared" si="9"/>
        <v>0</v>
      </c>
      <c r="C234">
        <f t="shared" si="10"/>
        <v>1</v>
      </c>
      <c r="D234" t="str">
        <f t="shared" si="11"/>
        <v/>
      </c>
      <c r="E234" t="s">
        <v>271</v>
      </c>
    </row>
    <row r="235" spans="1:5" x14ac:dyDescent="0.2">
      <c r="A235" cm="1">
        <f t="array" ref="A235">_xlfn.BINOM.INV(2,0.5,0.75)</f>
        <v>1</v>
      </c>
      <c r="B235">
        <f t="shared" si="9"/>
        <v>0</v>
      </c>
      <c r="C235">
        <f t="shared" si="10"/>
        <v>1</v>
      </c>
      <c r="D235" t="str">
        <f t="shared" si="11"/>
        <v/>
      </c>
      <c r="E235" t="s">
        <v>272</v>
      </c>
    </row>
    <row r="236" spans="1:5" x14ac:dyDescent="0.2">
      <c r="A236" cm="1">
        <f t="array" ref="A236">_xlfn.BINOM.INV(3,0.5,0.125)</f>
        <v>0</v>
      </c>
      <c r="B236">
        <f t="shared" si="9"/>
        <v>0</v>
      </c>
      <c r="C236">
        <f t="shared" si="10"/>
        <v>0</v>
      </c>
      <c r="D236" t="str">
        <f t="shared" si="11"/>
        <v/>
      </c>
      <c r="E236" t="s">
        <v>273</v>
      </c>
    </row>
    <row r="237" spans="1:5" x14ac:dyDescent="0.2">
      <c r="A237" cm="1">
        <f t="array" ref="A237">_xlfn.BINOM.INV(3,0.5,0.5)</f>
        <v>1</v>
      </c>
      <c r="B237">
        <f t="shared" si="9"/>
        <v>0</v>
      </c>
      <c r="C237">
        <f t="shared" si="10"/>
        <v>1</v>
      </c>
      <c r="D237" t="str">
        <f t="shared" si="11"/>
        <v/>
      </c>
      <c r="E237" t="s">
        <v>274</v>
      </c>
    </row>
    <row r="238" spans="1:5" x14ac:dyDescent="0.2">
      <c r="A238" cm="1">
        <f t="array" ref="A238">_xlfn.BINOM.INV(4,0.5,0.0625)</f>
        <v>1</v>
      </c>
      <c r="B238">
        <f t="shared" si="9"/>
        <v>0</v>
      </c>
      <c r="C238">
        <f t="shared" si="10"/>
        <v>1</v>
      </c>
      <c r="D238" t="str">
        <f t="shared" si="11"/>
        <v/>
      </c>
      <c r="E238" t="s">
        <v>275</v>
      </c>
    </row>
    <row r="239" spans="1:5" x14ac:dyDescent="0.2">
      <c r="A239" cm="1">
        <f t="array" ref="A239">_xlfn.BINOM.INV(4,0.5,0.3125)</f>
        <v>1</v>
      </c>
      <c r="B239">
        <f t="shared" si="9"/>
        <v>0</v>
      </c>
      <c r="C239">
        <f t="shared" si="10"/>
        <v>1</v>
      </c>
      <c r="D239" t="str">
        <f t="shared" si="11"/>
        <v/>
      </c>
      <c r="E239" t="s">
        <v>276</v>
      </c>
    </row>
    <row r="240" spans="1:5" x14ac:dyDescent="0.2">
      <c r="A240" cm="1">
        <f t="array" ref="A240">_xlfn.BINOM.INV(10,0.5,0.0107421875)</f>
        <v>1</v>
      </c>
      <c r="B240">
        <f t="shared" si="9"/>
        <v>0</v>
      </c>
      <c r="C240">
        <f t="shared" si="10"/>
        <v>1</v>
      </c>
      <c r="D240" t="str">
        <f t="shared" si="11"/>
        <v/>
      </c>
      <c r="E240" t="s">
        <v>277</v>
      </c>
    </row>
    <row r="241" spans="1:5" x14ac:dyDescent="0.2">
      <c r="A241" cm="1">
        <f t="array" ref="A241">_xlfn.BINOM.INV(10,0.5,0.0546875)</f>
        <v>2</v>
      </c>
      <c r="B241">
        <f t="shared" si="9"/>
        <v>0</v>
      </c>
      <c r="C241">
        <f t="shared" si="10"/>
        <v>2</v>
      </c>
      <c r="D241" t="str">
        <f t="shared" si="11"/>
        <v/>
      </c>
      <c r="E241" t="s">
        <v>278</v>
      </c>
    </row>
    <row r="242" spans="1:5" x14ac:dyDescent="0.2">
      <c r="A242" cm="1">
        <f t="array" ref="A242">_xlfn.BINOM.INV(2,0.25,0.5625)</f>
        <v>1</v>
      </c>
      <c r="B242">
        <f t="shared" si="9"/>
        <v>0</v>
      </c>
      <c r="C242">
        <f t="shared" si="10"/>
        <v>1</v>
      </c>
      <c r="D242" t="str">
        <f t="shared" si="11"/>
        <v/>
      </c>
      <c r="E242" t="s">
        <v>279</v>
      </c>
    </row>
    <row r="243" spans="1:5" x14ac:dyDescent="0.2">
      <c r="A243" cm="1">
        <f t="array" ref="A243">_xlfn.BINOM.INV(2,0.75,0.4375)</f>
        <v>1</v>
      </c>
      <c r="B243">
        <f t="shared" si="9"/>
        <v>0</v>
      </c>
      <c r="C243">
        <f t="shared" si="10"/>
        <v>1</v>
      </c>
      <c r="D243" t="str">
        <f t="shared" si="11"/>
        <v/>
      </c>
      <c r="E243" t="s">
        <v>280</v>
      </c>
    </row>
    <row r="244" spans="1:5" x14ac:dyDescent="0.2">
      <c r="A244" cm="1">
        <f t="array" ref="A244">_xlfn.BINOM.INV(3,0.25,0.421875)</f>
        <v>0</v>
      </c>
      <c r="B244">
        <f t="shared" si="9"/>
        <v>0</v>
      </c>
      <c r="C244">
        <f t="shared" si="10"/>
        <v>0</v>
      </c>
      <c r="D244" t="str">
        <f t="shared" si="11"/>
        <v/>
      </c>
      <c r="E244" t="s">
        <v>281</v>
      </c>
    </row>
    <row r="245" spans="1:5" x14ac:dyDescent="0.2">
      <c r="A245" cm="1">
        <f t="array" ref="A245">_xlfn.BINOM.INV(10,0.5,0.0009765626)</f>
        <v>1</v>
      </c>
      <c r="B245">
        <f t="shared" si="9"/>
        <v>0</v>
      </c>
      <c r="C245">
        <f t="shared" si="10"/>
        <v>1</v>
      </c>
      <c r="D245" t="str">
        <f t="shared" si="11"/>
        <v/>
      </c>
      <c r="E245" t="s">
        <v>282</v>
      </c>
    </row>
    <row r="246" spans="1:5" x14ac:dyDescent="0.2">
      <c r="A246" cm="1">
        <f t="array" ref="A246">_xlfn.BINOM.INV(10,0.5,0.0009765624)</f>
        <v>0</v>
      </c>
      <c r="B246">
        <f t="shared" si="9"/>
        <v>0</v>
      </c>
      <c r="C246">
        <f t="shared" si="10"/>
        <v>0</v>
      </c>
      <c r="D246" t="str">
        <f t="shared" si="11"/>
        <v/>
      </c>
      <c r="E246" t="s">
        <v>283</v>
      </c>
    </row>
    <row r="247" spans="1:5" x14ac:dyDescent="0.2">
      <c r="A247" cm="1">
        <f t="array" ref="A247">MODE(D!A3,1,1)</f>
        <v>1</v>
      </c>
      <c r="B247">
        <f t="shared" si="9"/>
        <v>0</v>
      </c>
      <c r="C247">
        <f t="shared" si="10"/>
        <v>1</v>
      </c>
      <c r="D247" t="str">
        <f t="shared" si="11"/>
        <v/>
      </c>
      <c r="E247" t="s">
        <v>284</v>
      </c>
    </row>
    <row r="248" spans="1:5" x14ac:dyDescent="0.2">
      <c r="A248" t="e" cm="1">
        <f t="array" ref="A248">MODE(D!A1:A1,1,1)</f>
        <v>#VALUE!</v>
      </c>
      <c r="B248">
        <f t="shared" si="9"/>
        <v>3</v>
      </c>
      <c r="C248">
        <f t="shared" si="10"/>
        <v>0</v>
      </c>
      <c r="D248" t="str">
        <f t="shared" si="11"/>
        <v/>
      </c>
      <c r="E248" t="s">
        <v>285</v>
      </c>
    </row>
    <row r="249" spans="1:5" x14ac:dyDescent="0.2">
      <c r="A249" t="e" cm="1">
        <f t="array" ref="A249">MODE(D!K1:K1,1,1)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286</v>
      </c>
    </row>
    <row r="250" spans="1:5" x14ac:dyDescent="0.2">
      <c r="A250" cm="1">
        <f t="array" ref="A250">MODE(D!A13,1,1)</f>
        <v>1</v>
      </c>
      <c r="B250">
        <f t="shared" si="9"/>
        <v>0</v>
      </c>
      <c r="C250">
        <f t="shared" si="10"/>
        <v>1</v>
      </c>
      <c r="D250" t="str">
        <f t="shared" si="11"/>
        <v/>
      </c>
      <c r="E250" t="s">
        <v>287</v>
      </c>
    </row>
    <row r="251" spans="1:5" x14ac:dyDescent="0.2">
      <c r="A251" t="e" cm="1">
        <f t="array" ref="A251">MODE(D!A1,D!A1,1,1)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288</v>
      </c>
    </row>
    <row r="252" spans="1:5" x14ac:dyDescent="0.2">
      <c r="A252" t="e" cm="1">
        <f t="array" ref="A252">_xlfn.T.DIST(1.96,10000000001,TRUE)</f>
        <v>#NUM!</v>
      </c>
      <c r="B252">
        <f t="shared" si="9"/>
        <v>6</v>
      </c>
      <c r="C252">
        <f t="shared" si="10"/>
        <v>0</v>
      </c>
      <c r="D252" t="str">
        <f t="shared" si="11"/>
        <v/>
      </c>
      <c r="E252" t="s">
        <v>289</v>
      </c>
    </row>
    <row r="253" spans="1:5" x14ac:dyDescent="0.2">
      <c r="A253" t="e" cm="1">
        <f t="array" ref="A253">_xlfn.T.DIST.2T(1.96,10000000001)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290</v>
      </c>
    </row>
    <row r="254" spans="1:5" x14ac:dyDescent="0.2">
      <c r="A254" t="e" cm="1">
        <f t="array" ref="A254">_xlfn.T.INV(0.3,10000000001)</f>
        <v>#NUM!</v>
      </c>
      <c r="B254">
        <f t="shared" si="9"/>
        <v>6</v>
      </c>
      <c r="C254">
        <f t="shared" si="10"/>
        <v>0</v>
      </c>
      <c r="D254" t="str">
        <f t="shared" si="11"/>
        <v/>
      </c>
      <c r="E254" t="s">
        <v>291</v>
      </c>
    </row>
    <row r="255" spans="1:5" x14ac:dyDescent="0.2">
      <c r="A255" t="e" cm="1">
        <f t="array" ref="A255">_xlfn.CHISQ.DIST(5,10000000001,TRUE)</f>
        <v>#NUM!</v>
      </c>
      <c r="B255">
        <f t="shared" si="9"/>
        <v>6</v>
      </c>
      <c r="C255">
        <f t="shared" si="10"/>
        <v>0</v>
      </c>
      <c r="D255" t="str">
        <f t="shared" si="11"/>
        <v/>
      </c>
      <c r="E255" t="s">
        <v>292</v>
      </c>
    </row>
    <row r="256" spans="1:5" x14ac:dyDescent="0.2">
      <c r="A256" t="e" cm="1">
        <f t="array" ref="A256">_xlfn.F.DIST(2,100000000000,4,TRUE)</f>
        <v>#NUM!</v>
      </c>
      <c r="B256">
        <f t="shared" si="9"/>
        <v>6</v>
      </c>
      <c r="C256">
        <f t="shared" si="10"/>
        <v>0</v>
      </c>
      <c r="D256" t="str">
        <f t="shared" si="11"/>
        <v/>
      </c>
      <c r="E256" t="s">
        <v>293</v>
      </c>
    </row>
    <row r="257" spans="1:5" x14ac:dyDescent="0.2">
      <c r="A257" t="e" cm="1">
        <f t="array" ref="A257">_xlfn.F.INV(0.3,100000000000,4)</f>
        <v>#NUM!</v>
      </c>
      <c r="B257">
        <f t="shared" ref="B257:B320" si="12">IF(ISERROR(A257),ERROR.TYPE(A257),IF(ISNUMBER(A257),0,IF(ISLOGICAL(A257),IF(A257,-1,-2),IF(ISTEXT(A257),-3,-4))))</f>
        <v>6</v>
      </c>
      <c r="C257">
        <f t="shared" ref="C257:C278" si="13">IF(ISNUMBER(A257),A257,0)</f>
        <v>0</v>
      </c>
      <c r="D257" t="str">
        <f t="shared" ref="D257:D278" si="14">IF(ISTEXT(A257),A257,"")</f>
        <v/>
      </c>
      <c r="E257" t="s">
        <v>294</v>
      </c>
    </row>
    <row r="258" spans="1:5" x14ac:dyDescent="0.2">
      <c r="A258" cm="1">
        <f t="array" ref="A258">_xlfn.GAMMA.DIST(5000116309,5000000000,1,TRUE)</f>
        <v>0.94999958595045664</v>
      </c>
      <c r="B258">
        <f t="shared" si="12"/>
        <v>0</v>
      </c>
      <c r="C258">
        <f t="shared" si="13"/>
        <v>0.94999958595045664</v>
      </c>
      <c r="D258" t="str">
        <f t="shared" si="14"/>
        <v/>
      </c>
      <c r="E258" t="s">
        <v>295</v>
      </c>
    </row>
    <row r="259" spans="1:5" x14ac:dyDescent="0.2">
      <c r="A259" cm="1">
        <f t="array" ref="A259">_xlfn.GAMMA.DIST(5999959379,6000000000,1,TRUE)</f>
        <v>0.29999609804537258</v>
      </c>
      <c r="B259">
        <f t="shared" si="12"/>
        <v>0</v>
      </c>
      <c r="C259">
        <f t="shared" si="13"/>
        <v>0.29999609804537258</v>
      </c>
      <c r="D259" t="str">
        <f t="shared" si="14"/>
        <v/>
      </c>
      <c r="E259" t="s">
        <v>296</v>
      </c>
    </row>
    <row r="260" spans="1:5" x14ac:dyDescent="0.2">
      <c r="A260" cm="1">
        <f t="array" ref="A260">_xlfn.GAMMA.DIST(7999852880,8000000000,1,FALSE)</f>
        <v>1.1530974316513399E-6</v>
      </c>
      <c r="B260">
        <f t="shared" si="12"/>
        <v>0</v>
      </c>
      <c r="C260">
        <f t="shared" si="13"/>
        <v>1.1530974316513399E-6</v>
      </c>
      <c r="D260" t="str">
        <f t="shared" si="14"/>
        <v/>
      </c>
      <c r="E260" t="s">
        <v>297</v>
      </c>
    </row>
    <row r="261" spans="1:5" x14ac:dyDescent="0.2">
      <c r="A261" cm="1">
        <f t="array" ref="A261">_xlfn.GAMMA.DIST(0.265,0.01,1,TRUE)</f>
        <v>0.98999849030026621</v>
      </c>
      <c r="B261">
        <f t="shared" si="12"/>
        <v>0</v>
      </c>
      <c r="C261">
        <f t="shared" si="13"/>
        <v>0.98999849030026621</v>
      </c>
      <c r="D261" t="str">
        <f t="shared" si="14"/>
        <v/>
      </c>
      <c r="E261" t="s">
        <v>298</v>
      </c>
    </row>
    <row r="262" spans="1:5" x14ac:dyDescent="0.2">
      <c r="A262" cm="1">
        <f t="array" ref="A262">_xlfn.GAMMA.DIST(1.5,0.002,1,TRUE)</f>
        <v>0.99979942728330973</v>
      </c>
      <c r="B262">
        <f t="shared" si="12"/>
        <v>0</v>
      </c>
      <c r="C262">
        <f t="shared" si="13"/>
        <v>0.99979942728330973</v>
      </c>
      <c r="D262" t="str">
        <f t="shared" si="14"/>
        <v/>
      </c>
      <c r="E262" t="s">
        <v>299</v>
      </c>
    </row>
    <row r="263" spans="1:5" x14ac:dyDescent="0.2">
      <c r="A263" cm="1">
        <f t="array" ref="A263">_xlfn.GAMMA.DIST(3,0.02,1,TRUE)</f>
        <v>0.99972903029621962</v>
      </c>
      <c r="B263">
        <f t="shared" si="12"/>
        <v>0</v>
      </c>
      <c r="C263">
        <f t="shared" si="13"/>
        <v>0.99972903029621962</v>
      </c>
      <c r="D263" t="str">
        <f t="shared" si="14"/>
        <v/>
      </c>
      <c r="E263" t="s">
        <v>300</v>
      </c>
    </row>
    <row r="264" spans="1:5" x14ac:dyDescent="0.2">
      <c r="A264" cm="1">
        <f t="array" ref="A264">_xlfn.GAMMA.INV(0.98,0.01,1)</f>
        <v>8.1231214199421656E-2</v>
      </c>
      <c r="B264">
        <f t="shared" si="12"/>
        <v>0</v>
      </c>
      <c r="C264">
        <f t="shared" si="13"/>
        <v>8.1231214199421656E-2</v>
      </c>
      <c r="D264" t="str">
        <f t="shared" si="14"/>
        <v/>
      </c>
      <c r="E264" t="s">
        <v>301</v>
      </c>
    </row>
    <row r="265" spans="1:5" x14ac:dyDescent="0.2">
      <c r="A265" t="e" cm="1">
        <f t="array" ref="A265">_xlfn.GAMMA.INV(0.99,0.01,1)</f>
        <v>#NUM!</v>
      </c>
      <c r="B265">
        <f t="shared" si="12"/>
        <v>6</v>
      </c>
      <c r="C265">
        <f t="shared" si="13"/>
        <v>0</v>
      </c>
      <c r="D265" t="str">
        <f t="shared" si="14"/>
        <v/>
      </c>
      <c r="E265" t="s">
        <v>302</v>
      </c>
    </row>
    <row r="266" spans="1:5" x14ac:dyDescent="0.2">
      <c r="A266" t="e" cm="1">
        <f t="array" ref="A266">_xlfn.GAMMA.INV(0.995,0.02,1)</f>
        <v>#NUM!</v>
      </c>
      <c r="B266">
        <f t="shared" si="12"/>
        <v>6</v>
      </c>
      <c r="C266">
        <f t="shared" si="13"/>
        <v>0</v>
      </c>
      <c r="D266" t="str">
        <f t="shared" si="14"/>
        <v/>
      </c>
      <c r="E266" t="s">
        <v>303</v>
      </c>
    </row>
    <row r="267" spans="1:5" x14ac:dyDescent="0.2">
      <c r="A267" cm="1">
        <f t="array" ref="A267">_xlfn.GAMMA.INV(0.9999,0.02,1)</f>
        <v>3.8041274250628363</v>
      </c>
      <c r="B267">
        <f t="shared" si="12"/>
        <v>0</v>
      </c>
      <c r="C267">
        <f t="shared" si="13"/>
        <v>3.8041274250628363</v>
      </c>
      <c r="D267" t="str">
        <f t="shared" si="14"/>
        <v/>
      </c>
      <c r="E267" t="s">
        <v>304</v>
      </c>
    </row>
    <row r="268" spans="1:5" x14ac:dyDescent="0.2">
      <c r="A268" cm="1">
        <f t="array" ref="A268">_xlfn.GAMMA.INV(0.999,0.03,1)</f>
        <v>2.318292521091895</v>
      </c>
      <c r="B268">
        <f t="shared" si="12"/>
        <v>0</v>
      </c>
      <c r="C268">
        <f t="shared" si="13"/>
        <v>2.318292521091895</v>
      </c>
      <c r="D268" t="str">
        <f t="shared" si="14"/>
        <v/>
      </c>
      <c r="E268" t="s">
        <v>305</v>
      </c>
    </row>
    <row r="269" spans="1:5" x14ac:dyDescent="0.2">
      <c r="A269" cm="1">
        <f t="array" ref="A269">_xlfn.GAMMA.INV(0.3,5000000000,1)</f>
        <v>4999962919.0424738</v>
      </c>
      <c r="B269">
        <f t="shared" si="12"/>
        <v>0</v>
      </c>
      <c r="C269">
        <f t="shared" si="13"/>
        <v>4999962919.0424738</v>
      </c>
      <c r="D269" t="str">
        <f t="shared" si="14"/>
        <v/>
      </c>
      <c r="E269" t="s">
        <v>306</v>
      </c>
    </row>
    <row r="270" spans="1:5" x14ac:dyDescent="0.2">
      <c r="A270" t="e" cm="1">
        <f t="array" ref="A270">_xlfn.GAMMA.INV(0.95,5000000000,1)</f>
        <v>#NUM!</v>
      </c>
      <c r="B270">
        <f t="shared" si="12"/>
        <v>6</v>
      </c>
      <c r="C270">
        <f t="shared" si="13"/>
        <v>0</v>
      </c>
      <c r="D270" t="str">
        <f t="shared" si="14"/>
        <v/>
      </c>
      <c r="E270" t="s">
        <v>307</v>
      </c>
    </row>
    <row r="271" spans="1:5" x14ac:dyDescent="0.2">
      <c r="A271" cm="1">
        <f t="array" ref="A271">_xlfn.GAMMA.INV(0.05,6000000000,1)</f>
        <v>5999872590.7544346</v>
      </c>
      <c r="B271">
        <f t="shared" si="12"/>
        <v>0</v>
      </c>
      <c r="C271">
        <f t="shared" si="13"/>
        <v>5999872590.7544346</v>
      </c>
      <c r="D271" t="str">
        <f t="shared" si="14"/>
        <v/>
      </c>
      <c r="E271" t="s">
        <v>308</v>
      </c>
    </row>
    <row r="272" spans="1:5" x14ac:dyDescent="0.2">
      <c r="A272" t="e" cm="1">
        <f t="array" ref="A272">_xlfn.GAMMA.INV(0.3,6000000000,1)</f>
        <v>#NUM!</v>
      </c>
      <c r="B272">
        <f t="shared" si="12"/>
        <v>6</v>
      </c>
      <c r="C272">
        <f t="shared" si="13"/>
        <v>0</v>
      </c>
      <c r="D272" t="str">
        <f t="shared" si="14"/>
        <v/>
      </c>
      <c r="E272" t="s">
        <v>309</v>
      </c>
    </row>
    <row r="273" spans="1:5" x14ac:dyDescent="0.2">
      <c r="A273" cm="1">
        <f t="array" ref="A273">_xlfn.CHISQ.INV(0.9,10000000000)</f>
        <v>10000181239.188732</v>
      </c>
      <c r="B273">
        <f t="shared" si="12"/>
        <v>0</v>
      </c>
      <c r="C273">
        <f t="shared" si="13"/>
        <v>10000181239.188732</v>
      </c>
      <c r="D273" t="str">
        <f t="shared" si="14"/>
        <v/>
      </c>
      <c r="E273" t="s">
        <v>310</v>
      </c>
    </row>
    <row r="274" spans="1:5" x14ac:dyDescent="0.2">
      <c r="A274" t="e" cm="1">
        <f t="array" ref="A274">_xlfn.CHISQ.INV(0.95,10000000000)</f>
        <v>#NUM!</v>
      </c>
      <c r="B274">
        <f t="shared" si="12"/>
        <v>6</v>
      </c>
      <c r="C274">
        <f t="shared" si="13"/>
        <v>0</v>
      </c>
      <c r="D274" t="str">
        <f t="shared" si="14"/>
        <v/>
      </c>
      <c r="E274" t="s">
        <v>311</v>
      </c>
    </row>
    <row r="275" spans="1:5" x14ac:dyDescent="0.2">
      <c r="A275" cm="1">
        <f t="array" ref="A275">_xlfn.CHISQ.INV(0.95,9000000000)</f>
        <v>9000220681.4083977</v>
      </c>
      <c r="B275">
        <f t="shared" si="12"/>
        <v>0</v>
      </c>
      <c r="C275">
        <f t="shared" si="13"/>
        <v>9000220681.4083977</v>
      </c>
      <c r="D275" t="str">
        <f t="shared" si="14"/>
        <v/>
      </c>
      <c r="E275" t="s">
        <v>312</v>
      </c>
    </row>
    <row r="276" spans="1:5" x14ac:dyDescent="0.2">
      <c r="A276" cm="1">
        <f t="array" ref="A276">_xlfn.CHISQ.INV.RT(0.1,10000000000)</f>
        <v>10000181239.188732</v>
      </c>
      <c r="B276">
        <f t="shared" si="12"/>
        <v>0</v>
      </c>
      <c r="C276">
        <f t="shared" si="13"/>
        <v>10000181239.188732</v>
      </c>
      <c r="D276" t="str">
        <f t="shared" si="14"/>
        <v/>
      </c>
      <c r="E276" t="s">
        <v>313</v>
      </c>
    </row>
    <row r="277" spans="1:5" x14ac:dyDescent="0.2">
      <c r="A277" t="e" cm="1">
        <f t="array" ref="A277">_xlfn.CHISQ.INV.RT(0.05,9990000000)</f>
        <v>#NUM!</v>
      </c>
      <c r="B277">
        <f t="shared" si="12"/>
        <v>6</v>
      </c>
      <c r="C277">
        <f t="shared" si="13"/>
        <v>0</v>
      </c>
      <c r="D277" t="str">
        <f t="shared" si="14"/>
        <v/>
      </c>
      <c r="E277" t="s">
        <v>314</v>
      </c>
    </row>
    <row r="278" spans="1:5" x14ac:dyDescent="0.2">
      <c r="A278" cm="1">
        <f t="array" ref="A278">_xlfn.CHISQ.INV.RT(0.05,9000000000)</f>
        <v>9000220681.4083977</v>
      </c>
      <c r="B278">
        <f t="shared" si="12"/>
        <v>0</v>
      </c>
      <c r="C278">
        <f t="shared" si="13"/>
        <v>9000220681.4083977</v>
      </c>
      <c r="D278" t="str">
        <f t="shared" si="14"/>
        <v/>
      </c>
      <c r="E278" t="s">
        <v>315</v>
      </c>
    </row>
    <row r="279" spans="1:5" x14ac:dyDescent="0.2">
      <c r="A279" t="s">
        <v>316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2026-10-07T05:16:33Z</dcterms:created>
  <dcterms:modified xsi:type="dcterms:W3CDTF">2026-10-07T05:16:33Z</dcterms:modified>
  <cp:category/>
</cp:coreProperties>
</file>