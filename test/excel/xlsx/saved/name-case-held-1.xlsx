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FFDD1CB2-3991-3245-9C6C-19870EBED9F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2" l="1" a="1"/>
  <c r="A24" i="2" s="1"/>
  <c r="A23" i="2" a="1"/>
  <c r="A23" i="2" s="1"/>
  <c r="A22" i="2" a="1"/>
  <c r="A22" i="2" s="1"/>
  <c r="A21" i="2" a="1"/>
  <c r="A21" i="2" s="1"/>
  <c r="A20" i="2" a="1"/>
  <c r="A20" i="2" s="1"/>
  <c r="A19" i="2" a="1"/>
  <c r="A19" i="2" s="1"/>
  <c r="A18" i="2" a="1"/>
  <c r="A18" i="2"/>
  <c r="B18" i="2" s="1"/>
  <c r="A17" i="2" a="1"/>
  <c r="A17" i="2"/>
  <c r="B17" i="2" s="1"/>
  <c r="A16" i="2" a="1"/>
  <c r="A16" i="2"/>
  <c r="C16" i="2" s="1"/>
  <c r="A15" i="2" a="1"/>
  <c r="A15" i="2" s="1"/>
  <c r="A14" i="2" a="1"/>
  <c r="A14" i="2" s="1"/>
  <c r="D14" i="2" s="1"/>
  <c r="A13" i="2" a="1"/>
  <c r="A13" i="2" s="1"/>
  <c r="A12" i="2" a="1"/>
  <c r="A12" i="2" s="1"/>
  <c r="A11" i="2" a="1"/>
  <c r="A11" i="2" s="1"/>
  <c r="A10" i="2" a="1"/>
  <c r="A10" i="2" s="1"/>
  <c r="A9" i="2" a="1"/>
  <c r="A9" i="2"/>
  <c r="D9" i="2" s="1"/>
  <c r="A8" i="2" a="1"/>
  <c r="A8" i="2"/>
  <c r="C8" i="2" s="1"/>
  <c r="A7" i="2" a="1"/>
  <c r="A7" i="2" s="1"/>
  <c r="C7" i="2" s="1"/>
  <c r="A6" i="2" a="1"/>
  <c r="A6" i="2" s="1"/>
  <c r="A5" i="2" a="1"/>
  <c r="A5" i="2" s="1"/>
  <c r="A4" i="2" a="1"/>
  <c r="A4" i="2"/>
  <c r="C4" i="2" s="1"/>
  <c r="A3" i="2" a="1"/>
  <c r="A3" i="2" s="1"/>
  <c r="A2" i="2" a="1"/>
  <c r="A2" i="2" s="1"/>
  <c r="D2" i="2" s="1"/>
  <c r="A1" i="2" a="1"/>
  <c r="A1" i="2" s="1"/>
  <c r="I15" i="1"/>
  <c r="A14" i="1"/>
  <c r="A13" i="1"/>
  <c r="AL10" i="1"/>
  <c r="A8" i="1"/>
  <c r="A7" i="1"/>
  <c r="E3" i="1"/>
  <c r="B6" i="2" l="1"/>
  <c r="D6" i="2"/>
  <c r="C6" i="2"/>
  <c r="D12" i="2"/>
  <c r="C12" i="2"/>
  <c r="B12" i="2"/>
  <c r="C22" i="2"/>
  <c r="D22" i="2"/>
  <c r="D15" i="2"/>
  <c r="C15" i="2"/>
  <c r="D17" i="2"/>
  <c r="B8" i="2"/>
  <c r="D8" i="2"/>
  <c r="C17" i="2"/>
  <c r="D4" i="2"/>
  <c r="D20" i="2"/>
  <c r="C20" i="2"/>
  <c r="B20" i="2"/>
  <c r="D1" i="2"/>
  <c r="B1" i="2"/>
  <c r="C1" i="2"/>
  <c r="B3" i="2"/>
  <c r="D3" i="2"/>
  <c r="C3" i="2"/>
  <c r="B10" i="2"/>
  <c r="D10" i="2"/>
  <c r="C10" i="2"/>
  <c r="D11" i="2"/>
  <c r="C11" i="2"/>
  <c r="B11" i="2"/>
  <c r="D13" i="2"/>
  <c r="C13" i="2"/>
  <c r="B13" i="2"/>
  <c r="C23" i="2"/>
  <c r="B23" i="2"/>
  <c r="D23" i="2"/>
  <c r="D19" i="2"/>
  <c r="C19" i="2"/>
  <c r="B19" i="2"/>
  <c r="D5" i="2"/>
  <c r="C5" i="2"/>
  <c r="B5" i="2"/>
  <c r="B21" i="2"/>
  <c r="D21" i="2"/>
  <c r="C21" i="2"/>
  <c r="D24" i="2"/>
  <c r="C24" i="2"/>
  <c r="B24" i="2"/>
  <c r="B14" i="2"/>
  <c r="D7" i="2"/>
  <c r="C18" i="2"/>
  <c r="B7" i="2"/>
  <c r="C14" i="2"/>
  <c r="B4" i="2"/>
  <c r="D18" i="2"/>
  <c r="B22" i="2"/>
  <c r="B15" i="2"/>
  <c r="D16" i="2"/>
  <c r="B16" i="2"/>
  <c r="B9" i="2"/>
  <c r="B2" i="2"/>
  <c r="C9" i="2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<sst xmlns="http://schemas.openxmlformats.org/spreadsheetml/2006/main" count="83" uniqueCount="60">
  <si>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</si>
  <si>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</si>
  <si>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</si>
  <si>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</si>
  <si>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</si>
  <si>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</si>
  <si>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</si>
  <si>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</si>
  <si>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</si>
  <si>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</si>
  <si>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</si>
  <si>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</si>
  <si>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</si>
  <si>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</si>
  <si>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</si>
  <si>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</si>
  <si>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</si>
  <si>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</si>
  <si>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</si>
  <si>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</si>
  <si>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</si>
  <si>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</si>
  <si>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</si>
  <si>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</si>
  <si>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</si>
  <si>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</si>
  <si>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</si>
  <si>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</si>
  <si>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</si>
  <si>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</si>
  <si>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</si>
  <si>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</si>
  <si>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</si>
  <si>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</si>
  <si>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</si>
  <si>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bool#1</t>
  </si>
  <si>
    <t>bool#2</t>
  </si>
  <si>
    <t>bool#3</t>
  </si>
  <si>
    <t>bool#4</t>
  </si>
  <si>
    <t>bool#5</t>
  </si>
  <si>
    <t>bool#6</t>
  </si>
  <si>
    <t>bool#7</t>
  </si>
  <si>
    <t>let#1</t>
  </si>
  <si>
    <t>let#2</t>
  </si>
  <si>
    <t>let#3</t>
  </si>
  <si>
    <t>text#1</t>
  </si>
  <si>
    <t>text#2</t>
  </si>
  <si>
    <t>fn#1</t>
  </si>
  <si>
    <t>fn#2</t>
  </si>
  <si>
    <t>fn#3</t>
  </si>
  <si>
    <t>fn#4</t>
  </si>
  <si>
    <t>fn#5</t>
  </si>
  <si>
    <t>fn#6</t>
  </si>
  <si>
    <t>fn#7</t>
  </si>
  <si>
    <t>fn#8</t>
  </si>
  <si>
    <t>fn#9</t>
  </si>
  <si>
    <t>fn#10</t>
  </si>
  <si>
    <t>fn#11</t>
  </si>
  <si>
    <t>fn#12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</si>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</sst>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/>
  </sheetViews>
  <sheetFormatPr baseColWidth="10" defaultColWidth="8.83203125" defaultRowHeight="15" x14ac:dyDescent="0.2"/>
  <sheetData>
    <row r="1" spans="1:5" x14ac:dyDescent="0.2">
      <c r="A1" t="b" cm="1">
        <f t="array" ref="A1">FALSE</f>
        <v>0</v>
      </c>
      <c r="B1">
        <f t="shared" ref="B1:B24" si="0">IF(ISERROR(A1),ERROR.TYPE(A1),IF(ISNUMBER(A1),0,IF(ISLOGICAL(A1),IF(A1,-1,-2),IF(ISTEXT(A1),-3,-4))))</f>
        <v>-2</v>
      </c>
      <c r="C1">
        <f t="shared" ref="C1:C24" si="1">IF(ISNUMBER(A1),A1,0)</f>
        <v>0</v>
      </c>
      <c r="D1" t="str">
        <f t="shared" ref="D1:D24" si="2">IF(ISTEXT(A1),A1,"")</f>
        <v/>
      </c>
      <c r="E1" t="s">
        <v>35</v>
      </c>
    </row>
    <row r="2" spans="1:5" x14ac:dyDescent="0.2">
      <c r="A2" t="b" cm="1">
        <f t="array" ref="A2">FALSE</f>
        <v>0</v>
      </c>
      <c r="B2">
        <f t="shared" si="0"/>
        <v>-2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cm="1">
        <f t="array" ref="A3">TYPE(FALSE)</f>
        <v>4</v>
      </c>
      <c r="B3">
        <f t="shared" si="0"/>
        <v>0</v>
      </c>
      <c r="C3">
        <f t="shared" si="1"/>
        <v>4</v>
      </c>
      <c r="D3" t="str">
        <f t="shared" si="2"/>
        <v/>
      </c>
      <c r="E3" t="s">
        <v>37</v>
      </c>
    </row>
    <row r="4" spans="1:5" x14ac:dyDescent="0.2">
      <c r="A4" cm="1">
        <f t="array" ref="A4">IF(FALSE,1,2)</f>
        <v>2</v>
      </c>
      <c r="B4">
        <f t="shared" si="0"/>
        <v>0</v>
      </c>
      <c r="C4">
        <f t="shared" si="1"/>
        <v>2</v>
      </c>
      <c r="D4" t="str">
        <f t="shared" si="2"/>
        <v/>
      </c>
      <c r="E4" t="s">
        <v>38</v>
      </c>
    </row>
    <row r="5" spans="1:5" x14ac:dyDescent="0.2">
      <c r="A5" t="b" cm="1">
        <f t="array" ref="A5">ISLOGICAL({FALSE})</f>
        <v>1</v>
      </c>
      <c r="B5">
        <f t="shared" si="0"/>
        <v>-1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b" cm="1">
        <f t="array" ref="A6">NOT(FALSE)</f>
        <v>1</v>
      </c>
      <c r="B6">
        <f t="shared" si="0"/>
        <v>-1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b" cm="1">
        <f t="array" ref="A7">FALSE</f>
        <v>0</v>
      </c>
      <c r="B7">
        <f t="shared" si="0"/>
        <v>-2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cm="1">
        <f t="array" ref="A8">_xlfn.LET(_xlpm.falſe,1,_xlpm.falſe)</f>
        <v>1</v>
      </c>
      <c r="B8">
        <f t="shared" si="0"/>
        <v>0</v>
      </c>
      <c r="C8">
        <f t="shared" si="1"/>
        <v>1</v>
      </c>
      <c r="D8" t="str">
        <f t="shared" si="2"/>
        <v/>
      </c>
      <c r="E8" t="s">
        <v>42</v>
      </c>
    </row>
    <row r="9" spans="1:5" x14ac:dyDescent="0.2">
      <c r="A9" t="b" cm="1">
        <f t="array" ref="A9">_xlfn.LET(_xlpm.x,1,FALSE)</f>
        <v>0</v>
      </c>
      <c r="B9">
        <f t="shared" si="0"/>
        <v>-2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cm="1">
        <f t="array" ref="A10">_xlfn.LET(_xlpm.ſ,1,_xlpm.ſ+1)</f>
        <v>2</v>
      </c>
      <c r="B10">
        <f t="shared" si="0"/>
        <v>0</v>
      </c>
      <c r="C10">
        <f t="shared" si="1"/>
        <v>2</v>
      </c>
      <c r="D10" t="str">
        <f t="shared" si="2"/>
        <v/>
      </c>
      <c r="E10" t="s">
        <v>44</v>
      </c>
    </row>
    <row r="11" spans="1:5" x14ac:dyDescent="0.2">
      <c r="A11" cm="1">
        <f t="array" ref="A11">IF("falſe",1,2)</f>
        <v>2</v>
      </c>
      <c r="B11">
        <f t="shared" si="0"/>
        <v>0</v>
      </c>
      <c r="C11">
        <f t="shared" si="1"/>
        <v>2</v>
      </c>
      <c r="D11" t="str">
        <f t="shared" si="2"/>
        <v/>
      </c>
      <c r="E11" t="s">
        <v>45</v>
      </c>
    </row>
    <row r="12" spans="1:5" x14ac:dyDescent="0.2">
      <c r="A12" cm="1">
        <f t="array" ref="A12">IF("false",1,2)</f>
        <v>2</v>
      </c>
      <c r="B12">
        <f t="shared" si="0"/>
        <v>0</v>
      </c>
      <c r="C12">
        <f t="shared" si="1"/>
        <v>2</v>
      </c>
      <c r="D12" t="str">
        <f t="shared" si="2"/>
        <v/>
      </c>
      <c r="E12" t="s">
        <v>46</v>
      </c>
    </row>
    <row r="13" spans="1:5" x14ac:dyDescent="0.2">
      <c r="A13" t="e" cm="1">
        <f t="array" aca="1" ref="A13" ca="1">_xludf.ſum(1,2)</f>
        <v>#NAME?</v>
      </c>
      <c r="B13">
        <f t="shared" ca="1" si="0"/>
        <v>5</v>
      </c>
      <c r="C13">
        <f t="shared" ca="1" si="1"/>
        <v>0</v>
      </c>
      <c r="D13" t="str">
        <f t="shared" ca="1" si="2"/>
        <v/>
      </c>
      <c r="E13" t="s">
        <v>47</v>
      </c>
    </row>
    <row r="14" spans="1:5" x14ac:dyDescent="0.2">
      <c r="A14" t="e" cm="1">
        <f t="array" aca="1" ref="A14" ca="1">_xludf.ſum(1,2)</f>
        <v>#NAME?</v>
      </c>
      <c r="B14">
        <f t="shared" ca="1" si="0"/>
        <v>5</v>
      </c>
      <c r="C14">
        <f t="shared" ca="1" si="1"/>
        <v>0</v>
      </c>
      <c r="D14" t="str">
        <f t="shared" ca="1" si="2"/>
        <v/>
      </c>
      <c r="E14" t="s">
        <v>48</v>
      </c>
    </row>
    <row r="15" spans="1:5" x14ac:dyDescent="0.2">
      <c r="A15" t="e" cm="1">
        <f t="array" aca="1" ref="A15" ca="1">ﬁnd("a","a")</f>
        <v>#NAME?</v>
      </c>
      <c r="B15">
        <f t="shared" ca="1" si="0"/>
        <v>5</v>
      </c>
      <c r="C15">
        <f t="shared" ca="1" si="1"/>
        <v>0</v>
      </c>
      <c r="D15" t="str">
        <f t="shared" ca="1" si="2"/>
        <v/>
      </c>
      <c r="E15" t="s">
        <v>49</v>
      </c>
    </row>
    <row r="16" spans="1:5" x14ac:dyDescent="0.2">
      <c r="A16" t="e" cm="1">
        <f t="array" aca="1" ref="A16" ca="1">ﬁxed(1)</f>
        <v>#NAME?</v>
      </c>
      <c r="B16">
        <f t="shared" ca="1" si="0"/>
        <v>5</v>
      </c>
      <c r="C16">
        <f t="shared" ca="1" si="1"/>
        <v>0</v>
      </c>
      <c r="D16" t="str">
        <f t="shared" ca="1" si="2"/>
        <v/>
      </c>
      <c r="E16" t="s">
        <v>50</v>
      </c>
    </row>
    <row r="17" spans="1:5" x14ac:dyDescent="0.2">
      <c r="A17" t="e" cm="1">
        <f t="array" aca="1" ref="A17" ca="1">gauß(1)</f>
        <v>#NAME?</v>
      </c>
      <c r="B17">
        <f t="shared" ca="1" si="0"/>
        <v>5</v>
      </c>
      <c r="C17">
        <f t="shared" ca="1" si="1"/>
        <v>0</v>
      </c>
      <c r="D17" t="str">
        <f t="shared" ca="1" si="2"/>
        <v/>
      </c>
      <c r="E17" t="s">
        <v>51</v>
      </c>
    </row>
    <row r="18" spans="1:5" x14ac:dyDescent="0.2">
      <c r="A18" t="e" cm="1">
        <f t="array" aca="1" ref="A18" ca="1">addreß(1,1)</f>
        <v>#NAME?</v>
      </c>
      <c r="B18">
        <f t="shared" ca="1" si="0"/>
        <v>5</v>
      </c>
      <c r="C18">
        <f t="shared" ca="1" si="1"/>
        <v>0</v>
      </c>
      <c r="D18" t="str">
        <f t="shared" ca="1" si="2"/>
        <v/>
      </c>
      <c r="E18" t="s">
        <v>52</v>
      </c>
    </row>
    <row r="19" spans="1:5" x14ac:dyDescent="0.2">
      <c r="A19" t="e" cm="1">
        <f t="array" aca="1" ref="A19" ca="1">ıf(TRUE,1,2)</f>
        <v>#NAME?</v>
      </c>
      <c r="B19">
        <f t="shared" ca="1" si="0"/>
        <v>5</v>
      </c>
      <c r="C19">
        <f t="shared" ca="1" si="1"/>
        <v>0</v>
      </c>
      <c r="D19" t="str">
        <f t="shared" ca="1" si="2"/>
        <v/>
      </c>
      <c r="E19" t="s">
        <v>53</v>
      </c>
    </row>
    <row r="20" spans="1:5" x14ac:dyDescent="0.2">
      <c r="A20" t="e" cm="1">
        <f t="array" aca="1" ref="A20" ca="1">_xludf.İF(TRUE,1,2)</f>
        <v>#NAME?</v>
      </c>
      <c r="B20">
        <f t="shared" ca="1" si="0"/>
        <v>5</v>
      </c>
      <c r="C20">
        <f t="shared" ca="1" si="1"/>
        <v>0</v>
      </c>
      <c r="D20" t="str">
        <f t="shared" ca="1" si="2"/>
        <v/>
      </c>
      <c r="E20" t="s">
        <v>54</v>
      </c>
    </row>
    <row r="21" spans="1:5" x14ac:dyDescent="0.2">
      <c r="A21" t="e" cm="1">
        <f t="array" aca="1" ref="A21" ca="1">ısnumber(1)</f>
        <v>#NAME?</v>
      </c>
      <c r="B21">
        <f t="shared" ca="1" si="0"/>
        <v>5</v>
      </c>
      <c r="C21">
        <f t="shared" ca="1" si="1"/>
        <v>0</v>
      </c>
      <c r="D21" t="str">
        <f t="shared" ca="1" si="2"/>
        <v/>
      </c>
      <c r="E21" t="s">
        <v>55</v>
      </c>
    </row>
    <row r="22" spans="1:5" x14ac:dyDescent="0.2">
      <c r="A22" t="e" cm="1">
        <f t="array" aca="1" ref="A22" ca="1">_xludf.İSNUMBER(1)</f>
        <v>#NAME?</v>
      </c>
      <c r="B22">
        <f t="shared" ca="1" si="0"/>
        <v>5</v>
      </c>
      <c r="C22">
        <f t="shared" ca="1" si="1"/>
        <v>0</v>
      </c>
      <c r="D22" t="str">
        <f t="shared" ca="1" si="2"/>
        <v/>
      </c>
      <c r="E22" t="s">
        <v>56</v>
      </c>
    </row>
    <row r="23" spans="1:5" x14ac:dyDescent="0.2">
      <c r="A23" cm="1">
        <f t="array" ref="A23">IF(TRUE,1,2)</f>
        <v>1</v>
      </c>
      <c r="B23">
        <f t="shared" si="0"/>
        <v>0</v>
      </c>
      <c r="C23">
        <f t="shared" si="1"/>
        <v>1</v>
      </c>
      <c r="D23" t="str">
        <f t="shared" si="2"/>
        <v/>
      </c>
      <c r="E23" t="s">
        <v>57</v>
      </c>
    </row>
    <row r="24" spans="1:5" x14ac:dyDescent="0.2">
      <c r="A24" cm="1">
        <f t="array" ref="A24">SUM(1,2)</f>
        <v>3</v>
      </c>
      <c r="B24">
        <f t="shared" si="0"/>
        <v>0</v>
      </c>
      <c r="C24">
        <f t="shared" si="1"/>
        <v>3</v>
      </c>
      <c r="D24" t="str">
        <f t="shared" si="2"/>
        <v/>
      </c>
      <c r="E24" t="s">
        <v>58</v>
      </c>
    </row>
    <row r="25" spans="1:5" x14ac:dyDescent="0.2">
      <c r="A25" t="s">
        <v>59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2026-10-11T20:18:38Z</dcterms:created>
  <dcterms:modified xsi:type="dcterms:W3CDTF">2026-10-11T20:18:38Z</dcterms:modified>
  <cp:category/>
</cp:coreProperties>
</file>