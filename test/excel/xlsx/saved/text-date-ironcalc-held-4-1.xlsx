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filterPrivacy="1"/>
  <xr:revisionPtr revIDLastSave="0" documentId="8_{D8774052-677A-3541-870A-9FF99141081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7" i="2" l="1" a="1"/>
  <c r="A27" i="2" s="1"/>
  <c r="D27" i="2" s="1"/>
  <c r="A26" i="2" a="1"/>
  <c r="A26" i="2" s="1"/>
  <c r="A25" i="2" a="1"/>
  <c r="A25" i="2" s="1"/>
  <c r="C25" i="2" s="1"/>
  <c r="A24" i="2" a="1"/>
  <c r="A24" i="2" s="1"/>
  <c r="A23" i="2" a="1"/>
  <c r="A23" i="2"/>
  <c r="D23" i="2" s="1"/>
  <c r="A22" i="2" a="1"/>
  <c r="A22" i="2" s="1"/>
  <c r="A21" i="2" a="1"/>
  <c r="A21" i="2" s="1"/>
  <c r="D21" i="2" s="1"/>
  <c r="A20" i="2" a="1"/>
  <c r="A20" i="2" s="1"/>
  <c r="A19" i="2" a="1"/>
  <c r="A19" i="2" s="1"/>
  <c r="A18" i="2" a="1"/>
  <c r="A18" i="2" s="1"/>
  <c r="A17" i="2" a="1"/>
  <c r="A17" i="2" s="1"/>
  <c r="A16" i="2" a="1"/>
  <c r="A16" i="2" s="1"/>
  <c r="A15" i="2" a="1"/>
  <c r="A15" i="2" s="1"/>
  <c r="D15" i="2" s="1"/>
  <c r="A14" i="2" a="1"/>
  <c r="A14" i="2" s="1"/>
  <c r="A13" i="2" a="1"/>
  <c r="A13" i="2"/>
  <c r="D13" i="2" s="1"/>
  <c r="A12" i="2" a="1"/>
  <c r="A12" i="2" s="1"/>
  <c r="A11" i="2" a="1"/>
  <c r="A11" i="2"/>
  <c r="D11" i="2" s="1"/>
  <c r="A10" i="2" a="1"/>
  <c r="A10" i="2" s="1"/>
  <c r="A9" i="2" a="1"/>
  <c r="A9" i="2" s="1"/>
  <c r="D9" i="2" s="1"/>
  <c r="A8" i="2" a="1"/>
  <c r="A8" i="2" s="1"/>
  <c r="A7" i="2" a="1"/>
  <c r="A7" i="2" s="1"/>
  <c r="D7" i="2" s="1"/>
  <c r="A6" i="2" a="1"/>
  <c r="A6" i="2" s="1"/>
  <c r="A5" i="2" a="1"/>
  <c r="A5" i="2" s="1"/>
  <c r="D5" i="2" s="1"/>
  <c r="A4" i="2" a="1"/>
  <c r="A4" i="2" s="1"/>
  <c r="A3" i="2" a="1"/>
  <c r="A3" i="2" s="1"/>
  <c r="A2" i="2" a="1"/>
  <c r="A2" i="2" s="1"/>
  <c r="A1" i="2" a="1"/>
  <c r="A1" i="2" s="1"/>
  <c r="I15" i="1"/>
  <c r="A14" i="1"/>
  <c r="A13" i="1"/>
  <c r="AL10" i="1"/>
  <c r="A8" i="1"/>
  <c r="A7" i="1"/>
  <c r="E3" i="1"/>
  <c r="B20" i="2" l="1"/>
  <c r="D20" i="2"/>
  <c r="C20" i="2"/>
  <c r="B13" i="2"/>
  <c r="C13" i="2"/>
  <c r="B19" i="2"/>
  <c r="D19" i="2"/>
  <c r="C19" i="2"/>
  <c r="B17" i="2"/>
  <c r="D17" i="2"/>
  <c r="C17" i="2"/>
  <c r="C8" i="2"/>
  <c r="B8" i="2"/>
  <c r="D8" i="2"/>
  <c r="C12" i="2"/>
  <c r="D12" i="2"/>
  <c r="B12" i="2"/>
  <c r="D22" i="2"/>
  <c r="C22" i="2"/>
  <c r="B22" i="2"/>
  <c r="D1" i="2"/>
  <c r="B1" i="2"/>
  <c r="C1" i="2"/>
  <c r="C2" i="2"/>
  <c r="B2" i="2"/>
  <c r="D2" i="2"/>
  <c r="D24" i="2"/>
  <c r="C24" i="2"/>
  <c r="B24" i="2"/>
  <c r="D3" i="2"/>
  <c r="B3" i="2"/>
  <c r="C3" i="2"/>
  <c r="C18" i="2"/>
  <c r="B18" i="2"/>
  <c r="D18" i="2"/>
  <c r="D10" i="2"/>
  <c r="B10" i="2"/>
  <c r="C10" i="2"/>
  <c r="C4" i="2"/>
  <c r="D4" i="2"/>
  <c r="B4" i="2"/>
  <c r="C14" i="2"/>
  <c r="B14" i="2"/>
  <c r="D14" i="2"/>
  <c r="C26" i="2"/>
  <c r="D26" i="2"/>
  <c r="B26" i="2"/>
  <c r="C6" i="2"/>
  <c r="D6" i="2"/>
  <c r="B6" i="2"/>
  <c r="D16" i="2"/>
  <c r="C16" i="2"/>
  <c r="B16" i="2"/>
  <c r="B25" i="2"/>
  <c r="C7" i="2"/>
  <c r="C11" i="2"/>
  <c r="C21" i="2"/>
  <c r="B21" i="2"/>
  <c r="B7" i="2"/>
  <c r="B15" i="2"/>
  <c r="C15" i="2"/>
  <c r="C23" i="2"/>
  <c r="B11" i="2"/>
  <c r="D25" i="2"/>
  <c r="B23" i="2"/>
  <c r="C5" i="2"/>
  <c r="B9" i="2"/>
  <c r="B27" i="2"/>
  <c r="B5" i="2"/>
  <c r="C9" i="2"/>
  <c r="C2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<sst xmlns="http://schemas.openxmlformats.org/spreadsheetml/2006/main" count="86" uniqueCount="63">
  <si>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</si>
  <si>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</si>
  <si>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</si>
  <si>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</si>
  <si>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</si>
  <si>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</si>
  <si>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</si>
  <si>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</si>
  <si>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</si>
  <si>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</si>
  <si>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</si>
  <si>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</si>
  <si>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</si>
  <si>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</si>
  <si>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</si>
  <si>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</si>
  <si>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</si>
  <si>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</si>
  <si>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</si>
  <si>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</si>
  <si>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</si>
  <si>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</si>
  <si>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</si>
  <si>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</si>
  <si>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</si>
  <si>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</si>
  <si>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</si>
  <si>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</si>
  <si>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</si>
  <si>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</si>
  <si>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</si>
  <si>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</si>
  <si>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</si>
  <si>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</si>
  <si>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</si>
  <si>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TEXT#1</t>
  </si>
  <si>
    <t>TEXT#2</t>
  </si>
  <si>
    <t>TEXT#3</t>
  </si>
  <si>
    <t>TEXT#4</t>
  </si>
  <si>
    <t>TEXT#5</t>
  </si>
  <si>
    <t>TEXT#6</t>
  </si>
  <si>
    <t>TEXT#7</t>
  </si>
  <si>
    <t>TEXT#8</t>
  </si>
  <si>
    <t>TEXT#9</t>
  </si>
  <si>
    <t>TEXT#10</t>
  </si>
  <si>
    <t>TEXT#11</t>
  </si>
  <si>
    <t>TEXT#12</t>
  </si>
  <si>
    <t>TEXT#13</t>
  </si>
  <si>
    <t>TEXT#14</t>
  </si>
  <si>
    <t>TEXT#15</t>
  </si>
  <si>
    <t>TEXT#16</t>
  </si>
  <si>
    <t>TEXT#17</t>
  </si>
  <si>
    <t>TEXT#18</t>
  </si>
  <si>
    <t>TEXT#19</t>
  </si>
  <si>
    <t>TEXT#20</t>
  </si>
  <si>
    <t>TEXT#21</t>
  </si>
  <si>
    <t>TEXT#22</t>
  </si>
  <si>
    <t>TEXT#23</t>
  </si>
  <si>
    <t>TEXT#24</t>
  </si>
  <si>
    <t>TEXT#25</t>
  </si>
  <si>
    <t>TEXT#26</t>
  </si>
  <si>
    <t>TEXT#27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</si>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</sst>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workbookViewId="0"/>
  </sheetViews>
  <sheetFormatPr baseColWidth="10" defaultColWidth="8.83203125" defaultRowHeight="15" x14ac:dyDescent="0.2"/>
  <sheetData>
    <row r="1" spans="1:5" x14ac:dyDescent="0.2">
      <c r="A1" t="str" cm="1">
        <f t="array" ref="A1">TEXT((41181.5+90.5/86400),"h:mm:ss.00")</f>
        <v>12:01:30.50</v>
      </c>
      <c r="B1">
        <f t="shared" ref="B1:B27" si="0">IF(ISERROR(A1),ERROR.TYPE(A1),IF(ISNUMBER(A1),0,IF(ISLOGICAL(A1),IF(A1,-1,-2),IF(ISTEXT(A1),-3,-4))))</f>
        <v>-3</v>
      </c>
      <c r="C1">
        <f t="shared" ref="C1:C27" si="1">IF(ISNUMBER(A1),A1,0)</f>
        <v>0</v>
      </c>
      <c r="D1" t="str">
        <f t="shared" ref="D1:D27" si="2">IF(ISTEXT(A1),A1,"")</f>
        <v>12:01:30.50</v>
      </c>
      <c r="E1" t="s">
        <v>35</v>
      </c>
    </row>
    <row r="2" spans="1:5" x14ac:dyDescent="0.2">
      <c r="A2" t="str" cm="1">
        <f t="array" ref="A2">TEXT((41181.5+90.5/86400),"[ss].00")</f>
        <v>3558081690.50</v>
      </c>
      <c r="B2">
        <f t="shared" si="0"/>
        <v>-3</v>
      </c>
      <c r="C2">
        <f t="shared" si="1"/>
        <v>0</v>
      </c>
      <c r="D2" t="str">
        <f t="shared" si="2"/>
        <v>3558081690.50</v>
      </c>
      <c r="E2" t="s">
        <v>36</v>
      </c>
    </row>
    <row r="3" spans="1:5" x14ac:dyDescent="0.2">
      <c r="A3" t="str" cm="1">
        <f t="array" ref="A3">TEXT((41181.5+90.5/86400),"[h]:mm")</f>
        <v>988356:01</v>
      </c>
      <c r="B3">
        <f t="shared" si="0"/>
        <v>-3</v>
      </c>
      <c r="C3">
        <f t="shared" si="1"/>
        <v>0</v>
      </c>
      <c r="D3" t="str">
        <f t="shared" si="2"/>
        <v>988356:01</v>
      </c>
      <c r="E3" t="s">
        <v>37</v>
      </c>
    </row>
    <row r="4" spans="1:5" x14ac:dyDescent="0.2">
      <c r="A4" t="str" cm="1">
        <f t="array" ref="A4">TEXT((41181.5+90.5/86400),"[mm]:ss")</f>
        <v>59301361:30</v>
      </c>
      <c r="B4">
        <f t="shared" si="0"/>
        <v>-3</v>
      </c>
      <c r="C4">
        <f t="shared" si="1"/>
        <v>0</v>
      </c>
      <c r="D4" t="str">
        <f t="shared" si="2"/>
        <v>59301361:30</v>
      </c>
      <c r="E4" t="s">
        <v>38</v>
      </c>
    </row>
    <row r="5" spans="1:5" x14ac:dyDescent="0.2">
      <c r="A5" t="str" cm="1">
        <f t="array" ref="A5">TEXT((41181.5+90.5/86400),"h:mm:ss A/P")</f>
        <v>12:01:30 P</v>
      </c>
      <c r="B5">
        <f t="shared" si="0"/>
        <v>-3</v>
      </c>
      <c r="C5">
        <f t="shared" si="1"/>
        <v>0</v>
      </c>
      <c r="D5" t="str">
        <f t="shared" si="2"/>
        <v>12:01:30 P</v>
      </c>
      <c r="E5" t="s">
        <v>39</v>
      </c>
    </row>
    <row r="6" spans="1:5" x14ac:dyDescent="0.2">
      <c r="A6" t="str" cm="1">
        <f t="array" ref="A6">TEXT((40973+27912.25/86400),"h:mm AM/PM")</f>
        <v>7:45 AM</v>
      </c>
      <c r="B6">
        <f t="shared" si="0"/>
        <v>-3</v>
      </c>
      <c r="C6">
        <f t="shared" si="1"/>
        <v>0</v>
      </c>
      <c r="D6" t="str">
        <f t="shared" si="2"/>
        <v>7:45 AM</v>
      </c>
      <c r="E6" t="s">
        <v>40</v>
      </c>
    </row>
    <row r="7" spans="1:5" x14ac:dyDescent="0.2">
      <c r="A7" t="str" cm="1">
        <f t="array" ref="A7">TEXT((40973+27912.25/86400),"mm")</f>
        <v>03</v>
      </c>
      <c r="B7">
        <f t="shared" si="0"/>
        <v>-3</v>
      </c>
      <c r="C7">
        <f t="shared" si="1"/>
        <v>0</v>
      </c>
      <c r="D7" t="str">
        <f t="shared" si="2"/>
        <v>03</v>
      </c>
      <c r="E7" t="s">
        <v>41</v>
      </c>
    </row>
    <row r="8" spans="1:5" x14ac:dyDescent="0.2">
      <c r="A8" t="str" cm="1">
        <f t="array" ref="A8">TEXT((40973+27912.25/86400),"hh:mm")</f>
        <v>07:45</v>
      </c>
      <c r="B8">
        <f t="shared" si="0"/>
        <v>-3</v>
      </c>
      <c r="C8">
        <f t="shared" si="1"/>
        <v>0</v>
      </c>
      <c r="D8" t="str">
        <f t="shared" si="2"/>
        <v>07:45</v>
      </c>
      <c r="E8" t="s">
        <v>42</v>
      </c>
    </row>
    <row r="9" spans="1:5" x14ac:dyDescent="0.2">
      <c r="A9" t="str" cm="1">
        <f t="array" ref="A9">TEXT((40973+27912.25/86400),"mm:ss")</f>
        <v>45:12</v>
      </c>
      <c r="B9">
        <f t="shared" si="0"/>
        <v>-3</v>
      </c>
      <c r="C9">
        <f t="shared" si="1"/>
        <v>0</v>
      </c>
      <c r="D9" t="str">
        <f t="shared" si="2"/>
        <v>45:12</v>
      </c>
      <c r="E9" t="s">
        <v>43</v>
      </c>
    </row>
    <row r="10" spans="1:5" x14ac:dyDescent="0.2">
      <c r="A10" t="str" cm="1">
        <f t="array" ref="A10">TEXT((40973+27912.25/86400),"yyyy-mm-dd hh:mm:ss.000")</f>
        <v>2012-03-05 07:45:12.250</v>
      </c>
      <c r="B10">
        <f t="shared" si="0"/>
        <v>-3</v>
      </c>
      <c r="C10">
        <f t="shared" si="1"/>
        <v>0</v>
      </c>
      <c r="D10" t="str">
        <f t="shared" si="2"/>
        <v>2012-03-05 07:45:12.250</v>
      </c>
      <c r="E10" t="s">
        <v>44</v>
      </c>
    </row>
    <row r="11" spans="1:5" x14ac:dyDescent="0.2">
      <c r="A11" t="str" cm="1">
        <f t="array" ref="A11">TEXT((40973+27912.25/86400),"dd .000")</f>
        <v>05 .250</v>
      </c>
      <c r="B11">
        <f t="shared" si="0"/>
        <v>-3</v>
      </c>
      <c r="C11">
        <f t="shared" si="1"/>
        <v>0</v>
      </c>
      <c r="D11" t="str">
        <f t="shared" si="2"/>
        <v>05 .250</v>
      </c>
      <c r="E11" t="s">
        <v>45</v>
      </c>
    </row>
    <row r="12" spans="1:5" x14ac:dyDescent="0.2">
      <c r="A12" t="str" cm="1">
        <f t="array" ref="A12">TEXT((40973+27912.25/86400),"[h].000")</f>
        <v>983359.250</v>
      </c>
      <c r="B12">
        <f t="shared" si="0"/>
        <v>-3</v>
      </c>
      <c r="C12">
        <f t="shared" si="1"/>
        <v>0</v>
      </c>
      <c r="D12" t="str">
        <f t="shared" si="2"/>
        <v>983359.250</v>
      </c>
      <c r="E12" t="s">
        <v>46</v>
      </c>
    </row>
    <row r="13" spans="1:5" x14ac:dyDescent="0.2">
      <c r="A13" t="str" cm="1">
        <f t="array" ref="A13">TEXT((40973+27912.25/86400),"s.00 h")</f>
        <v>12.25 7</v>
      </c>
      <c r="B13">
        <f t="shared" si="0"/>
        <v>-3</v>
      </c>
      <c r="C13">
        <f t="shared" si="1"/>
        <v>0</v>
      </c>
      <c r="D13" t="str">
        <f t="shared" si="2"/>
        <v>12.25 7</v>
      </c>
      <c r="E13" t="s">
        <v>47</v>
      </c>
    </row>
    <row r="14" spans="1:5" x14ac:dyDescent="0.2">
      <c r="A14" t="str" cm="1">
        <f t="array" ref="A14">TEXT((40973+27912.25/86400),"AM/PM h")</f>
        <v>AM 7</v>
      </c>
      <c r="B14">
        <f t="shared" si="0"/>
        <v>-3</v>
      </c>
      <c r="C14">
        <f t="shared" si="1"/>
        <v>0</v>
      </c>
      <c r="D14" t="str">
        <f t="shared" si="2"/>
        <v>AM 7</v>
      </c>
      <c r="E14" t="s">
        <v>48</v>
      </c>
    </row>
    <row r="15" spans="1:5" x14ac:dyDescent="0.2">
      <c r="A15" t="e" cm="1">
        <f t="array" ref="A15">TEXT((40973+27912.25/86400),"ss.0000")</f>
        <v>#VALUE!</v>
      </c>
      <c r="B15">
        <f t="shared" si="0"/>
        <v>3</v>
      </c>
      <c r="C15">
        <f t="shared" si="1"/>
        <v>0</v>
      </c>
      <c r="D15" t="str">
        <f t="shared" si="2"/>
        <v/>
      </c>
      <c r="E15" t="s">
        <v>49</v>
      </c>
    </row>
    <row r="16" spans="1:5" x14ac:dyDescent="0.2">
      <c r="A16" t="e" cm="1">
        <f t="array" ref="A16">TEXT((40973+27912.25/86400),".00 dd")</f>
        <v>#VALUE!</v>
      </c>
      <c r="B16">
        <f t="shared" si="0"/>
        <v>3</v>
      </c>
      <c r="C16">
        <f t="shared" si="1"/>
        <v>0</v>
      </c>
      <c r="D16" t="str">
        <f t="shared" si="2"/>
        <v/>
      </c>
      <c r="E16" t="s">
        <v>50</v>
      </c>
    </row>
    <row r="17" spans="1:5" x14ac:dyDescent="0.2">
      <c r="A17" t="e" cm="1">
        <f t="array" ref="A17">TEXT((40973+27912.25/86400),"dd%")</f>
        <v>#VALUE!</v>
      </c>
      <c r="B17">
        <f t="shared" si="0"/>
        <v>3</v>
      </c>
      <c r="C17">
        <f t="shared" si="1"/>
        <v>0</v>
      </c>
      <c r="D17" t="str">
        <f t="shared" si="2"/>
        <v/>
      </c>
      <c r="E17" t="s">
        <v>51</v>
      </c>
    </row>
    <row r="18" spans="1:5" x14ac:dyDescent="0.2">
      <c r="A18" t="e" cm="1">
        <f t="array" ref="A18">TEXT((40973+27912.25/86400),"dd E+00")</f>
        <v>#VALUE!</v>
      </c>
      <c r="B18">
        <f t="shared" si="0"/>
        <v>3</v>
      </c>
      <c r="C18">
        <f t="shared" si="1"/>
        <v>0</v>
      </c>
      <c r="D18" t="str">
        <f t="shared" si="2"/>
        <v/>
      </c>
      <c r="E18" t="s">
        <v>52</v>
      </c>
    </row>
    <row r="19" spans="1:5" x14ac:dyDescent="0.2">
      <c r="A19" t="e" cm="1">
        <f t="array" ref="A19">TEXT((40973+27912.25/86400),"dd ?")</f>
        <v>#VALUE!</v>
      </c>
      <c r="B19">
        <f t="shared" si="0"/>
        <v>3</v>
      </c>
      <c r="C19">
        <f t="shared" si="1"/>
        <v>0</v>
      </c>
      <c r="D19" t="str">
        <f t="shared" si="2"/>
        <v/>
      </c>
      <c r="E19" t="s">
        <v>53</v>
      </c>
    </row>
    <row r="20" spans="1:5" x14ac:dyDescent="0.2">
      <c r="A20" t="str" cm="1">
        <f t="array" ref="A20">TEXT((40973+27912.25/86400),"m.00")</f>
        <v>45.25</v>
      </c>
      <c r="B20">
        <f t="shared" si="0"/>
        <v>-3</v>
      </c>
      <c r="C20">
        <f t="shared" si="1"/>
        <v>0</v>
      </c>
      <c r="D20" t="str">
        <f t="shared" si="2"/>
        <v>45.25</v>
      </c>
      <c r="E20" t="s">
        <v>54</v>
      </c>
    </row>
    <row r="21" spans="1:5" x14ac:dyDescent="0.2">
      <c r="A21" t="str" cm="1">
        <f t="array" ref="A21">TEXT((40973+27912.25/86400),"mm .00")</f>
        <v>45 .25</v>
      </c>
      <c r="B21">
        <f t="shared" si="0"/>
        <v>-3</v>
      </c>
      <c r="C21">
        <f t="shared" si="1"/>
        <v>0</v>
      </c>
      <c r="D21" t="str">
        <f t="shared" si="2"/>
        <v>45 .25</v>
      </c>
      <c r="E21" t="s">
        <v>55</v>
      </c>
    </row>
    <row r="22" spans="1:5" x14ac:dyDescent="0.2">
      <c r="A22" t="str" cm="1">
        <f t="array" ref="A22">TEXT((40973+27912.25/86400),"mm/dd .00")</f>
        <v>03/05 .25</v>
      </c>
      <c r="B22">
        <f t="shared" si="0"/>
        <v>-3</v>
      </c>
      <c r="C22">
        <f t="shared" si="1"/>
        <v>0</v>
      </c>
      <c r="D22" t="str">
        <f t="shared" si="2"/>
        <v>03/05 .25</v>
      </c>
      <c r="E22" t="s">
        <v>56</v>
      </c>
    </row>
    <row r="23" spans="1:5" x14ac:dyDescent="0.2">
      <c r="A23" t="str" cm="1">
        <f t="array" ref="A23">TEXT((40973+27912.25/86400),"ss.0 .000")</f>
        <v>12.2 .250</v>
      </c>
      <c r="B23">
        <f t="shared" si="0"/>
        <v>-3</v>
      </c>
      <c r="C23">
        <f t="shared" si="1"/>
        <v>0</v>
      </c>
      <c r="D23" t="str">
        <f t="shared" si="2"/>
        <v>12.2 .250</v>
      </c>
      <c r="E23" t="s">
        <v>57</v>
      </c>
    </row>
    <row r="24" spans="1:5" x14ac:dyDescent="0.2">
      <c r="A24" t="str" cm="1">
        <f t="array" ref="A24">TEXT((40973+27912.25/86400),"h.0 AM/PM")</f>
        <v>7.2 AM</v>
      </c>
      <c r="B24">
        <f t="shared" si="0"/>
        <v>-3</v>
      </c>
      <c r="C24">
        <f t="shared" si="1"/>
        <v>0</v>
      </c>
      <c r="D24" t="str">
        <f t="shared" si="2"/>
        <v>7.2 AM</v>
      </c>
      <c r="E24" t="s">
        <v>58</v>
      </c>
    </row>
    <row r="25" spans="1:5" x14ac:dyDescent="0.2">
      <c r="A25" t="str" cm="1">
        <f t="array" ref="A25">TEXT((40973+27912.25/86400),"dd ""0""")</f>
        <v>05 0</v>
      </c>
      <c r="B25">
        <f t="shared" si="0"/>
        <v>-3</v>
      </c>
      <c r="C25">
        <f t="shared" si="1"/>
        <v>0</v>
      </c>
      <c r="D25" t="str">
        <f t="shared" si="2"/>
        <v>05 0</v>
      </c>
      <c r="E25" t="s">
        <v>59</v>
      </c>
    </row>
    <row r="26" spans="1:5" x14ac:dyDescent="0.2">
      <c r="A26" t="str" cm="1">
        <f t="array" ref="A26">TEXT((40973+27912.25/86400),"dd\0")</f>
        <v>050</v>
      </c>
      <c r="B26">
        <f t="shared" si="0"/>
        <v>-3</v>
      </c>
      <c r="C26">
        <f t="shared" si="1"/>
        <v>0</v>
      </c>
      <c r="D26" t="str">
        <f t="shared" si="2"/>
        <v>050</v>
      </c>
      <c r="E26" t="s">
        <v>60</v>
      </c>
    </row>
    <row r="27" spans="1:5" x14ac:dyDescent="0.2">
      <c r="A27" t="e" cm="1">
        <f t="array" ref="A27">TEXT((40973+27912.25/86400),"mm###")</f>
        <v>#VALUE!</v>
      </c>
      <c r="B27">
        <f t="shared" si="0"/>
        <v>3</v>
      </c>
      <c r="C27">
        <f t="shared" si="1"/>
        <v>0</v>
      </c>
      <c r="D27" t="str">
        <f t="shared" si="2"/>
        <v/>
      </c>
      <c r="E27" t="s">
        <v>61</v>
      </c>
    </row>
    <row r="28" spans="1:5" x14ac:dyDescent="0.2">
      <c r="A28" t="s">
        <v>62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2026-10-17T13:12:16Z</dcterms:created>
  <dcterms:modified xsi:type="dcterms:W3CDTF">2026-10-17T13:12:17Z</dcterms:modified>
  <cp:category/>
</cp:coreProperties>
</file>