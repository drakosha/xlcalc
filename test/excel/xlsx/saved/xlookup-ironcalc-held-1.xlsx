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1E7175B5-7C49-7443-88CC-75EB5B6CE0E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Xl" sheetId="1" r:id="rId1"/>
    <sheet name="Me" sheetId="2" r:id="rId2"/>
    <sheet name="Rl" sheetId="3" r:id="rId3"/>
    <sheet name="Wc" sheetId="4" r:id="rId4"/>
    <sheet name="Us" sheetId="5" r:id="rId5"/>
    <sheet name="Bl" sheetId="6" r:id="rId6"/>
    <sheet name="Mx" sheetId="7" r:id="rId7"/>
    <sheet name="Er" sheetId="8" r:id="rId8"/>
    <sheet name="Dc" sheetId="9" r:id="rId9"/>
    <sheet name="D" sheetId="10" r:id="rId10"/>
    <sheet name="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1" l="1" a="1"/>
  <c r="A39" i="11" s="1"/>
  <c r="D39" i="11" s="1"/>
  <c r="A38" i="11" a="1"/>
  <c r="A38" i="11" s="1"/>
  <c r="A34" i="11" a="1"/>
  <c r="A34" i="11"/>
  <c r="D34" i="11" s="1"/>
  <c r="A33" i="11" a="1"/>
  <c r="A33" i="11"/>
  <c r="C33" i="11" s="1"/>
  <c r="A32" i="11" a="1"/>
  <c r="A32" i="11" s="1"/>
  <c r="A31" i="11" a="1"/>
  <c r="A31" i="11" s="1"/>
  <c r="A30" i="11" a="1"/>
  <c r="A30" i="11" s="1"/>
  <c r="B30" i="11" s="1"/>
  <c r="A29" i="11" a="1"/>
  <c r="A29" i="11" s="1"/>
  <c r="A28" i="11" a="1"/>
  <c r="A28" i="11"/>
  <c r="D28" i="11" s="1"/>
  <c r="A27" i="11" a="1"/>
  <c r="A27" i="11"/>
  <c r="B27" i="11" s="1"/>
  <c r="A26" i="11" a="1"/>
  <c r="A26" i="11" s="1"/>
  <c r="B26" i="11" s="1"/>
  <c r="A25" i="11" a="1"/>
  <c r="A25" i="11"/>
  <c r="B25" i="11" s="1"/>
  <c r="A24" i="11" a="1"/>
  <c r="A24" i="11"/>
  <c r="C24" i="11" s="1"/>
  <c r="A23" i="11" a="1"/>
  <c r="A23" i="11" s="1"/>
  <c r="D23" i="11" s="1"/>
  <c r="A22" i="11" a="1"/>
  <c r="A22" i="11" s="1"/>
  <c r="D22" i="11" s="1"/>
  <c r="A21" i="11" a="1"/>
  <c r="A21" i="11"/>
  <c r="D21" i="11" s="1"/>
  <c r="A20" i="11" a="1"/>
  <c r="A20" i="11" s="1"/>
  <c r="A19" i="11" a="1"/>
  <c r="A19" i="11"/>
  <c r="D19" i="11" s="1"/>
  <c r="A18" i="11" a="1"/>
  <c r="A18" i="11" s="1"/>
  <c r="A17" i="11" a="1"/>
  <c r="A17" i="11" s="1"/>
  <c r="D17" i="11" s="1"/>
  <c r="A16" i="11" a="1"/>
  <c r="A16" i="11"/>
  <c r="D16" i="11" s="1"/>
  <c r="A15" i="11" a="1"/>
  <c r="A15" i="11"/>
  <c r="C15" i="11" s="1"/>
  <c r="A14" i="11" a="1"/>
  <c r="A14" i="11"/>
  <c r="C14" i="11" s="1"/>
  <c r="A13" i="11" a="1"/>
  <c r="A13" i="11"/>
  <c r="D13" i="11" s="1"/>
  <c r="A12" i="11" a="1"/>
  <c r="A12" i="11" s="1"/>
  <c r="C12" i="11" s="1"/>
  <c r="A11" i="11" a="1"/>
  <c r="A11" i="11" s="1"/>
  <c r="A10" i="11" a="1"/>
  <c r="A10" i="11"/>
  <c r="D10" i="11" s="1"/>
  <c r="A9" i="11" a="1"/>
  <c r="A9" i="11"/>
  <c r="D9" i="11" s="1"/>
  <c r="A8" i="11" a="1"/>
  <c r="A8" i="11" s="1"/>
  <c r="B8" i="11" s="1"/>
  <c r="A7" i="11" a="1"/>
  <c r="A7" i="11" s="1"/>
  <c r="A6" i="11" a="1"/>
  <c r="A6" i="11"/>
  <c r="D6" i="11" s="1"/>
  <c r="A5" i="11" a="1"/>
  <c r="A5" i="11"/>
  <c r="C5" i="11" s="1"/>
  <c r="A4" i="11" a="1"/>
  <c r="A4" i="11" s="1"/>
  <c r="B4" i="11" s="1"/>
  <c r="A3" i="11" a="1"/>
  <c r="A3" i="11"/>
  <c r="D3" i="11" s="1"/>
  <c r="A2" i="11" a="1"/>
  <c r="A2" i="11" s="1"/>
  <c r="C2" i="11" s="1"/>
  <c r="A1" i="11" a="1"/>
  <c r="A1" i="11"/>
  <c r="D1" i="11" s="1"/>
  <c r="I15" i="10"/>
  <c r="A14" i="10"/>
  <c r="A13" i="10"/>
  <c r="AL10" i="10"/>
  <c r="A8" i="10"/>
  <c r="A7" i="10"/>
  <c r="E3" i="10"/>
  <c r="A2" i="8"/>
  <c r="A36" i="11" s="1" a="1"/>
  <c r="A36" i="11" s="1"/>
  <c r="C31" i="11" l="1"/>
  <c r="D31" i="11"/>
  <c r="C32" i="11"/>
  <c r="D32" i="11"/>
  <c r="C25" i="11"/>
  <c r="D14" i="11"/>
  <c r="D25" i="11"/>
  <c r="A37" i="11" a="1"/>
  <c r="A37" i="11" s="1"/>
  <c r="A35" i="11" a="1"/>
  <c r="A35" i="11" s="1"/>
  <c r="B35" i="11" s="1"/>
  <c r="D20" i="11"/>
  <c r="C20" i="11"/>
  <c r="B20" i="11"/>
  <c r="B11" i="11"/>
  <c r="C11" i="11"/>
  <c r="D11" i="11"/>
  <c r="D29" i="11"/>
  <c r="C29" i="11"/>
  <c r="B29" i="11"/>
  <c r="D38" i="11"/>
  <c r="C38" i="11"/>
  <c r="B38" i="11"/>
  <c r="C36" i="11"/>
  <c r="B36" i="11"/>
  <c r="D36" i="11"/>
  <c r="B7" i="11"/>
  <c r="C7" i="11"/>
  <c r="D7" i="11"/>
  <c r="D35" i="11"/>
  <c r="C35" i="11"/>
  <c r="D18" i="11"/>
  <c r="C18" i="11"/>
  <c r="B18" i="11"/>
  <c r="C4" i="11"/>
  <c r="C22" i="11"/>
  <c r="B33" i="11"/>
  <c r="D4" i="11"/>
  <c r="B1" i="11"/>
  <c r="C8" i="11"/>
  <c r="D15" i="11"/>
  <c r="D26" i="11"/>
  <c r="D12" i="11"/>
  <c r="B16" i="11"/>
  <c r="C23" i="11"/>
  <c r="D30" i="11"/>
  <c r="B34" i="11"/>
  <c r="B22" i="11"/>
  <c r="B19" i="11"/>
  <c r="C26" i="11"/>
  <c r="D33" i="11"/>
  <c r="C1" i="11"/>
  <c r="D8" i="11"/>
  <c r="B12" i="11"/>
  <c r="C19" i="11"/>
  <c r="B5" i="11"/>
  <c r="B23" i="11"/>
  <c r="C30" i="11"/>
  <c r="D5" i="11"/>
  <c r="B9" i="11"/>
  <c r="C16" i="11"/>
  <c r="C34" i="11"/>
  <c r="B2" i="11"/>
  <c r="C9" i="11"/>
  <c r="C27" i="11"/>
  <c r="B13" i="11"/>
  <c r="D27" i="11"/>
  <c r="B31" i="11"/>
  <c r="D2" i="11"/>
  <c r="B6" i="11"/>
  <c r="C13" i="11"/>
  <c r="B24" i="11"/>
  <c r="C6" i="11"/>
  <c r="B17" i="11"/>
  <c r="B10" i="11"/>
  <c r="C17" i="11"/>
  <c r="D24" i="11"/>
  <c r="B28" i="11"/>
  <c r="B3" i="11"/>
  <c r="C10" i="11"/>
  <c r="B21" i="11"/>
  <c r="C28" i="11"/>
  <c r="B39" i="11"/>
  <c r="B15" i="11"/>
  <c r="C3" i="11"/>
  <c r="B14" i="11"/>
  <c r="C21" i="11"/>
  <c r="B32" i="11"/>
  <c r="C39" i="11"/>
  <c r="B37" i="11" l="1"/>
  <c r="C37" i="11"/>
  <c r="D37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<sst xmlns="http://schemas.openxmlformats.org/spreadsheetml/2006/main" count="187" uniqueCount="118">
  <si>
    <t>a</t>
  </si>
  <si>
    <t>b</t>
  </si>
  <si>
    <t>c</t>
  </si>
  <si>
    <t>d</t>
  </si>
  <si>
    <t>e</t>
  </si>
  <si>
    <t>aa</t>
  </si>
  <si>
    <t>f</t>
  </si>
  <si>
    <t>g</t>
  </si>
  <si>
    <t>h</t>
  </si>
  <si>
    <t>i</t>
  </si>
  <si>
    <t>j</t>
  </si>
  <si>
    <t>k</t>
  </si>
  <si>
    <t>l</t>
  </si>
  <si>
    <t>ala</t>
  </si>
  <si>
    <t>Abra</t>
  </si>
  <si>
    <t>Bra</t>
  </si>
  <si>
    <t>Cada</t>
  </si>
  <si>
    <t>Fun</t>
  </si>
  <si>
    <t>Dan</t>
  </si>
  <si>
    <t>u1</t>
  </si>
  <si>
    <t>u2</t>
  </si>
  <si>
    <t>u3</t>
  </si>
  <si>
    <t>u4</t>
  </si>
  <si>
    <t>u5</t>
  </si>
  <si>
    <t>b1</t>
  </si>
  <si>
    <t>b2</t>
  </si>
  <si>
    <t>b3</t>
  </si>
  <si>
    <t>b4</t>
  </si>
  <si>
    <t>b5</t>
  </si>
  <si>
    <t>b6</t>
  </si>
  <si>
    <t>m1</t>
  </si>
  <si>
    <t>m2</t>
  </si>
  <si>
    <t>m3</t>
  </si>
  <si>
    <t>m4</t>
  </si>
  <si>
    <t>m5</t>
  </si>
  <si>
    <t>m6</t>
  </si>
  <si>
    <t>e1</t>
  </si>
  <si>
    <t>e2</t>
  </si>
  <si>
    <t>e3</t>
  </si>
  <si>
    <t>e4</t>
  </si>
  <si>
    <t>d1</t>
  </si>
  <si>
    <t>d2</t>
  </si>
  <si>
    <t>d3</t>
  </si>
  <si>
    <t>d4</t>
  </si>
  <si>
    <t>d5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</si>
  <si>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</si>
  <si>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</si>
  <si>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</si>
  <si>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</si>
  <si>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</si>
  <si>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</si>
  <si>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</si>
  <si>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</si>
  <si>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</si>
  <si>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</si>
  <si>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</si>
  <si>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</si>
  <si>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</si>
  <si>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</si>
  <si>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</si>
  <si>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</si>
  <si>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</si>
  <si>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</si>
  <si>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</si>
  <si>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</si>
  <si>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</si>
  <si>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</si>
  <si>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</si>
  <si>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</si>
  <si>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</si>
  <si>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</si>
  <si>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</si>
  <si>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</si>
  <si>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</si>
  <si>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</si>
  <si>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</si>
  <si>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</si>
  <si>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</si>
  <si>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XLOOKUP#1</t>
  </si>
  <si>
    <t>XLOOKUP#2</t>
  </si>
  <si>
    <t>XLOOKUP#3</t>
  </si>
  <si>
    <t>XLOOKUP#4</t>
  </si>
  <si>
    <t>XLOOKUP#5</t>
  </si>
  <si>
    <t>XLOOKUP#6</t>
  </si>
  <si>
    <t>XLOOKUP#7</t>
  </si>
  <si>
    <t>XLOOKUP#8</t>
  </si>
  <si>
    <t>XLOOKUP#9</t>
  </si>
  <si>
    <t>XLOOKUP#10</t>
  </si>
  <si>
    <t>XLOOKUP#11</t>
  </si>
  <si>
    <t>XLOOKUP#12</t>
  </si>
  <si>
    <t>XLOOKUP#13</t>
  </si>
  <si>
    <t>XLOOKUP#14</t>
  </si>
  <si>
    <t>XLOOKUP#15</t>
  </si>
  <si>
    <t>XMATCH#1</t>
  </si>
  <si>
    <t>XMATCH#2</t>
  </si>
  <si>
    <t>XMATCH#3</t>
  </si>
  <si>
    <t>XMATCH#4</t>
  </si>
  <si>
    <t>XMATCH#5</t>
  </si>
  <si>
    <t>XLOOKUP#16</t>
  </si>
  <si>
    <t>XLOOKUP#17</t>
  </si>
  <si>
    <t>XLOOKUP#18</t>
  </si>
  <si>
    <t>XLOOKUP#19</t>
  </si>
  <si>
    <t>XLOOKUP#20</t>
  </si>
  <si>
    <t>XLOOKUP#21</t>
  </si>
  <si>
    <t>XLOOKUP#22</t>
  </si>
  <si>
    <t>XLOOKUP#23</t>
  </si>
  <si>
    <t>XLOOKUP#24</t>
  </si>
  <si>
    <t>XLOOKUP#25</t>
  </si>
  <si>
    <t>XLOOKUP#26</t>
  </si>
  <si>
    <t>XLOOKUP#27</t>
  </si>
  <si>
    <t>XLOOKUP#28</t>
  </si>
  <si>
    <t>XLOOKUP#29</t>
  </si>
  <si>
    <t>XLOOKUP#30</t>
  </si>
  <si>
    <t>XLOOKUP#31</t>
  </si>
  <si>
    <t>XLOOKUP#32</t>
  </si>
  <si>
    <t>XLOOKUP#33</t>
  </si>
  <si>
    <t>XLOOKUP#34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</si>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</sst>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"/>
  <sheetViews>
    <sheetView tabSelected="1" workbookViewId="0"/>
  </sheetViews>
  <sheetFormatPr baseColWidth="10" defaultColWidth="8.83203125" defaultRowHeight="15" x14ac:dyDescent="0.2"/>
  <sheetData>
    <row r="1" spans="2:21" x14ac:dyDescent="0.2">
      <c r="B1">
        <v>2</v>
      </c>
      <c r="C1">
        <v>3</v>
      </c>
      <c r="D1">
        <v>4</v>
      </c>
      <c r="E1">
        <v>5</v>
      </c>
      <c r="F1">
        <v>6</v>
      </c>
      <c r="Q1">
        <v>6</v>
      </c>
      <c r="R1">
        <v>5</v>
      </c>
      <c r="S1">
        <v>4</v>
      </c>
      <c r="T1">
        <v>3</v>
      </c>
      <c r="U1">
        <v>2</v>
      </c>
    </row>
    <row r="2" spans="2:2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Q2" t="s">
        <v>4</v>
      </c>
      <c r="R2" t="s">
        <v>3</v>
      </c>
      <c r="S2" t="s">
        <v>2</v>
      </c>
      <c r="T2" t="s">
        <v>1</v>
      </c>
      <c r="U2" t="s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baseColWidth="10" defaultColWidth="8.83203125" defaultRowHeight="15" x14ac:dyDescent="0.2"/>
  <sheetData>
    <row r="1" spans="1:10" x14ac:dyDescent="0.2">
      <c r="A1">
        <v>1</v>
      </c>
      <c r="B1" t="s">
        <v>5</v>
      </c>
      <c r="I1">
        <v>9</v>
      </c>
      <c r="J1" t="s">
        <v>5</v>
      </c>
    </row>
    <row r="2" spans="1:10" x14ac:dyDescent="0.2">
      <c r="A2">
        <v>2</v>
      </c>
      <c r="B2" t="s">
        <v>0</v>
      </c>
      <c r="I2">
        <v>8</v>
      </c>
      <c r="J2" t="s">
        <v>0</v>
      </c>
    </row>
    <row r="3" spans="1:10" x14ac:dyDescent="0.2">
      <c r="A3">
        <v>3</v>
      </c>
      <c r="B3" t="s">
        <v>1</v>
      </c>
      <c r="I3">
        <v>7</v>
      </c>
      <c r="J3" t="s">
        <v>1</v>
      </c>
    </row>
    <row r="4" spans="1:10" x14ac:dyDescent="0.2">
      <c r="A4">
        <v>4</v>
      </c>
      <c r="B4" t="s">
        <v>2</v>
      </c>
      <c r="I4">
        <v>7</v>
      </c>
      <c r="J4" t="s">
        <v>2</v>
      </c>
    </row>
    <row r="5" spans="1:10" x14ac:dyDescent="0.2">
      <c r="A5">
        <v>5</v>
      </c>
      <c r="B5" t="s">
        <v>3</v>
      </c>
      <c r="I5">
        <v>7</v>
      </c>
      <c r="J5" t="s">
        <v>3</v>
      </c>
    </row>
    <row r="6" spans="1:10" x14ac:dyDescent="0.2">
      <c r="A6">
        <v>5</v>
      </c>
      <c r="B6" t="s">
        <v>4</v>
      </c>
      <c r="I6">
        <v>6</v>
      </c>
      <c r="J6" t="s">
        <v>4</v>
      </c>
    </row>
    <row r="7" spans="1:10" x14ac:dyDescent="0.2">
      <c r="A7">
        <v>5</v>
      </c>
      <c r="B7" t="s">
        <v>6</v>
      </c>
      <c r="I7">
        <v>5</v>
      </c>
      <c r="J7" t="s">
        <v>6</v>
      </c>
    </row>
    <row r="8" spans="1:10" x14ac:dyDescent="0.2">
      <c r="A8">
        <v>6</v>
      </c>
      <c r="B8" t="s">
        <v>7</v>
      </c>
      <c r="I8">
        <v>5</v>
      </c>
      <c r="J8" t="s">
        <v>7</v>
      </c>
    </row>
    <row r="9" spans="1:10" x14ac:dyDescent="0.2">
      <c r="A9">
        <v>7</v>
      </c>
      <c r="B9" t="s">
        <v>8</v>
      </c>
      <c r="I9">
        <v>5</v>
      </c>
      <c r="J9" t="s">
        <v>8</v>
      </c>
    </row>
    <row r="10" spans="1:10" x14ac:dyDescent="0.2">
      <c r="A10">
        <v>7</v>
      </c>
      <c r="B10" t="s">
        <v>9</v>
      </c>
      <c r="I10">
        <v>4</v>
      </c>
      <c r="J10" t="s">
        <v>9</v>
      </c>
    </row>
    <row r="11" spans="1:10" x14ac:dyDescent="0.2">
      <c r="A11">
        <v>7</v>
      </c>
      <c r="B11" t="s">
        <v>10</v>
      </c>
      <c r="I11">
        <v>3</v>
      </c>
      <c r="J11" t="s">
        <v>10</v>
      </c>
    </row>
    <row r="12" spans="1:10" x14ac:dyDescent="0.2">
      <c r="A12">
        <v>8</v>
      </c>
      <c r="B12" t="s">
        <v>11</v>
      </c>
      <c r="I12">
        <v>2</v>
      </c>
      <c r="J12" t="s">
        <v>11</v>
      </c>
    </row>
    <row r="13" spans="1:10" x14ac:dyDescent="0.2">
      <c r="A13">
        <v>9</v>
      </c>
      <c r="B13" t="s">
        <v>12</v>
      </c>
      <c r="I13">
        <v>1</v>
      </c>
      <c r="J13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38"/>
  <sheetViews>
    <sheetView workbookViewId="0"/>
  </sheetViews>
  <sheetFormatPr baseColWidth="10" defaultColWidth="8.83203125" defaultRowHeight="15" x14ac:dyDescent="0.2"/>
  <sheetData>
    <row r="4" spans="1:2" x14ac:dyDescent="0.2">
      <c r="A4">
        <v>2</v>
      </c>
      <c r="B4" t="s">
        <v>0</v>
      </c>
    </row>
    <row r="5" spans="1:2" x14ac:dyDescent="0.2">
      <c r="A5">
        <v>5</v>
      </c>
      <c r="B5" t="s">
        <v>1</v>
      </c>
    </row>
    <row r="6" spans="1:2" x14ac:dyDescent="0.2">
      <c r="A6">
        <v>4</v>
      </c>
      <c r="B6" t="s">
        <v>2</v>
      </c>
    </row>
    <row r="7" spans="1:2" x14ac:dyDescent="0.2">
      <c r="A7">
        <v>5</v>
      </c>
      <c r="B7" t="s">
        <v>3</v>
      </c>
    </row>
    <row r="8" spans="1:2" x14ac:dyDescent="0.2">
      <c r="A8">
        <v>3</v>
      </c>
      <c r="B8" t="s">
        <v>4</v>
      </c>
    </row>
    <row r="9" spans="1:2" x14ac:dyDescent="0.2">
      <c r="A9" t="b">
        <v>1</v>
      </c>
      <c r="B9" t="s">
        <v>6</v>
      </c>
    </row>
    <row r="10" spans="1:2" x14ac:dyDescent="0.2">
      <c r="A10" t="s">
        <v>13</v>
      </c>
      <c r="B10" t="s">
        <v>7</v>
      </c>
    </row>
    <row r="19" spans="1:2" x14ac:dyDescent="0.2">
      <c r="A19">
        <v>2</v>
      </c>
      <c r="B19" t="s">
        <v>0</v>
      </c>
    </row>
    <row r="20" spans="1:2" x14ac:dyDescent="0.2">
      <c r="A20">
        <v>3</v>
      </c>
      <c r="B20" t="s">
        <v>1</v>
      </c>
    </row>
    <row r="21" spans="1:2" x14ac:dyDescent="0.2">
      <c r="A21">
        <v>4</v>
      </c>
      <c r="B21" t="s">
        <v>2</v>
      </c>
    </row>
    <row r="22" spans="1:2" x14ac:dyDescent="0.2">
      <c r="A22">
        <v>5</v>
      </c>
      <c r="B22" t="s">
        <v>3</v>
      </c>
    </row>
    <row r="23" spans="1:2" x14ac:dyDescent="0.2">
      <c r="A23">
        <v>6</v>
      </c>
      <c r="B23" t="s">
        <v>4</v>
      </c>
    </row>
    <row r="34" spans="1:2" x14ac:dyDescent="0.2">
      <c r="A34">
        <v>6</v>
      </c>
      <c r="B34" t="s">
        <v>4</v>
      </c>
    </row>
    <row r="35" spans="1:2" x14ac:dyDescent="0.2">
      <c r="A35">
        <v>5</v>
      </c>
      <c r="B35" t="s">
        <v>3</v>
      </c>
    </row>
    <row r="36" spans="1:2" x14ac:dyDescent="0.2">
      <c r="A36">
        <v>4</v>
      </c>
      <c r="B36" t="s">
        <v>2</v>
      </c>
    </row>
    <row r="37" spans="1:2" x14ac:dyDescent="0.2">
      <c r="A37">
        <v>3</v>
      </c>
      <c r="B37" t="s">
        <v>1</v>
      </c>
    </row>
    <row r="38" spans="1:2" x14ac:dyDescent="0.2">
      <c r="A38">
        <v>2</v>
      </c>
      <c r="B38" t="s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3:B21"/>
  <sheetViews>
    <sheetView workbookViewId="0"/>
  </sheetViews>
  <sheetFormatPr baseColWidth="10" defaultColWidth="8.83203125" defaultRowHeight="15" x14ac:dyDescent="0.2"/>
  <sheetData>
    <row r="13" spans="1:2" x14ac:dyDescent="0.2">
      <c r="A13" t="s">
        <v>14</v>
      </c>
      <c r="B13">
        <v>1</v>
      </c>
    </row>
    <row r="14" spans="1:2" x14ac:dyDescent="0.2">
      <c r="A14" t="s">
        <v>15</v>
      </c>
      <c r="B14">
        <v>2</v>
      </c>
    </row>
    <row r="15" spans="1:2" x14ac:dyDescent="0.2">
      <c r="A15" t="s">
        <v>16</v>
      </c>
      <c r="B15">
        <v>3</v>
      </c>
    </row>
    <row r="16" spans="1:2" x14ac:dyDescent="0.2">
      <c r="A16" t="s">
        <v>17</v>
      </c>
      <c r="B16">
        <v>4</v>
      </c>
    </row>
    <row r="17" spans="1:2" x14ac:dyDescent="0.2">
      <c r="A17" t="s">
        <v>18</v>
      </c>
      <c r="B17">
        <v>5</v>
      </c>
    </row>
    <row r="20" spans="1:2" x14ac:dyDescent="0.2">
      <c r="A20" t="s">
        <v>18</v>
      </c>
      <c r="B20">
        <v>1</v>
      </c>
    </row>
    <row r="21" spans="1:2" x14ac:dyDescent="0.2">
      <c r="A21" t="s">
        <v>17</v>
      </c>
      <c r="B21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19</v>
      </c>
    </row>
    <row r="2" spans="1:2" x14ac:dyDescent="0.2">
      <c r="A2">
        <v>9</v>
      </c>
      <c r="B2" t="s">
        <v>20</v>
      </c>
    </row>
    <row r="3" spans="1:2" x14ac:dyDescent="0.2">
      <c r="A3">
        <v>5</v>
      </c>
      <c r="B3" t="s">
        <v>21</v>
      </c>
    </row>
    <row r="4" spans="1:2" x14ac:dyDescent="0.2">
      <c r="A4">
        <v>2</v>
      </c>
      <c r="B4" t="s">
        <v>22</v>
      </c>
    </row>
    <row r="5" spans="1:2" x14ac:dyDescent="0.2">
      <c r="A5">
        <v>3</v>
      </c>
      <c r="B5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24</v>
      </c>
    </row>
    <row r="2" spans="1:2" x14ac:dyDescent="0.2">
      <c r="A2">
        <v>2</v>
      </c>
      <c r="B2" t="s">
        <v>25</v>
      </c>
    </row>
    <row r="3" spans="1:2" x14ac:dyDescent="0.2">
      <c r="B3" t="s">
        <v>26</v>
      </c>
    </row>
    <row r="4" spans="1:2" x14ac:dyDescent="0.2">
      <c r="A4">
        <v>4</v>
      </c>
      <c r="B4" t="s">
        <v>27</v>
      </c>
    </row>
    <row r="5" spans="1:2" x14ac:dyDescent="0.2">
      <c r="A5">
        <v>5</v>
      </c>
      <c r="B5" t="s">
        <v>28</v>
      </c>
    </row>
    <row r="6" spans="1:2" x14ac:dyDescent="0.2">
      <c r="A6">
        <v>6</v>
      </c>
      <c r="B6" t="s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30</v>
      </c>
    </row>
    <row r="2" spans="1:2" x14ac:dyDescent="0.2">
      <c r="A2">
        <v>2</v>
      </c>
      <c r="B2" t="s">
        <v>31</v>
      </c>
    </row>
    <row r="3" spans="1:2" x14ac:dyDescent="0.2">
      <c r="A3">
        <v>3</v>
      </c>
      <c r="B3" t="s">
        <v>32</v>
      </c>
    </row>
    <row r="4" spans="1:2" x14ac:dyDescent="0.2">
      <c r="A4" t="s">
        <v>0</v>
      </c>
      <c r="B4" t="s">
        <v>33</v>
      </c>
    </row>
    <row r="5" spans="1:2" x14ac:dyDescent="0.2">
      <c r="A5" t="s">
        <v>1</v>
      </c>
      <c r="B5" t="s">
        <v>34</v>
      </c>
    </row>
    <row r="6" spans="1:2" x14ac:dyDescent="0.2">
      <c r="A6" t="b">
        <v>1</v>
      </c>
      <c r="B6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 t="s">
        <v>36</v>
      </c>
    </row>
    <row r="2" spans="1:2" x14ac:dyDescent="0.2">
      <c r="A2" t="e">
        <f>NA()</f>
        <v>#N/A</v>
      </c>
      <c r="B2" t="s">
        <v>37</v>
      </c>
    </row>
    <row r="3" spans="1:2" x14ac:dyDescent="0.2">
      <c r="B3" t="s">
        <v>38</v>
      </c>
    </row>
    <row r="4" spans="1:2" x14ac:dyDescent="0.2">
      <c r="A4">
        <v>3</v>
      </c>
      <c r="B4" t="s">
        <v>39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9</v>
      </c>
      <c r="B1" t="s">
        <v>40</v>
      </c>
    </row>
    <row r="2" spans="1:2" x14ac:dyDescent="0.2">
      <c r="A2">
        <v>8</v>
      </c>
      <c r="B2" t="s">
        <v>41</v>
      </c>
    </row>
    <row r="3" spans="1:2" x14ac:dyDescent="0.2">
      <c r="A3">
        <v>7</v>
      </c>
      <c r="B3" t="s">
        <v>42</v>
      </c>
    </row>
    <row r="4" spans="1:2" x14ac:dyDescent="0.2">
      <c r="A4">
        <v>6</v>
      </c>
      <c r="B4" t="s">
        <v>43</v>
      </c>
    </row>
    <row r="5" spans="1:2" x14ac:dyDescent="0.2">
      <c r="A5">
        <v>5</v>
      </c>
      <c r="B5" t="s">
        <v>44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45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46</v>
      </c>
      <c r="N1">
        <v>10</v>
      </c>
      <c r="P1">
        <v>1</v>
      </c>
      <c r="Q1">
        <v>2</v>
      </c>
      <c r="R1">
        <v>5</v>
      </c>
      <c r="S1">
        <v>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AA1" t="s">
        <v>47</v>
      </c>
      <c r="AB1" t="s">
        <v>48</v>
      </c>
      <c r="AC1" t="s">
        <v>47</v>
      </c>
      <c r="AD1" t="s">
        <v>47</v>
      </c>
      <c r="AE1" t="s">
        <v>47</v>
      </c>
      <c r="AF1" t="s">
        <v>47</v>
      </c>
      <c r="AG1" t="s">
        <v>47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52</v>
      </c>
      <c r="B2">
        <v>8</v>
      </c>
      <c r="C2">
        <v>7</v>
      </c>
      <c r="D2" t="s">
        <v>52</v>
      </c>
      <c r="E2">
        <v>2</v>
      </c>
      <c r="F2" t="s">
        <v>53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54</v>
      </c>
      <c r="N2">
        <v>20</v>
      </c>
      <c r="P2">
        <v>3</v>
      </c>
      <c r="Q2">
        <v>4</v>
      </c>
      <c r="R2">
        <v>7</v>
      </c>
      <c r="S2">
        <v>8</v>
      </c>
      <c r="U2" t="s">
        <v>55</v>
      </c>
      <c r="V2">
        <v>18</v>
      </c>
      <c r="W2">
        <v>20</v>
      </c>
      <c r="X2">
        <v>14</v>
      </c>
      <c r="Y2">
        <v>105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61</v>
      </c>
      <c r="B3">
        <v>15</v>
      </c>
      <c r="C3">
        <v>11</v>
      </c>
      <c r="D3" t="s">
        <v>61</v>
      </c>
      <c r="E3" t="e">
        <f>1/0</f>
        <v>#DIV/0!</v>
      </c>
      <c r="F3" t="s">
        <v>62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63</v>
      </c>
      <c r="N3">
        <v>30</v>
      </c>
      <c r="U3" t="s">
        <v>57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61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64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65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66</v>
      </c>
      <c r="N4">
        <v>50</v>
      </c>
      <c r="P4">
        <v>1</v>
      </c>
      <c r="Q4">
        <v>2</v>
      </c>
      <c r="R4">
        <v>3</v>
      </c>
      <c r="U4" t="s">
        <v>59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67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68</v>
      </c>
      <c r="N5">
        <v>80</v>
      </c>
      <c r="P5">
        <v>4</v>
      </c>
      <c r="Q5">
        <v>5</v>
      </c>
      <c r="R5">
        <v>6</v>
      </c>
      <c r="U5" t="s">
        <v>55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69</v>
      </c>
      <c r="AP5" s="1">
        <v>39786</v>
      </c>
      <c r="AS5" t="s">
        <v>70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71</v>
      </c>
      <c r="G6">
        <v>32</v>
      </c>
      <c r="H6" s="1">
        <v>45473</v>
      </c>
      <c r="L6">
        <v>13</v>
      </c>
      <c r="M6" t="s">
        <v>72</v>
      </c>
      <c r="N6">
        <v>130</v>
      </c>
      <c r="U6" t="s">
        <v>57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73</v>
      </c>
      <c r="G7">
        <v>64</v>
      </c>
      <c r="H7" s="1">
        <v>46022</v>
      </c>
      <c r="I7">
        <v>-10000</v>
      </c>
      <c r="J7">
        <v>100</v>
      </c>
      <c r="U7" t="s">
        <v>55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74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1</v>
      </c>
      <c r="AU8" s="1">
        <v>39448</v>
      </c>
      <c r="BG8">
        <v>2</v>
      </c>
    </row>
    <row r="9" spans="1:60" x14ac:dyDescent="0.2">
      <c r="A9" t="s">
        <v>75</v>
      </c>
      <c r="I9">
        <v>4200</v>
      </c>
      <c r="J9">
        <v>300</v>
      </c>
      <c r="L9" t="s">
        <v>46</v>
      </c>
      <c r="M9" t="s">
        <v>54</v>
      </c>
      <c r="N9" t="s">
        <v>63</v>
      </c>
      <c r="O9" t="s">
        <v>66</v>
      </c>
      <c r="P9" t="s">
        <v>68</v>
      </c>
      <c r="Q9" t="s">
        <v>72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76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77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0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_xlfn.XLOOKUP(12,Xl!$B$2:$F$2,Xl!$B$1:$F$1,,1,2)</f>
        <v>2</v>
      </c>
      <c r="B1">
        <f t="shared" ref="B1:B39" si="0">IF(ISERROR(A1),ERROR.TYPE(A1),IF(ISNUMBER(A1),0,IF(ISLOGICAL(A1),IF(A1,-1,-2),IF(ISTEXT(A1),-3,-4))))</f>
        <v>0</v>
      </c>
      <c r="C1">
        <f t="shared" ref="C1:C39" si="1">IF(ISNUMBER(A1),A1,0)</f>
        <v>2</v>
      </c>
      <c r="D1" t="str">
        <f t="shared" ref="D1:D39" si="2">IF(ISTEXT(A1),A1,"")</f>
        <v/>
      </c>
      <c r="E1" t="s">
        <v>78</v>
      </c>
    </row>
    <row r="2" spans="1:5" x14ac:dyDescent="0.2">
      <c r="A2" cm="1">
        <f t="array" ref="A2">_xlfn.XLOOKUP(123,Xl!$Q$2:$U$2,Xl!$Q$1:$U$1,,1,-2)</f>
        <v>2</v>
      </c>
      <c r="B2">
        <f t="shared" si="0"/>
        <v>0</v>
      </c>
      <c r="C2">
        <f t="shared" si="1"/>
        <v>2</v>
      </c>
      <c r="D2" t="str">
        <f t="shared" si="2"/>
        <v/>
      </c>
      <c r="E2" t="s">
        <v>79</v>
      </c>
    </row>
    <row r="3" spans="1:5" x14ac:dyDescent="0.2">
      <c r="A3" cm="1">
        <f t="array" ref="A3">_xlfn.XLOOKUP(FALSE,Xl!$Q$2:$U$2,Xl!$Q$1:$U$1,,-1,-2)</f>
        <v>6</v>
      </c>
      <c r="B3">
        <f t="shared" si="0"/>
        <v>0</v>
      </c>
      <c r="C3">
        <f t="shared" si="1"/>
        <v>6</v>
      </c>
      <c r="D3" t="str">
        <f t="shared" si="2"/>
        <v/>
      </c>
      <c r="E3" t="s">
        <v>80</v>
      </c>
    </row>
    <row r="4" spans="1:5" x14ac:dyDescent="0.2">
      <c r="A4" t="str" cm="1">
        <f t="array" ref="A4">_xlfn.XLOOKUP(7.1,Me!A:A,Me!B:B,,-1,2)</f>
        <v>j</v>
      </c>
      <c r="B4">
        <f t="shared" si="0"/>
        <v>-3</v>
      </c>
      <c r="C4">
        <f t="shared" si="1"/>
        <v>0</v>
      </c>
      <c r="D4" t="str">
        <f t="shared" si="2"/>
        <v>j</v>
      </c>
      <c r="E4" t="s">
        <v>81</v>
      </c>
    </row>
    <row r="5" spans="1:5" x14ac:dyDescent="0.2">
      <c r="A5" t="str" cm="1">
        <f t="array" ref="A5">_xlfn.XLOOKUP(7.1,Me!$I$1:$I$13,Me!$J$1:$J$13,,-1,-2)</f>
        <v>b</v>
      </c>
      <c r="B5">
        <f t="shared" si="0"/>
        <v>-3</v>
      </c>
      <c r="C5">
        <f t="shared" si="1"/>
        <v>0</v>
      </c>
      <c r="D5" t="str">
        <f t="shared" si="2"/>
        <v>b</v>
      </c>
      <c r="E5" t="s">
        <v>82</v>
      </c>
    </row>
    <row r="6" spans="1:5" x14ac:dyDescent="0.2">
      <c r="A6" t="str" cm="1">
        <f t="array" ref="A6">_xlfn.XLOOKUP(7,Me!A:A,Me!B:B,,-1,2)</f>
        <v>h</v>
      </c>
      <c r="B6">
        <f t="shared" si="0"/>
        <v>-3</v>
      </c>
      <c r="C6">
        <f t="shared" si="1"/>
        <v>0</v>
      </c>
      <c r="D6" t="str">
        <f t="shared" si="2"/>
        <v>h</v>
      </c>
      <c r="E6" t="s">
        <v>83</v>
      </c>
    </row>
    <row r="7" spans="1:5" x14ac:dyDescent="0.2">
      <c r="A7" t="str" cm="1">
        <f t="array" ref="A7">_xlfn.XLOOKUP(7,Me!$I$1:$I$13,Me!$J$1:$J$13,,-1,-2)</f>
        <v>d</v>
      </c>
      <c r="B7">
        <f t="shared" si="0"/>
        <v>-3</v>
      </c>
      <c r="C7">
        <f t="shared" si="1"/>
        <v>0</v>
      </c>
      <c r="D7" t="str">
        <f t="shared" si="2"/>
        <v>d</v>
      </c>
      <c r="E7" t="s">
        <v>84</v>
      </c>
    </row>
    <row r="8" spans="1:5" x14ac:dyDescent="0.2">
      <c r="A8" t="str" cm="1">
        <f t="array" ref="A8">_xlfn.XLOOKUP(10,Rl!$A$4:$A$10,Rl!$B$4:$B$10,,1)</f>
        <v>g</v>
      </c>
      <c r="B8">
        <f t="shared" si="0"/>
        <v>-3</v>
      </c>
      <c r="C8">
        <f t="shared" si="1"/>
        <v>0</v>
      </c>
      <c r="D8" t="str">
        <f t="shared" si="2"/>
        <v>g</v>
      </c>
      <c r="E8" t="s">
        <v>85</v>
      </c>
    </row>
    <row r="9" spans="1:5" x14ac:dyDescent="0.2">
      <c r="A9" t="str" cm="1">
        <f t="array" ref="A9">_xlfn.XLOOKUP("qwerty",Rl!$A$4:$A$10,Rl!$B$4:$B$10,,1,-1)</f>
        <v>f</v>
      </c>
      <c r="B9">
        <f t="shared" si="0"/>
        <v>-3</v>
      </c>
      <c r="C9">
        <f t="shared" si="1"/>
        <v>0</v>
      </c>
      <c r="D9" t="str">
        <f t="shared" si="2"/>
        <v>f</v>
      </c>
      <c r="E9" t="s">
        <v>86</v>
      </c>
    </row>
    <row r="10" spans="1:5" x14ac:dyDescent="0.2">
      <c r="A10" t="str" cm="1">
        <f t="array" ref="A10">_xlfn.XLOOKUP(FALSE,Rl!$A$4:$A$10,Rl!$B$4:$B$10, "Not found", -1)</f>
        <v>g</v>
      </c>
      <c r="B10">
        <f t="shared" si="0"/>
        <v>-3</v>
      </c>
      <c r="C10">
        <f t="shared" si="1"/>
        <v>0</v>
      </c>
      <c r="D10" t="str">
        <f t="shared" si="2"/>
        <v>g</v>
      </c>
      <c r="E10" t="s">
        <v>87</v>
      </c>
    </row>
    <row r="11" spans="1:5" x14ac:dyDescent="0.2">
      <c r="A11" cm="1">
        <f t="array" ref="A11">_xlfn.XLOOKUP(12,Rl!$B$34:$B$38,Rl!$A$34:$A$38,"-",1,-2)</f>
        <v>2</v>
      </c>
      <c r="B11">
        <f t="shared" si="0"/>
        <v>0</v>
      </c>
      <c r="C11">
        <f t="shared" si="1"/>
        <v>2</v>
      </c>
      <c r="D11" t="str">
        <f t="shared" si="2"/>
        <v/>
      </c>
      <c r="E11" t="s">
        <v>88</v>
      </c>
    </row>
    <row r="12" spans="1:5" x14ac:dyDescent="0.2">
      <c r="A12" t="str" cm="1">
        <f t="array" ref="A12">_xlfn.XLOOKUP("a",Rl!$A$19:$A$23,Rl!$B$19:$B$23,,-1,2)</f>
        <v>e</v>
      </c>
      <c r="B12">
        <f t="shared" si="0"/>
        <v>-3</v>
      </c>
      <c r="C12">
        <f t="shared" si="1"/>
        <v>0</v>
      </c>
      <c r="D12" t="str">
        <f t="shared" si="2"/>
        <v>e</v>
      </c>
      <c r="E12" t="s">
        <v>89</v>
      </c>
    </row>
    <row r="13" spans="1:5" x14ac:dyDescent="0.2">
      <c r="A13" cm="1">
        <f t="array" ref="A13">_xlfn.XLOOKUP(TRUE,Rl!$B$34:$B$38,Rl!$A$34:$A$38,,-1,-2)</f>
        <v>6</v>
      </c>
      <c r="B13">
        <f t="shared" si="0"/>
        <v>0</v>
      </c>
      <c r="C13">
        <f t="shared" si="1"/>
        <v>6</v>
      </c>
      <c r="D13" t="str">
        <f t="shared" si="2"/>
        <v/>
      </c>
      <c r="E13" t="s">
        <v>90</v>
      </c>
    </row>
    <row r="14" spans="1:5" x14ac:dyDescent="0.2">
      <c r="A14" t="e" cm="1">
        <f t="array" ref="A14">_xlfn.XLOOKUP("Abra",Wc!A13:A20,Wc!B13:B20,,2,2)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91</v>
      </c>
    </row>
    <row r="15" spans="1:5" x14ac:dyDescent="0.2">
      <c r="A15" t="e" cm="1">
        <f t="array" ref="A15">_xlfn.XLOOKUP("Dan",Wc!A20:A21,Wc!B20:B21,,2,-2)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92</v>
      </c>
    </row>
    <row r="16" spans="1:5" x14ac:dyDescent="0.2">
      <c r="A16" t="e" cm="1">
        <f t="array" ref="A16">_xlfn.XMATCH("Abra",Wc!A13:A17,2,2)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93</v>
      </c>
    </row>
    <row r="17" spans="1:5" x14ac:dyDescent="0.2">
      <c r="A17" cm="1">
        <f t="array" ref="A17">_xlfn.XMATCH(7.1,Me!A:A,-1,2)</f>
        <v>11</v>
      </c>
      <c r="B17">
        <f t="shared" si="0"/>
        <v>0</v>
      </c>
      <c r="C17">
        <f t="shared" si="1"/>
        <v>11</v>
      </c>
      <c r="D17" t="str">
        <f t="shared" si="2"/>
        <v/>
      </c>
      <c r="E17" t="s">
        <v>94</v>
      </c>
    </row>
    <row r="18" spans="1:5" x14ac:dyDescent="0.2">
      <c r="A18" cm="1">
        <f t="array" ref="A18">_xlfn.XMATCH(7,Me!I1:I13,0,-2)</f>
        <v>5</v>
      </c>
      <c r="B18">
        <f t="shared" si="0"/>
        <v>0</v>
      </c>
      <c r="C18">
        <f t="shared" si="1"/>
        <v>5</v>
      </c>
      <c r="D18" t="str">
        <f t="shared" si="2"/>
        <v/>
      </c>
      <c r="E18" t="s">
        <v>95</v>
      </c>
    </row>
    <row r="19" spans="1:5" x14ac:dyDescent="0.2">
      <c r="A19" cm="1">
        <f t="array" ref="A19">_xlfn.XMATCH(12,Xl!B2:F2,1,2)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96</v>
      </c>
    </row>
    <row r="20" spans="1:5" x14ac:dyDescent="0.2">
      <c r="A20" cm="1">
        <f t="array" ref="A20">_xlfn.XMATCH("b",Mx!A1:A6,0,2)</f>
        <v>5</v>
      </c>
      <c r="B20">
        <f t="shared" si="0"/>
        <v>0</v>
      </c>
      <c r="C20">
        <f t="shared" si="1"/>
        <v>5</v>
      </c>
      <c r="D20" t="str">
        <f t="shared" si="2"/>
        <v/>
      </c>
      <c r="E20" t="s">
        <v>97</v>
      </c>
    </row>
    <row r="21" spans="1:5" x14ac:dyDescent="0.2">
      <c r="A21" t="str" cm="1">
        <f t="array" ref="A21">_xlfn.XLOOKUP(5,Us!A1:A5,Us!B1:B5,,0,2)</f>
        <v>u3</v>
      </c>
      <c r="B21">
        <f t="shared" si="0"/>
        <v>-3</v>
      </c>
      <c r="C21">
        <f t="shared" si="1"/>
        <v>0</v>
      </c>
      <c r="D21" t="str">
        <f t="shared" si="2"/>
        <v>u3</v>
      </c>
      <c r="E21" t="s">
        <v>98</v>
      </c>
    </row>
    <row r="22" spans="1:5" x14ac:dyDescent="0.2">
      <c r="A22" t="str" cm="1">
        <f t="array" ref="A22">_xlfn.XLOOKUP(4,Us!A1:A5,Us!B1:B5,,-1,2)</f>
        <v>u1</v>
      </c>
      <c r="B22">
        <f t="shared" si="0"/>
        <v>-3</v>
      </c>
      <c r="C22">
        <f t="shared" si="1"/>
        <v>0</v>
      </c>
      <c r="D22" t="str">
        <f t="shared" si="2"/>
        <v>u1</v>
      </c>
      <c r="E22" t="s">
        <v>99</v>
      </c>
    </row>
    <row r="23" spans="1:5" x14ac:dyDescent="0.2">
      <c r="A23" t="str" cm="1">
        <f t="array" ref="A23">_xlfn.XLOOKUP(2,Us!A1:A5,Us!B1:B5,,1,2)</f>
        <v>u2</v>
      </c>
      <c r="B23">
        <f t="shared" si="0"/>
        <v>-3</v>
      </c>
      <c r="C23">
        <f t="shared" si="1"/>
        <v>0</v>
      </c>
      <c r="D23" t="str">
        <f t="shared" si="2"/>
        <v>u2</v>
      </c>
      <c r="E23" t="s">
        <v>100</v>
      </c>
    </row>
    <row r="24" spans="1:5" x14ac:dyDescent="0.2">
      <c r="A24" t="e" cm="1">
        <f t="array" ref="A24">_xlfn.XLOOKUP(5,Bl!A1:A6,Bl!B1:B6,,0,2)</f>
        <v>#N/A</v>
      </c>
      <c r="B24">
        <f t="shared" si="0"/>
        <v>7</v>
      </c>
      <c r="C24">
        <f t="shared" si="1"/>
        <v>0</v>
      </c>
      <c r="D24" t="str">
        <f t="shared" si="2"/>
        <v/>
      </c>
      <c r="E24" t="s">
        <v>101</v>
      </c>
    </row>
    <row r="25" spans="1:5" x14ac:dyDescent="0.2">
      <c r="A25" t="str" cm="1">
        <f t="array" ref="A25">_xlfn.XLOOKUP(2.5,Bl!A1:A6,Bl!B1:B6,,-1,2)</f>
        <v>b2</v>
      </c>
      <c r="B25">
        <f t="shared" si="0"/>
        <v>-3</v>
      </c>
      <c r="C25">
        <f t="shared" si="1"/>
        <v>0</v>
      </c>
      <c r="D25" t="str">
        <f t="shared" si="2"/>
        <v>b2</v>
      </c>
      <c r="E25" t="s">
        <v>102</v>
      </c>
    </row>
    <row r="26" spans="1:5" x14ac:dyDescent="0.2">
      <c r="A26" t="str" cm="1">
        <f t="array" ref="A26">_xlfn.XLOOKUP(2.5,Bl!A1:A6,Bl!B1:B6,,1,2)</f>
        <v>b3</v>
      </c>
      <c r="B26">
        <f t="shared" si="0"/>
        <v>-3</v>
      </c>
      <c r="C26">
        <f t="shared" si="1"/>
        <v>0</v>
      </c>
      <c r="D26" t="str">
        <f t="shared" si="2"/>
        <v>b3</v>
      </c>
      <c r="E26" t="s">
        <v>103</v>
      </c>
    </row>
    <row r="27" spans="1:5" x14ac:dyDescent="0.2">
      <c r="A27" t="str" cm="1">
        <f t="array" ref="A27">_xlfn.XLOOKUP("b",Mx!A1:A6,Mx!B1:B6,,0,2)</f>
        <v>m5</v>
      </c>
      <c r="B27">
        <f t="shared" si="0"/>
        <v>-3</v>
      </c>
      <c r="C27">
        <f t="shared" si="1"/>
        <v>0</v>
      </c>
      <c r="D27" t="str">
        <f t="shared" si="2"/>
        <v>m5</v>
      </c>
      <c r="E27" t="s">
        <v>104</v>
      </c>
    </row>
    <row r="28" spans="1:5" x14ac:dyDescent="0.2">
      <c r="A28" t="str" cm="1">
        <f t="array" ref="A28">_xlfn.XLOOKUP(10,Mx!A1:A6,Mx!B1:B6,,1,2)</f>
        <v>m4</v>
      </c>
      <c r="B28">
        <f t="shared" si="0"/>
        <v>-3</v>
      </c>
      <c r="C28">
        <f t="shared" si="1"/>
        <v>0</v>
      </c>
      <c r="D28" t="str">
        <f t="shared" si="2"/>
        <v>m4</v>
      </c>
      <c r="E28" t="s">
        <v>105</v>
      </c>
    </row>
    <row r="29" spans="1:5" x14ac:dyDescent="0.2">
      <c r="A29" t="str" cm="1">
        <f t="array" ref="A29">_xlfn.XLOOKUP("z",Mx!A1:A6,Mx!B1:B6,,1,2)</f>
        <v>m6</v>
      </c>
      <c r="B29">
        <f t="shared" si="0"/>
        <v>-3</v>
      </c>
      <c r="C29">
        <f t="shared" si="1"/>
        <v>0</v>
      </c>
      <c r="D29" t="str">
        <f t="shared" si="2"/>
        <v>m6</v>
      </c>
      <c r="E29" t="s">
        <v>106</v>
      </c>
    </row>
    <row r="30" spans="1:5" x14ac:dyDescent="0.2">
      <c r="A30" t="str" cm="1">
        <f t="array" ref="A30">_xlfn.XLOOKUP(FALSE,Mx!A1:A6,Mx!B1:B6,,-1,2)</f>
        <v>m5</v>
      </c>
      <c r="B30">
        <f t="shared" si="0"/>
        <v>-3</v>
      </c>
      <c r="C30">
        <f t="shared" si="1"/>
        <v>0</v>
      </c>
      <c r="D30" t="str">
        <f t="shared" si="2"/>
        <v>m5</v>
      </c>
      <c r="E30" t="s">
        <v>107</v>
      </c>
    </row>
    <row r="31" spans="1:5" x14ac:dyDescent="0.2">
      <c r="A31" t="str" cm="1">
        <f t="array" ref="A31">_xlfn.XLOOKUP(10,Mx!A1:A6,Mx!B1:B6,,1)</f>
        <v>m4</v>
      </c>
      <c r="B31">
        <f t="shared" si="0"/>
        <v>-3</v>
      </c>
      <c r="C31">
        <f t="shared" si="1"/>
        <v>0</v>
      </c>
      <c r="D31" t="str">
        <f t="shared" si="2"/>
        <v>m4</v>
      </c>
      <c r="E31" t="s">
        <v>108</v>
      </c>
    </row>
    <row r="32" spans="1:5" x14ac:dyDescent="0.2">
      <c r="A32" t="str" cm="1">
        <f t="array" ref="A32">_xlfn.XLOOKUP("zz",Mx!A1:A6,Mx!B1:B6,,-1)</f>
        <v>m5</v>
      </c>
      <c r="B32">
        <f t="shared" si="0"/>
        <v>-3</v>
      </c>
      <c r="C32">
        <f t="shared" si="1"/>
        <v>0</v>
      </c>
      <c r="D32" t="str">
        <f t="shared" si="2"/>
        <v>m5</v>
      </c>
      <c r="E32" t="s">
        <v>109</v>
      </c>
    </row>
    <row r="33" spans="1:5" x14ac:dyDescent="0.2">
      <c r="A33" t="str" cm="1">
        <f t="array" ref="A33">_xlfn.XLOOKUP("zz",Mx!A1:A6,Mx!B1:B6,,1)</f>
        <v>m6</v>
      </c>
      <c r="B33">
        <f t="shared" si="0"/>
        <v>-3</v>
      </c>
      <c r="C33">
        <f t="shared" si="1"/>
        <v>0</v>
      </c>
      <c r="D33" t="str">
        <f t="shared" si="2"/>
        <v>m6</v>
      </c>
      <c r="E33" t="s">
        <v>110</v>
      </c>
    </row>
    <row r="34" spans="1:5" x14ac:dyDescent="0.2">
      <c r="A34" t="e" cm="1">
        <f t="array" ref="A34">_xlfn.XLOOKUP(0.5,Mx!A1:A6,Mx!B1:B6,,-1)</f>
        <v>#N/A</v>
      </c>
      <c r="B34">
        <f t="shared" si="0"/>
        <v>7</v>
      </c>
      <c r="C34">
        <f t="shared" si="1"/>
        <v>0</v>
      </c>
      <c r="D34" t="str">
        <f t="shared" si="2"/>
        <v/>
      </c>
      <c r="E34" t="s">
        <v>111</v>
      </c>
    </row>
    <row r="35" spans="1:5" x14ac:dyDescent="0.2">
      <c r="A35" t="str" cm="1">
        <f t="array" ref="A35">_xlfn.XLOOKUP(2,Er!A1:A4,Er!B1:B4,,1)</f>
        <v>e4</v>
      </c>
      <c r="B35">
        <f t="shared" si="0"/>
        <v>-3</v>
      </c>
      <c r="C35">
        <f t="shared" si="1"/>
        <v>0</v>
      </c>
      <c r="D35" t="str">
        <f t="shared" si="2"/>
        <v>e4</v>
      </c>
      <c r="E35" t="s">
        <v>112</v>
      </c>
    </row>
    <row r="36" spans="1:5" x14ac:dyDescent="0.2">
      <c r="A36" t="str" cm="1">
        <f t="array" ref="A36">_xlfn.XLOOKUP(2,Er!A1:A4,Er!B1:B4,,-1)</f>
        <v>e1</v>
      </c>
      <c r="B36">
        <f t="shared" si="0"/>
        <v>-3</v>
      </c>
      <c r="C36">
        <f t="shared" si="1"/>
        <v>0</v>
      </c>
      <c r="D36" t="str">
        <f t="shared" si="2"/>
        <v>e1</v>
      </c>
      <c r="E36" t="s">
        <v>113</v>
      </c>
    </row>
    <row r="37" spans="1:5" x14ac:dyDescent="0.2">
      <c r="A37" t="str" cm="1">
        <f t="array" ref="A37">_xlfn.XLOOKUP("x",Er!A1:A4,Er!B1:B4,,-1)</f>
        <v>e4</v>
      </c>
      <c r="B37">
        <f t="shared" si="0"/>
        <v>-3</v>
      </c>
      <c r="C37">
        <f t="shared" si="1"/>
        <v>0</v>
      </c>
      <c r="D37" t="str">
        <f t="shared" si="2"/>
        <v>e4</v>
      </c>
      <c r="E37" t="s">
        <v>114</v>
      </c>
    </row>
    <row r="38" spans="1:5" x14ac:dyDescent="0.2">
      <c r="A38" t="e" cm="1">
        <f t="array" ref="A38">_xlfn.XLOOKUP(7.1,Dc!A:A,Dc!B:B,,-1,-2)</f>
        <v>#N/A</v>
      </c>
      <c r="B38">
        <f t="shared" si="0"/>
        <v>7</v>
      </c>
      <c r="C38">
        <f t="shared" si="1"/>
        <v>0</v>
      </c>
      <c r="D38" t="str">
        <f t="shared" si="2"/>
        <v/>
      </c>
      <c r="E38" t="s">
        <v>115</v>
      </c>
    </row>
    <row r="39" spans="1:5" x14ac:dyDescent="0.2">
      <c r="A39" cm="1">
        <f t="array" ref="A39">_xlfn.XLOOKUP(7.1,Dc!A:A,Dc!B:B,,1,-2)</f>
        <v>0</v>
      </c>
      <c r="B39">
        <f t="shared" si="0"/>
        <v>0</v>
      </c>
      <c r="C39">
        <f t="shared" si="1"/>
        <v>0</v>
      </c>
      <c r="D39" t="str">
        <f t="shared" si="2"/>
        <v/>
      </c>
      <c r="E39" t="s">
        <v>116</v>
      </c>
    </row>
    <row r="40" spans="1:5" x14ac:dyDescent="0.2">
      <c r="A40" t="s">
        <v>117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Xl</vt:lpstr>
      <vt:lpstr>Me</vt:lpstr>
      <vt:lpstr>Rl</vt:lpstr>
      <vt:lpstr>Wc</vt:lpstr>
      <vt:lpstr>Us</vt:lpstr>
      <vt:lpstr>Bl</vt:lpstr>
      <vt:lpstr>Mx</vt:lpstr>
      <vt:lpstr>Er</vt:lpstr>
      <vt:lpstr>Dc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2026-10-17T13:08:52Z</dcterms:created>
  <dcterms:modified xsi:type="dcterms:W3CDTF">2026-10-17T13:08:52Z</dcterms:modified>
  <cp:category/>
</cp:coreProperties>
</file>