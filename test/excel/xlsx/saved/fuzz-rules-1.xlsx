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58D5727-7266-734D-96B2-F17986A74D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2" l="1" a="1"/>
  <c r="A302" i="2" s="1"/>
  <c r="A301" i="2" a="1"/>
  <c r="A301" i="2" s="1"/>
  <c r="A300" i="2" a="1"/>
  <c r="A300" i="2" s="1"/>
  <c r="A298" i="2" a="1"/>
  <c r="A298" i="2" s="1"/>
  <c r="A297" i="2" a="1"/>
  <c r="A297" i="2" s="1"/>
  <c r="A296" i="2" a="1"/>
  <c r="A296" i="2" s="1"/>
  <c r="D296" i="2" s="1"/>
  <c r="A295" i="2" a="1"/>
  <c r="A295" i="2" s="1"/>
  <c r="A294" i="2" a="1"/>
  <c r="A294" i="2"/>
  <c r="A293" i="2" a="1"/>
  <c r="A293" i="2"/>
  <c r="D293" i="2" s="1"/>
  <c r="A292" i="2" a="1"/>
  <c r="A292" i="2" s="1"/>
  <c r="A291" i="2" a="1"/>
  <c r="A291" i="2"/>
  <c r="D291" i="2" s="1"/>
  <c r="C290" i="2"/>
  <c r="B290" i="2"/>
  <c r="A290" i="2" a="1"/>
  <c r="A290" i="2"/>
  <c r="D290" i="2" s="1"/>
  <c r="A289" i="2" a="1"/>
  <c r="A289" i="2"/>
  <c r="D289" i="2" s="1"/>
  <c r="D288" i="2"/>
  <c r="C288" i="2"/>
  <c r="A288" i="2" a="1"/>
  <c r="A288" i="2"/>
  <c r="B288" i="2" s="1"/>
  <c r="A287" i="2" a="1"/>
  <c r="A287" i="2"/>
  <c r="A286" i="2" a="1"/>
  <c r="A286" i="2"/>
  <c r="C286" i="2" s="1"/>
  <c r="D285" i="2"/>
  <c r="A285" i="2" a="1"/>
  <c r="A285" i="2"/>
  <c r="C285" i="2" s="1"/>
  <c r="A284" i="2" a="1"/>
  <c r="A284" i="2" s="1"/>
  <c r="A283" i="2" a="1"/>
  <c r="A283" i="2" s="1"/>
  <c r="A282" i="2" a="1"/>
  <c r="A282" i="2"/>
  <c r="A281" i="2" a="1"/>
  <c r="A281" i="2" s="1"/>
  <c r="C281" i="2" s="1"/>
  <c r="A280" i="2" a="1"/>
  <c r="A280" i="2" s="1"/>
  <c r="A279" i="2" a="1"/>
  <c r="A279" i="2" s="1"/>
  <c r="A278" i="2" a="1"/>
  <c r="A278" i="2" s="1"/>
  <c r="A277" i="2" a="1"/>
  <c r="A277" i="2" s="1"/>
  <c r="A276" i="2" a="1"/>
  <c r="A276" i="2"/>
  <c r="A275" i="2" a="1"/>
  <c r="A275" i="2" s="1"/>
  <c r="D275" i="2" s="1"/>
  <c r="A274" i="2" a="1"/>
  <c r="A274" i="2" s="1"/>
  <c r="D274" i="2" s="1"/>
  <c r="A273" i="2" a="1"/>
  <c r="A273" i="2" s="1"/>
  <c r="D273" i="2" s="1"/>
  <c r="A272" i="2" a="1"/>
  <c r="A272" i="2" s="1"/>
  <c r="D272" i="2" s="1"/>
  <c r="A271" i="2" a="1"/>
  <c r="A271" i="2" s="1"/>
  <c r="D271" i="2" s="1"/>
  <c r="A270" i="2" a="1"/>
  <c r="A270" i="2" s="1"/>
  <c r="A269" i="2" a="1"/>
  <c r="A269" i="2" s="1"/>
  <c r="A268" i="2" a="1"/>
  <c r="A268" i="2"/>
  <c r="D268" i="2" s="1"/>
  <c r="A267" i="2" a="1"/>
  <c r="A267" i="2"/>
  <c r="A266" i="2" a="1"/>
  <c r="A266" i="2" s="1"/>
  <c r="A265" i="2" a="1"/>
  <c r="A265" i="2" s="1"/>
  <c r="A264" i="2" a="1"/>
  <c r="A264" i="2" s="1"/>
  <c r="A263" i="2" a="1"/>
  <c r="A263" i="2" s="1"/>
  <c r="D263" i="2" s="1"/>
  <c r="A262" i="2" a="1"/>
  <c r="A262" i="2" s="1"/>
  <c r="A261" i="2" a="1"/>
  <c r="A261" i="2"/>
  <c r="D260" i="2"/>
  <c r="C260" i="2"/>
  <c r="B260" i="2"/>
  <c r="A260" i="2" a="1"/>
  <c r="A260" i="2"/>
  <c r="A259" i="2" a="1"/>
  <c r="A259" i="2" s="1"/>
  <c r="A258" i="2" a="1"/>
  <c r="A258" i="2" s="1"/>
  <c r="A257" i="2" a="1"/>
  <c r="A257" i="2"/>
  <c r="D257" i="2" s="1"/>
  <c r="A256" i="2" a="1"/>
  <c r="A256" i="2" s="1"/>
  <c r="D256" i="2" s="1"/>
  <c r="A255" i="2" a="1"/>
  <c r="A255" i="2" s="1"/>
  <c r="D255" i="2" s="1"/>
  <c r="C254" i="2"/>
  <c r="A254" i="2" a="1"/>
  <c r="A254" i="2"/>
  <c r="D254" i="2" s="1"/>
  <c r="A253" i="2" a="1"/>
  <c r="A253" i="2" s="1"/>
  <c r="A252" i="2" a="1"/>
  <c r="A252" i="2" s="1"/>
  <c r="A251" i="2" a="1"/>
  <c r="A251" i="2" s="1"/>
  <c r="A250" i="2" a="1"/>
  <c r="A250" i="2" s="1"/>
  <c r="B250" i="2" s="1"/>
  <c r="A249" i="2" a="1"/>
  <c r="A249" i="2" s="1"/>
  <c r="A248" i="2" a="1"/>
  <c r="A248" i="2" s="1"/>
  <c r="A247" i="2" a="1"/>
  <c r="A247" i="2"/>
  <c r="D247" i="2" s="1"/>
  <c r="A246" i="2" a="1"/>
  <c r="A246" i="2" s="1"/>
  <c r="D245" i="2"/>
  <c r="A245" i="2" a="1"/>
  <c r="A245" i="2" s="1"/>
  <c r="B245" i="2" s="1"/>
  <c r="A244" i="2" a="1"/>
  <c r="A244" i="2" s="1"/>
  <c r="A243" i="2" a="1"/>
  <c r="A243" i="2" s="1"/>
  <c r="A242" i="2" a="1"/>
  <c r="A242" i="2"/>
  <c r="A241" i="2" a="1"/>
  <c r="A241" i="2" s="1"/>
  <c r="D241" i="2" s="1"/>
  <c r="A240" i="2" a="1"/>
  <c r="A240" i="2" s="1"/>
  <c r="A239" i="2" a="1"/>
  <c r="A239" i="2" s="1"/>
  <c r="A238" i="2" a="1"/>
  <c r="A238" i="2" s="1"/>
  <c r="C238" i="2" s="1"/>
  <c r="A237" i="2" a="1"/>
  <c r="A237" i="2"/>
  <c r="D237" i="2" s="1"/>
  <c r="A236" i="2" a="1"/>
  <c r="A236" i="2"/>
  <c r="D236" i="2" s="1"/>
  <c r="A235" i="2" a="1"/>
  <c r="A235" i="2" s="1"/>
  <c r="A234" i="2" a="1"/>
  <c r="A234" i="2" s="1"/>
  <c r="A233" i="2" a="1"/>
  <c r="A233" i="2"/>
  <c r="A232" i="2" a="1"/>
  <c r="A232" i="2" s="1"/>
  <c r="D231" i="2"/>
  <c r="C231" i="2"/>
  <c r="A231" i="2" a="1"/>
  <c r="A231" i="2" s="1"/>
  <c r="B231" i="2" s="1"/>
  <c r="A230" i="2" a="1"/>
  <c r="A230" i="2" s="1"/>
  <c r="A229" i="2" a="1"/>
  <c r="A229" i="2"/>
  <c r="D229" i="2" s="1"/>
  <c r="A228" i="2" a="1"/>
  <c r="A228" i="2"/>
  <c r="D228" i="2" s="1"/>
  <c r="A227" i="2" a="1"/>
  <c r="A227" i="2" s="1"/>
  <c r="D227" i="2" s="1"/>
  <c r="A226" i="2" a="1"/>
  <c r="A226" i="2" s="1"/>
  <c r="A225" i="2" a="1"/>
  <c r="A225" i="2" s="1"/>
  <c r="A224" i="2" a="1"/>
  <c r="A224" i="2"/>
  <c r="D224" i="2" s="1"/>
  <c r="A223" i="2" a="1"/>
  <c r="A223" i="2" s="1"/>
  <c r="A222" i="2" a="1"/>
  <c r="A222" i="2" s="1"/>
  <c r="D221" i="2"/>
  <c r="A221" i="2" a="1"/>
  <c r="A221" i="2"/>
  <c r="B221" i="2" s="1"/>
  <c r="A220" i="2" a="1"/>
  <c r="A220" i="2" s="1"/>
  <c r="C220" i="2" s="1"/>
  <c r="A219" i="2" a="1"/>
  <c r="A219" i="2"/>
  <c r="D219" i="2" s="1"/>
  <c r="A218" i="2" a="1"/>
  <c r="A218" i="2" s="1"/>
  <c r="A217" i="2" a="1"/>
  <c r="A217" i="2" s="1"/>
  <c r="D217" i="2" s="1"/>
  <c r="A216" i="2" a="1"/>
  <c r="A216" i="2" s="1"/>
  <c r="A215" i="2" a="1"/>
  <c r="A215" i="2"/>
  <c r="A214" i="2" a="1"/>
  <c r="A214" i="2" s="1"/>
  <c r="D214" i="2" s="1"/>
  <c r="A213" i="2" a="1"/>
  <c r="A213" i="2" s="1"/>
  <c r="D213" i="2" s="1"/>
  <c r="A212" i="2" a="1"/>
  <c r="A212" i="2" s="1"/>
  <c r="A211" i="2" a="1"/>
  <c r="A211" i="2"/>
  <c r="D211" i="2" s="1"/>
  <c r="A210" i="2" a="1"/>
  <c r="A210" i="2" s="1"/>
  <c r="A209" i="2" a="1"/>
  <c r="A209" i="2" s="1"/>
  <c r="A208" i="2" a="1"/>
  <c r="A208" i="2"/>
  <c r="A207" i="2" a="1"/>
  <c r="A207" i="2" s="1"/>
  <c r="A206" i="2" a="1"/>
  <c r="A206" i="2" s="1"/>
  <c r="D205" i="2"/>
  <c r="A205" i="2" a="1"/>
  <c r="A205" i="2" s="1"/>
  <c r="A204" i="2" a="1"/>
  <c r="A204" i="2"/>
  <c r="A203" i="2" a="1"/>
  <c r="A203" i="2"/>
  <c r="D203" i="2" s="1"/>
  <c r="A202" i="2" a="1"/>
  <c r="A202" i="2" s="1"/>
  <c r="D202" i="2" s="1"/>
  <c r="A201" i="2" a="1"/>
  <c r="A201" i="2"/>
  <c r="D201" i="2" s="1"/>
  <c r="A200" i="2" a="1"/>
  <c r="A200" i="2"/>
  <c r="D200" i="2" s="1"/>
  <c r="A199" i="2" a="1"/>
  <c r="A199" i="2"/>
  <c r="D199" i="2" s="1"/>
  <c r="A198" i="2" a="1"/>
  <c r="A198" i="2"/>
  <c r="B198" i="2" s="1"/>
  <c r="A197" i="2" a="1"/>
  <c r="A197" i="2"/>
  <c r="A196" i="2" a="1"/>
  <c r="A196" i="2" s="1"/>
  <c r="A195" i="2" a="1"/>
  <c r="A195" i="2"/>
  <c r="A194" i="2" a="1"/>
  <c r="A194" i="2" s="1"/>
  <c r="A193" i="2" a="1"/>
  <c r="A193" i="2" s="1"/>
  <c r="D193" i="2" s="1"/>
  <c r="A192" i="2" a="1"/>
  <c r="A192" i="2" s="1"/>
  <c r="A191" i="2" a="1"/>
  <c r="A191" i="2" s="1"/>
  <c r="A190" i="2" a="1"/>
  <c r="A190" i="2" s="1"/>
  <c r="A189" i="2" a="1"/>
  <c r="A189" i="2" s="1"/>
  <c r="A188" i="2" a="1"/>
  <c r="A188" i="2" s="1"/>
  <c r="A187" i="2" a="1"/>
  <c r="A187" i="2" s="1"/>
  <c r="D187" i="2" s="1"/>
  <c r="A186" i="2" a="1"/>
  <c r="A186" i="2"/>
  <c r="D186" i="2" s="1"/>
  <c r="A185" i="2" a="1"/>
  <c r="A185" i="2"/>
  <c r="D185" i="2" s="1"/>
  <c r="A184" i="2" a="1"/>
  <c r="A184" i="2" s="1"/>
  <c r="B184" i="2" s="1"/>
  <c r="A183" i="2" a="1"/>
  <c r="A183" i="2"/>
  <c r="A182" i="2" a="1"/>
  <c r="A182" i="2" s="1"/>
  <c r="A181" i="2" a="1"/>
  <c r="A181" i="2"/>
  <c r="A180" i="2" a="1"/>
  <c r="A180" i="2" s="1"/>
  <c r="B180" i="2" s="1"/>
  <c r="A179" i="2" a="1"/>
  <c r="A179" i="2"/>
  <c r="B179" i="2" s="1"/>
  <c r="A178" i="2" a="1"/>
  <c r="A178" i="2" s="1"/>
  <c r="A177" i="2" a="1"/>
  <c r="A177" i="2"/>
  <c r="D177" i="2" s="1"/>
  <c r="A176" i="2" a="1"/>
  <c r="A176" i="2"/>
  <c r="D176" i="2" s="1"/>
  <c r="A174" i="2" a="1"/>
  <c r="A174" i="2" s="1"/>
  <c r="A173" i="2" a="1"/>
  <c r="A173" i="2"/>
  <c r="B173" i="2" s="1"/>
  <c r="A172" i="2" a="1"/>
  <c r="A172" i="2" s="1"/>
  <c r="A171" i="2" a="1"/>
  <c r="A171" i="2"/>
  <c r="D171" i="2" s="1"/>
  <c r="A170" i="2" a="1"/>
  <c r="A170" i="2" s="1"/>
  <c r="D169" i="2"/>
  <c r="A169" i="2" a="1"/>
  <c r="A169" i="2" s="1"/>
  <c r="A168" i="2" a="1"/>
  <c r="A168" i="2" s="1"/>
  <c r="A167" i="2" a="1"/>
  <c r="A167" i="2" s="1"/>
  <c r="A166" i="2" a="1"/>
  <c r="A166" i="2" s="1"/>
  <c r="D166" i="2" s="1"/>
  <c r="A165" i="2" a="1"/>
  <c r="A165" i="2" s="1"/>
  <c r="A164" i="2" a="1"/>
  <c r="A164" i="2" s="1"/>
  <c r="D164" i="2" s="1"/>
  <c r="A163" i="2" a="1"/>
  <c r="A163" i="2"/>
  <c r="D163" i="2" s="1"/>
  <c r="A162" i="2" a="1"/>
  <c r="A162" i="2" s="1"/>
  <c r="B162" i="2" s="1"/>
  <c r="A161" i="2" a="1"/>
  <c r="A161" i="2"/>
  <c r="A160" i="2" a="1"/>
  <c r="A160" i="2" s="1"/>
  <c r="A159" i="2" a="1"/>
  <c r="A159" i="2" s="1"/>
  <c r="A156" i="2" a="1"/>
  <c r="A156" i="2" s="1"/>
  <c r="D155" i="2"/>
  <c r="C155" i="2"/>
  <c r="B155" i="2"/>
  <c r="A155" i="2" a="1"/>
  <c r="A155" i="2"/>
  <c r="A153" i="2" a="1"/>
  <c r="A153" i="2"/>
  <c r="D153" i="2" s="1"/>
  <c r="A152" i="2" a="1"/>
  <c r="A152" i="2" s="1"/>
  <c r="A151" i="2" a="1"/>
  <c r="A151" i="2" s="1"/>
  <c r="A150" i="2" a="1"/>
  <c r="A150" i="2"/>
  <c r="D150" i="2" s="1"/>
  <c r="A149" i="2" a="1"/>
  <c r="A149" i="2" s="1"/>
  <c r="D148" i="2"/>
  <c r="C148" i="2"/>
  <c r="A148" i="2" a="1"/>
  <c r="A148" i="2" s="1"/>
  <c r="B148" i="2" s="1"/>
  <c r="A147" i="2" a="1"/>
  <c r="A147" i="2"/>
  <c r="A146" i="2" a="1"/>
  <c r="A146" i="2" s="1"/>
  <c r="A145" i="2" a="1"/>
  <c r="A145" i="2" s="1"/>
  <c r="A144" i="2" a="1"/>
  <c r="A144" i="2" s="1"/>
  <c r="B144" i="2" s="1"/>
  <c r="A143" i="2" a="1"/>
  <c r="A143" i="2"/>
  <c r="B143" i="2" s="1"/>
  <c r="A142" i="2" a="1"/>
  <c r="A142" i="2"/>
  <c r="B142" i="2" s="1"/>
  <c r="A141" i="2" a="1"/>
  <c r="A141" i="2" s="1"/>
  <c r="D141" i="2" s="1"/>
  <c r="A140" i="2" a="1"/>
  <c r="A140" i="2" s="1"/>
  <c r="A139" i="2" a="1"/>
  <c r="A139" i="2" s="1"/>
  <c r="A138" i="2" a="1"/>
  <c r="A138" i="2" s="1"/>
  <c r="A137" i="2" a="1"/>
  <c r="A137" i="2" s="1"/>
  <c r="A136" i="2" a="1"/>
  <c r="A136" i="2"/>
  <c r="A135" i="2" a="1"/>
  <c r="A135" i="2" s="1"/>
  <c r="A134" i="2" a="1"/>
  <c r="A134" i="2"/>
  <c r="C134" i="2" s="1"/>
  <c r="D133" i="2"/>
  <c r="A133" i="2" a="1"/>
  <c r="A133" i="2" s="1"/>
  <c r="A132" i="2" a="1"/>
  <c r="A132" i="2" s="1"/>
  <c r="D132" i="2" s="1"/>
  <c r="A131" i="2" a="1"/>
  <c r="A131" i="2" s="1"/>
  <c r="D130" i="2"/>
  <c r="C130" i="2"/>
  <c r="B130" i="2"/>
  <c r="A130" i="2" a="1"/>
  <c r="A130" i="2" s="1"/>
  <c r="A129" i="2" a="1"/>
  <c r="A129" i="2" s="1"/>
  <c r="A128" i="2" a="1"/>
  <c r="A128" i="2" s="1"/>
  <c r="A127" i="2" a="1"/>
  <c r="A127" i="2"/>
  <c r="A126" i="2" a="1"/>
  <c r="A126" i="2" s="1"/>
  <c r="B126" i="2" s="1"/>
  <c r="A125" i="2" a="1"/>
  <c r="A125" i="2" s="1"/>
  <c r="B125" i="2" s="1"/>
  <c r="A124" i="2" a="1"/>
  <c r="A124" i="2" s="1"/>
  <c r="A123" i="2" a="1"/>
  <c r="A123" i="2" s="1"/>
  <c r="D123" i="2" s="1"/>
  <c r="A122" i="2" a="1"/>
  <c r="A122" i="2" s="1"/>
  <c r="A121" i="2" a="1"/>
  <c r="A121" i="2" s="1"/>
  <c r="A120" i="2" a="1"/>
  <c r="A120" i="2"/>
  <c r="C120" i="2" s="1"/>
  <c r="D119" i="2"/>
  <c r="C119" i="2"/>
  <c r="A119" i="2" a="1"/>
  <c r="A119" i="2"/>
  <c r="B119" i="2" s="1"/>
  <c r="A118" i="2" a="1"/>
  <c r="A118" i="2"/>
  <c r="A117" i="2" a="1"/>
  <c r="A117" i="2"/>
  <c r="D117" i="2" s="1"/>
  <c r="A116" i="2" a="1"/>
  <c r="A116" i="2" s="1"/>
  <c r="A114" i="2" a="1"/>
  <c r="A114" i="2" s="1"/>
  <c r="A113" i="2" a="1"/>
  <c r="A113" i="2"/>
  <c r="C112" i="2"/>
  <c r="B112" i="2"/>
  <c r="A112" i="2" a="1"/>
  <c r="A112" i="2" s="1"/>
  <c r="D112" i="2" s="1"/>
  <c r="A111" i="2" a="1"/>
  <c r="A111" i="2" s="1"/>
  <c r="A110" i="2" a="1"/>
  <c r="A110" i="2" s="1"/>
  <c r="A109" i="2" a="1"/>
  <c r="A109" i="2"/>
  <c r="D109" i="2" s="1"/>
  <c r="A108" i="2" a="1"/>
  <c r="A108" i="2" s="1"/>
  <c r="C108" i="2" s="1"/>
  <c r="A107" i="2" a="1"/>
  <c r="A107" i="2" s="1"/>
  <c r="A106" i="2" a="1"/>
  <c r="A106" i="2" s="1"/>
  <c r="A105" i="2" a="1"/>
  <c r="A105" i="2" s="1"/>
  <c r="A104" i="2" a="1"/>
  <c r="A104" i="2" s="1"/>
  <c r="A103" i="2" a="1"/>
  <c r="A103" i="2" s="1"/>
  <c r="A102" i="2" a="1"/>
  <c r="A102" i="2" s="1"/>
  <c r="D101" i="2"/>
  <c r="A101" i="2" a="1"/>
  <c r="A101" i="2"/>
  <c r="C101" i="2" s="1"/>
  <c r="A100" i="2" a="1"/>
  <c r="A100" i="2" s="1"/>
  <c r="A99" i="2" a="1"/>
  <c r="A99" i="2"/>
  <c r="A98" i="2" a="1"/>
  <c r="A98" i="2" s="1"/>
  <c r="B98" i="2" s="1"/>
  <c r="A97" i="2" a="1"/>
  <c r="A97" i="2" s="1"/>
  <c r="C96" i="2"/>
  <c r="A96" i="2" a="1"/>
  <c r="A96" i="2"/>
  <c r="D96" i="2" s="1"/>
  <c r="A95" i="2" a="1"/>
  <c r="A95" i="2"/>
  <c r="D95" i="2" s="1"/>
  <c r="A94" i="2" a="1"/>
  <c r="A94" i="2" s="1"/>
  <c r="D94" i="2" s="1"/>
  <c r="A93" i="2" a="1"/>
  <c r="A93" i="2" s="1"/>
  <c r="A92" i="2" a="1"/>
  <c r="A92" i="2" s="1"/>
  <c r="A91" i="2" a="1"/>
  <c r="A91" i="2"/>
  <c r="D91" i="2" s="1"/>
  <c r="A90" i="2" a="1"/>
  <c r="A90" i="2" s="1"/>
  <c r="A89" i="2" a="1"/>
  <c r="A89" i="2" s="1"/>
  <c r="A88" i="2" a="1"/>
  <c r="A88" i="2" s="1"/>
  <c r="B88" i="2" s="1"/>
  <c r="A87" i="2" a="1"/>
  <c r="A87" i="2" s="1"/>
  <c r="C86" i="2"/>
  <c r="B86" i="2"/>
  <c r="A86" i="2" a="1"/>
  <c r="A86" i="2"/>
  <c r="D86" i="2" s="1"/>
  <c r="A85" i="2" a="1"/>
  <c r="A85" i="2" s="1"/>
  <c r="A84" i="2" a="1"/>
  <c r="A84" i="2"/>
  <c r="C84" i="2" s="1"/>
  <c r="A83" i="2" a="1"/>
  <c r="A83" i="2" s="1"/>
  <c r="D83" i="2" s="1"/>
  <c r="A82" i="2" a="1"/>
  <c r="A82" i="2" s="1"/>
  <c r="A81" i="2" a="1"/>
  <c r="A81" i="2" s="1"/>
  <c r="A80" i="2" a="1"/>
  <c r="A80" i="2" s="1"/>
  <c r="A79" i="2" a="1"/>
  <c r="A79" i="2" s="1"/>
  <c r="B79" i="2" s="1"/>
  <c r="A78" i="2" a="1"/>
  <c r="A78" i="2"/>
  <c r="D78" i="2" s="1"/>
  <c r="A77" i="2" a="1"/>
  <c r="A77" i="2" s="1"/>
  <c r="A76" i="2" a="1"/>
  <c r="A76" i="2" s="1"/>
  <c r="D76" i="2" s="1"/>
  <c r="A75" i="2" a="1"/>
  <c r="A75" i="2" s="1"/>
  <c r="A74" i="2" a="1"/>
  <c r="A74" i="2" s="1"/>
  <c r="A73" i="2" a="1"/>
  <c r="A73" i="2" s="1"/>
  <c r="D72" i="2"/>
  <c r="A72" i="2" a="1"/>
  <c r="A72" i="2" s="1"/>
  <c r="C72" i="2" s="1"/>
  <c r="A71" i="2" a="1"/>
  <c r="A71" i="2"/>
  <c r="B71" i="2" s="1"/>
  <c r="D70" i="2"/>
  <c r="C70" i="2"/>
  <c r="A70" i="2" a="1"/>
  <c r="A70" i="2"/>
  <c r="B70" i="2" s="1"/>
  <c r="A69" i="2" a="1"/>
  <c r="A69" i="2"/>
  <c r="D69" i="2" s="1"/>
  <c r="A68" i="2" a="1"/>
  <c r="A68" i="2"/>
  <c r="B68" i="2" s="1"/>
  <c r="D67" i="2"/>
  <c r="C67" i="2"/>
  <c r="A67" i="2" a="1"/>
  <c r="A67" i="2"/>
  <c r="B67" i="2" s="1"/>
  <c r="A66" i="2" a="1"/>
  <c r="A66" i="2" s="1"/>
  <c r="A65" i="2" a="1"/>
  <c r="A65" i="2" s="1"/>
  <c r="A64" i="2" a="1"/>
  <c r="A64" i="2"/>
  <c r="D63" i="2"/>
  <c r="C63" i="2"/>
  <c r="A63" i="2" a="1"/>
  <c r="A63" i="2" s="1"/>
  <c r="B63" i="2" s="1"/>
  <c r="A62" i="2" a="1"/>
  <c r="A62" i="2" s="1"/>
  <c r="A61" i="2" a="1"/>
  <c r="A61" i="2" s="1"/>
  <c r="B61" i="2" s="1"/>
  <c r="A60" i="2" a="1"/>
  <c r="A60" i="2"/>
  <c r="A59" i="2" a="1"/>
  <c r="A59" i="2"/>
  <c r="D59" i="2" s="1"/>
  <c r="A58" i="2" a="1"/>
  <c r="A58" i="2" s="1"/>
  <c r="A57" i="2" a="1"/>
  <c r="A57" i="2" s="1"/>
  <c r="A56" i="2" a="1"/>
  <c r="A56" i="2"/>
  <c r="D56" i="2" s="1"/>
  <c r="A55" i="2" a="1"/>
  <c r="A55" i="2"/>
  <c r="D55" i="2" s="1"/>
  <c r="A54" i="2" a="1"/>
  <c r="A54" i="2" s="1"/>
  <c r="C54" i="2" s="1"/>
  <c r="A53" i="2" a="1"/>
  <c r="A53" i="2" s="1"/>
  <c r="A52" i="2" a="1"/>
  <c r="A52" i="2"/>
  <c r="D52" i="2" s="1"/>
  <c r="A51" i="2" a="1"/>
  <c r="A51" i="2" s="1"/>
  <c r="A50" i="2" a="1"/>
  <c r="A50" i="2"/>
  <c r="B50" i="2" s="1"/>
  <c r="D49" i="2"/>
  <c r="C49" i="2"/>
  <c r="A49" i="2" a="1"/>
  <c r="A49" i="2"/>
  <c r="B49" i="2" s="1"/>
  <c r="A48" i="2" a="1"/>
  <c r="A48" i="2" s="1"/>
  <c r="A47" i="2" a="1"/>
  <c r="A47" i="2" s="1"/>
  <c r="B47" i="2" s="1"/>
  <c r="A46" i="2" a="1"/>
  <c r="A46" i="2"/>
  <c r="A45" i="2" a="1"/>
  <c r="A45" i="2" s="1"/>
  <c r="A44" i="2" a="1"/>
  <c r="A44" i="2"/>
  <c r="D44" i="2" s="1"/>
  <c r="A43" i="2" a="1"/>
  <c r="A43" i="2" s="1"/>
  <c r="A42" i="2" a="1"/>
  <c r="A42" i="2"/>
  <c r="D42" i="2" s="1"/>
  <c r="A41" i="2" a="1"/>
  <c r="A41" i="2"/>
  <c r="C41" i="2" s="1"/>
  <c r="A40" i="2" a="1"/>
  <c r="A40" i="2"/>
  <c r="D40" i="2" s="1"/>
  <c r="A39" i="2" a="1"/>
  <c r="A39" i="2"/>
  <c r="A38" i="2" a="1"/>
  <c r="A38" i="2" s="1"/>
  <c r="A37" i="2" a="1"/>
  <c r="A37" i="2"/>
  <c r="B37" i="2" s="1"/>
  <c r="D36" i="2"/>
  <c r="A36" i="2" a="1"/>
  <c r="A36" i="2" s="1"/>
  <c r="C36" i="2" s="1"/>
  <c r="A35" i="2" a="1"/>
  <c r="A35" i="2"/>
  <c r="A34" i="2" a="1"/>
  <c r="A34" i="2"/>
  <c r="D34" i="2" s="1"/>
  <c r="A33" i="2" a="1"/>
  <c r="A33" i="2"/>
  <c r="C33" i="2" s="1"/>
  <c r="A32" i="2" a="1"/>
  <c r="A32" i="2"/>
  <c r="B32" i="2" s="1"/>
  <c r="A31" i="2" a="1"/>
  <c r="A31" i="2"/>
  <c r="D31" i="2" s="1"/>
  <c r="A30" i="2" a="1"/>
  <c r="A30" i="2"/>
  <c r="D30" i="2" s="1"/>
  <c r="A29" i="2" a="1"/>
  <c r="A29" i="2" s="1"/>
  <c r="B29" i="2" s="1"/>
  <c r="A28" i="2" a="1"/>
  <c r="A28" i="2"/>
  <c r="A27" i="2" a="1"/>
  <c r="A27" i="2"/>
  <c r="D27" i="2" s="1"/>
  <c r="A26" i="2" a="1"/>
  <c r="A26" i="2" s="1"/>
  <c r="A25" i="2" a="1"/>
  <c r="A25" i="2" s="1"/>
  <c r="B25" i="2" s="1"/>
  <c r="A24" i="2" a="1"/>
  <c r="A24" i="2"/>
  <c r="D24" i="2" s="1"/>
  <c r="A23" i="2" a="1"/>
  <c r="A23" i="2" s="1"/>
  <c r="A22" i="2" a="1"/>
  <c r="A22" i="2"/>
  <c r="A21" i="2" a="1"/>
  <c r="A21" i="2"/>
  <c r="A20" i="2" a="1"/>
  <c r="A20" i="2"/>
  <c r="D20" i="2" s="1"/>
  <c r="A19" i="2" a="1"/>
  <c r="A19" i="2" s="1"/>
  <c r="A18" i="2" a="1"/>
  <c r="A18" i="2" s="1"/>
  <c r="D18" i="2" s="1"/>
  <c r="A17" i="2" a="1"/>
  <c r="A17" i="2" s="1"/>
  <c r="A16" i="2" a="1"/>
  <c r="A16" i="2" s="1"/>
  <c r="B16" i="2" s="1"/>
  <c r="A15" i="2" a="1"/>
  <c r="A15" i="2" s="1"/>
  <c r="A14" i="2" a="1"/>
  <c r="A14" i="2"/>
  <c r="D14" i="2" s="1"/>
  <c r="A13" i="2" a="1"/>
  <c r="A13" i="2"/>
  <c r="C13" i="2" s="1"/>
  <c r="A12" i="2" a="1"/>
  <c r="A12" i="2"/>
  <c r="B12" i="2" s="1"/>
  <c r="A11" i="2" a="1"/>
  <c r="A11" i="2" s="1"/>
  <c r="C11" i="2" s="1"/>
  <c r="A10" i="2" a="1"/>
  <c r="A10" i="2"/>
  <c r="A9" i="2" a="1"/>
  <c r="A9" i="2"/>
  <c r="A8" i="2" a="1"/>
  <c r="A8" i="2" s="1"/>
  <c r="C8" i="2" s="1"/>
  <c r="A7" i="2" a="1"/>
  <c r="A7" i="2" s="1"/>
  <c r="B7" i="2" s="1"/>
  <c r="A6" i="2" a="1"/>
  <c r="A6" i="2" s="1"/>
  <c r="A5" i="2" a="1"/>
  <c r="A5" i="2"/>
  <c r="A4" i="2" a="1"/>
  <c r="A4" i="2"/>
  <c r="D4" i="2" s="1"/>
  <c r="A3" i="2" a="1"/>
  <c r="A3" i="2"/>
  <c r="A2" i="2" a="1"/>
  <c r="A2" i="2"/>
  <c r="B2" i="2" s="1"/>
  <c r="A1" i="2" a="1"/>
  <c r="A1" i="2"/>
  <c r="I15" i="1"/>
  <c r="A14" i="1"/>
  <c r="A13" i="1"/>
  <c r="AL10" i="1"/>
  <c r="A8" i="1"/>
  <c r="A115" i="2" s="1" a="1"/>
  <c r="A115" i="2" s="1"/>
  <c r="A7" i="1"/>
  <c r="A158" i="2" s="1" a="1"/>
  <c r="A158" i="2" s="1"/>
  <c r="E3" i="1"/>
  <c r="A299" i="2" s="1" a="1"/>
  <c r="A299" i="2" s="1"/>
  <c r="D299" i="2" s="1"/>
  <c r="B234" i="2" l="1"/>
  <c r="D234" i="2"/>
  <c r="C234" i="2"/>
  <c r="B206" i="2"/>
  <c r="C206" i="2"/>
  <c r="D206" i="2"/>
  <c r="C235" i="2"/>
  <c r="D235" i="2"/>
  <c r="C139" i="2"/>
  <c r="B139" i="2"/>
  <c r="B170" i="2"/>
  <c r="D170" i="2"/>
  <c r="C170" i="2"/>
  <c r="D207" i="2"/>
  <c r="C207" i="2"/>
  <c r="B207" i="2"/>
  <c r="C106" i="2"/>
  <c r="D106" i="2"/>
  <c r="B270" i="2"/>
  <c r="C270" i="2"/>
  <c r="D270" i="2"/>
  <c r="B19" i="2"/>
  <c r="D19" i="2"/>
  <c r="C19" i="2"/>
  <c r="D80" i="2"/>
  <c r="C80" i="2"/>
  <c r="B80" i="2"/>
  <c r="B252" i="2"/>
  <c r="C252" i="2"/>
  <c r="D252" i="2"/>
  <c r="B116" i="2"/>
  <c r="C116" i="2"/>
  <c r="D116" i="2"/>
  <c r="D300" i="2"/>
  <c r="C300" i="2"/>
  <c r="B216" i="2"/>
  <c r="D216" i="2"/>
  <c r="C216" i="2"/>
  <c r="C102" i="2"/>
  <c r="B102" i="2"/>
  <c r="D102" i="2"/>
  <c r="C137" i="2"/>
  <c r="D137" i="2"/>
  <c r="B137" i="2"/>
  <c r="B178" i="2"/>
  <c r="D178" i="2"/>
  <c r="C178" i="2"/>
  <c r="B191" i="2"/>
  <c r="D191" i="2"/>
  <c r="C191" i="2"/>
  <c r="B176" i="2"/>
  <c r="C79" i="2"/>
  <c r="B14" i="2"/>
  <c r="D79" i="2"/>
  <c r="C126" i="2"/>
  <c r="C14" i="2"/>
  <c r="C37" i="2"/>
  <c r="D134" i="2"/>
  <c r="D54" i="2"/>
  <c r="B274" i="2"/>
  <c r="D142" i="2"/>
  <c r="D162" i="2"/>
  <c r="D220" i="2"/>
  <c r="C229" i="2"/>
  <c r="B171" i="2"/>
  <c r="C176" i="2"/>
  <c r="D184" i="2"/>
  <c r="B268" i="2"/>
  <c r="D126" i="2"/>
  <c r="C142" i="2"/>
  <c r="C162" i="2"/>
  <c r="C274" i="2"/>
  <c r="D286" i="2"/>
  <c r="D37" i="2"/>
  <c r="B55" i="2"/>
  <c r="C184" i="2"/>
  <c r="D8" i="2"/>
  <c r="B293" i="2"/>
  <c r="C32" i="2"/>
  <c r="B72" i="2"/>
  <c r="B101" i="2"/>
  <c r="C171" i="2"/>
  <c r="C24" i="2"/>
  <c r="D32" i="2"/>
  <c r="A154" i="2" a="1"/>
  <c r="A154" i="2" s="1"/>
  <c r="C221" i="2"/>
  <c r="D238" i="2"/>
  <c r="C173" i="2"/>
  <c r="D198" i="2"/>
  <c r="C224" i="2"/>
  <c r="C289" i="2"/>
  <c r="D84" i="2"/>
  <c r="A157" i="2" a="1"/>
  <c r="A157" i="2" s="1"/>
  <c r="D157" i="2" s="1"/>
  <c r="D173" i="2"/>
  <c r="C263" i="2"/>
  <c r="D11" i="2"/>
  <c r="B83" i="2"/>
  <c r="C2" i="2"/>
  <c r="D33" i="2"/>
  <c r="D41" i="2"/>
  <c r="C50" i="2"/>
  <c r="C68" i="2"/>
  <c r="D120" i="2"/>
  <c r="C198" i="2"/>
  <c r="B289" i="2"/>
  <c r="D2" i="2"/>
  <c r="B33" i="2"/>
  <c r="D50" i="2"/>
  <c r="D68" i="2"/>
  <c r="C12" i="2"/>
  <c r="D12" i="2"/>
  <c r="B20" i="2"/>
  <c r="C20" i="2"/>
  <c r="C29" i="2"/>
  <c r="D29" i="2"/>
  <c r="A175" i="2" a="1"/>
  <c r="A175" i="2" s="1"/>
  <c r="C245" i="2"/>
  <c r="D17" i="2"/>
  <c r="C17" i="2"/>
  <c r="B17" i="2"/>
  <c r="D246" i="2"/>
  <c r="C246" i="2"/>
  <c r="B246" i="2"/>
  <c r="D135" i="2"/>
  <c r="C135" i="2"/>
  <c r="B135" i="2"/>
  <c r="D38" i="2"/>
  <c r="B38" i="2"/>
  <c r="C38" i="2"/>
  <c r="D189" i="2"/>
  <c r="C189" i="2"/>
  <c r="B189" i="2"/>
  <c r="C51" i="2"/>
  <c r="D51" i="2"/>
  <c r="B51" i="2"/>
  <c r="D103" i="2"/>
  <c r="C103" i="2"/>
  <c r="B103" i="2"/>
  <c r="C81" i="2"/>
  <c r="D81" i="2"/>
  <c r="B81" i="2"/>
  <c r="C232" i="2"/>
  <c r="D232" i="2"/>
  <c r="B232" i="2"/>
  <c r="C77" i="2"/>
  <c r="B77" i="2"/>
  <c r="D77" i="2"/>
  <c r="C85" i="2"/>
  <c r="B85" i="2"/>
  <c r="D85" i="2"/>
  <c r="B218" i="2"/>
  <c r="C218" i="2"/>
  <c r="D218" i="2"/>
  <c r="D89" i="2"/>
  <c r="C89" i="2"/>
  <c r="B89" i="2"/>
  <c r="B121" i="2"/>
  <c r="D121" i="2"/>
  <c r="C121" i="2"/>
  <c r="D107" i="2"/>
  <c r="C107" i="2"/>
  <c r="B107" i="2"/>
  <c r="D222" i="2"/>
  <c r="B222" i="2"/>
  <c r="C222" i="2"/>
  <c r="B167" i="2"/>
  <c r="D167" i="2"/>
  <c r="C167" i="2"/>
  <c r="D149" i="2"/>
  <c r="C149" i="2"/>
  <c r="B149" i="2"/>
  <c r="D156" i="2"/>
  <c r="C156" i="2"/>
  <c r="B156" i="2"/>
  <c r="D278" i="2"/>
  <c r="C278" i="2"/>
  <c r="B278" i="2"/>
  <c r="B59" i="2"/>
  <c r="C94" i="2"/>
  <c r="B157" i="2"/>
  <c r="C59" i="2"/>
  <c r="B256" i="2"/>
  <c r="D280" i="2"/>
  <c r="C280" i="2"/>
  <c r="B280" i="2"/>
  <c r="D131" i="2"/>
  <c r="C131" i="2"/>
  <c r="D249" i="2"/>
  <c r="C249" i="2"/>
  <c r="B249" i="2"/>
  <c r="D110" i="2"/>
  <c r="C110" i="2"/>
  <c r="B110" i="2"/>
  <c r="D124" i="2"/>
  <c r="C124" i="2"/>
  <c r="B124" i="2"/>
  <c r="C144" i="2"/>
  <c r="B185" i="2"/>
  <c r="D192" i="2"/>
  <c r="C192" i="2"/>
  <c r="B192" i="2"/>
  <c r="B242" i="2"/>
  <c r="C242" i="2"/>
  <c r="D242" i="2"/>
  <c r="C250" i="2"/>
  <c r="D281" i="2"/>
  <c r="C88" i="2"/>
  <c r="C185" i="2"/>
  <c r="D62" i="2"/>
  <c r="C62" i="2"/>
  <c r="B62" i="2"/>
  <c r="B76" i="2"/>
  <c r="D82" i="2"/>
  <c r="C82" i="2"/>
  <c r="B82" i="2"/>
  <c r="D88" i="2"/>
  <c r="D145" i="2"/>
  <c r="C145" i="2"/>
  <c r="B145" i="2"/>
  <c r="B153" i="2"/>
  <c r="B193" i="2"/>
  <c r="D243" i="2"/>
  <c r="C243" i="2"/>
  <c r="B243" i="2"/>
  <c r="D251" i="2"/>
  <c r="C251" i="2"/>
  <c r="B251" i="2"/>
  <c r="C296" i="2"/>
  <c r="D125" i="2"/>
  <c r="C125" i="2"/>
  <c r="D138" i="2"/>
  <c r="C138" i="2"/>
  <c r="B138" i="2"/>
  <c r="D144" i="2"/>
  <c r="D160" i="2"/>
  <c r="C160" i="2"/>
  <c r="B160" i="2"/>
  <c r="D250" i="2"/>
  <c r="D258" i="2"/>
  <c r="C258" i="2"/>
  <c r="B258" i="2"/>
  <c r="C267" i="2"/>
  <c r="B267" i="2"/>
  <c r="D267" i="2"/>
  <c r="B282" i="2"/>
  <c r="D282" i="2"/>
  <c r="C282" i="2"/>
  <c r="B296" i="2"/>
  <c r="B4" i="2"/>
  <c r="D16" i="2"/>
  <c r="D23" i="2"/>
  <c r="C23" i="2"/>
  <c r="B23" i="2"/>
  <c r="C34" i="2"/>
  <c r="C4" i="2"/>
  <c r="B30" i="2"/>
  <c r="C76" i="2"/>
  <c r="C153" i="2"/>
  <c r="D168" i="2"/>
  <c r="B168" i="2"/>
  <c r="C168" i="2"/>
  <c r="C193" i="2"/>
  <c r="D283" i="2"/>
  <c r="C283" i="2"/>
  <c r="B283" i="2"/>
  <c r="B94" i="2"/>
  <c r="D239" i="2"/>
  <c r="C239" i="2"/>
  <c r="B239" i="2"/>
  <c r="D279" i="2"/>
  <c r="C279" i="2"/>
  <c r="B279" i="2"/>
  <c r="C240" i="2"/>
  <c r="D240" i="2"/>
  <c r="D264" i="2"/>
  <c r="C264" i="2"/>
  <c r="B264" i="2"/>
  <c r="B227" i="2"/>
  <c r="D47" i="2"/>
  <c r="D266" i="2"/>
  <c r="C266" i="2"/>
  <c r="B266" i="2"/>
  <c r="D9" i="2"/>
  <c r="C9" i="2"/>
  <c r="B213" i="2"/>
  <c r="C157" i="2"/>
  <c r="B240" i="2"/>
  <c r="D15" i="2"/>
  <c r="C15" i="2"/>
  <c r="B15" i="2"/>
  <c r="C47" i="2"/>
  <c r="D158" i="2"/>
  <c r="C158" i="2"/>
  <c r="B158" i="2"/>
  <c r="C30" i="2"/>
  <c r="D146" i="2"/>
  <c r="C146" i="2"/>
  <c r="B146" i="2"/>
  <c r="D194" i="2"/>
  <c r="C194" i="2"/>
  <c r="B194" i="2"/>
  <c r="D188" i="2"/>
  <c r="C188" i="2"/>
  <c r="B188" i="2"/>
  <c r="B195" i="2"/>
  <c r="C195" i="2"/>
  <c r="D195" i="2"/>
  <c r="D208" i="2"/>
  <c r="C208" i="2"/>
  <c r="B208" i="2"/>
  <c r="B90" i="2"/>
  <c r="D90" i="2"/>
  <c r="C90" i="2"/>
  <c r="C98" i="2"/>
  <c r="B127" i="2"/>
  <c r="D127" i="2"/>
  <c r="C127" i="2"/>
  <c r="D139" i="2"/>
  <c r="C180" i="2"/>
  <c r="B236" i="2"/>
  <c r="B275" i="2"/>
  <c r="D226" i="2"/>
  <c r="C226" i="2"/>
  <c r="B226" i="2"/>
  <c r="C199" i="2"/>
  <c r="D22" i="2"/>
  <c r="C22" i="2"/>
  <c r="B22" i="2"/>
  <c r="D48" i="2"/>
  <c r="C48" i="2"/>
  <c r="B48" i="2"/>
  <c r="C16" i="2"/>
  <c r="B34" i="2"/>
  <c r="C115" i="2"/>
  <c r="B115" i="2"/>
  <c r="D115" i="2"/>
  <c r="C55" i="2"/>
  <c r="D154" i="2"/>
  <c r="C154" i="2"/>
  <c r="B154" i="2"/>
  <c r="D174" i="2"/>
  <c r="C174" i="2"/>
  <c r="B174" i="2"/>
  <c r="B42" i="2"/>
  <c r="C25" i="2"/>
  <c r="C42" i="2"/>
  <c r="D64" i="2"/>
  <c r="C64" i="2"/>
  <c r="B64" i="2"/>
  <c r="D98" i="2"/>
  <c r="D105" i="2"/>
  <c r="B105" i="2"/>
  <c r="C105" i="2"/>
  <c r="D113" i="2"/>
  <c r="C113" i="2"/>
  <c r="B113" i="2"/>
  <c r="D140" i="2"/>
  <c r="C140" i="2"/>
  <c r="B140" i="2"/>
  <c r="D180" i="2"/>
  <c r="D196" i="2"/>
  <c r="B196" i="2"/>
  <c r="C196" i="2"/>
  <c r="B203" i="2"/>
  <c r="C209" i="2"/>
  <c r="B209" i="2"/>
  <c r="D209" i="2"/>
  <c r="C236" i="2"/>
  <c r="C275" i="2"/>
  <c r="D6" i="2"/>
  <c r="C6" i="2"/>
  <c r="B6" i="2"/>
  <c r="B43" i="2"/>
  <c r="D43" i="2"/>
  <c r="C43" i="2"/>
  <c r="D128" i="2"/>
  <c r="C128" i="2"/>
  <c r="B128" i="2"/>
  <c r="C181" i="2"/>
  <c r="B181" i="2"/>
  <c r="D181" i="2"/>
  <c r="C203" i="2"/>
  <c r="D210" i="2"/>
  <c r="B210" i="2"/>
  <c r="C210" i="2"/>
  <c r="B217" i="2"/>
  <c r="D253" i="2"/>
  <c r="C253" i="2"/>
  <c r="B253" i="2"/>
  <c r="C261" i="2"/>
  <c r="D261" i="2"/>
  <c r="D46" i="2"/>
  <c r="C46" i="2"/>
  <c r="B46" i="2"/>
  <c r="D73" i="2"/>
  <c r="B73" i="2"/>
  <c r="C73" i="2"/>
  <c r="B108" i="2"/>
  <c r="D108" i="2"/>
  <c r="B9" i="2"/>
  <c r="C213" i="2"/>
  <c r="C271" i="2"/>
  <c r="D74" i="2"/>
  <c r="C74" i="2"/>
  <c r="B74" i="2"/>
  <c r="D172" i="2"/>
  <c r="C172" i="2"/>
  <c r="B172" i="2"/>
  <c r="B199" i="2"/>
  <c r="C227" i="2"/>
  <c r="C241" i="2"/>
  <c r="B241" i="2"/>
  <c r="C256" i="2"/>
  <c r="D114" i="2"/>
  <c r="C114" i="2"/>
  <c r="B114" i="2"/>
  <c r="B163" i="2"/>
  <c r="C217" i="2"/>
  <c r="D276" i="2"/>
  <c r="C276" i="2"/>
  <c r="B276" i="2"/>
  <c r="D265" i="2"/>
  <c r="C265" i="2"/>
  <c r="B281" i="2"/>
  <c r="D87" i="2"/>
  <c r="C87" i="2"/>
  <c r="B87" i="2"/>
  <c r="C117" i="2"/>
  <c r="B159" i="2"/>
  <c r="C159" i="2"/>
  <c r="D159" i="2"/>
  <c r="D92" i="2"/>
  <c r="C92" i="2"/>
  <c r="B92" i="2"/>
  <c r="C1" i="2"/>
  <c r="D1" i="2"/>
  <c r="B1" i="2"/>
  <c r="B8" i="2"/>
  <c r="D13" i="2"/>
  <c r="D66" i="2"/>
  <c r="C66" i="2"/>
  <c r="B66" i="2"/>
  <c r="D93" i="2"/>
  <c r="C93" i="2"/>
  <c r="B93" i="2"/>
  <c r="D100" i="2"/>
  <c r="C100" i="2"/>
  <c r="B100" i="2"/>
  <c r="C163" i="2"/>
  <c r="D182" i="2"/>
  <c r="B182" i="2"/>
  <c r="C182" i="2"/>
  <c r="D204" i="2"/>
  <c r="B204" i="2"/>
  <c r="C204" i="2"/>
  <c r="B261" i="2"/>
  <c r="B286" i="2"/>
  <c r="B271" i="2"/>
  <c r="D21" i="2"/>
  <c r="C21" i="2"/>
  <c r="B21" i="2"/>
  <c r="B117" i="2"/>
  <c r="D53" i="2"/>
  <c r="C53" i="2"/>
  <c r="B53" i="2"/>
  <c r="D60" i="2"/>
  <c r="B60" i="2"/>
  <c r="C60" i="2"/>
  <c r="B131" i="2"/>
  <c r="D152" i="2"/>
  <c r="C152" i="2"/>
  <c r="B152" i="2"/>
  <c r="B265" i="2"/>
  <c r="D297" i="2"/>
  <c r="B297" i="2"/>
  <c r="C297" i="2"/>
  <c r="B5" i="2"/>
  <c r="D5" i="2"/>
  <c r="C5" i="2"/>
  <c r="B13" i="2"/>
  <c r="D25" i="2"/>
  <c r="C99" i="2"/>
  <c r="B99" i="2"/>
  <c r="D99" i="2"/>
  <c r="D26" i="2"/>
  <c r="C26" i="2"/>
  <c r="D65" i="2"/>
  <c r="B65" i="2"/>
  <c r="C65" i="2"/>
  <c r="B26" i="2"/>
  <c r="D45" i="2"/>
  <c r="C45" i="2"/>
  <c r="B45" i="2"/>
  <c r="D58" i="2"/>
  <c r="C58" i="2"/>
  <c r="B58" i="2"/>
  <c r="D190" i="2"/>
  <c r="C190" i="2"/>
  <c r="B190" i="2"/>
  <c r="D212" i="2"/>
  <c r="C212" i="2"/>
  <c r="B212" i="2"/>
  <c r="D225" i="2"/>
  <c r="C225" i="2"/>
  <c r="B225" i="2"/>
  <c r="C292" i="2"/>
  <c r="B292" i="2"/>
  <c r="D292" i="2"/>
  <c r="D122" i="2"/>
  <c r="C122" i="2"/>
  <c r="B122" i="2"/>
  <c r="D39" i="2"/>
  <c r="C39" i="2"/>
  <c r="B39" i="2"/>
  <c r="D298" i="2"/>
  <c r="C298" i="2"/>
  <c r="B298" i="2"/>
  <c r="B18" i="2"/>
  <c r="D35" i="2"/>
  <c r="C35" i="2"/>
  <c r="B56" i="2"/>
  <c r="B69" i="2"/>
  <c r="B95" i="2"/>
  <c r="D104" i="2"/>
  <c r="C104" i="2"/>
  <c r="B104" i="2"/>
  <c r="B141" i="2"/>
  <c r="B177" i="2"/>
  <c r="B214" i="2"/>
  <c r="B228" i="2"/>
  <c r="D233" i="2"/>
  <c r="B233" i="2"/>
  <c r="C233" i="2"/>
  <c r="D262" i="2"/>
  <c r="C262" i="2"/>
  <c r="B262" i="2"/>
  <c r="B299" i="2"/>
  <c r="C95" i="2"/>
  <c r="B109" i="2"/>
  <c r="B123" i="2"/>
  <c r="C141" i="2"/>
  <c r="B150" i="2"/>
  <c r="B164" i="2"/>
  <c r="C169" i="2"/>
  <c r="B169" i="2"/>
  <c r="C177" i="2"/>
  <c r="B186" i="2"/>
  <c r="B200" i="2"/>
  <c r="C205" i="2"/>
  <c r="B205" i="2"/>
  <c r="C214" i="2"/>
  <c r="C228" i="2"/>
  <c r="B238" i="2"/>
  <c r="B247" i="2"/>
  <c r="B257" i="2"/>
  <c r="B272" i="2"/>
  <c r="C299" i="2"/>
  <c r="D10" i="2"/>
  <c r="C10" i="2"/>
  <c r="B10" i="2"/>
  <c r="C18" i="2"/>
  <c r="B31" i="2"/>
  <c r="B52" i="2"/>
  <c r="C56" i="2"/>
  <c r="C69" i="2"/>
  <c r="C31" i="2"/>
  <c r="B35" i="2"/>
  <c r="B44" i="2"/>
  <c r="C52" i="2"/>
  <c r="C61" i="2"/>
  <c r="B91" i="2"/>
  <c r="C109" i="2"/>
  <c r="C123" i="2"/>
  <c r="B132" i="2"/>
  <c r="C150" i="2"/>
  <c r="C164" i="2"/>
  <c r="C186" i="2"/>
  <c r="C200" i="2"/>
  <c r="B224" i="2"/>
  <c r="C247" i="2"/>
  <c r="C257" i="2"/>
  <c r="B263" i="2"/>
  <c r="C272" i="2"/>
  <c r="C223" i="2"/>
  <c r="B223" i="2"/>
  <c r="C277" i="2"/>
  <c r="B277" i="2"/>
  <c r="D287" i="2"/>
  <c r="C287" i="2"/>
  <c r="B287" i="2"/>
  <c r="B27" i="2"/>
  <c r="C44" i="2"/>
  <c r="D61" i="2"/>
  <c r="D136" i="2"/>
  <c r="C136" i="2"/>
  <c r="B136" i="2"/>
  <c r="D118" i="2"/>
  <c r="C118" i="2"/>
  <c r="B118" i="2"/>
  <c r="D223" i="2"/>
  <c r="D277" i="2"/>
  <c r="B40" i="2"/>
  <c r="D57" i="2"/>
  <c r="C57" i="2"/>
  <c r="B57" i="2"/>
  <c r="B78" i="2"/>
  <c r="C91" i="2"/>
  <c r="C132" i="2"/>
  <c r="C151" i="2"/>
  <c r="B151" i="2"/>
  <c r="B11" i="2"/>
  <c r="C27" i="2"/>
  <c r="B36" i="2"/>
  <c r="C40" i="2"/>
  <c r="C78" i="2"/>
  <c r="C83" i="2"/>
  <c r="C133" i="2"/>
  <c r="B133" i="2"/>
  <c r="D151" i="2"/>
  <c r="D165" i="2"/>
  <c r="C165" i="2"/>
  <c r="B165" i="2"/>
  <c r="B220" i="2"/>
  <c r="C268" i="2"/>
  <c r="C293" i="2"/>
  <c r="C187" i="2"/>
  <c r="B187" i="2"/>
  <c r="B215" i="2"/>
  <c r="D215" i="2"/>
  <c r="C215" i="2"/>
  <c r="D248" i="2"/>
  <c r="C248" i="2"/>
  <c r="B248" i="2"/>
  <c r="B96" i="2"/>
  <c r="B229" i="2"/>
  <c r="D284" i="2"/>
  <c r="C284" i="2"/>
  <c r="B284" i="2"/>
  <c r="D294" i="2"/>
  <c r="C294" i="2"/>
  <c r="B294" i="2"/>
  <c r="B300" i="2"/>
  <c r="D28" i="2"/>
  <c r="C28" i="2"/>
  <c r="B28" i="2"/>
  <c r="D147" i="2"/>
  <c r="C147" i="2"/>
  <c r="B147" i="2"/>
  <c r="D161" i="2"/>
  <c r="C161" i="2"/>
  <c r="D183" i="2"/>
  <c r="C183" i="2"/>
  <c r="B183" i="2"/>
  <c r="D197" i="2"/>
  <c r="B197" i="2"/>
  <c r="C197" i="2"/>
  <c r="D244" i="2"/>
  <c r="C244" i="2"/>
  <c r="B244" i="2"/>
  <c r="C259" i="2"/>
  <c r="B259" i="2"/>
  <c r="D269" i="2"/>
  <c r="C269" i="2"/>
  <c r="B269" i="2"/>
  <c r="D75" i="2"/>
  <c r="C75" i="2"/>
  <c r="B75" i="2"/>
  <c r="C97" i="2"/>
  <c r="B97" i="2"/>
  <c r="D129" i="2"/>
  <c r="C129" i="2"/>
  <c r="B129" i="2"/>
  <c r="B166" i="2"/>
  <c r="B202" i="2"/>
  <c r="D230" i="2"/>
  <c r="C230" i="2"/>
  <c r="B230" i="2"/>
  <c r="D259" i="2"/>
  <c r="C295" i="2"/>
  <c r="B295" i="2"/>
  <c r="D97" i="2"/>
  <c r="B106" i="2"/>
  <c r="B120" i="2"/>
  <c r="B134" i="2"/>
  <c r="D143" i="2"/>
  <c r="C143" i="2"/>
  <c r="B161" i="2"/>
  <c r="C166" i="2"/>
  <c r="D179" i="2"/>
  <c r="C179" i="2"/>
  <c r="C202" i="2"/>
  <c r="B211" i="2"/>
  <c r="B235" i="2"/>
  <c r="B285" i="2"/>
  <c r="D295" i="2"/>
  <c r="D301" i="2"/>
  <c r="C301" i="2"/>
  <c r="B301" i="2"/>
  <c r="C7" i="2"/>
  <c r="D3" i="2"/>
  <c r="C3" i="2"/>
  <c r="B3" i="2"/>
  <c r="D7" i="2"/>
  <c r="B41" i="2"/>
  <c r="B54" i="2"/>
  <c r="D71" i="2"/>
  <c r="C71" i="2"/>
  <c r="B84" i="2"/>
  <c r="B24" i="2"/>
  <c r="D111" i="2"/>
  <c r="C111" i="2"/>
  <c r="B111" i="2"/>
  <c r="C211" i="2"/>
  <c r="B254" i="2"/>
  <c r="D302" i="2"/>
  <c r="C302" i="2"/>
  <c r="B302" i="2"/>
  <c r="B201" i="2"/>
  <c r="B219" i="2"/>
  <c r="B237" i="2"/>
  <c r="B255" i="2"/>
  <c r="B273" i="2"/>
  <c r="B291" i="2"/>
  <c r="C201" i="2"/>
  <c r="C219" i="2"/>
  <c r="C237" i="2"/>
  <c r="C255" i="2"/>
  <c r="C273" i="2"/>
  <c r="C291" i="2"/>
  <c r="B175" i="2" l="1"/>
  <c r="D175" i="2"/>
  <c r="C1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<sst xmlns="http://schemas.openxmlformats.org/spreadsheetml/2006/main" count="361" uniqueCount="338">
  <si>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</si>
  <si>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</si>
  <si>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</si>
  <si>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</si>
  <si>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</si>
  <si>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</si>
  <si>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</si>
  <si>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</si>
  <si>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</si>
  <si>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</si>
  <si>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</si>
  <si>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</si>
  <si>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</si>
  <si>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</si>
  <si>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</si>
  <si>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</si>
  <si>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</si>
  <si>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</si>
  <si>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</si>
  <si>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</si>
  <si>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</si>
  <si>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</si>
  <si>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</si>
  <si>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</si>
  <si>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</si>
  <si>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</si>
  <si>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</si>
  <si>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</si>
  <si>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</si>
  <si>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</si>
  <si>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</si>
  <si>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</si>
  <si>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</si>
  <si>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</si>
  <si>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</si>
  <si>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ABS#1</t>
  </si>
  <si>
    <t>ABS#2</t>
  </si>
  <si>
    <t>ABS#3</t>
  </si>
  <si>
    <t>ABS#4</t>
  </si>
  <si>
    <t>LN#1</t>
  </si>
  <si>
    <t>SIGN#1</t>
  </si>
  <si>
    <t>SIGN#2</t>
  </si>
  <si>
    <t>ROUNDDOWN#1</t>
  </si>
  <si>
    <t>NORM.S.DIST#1</t>
  </si>
  <si>
    <t>NORM.S.DIST#2</t>
  </si>
  <si>
    <t>TEXT#1</t>
  </si>
  <si>
    <t>TEXT#2</t>
  </si>
  <si>
    <t>TEXT#3</t>
  </si>
  <si>
    <t>TEXT#4</t>
  </si>
  <si>
    <t>DOLLAR#1</t>
  </si>
  <si>
    <t>BAHTTEXT#1</t>
  </si>
  <si>
    <t>RIGHTB#1</t>
  </si>
  <si>
    <t>EDATE#1</t>
  </si>
  <si>
    <t>EDATE#2</t>
  </si>
  <si>
    <t>SUM#1</t>
  </si>
  <si>
    <t>SUM#2</t>
  </si>
  <si>
    <t>SUM#3</t>
  </si>
  <si>
    <t>SUM#4</t>
  </si>
  <si>
    <t>SUM#5</t>
  </si>
  <si>
    <t>+#1</t>
  </si>
  <si>
    <t>+#2</t>
  </si>
  <si>
    <t>+#3</t>
  </si>
  <si>
    <t>+#4</t>
  </si>
  <si>
    <t>+#5</t>
  </si>
  <si>
    <t>+#6</t>
  </si>
  <si>
    <t>DISC#1</t>
  </si>
  <si>
    <t>DISC#2</t>
  </si>
  <si>
    <t>DISC#3</t>
  </si>
  <si>
    <t>DISC#4</t>
  </si>
  <si>
    <t>INTRATE#1</t>
  </si>
  <si>
    <t>INTRATE#2</t>
  </si>
  <si>
    <t>PRICEDISC#1</t>
  </si>
  <si>
    <t>PRICEDISC#2</t>
  </si>
  <si>
    <t>PRICEDISC#3</t>
  </si>
  <si>
    <t>PRICEDISC#4</t>
  </si>
  <si>
    <t>PRICEDISC#5</t>
  </si>
  <si>
    <t>RECEIVED#1</t>
  </si>
  <si>
    <t>RECEIVED#2</t>
  </si>
  <si>
    <t>YIELDDISC#1</t>
  </si>
  <si>
    <t>YIELDDISC#2</t>
  </si>
  <si>
    <t>PRICEMAT#1</t>
  </si>
  <si>
    <t>PRICEMAT#2</t>
  </si>
  <si>
    <t>YIELDMAT#1</t>
  </si>
  <si>
    <t>ACCRINTM#1</t>
  </si>
  <si>
    <t>PRICE#1</t>
  </si>
  <si>
    <t>PRICE#2</t>
  </si>
  <si>
    <t>PRICE#3</t>
  </si>
  <si>
    <t>YIELD#1</t>
  </si>
  <si>
    <t>YIELD#2</t>
  </si>
  <si>
    <t>YEARFRAC#1</t>
  </si>
  <si>
    <t>YEARFRAC#2</t>
  </si>
  <si>
    <t>YEARFRAC#3</t>
  </si>
  <si>
    <t>COUPDAYBS#1</t>
  </si>
  <si>
    <t>COUPDAYBS#2</t>
  </si>
  <si>
    <t>COUPDAYBS#3</t>
  </si>
  <si>
    <t>COUPDAYBS#4</t>
  </si>
  <si>
    <t>COUPNUM#1</t>
  </si>
  <si>
    <t>COUPNUM#2</t>
  </si>
  <si>
    <t>COUPNCD#1</t>
  </si>
  <si>
    <t>COUPNCD#2</t>
  </si>
  <si>
    <t>COUPPCD#1</t>
  </si>
  <si>
    <t>COUPPCD#2</t>
  </si>
  <si>
    <t>DURATION#1</t>
  </si>
  <si>
    <t>DURATION#2</t>
  </si>
  <si>
    <t>MDURATION#1</t>
  </si>
  <si>
    <t>ACCRINT#1</t>
  </si>
  <si>
    <t>ACCRINT#2</t>
  </si>
  <si>
    <t>ODDFPRICE#1</t>
  </si>
  <si>
    <t>ODDFPRICE#2</t>
  </si>
  <si>
    <t>ODDFPRICE#3</t>
  </si>
  <si>
    <t>ODDFPRICE#4</t>
  </si>
  <si>
    <t>ODDFPRICE#5</t>
  </si>
  <si>
    <t>ODDFYIELD#1</t>
  </si>
  <si>
    <t>ODDLPRICE#1</t>
  </si>
  <si>
    <t>ODDLPRICE#2</t>
  </si>
  <si>
    <t>ODDLPRICE#3</t>
  </si>
  <si>
    <t>ODDLPRICE#4</t>
  </si>
  <si>
    <t>ODDLPRICE#5</t>
  </si>
  <si>
    <t>ODDLPRICE#6</t>
  </si>
  <si>
    <t>ODDLPRICE#7</t>
  </si>
  <si>
    <t>ODDLYIELD#1</t>
  </si>
  <si>
    <t>ODDLYIELD#2</t>
  </si>
  <si>
    <t>ODDLYIELD#3</t>
  </si>
  <si>
    <t>AMORDEGRC#1</t>
  </si>
  <si>
    <t>AMORDEGRC#2</t>
  </si>
  <si>
    <t>AMORDEGRC#3</t>
  </si>
  <si>
    <t>AMORDEGRC#4</t>
  </si>
  <si>
    <t>AMORDEGRC#5</t>
  </si>
  <si>
    <t>AMORLINC#1</t>
  </si>
  <si>
    <t>AMORLINC#2</t>
  </si>
  <si>
    <t>DEC2BIN#1</t>
  </si>
  <si>
    <t>DEC2BIN#2</t>
  </si>
  <si>
    <t>DEC2BIN#3</t>
  </si>
  <si>
    <t>DEC2BIN#4</t>
  </si>
  <si>
    <t>DEC2BIN#5</t>
  </si>
  <si>
    <t>DEC2HEX#1</t>
  </si>
  <si>
    <t>HEX2BIN#1</t>
  </si>
  <si>
    <t>HEX2BIN#2</t>
  </si>
  <si>
    <t>OCT2HEX#1</t>
  </si>
  <si>
    <t>DELTA#1</t>
  </si>
  <si>
    <t>DELTA#2</t>
  </si>
  <si>
    <t>GESTEP#1</t>
  </si>
  <si>
    <t>GESTEP#2</t>
  </si>
  <si>
    <t>COMPLEX#1</t>
  </si>
  <si>
    <t>COMPLEX#2</t>
  </si>
  <si>
    <t>COMPLEX#3</t>
  </si>
  <si>
    <t>COMPLEX#4</t>
  </si>
  <si>
    <t>COMPLEX#5</t>
  </si>
  <si>
    <t>FVSCHEDULE#1</t>
  </si>
  <si>
    <t>FVSCHEDULE#2</t>
  </si>
  <si>
    <t>FVSCHEDULE#3</t>
  </si>
  <si>
    <t>FVSCHEDULE#4</t>
  </si>
  <si>
    <t>ISPMT#1</t>
  </si>
  <si>
    <t>ISPMT#2</t>
  </si>
  <si>
    <t>ISPMT#3</t>
  </si>
  <si>
    <t>LARGE#1</t>
  </si>
  <si>
    <t>LARGE#2</t>
  </si>
  <si>
    <t>SMALL#1</t>
  </si>
  <si>
    <t>QUARTILE#1</t>
  </si>
  <si>
    <t>PERCENTILE.EXC#1</t>
  </si>
  <si>
    <t>PERCENTILE.EXC#2</t>
  </si>
  <si>
    <t>PERCENTILE.INC#1</t>
  </si>
  <si>
    <t>PERCENTRANK.INC#1</t>
  </si>
  <si>
    <t>PERCENTRANK.INC#2</t>
  </si>
  <si>
    <t>PERCENTRANK#1</t>
  </si>
  <si>
    <t>TRIMMEAN#1</t>
  </si>
  <si>
    <t>PROB#1</t>
  </si>
  <si>
    <t>MIRR#1</t>
  </si>
  <si>
    <t>ZTEST#1</t>
  </si>
  <si>
    <t>MAX#1</t>
  </si>
  <si>
    <t>AVERAGE#1</t>
  </si>
  <si>
    <t>MAXA#1</t>
  </si>
  <si>
    <t>GCD#1</t>
  </si>
  <si>
    <t>GCD#2</t>
  </si>
  <si>
    <t>GCD#3</t>
  </si>
  <si>
    <t>CONCAT#1</t>
  </si>
  <si>
    <t>CONCAT#2</t>
  </si>
  <si>
    <t>AND#1</t>
  </si>
  <si>
    <t>TEXTJOIN#1</t>
  </si>
  <si>
    <t>STEYX#1</t>
  </si>
  <si>
    <t>STEYX#2</t>
  </si>
  <si>
    <t>COVARIANCE.P#1</t>
  </si>
  <si>
    <t>PEARSON#1</t>
  </si>
  <si>
    <t>SLOPE#1</t>
  </si>
  <si>
    <t>CORREL#1</t>
  </si>
  <si>
    <t>CHITEST#1</t>
  </si>
  <si>
    <t>CHITEST#2</t>
  </si>
  <si>
    <t>CHITEST#3</t>
  </si>
  <si>
    <t>TTEST#1</t>
  </si>
  <si>
    <t>TTEST#2</t>
  </si>
  <si>
    <t>TTEST#3</t>
  </si>
  <si>
    <t>TTEST#4</t>
  </si>
  <si>
    <t>DCOUNTA#1</t>
  </si>
  <si>
    <t>DCOUNTA#2</t>
  </si>
  <si>
    <t>DCOUNTA#3</t>
  </si>
  <si>
    <t>DVAR#1</t>
  </si>
  <si>
    <t>DVAR#2</t>
  </si>
  <si>
    <t>DSUM#1</t>
  </si>
  <si>
    <t>DSUM#2</t>
  </si>
  <si>
    <t>DSUM#3</t>
  </si>
  <si>
    <t>DSUM#4</t>
  </si>
  <si>
    <t>DCOUNT#1</t>
  </si>
  <si>
    <t>TEXTSPLIT#1</t>
  </si>
  <si>
    <t>TEXTSPLIT#2</t>
  </si>
  <si>
    <t>TEXTSPLIT#3</t>
  </si>
  <si>
    <t>TEXTSPLIT#4</t>
  </si>
  <si>
    <t>PERCENTOF#1</t>
  </si>
  <si>
    <t>PERCENTOF#2</t>
  </si>
  <si>
    <t>PERCENTOF#3</t>
  </si>
  <si>
    <t>PERCENTOF#4</t>
  </si>
  <si>
    <t>WEEKNUM#1</t>
  </si>
  <si>
    <t>WEEKNUM#2</t>
  </si>
  <si>
    <t>IMCONJUGATE#1</t>
  </si>
  <si>
    <t>IMLOG10#1</t>
  </si>
  <si>
    <t>IMEXP#1</t>
  </si>
  <si>
    <t>IMABS#1</t>
  </si>
  <si>
    <t>IMSUM#1</t>
  </si>
  <si>
    <t>IMSUM#2</t>
  </si>
  <si>
    <t>IMREAL#1</t>
  </si>
  <si>
    <t>IMREAL#2</t>
  </si>
  <si>
    <t>IMREAL#3</t>
  </si>
  <si>
    <t>IMREAL#4</t>
  </si>
  <si>
    <t>IMREAL#5</t>
  </si>
  <si>
    <t>IMREAL#6</t>
  </si>
  <si>
    <t>IMREAL#7</t>
  </si>
  <si>
    <t>IMREAL#8</t>
  </si>
  <si>
    <t>IMREAL#9</t>
  </si>
  <si>
    <t>IMREAL#10</t>
  </si>
  <si>
    <t>XIRR#1</t>
  </si>
  <si>
    <t>XIRR#2</t>
  </si>
  <si>
    <t>XIRR#3</t>
  </si>
  <si>
    <t>XIRR#4</t>
  </si>
  <si>
    <t>XIRR#5</t>
  </si>
  <si>
    <t>XIRR#6</t>
  </si>
  <si>
    <t>MULTINOMIAL#1</t>
  </si>
  <si>
    <t>MULTINOMIAL#2</t>
  </si>
  <si>
    <t>LCM#1</t>
  </si>
  <si>
    <t>LCM#2</t>
  </si>
  <si>
    <t>INT#1</t>
  </si>
  <si>
    <t>LEFT#1</t>
  </si>
  <si>
    <t>INDEX#1</t>
  </si>
  <si>
    <t>MID#1</t>
  </si>
  <si>
    <t>LINEST#1</t>
  </si>
  <si>
    <t>LINEST#2</t>
  </si>
  <si>
    <t>LINEST#3</t>
  </si>
  <si>
    <t>LINEST#4</t>
  </si>
  <si>
    <t>LINEST#5</t>
  </si>
  <si>
    <t>LINEST#6</t>
  </si>
  <si>
    <t>LINEST#7</t>
  </si>
  <si>
    <t>LINEST#8</t>
  </si>
  <si>
    <t>LINEST#9</t>
  </si>
  <si>
    <t>LINEST#10</t>
  </si>
  <si>
    <t>LINEST#11</t>
  </si>
  <si>
    <t>LINEST#12</t>
  </si>
  <si>
    <t>LINEST#13</t>
  </si>
  <si>
    <t>LINEST#14</t>
  </si>
  <si>
    <t>LINEST#15</t>
  </si>
  <si>
    <t>LINEST#16</t>
  </si>
  <si>
    <t>LINEST#17</t>
  </si>
  <si>
    <t>LINEST#18</t>
  </si>
  <si>
    <t>LINEST#19</t>
  </si>
  <si>
    <t>LINEST#20</t>
  </si>
  <si>
    <t>LINEST#21</t>
  </si>
  <si>
    <t>LINEST#22</t>
  </si>
  <si>
    <t>LINEST#23</t>
  </si>
  <si>
    <t>LINEST#24</t>
  </si>
  <si>
    <t>LINEST#25</t>
  </si>
  <si>
    <t>LINEST#26</t>
  </si>
  <si>
    <t>LINEST#27</t>
  </si>
  <si>
    <t>LINEST#28</t>
  </si>
  <si>
    <t>LINEST#29</t>
  </si>
  <si>
    <t>LINEST#30</t>
  </si>
  <si>
    <t>LINEST#31</t>
  </si>
  <si>
    <t>LINEST#32</t>
  </si>
  <si>
    <t>LINEST#33</t>
  </si>
  <si>
    <t>LINEST#34</t>
  </si>
  <si>
    <t>LINEST#35</t>
  </si>
  <si>
    <t>LINEST#36</t>
  </si>
  <si>
    <t>LINEST#37</t>
  </si>
  <si>
    <t>LINEST#38</t>
  </si>
  <si>
    <t>LINEST#39</t>
  </si>
  <si>
    <t>LINEST#40</t>
  </si>
  <si>
    <t>LINEST#41</t>
  </si>
  <si>
    <t>LINEST#42</t>
  </si>
  <si>
    <t>LINEST#43</t>
  </si>
  <si>
    <t>LINEST#44</t>
  </si>
  <si>
    <t>LINEST#45</t>
  </si>
  <si>
    <t>LINEST#46</t>
  </si>
  <si>
    <t>LINEST#47</t>
  </si>
  <si>
    <t>LINEST#48</t>
  </si>
  <si>
    <t>LINEST#49</t>
  </si>
  <si>
    <t>LINEST#50</t>
  </si>
  <si>
    <t>LINEST#51</t>
  </si>
  <si>
    <t>LINEST#52</t>
  </si>
  <si>
    <t>LINEST#53</t>
  </si>
  <si>
    <t>LINEST#54</t>
  </si>
  <si>
    <t>LINEST#55</t>
  </si>
  <si>
    <t>LINEST#56</t>
  </si>
  <si>
    <t>LINEST#57</t>
  </si>
  <si>
    <t>LINEST#58</t>
  </si>
  <si>
    <t>LINEST#59</t>
  </si>
  <si>
    <t>LINEST#60</t>
  </si>
  <si>
    <t>LINEST#61</t>
  </si>
  <si>
    <t>LINEST#62</t>
  </si>
  <si>
    <t>LINEST#63</t>
  </si>
  <si>
    <t>LINEST#64</t>
  </si>
  <si>
    <t>LINEST#65</t>
  </si>
  <si>
    <t>LINEST#66</t>
  </si>
  <si>
    <t>LINEST#67</t>
  </si>
  <si>
    <t>LINEST#68</t>
  </si>
  <si>
    <t>LINEST#69</t>
  </si>
  <si>
    <t>LINEST#70</t>
  </si>
  <si>
    <t>LINEST#71</t>
  </si>
  <si>
    <t>LINEST#72</t>
  </si>
  <si>
    <t>LINEST#73</t>
  </si>
  <si>
    <t>LINEST#74</t>
  </si>
  <si>
    <t>LINEST#75</t>
  </si>
  <si>
    <t>LINEST#76</t>
  </si>
  <si>
    <t>LINEST#77</t>
  </si>
  <si>
    <t>LINEST#78</t>
  </si>
  <si>
    <t>LINEST#79</t>
  </si>
  <si>
    <t>LINEST#80</t>
  </si>
  <si>
    <t>LINEST#81</t>
  </si>
  <si>
    <t>LINEST#82</t>
  </si>
  <si>
    <t>LINEST#83</t>
  </si>
  <si>
    <t>LOGEST#1</t>
  </si>
  <si>
    <t>LOGEST#2</t>
  </si>
  <si>
    <t>LOGEST#3</t>
  </si>
  <si>
    <t>LOGEST#4</t>
  </si>
  <si>
    <t>LOGEST#5</t>
  </si>
  <si>
    <t>TREND#1</t>
  </si>
  <si>
    <t>TREND#2</t>
  </si>
  <si>
    <t>TREND#3</t>
  </si>
  <si>
    <t>TREND#4</t>
  </si>
  <si>
    <t>TREND#5</t>
  </si>
  <si>
    <t>GROWTH#1</t>
  </si>
  <si>
    <t>GROWTH#2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</si>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</sst>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ABS("2025-01-31")</f>
        <v>45688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45688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ABS("$1,000")</f>
        <v>1000</v>
      </c>
      <c r="B2">
        <f t="shared" si="0"/>
        <v>0</v>
      </c>
      <c r="C2">
        <f t="shared" si="1"/>
        <v>1000</v>
      </c>
      <c r="D2" t="str">
        <f t="shared" si="2"/>
        <v/>
      </c>
      <c r="E2" t="s">
        <v>36</v>
      </c>
    </row>
    <row r="3" spans="1:5" x14ac:dyDescent="0.2">
      <c r="A3" cm="1">
        <f t="array" ref="A3">ABS("(5)")</f>
        <v>5</v>
      </c>
      <c r="B3">
        <f t="shared" si="0"/>
        <v>0</v>
      </c>
      <c r="C3">
        <f t="shared" si="1"/>
        <v>5</v>
      </c>
      <c r="D3" t="str">
        <f t="shared" si="2"/>
        <v/>
      </c>
      <c r="E3" t="s">
        <v>37</v>
      </c>
    </row>
    <row r="4" spans="1:5" x14ac:dyDescent="0.2">
      <c r="A4" cm="1">
        <f t="array" ref="A4">ABS("1 1/2")</f>
        <v>1.5</v>
      </c>
      <c r="B4">
        <f t="shared" si="0"/>
        <v>0</v>
      </c>
      <c r="C4">
        <f t="shared" si="1"/>
        <v>1.5</v>
      </c>
      <c r="D4" t="str">
        <f t="shared" si="2"/>
        <v/>
      </c>
      <c r="E4" t="s">
        <v>38</v>
      </c>
    </row>
    <row r="5" spans="1:5" x14ac:dyDescent="0.2">
      <c r="A5" cm="1">
        <f t="array" ref="A5">LN("50%")</f>
        <v>-0.69314718055994529</v>
      </c>
      <c r="B5">
        <f t="shared" si="0"/>
        <v>0</v>
      </c>
      <c r="C5">
        <f t="shared" si="1"/>
        <v>-0.69314718055994529</v>
      </c>
      <c r="D5" t="str">
        <f t="shared" si="2"/>
        <v/>
      </c>
      <c r="E5" t="s">
        <v>39</v>
      </c>
    </row>
    <row r="6" spans="1:5" x14ac:dyDescent="0.2">
      <c r="A6" cm="1">
        <f t="array" ref="A6">SIGN("$1,000")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cm="1">
        <f t="array" ref="A7">SIGN("-1,000.5")</f>
        <v>-1</v>
      </c>
      <c r="B7">
        <f t="shared" si="0"/>
        <v>0</v>
      </c>
      <c r="C7">
        <f t="shared" si="1"/>
        <v>-1</v>
      </c>
      <c r="D7" t="str">
        <f t="shared" si="2"/>
        <v/>
      </c>
      <c r="E7" t="s">
        <v>41</v>
      </c>
    </row>
    <row r="8" spans="1:5" x14ac:dyDescent="0.2">
      <c r="A8" cm="1">
        <f t="array" ref="A8">ROUNDDOWN(3.2,"$1,000")</f>
        <v>3.2</v>
      </c>
      <c r="B8">
        <f t="shared" si="0"/>
        <v>0</v>
      </c>
      <c r="C8">
        <f t="shared" si="1"/>
        <v>3.2</v>
      </c>
      <c r="D8" t="str">
        <f t="shared" si="2"/>
        <v/>
      </c>
      <c r="E8" t="s">
        <v>42</v>
      </c>
    </row>
    <row r="9" spans="1:5" x14ac:dyDescent="0.2">
      <c r="A9" cm="1">
        <f t="array" ref="A9">_xlfn.NORM.S.DIST("2025-01-31 12:00",TRUE)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cm="1">
        <f t="array" ref="A10">_xlfn.NORM.S.DIST("6:35 AM",TRUE)</f>
        <v>0.60807509225841416</v>
      </c>
      <c r="B10">
        <f t="shared" si="0"/>
        <v>0</v>
      </c>
      <c r="C10">
        <f t="shared" si="1"/>
        <v>0.60807509225841416</v>
      </c>
      <c r="D10" t="str">
        <f t="shared" si="2"/>
        <v/>
      </c>
      <c r="E10" t="s">
        <v>44</v>
      </c>
    </row>
    <row r="11" spans="1:5" x14ac:dyDescent="0.2">
      <c r="A11" t="str" cm="1">
        <f t="array" ref="A11">TEXT("2025-01-31 12:00","0")</f>
        <v>45689</v>
      </c>
      <c r="B11">
        <f t="shared" si="0"/>
        <v>-3</v>
      </c>
      <c r="C11">
        <f t="shared" si="1"/>
        <v>0</v>
      </c>
      <c r="D11" t="str">
        <f t="shared" si="2"/>
        <v>45689</v>
      </c>
      <c r="E11" t="s">
        <v>45</v>
      </c>
    </row>
    <row r="12" spans="1:5" x14ac:dyDescent="0.2">
      <c r="A12" t="str" cm="1">
        <f t="array" ref="A12">TEXT("50%","0.00")</f>
        <v>0.50</v>
      </c>
      <c r="B12">
        <f t="shared" si="0"/>
        <v>-3</v>
      </c>
      <c r="C12">
        <f t="shared" si="1"/>
        <v>0</v>
      </c>
      <c r="D12" t="str">
        <f t="shared" si="2"/>
        <v>0.50</v>
      </c>
      <c r="E12" t="s">
        <v>46</v>
      </c>
    </row>
    <row r="13" spans="1:5" x14ac:dyDescent="0.2">
      <c r="A13" t="str" cm="1">
        <f t="array" ref="A13">TEXT("abc","0")</f>
        <v>abc</v>
      </c>
      <c r="B13">
        <f t="shared" si="0"/>
        <v>-3</v>
      </c>
      <c r="C13">
        <f t="shared" si="1"/>
        <v>0</v>
      </c>
      <c r="D13" t="str">
        <f t="shared" si="2"/>
        <v>abc</v>
      </c>
      <c r="E13" t="s">
        <v>47</v>
      </c>
    </row>
    <row r="14" spans="1:5" x14ac:dyDescent="0.2">
      <c r="A14" t="str" cm="1">
        <f t="array" ref="A14">TEXT("$1,000","#,##0")</f>
        <v>1,000</v>
      </c>
      <c r="B14">
        <f t="shared" si="0"/>
        <v>-3</v>
      </c>
      <c r="C14">
        <f t="shared" si="1"/>
        <v>0</v>
      </c>
      <c r="D14" t="str">
        <f t="shared" si="2"/>
        <v>1,000</v>
      </c>
      <c r="E14" t="s">
        <v>48</v>
      </c>
    </row>
    <row r="15" spans="1:5" x14ac:dyDescent="0.2">
      <c r="A15" t="str" cm="1">
        <f t="array" ref="A15">DOLLAR("1/2/2025",1)</f>
        <v>$45,659.0</v>
      </c>
      <c r="B15">
        <f t="shared" si="0"/>
        <v>-3</v>
      </c>
      <c r="C15">
        <f t="shared" si="1"/>
        <v>0</v>
      </c>
      <c r="D15" t="str">
        <f t="shared" si="2"/>
        <v>$45,659.0</v>
      </c>
      <c r="E15" t="s">
        <v>49</v>
      </c>
    </row>
    <row r="16" spans="1:5" x14ac:dyDescent="0.2">
      <c r="A16" t="str" cm="1">
        <f t="array" ref="A16">BAHTTEXT("50%")</f>
        <v>ห้าสิบสตางค์</v>
      </c>
      <c r="B16">
        <f t="shared" si="0"/>
        <v>-3</v>
      </c>
      <c r="C16">
        <f t="shared" si="1"/>
        <v>0</v>
      </c>
      <c r="D16" t="str">
        <f t="shared" si="2"/>
        <v>ห้าสิบสตางค์</v>
      </c>
      <c r="E16" t="s">
        <v>50</v>
      </c>
    </row>
    <row r="17" spans="1:5" x14ac:dyDescent="0.2">
      <c r="A17" t="str" cm="1">
        <f t="array" ref="A17">RIGHTB("2025-01-31","2025-01-31 12:00")</f>
        <v>2025-01-31</v>
      </c>
      <c r="B17">
        <f t="shared" si="0"/>
        <v>-3</v>
      </c>
      <c r="C17">
        <f t="shared" si="1"/>
        <v>0</v>
      </c>
      <c r="D17" t="str">
        <f t="shared" si="2"/>
        <v>2025-01-31</v>
      </c>
      <c r="E17" t="s">
        <v>51</v>
      </c>
    </row>
    <row r="18" spans="1:5" x14ac:dyDescent="0.2">
      <c r="A18" cm="1">
        <f t="array" ref="A18">EDATE(40558,"50%")</f>
        <v>40558</v>
      </c>
      <c r="B18">
        <f t="shared" si="0"/>
        <v>0</v>
      </c>
      <c r="C18">
        <f t="shared" si="1"/>
        <v>40558</v>
      </c>
      <c r="D18" t="str">
        <f t="shared" si="2"/>
        <v/>
      </c>
      <c r="E18" t="s">
        <v>52</v>
      </c>
    </row>
    <row r="19" spans="1:5" x14ac:dyDescent="0.2">
      <c r="A19" cm="1">
        <f t="array" ref="A19">EDATE(40558,"1E1")</f>
        <v>40862</v>
      </c>
      <c r="B19">
        <f t="shared" si="0"/>
        <v>0</v>
      </c>
      <c r="C19">
        <f t="shared" si="1"/>
        <v>40862</v>
      </c>
      <c r="D19" t="str">
        <f t="shared" si="2"/>
        <v/>
      </c>
      <c r="E19" t="s">
        <v>53</v>
      </c>
    </row>
    <row r="20" spans="1:5" x14ac:dyDescent="0.2">
      <c r="A20" cm="1">
        <f t="array" ref="A20">SUM("50%",1)</f>
        <v>1.5</v>
      </c>
      <c r="B20">
        <f t="shared" si="0"/>
        <v>0</v>
      </c>
      <c r="C20">
        <f t="shared" si="1"/>
        <v>1.5</v>
      </c>
      <c r="D20" t="str">
        <f t="shared" si="2"/>
        <v/>
      </c>
      <c r="E20" t="s">
        <v>54</v>
      </c>
    </row>
    <row r="21" spans="1:5" x14ac:dyDescent="0.2">
      <c r="A21" t="e" cm="1">
        <f t="array" ref="A21">SUM({1,#DIV/0!},NA())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SUM(D!E1:E8,NA())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SUM(NA(),D!E1:E8)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SUM(D!E1:E8,"x")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"31-Jan-2025"-"2025-01-31"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"50%"*2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60</v>
      </c>
    </row>
    <row r="27" spans="1:5" x14ac:dyDescent="0.2">
      <c r="A27" cm="1">
        <f t="array" ref="A27">"$1,000"+1</f>
        <v>1001</v>
      </c>
      <c r="B27">
        <f t="shared" si="0"/>
        <v>0</v>
      </c>
      <c r="C27">
        <f t="shared" si="1"/>
        <v>1001</v>
      </c>
      <c r="D27" t="str">
        <f t="shared" si="2"/>
        <v/>
      </c>
      <c r="E27" t="s">
        <v>61</v>
      </c>
    </row>
    <row r="28" spans="1:5" x14ac:dyDescent="0.2">
      <c r="A28" cm="1">
        <f t="array" ref="A28">"18:30"*24</f>
        <v>18.5</v>
      </c>
      <c r="B28">
        <f t="shared" si="0"/>
        <v>0</v>
      </c>
      <c r="C28">
        <f t="shared" si="1"/>
        <v>18.5</v>
      </c>
      <c r="D28" t="str">
        <f t="shared" si="2"/>
        <v/>
      </c>
      <c r="E28" t="s">
        <v>62</v>
      </c>
    </row>
    <row r="29" spans="1:5" x14ac:dyDescent="0.2">
      <c r="A29" cm="1">
        <f t="array" ref="A29">" 2 "+1</f>
        <v>3</v>
      </c>
      <c r="B29">
        <f t="shared" si="0"/>
        <v>0</v>
      </c>
      <c r="C29">
        <f t="shared" si="1"/>
        <v>3</v>
      </c>
      <c r="D29" t="str">
        <f t="shared" si="2"/>
        <v/>
      </c>
      <c r="E29" t="s">
        <v>63</v>
      </c>
    </row>
    <row r="30" spans="1:5" x14ac:dyDescent="0.2">
      <c r="A30" t="e" cm="1">
        <f t="array" ref="A30">"1,5"+0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DISC(NA(),48214,97.975,100,7)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DISC(39264,48214,NA(),100,9)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DISC(48214,39264,97.975,100,NA())</f>
        <v>#N/A</v>
      </c>
      <c r="B33">
        <f t="shared" si="0"/>
        <v>7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DISC(48214,39264,97.975,100,"x")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INTRATE(NA(),39583,1000000,1014420,7)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INTRATE(39583,39493,1000000,1014420,NA())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PRICEDISC(39494,"x y",0.0525,100,7)</f>
        <v>#NUM!</v>
      </c>
      <c r="B37">
        <f t="shared" si="0"/>
        <v>6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PRICEDISC(39494,39508,0.0525,TRUE,7)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PRICEDISC(NA(),39508,0.0525,100,7)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PRICEDISC(39494,39508,0.0525,100,NA())</f>
        <v>#N/A</v>
      </c>
      <c r="B40">
        <f t="shared" si="0"/>
        <v>7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PRICEDISC(39508,39494,NA(),100,2)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RECEIVED(NA(),39583,1000000,0.0575,7)</f>
        <v>#NUM!</v>
      </c>
      <c r="B42">
        <f t="shared" si="0"/>
        <v>6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RECEIVED("abc",39583,NA(),0.5,20)</f>
        <v>#NUM!</v>
      </c>
      <c r="B43">
        <f t="shared" si="0"/>
        <v>6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YIELDDISC("abc",39508,15,100,7)</f>
        <v>#NUM!</v>
      </c>
      <c r="B44">
        <f t="shared" si="0"/>
        <v>6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YIELDDISC("abc",39508,15,100,0)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PRICEMAT(NA(),39551,39397,0.061,0.061,7)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PRICEMAT(39551,39493,39397,0.061,0.061,9)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YIELDMAT(39522,39755,39395,NA(),100.0123,7)</f>
        <v>#NUM!</v>
      </c>
      <c r="B48">
        <f t="shared" si="0"/>
        <v>6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ACCRINTM(NA(),39614,0.1,1000,7)</f>
        <v>#N/A</v>
      </c>
      <c r="B49">
        <f t="shared" si="0"/>
        <v>7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PRICE(NA(),42689,0.0575,0.065,100,2,7)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PRICE(39493,42689,0.0575,0.065,100,3,NA())</f>
        <v>#N/A</v>
      </c>
      <c r="B51">
        <f t="shared" si="0"/>
        <v>7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PRICE(42689,39493,0.0575,0.065,100,3,0)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YIELD(39493,42689,NA(),95.04287,100,2,7)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YIELD(39493,42689,0.0575,95.04287,100,NA(),9)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YEARFRAC("x",40909,9)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YEARFRAC(40909,"x",NA())</f>
        <v>#N/A</v>
      </c>
      <c r="B56">
        <f t="shared" si="0"/>
        <v>7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YEARFRAC(NA(),41120,7)</f>
        <v>#NUM!</v>
      </c>
      <c r="B57">
        <f t="shared" si="0"/>
        <v>6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COUPDAYBS(40862,40568,2,NA())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COUPDAYBS(40862,40568,2,"x")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COUPDAYBS(40568,40862,3,NA())</f>
        <v>#NUM!</v>
      </c>
      <c r="B60">
        <f t="shared" si="0"/>
        <v>6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COUPDAYBS(NA(),40862,3,1)</f>
        <v>#N/A</v>
      </c>
      <c r="B61">
        <f t="shared" si="0"/>
        <v>7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COUPNUM(40862,40568,2,NA())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COUPNUM(40568,40862,3,NA())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COUPNCD(40862,40568,NA(),1)</f>
        <v>#NUM!</v>
      </c>
      <c r="B64">
        <f t="shared" si="0"/>
        <v>6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COUPNCD(40568,40862,"x",9)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COUPPCD(45688,20,"x y")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COUPPCD(DATE(2011,1,25),DATE(2011,11,15),0,#VALUE!)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DURATION(43282,54058,0.08,0.09,3,NA())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DURATION(54058,43282,0.08,0.09,2,NA())</f>
        <v>#N/A</v>
      </c>
      <c r="B69">
        <f t="shared" si="3"/>
        <v>7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MDURATION(43282,54058,0.08,0.09,3,NA())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ACCRINT(39508,39691,39569,0.1,1000,3,NA())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ACCRINT(39569,39691,39508,0.1,1000,2,NA())</f>
        <v>#N/A</v>
      </c>
      <c r="B72">
        <f t="shared" si="3"/>
        <v>7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ODDFPRICE(39763,44256,39736,39873,0.0785,0.0625,100,3,NA())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ODDFPRICE(-1,59,FALSE,39873,0.0785,"x",100,2,1)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ODDFPRICE(400,44256,60,39873,0.0785,0.0625,100,2,1)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cm="1">
        <f t="array" ref="A76">ODDFPRICE(400,44256,61,39873,0.0785,0.0625,100,2,1)</f>
        <v>-6.0336341021650206</v>
      </c>
      <c r="B76">
        <f t="shared" si="3"/>
        <v>0</v>
      </c>
      <c r="C76">
        <f t="shared" si="4"/>
        <v>-6.0336341021650206</v>
      </c>
      <c r="D76" t="str">
        <f t="shared" si="5"/>
        <v/>
      </c>
      <c r="E76" t="s">
        <v>110</v>
      </c>
    </row>
    <row r="77" spans="1:5" x14ac:dyDescent="0.2">
      <c r="A77" t="e" cm="1">
        <f t="array" ref="A77">ODDFPRICE(400,44256,59,39873,0.0785,0.0625,100,4,1)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ODDFYIELD(39763,44256,39736,39873,0.0575,84.5,100,3,NA())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ODDLPRICE(39485,39614,39370,0.0375,"3",100,-3.5,#N/A)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ODDLPRICE(39485,39614,164,0.0375,0.0405,100,2,0)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ODDLPRICE(39485,39614,168,0.0375,0.0405,100,2,0)</f>
        <v>94.164711487907482</v>
      </c>
      <c r="B81">
        <f t="shared" si="3"/>
        <v>0</v>
      </c>
      <c r="C81">
        <f t="shared" si="4"/>
        <v>94.164711487907482</v>
      </c>
      <c r="D81" t="str">
        <f t="shared" si="5"/>
        <v/>
      </c>
      <c r="E81" t="s">
        <v>115</v>
      </c>
    </row>
    <row r="82" spans="1:5" x14ac:dyDescent="0.2">
      <c r="A82" t="e" cm="1">
        <f t="array" ref="A82">ODDLPRICE(39485,39614,72,0.0375,0.0405,100,4,0)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ODDLPRICE(39485,39614,75,0.0375,0.0405,100,4,0)</f>
        <v>94.151255257623575</v>
      </c>
      <c r="B83">
        <f t="shared" si="3"/>
        <v>0</v>
      </c>
      <c r="C83">
        <f t="shared" si="4"/>
        <v>94.151255257623575</v>
      </c>
      <c r="D83" t="str">
        <f t="shared" si="5"/>
        <v/>
      </c>
      <c r="E83" t="s">
        <v>117</v>
      </c>
    </row>
    <row r="84" spans="1:5" x14ac:dyDescent="0.2">
      <c r="A84" t="e" cm="1">
        <f t="array" ref="A84">ODDLPRICE(39485,39614,120,0.0375,0.0405,100,1,0)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cm="1">
        <f t="array" ref="A85">ODDLPRICE(39485,39614,182,0.0375,0.0405,100,1,0)</f>
        <v>94.166781677181973</v>
      </c>
      <c r="B85">
        <f t="shared" si="3"/>
        <v>0</v>
      </c>
      <c r="C85">
        <f t="shared" si="4"/>
        <v>94.166781677181973</v>
      </c>
      <c r="D85" t="str">
        <f t="shared" si="5"/>
        <v/>
      </c>
      <c r="E85" t="s">
        <v>119</v>
      </c>
    </row>
    <row r="86" spans="1:5" x14ac:dyDescent="0.2">
      <c r="A86" t="e" cm="1">
        <f t="array" ref="A86">ODDLYIELD(39558,39614,39440,0.0375,99.875,100,3,NA())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ODDLYIELD(39558,39614,100,0.0375,99.875,100,2,0)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cm="1">
        <f t="array" ref="A88">ODDLYIELD(39558,39614,184,0.0375,99.875,100,2,0)</f>
        <v>9.0616053918808667E-3</v>
      </c>
      <c r="B88">
        <f t="shared" si="3"/>
        <v>0</v>
      </c>
      <c r="C88">
        <f t="shared" si="4"/>
        <v>9.0616053918808667E-3</v>
      </c>
      <c r="D88" t="str">
        <f t="shared" si="5"/>
        <v/>
      </c>
      <c r="E88" t="s">
        <v>122</v>
      </c>
    </row>
    <row r="89" spans="1:5" x14ac:dyDescent="0.2">
      <c r="A89" t="e" cm="1">
        <f t="array" ref="A89">AMORDEGRC(-1,39679,39813,300,1,0.15,NA())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AMORDEGRC(2400,39679,39813,300,-1,0.15,NA())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AMORDEGRC(2400,39679,39813,3000,1,0.15,NA())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AMORDEGRC(-1,39679,39813,NA(),1,0.15,1)</f>
        <v>#N/A</v>
      </c>
      <c r="B92">
        <f t="shared" si="3"/>
        <v>7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AMORDEGRC(2400,39813,39679,300,1,0.15,NA())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AMORLINC(2400,39679,39813,300,1,-0.15,NA())</f>
        <v>#NUM!</v>
      </c>
      <c r="B94">
        <f t="shared" si="3"/>
        <v>6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AMORLINC(2400,39813,39679,300,1,0.15,"x")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DEC2BIN(NA(),"x")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DEC2BIN(NA(),-1)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DEC2BIN("x",-1)</f>
        <v>#NUM!</v>
      </c>
      <c r="B98">
        <f t="shared" si="3"/>
        <v>6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DEC2BIN(NA(),TRUE)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DEC2BIN(1,NA())</f>
        <v>#N/A</v>
      </c>
      <c r="B100">
        <f t="shared" si="3"/>
        <v>7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DEC2HEX(NA(),"x")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HEX2BIN(NA(),"x")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HEX2BIN(NA(),11)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OCT2HEX(NA(),"x")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DELTA(NA(),"x")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>
        <f t="array" ref="A106">DELTA("x",NA())</f>
        <v>#N/A</v>
      </c>
      <c r="B106">
        <f t="shared" si="3"/>
        <v>7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GESTEP(NA(),"x")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GESTEP("x",NA())</f>
        <v>#N/A</v>
      </c>
      <c r="B108">
        <f t="shared" si="3"/>
        <v>7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COMPLEX(3,NA(),"x")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COMPLEX(NA(),4,"x")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COMPLEX(NA(),4)</f>
        <v>#N/A</v>
      </c>
      <c r="B111">
        <f t="shared" si="3"/>
        <v>7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COMPLEX(1,1,NA())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str" cm="1">
        <f t="array" ref="A113">COMPLEX(1,1,"")</f>
        <v>1+i</v>
      </c>
      <c r="B113">
        <f t="shared" si="3"/>
        <v>-3</v>
      </c>
      <c r="C113">
        <f t="shared" si="4"/>
        <v>0</v>
      </c>
      <c r="D113" t="str">
        <f t="shared" si="5"/>
        <v>1+i</v>
      </c>
      <c r="E113" t="s">
        <v>147</v>
      </c>
    </row>
    <row r="114" spans="1:5" x14ac:dyDescent="0.2">
      <c r="A114" t="e" cm="1">
        <f t="array" ref="A114">FVSCHEDULE(#VALUE!,D!A8)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FVSCHEDULE(1,D!A8)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FVSCHEDULE(NA(),{1,"x"})</f>
        <v>#N/A</v>
      </c>
      <c r="B116">
        <f t="shared" si="3"/>
        <v>7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FVSCHEDULE(TRUE,D!A8)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cm="1">
        <f t="array" ref="A118">ISPMT(0.1,1.5,4,1000)</f>
        <v>-62.5</v>
      </c>
      <c r="B118">
        <f t="shared" si="3"/>
        <v>0</v>
      </c>
      <c r="C118">
        <f t="shared" si="4"/>
        <v>-62.5</v>
      </c>
      <c r="D118" t="str">
        <f t="shared" si="5"/>
        <v/>
      </c>
      <c r="E118" t="s">
        <v>152</v>
      </c>
    </row>
    <row r="119" spans="1:5" x14ac:dyDescent="0.2">
      <c r="A119" cm="1">
        <f t="array" ref="A119">ISPMT(0.1,1,4.5,1000)</f>
        <v>-77.777777777777771</v>
      </c>
      <c r="B119">
        <f t="shared" si="3"/>
        <v>0</v>
      </c>
      <c r="C119">
        <f t="shared" si="4"/>
        <v>-77.777777777777771</v>
      </c>
      <c r="D119" t="str">
        <f t="shared" si="5"/>
        <v/>
      </c>
      <c r="E119" t="s">
        <v>153</v>
      </c>
    </row>
    <row r="120" spans="1:5" x14ac:dyDescent="0.2">
      <c r="A120" cm="1">
        <f t="array" ref="A120">ISPMT(0.1,-1.5,4,1000)</f>
        <v>-137.5</v>
      </c>
      <c r="B120">
        <f t="shared" si="3"/>
        <v>0</v>
      </c>
      <c r="C120">
        <f t="shared" si="4"/>
        <v>-137.5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LARGE(D!E1:E8,NA())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LARGE({1,#N/A},"x")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SMALL(D!E1:E8,"x")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QUARTILE(D!E1:E8,NA())</f>
        <v>#N/A</v>
      </c>
      <c r="B124">
        <f t="shared" si="3"/>
        <v>7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_xlfn.PERCENTILE.EXC(D!A7,#NAME?)</f>
        <v>#NAME?</v>
      </c>
      <c r="B125">
        <f t="shared" si="3"/>
        <v>5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_xlfn.PERCENTILE.EXC(D!E1:E8,NA())</f>
        <v>#N/A</v>
      </c>
      <c r="B126">
        <f t="shared" si="3"/>
        <v>7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_xlfn.PERCENTILE.INC(D!E1:E8,"x")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_xlfn.PERCENTRANK.INC(D!E1:E8,"x")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_xlfn.PERCENTRANK.INC(D!E1:E8,5,"x")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PERCENTRANK(D!A8,#VALUE!)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TRIMMEAN(D!E1:E8,"x")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PROB(D!AH1:AH4,{0.2,#N/A,0.1,0.4},"x")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MIRR(D!I13:I17,"x",0.1)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ZTEST(D!E1:E8,NA())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MAX(D!E1:E8,"x")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AVERAGE({1,#N/A},1/0)</f>
        <v>#DIV/0!</v>
      </c>
      <c r="B136">
        <f t="shared" si="6"/>
        <v>2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MAXA({1,#N/A},1/0)</f>
        <v>#DIV/0!</v>
      </c>
      <c r="B137">
        <f t="shared" si="6"/>
        <v>2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GCD({4,#N/A},1/0)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GCD({4,"a"},1/0)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GCD(D!B1:C8,NA())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_xlfn.CONCAT({"a",#DIV/0!},NA())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_xlfn.CONCAT(NA(),{"a",#DIV/0!})</f>
        <v>#N/A</v>
      </c>
      <c r="B142">
        <f t="shared" si="6"/>
        <v>7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AND({TRUE,#DIV/0!},NA())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_xlfn.TEXTJOIN(",",TRUE,{"a",#DIV/0!},NA())</f>
        <v>#N/A</v>
      </c>
      <c r="B144">
        <f t="shared" si="6"/>
        <v>7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STEYX(D!C1:C8,{1,#NUM!})</f>
        <v>#N/A</v>
      </c>
      <c r="B145">
        <f t="shared" si="6"/>
        <v>7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STEYX(D!C1:C8,D!B1:B8/0)</f>
        <v>#DIV/0!</v>
      </c>
      <c r="B146">
        <f t="shared" si="6"/>
        <v>2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_xlfn.COVARIANCE.P(D!B1:B8,{#VALUE!,1})</f>
        <v>#N/A</v>
      </c>
      <c r="B147">
        <f t="shared" si="6"/>
        <v>7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PEARSON(D!B1:B8,{#VALUE!,1})</f>
        <v>#N/A</v>
      </c>
      <c r="B148">
        <f t="shared" si="6"/>
        <v>7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SLOPE(D!B1:B8,{#VALUE!,1})</f>
        <v>#N/A</v>
      </c>
      <c r="B149">
        <f t="shared" si="6"/>
        <v>7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CORREL(D!A7,D!B1:B8)</f>
        <v>#DIV/0!</v>
      </c>
      <c r="B150">
        <f t="shared" si="6"/>
        <v>2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CHITEST({1,#VALUE!},D!AM1:AN3)</f>
        <v>#N/A</v>
      </c>
      <c r="B151">
        <f t="shared" si="6"/>
        <v>7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CHITEST(D!AK1:AL3,{#VALUE!,1;1,1;1,1})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CHITEST({1,#N/A},{1,1,1})</f>
        <v>#N/A</v>
      </c>
      <c r="B153">
        <f t="shared" si="6"/>
        <v>7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TTEST(D!B1:B8,D!A8,0.5,1)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TTEST(D!B1:B8,{1,#N/A},0.5,1)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TTEST(D!B1:B8,D!C1:C5,0.5,1)</f>
        <v>#NUM!</v>
      </c>
      <c r="B156">
        <f t="shared" si="6"/>
        <v>6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TTEST(D!B1:B8,D!A8,1,2)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DCOUNTA(D!U1:Y7,D!A7,D!AA1:AB2)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DCOUNTA(D!U1:Y7,NA(),D!AA1:AB2)</f>
        <v>#N/A</v>
      </c>
      <c r="B159">
        <f t="shared" si="6"/>
        <v>7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cm="1">
        <f t="array" ref="A160">DCOUNTA(D!AY1:AY5,1,D!AZ1:AZ5)</f>
        <v>4</v>
      </c>
      <c r="B160">
        <f t="shared" si="6"/>
        <v>0</v>
      </c>
      <c r="C160">
        <f t="shared" si="7"/>
        <v>4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DVAR(D!B3,1,D!F1:F7)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DVAR(D!U1:Y7,TRUE,D!F1:F7)</f>
        <v>#DIV/0!</v>
      </c>
      <c r="B162">
        <f t="shared" si="6"/>
        <v>2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DSUM(D!B3,1,D!AA1:AB2)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cm="1">
        <f t="array" ref="A164">DSUM(D!U1:Y7,D!X1,D!AA1:AB2)</f>
        <v>24</v>
      </c>
      <c r="B164">
        <f t="shared" si="6"/>
        <v>0</v>
      </c>
      <c r="C164">
        <f t="shared" si="7"/>
        <v>24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DSUM(D!U1:Y7,D!U1:V1,D!AA1:AB2)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DSUM(D!U1:Y1,4,D!AA1:AB2)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cm="1">
        <f t="array" ref="A167">DCOUNT(D!B3:B4,1,D!AA1:AB2)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_xlfn.TEXTSPLIT("a,b",{",",""})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_xlfn.TEXTSPLIT("a,b",",",{";",""})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_xlfn.TEXTSPLIT("a,b",",",D!K1)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_xlfn.TEXTSPLIT("a,b;c",D!K1:K8,";")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_xlfn.PERCENTOF(2,NA())</f>
        <v>#N/A</v>
      </c>
      <c r="B172">
        <f t="shared" si="6"/>
        <v>7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_xlfn.PERCENTOF(NA(),2)</f>
        <v>#N/A</v>
      </c>
      <c r="B173">
        <f t="shared" si="6"/>
        <v>7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_xlfn.PERCENTOF({1,#N/A},3)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_xlfn.PERCENTOF(1,D!E1:E8)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WEEKNUM(40977,1000)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DAY(WEEKNUM(40977,1000)&lt;&gt;2.5)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str" cm="1">
        <f t="array" ref="A178">IMCONJUGATE("$8.00")</f>
        <v>8</v>
      </c>
      <c r="B178">
        <f t="shared" si="6"/>
        <v>-3</v>
      </c>
      <c r="C178">
        <f t="shared" si="7"/>
        <v>0</v>
      </c>
      <c r="D178" t="str">
        <f t="shared" si="8"/>
        <v>8</v>
      </c>
      <c r="E178" t="s">
        <v>212</v>
      </c>
    </row>
    <row r="179" spans="1:5" x14ac:dyDescent="0.2">
      <c r="A179" t="str" cm="1">
        <f t="array" ref="A179">IMLOG10("$1,000")</f>
        <v>3</v>
      </c>
      <c r="B179">
        <f t="shared" si="6"/>
        <v>-3</v>
      </c>
      <c r="C179">
        <f t="shared" si="7"/>
        <v>0</v>
      </c>
      <c r="D179" t="str">
        <f t="shared" si="8"/>
        <v>3</v>
      </c>
      <c r="E179" t="s">
        <v>213</v>
      </c>
    </row>
    <row r="180" spans="1:5" x14ac:dyDescent="0.2">
      <c r="A180" t="str" cm="1">
        <f t="array" ref="A180">IMEXP("18:30")</f>
        <v>2.16156680912359</v>
      </c>
      <c r="B180">
        <f t="shared" si="6"/>
        <v>-3</v>
      </c>
      <c r="C180">
        <f t="shared" si="7"/>
        <v>0</v>
      </c>
      <c r="D180" t="str">
        <f t="shared" si="8"/>
        <v>2.16156680912359</v>
      </c>
      <c r="E180" t="s">
        <v>214</v>
      </c>
    </row>
    <row r="181" spans="1:5" x14ac:dyDescent="0.2">
      <c r="A181" cm="1">
        <f t="array" ref="A181">IMABS("50%")</f>
        <v>0.5</v>
      </c>
      <c r="B181">
        <f t="shared" si="6"/>
        <v>0</v>
      </c>
      <c r="C181">
        <f t="shared" si="7"/>
        <v>0.5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IMSUM("2025-01-31",1)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str" cm="1">
        <f t="array" ref="A183">IMSUM("18:30",1)</f>
        <v>1.77083333333333</v>
      </c>
      <c r="B183">
        <f t="shared" si="6"/>
        <v>-3</v>
      </c>
      <c r="C183">
        <f t="shared" si="7"/>
        <v>0</v>
      </c>
      <c r="D183" t="str">
        <f t="shared" si="8"/>
        <v>1.77083333333333</v>
      </c>
      <c r="E183" t="s">
        <v>217</v>
      </c>
    </row>
    <row r="184" spans="1:5" x14ac:dyDescent="0.2">
      <c r="A184" cm="1">
        <f t="array" ref="A184">IMREAL("(5)")</f>
        <v>-5</v>
      </c>
      <c r="B184">
        <f t="shared" si="6"/>
        <v>0</v>
      </c>
      <c r="C184">
        <f t="shared" si="7"/>
        <v>-5</v>
      </c>
      <c r="D184" t="str">
        <f t="shared" si="8"/>
        <v/>
      </c>
      <c r="E184" t="s">
        <v>218</v>
      </c>
    </row>
    <row r="185" spans="1:5" x14ac:dyDescent="0.2">
      <c r="A185" cm="1">
        <f t="array" ref="A185">IMREAL("1,000")</f>
        <v>1000</v>
      </c>
      <c r="B185">
        <f t="shared" si="6"/>
        <v>0</v>
      </c>
      <c r="C185">
        <f t="shared" si="7"/>
        <v>1000</v>
      </c>
      <c r="D185" t="str">
        <f t="shared" si="8"/>
        <v/>
      </c>
      <c r="E185" t="s">
        <v>219</v>
      </c>
    </row>
    <row r="186" spans="1:5" x14ac:dyDescent="0.2">
      <c r="A186" cm="1">
        <f t="array" ref="A186">IMREAL("1/2/2025")</f>
        <v>45659</v>
      </c>
      <c r="B186">
        <f t="shared" si="6"/>
        <v>0</v>
      </c>
      <c r="C186">
        <f t="shared" si="7"/>
        <v>45659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IMREAL("31-Jan-2025")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cm="1">
        <f t="array" ref="A188">IMREAL("6:35 AM")</f>
        <v>0.27430555555555558</v>
      </c>
      <c r="B188">
        <f t="shared" si="6"/>
        <v>0</v>
      </c>
      <c r="C188">
        <f t="shared" si="7"/>
        <v>0.27430555555555558</v>
      </c>
      <c r="D188" t="str">
        <f t="shared" si="8"/>
        <v/>
      </c>
      <c r="E188" t="s">
        <v>222</v>
      </c>
    </row>
    <row r="189" spans="1:5" x14ac:dyDescent="0.2">
      <c r="A189" cm="1">
        <f t="array" ref="A189">IMREAL("1 1/2")</f>
        <v>1.5</v>
      </c>
      <c r="B189">
        <f t="shared" si="6"/>
        <v>0</v>
      </c>
      <c r="C189">
        <f t="shared" si="7"/>
        <v>1.5</v>
      </c>
      <c r="D189" t="str">
        <f t="shared" si="8"/>
        <v/>
      </c>
      <c r="E189" t="s">
        <v>223</v>
      </c>
    </row>
    <row r="190" spans="1:5" x14ac:dyDescent="0.2">
      <c r="A190" cm="1">
        <f t="array" ref="A190">IMREAL("-$5")</f>
        <v>-5</v>
      </c>
      <c r="B190">
        <f t="shared" si="6"/>
        <v>0</v>
      </c>
      <c r="C190">
        <f t="shared" si="7"/>
        <v>-5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IMREAL("TRUE")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IMREAL("25:00")</f>
        <v>1.0416666666666667</v>
      </c>
      <c r="B192">
        <f t="shared" si="6"/>
        <v>0</v>
      </c>
      <c r="C192">
        <f t="shared" si="7"/>
        <v>1.0416666666666667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IMREAL("2025-01-31 12:00")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XIRR(D!AY1:AY5,D!A1:A5,D!A2)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XIRR(D!J1:J5,D!A1:A5)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XIRR({-1,2},{1,TRUE})</f>
        <v>#VALUE!</v>
      </c>
      <c r="B196">
        <f t="shared" si="9"/>
        <v>3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XIRR({1,2},{1,TRUE})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XIRR(D!J1:J2,D!A1:A2)</f>
        <v>#NUM!</v>
      </c>
      <c r="B198">
        <f t="shared" si="9"/>
        <v>6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XIRR(D!I1:I5,D!A1:A5)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MULTINOMIAL(2,3,{2,"a";TRUE,#N/A})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MULTINOMIAL(NA(),{"a"})</f>
        <v>#N/A</v>
      </c>
      <c r="B201">
        <f t="shared" si="9"/>
        <v>7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LCM(D!A3,NA())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LCM(-0.5,2)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INT(FTEST(D!C1:C8,D!C1:C8))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t="str" cm="1">
        <f t="array" ref="A205">LEFT("abc",0.999999999999999)</f>
        <v>a</v>
      </c>
      <c r="B205">
        <f t="shared" si="9"/>
        <v>-3</v>
      </c>
      <c r="C205">
        <f t="shared" si="10"/>
        <v>0</v>
      </c>
      <c r="D205" t="str">
        <f t="shared" si="11"/>
        <v>a</v>
      </c>
      <c r="E205" t="s">
        <v>239</v>
      </c>
    </row>
    <row r="206" spans="1:5" x14ac:dyDescent="0.2">
      <c r="A206" cm="1">
        <f t="array" ref="A206">INDEX({1,2,3},1,1.99999999999999)</f>
        <v>2</v>
      </c>
      <c r="B206">
        <f t="shared" si="9"/>
        <v>0</v>
      </c>
      <c r="C206">
        <f t="shared" si="10"/>
        <v>2</v>
      </c>
      <c r="D206" t="str">
        <f t="shared" si="11"/>
        <v/>
      </c>
      <c r="E206" t="s">
        <v>240</v>
      </c>
    </row>
    <row r="207" spans="1:5" x14ac:dyDescent="0.2">
      <c r="A207" t="str" cm="1">
        <f t="array" ref="A207">MID("abcdef",1.99999999999999,2)</f>
        <v>ab</v>
      </c>
      <c r="B207">
        <f t="shared" si="9"/>
        <v>-3</v>
      </c>
      <c r="C207">
        <f t="shared" si="10"/>
        <v>0</v>
      </c>
      <c r="D207" t="str">
        <f t="shared" si="11"/>
        <v>ab</v>
      </c>
      <c r="E207" t="s">
        <v>241</v>
      </c>
    </row>
    <row r="208" spans="1:5" x14ac:dyDescent="0.2">
      <c r="A208" cm="1">
        <f t="array" ref="A208">INDEX(LINEST({1;2;3;5},{1,2;2,4;3,6;4,8},TRUE,TRUE),1,1)</f>
        <v>0.65</v>
      </c>
      <c r="B208">
        <f t="shared" si="9"/>
        <v>0</v>
      </c>
      <c r="C208">
        <f t="shared" si="10"/>
        <v>0.65</v>
      </c>
      <c r="D208" t="str">
        <f t="shared" si="11"/>
        <v/>
      </c>
      <c r="E208" t="s">
        <v>242</v>
      </c>
    </row>
    <row r="209" spans="1:5" x14ac:dyDescent="0.2">
      <c r="A209" cm="1">
        <f t="array" ref="A209">INDEX(LINEST({1;2;3;5},{1,2;2,4;3,6;4,8},TRUE,TRUE),1,2)</f>
        <v>0</v>
      </c>
      <c r="B209">
        <f t="shared" si="9"/>
        <v>0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INDEX(LINEST({1;2;3;5},{1,2;2,4;3,6;4,8},TRUE,TRUE),1,3)</f>
        <v>-0.5</v>
      </c>
      <c r="B210">
        <f t="shared" si="9"/>
        <v>0</v>
      </c>
      <c r="C210">
        <f t="shared" si="10"/>
        <v>-0.5</v>
      </c>
      <c r="D210" t="str">
        <f t="shared" si="11"/>
        <v/>
      </c>
      <c r="E210" t="s">
        <v>244</v>
      </c>
    </row>
    <row r="211" spans="1:5" x14ac:dyDescent="0.2">
      <c r="A211" cm="1">
        <f t="array" ref="A211">INDEX(LINEST({1;2;3;5},{1,2;2,4;3,6;4,8},TRUE,TRUE),2,1)</f>
        <v>8.6602540378443851E-2</v>
      </c>
      <c r="B211">
        <f t="shared" si="9"/>
        <v>0</v>
      </c>
      <c r="C211">
        <f t="shared" si="10"/>
        <v>8.6602540378443851E-2</v>
      </c>
      <c r="D211" t="str">
        <f t="shared" si="11"/>
        <v/>
      </c>
      <c r="E211" t="s">
        <v>245</v>
      </c>
    </row>
    <row r="212" spans="1:5" x14ac:dyDescent="0.2">
      <c r="A212" cm="1">
        <f t="array" ref="A212">INDEX(LINEST({1;2;3;5},{1,2;2,4;3,6;4,8},TRUE,TRUE),2,2)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INDEX(LINEST({1;2;3;5},{1,2;2,4;3,6;4,8},TRUE,TRUE),2,3)</f>
        <v>0.47434164902525688</v>
      </c>
      <c r="B213">
        <f t="shared" si="9"/>
        <v>0</v>
      </c>
      <c r="C213">
        <f t="shared" si="10"/>
        <v>0.47434164902525688</v>
      </c>
      <c r="D213" t="str">
        <f t="shared" si="11"/>
        <v/>
      </c>
      <c r="E213" t="s">
        <v>247</v>
      </c>
    </row>
    <row r="214" spans="1:5" x14ac:dyDescent="0.2">
      <c r="A214" cm="1">
        <f t="array" ref="A214">INDEX(LINEST({1;2;3;5},{1,2;2,4;3,6;4,8},TRUE,TRUE),3,1)</f>
        <v>0.96571428571428564</v>
      </c>
      <c r="B214">
        <f t="shared" si="9"/>
        <v>0</v>
      </c>
      <c r="C214">
        <f t="shared" si="10"/>
        <v>0.96571428571428564</v>
      </c>
      <c r="D214" t="str">
        <f t="shared" si="11"/>
        <v/>
      </c>
      <c r="E214" t="s">
        <v>248</v>
      </c>
    </row>
    <row r="215" spans="1:5" x14ac:dyDescent="0.2">
      <c r="A215" cm="1">
        <f t="array" ref="A215">INDEX(LINEST({1;2;3;5},{1,2;2,4;3,6;4,8},TRUE,TRUE),3,2)</f>
        <v>0.3872983346207417</v>
      </c>
      <c r="B215">
        <f t="shared" si="9"/>
        <v>0</v>
      </c>
      <c r="C215">
        <f t="shared" si="10"/>
        <v>0.3872983346207417</v>
      </c>
      <c r="D215" t="str">
        <f t="shared" si="11"/>
        <v/>
      </c>
      <c r="E215" t="s">
        <v>249</v>
      </c>
    </row>
    <row r="216" spans="1:5" x14ac:dyDescent="0.2">
      <c r="A216" cm="1">
        <f t="array" ref="A216">INDEX(LINEST({1;2;3;5},{1,2;2,4;3,6;4,8},TRUE,TRUE),4,1)</f>
        <v>56.333333333333329</v>
      </c>
      <c r="B216">
        <f t="shared" si="9"/>
        <v>0</v>
      </c>
      <c r="C216">
        <f t="shared" si="10"/>
        <v>56.333333333333329</v>
      </c>
      <c r="D216" t="str">
        <f t="shared" si="11"/>
        <v/>
      </c>
      <c r="E216" t="s">
        <v>250</v>
      </c>
    </row>
    <row r="217" spans="1:5" x14ac:dyDescent="0.2">
      <c r="A217" cm="1">
        <f t="array" ref="A217">INDEX(LINEST({1;2;3;5},{1,2;2,4;3,6;4,8},TRUE,TRUE),4,2)</f>
        <v>2</v>
      </c>
      <c r="B217">
        <f t="shared" si="9"/>
        <v>0</v>
      </c>
      <c r="C217">
        <f t="shared" si="10"/>
        <v>2</v>
      </c>
      <c r="D217" t="str">
        <f t="shared" si="11"/>
        <v/>
      </c>
      <c r="E217" t="s">
        <v>251</v>
      </c>
    </row>
    <row r="218" spans="1:5" x14ac:dyDescent="0.2">
      <c r="A218" cm="1">
        <f t="array" ref="A218">INDEX(LINEST({1;2;3;5},{1,2;2,4;3,6;4,8},TRUE,TRUE),5,1)</f>
        <v>8.4499999999999993</v>
      </c>
      <c r="B218">
        <f t="shared" si="9"/>
        <v>0</v>
      </c>
      <c r="C218">
        <f t="shared" si="10"/>
        <v>8.4499999999999993</v>
      </c>
      <c r="D218" t="str">
        <f t="shared" si="11"/>
        <v/>
      </c>
      <c r="E218" t="s">
        <v>252</v>
      </c>
    </row>
    <row r="219" spans="1:5" x14ac:dyDescent="0.2">
      <c r="A219" cm="1">
        <f t="array" ref="A219">INDEX(LINEST({1;2;3;5},{1,2;2,4;3,6;4,8},TRUE,TRUE),5,2)</f>
        <v>0.3</v>
      </c>
      <c r="B219">
        <f t="shared" si="9"/>
        <v>0</v>
      </c>
      <c r="C219">
        <f t="shared" si="10"/>
        <v>0.3</v>
      </c>
      <c r="D219" t="str">
        <f t="shared" si="11"/>
        <v/>
      </c>
      <c r="E219" t="s">
        <v>253</v>
      </c>
    </row>
    <row r="220" spans="1:5" x14ac:dyDescent="0.2">
      <c r="A220" cm="1">
        <f t="array" ref="A220">INDEX(LINEST({1;2;3},{1,1;2,2;3,3}),1,1)</f>
        <v>1</v>
      </c>
      <c r="B220">
        <f t="shared" si="9"/>
        <v>0</v>
      </c>
      <c r="C220">
        <f t="shared" si="10"/>
        <v>1</v>
      </c>
      <c r="D220" t="str">
        <f t="shared" si="11"/>
        <v/>
      </c>
      <c r="E220" t="s">
        <v>254</v>
      </c>
    </row>
    <row r="221" spans="1:5" x14ac:dyDescent="0.2">
      <c r="A221" cm="1">
        <f t="array" ref="A221">INDEX(LINEST({1;2;3},{1,1;2,2;3,3}),1,2)</f>
        <v>0</v>
      </c>
      <c r="B221">
        <f t="shared" si="9"/>
        <v>0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INDEX(LINEST({1;2;3},{1,1;2,2;3,3}),1,3)</f>
        <v>0</v>
      </c>
      <c r="B222">
        <f t="shared" si="9"/>
        <v>0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cm="1">
        <f t="array" ref="A223">INDEX(LINEST({1;2;3},{1,1;2,2;3,3},FALSE,TRUE),1,1)</f>
        <v>0</v>
      </c>
      <c r="B223">
        <f t="shared" si="9"/>
        <v>0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INDEX(LINEST({1;2;3},{1,1;2,2;3,3},FALSE,TRUE),1,2)</f>
        <v>1.0000000000000002</v>
      </c>
      <c r="B224">
        <f t="shared" si="9"/>
        <v>0</v>
      </c>
      <c r="C224">
        <f t="shared" si="10"/>
        <v>1.0000000000000002</v>
      </c>
      <c r="D224" t="str">
        <f t="shared" si="11"/>
        <v/>
      </c>
      <c r="E224" t="s">
        <v>258</v>
      </c>
    </row>
    <row r="225" spans="1:5" x14ac:dyDescent="0.2">
      <c r="A225" cm="1">
        <f t="array" ref="A225">INDEX(LINEST({1;2;3},{1,1;2,2;3,3},FALSE,TRUE),4,2)</f>
        <v>2</v>
      </c>
      <c r="B225">
        <f t="shared" si="9"/>
        <v>0</v>
      </c>
      <c r="C225">
        <f t="shared" si="10"/>
        <v>2</v>
      </c>
      <c r="D225" t="str">
        <f t="shared" si="11"/>
        <v/>
      </c>
      <c r="E225" t="s">
        <v>259</v>
      </c>
    </row>
    <row r="226" spans="1:5" x14ac:dyDescent="0.2">
      <c r="A226" cm="1">
        <f t="array" ref="A226">INDEX(LINEST({1;2;4;5},{1,0.5;2,1;3,1.5;5,2.5}),1,1)</f>
        <v>0</v>
      </c>
      <c r="B226">
        <f t="shared" si="9"/>
        <v>0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cm="1">
        <f t="array" ref="A227">INDEX(LINEST({1;2;4;5},{1,0.5;2,1;3,1.5;5,2.5}),1,2)</f>
        <v>1.0285714285714285</v>
      </c>
      <c r="B227">
        <f t="shared" si="9"/>
        <v>0</v>
      </c>
      <c r="C227">
        <f t="shared" si="10"/>
        <v>1.0285714285714285</v>
      </c>
      <c r="D227" t="str">
        <f t="shared" si="11"/>
        <v/>
      </c>
      <c r="E227" t="s">
        <v>261</v>
      </c>
    </row>
    <row r="228" spans="1:5" x14ac:dyDescent="0.2">
      <c r="A228" cm="1">
        <f t="array" ref="A228">INDEX(LINEST({1;2;4;5},{1,0.5;2,1;3,1.5;5,2.5}),1,3)</f>
        <v>0.17142857142857171</v>
      </c>
      <c r="B228">
        <f t="shared" si="9"/>
        <v>0</v>
      </c>
      <c r="C228">
        <f t="shared" si="10"/>
        <v>0.17142857142857171</v>
      </c>
      <c r="D228" t="str">
        <f t="shared" si="11"/>
        <v/>
      </c>
      <c r="E228" t="s">
        <v>262</v>
      </c>
    </row>
    <row r="229" spans="1:5" x14ac:dyDescent="0.2">
      <c r="A229" cm="1">
        <f t="array" ref="A229">INDEX(LINEST({1;2;4},{1,2;2,4;3,6},FALSE),1,1)</f>
        <v>0.60714285714285721</v>
      </c>
      <c r="B229">
        <f t="shared" si="9"/>
        <v>0</v>
      </c>
      <c r="C229">
        <f t="shared" si="10"/>
        <v>0.60714285714285721</v>
      </c>
      <c r="D229" t="str">
        <f t="shared" si="11"/>
        <v/>
      </c>
      <c r="E229" t="s">
        <v>263</v>
      </c>
    </row>
    <row r="230" spans="1:5" x14ac:dyDescent="0.2">
      <c r="A230" cm="1">
        <f t="array" ref="A230">INDEX(LINEST({1;2;4},{1,2;2,4;3,6},FALSE),1,2)</f>
        <v>0</v>
      </c>
      <c r="B230">
        <f t="shared" si="9"/>
        <v>0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INDEX(LINEST({1;2;4;5},{10,0;11,1;12,2;13,3}),1,1)</f>
        <v>1.4</v>
      </c>
      <c r="B231">
        <f t="shared" si="9"/>
        <v>0</v>
      </c>
      <c r="C231">
        <f t="shared" si="10"/>
        <v>1.4</v>
      </c>
      <c r="D231" t="str">
        <f t="shared" si="11"/>
        <v/>
      </c>
      <c r="E231" t="s">
        <v>265</v>
      </c>
    </row>
    <row r="232" spans="1:5" x14ac:dyDescent="0.2">
      <c r="A232" cm="1">
        <f t="array" ref="A232">INDEX(LINEST({1;2;4;5},{10,0;11,1;12,2;13,3}),1,2)</f>
        <v>0</v>
      </c>
      <c r="B232">
        <f t="shared" si="9"/>
        <v>0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cm="1">
        <f t="array" ref="A233">INDEX(LINEST({1;2;4;5},{10,0;11,1;12,2;13,3}),1,3)</f>
        <v>0.90000000000000036</v>
      </c>
      <c r="B233">
        <f t="shared" si="9"/>
        <v>0</v>
      </c>
      <c r="C233">
        <f t="shared" si="10"/>
        <v>0.90000000000000036</v>
      </c>
      <c r="D233" t="str">
        <f t="shared" si="11"/>
        <v/>
      </c>
      <c r="E233" t="s">
        <v>267</v>
      </c>
    </row>
    <row r="234" spans="1:5" x14ac:dyDescent="0.2">
      <c r="A234" cm="1">
        <f t="array" ref="A234">INDEX(LINEST({1;2;4;7},{1,1,2;2,1,3;3,2,5;4,2,6},TRUE,TRUE),1,1)</f>
        <v>1.9999999999999998</v>
      </c>
      <c r="B234">
        <f t="shared" si="9"/>
        <v>0</v>
      </c>
      <c r="C234">
        <f t="shared" si="10"/>
        <v>1.9999999999999998</v>
      </c>
      <c r="D234" t="str">
        <f t="shared" si="11"/>
        <v/>
      </c>
      <c r="E234" t="s">
        <v>268</v>
      </c>
    </row>
    <row r="235" spans="1:5" x14ac:dyDescent="0.2">
      <c r="A235" cm="1">
        <f t="array" ref="A235">INDEX(LINEST({1;2;4;7},{1,1,2;2,1,3;3,2,5;4,2,6},TRUE,TRUE),1,2)</f>
        <v>-1.9999999999999996</v>
      </c>
      <c r="B235">
        <f t="shared" si="9"/>
        <v>0</v>
      </c>
      <c r="C235">
        <f t="shared" si="10"/>
        <v>-1.9999999999999996</v>
      </c>
      <c r="D235" t="str">
        <f t="shared" si="11"/>
        <v/>
      </c>
      <c r="E235" t="s">
        <v>269</v>
      </c>
    </row>
    <row r="236" spans="1:5" x14ac:dyDescent="0.2">
      <c r="A236" cm="1">
        <f t="array" ref="A236">INDEX(LINEST({1;2;4;7},{1,1,2;2,1,3;3,2,5;4,2,6},TRUE,TRUE),1,3)</f>
        <v>0</v>
      </c>
      <c r="B236">
        <f t="shared" si="9"/>
        <v>0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INDEX(LINEST({1;2;4;7},{1,1,2;2,1,3;3,2,5;4,2,6},TRUE,TRUE),1,4)</f>
        <v>-1.5</v>
      </c>
      <c r="B237">
        <f t="shared" si="9"/>
        <v>0</v>
      </c>
      <c r="C237">
        <f t="shared" si="10"/>
        <v>-1.5</v>
      </c>
      <c r="D237" t="str">
        <f t="shared" si="11"/>
        <v/>
      </c>
      <c r="E237" t="s">
        <v>271</v>
      </c>
    </row>
    <row r="238" spans="1:5" x14ac:dyDescent="0.2">
      <c r="A238" cm="1">
        <f t="array" ref="A238">INDEX(LINEST({1;2;4;7},{1,1,2;2,1,3;3,2,5;4,2,6},TRUE,TRUE),4,1)</f>
        <v>10.000000000000018</v>
      </c>
      <c r="B238">
        <f t="shared" si="9"/>
        <v>0</v>
      </c>
      <c r="C238">
        <f t="shared" si="10"/>
        <v>10.000000000000018</v>
      </c>
      <c r="D238" t="str">
        <f t="shared" si="11"/>
        <v/>
      </c>
      <c r="E238" t="s">
        <v>272</v>
      </c>
    </row>
    <row r="239" spans="1:5" x14ac:dyDescent="0.2">
      <c r="A239" cm="1">
        <f t="array" ref="A239">INDEX(LINEST({1;2;4;7},{1,1,2;2,1,3;3,2,5;4,2,6},TRUE,TRUE),4,2)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273</v>
      </c>
    </row>
    <row r="240" spans="1:5" x14ac:dyDescent="0.2">
      <c r="A240" cm="1">
        <f t="array" ref="A240">INDEX(LINEST({1;2;4;7},{1,1,2;2,1,3;3,2,5;4,2,6},FALSE),1,1)</f>
        <v>-1.3636363636363655</v>
      </c>
      <c r="B240">
        <f t="shared" si="9"/>
        <v>0</v>
      </c>
      <c r="C240">
        <f t="shared" si="10"/>
        <v>-1.3636363636363655</v>
      </c>
      <c r="D240" t="str">
        <f t="shared" si="11"/>
        <v/>
      </c>
      <c r="E240" t="s">
        <v>274</v>
      </c>
    </row>
    <row r="241" spans="1:5" x14ac:dyDescent="0.2">
      <c r="A241" cm="1">
        <f t="array" ref="A241">INDEX(LINEST({1;2;4;7},{1,1,2;2,1,3;3,2,5;4,2,6},FALSE),1,2)</f>
        <v>0</v>
      </c>
      <c r="B241">
        <f t="shared" si="9"/>
        <v>0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INDEX(LINEST({1;2;4;7},{1,1,2;2,1,3;3,2,5;4,2,6},FALSE),1,3)</f>
        <v>3.6363636363636394</v>
      </c>
      <c r="B242">
        <f t="shared" si="9"/>
        <v>0</v>
      </c>
      <c r="C242">
        <f t="shared" si="10"/>
        <v>3.6363636363636394</v>
      </c>
      <c r="D242" t="str">
        <f t="shared" si="11"/>
        <v/>
      </c>
      <c r="E242" t="s">
        <v>276</v>
      </c>
    </row>
    <row r="243" spans="1:5" x14ac:dyDescent="0.2">
      <c r="A243" cm="1">
        <f t="array" ref="A243">INDEX(LINEST({1;2;3;5},{1,1,2;2,1,4;3,1,6;4,1,8},TRUE,TRUE),1,1)</f>
        <v>0.65</v>
      </c>
      <c r="B243">
        <f t="shared" si="9"/>
        <v>0</v>
      </c>
      <c r="C243">
        <f t="shared" si="10"/>
        <v>0.65</v>
      </c>
      <c r="D243" t="str">
        <f t="shared" si="11"/>
        <v/>
      </c>
      <c r="E243" t="s">
        <v>277</v>
      </c>
    </row>
    <row r="244" spans="1:5" x14ac:dyDescent="0.2">
      <c r="A244" cm="1">
        <f t="array" ref="A244">INDEX(LINEST({1;2;3;5},{1,1,2;2,1,4;3,1,6;4,1,8},TRUE,TRUE),1,2)</f>
        <v>0</v>
      </c>
      <c r="B244">
        <f t="shared" si="9"/>
        <v>0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cm="1">
        <f t="array" ref="A245">INDEX(LINEST({1;2;3;5},{1,1,2;2,1,4;3,1,6;4,1,8},TRUE,TRUE),1,3)</f>
        <v>0</v>
      </c>
      <c r="B245">
        <f t="shared" si="9"/>
        <v>0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INDEX(LINEST({1;2;3;5},{1,1,2;2,1,4;3,1,6;4,1,8},TRUE,TRUE),1,4)</f>
        <v>-0.5</v>
      </c>
      <c r="B246">
        <f t="shared" si="9"/>
        <v>0</v>
      </c>
      <c r="C246">
        <f t="shared" si="10"/>
        <v>-0.5</v>
      </c>
      <c r="D246" t="str">
        <f t="shared" si="11"/>
        <v/>
      </c>
      <c r="E246" t="s">
        <v>280</v>
      </c>
    </row>
    <row r="247" spans="1:5" x14ac:dyDescent="0.2">
      <c r="A247" cm="1">
        <f t="array" ref="A247">INDEX(LINEST({1;2;3;5},{1,1,2;2,1,4;3,1,6;4,1,8},TRUE,TRUE),2,3)</f>
        <v>0</v>
      </c>
      <c r="B247">
        <f t="shared" si="9"/>
        <v>0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cm="1">
        <f t="array" ref="A248">INDEX(LINEST({1;2;3;5},{1,1,2;2,1,4;3,1,6;4,1,8},TRUE,TRUE),2,4)</f>
        <v>0.10319961748964883</v>
      </c>
      <c r="B248">
        <f t="shared" si="9"/>
        <v>0</v>
      </c>
      <c r="C248">
        <f t="shared" si="10"/>
        <v>0.10319961748964883</v>
      </c>
      <c r="D248" t="str">
        <f t="shared" si="11"/>
        <v/>
      </c>
      <c r="E248" t="s">
        <v>282</v>
      </c>
    </row>
    <row r="249" spans="1:5" x14ac:dyDescent="0.2">
      <c r="A249" cm="1">
        <f t="array" ref="A249">INDEX(LINEST({1;2;3;5},{1,1,2;2,1,4;3,1,6;4,1,8},TRUE,TRUE),4,1)</f>
        <v>615.68786506462641</v>
      </c>
      <c r="B249">
        <f t="shared" si="9"/>
        <v>0</v>
      </c>
      <c r="C249">
        <f t="shared" si="10"/>
        <v>615.68786506462641</v>
      </c>
      <c r="D249" t="str">
        <f t="shared" si="11"/>
        <v/>
      </c>
      <c r="E249" t="s">
        <v>283</v>
      </c>
    </row>
    <row r="250" spans="1:5" x14ac:dyDescent="0.2">
      <c r="A250" cm="1">
        <f t="array" ref="A250">INDEX(LINEST({1;2;3;5},{1,1,2;2,1,4;3,1,6;4,1,8},TRUE,TRUE),4,2)</f>
        <v>1</v>
      </c>
      <c r="B250">
        <f t="shared" si="9"/>
        <v>0</v>
      </c>
      <c r="C250">
        <f t="shared" si="10"/>
        <v>1</v>
      </c>
      <c r="D250" t="str">
        <f t="shared" si="11"/>
        <v/>
      </c>
      <c r="E250" t="s">
        <v>284</v>
      </c>
    </row>
    <row r="251" spans="1:5" x14ac:dyDescent="0.2">
      <c r="A251" cm="1">
        <f t="array" ref="A251">INDEX(LINEST({1,2,3},{1,2,3;2,4,6}),1,1)</f>
        <v>0.5</v>
      </c>
      <c r="B251">
        <f t="shared" si="9"/>
        <v>0</v>
      </c>
      <c r="C251">
        <f t="shared" si="10"/>
        <v>0.5</v>
      </c>
      <c r="D251" t="str">
        <f t="shared" si="11"/>
        <v/>
      </c>
      <c r="E251" t="s">
        <v>285</v>
      </c>
    </row>
    <row r="252" spans="1:5" x14ac:dyDescent="0.2">
      <c r="A252" cm="1">
        <f t="array" ref="A252">INDEX(LINEST({1,2,3},{1,2,3;2,4,6}),1,2)</f>
        <v>0</v>
      </c>
      <c r="B252">
        <f t="shared" si="9"/>
        <v>0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cm="1">
        <f t="array" ref="A253">INDEX(LINEST({1,2,3},{1,2,3;2,4,6}),1,3)</f>
        <v>0</v>
      </c>
      <c r="B253">
        <f t="shared" si="9"/>
        <v>0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INDEX(LINEST({1;2;3},{0;0;0}),1,1)</f>
        <v>0</v>
      </c>
      <c r="B254">
        <f t="shared" si="9"/>
        <v>0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cm="1">
        <f t="array" ref="A255">INDEX(LINEST({1;2;3},{0;0;0}),1,2)</f>
        <v>2</v>
      </c>
      <c r="B255">
        <f t="shared" si="9"/>
        <v>0</v>
      </c>
      <c r="C255">
        <f t="shared" si="10"/>
        <v>2</v>
      </c>
      <c r="D255" t="str">
        <f t="shared" si="11"/>
        <v/>
      </c>
      <c r="E255" t="s">
        <v>289</v>
      </c>
    </row>
    <row r="256" spans="1:5" x14ac:dyDescent="0.2">
      <c r="A256" cm="1">
        <f t="array" ref="A256">INDEX(LINEST({1;2;3},{0;0;0},FALSE,TRUE),1,1)</f>
        <v>0</v>
      </c>
      <c r="B256">
        <f t="shared" si="9"/>
        <v>0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INDEX(LINEST({1;2;3},{0;0;0},FALSE,TRUE),4,2)</f>
        <v>2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02" si="13">IF(ISNUMBER(A257),A257,0)</f>
        <v>2</v>
      </c>
      <c r="D257" t="str">
        <f t="shared" ref="D257:D302" si="14">IF(ISTEXT(A257),A257,"")</f>
        <v/>
      </c>
      <c r="E257" t="s">
        <v>291</v>
      </c>
    </row>
    <row r="258" spans="1:5" x14ac:dyDescent="0.2">
      <c r="A258" cm="1">
        <f t="array" ref="A258">INDEX(LINEST({2;2;2},{1;2;3},TRUE,TRUE),3,1)</f>
        <v>1</v>
      </c>
      <c r="B258">
        <f t="shared" si="12"/>
        <v>0</v>
      </c>
      <c r="C258">
        <f t="shared" si="13"/>
        <v>1</v>
      </c>
      <c r="D258" t="str">
        <f t="shared" si="14"/>
        <v/>
      </c>
      <c r="E258" t="s">
        <v>292</v>
      </c>
    </row>
    <row r="259" spans="1:5" x14ac:dyDescent="0.2">
      <c r="A259" cm="1">
        <f t="array" ref="A259">INDEX(LINEST({2;2;2},{1;2;3},TRUE,TRUE),3,2)</f>
        <v>0</v>
      </c>
      <c r="B259">
        <f t="shared" si="12"/>
        <v>0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INDEX(LINEST({2;2;2},{1;2;3},TRUE,TRUE),4,1)</f>
        <v>#NUM!</v>
      </c>
      <c r="B260">
        <f t="shared" si="12"/>
        <v>6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cm="1">
        <f t="array" ref="A261">INDEX(LINEST(5,{1,2,3},TRUE,TRUE),1,1)</f>
        <v>0</v>
      </c>
      <c r="B261">
        <f t="shared" si="12"/>
        <v>0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cm="1">
        <f t="array" ref="A262">INDEX(LINEST(5,{1,2,3},TRUE,TRUE),1,2)</f>
        <v>0</v>
      </c>
      <c r="B262">
        <f t="shared" si="12"/>
        <v>0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INDEX(LINEST(5,{1,2,3},TRUE,TRUE),1,3)</f>
        <v>0</v>
      </c>
      <c r="B263">
        <f t="shared" si="12"/>
        <v>0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cm="1">
        <f t="array" ref="A264">INDEX(LINEST(5,{1,2,3},TRUE,TRUE),1,4)</f>
        <v>5</v>
      </c>
      <c r="B264">
        <f t="shared" si="12"/>
        <v>0</v>
      </c>
      <c r="C264">
        <f t="shared" si="13"/>
        <v>5</v>
      </c>
      <c r="D264" t="str">
        <f t="shared" si="14"/>
        <v/>
      </c>
      <c r="E264" t="s">
        <v>298</v>
      </c>
    </row>
    <row r="265" spans="1:5" x14ac:dyDescent="0.2">
      <c r="A265" cm="1">
        <f t="array" ref="A265">INDEX(LINEST(5,{1,2,3},TRUE,TRUE),2,1)</f>
        <v>0</v>
      </c>
      <c r="B265">
        <f t="shared" si="12"/>
        <v>0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INDEX(LINEST(5,{1,2,3},TRUE,TRUE),2,4)</f>
        <v>0</v>
      </c>
      <c r="B266">
        <f t="shared" si="12"/>
        <v>0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cm="1">
        <f t="array" ref="A267">INDEX(LINEST(5,{1,2,3},TRUE,TRUE),3,1)</f>
        <v>1</v>
      </c>
      <c r="B267">
        <f t="shared" si="12"/>
        <v>0</v>
      </c>
      <c r="C267">
        <f t="shared" si="13"/>
        <v>1</v>
      </c>
      <c r="D267" t="str">
        <f t="shared" si="14"/>
        <v/>
      </c>
      <c r="E267" t="s">
        <v>301</v>
      </c>
    </row>
    <row r="268" spans="1:5" x14ac:dyDescent="0.2">
      <c r="A268" cm="1">
        <f t="array" ref="A268">INDEX(LINEST(5,{1,2,3},TRUE,TRUE),3,2)</f>
        <v>0</v>
      </c>
      <c r="B268">
        <f t="shared" si="12"/>
        <v>0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cm="1">
        <f t="array" ref="A269">INDEX(LINEST(5,{1,2,3},TRUE,TRUE),4,2)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INDEX(LINEST(5,{1,2,3},FALSE),1,1)</f>
        <v>1.6666666666666667</v>
      </c>
      <c r="B270">
        <f t="shared" si="12"/>
        <v>0</v>
      </c>
      <c r="C270">
        <f t="shared" si="13"/>
        <v>1.6666666666666667</v>
      </c>
      <c r="D270" t="str">
        <f t="shared" si="14"/>
        <v/>
      </c>
      <c r="E270" t="s">
        <v>304</v>
      </c>
    </row>
    <row r="271" spans="1:5" x14ac:dyDescent="0.2">
      <c r="A271" cm="1">
        <f t="array" ref="A271">INDEX(LINEST(5,{1,2,3},FALSE),1,2)</f>
        <v>0</v>
      </c>
      <c r="B271">
        <f t="shared" si="12"/>
        <v>0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cm="1">
        <f t="array" ref="A272">INDEX(LINEST(5,{1,2,3},FALSE),1,3)</f>
        <v>0</v>
      </c>
      <c r="B272">
        <f t="shared" si="12"/>
        <v>0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INDEX(LINEST(5,{1,2,3},FALSE),1,4)</f>
        <v>0</v>
      </c>
      <c r="B273">
        <f t="shared" si="12"/>
        <v>0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INDEX(LINEST(5,D!BC1:BC6),1,1)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INDEX(LINEST(5,D!BC1:BC6),1,7)</f>
        <v>5</v>
      </c>
      <c r="B275">
        <f t="shared" si="12"/>
        <v>0</v>
      </c>
      <c r="C275">
        <f t="shared" si="13"/>
        <v>5</v>
      </c>
      <c r="D275" t="str">
        <f t="shared" si="14"/>
        <v/>
      </c>
      <c r="E275" t="s">
        <v>309</v>
      </c>
    </row>
    <row r="276" spans="1:5" x14ac:dyDescent="0.2">
      <c r="A276" cm="1">
        <f t="array" ref="A276">INDEX(LINEST(D!B1,D!C1,TRUE,TRUE),1,1)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INDEX(LINEST(D!B1,D!C1,TRUE,TRUE),1,2)</f>
        <v>4</v>
      </c>
      <c r="B277">
        <f t="shared" si="12"/>
        <v>0</v>
      </c>
      <c r="C277">
        <f t="shared" si="13"/>
        <v>4</v>
      </c>
      <c r="D277" t="str">
        <f t="shared" si="14"/>
        <v/>
      </c>
      <c r="E277" t="s">
        <v>311</v>
      </c>
    </row>
    <row r="278" spans="1:5" x14ac:dyDescent="0.2">
      <c r="A278" cm="1">
        <f t="array" ref="A278">INDEX(LINEST(D!B1,D!C1,TRUE,TRUE),2,1)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cm="1">
        <f t="array" ref="A279">INDEX(LINEST(D!B1,D!C1,TRUE,TRUE),2,2)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INDEX(LINEST(D!B1,D!C1,TRUE,TRUE),3,1)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314</v>
      </c>
    </row>
    <row r="281" spans="1:5" x14ac:dyDescent="0.2">
      <c r="A281" cm="1">
        <f t="array" ref="A281">INDEX(LINEST(D!B1,D!C1,TRUE,TRUE),3,2)</f>
        <v>0</v>
      </c>
      <c r="B281">
        <f t="shared" si="12"/>
        <v>0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INDEX(LINEST(D!B1,D!C1,TRUE,TRUE),4,1)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INDEX(LINEST(D!B1,D!C1,TRUE,TRUE),4,2)</f>
        <v>0</v>
      </c>
      <c r="B283">
        <f t="shared" si="12"/>
        <v>0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cm="1">
        <f t="array" ref="A284">INDEX(LINEST(D!B1,D!C1,TRUE,TRUE),5,1)</f>
        <v>0</v>
      </c>
      <c r="B284">
        <f t="shared" si="12"/>
        <v>0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COLUMNS(LINEST(5,D!BC1:BC6))</f>
        <v>7</v>
      </c>
      <c r="B285">
        <f t="shared" si="12"/>
        <v>0</v>
      </c>
      <c r="C285">
        <f t="shared" si="13"/>
        <v>7</v>
      </c>
      <c r="D285" t="str">
        <f t="shared" si="14"/>
        <v/>
      </c>
      <c r="E285" t="s">
        <v>319</v>
      </c>
    </row>
    <row r="286" spans="1:5" x14ac:dyDescent="0.2">
      <c r="A286" cm="1">
        <f t="array" ref="A286">COLUMNS(LINEST(5,{1,2,3}))</f>
        <v>4</v>
      </c>
      <c r="B286">
        <f t="shared" si="12"/>
        <v>0</v>
      </c>
      <c r="C286">
        <f t="shared" si="13"/>
        <v>4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INDEX(LINEST(D!L1:N6,D!BC1:BC6),1,1)</f>
        <v>#REF!</v>
      </c>
      <c r="B287">
        <f t="shared" si="12"/>
        <v>4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INDEX(LINEST(D!B1:B8,D!L1:N6),1,1)</f>
        <v>#REF!</v>
      </c>
      <c r="B288">
        <f t="shared" si="12"/>
        <v>4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INDEX(LINEST(D!L1:L6,D!M1:M6),1,1)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INDEX(LINEST(D!B1:B8,D!D1:D8),1,1)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INDEX(LOGEST(1000,D!BC1:BC6),1,1)</f>
        <v>1</v>
      </c>
      <c r="B291">
        <f t="shared" si="12"/>
        <v>0</v>
      </c>
      <c r="C291">
        <f t="shared" si="13"/>
        <v>1</v>
      </c>
      <c r="D291" t="str">
        <f t="shared" si="14"/>
        <v/>
      </c>
      <c r="E291" t="s">
        <v>325</v>
      </c>
    </row>
    <row r="292" spans="1:5" x14ac:dyDescent="0.2">
      <c r="A292" cm="1">
        <f t="array" ref="A292">INDEX(LOGEST(1000,D!BC1:BC6),1,7)</f>
        <v>999.99999999999977</v>
      </c>
      <c r="B292">
        <f t="shared" si="12"/>
        <v>0</v>
      </c>
      <c r="C292">
        <f t="shared" si="13"/>
        <v>999.99999999999977</v>
      </c>
      <c r="D292" t="str">
        <f t="shared" si="14"/>
        <v/>
      </c>
      <c r="E292" t="s">
        <v>326</v>
      </c>
    </row>
    <row r="293" spans="1:5" x14ac:dyDescent="0.2">
      <c r="A293" cm="1">
        <f t="array" ref="A293">COLUMNS(LOGEST(1000,D!BC1:BC6))</f>
        <v>7</v>
      </c>
      <c r="B293">
        <f t="shared" si="12"/>
        <v>0</v>
      </c>
      <c r="C293">
        <f t="shared" si="13"/>
        <v>7</v>
      </c>
      <c r="D293" t="str">
        <f t="shared" si="14"/>
        <v/>
      </c>
      <c r="E293" t="s">
        <v>327</v>
      </c>
    </row>
    <row r="294" spans="1:5" x14ac:dyDescent="0.2">
      <c r="A294" cm="1">
        <f t="array" ref="A294">INDEX(LOGEST(5,{1,2,3}),1,4)</f>
        <v>4.9999999999999991</v>
      </c>
      <c r="B294">
        <f t="shared" si="12"/>
        <v>0</v>
      </c>
      <c r="C294">
        <f t="shared" si="13"/>
        <v>4.9999999999999991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LOGEST(D!L1:N6,D!BC1:BC6)</f>
        <v>#REF!</v>
      </c>
      <c r="B295">
        <f t="shared" si="12"/>
        <v>4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INDEX(TREND({1;2;3;5},{1,2;2,4;3,6;4,8}),4)</f>
        <v>4.7</v>
      </c>
      <c r="B296">
        <f t="shared" si="12"/>
        <v>0</v>
      </c>
      <c r="C296">
        <f t="shared" si="13"/>
        <v>4.7</v>
      </c>
      <c r="D296" t="str">
        <f t="shared" si="14"/>
        <v/>
      </c>
      <c r="E296" t="s">
        <v>330</v>
      </c>
    </row>
    <row r="297" spans="1:5" x14ac:dyDescent="0.2">
      <c r="A297" cm="1">
        <f t="array" ref="A297">TREND(5,{1,2,3},{1,2,3})</f>
        <v>5</v>
      </c>
      <c r="B297">
        <f t="shared" si="12"/>
        <v>0</v>
      </c>
      <c r="C297">
        <f t="shared" si="13"/>
        <v>5</v>
      </c>
      <c r="D297" t="str">
        <f t="shared" si="14"/>
        <v/>
      </c>
      <c r="E297" t="s">
        <v>331</v>
      </c>
    </row>
    <row r="298" spans="1:5" x14ac:dyDescent="0.2">
      <c r="A298" cm="1">
        <f t="array" ref="A298">INDEX(TREND({1;2;3;5},{1,2;2,4;3,6;4,8},{5,10}),1,1)</f>
        <v>6</v>
      </c>
      <c r="B298">
        <f t="shared" si="12"/>
        <v>0</v>
      </c>
      <c r="C298">
        <f t="shared" si="13"/>
        <v>6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TREND(D!AY1:AY5,D!AZ1:AZ5,D!E1:E8)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TREND(D!AY1:AY5,D!AZ1:AZ5,{1,#N/A})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GROWTH(5,{1,2,3},{1,2,3})</f>
        <v>4.9999999999999991</v>
      </c>
      <c r="B301">
        <f t="shared" si="12"/>
        <v>0</v>
      </c>
      <c r="C301">
        <f t="shared" si="13"/>
        <v>4.9999999999999991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GROWTH(D!BB1:BB6,D!BC1:BC6,{17,#N/A})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s">
        <v>337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2026-10-07T05:15:46Z</dcterms:created>
  <dcterms:modified xsi:type="dcterms:W3CDTF">2026-10-07T05:15:46Z</dcterms:modified>
  <cp:category/>
</cp:coreProperties>
</file>