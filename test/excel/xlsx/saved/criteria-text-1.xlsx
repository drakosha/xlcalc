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2DA37354-2872-204C-B981-5311882C078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N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3" l="1" a="1"/>
  <c r="A37" i="3" s="1"/>
  <c r="D37" i="3" s="1"/>
  <c r="A36" i="3" a="1"/>
  <c r="A36" i="3" s="1"/>
  <c r="A35" i="3" a="1"/>
  <c r="A35" i="3" s="1"/>
  <c r="A34" i="3" a="1"/>
  <c r="A34" i="3" s="1"/>
  <c r="A33" i="3" a="1"/>
  <c r="A33" i="3"/>
  <c r="D33" i="3" s="1"/>
  <c r="A32" i="3" a="1"/>
  <c r="A32" i="3" s="1"/>
  <c r="A31" i="3" a="1"/>
  <c r="A31" i="3" s="1"/>
  <c r="A30" i="3" a="1"/>
  <c r="A30" i="3" s="1"/>
  <c r="A29" i="3" a="1"/>
  <c r="A29" i="3" s="1"/>
  <c r="B29" i="3" s="1"/>
  <c r="A28" i="3" a="1"/>
  <c r="A28" i="3" s="1"/>
  <c r="A27" i="3" a="1"/>
  <c r="A27" i="3" s="1"/>
  <c r="A26" i="3" a="1"/>
  <c r="A26" i="3" s="1"/>
  <c r="A25" i="3" a="1"/>
  <c r="A25" i="3"/>
  <c r="D25" i="3" s="1"/>
  <c r="A24" i="3" a="1"/>
  <c r="A24" i="3" s="1"/>
  <c r="A23" i="3" a="1"/>
  <c r="A23" i="3" s="1"/>
  <c r="A22" i="3" a="1"/>
  <c r="A22" i="3" s="1"/>
  <c r="A21" i="3" a="1"/>
  <c r="A21" i="3"/>
  <c r="D21" i="3" s="1"/>
  <c r="A20" i="3" a="1"/>
  <c r="A20" i="3"/>
  <c r="D20" i="3" s="1"/>
  <c r="A19" i="3" a="1"/>
  <c r="A19" i="3" s="1"/>
  <c r="D19" i="3" s="1"/>
  <c r="A18" i="3" a="1"/>
  <c r="A18" i="3"/>
  <c r="C18" i="3" s="1"/>
  <c r="A17" i="3" a="1"/>
  <c r="A17" i="3"/>
  <c r="C17" i="3" s="1"/>
  <c r="A16" i="3" a="1"/>
  <c r="A16" i="3" s="1"/>
  <c r="A15" i="3" a="1"/>
  <c r="A15" i="3"/>
  <c r="D15" i="3" s="1"/>
  <c r="A14" i="3" a="1"/>
  <c r="A14" i="3" s="1"/>
  <c r="D14" i="3" s="1"/>
  <c r="A13" i="3" a="1"/>
  <c r="A13" i="3" s="1"/>
  <c r="C13" i="3" s="1"/>
  <c r="A12" i="3" a="1"/>
  <c r="A12" i="3"/>
  <c r="C12" i="3" s="1"/>
  <c r="A11" i="3" a="1"/>
  <c r="A11" i="3"/>
  <c r="B11" i="3" s="1"/>
  <c r="A10" i="3" a="1"/>
  <c r="A10" i="3" s="1"/>
  <c r="A9" i="3" a="1"/>
  <c r="A9" i="3" s="1"/>
  <c r="A8" i="3" a="1"/>
  <c r="A8" i="3" s="1"/>
  <c r="A7" i="3" a="1"/>
  <c r="A7" i="3" s="1"/>
  <c r="A6" i="3" a="1"/>
  <c r="A6" i="3"/>
  <c r="D6" i="3" s="1"/>
  <c r="A5" i="3" a="1"/>
  <c r="A5" i="3" s="1"/>
  <c r="A4" i="3" a="1"/>
  <c r="A4" i="3" s="1"/>
  <c r="A3" i="3" a="1"/>
  <c r="A3" i="3" s="1"/>
  <c r="D3" i="3" s="1"/>
  <c r="A2" i="3" a="1"/>
  <c r="A2" i="3"/>
  <c r="D2" i="3" s="1"/>
  <c r="A1" i="3" a="1"/>
  <c r="A1" i="3"/>
  <c r="D1" i="3" s="1"/>
  <c r="I15" i="2"/>
  <c r="A14" i="2"/>
  <c r="A13" i="2"/>
  <c r="AL10" i="2"/>
  <c r="A8" i="2"/>
  <c r="A7" i="2"/>
  <c r="E3" i="2"/>
  <c r="B23" i="3" l="1"/>
  <c r="D23" i="3"/>
  <c r="C23" i="3"/>
  <c r="D12" i="3"/>
  <c r="C4" i="3"/>
  <c r="D4" i="3"/>
  <c r="B4" i="3"/>
  <c r="B5" i="3"/>
  <c r="D5" i="3"/>
  <c r="C5" i="3"/>
  <c r="D16" i="3"/>
  <c r="C16" i="3"/>
  <c r="B16" i="3"/>
  <c r="C26" i="3"/>
  <c r="D26" i="3"/>
  <c r="B26" i="3"/>
  <c r="D7" i="3"/>
  <c r="C7" i="3"/>
  <c r="B7" i="3"/>
  <c r="D28" i="3"/>
  <c r="C28" i="3"/>
  <c r="B28" i="3"/>
  <c r="C35" i="3"/>
  <c r="B35" i="3"/>
  <c r="D35" i="3"/>
  <c r="D24" i="3"/>
  <c r="B24" i="3"/>
  <c r="C24" i="3"/>
  <c r="D32" i="3"/>
  <c r="C32" i="3"/>
  <c r="B32" i="3"/>
  <c r="C36" i="3"/>
  <c r="B36" i="3"/>
  <c r="D36" i="3"/>
  <c r="D27" i="3"/>
  <c r="B27" i="3"/>
  <c r="C27" i="3"/>
  <c r="C30" i="3"/>
  <c r="B30" i="3"/>
  <c r="D30" i="3"/>
  <c r="D31" i="3"/>
  <c r="C31" i="3"/>
  <c r="B31" i="3"/>
  <c r="B8" i="3"/>
  <c r="D8" i="3"/>
  <c r="C8" i="3"/>
  <c r="B9" i="3"/>
  <c r="D9" i="3"/>
  <c r="C9" i="3"/>
  <c r="B10" i="3"/>
  <c r="D10" i="3"/>
  <c r="C10" i="3"/>
  <c r="D22" i="3"/>
  <c r="C22" i="3"/>
  <c r="B22" i="3"/>
  <c r="B34" i="3"/>
  <c r="D34" i="3"/>
  <c r="C34" i="3"/>
  <c r="B20" i="3"/>
  <c r="C20" i="3"/>
  <c r="C2" i="3"/>
  <c r="B13" i="3"/>
  <c r="C6" i="3"/>
  <c r="B3" i="3"/>
  <c r="D17" i="3"/>
  <c r="C11" i="3"/>
  <c r="D18" i="3"/>
  <c r="C29" i="3"/>
  <c r="B2" i="3"/>
  <c r="D13" i="3"/>
  <c r="D11" i="3"/>
  <c r="B15" i="3"/>
  <c r="D29" i="3"/>
  <c r="C33" i="3"/>
  <c r="B21" i="3"/>
  <c r="C3" i="3"/>
  <c r="B14" i="3"/>
  <c r="C21" i="3"/>
  <c r="C14" i="3"/>
  <c r="B25" i="3"/>
  <c r="B18" i="3"/>
  <c r="C25" i="3"/>
  <c r="B33" i="3"/>
  <c r="B37" i="3"/>
  <c r="B6" i="3"/>
  <c r="B17" i="3"/>
  <c r="B12" i="3"/>
  <c r="C19" i="3"/>
  <c r="C37" i="3"/>
  <c r="C15" i="3"/>
  <c r="B1" i="3"/>
  <c r="B19" i="3"/>
  <c r="C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<sst xmlns="http://schemas.openxmlformats.org/spreadsheetml/2006/main" count="107" uniqueCount="83">
  <si>
    <t>TRUE</t>
  </si>
  <si>
    <t>ИСТИНА</t>
  </si>
  <si>
    <t>2</t>
  </si>
  <si>
    <t>1,000</t>
  </si>
  <si>
    <t>1/31/2025</t>
  </si>
  <si>
    <t>50%</t>
  </si>
  <si>
    <t>$1,000</t>
  </si>
  <si>
    <t>1 1/2</t>
  </si>
  <si>
    <t>2025-01-31</t>
  </si>
  <si>
    <t>2.5</t>
  </si>
  <si>
    <t>2,5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</si>
  <si>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</si>
  <si>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</si>
  <si>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</si>
  <si>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</si>
  <si>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</si>
  <si>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</si>
  <si>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</si>
  <si>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</si>
  <si>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</si>
  <si>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</si>
  <si>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</si>
  <si>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</si>
  <si>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</si>
  <si>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</si>
  <si>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</si>
  <si>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</si>
  <si>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</si>
  <si>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</si>
  <si>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</si>
  <si>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</si>
  <si>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</si>
  <si>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</si>
  <si>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</si>
  <si>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</si>
  <si>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</si>
  <si>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</si>
  <si>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</si>
  <si>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</si>
  <si>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</si>
  <si>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</si>
  <si>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</si>
  <si>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</si>
  <si>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</si>
  <si>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</si>
  <si>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criteria#1</t>
  </si>
  <si>
    <t>criteria#2</t>
  </si>
  <si>
    <t>criteria#3</t>
  </si>
  <si>
    <t>criteria#4</t>
  </si>
  <si>
    <t>criteria#5</t>
  </si>
  <si>
    <t>criteria#6</t>
  </si>
  <si>
    <t>criteria#7</t>
  </si>
  <si>
    <t>criteria#8</t>
  </si>
  <si>
    <t>criteria#9</t>
  </si>
  <si>
    <t>criteria#10</t>
  </si>
  <si>
    <t>criteria#11</t>
  </si>
  <si>
    <t>criteria#12</t>
  </si>
  <si>
    <t>criteria#13</t>
  </si>
  <si>
    <t>criteria#14</t>
  </si>
  <si>
    <t>criteria#15</t>
  </si>
  <si>
    <t>criteria#16</t>
  </si>
  <si>
    <t>criteria#17</t>
  </si>
  <si>
    <t>criteria#18</t>
  </si>
  <si>
    <t>criteria#19</t>
  </si>
  <si>
    <t>criteria#20</t>
  </si>
  <si>
    <t>criteria#21</t>
  </si>
  <si>
    <t>criteria#22</t>
  </si>
  <si>
    <t>criteria#23</t>
  </si>
  <si>
    <t>criteria#24</t>
  </si>
  <si>
    <t>criteria#25</t>
  </si>
  <si>
    <t>criteria#26</t>
  </si>
  <si>
    <t>criteria#27</t>
  </si>
  <si>
    <t>criteria#28</t>
  </si>
  <si>
    <t>criteria#29</t>
  </si>
  <si>
    <t>criteria#30</t>
  </si>
  <si>
    <t>criteria#31</t>
  </si>
  <si>
    <t>criteria#32</t>
  </si>
  <si>
    <t>criteria#33</t>
  </si>
  <si>
    <t>criteria#34</t>
  </si>
  <si>
    <t>criteria#35</t>
  </si>
  <si>
    <t>criteria#36</t>
  </si>
  <si>
    <t>criteria#37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</si>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</sst>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/>
  </sheetViews>
  <sheetFormatPr baseColWidth="10" defaultColWidth="8.83203125" defaultRowHeight="15" x14ac:dyDescent="0.2"/>
  <sheetData>
    <row r="1" spans="1:17" x14ac:dyDescent="0.2">
      <c r="A1" t="s">
        <v>0</v>
      </c>
      <c r="B1" t="b">
        <v>1</v>
      </c>
      <c r="C1" t="s">
        <v>1</v>
      </c>
      <c r="D1" t="s">
        <v>2</v>
      </c>
      <c r="E1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>
        <v>45688</v>
      </c>
      <c r="P1">
        <v>0.5</v>
      </c>
      <c r="Q1">
        <v>1000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11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12</v>
      </c>
      <c r="N1">
        <v>10</v>
      </c>
      <c r="P1">
        <v>1</v>
      </c>
      <c r="Q1">
        <v>2</v>
      </c>
      <c r="R1">
        <v>5</v>
      </c>
      <c r="S1">
        <v>6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AA1" t="s">
        <v>13</v>
      </c>
      <c r="AB1" t="s">
        <v>14</v>
      </c>
      <c r="AC1" t="s">
        <v>13</v>
      </c>
      <c r="AD1" t="s">
        <v>13</v>
      </c>
      <c r="AE1" t="s">
        <v>13</v>
      </c>
      <c r="AF1" t="s">
        <v>13</v>
      </c>
      <c r="AG1" t="s">
        <v>13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18</v>
      </c>
    </row>
    <row r="2" spans="1:60" x14ac:dyDescent="0.2">
      <c r="A2" t="s">
        <v>2</v>
      </c>
      <c r="B2">
        <v>8</v>
      </c>
      <c r="C2">
        <v>7</v>
      </c>
      <c r="D2" t="s">
        <v>2</v>
      </c>
      <c r="E2">
        <v>2</v>
      </c>
      <c r="F2" t="s">
        <v>19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20</v>
      </c>
      <c r="N2">
        <v>20</v>
      </c>
      <c r="P2">
        <v>3</v>
      </c>
      <c r="Q2">
        <v>4</v>
      </c>
      <c r="R2">
        <v>7</v>
      </c>
      <c r="S2">
        <v>8</v>
      </c>
      <c r="U2" t="s">
        <v>21</v>
      </c>
      <c r="V2">
        <v>18</v>
      </c>
      <c r="W2">
        <v>20</v>
      </c>
      <c r="X2">
        <v>14</v>
      </c>
      <c r="Y2">
        <v>105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27</v>
      </c>
      <c r="B3">
        <v>15</v>
      </c>
      <c r="C3">
        <v>11</v>
      </c>
      <c r="D3" t="s">
        <v>27</v>
      </c>
      <c r="E3" t="e">
        <f>1/0</f>
        <v>#DIV/0!</v>
      </c>
      <c r="F3" t="s">
        <v>28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29</v>
      </c>
      <c r="N3">
        <v>30</v>
      </c>
      <c r="U3" t="s">
        <v>23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30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31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32</v>
      </c>
      <c r="N4">
        <v>50</v>
      </c>
      <c r="P4">
        <v>1</v>
      </c>
      <c r="Q4">
        <v>2</v>
      </c>
      <c r="R4">
        <v>3</v>
      </c>
      <c r="U4" t="s">
        <v>25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18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33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34</v>
      </c>
      <c r="N5">
        <v>80</v>
      </c>
      <c r="P5">
        <v>4</v>
      </c>
      <c r="Q5">
        <v>5</v>
      </c>
      <c r="R5">
        <v>6</v>
      </c>
      <c r="U5" t="s">
        <v>21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35</v>
      </c>
      <c r="AP5" s="1">
        <v>39786</v>
      </c>
      <c r="AS5" t="s">
        <v>36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37</v>
      </c>
      <c r="G6">
        <v>32</v>
      </c>
      <c r="H6" s="1">
        <v>45473</v>
      </c>
      <c r="L6">
        <v>13</v>
      </c>
      <c r="M6" t="s">
        <v>38</v>
      </c>
      <c r="N6">
        <v>130</v>
      </c>
      <c r="U6" t="s">
        <v>23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39</v>
      </c>
      <c r="G7">
        <v>64</v>
      </c>
      <c r="H7" s="1">
        <v>46022</v>
      </c>
      <c r="I7">
        <v>-10000</v>
      </c>
      <c r="J7">
        <v>100</v>
      </c>
      <c r="U7" t="s">
        <v>21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40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41</v>
      </c>
      <c r="AU8" s="1">
        <v>39448</v>
      </c>
      <c r="BG8">
        <v>2</v>
      </c>
    </row>
    <row r="9" spans="1:60" x14ac:dyDescent="0.2">
      <c r="A9" t="s">
        <v>42</v>
      </c>
      <c r="I9">
        <v>4200</v>
      </c>
      <c r="J9">
        <v>300</v>
      </c>
      <c r="L9" t="s">
        <v>12</v>
      </c>
      <c r="M9" t="s">
        <v>20</v>
      </c>
      <c r="N9" t="s">
        <v>29</v>
      </c>
      <c r="O9" t="s">
        <v>32</v>
      </c>
      <c r="P9" t="s">
        <v>34</v>
      </c>
      <c r="Q9" t="s">
        <v>38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43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44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COUNTIF(N!A1,"TRUE")</f>
        <v>0</v>
      </c>
      <c r="B1">
        <f t="shared" ref="B1:B37" si="0">IF(ISERROR(A1),ERROR.TYPE(A1),IF(ISNUMBER(A1),0,IF(ISLOGICAL(A1),IF(A1,-1,-2),IF(ISTEXT(A1),-3,-4))))</f>
        <v>0</v>
      </c>
      <c r="C1">
        <f t="shared" ref="C1:C37" si="1">IF(ISNUMBER(A1),A1,0)</f>
        <v>0</v>
      </c>
      <c r="D1" t="str">
        <f t="shared" ref="D1:D37" si="2">IF(ISTEXT(A1),A1,"")</f>
        <v/>
      </c>
      <c r="E1" t="s">
        <v>45</v>
      </c>
    </row>
    <row r="2" spans="1:5" x14ac:dyDescent="0.2">
      <c r="A2" cm="1">
        <f t="array" ref="A2">COUNTIF(N!B1,"TRUE")</f>
        <v>1</v>
      </c>
      <c r="B2">
        <f t="shared" si="0"/>
        <v>0</v>
      </c>
      <c r="C2">
        <f t="shared" si="1"/>
        <v>1</v>
      </c>
      <c r="D2" t="str">
        <f t="shared" si="2"/>
        <v/>
      </c>
      <c r="E2" t="s">
        <v>46</v>
      </c>
    </row>
    <row r="3" spans="1:5" x14ac:dyDescent="0.2">
      <c r="A3" cm="1">
        <f t="array" ref="A3">COUNTIF(N!A1,TRUE)</f>
        <v>0</v>
      </c>
      <c r="B3">
        <f t="shared" si="0"/>
        <v>0</v>
      </c>
      <c r="C3">
        <f t="shared" si="1"/>
        <v>0</v>
      </c>
      <c r="D3" t="str">
        <f t="shared" si="2"/>
        <v/>
      </c>
      <c r="E3" t="s">
        <v>47</v>
      </c>
    </row>
    <row r="4" spans="1:5" x14ac:dyDescent="0.2">
      <c r="A4" cm="1">
        <f t="array" ref="A4">COUNTIF(N!C1,"ИСТИНА")</f>
        <v>1</v>
      </c>
      <c r="B4">
        <f t="shared" si="0"/>
        <v>0</v>
      </c>
      <c r="C4">
        <f t="shared" si="1"/>
        <v>1</v>
      </c>
      <c r="D4" t="str">
        <f t="shared" si="2"/>
        <v/>
      </c>
      <c r="E4" t="s">
        <v>48</v>
      </c>
    </row>
    <row r="5" spans="1:5" x14ac:dyDescent="0.2">
      <c r="A5" cm="1">
        <f t="array" ref="A5">COUNTIF(N!B1,"ИСТИНА")</f>
        <v>0</v>
      </c>
      <c r="B5">
        <f t="shared" si="0"/>
        <v>0</v>
      </c>
      <c r="C5">
        <f t="shared" si="1"/>
        <v>0</v>
      </c>
      <c r="D5" t="str">
        <f t="shared" si="2"/>
        <v/>
      </c>
      <c r="E5" t="s">
        <v>49</v>
      </c>
    </row>
    <row r="6" spans="1:5" x14ac:dyDescent="0.2">
      <c r="A6" cm="1">
        <f t="array" ref="A6">COUNTIF(N!D1,"&lt;&gt;2")</f>
        <v>1</v>
      </c>
      <c r="B6">
        <f t="shared" si="0"/>
        <v>0</v>
      </c>
      <c r="C6">
        <f t="shared" si="1"/>
        <v>1</v>
      </c>
      <c r="D6" t="str">
        <f t="shared" si="2"/>
        <v/>
      </c>
      <c r="E6" t="s">
        <v>50</v>
      </c>
    </row>
    <row r="7" spans="1:5" x14ac:dyDescent="0.2">
      <c r="A7" cm="1">
        <f t="array" ref="A7">COUNTIF(N!E1,"&lt;&gt;2")</f>
        <v>0</v>
      </c>
      <c r="B7">
        <f t="shared" si="0"/>
        <v>0</v>
      </c>
      <c r="C7">
        <f t="shared" si="1"/>
        <v>0</v>
      </c>
      <c r="D7" t="str">
        <f t="shared" si="2"/>
        <v/>
      </c>
      <c r="E7" t="s">
        <v>51</v>
      </c>
    </row>
    <row r="8" spans="1:5" x14ac:dyDescent="0.2">
      <c r="A8" cm="1">
        <f t="array" ref="A8">COUNTIF(N!D1,"=2")</f>
        <v>1</v>
      </c>
      <c r="B8">
        <f t="shared" si="0"/>
        <v>0</v>
      </c>
      <c r="C8">
        <f t="shared" si="1"/>
        <v>1</v>
      </c>
      <c r="D8" t="str">
        <f t="shared" si="2"/>
        <v/>
      </c>
      <c r="E8" t="s">
        <v>52</v>
      </c>
    </row>
    <row r="9" spans="1:5" x14ac:dyDescent="0.2">
      <c r="A9" cm="1">
        <f t="array" ref="A9">COUNTIF(N!D1,2)</f>
        <v>1</v>
      </c>
      <c r="B9">
        <f t="shared" si="0"/>
        <v>0</v>
      </c>
      <c r="C9">
        <f t="shared" si="1"/>
        <v>1</v>
      </c>
      <c r="D9" t="str">
        <f t="shared" si="2"/>
        <v/>
      </c>
      <c r="E9" t="s">
        <v>53</v>
      </c>
    </row>
    <row r="10" spans="1:5" x14ac:dyDescent="0.2">
      <c r="A10" cm="1">
        <f t="array" ref="A10">COUNTIF(N!D1,"&gt;1")</f>
        <v>0</v>
      </c>
      <c r="B10">
        <f t="shared" si="0"/>
        <v>0</v>
      </c>
      <c r="C10">
        <f t="shared" si="1"/>
        <v>0</v>
      </c>
      <c r="D10" t="str">
        <f t="shared" si="2"/>
        <v/>
      </c>
      <c r="E10" t="s">
        <v>54</v>
      </c>
    </row>
    <row r="11" spans="1:5" x14ac:dyDescent="0.2">
      <c r="A11" cm="1">
        <f t="array" ref="A11">COUNTIF(N!D1,"&lt;3")</f>
        <v>0</v>
      </c>
      <c r="B11">
        <f t="shared" si="0"/>
        <v>0</v>
      </c>
      <c r="C11">
        <f t="shared" si="1"/>
        <v>0</v>
      </c>
      <c r="D11" t="str">
        <f t="shared" si="2"/>
        <v/>
      </c>
      <c r="E11" t="s">
        <v>55</v>
      </c>
    </row>
    <row r="12" spans="1:5" x14ac:dyDescent="0.2">
      <c r="A12" cm="1">
        <f t="array" ref="A12">COUNTIF(N!F1,1000)</f>
        <v>1</v>
      </c>
      <c r="B12">
        <f t="shared" si="0"/>
        <v>0</v>
      </c>
      <c r="C12">
        <f t="shared" si="1"/>
        <v>1</v>
      </c>
      <c r="D12" t="str">
        <f t="shared" si="2"/>
        <v/>
      </c>
      <c r="E12" t="s">
        <v>56</v>
      </c>
    </row>
    <row r="13" spans="1:5" x14ac:dyDescent="0.2">
      <c r="A13" cm="1">
        <f t="array" ref="A13">COUNTIF(N!F1,1)</f>
        <v>0</v>
      </c>
      <c r="B13">
        <f t="shared" si="0"/>
        <v>0</v>
      </c>
      <c r="C13">
        <f t="shared" si="1"/>
        <v>0</v>
      </c>
      <c r="D13" t="str">
        <f t="shared" si="2"/>
        <v/>
      </c>
      <c r="E13" t="s">
        <v>57</v>
      </c>
    </row>
    <row r="14" spans="1:5" x14ac:dyDescent="0.2">
      <c r="A14" cm="1">
        <f t="array" ref="A14">COUNTIF(N!G1,45688)</f>
        <v>1</v>
      </c>
      <c r="B14">
        <f t="shared" si="0"/>
        <v>0</v>
      </c>
      <c r="C14">
        <f t="shared" si="1"/>
        <v>1</v>
      </c>
      <c r="D14" t="str">
        <f t="shared" si="2"/>
        <v/>
      </c>
      <c r="E14" t="s">
        <v>58</v>
      </c>
    </row>
    <row r="15" spans="1:5" x14ac:dyDescent="0.2">
      <c r="A15" cm="1">
        <f t="array" ref="A15">COUNTIF(N!H1,0.5)</f>
        <v>1</v>
      </c>
      <c r="B15">
        <f t="shared" si="0"/>
        <v>0</v>
      </c>
      <c r="C15">
        <f t="shared" si="1"/>
        <v>1</v>
      </c>
      <c r="D15" t="str">
        <f t="shared" si="2"/>
        <v/>
      </c>
      <c r="E15" t="s">
        <v>59</v>
      </c>
    </row>
    <row r="16" spans="1:5" x14ac:dyDescent="0.2">
      <c r="A16" cm="1">
        <f t="array" ref="A16">COUNTIF(N!I1,1000)</f>
        <v>1</v>
      </c>
      <c r="B16">
        <f t="shared" si="0"/>
        <v>0</v>
      </c>
      <c r="C16">
        <f t="shared" si="1"/>
        <v>1</v>
      </c>
      <c r="D16" t="str">
        <f t="shared" si="2"/>
        <v/>
      </c>
      <c r="E16" t="s">
        <v>60</v>
      </c>
    </row>
    <row r="17" spans="1:5" x14ac:dyDescent="0.2">
      <c r="A17" cm="1">
        <f t="array" ref="A17">COUNTIF(N!J1,1.5)</f>
        <v>1</v>
      </c>
      <c r="B17">
        <f t="shared" si="0"/>
        <v>0</v>
      </c>
      <c r="C17">
        <f t="shared" si="1"/>
        <v>1</v>
      </c>
      <c r="D17" t="str">
        <f t="shared" si="2"/>
        <v/>
      </c>
      <c r="E17" t="s">
        <v>61</v>
      </c>
    </row>
    <row r="18" spans="1:5" x14ac:dyDescent="0.2">
      <c r="A18" cm="1">
        <f t="array" ref="A18">COUNTIF(N!K1,45688)</f>
        <v>1</v>
      </c>
      <c r="B18">
        <f t="shared" si="0"/>
        <v>0</v>
      </c>
      <c r="C18">
        <f t="shared" si="1"/>
        <v>1</v>
      </c>
      <c r="D18" t="str">
        <f t="shared" si="2"/>
        <v/>
      </c>
      <c r="E18" t="s">
        <v>62</v>
      </c>
    </row>
    <row r="19" spans="1:5" x14ac:dyDescent="0.2">
      <c r="A19" cm="1">
        <f t="array" ref="A19">COUNTIF(N!K1,"2025-01-31")</f>
        <v>1</v>
      </c>
      <c r="B19">
        <f t="shared" si="0"/>
        <v>0</v>
      </c>
      <c r="C19">
        <f t="shared" si="1"/>
        <v>1</v>
      </c>
      <c r="D19" t="str">
        <f t="shared" si="2"/>
        <v/>
      </c>
      <c r="E19" t="s">
        <v>63</v>
      </c>
    </row>
    <row r="20" spans="1:5" x14ac:dyDescent="0.2">
      <c r="A20" cm="1">
        <f t="array" ref="A20">COUNTIF(N!G1,"1/31/2025")</f>
        <v>1</v>
      </c>
      <c r="B20">
        <f t="shared" si="0"/>
        <v>0</v>
      </c>
      <c r="C20">
        <f t="shared" si="1"/>
        <v>1</v>
      </c>
      <c r="D20" t="str">
        <f t="shared" si="2"/>
        <v/>
      </c>
      <c r="E20" t="s">
        <v>64</v>
      </c>
    </row>
    <row r="21" spans="1:5" x14ac:dyDescent="0.2">
      <c r="A21" cm="1">
        <f t="array" ref="A21">COUNTIF(N!L1,2.5)</f>
        <v>1</v>
      </c>
      <c r="B21">
        <f t="shared" si="0"/>
        <v>0</v>
      </c>
      <c r="C21">
        <f t="shared" si="1"/>
        <v>1</v>
      </c>
      <c r="D21" t="str">
        <f t="shared" si="2"/>
        <v/>
      </c>
      <c r="E21" t="s">
        <v>65</v>
      </c>
    </row>
    <row r="22" spans="1:5" x14ac:dyDescent="0.2">
      <c r="A22" cm="1">
        <f t="array" ref="A22">COUNTIF(N!M1,2.5)</f>
        <v>0</v>
      </c>
      <c r="B22">
        <f t="shared" si="0"/>
        <v>0</v>
      </c>
      <c r="C22">
        <f t="shared" si="1"/>
        <v>0</v>
      </c>
      <c r="D22" t="str">
        <f t="shared" si="2"/>
        <v/>
      </c>
      <c r="E22" t="s">
        <v>66</v>
      </c>
    </row>
    <row r="23" spans="1:5" x14ac:dyDescent="0.2">
      <c r="A23" cm="1">
        <f t="array" ref="A23">COUNTIF(N!L1,"&lt;&gt;2.5")</f>
        <v>1</v>
      </c>
      <c r="B23">
        <f t="shared" si="0"/>
        <v>0</v>
      </c>
      <c r="C23">
        <f t="shared" si="1"/>
        <v>1</v>
      </c>
      <c r="D23" t="str">
        <f t="shared" si="2"/>
        <v/>
      </c>
      <c r="E23" t="s">
        <v>67</v>
      </c>
    </row>
    <row r="24" spans="1:5" x14ac:dyDescent="0.2">
      <c r="A24" cm="1">
        <f t="array" ref="A24">COUNTIF(N!M1,"&lt;&gt;2,5")</f>
        <v>0</v>
      </c>
      <c r="B24">
        <f t="shared" si="0"/>
        <v>0</v>
      </c>
      <c r="C24">
        <f t="shared" si="1"/>
        <v>0</v>
      </c>
      <c r="D24" t="str">
        <f t="shared" si="2"/>
        <v/>
      </c>
      <c r="E24" t="s">
        <v>68</v>
      </c>
    </row>
    <row r="25" spans="1:5" x14ac:dyDescent="0.2">
      <c r="A25" cm="1">
        <f t="array" ref="A25">COUNTIF(N!H1,"&lt;&gt;0.5")</f>
        <v>1</v>
      </c>
      <c r="B25">
        <f t="shared" si="0"/>
        <v>0</v>
      </c>
      <c r="C25">
        <f t="shared" si="1"/>
        <v>1</v>
      </c>
      <c r="D25" t="str">
        <f t="shared" si="2"/>
        <v/>
      </c>
      <c r="E25" t="s">
        <v>69</v>
      </c>
    </row>
    <row r="26" spans="1:5" x14ac:dyDescent="0.2">
      <c r="A26" cm="1">
        <f t="array" ref="A26">COUNTIF(N!O1,"&gt;=1/1/2025")</f>
        <v>1</v>
      </c>
      <c r="B26">
        <f t="shared" si="0"/>
        <v>0</v>
      </c>
      <c r="C26">
        <f t="shared" si="1"/>
        <v>1</v>
      </c>
      <c r="D26" t="str">
        <f t="shared" si="2"/>
        <v/>
      </c>
      <c r="E26" t="s">
        <v>70</v>
      </c>
    </row>
    <row r="27" spans="1:5" x14ac:dyDescent="0.2">
      <c r="A27" cm="1">
        <f t="array" ref="A27">COUNTIF(N!O1,"1/31/2025")</f>
        <v>1</v>
      </c>
      <c r="B27">
        <f t="shared" si="0"/>
        <v>0</v>
      </c>
      <c r="C27">
        <f t="shared" si="1"/>
        <v>1</v>
      </c>
      <c r="D27" t="str">
        <f t="shared" si="2"/>
        <v/>
      </c>
      <c r="E27" t="s">
        <v>71</v>
      </c>
    </row>
    <row r="28" spans="1:5" x14ac:dyDescent="0.2">
      <c r="A28" cm="1">
        <f t="array" ref="A28">COUNTIF(N!O1,"Jan 31, 2025")</f>
        <v>1</v>
      </c>
      <c r="B28">
        <f t="shared" si="0"/>
        <v>0</v>
      </c>
      <c r="C28">
        <f t="shared" si="1"/>
        <v>1</v>
      </c>
      <c r="D28" t="str">
        <f t="shared" si="2"/>
        <v/>
      </c>
      <c r="E28" t="s">
        <v>72</v>
      </c>
    </row>
    <row r="29" spans="1:5" x14ac:dyDescent="0.2">
      <c r="A29" cm="1">
        <f t="array" ref="A29">COUNTIF(N!O1,"&lt;2025-02-01")</f>
        <v>1</v>
      </c>
      <c r="B29">
        <f t="shared" si="0"/>
        <v>0</v>
      </c>
      <c r="C29">
        <f t="shared" si="1"/>
        <v>1</v>
      </c>
      <c r="D29" t="str">
        <f t="shared" si="2"/>
        <v/>
      </c>
      <c r="E29" t="s">
        <v>73</v>
      </c>
    </row>
    <row r="30" spans="1:5" x14ac:dyDescent="0.2">
      <c r="A30" cm="1">
        <f t="array" ref="A30">COUNTIF(N!O1,"31.01.2025")</f>
        <v>0</v>
      </c>
      <c r="B30">
        <f t="shared" si="0"/>
        <v>0</v>
      </c>
      <c r="C30">
        <f t="shared" si="1"/>
        <v>0</v>
      </c>
      <c r="D30" t="str">
        <f t="shared" si="2"/>
        <v/>
      </c>
      <c r="E30" t="s">
        <v>74</v>
      </c>
    </row>
    <row r="31" spans="1:5" x14ac:dyDescent="0.2">
      <c r="A31" cm="1">
        <f t="array" ref="A31">COUNTIF(N!O1,"31 янв 2025")</f>
        <v>0</v>
      </c>
      <c r="B31">
        <f t="shared" si="0"/>
        <v>0</v>
      </c>
      <c r="C31">
        <f t="shared" si="1"/>
        <v>0</v>
      </c>
      <c r="D31" t="str">
        <f t="shared" si="2"/>
        <v/>
      </c>
      <c r="E31" t="s">
        <v>75</v>
      </c>
    </row>
    <row r="32" spans="1:5" x14ac:dyDescent="0.2">
      <c r="A32" cm="1">
        <f t="array" ref="A32">COUNTIF(N!P1,"50%")</f>
        <v>1</v>
      </c>
      <c r="B32">
        <f t="shared" si="0"/>
        <v>0</v>
      </c>
      <c r="C32">
        <f t="shared" si="1"/>
        <v>1</v>
      </c>
      <c r="D32" t="str">
        <f t="shared" si="2"/>
        <v/>
      </c>
      <c r="E32" t="s">
        <v>76</v>
      </c>
    </row>
    <row r="33" spans="1:5" x14ac:dyDescent="0.2">
      <c r="A33" cm="1">
        <f t="array" ref="A33">COUNTIF(N!Q1,"$1,000")</f>
        <v>1</v>
      </c>
      <c r="B33">
        <f t="shared" si="0"/>
        <v>0</v>
      </c>
      <c r="C33">
        <f t="shared" si="1"/>
        <v>1</v>
      </c>
      <c r="D33" t="str">
        <f t="shared" si="2"/>
        <v/>
      </c>
      <c r="E33" t="s">
        <v>77</v>
      </c>
    </row>
    <row r="34" spans="1:5" x14ac:dyDescent="0.2">
      <c r="A34" cm="1">
        <f t="array" ref="A34">COUNTIF(N!Q1,"1,000")</f>
        <v>1</v>
      </c>
      <c r="B34">
        <f t="shared" si="0"/>
        <v>0</v>
      </c>
      <c r="C34">
        <f t="shared" si="1"/>
        <v>1</v>
      </c>
      <c r="D34" t="str">
        <f t="shared" si="2"/>
        <v/>
      </c>
      <c r="E34" t="s">
        <v>78</v>
      </c>
    </row>
    <row r="35" spans="1:5" x14ac:dyDescent="0.2">
      <c r="A35" cm="1">
        <f t="array" ref="A35">COUNTIF(N!Q1,"1 000")</f>
        <v>0</v>
      </c>
      <c r="B35">
        <f t="shared" si="0"/>
        <v>0</v>
      </c>
      <c r="C35">
        <f t="shared" si="1"/>
        <v>0</v>
      </c>
      <c r="D35" t="str">
        <f t="shared" si="2"/>
        <v/>
      </c>
      <c r="E35" t="s">
        <v>79</v>
      </c>
    </row>
    <row r="36" spans="1:5" x14ac:dyDescent="0.2">
      <c r="A36" cm="1">
        <f t="array" ref="A36">COUNTIF(N!P1,"1/2")</f>
        <v>0</v>
      </c>
      <c r="B36">
        <f t="shared" si="0"/>
        <v>0</v>
      </c>
      <c r="C36">
        <f t="shared" si="1"/>
        <v>0</v>
      </c>
      <c r="D36" t="str">
        <f t="shared" si="2"/>
        <v/>
      </c>
      <c r="E36" t="s">
        <v>80</v>
      </c>
    </row>
    <row r="37" spans="1:5" x14ac:dyDescent="0.2">
      <c r="A37" cm="1">
        <f t="array" ref="A37">COUNTIF(N!P1,"&gt;1 1/4")</f>
        <v>0</v>
      </c>
      <c r="B37">
        <f t="shared" si="0"/>
        <v>0</v>
      </c>
      <c r="C37">
        <f t="shared" si="1"/>
        <v>0</v>
      </c>
      <c r="D37" t="str">
        <f t="shared" si="2"/>
        <v/>
      </c>
      <c r="E37" t="s">
        <v>81</v>
      </c>
    </row>
    <row r="38" spans="1:5" x14ac:dyDescent="0.2">
      <c r="A38" t="s">
        <v>82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2026-10-07T05:15:26Z</dcterms:created>
  <dcterms:modified xsi:type="dcterms:W3CDTF">2026-10-07T05:15:27Z</dcterms:modified>
  <cp:category/>
</cp:coreProperties>
</file>