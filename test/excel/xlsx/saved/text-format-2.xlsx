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F4859ED2-602B-4B4D-BD82-7EF1404FA33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9" i="2" l="1" a="1"/>
  <c r="A79" i="2" s="1"/>
  <c r="D79" i="2" s="1"/>
  <c r="A78" i="2" a="1"/>
  <c r="A78" i="2" s="1"/>
  <c r="A77" i="2" a="1"/>
  <c r="A77" i="2" s="1"/>
  <c r="A76" i="2" a="1"/>
  <c r="A76" i="2" s="1"/>
  <c r="A75" i="2" a="1"/>
  <c r="A75" i="2" s="1"/>
  <c r="A74" i="2" a="1"/>
  <c r="A74" i="2" s="1"/>
  <c r="A73" i="2" a="1"/>
  <c r="A73" i="2" s="1"/>
  <c r="D73" i="2" s="1"/>
  <c r="A72" i="2" a="1"/>
  <c r="A72" i="2" s="1"/>
  <c r="A71" i="2" a="1"/>
  <c r="A71" i="2" s="1"/>
  <c r="A70" i="2" a="1"/>
  <c r="A70" i="2" s="1"/>
  <c r="D70" i="2" s="1"/>
  <c r="A69" i="2" a="1"/>
  <c r="A69" i="2" s="1"/>
  <c r="A68" i="2" a="1"/>
  <c r="A68" i="2" s="1"/>
  <c r="A67" i="2" a="1"/>
  <c r="A67" i="2"/>
  <c r="D67" i="2" s="1"/>
  <c r="A66" i="2" a="1"/>
  <c r="A66" i="2" s="1"/>
  <c r="A65" i="2" a="1"/>
  <c r="A65" i="2"/>
  <c r="D65" i="2" s="1"/>
  <c r="A64" i="2" a="1"/>
  <c r="A64" i="2"/>
  <c r="C64" i="2" s="1"/>
  <c r="A63" i="2" a="1"/>
  <c r="A63" i="2" s="1"/>
  <c r="A62" i="2" a="1"/>
  <c r="A62" i="2" s="1"/>
  <c r="D62" i="2" s="1"/>
  <c r="A61" i="2" a="1"/>
  <c r="A61" i="2"/>
  <c r="D61" i="2" s="1"/>
  <c r="A60" i="2" a="1"/>
  <c r="A60" i="2" s="1"/>
  <c r="A59" i="2" a="1"/>
  <c r="A59" i="2" s="1"/>
  <c r="A58" i="2" a="1"/>
  <c r="A58" i="2" s="1"/>
  <c r="A57" i="2" a="1"/>
  <c r="A57" i="2"/>
  <c r="D57" i="2" s="1"/>
  <c r="A56" i="2" a="1"/>
  <c r="A56" i="2" s="1"/>
  <c r="A55" i="2" a="1"/>
  <c r="A55" i="2" s="1"/>
  <c r="D55" i="2" s="1"/>
  <c r="A54" i="2" a="1"/>
  <c r="A54" i="2" s="1"/>
  <c r="A53" i="2" a="1"/>
  <c r="A53" i="2" s="1"/>
  <c r="A52" i="2" a="1"/>
  <c r="A52" i="2" s="1"/>
  <c r="D52" i="2" s="1"/>
  <c r="A51" i="2" a="1"/>
  <c r="A51" i="2" s="1"/>
  <c r="A50" i="2" a="1"/>
  <c r="A50" i="2" s="1"/>
  <c r="A49" i="2" a="1"/>
  <c r="A49" i="2" s="1"/>
  <c r="A48" i="2" a="1"/>
  <c r="A48" i="2"/>
  <c r="C48" i="2" s="1"/>
  <c r="A47" i="2" a="1"/>
  <c r="A47" i="2" s="1"/>
  <c r="A46" i="2" a="1"/>
  <c r="A46" i="2" s="1"/>
  <c r="A45" i="2" a="1"/>
  <c r="A45" i="2" s="1"/>
  <c r="A44" i="2" a="1"/>
  <c r="A44" i="2" s="1"/>
  <c r="A43" i="2" a="1"/>
  <c r="A43" i="2" s="1"/>
  <c r="A42" i="2" a="1"/>
  <c r="A42" i="2" s="1"/>
  <c r="A41" i="2" a="1"/>
  <c r="A41" i="2" s="1"/>
  <c r="A40" i="2" a="1"/>
  <c r="A40" i="2" s="1"/>
  <c r="A39" i="2" a="1"/>
  <c r="A39" i="2" s="1"/>
  <c r="A38" i="2" a="1"/>
  <c r="A38" i="2" s="1"/>
  <c r="A37" i="2" a="1"/>
  <c r="A37" i="2"/>
  <c r="D37" i="2" s="1"/>
  <c r="D36" i="2"/>
  <c r="C36" i="2"/>
  <c r="A36" i="2" a="1"/>
  <c r="A36" i="2"/>
  <c r="B36" i="2" s="1"/>
  <c r="A35" i="2" a="1"/>
  <c r="A35" i="2" s="1"/>
  <c r="D35" i="2" s="1"/>
  <c r="A34" i="2" a="1"/>
  <c r="A34" i="2"/>
  <c r="C34" i="2" s="1"/>
  <c r="A33" i="2" a="1"/>
  <c r="A33" i="2" s="1"/>
  <c r="A32" i="2" a="1"/>
  <c r="A32" i="2"/>
  <c r="D32" i="2" s="1"/>
  <c r="C31" i="2"/>
  <c r="B31" i="2"/>
  <c r="A31" i="2" a="1"/>
  <c r="A31" i="2"/>
  <c r="D31" i="2" s="1"/>
  <c r="D30" i="2"/>
  <c r="B30" i="2"/>
  <c r="A30" i="2" a="1"/>
  <c r="A30" i="2"/>
  <c r="C30" i="2" s="1"/>
  <c r="A29" i="2" a="1"/>
  <c r="A29" i="2" s="1"/>
  <c r="A28" i="2" a="1"/>
  <c r="A28" i="2"/>
  <c r="B28" i="2" s="1"/>
  <c r="A27" i="2" a="1"/>
  <c r="A27" i="2" s="1"/>
  <c r="A26" i="2" a="1"/>
  <c r="A26" i="2"/>
  <c r="D26" i="2" s="1"/>
  <c r="A25" i="2" a="1"/>
  <c r="A25" i="2" s="1"/>
  <c r="A24" i="2" a="1"/>
  <c r="A24" i="2" s="1"/>
  <c r="A23" i="2" a="1"/>
  <c r="A23" i="2" s="1"/>
  <c r="A22" i="2" a="1"/>
  <c r="A22" i="2" s="1"/>
  <c r="A21" i="2" a="1"/>
  <c r="A21" i="2"/>
  <c r="B21" i="2" s="1"/>
  <c r="A20" i="2" a="1"/>
  <c r="A20" i="2" s="1"/>
  <c r="D20" i="2" s="1"/>
  <c r="A19" i="2" a="1"/>
  <c r="A19" i="2"/>
  <c r="D19" i="2" s="1"/>
  <c r="A18" i="2" a="1"/>
  <c r="A18" i="2"/>
  <c r="B18" i="2" s="1"/>
  <c r="A17" i="2" a="1"/>
  <c r="A17" i="2"/>
  <c r="D17" i="2" s="1"/>
  <c r="A16" i="2" a="1"/>
  <c r="A16" i="2"/>
  <c r="C16" i="2" s="1"/>
  <c r="A15" i="2" a="1"/>
  <c r="A15" i="2" s="1"/>
  <c r="A14" i="2" a="1"/>
  <c r="A14" i="2"/>
  <c r="D14" i="2" s="1"/>
  <c r="C13" i="2"/>
  <c r="B13" i="2"/>
  <c r="A13" i="2" a="1"/>
  <c r="A13" i="2"/>
  <c r="D13" i="2" s="1"/>
  <c r="A12" i="2" a="1"/>
  <c r="A12" i="2" s="1"/>
  <c r="A11" i="2" a="1"/>
  <c r="A11" i="2" s="1"/>
  <c r="A10" i="2" a="1"/>
  <c r="A10" i="2"/>
  <c r="B10" i="2" s="1"/>
  <c r="A9" i="2" a="1"/>
  <c r="A9" i="2" s="1"/>
  <c r="A8" i="2" a="1"/>
  <c r="A8" i="2"/>
  <c r="D8" i="2" s="1"/>
  <c r="A7" i="2" a="1"/>
  <c r="A7" i="2"/>
  <c r="C7" i="2" s="1"/>
  <c r="A6" i="2" a="1"/>
  <c r="A6" i="2" s="1"/>
  <c r="A5" i="2" a="1"/>
  <c r="A5" i="2" s="1"/>
  <c r="A4" i="2" a="1"/>
  <c r="A4" i="2" s="1"/>
  <c r="A3" i="2" a="1"/>
  <c r="A3" i="2"/>
  <c r="C3" i="2" s="1"/>
  <c r="A2" i="2" a="1"/>
  <c r="A2" i="2" s="1"/>
  <c r="D2" i="2" s="1"/>
  <c r="A1" i="2" a="1"/>
  <c r="A1" i="2"/>
  <c r="D1" i="2" s="1"/>
  <c r="I15" i="1"/>
  <c r="A14" i="1"/>
  <c r="A13" i="1"/>
  <c r="AL10" i="1"/>
  <c r="A8" i="1"/>
  <c r="A7" i="1"/>
  <c r="E3" i="1"/>
  <c r="C25" i="2" l="1"/>
  <c r="D25" i="2"/>
  <c r="D66" i="2"/>
  <c r="B66" i="2"/>
  <c r="B72" i="2"/>
  <c r="D72" i="2"/>
  <c r="C72" i="2"/>
  <c r="B54" i="2"/>
  <c r="C54" i="2"/>
  <c r="D54" i="2"/>
  <c r="D75" i="2"/>
  <c r="B75" i="2"/>
  <c r="D16" i="2"/>
  <c r="B65" i="2"/>
  <c r="C65" i="2"/>
  <c r="B16" i="2"/>
  <c r="D34" i="2"/>
  <c r="C18" i="2"/>
  <c r="D18" i="2"/>
  <c r="B48" i="2"/>
  <c r="D48" i="2"/>
  <c r="B67" i="2"/>
  <c r="D7" i="2"/>
  <c r="B34" i="2"/>
  <c r="C67" i="2"/>
  <c r="C38" i="2"/>
  <c r="D38" i="2"/>
  <c r="B38" i="2"/>
  <c r="B39" i="2"/>
  <c r="D39" i="2"/>
  <c r="C39" i="2"/>
  <c r="C22" i="2"/>
  <c r="B22" i="2"/>
  <c r="D22" i="2"/>
  <c r="C4" i="2"/>
  <c r="D4" i="2"/>
  <c r="B4" i="2"/>
  <c r="D63" i="2"/>
  <c r="C63" i="2"/>
  <c r="B63" i="2"/>
  <c r="D6" i="2"/>
  <c r="C6" i="2"/>
  <c r="B6" i="2"/>
  <c r="D74" i="2"/>
  <c r="C74" i="2"/>
  <c r="B74" i="2"/>
  <c r="D5" i="2"/>
  <c r="C5" i="2"/>
  <c r="B5" i="2"/>
  <c r="D43" i="2"/>
  <c r="C43" i="2"/>
  <c r="B43" i="2"/>
  <c r="D23" i="2"/>
  <c r="C23" i="2"/>
  <c r="B23" i="2"/>
  <c r="D53" i="2"/>
  <c r="C53" i="2"/>
  <c r="B53" i="2"/>
  <c r="D77" i="2"/>
  <c r="C77" i="2"/>
  <c r="B77" i="2"/>
  <c r="B15" i="2"/>
  <c r="D15" i="2"/>
  <c r="C15" i="2"/>
  <c r="D24" i="2"/>
  <c r="C24" i="2"/>
  <c r="B24" i="2"/>
  <c r="B40" i="2"/>
  <c r="C40" i="2"/>
  <c r="D40" i="2"/>
  <c r="C41" i="2"/>
  <c r="D41" i="2"/>
  <c r="B41" i="2"/>
  <c r="D33" i="2"/>
  <c r="B33" i="2"/>
  <c r="C33" i="2"/>
  <c r="D44" i="2"/>
  <c r="C44" i="2"/>
  <c r="B44" i="2"/>
  <c r="C27" i="2"/>
  <c r="B27" i="2"/>
  <c r="D27" i="2"/>
  <c r="C46" i="2"/>
  <c r="D46" i="2"/>
  <c r="B46" i="2"/>
  <c r="B47" i="2"/>
  <c r="C47" i="2"/>
  <c r="D47" i="2"/>
  <c r="D78" i="2"/>
  <c r="C78" i="2"/>
  <c r="B78" i="2"/>
  <c r="D45" i="2"/>
  <c r="C45" i="2"/>
  <c r="B45" i="2"/>
  <c r="D12" i="2"/>
  <c r="C12" i="2"/>
  <c r="B12" i="2"/>
  <c r="B29" i="2"/>
  <c r="D29" i="2"/>
  <c r="C29" i="2"/>
  <c r="B58" i="2"/>
  <c r="D58" i="2"/>
  <c r="C58" i="2"/>
  <c r="D59" i="2"/>
  <c r="C59" i="2"/>
  <c r="B59" i="2"/>
  <c r="B76" i="2"/>
  <c r="C76" i="2"/>
  <c r="D76" i="2"/>
  <c r="B60" i="2"/>
  <c r="D60" i="2"/>
  <c r="C60" i="2"/>
  <c r="D50" i="2"/>
  <c r="C50" i="2"/>
  <c r="B50" i="2"/>
  <c r="D68" i="2"/>
  <c r="C68" i="2"/>
  <c r="B68" i="2"/>
  <c r="D71" i="2"/>
  <c r="C71" i="2"/>
  <c r="B71" i="2"/>
  <c r="C42" i="2"/>
  <c r="D42" i="2"/>
  <c r="B42" i="2"/>
  <c r="D9" i="2"/>
  <c r="C9" i="2"/>
  <c r="B9" i="2"/>
  <c r="D56" i="2"/>
  <c r="C56" i="2"/>
  <c r="B56" i="2"/>
  <c r="B11" i="2"/>
  <c r="D11" i="2"/>
  <c r="C11" i="2"/>
  <c r="D49" i="2"/>
  <c r="C49" i="2"/>
  <c r="B49" i="2"/>
  <c r="D51" i="2"/>
  <c r="C51" i="2"/>
  <c r="B51" i="2"/>
  <c r="D69" i="2"/>
  <c r="B69" i="2"/>
  <c r="C69" i="2"/>
  <c r="B8" i="2"/>
  <c r="B26" i="2"/>
  <c r="B62" i="2"/>
  <c r="B1" i="2"/>
  <c r="C8" i="2"/>
  <c r="B19" i="2"/>
  <c r="C26" i="2"/>
  <c r="B37" i="2"/>
  <c r="B55" i="2"/>
  <c r="C62" i="2"/>
  <c r="B73" i="2"/>
  <c r="C1" i="2"/>
  <c r="C19" i="2"/>
  <c r="C37" i="2"/>
  <c r="C55" i="2"/>
  <c r="C73" i="2"/>
  <c r="C66" i="2"/>
  <c r="B52" i="2"/>
  <c r="B70" i="2"/>
  <c r="C52" i="2"/>
  <c r="C70" i="2"/>
  <c r="B2" i="2"/>
  <c r="B20" i="2"/>
  <c r="C2" i="2"/>
  <c r="C20" i="2"/>
  <c r="B64" i="2"/>
  <c r="C10" i="2"/>
  <c r="C28" i="2"/>
  <c r="C57" i="2"/>
  <c r="D64" i="2"/>
  <c r="C75" i="2"/>
  <c r="B57" i="2"/>
  <c r="D10" i="2"/>
  <c r="B14" i="2"/>
  <c r="C21" i="2"/>
  <c r="D28" i="2"/>
  <c r="B32" i="2"/>
  <c r="D3" i="2"/>
  <c r="B7" i="2"/>
  <c r="C14" i="2"/>
  <c r="D21" i="2"/>
  <c r="B25" i="2"/>
  <c r="C32" i="2"/>
  <c r="B61" i="2"/>
  <c r="B79" i="2"/>
  <c r="B17" i="2"/>
  <c r="B35" i="2"/>
  <c r="C17" i="2"/>
  <c r="C35" i="2"/>
  <c r="B3" i="2"/>
  <c r="C61" i="2"/>
  <c r="C7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<sst xmlns="http://schemas.openxmlformats.org/spreadsheetml/2006/main" count="138" uniqueCount="115">
  <si>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</si>
  <si>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</si>
  <si>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</si>
  <si>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</si>
  <si>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</si>
  <si>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</si>
  <si>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</si>
  <si>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</si>
  <si>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</si>
  <si>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</si>
  <si>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</si>
  <si>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</si>
  <si>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</si>
  <si>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</si>
  <si>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</si>
  <si>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</si>
  <si>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</si>
  <si>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</si>
  <si>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</si>
  <si>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</si>
  <si>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</si>
  <si>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</si>
  <si>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</si>
  <si>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</si>
  <si>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</si>
  <si>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</si>
  <si>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</si>
  <si>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</si>
  <si>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</si>
  <si>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</si>
  <si>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</si>
  <si>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</si>
  <si>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</si>
  <si>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</si>
  <si>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</si>
  <si>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date#41</t>
  </si>
  <si>
    <t>date#42</t>
  </si>
  <si>
    <t>date#43</t>
  </si>
  <si>
    <t>date#44</t>
  </si>
  <si>
    <t>date#45</t>
  </si>
  <si>
    <t>date#46</t>
  </si>
  <si>
    <t>date#47</t>
  </si>
  <si>
    <t>date#48</t>
  </si>
  <si>
    <t>date#49</t>
  </si>
  <si>
    <t>date#50</t>
  </si>
  <si>
    <t>date#51</t>
  </si>
  <si>
    <t>date#52</t>
  </si>
  <si>
    <t>date#53</t>
  </si>
  <si>
    <t>date#54</t>
  </si>
  <si>
    <t>date#55</t>
  </si>
  <si>
    <t>date#56</t>
  </si>
  <si>
    <t>date#57</t>
  </si>
  <si>
    <t>date#58</t>
  </si>
  <si>
    <t>date#59</t>
  </si>
  <si>
    <t>date#60</t>
  </si>
  <si>
    <t>date#61</t>
  </si>
  <si>
    <t>date#62</t>
  </si>
  <si>
    <t>date#63</t>
  </si>
  <si>
    <t>date#64</t>
  </si>
  <si>
    <t>date#65</t>
  </si>
  <si>
    <t>date#66</t>
  </si>
  <si>
    <t>date#67</t>
  </si>
  <si>
    <t>date#68</t>
  </si>
  <si>
    <t>date#69</t>
  </si>
  <si>
    <t>date#70</t>
  </si>
  <si>
    <t>date#71</t>
  </si>
  <si>
    <t>date#72</t>
  </si>
  <si>
    <t>date#73</t>
  </si>
  <si>
    <t>date#74</t>
  </si>
  <si>
    <t>date#75</t>
  </si>
  <si>
    <t>date#76</t>
  </si>
  <si>
    <t>date#77</t>
  </si>
  <si>
    <t>date#78</t>
  </si>
  <si>
    <t>date#79</t>
  </si>
  <si>
    <t>date#80</t>
  </si>
  <si>
    <t>date#81</t>
  </si>
  <si>
    <t>date#82</t>
  </si>
  <si>
    <t>date#83</t>
  </si>
  <si>
    <t>date#84</t>
  </si>
  <si>
    <t>date#85</t>
  </si>
  <si>
    <t>date#86</t>
  </si>
  <si>
    <t>date#87</t>
  </si>
  <si>
    <t>date#88</t>
  </si>
  <si>
    <t>date#89</t>
  </si>
  <si>
    <t>date#90</t>
  </si>
  <si>
    <t>date#91</t>
  </si>
  <si>
    <t>date#92</t>
  </si>
  <si>
    <t>date#93</t>
  </si>
  <si>
    <t>date#94</t>
  </si>
  <si>
    <t>date#95</t>
  </si>
  <si>
    <t>date#96</t>
  </si>
  <si>
    <t>date#97</t>
  </si>
  <si>
    <t>date#98</t>
  </si>
  <si>
    <t>date#99</t>
  </si>
  <si>
    <t>date#100</t>
  </si>
  <si>
    <t>date#101</t>
  </si>
  <si>
    <t>date#102</t>
  </si>
  <si>
    <t>date#103</t>
  </si>
  <si>
    <t>date#104</t>
  </si>
  <si>
    <t>date#105</t>
  </si>
  <si>
    <t>date#106</t>
  </si>
  <si>
    <t>date#107</t>
  </si>
  <si>
    <t>date#108</t>
  </si>
  <si>
    <t>date#109</t>
  </si>
  <si>
    <t>date#110</t>
  </si>
  <si>
    <t>date#111</t>
  </si>
  <si>
    <t>date#112</t>
  </si>
  <si>
    <t>date#113</t>
  </si>
  <si>
    <t>date#114</t>
  </si>
  <si>
    <t>date#115</t>
  </si>
  <si>
    <t>date#116</t>
  </si>
  <si>
    <t>date#117</t>
  </si>
  <si>
    <t>date#118</t>
  </si>
  <si>
    <t>date#119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</si>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</sst>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0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TEXT(0.75/86400,"[h]")</f>
        <v>0</v>
      </c>
      <c r="B1">
        <f t="shared" ref="B1:B32" si="0">IF(ISERROR(A1),ERROR.TYPE(A1),IF(ISNUMBER(A1),0,IF(ISLOGICAL(A1),IF(A1,-1,-2),IF(ISTEXT(A1),-3,-4))))</f>
        <v>-3</v>
      </c>
      <c r="C1">
        <f t="shared" ref="C1:C32" si="1">IF(ISNUMBER(A1),A1,0)</f>
        <v>0</v>
      </c>
      <c r="D1" t="str">
        <f t="shared" ref="D1:D32" si="2">IF(ISTEXT(A1),A1,"")</f>
        <v>0</v>
      </c>
      <c r="E1" t="s">
        <v>35</v>
      </c>
    </row>
    <row r="2" spans="1:5" x14ac:dyDescent="0.2">
      <c r="A2" t="str" cm="1">
        <f t="array" ref="A2">TEXT(1.5,"[h]")</f>
        <v>36</v>
      </c>
      <c r="B2">
        <f t="shared" si="0"/>
        <v>-3</v>
      </c>
      <c r="C2">
        <f t="shared" si="1"/>
        <v>0</v>
      </c>
      <c r="D2" t="str">
        <f t="shared" si="2"/>
        <v>36</v>
      </c>
      <c r="E2" t="s">
        <v>36</v>
      </c>
    </row>
    <row r="3" spans="1:5" x14ac:dyDescent="0.2">
      <c r="A3" t="str" cm="1">
        <f t="array" ref="A3">TEXT(45688.75,"h:mm:ss.0")</f>
        <v>18:00:00.0</v>
      </c>
      <c r="B3">
        <f t="shared" si="0"/>
        <v>-3</v>
      </c>
      <c r="C3">
        <f t="shared" si="1"/>
        <v>0</v>
      </c>
      <c r="D3" t="str">
        <f t="shared" si="2"/>
        <v>18:00:00.0</v>
      </c>
      <c r="E3" t="s">
        <v>37</v>
      </c>
    </row>
    <row r="4" spans="1:5" x14ac:dyDescent="0.2">
      <c r="A4" t="str" cm="1">
        <f t="array" ref="A4">TEXT(0,"h:mm:ss.0")</f>
        <v>0:00:00.0</v>
      </c>
      <c r="B4">
        <f t="shared" si="0"/>
        <v>-3</v>
      </c>
      <c r="C4">
        <f t="shared" si="1"/>
        <v>0</v>
      </c>
      <c r="D4" t="str">
        <f t="shared" si="2"/>
        <v>0:00:00.0</v>
      </c>
      <c r="E4" t="s">
        <v>38</v>
      </c>
    </row>
    <row r="5" spans="1:5" x14ac:dyDescent="0.2">
      <c r="A5" t="e" cm="1">
        <f t="array" ref="A5">TEXT(-1,"h:mm:ss.0")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TEXT(2958466,"h:mm:ss.0")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str" cm="1">
        <f t="array" ref="A7">TEXT(45688.999999,"h:mm:ss.0")</f>
        <v>23:59:59.9</v>
      </c>
      <c r="B7">
        <f t="shared" si="0"/>
        <v>-3</v>
      </c>
      <c r="C7">
        <f t="shared" si="1"/>
        <v>0</v>
      </c>
      <c r="D7" t="str">
        <f t="shared" si="2"/>
        <v>23:59:59.9</v>
      </c>
      <c r="E7" t="s">
        <v>41</v>
      </c>
    </row>
    <row r="8" spans="1:5" x14ac:dyDescent="0.2">
      <c r="A8" t="str" cm="1">
        <f t="array" ref="A8">TEXT(0.75/86400,"h:mm:ss.0")</f>
        <v>0:00:00.8</v>
      </c>
      <c r="B8">
        <f t="shared" si="0"/>
        <v>-3</v>
      </c>
      <c r="C8">
        <f t="shared" si="1"/>
        <v>0</v>
      </c>
      <c r="D8" t="str">
        <f t="shared" si="2"/>
        <v>0:00:00.8</v>
      </c>
      <c r="E8" t="s">
        <v>42</v>
      </c>
    </row>
    <row r="9" spans="1:5" x14ac:dyDescent="0.2">
      <c r="A9" t="str" cm="1">
        <f t="array" ref="A9">TEXT(1.5,"h:mm:ss.0")</f>
        <v>12:00:00.0</v>
      </c>
      <c r="B9">
        <f t="shared" si="0"/>
        <v>-3</v>
      </c>
      <c r="C9">
        <f t="shared" si="1"/>
        <v>0</v>
      </c>
      <c r="D9" t="str">
        <f t="shared" si="2"/>
        <v>12:00:00.0</v>
      </c>
      <c r="E9" t="s">
        <v>43</v>
      </c>
    </row>
    <row r="10" spans="1:5" x14ac:dyDescent="0.2">
      <c r="A10" t="str" cm="1">
        <f t="array" ref="A10">TEXT(45688.75,"mm:ss.00")</f>
        <v>00:00.00</v>
      </c>
      <c r="B10">
        <f t="shared" si="0"/>
        <v>-3</v>
      </c>
      <c r="C10">
        <f t="shared" si="1"/>
        <v>0</v>
      </c>
      <c r="D10" t="str">
        <f t="shared" si="2"/>
        <v>00:00.00</v>
      </c>
      <c r="E10" t="s">
        <v>44</v>
      </c>
    </row>
    <row r="11" spans="1:5" x14ac:dyDescent="0.2">
      <c r="A11" t="str" cm="1">
        <f t="array" ref="A11">TEXT(0,"mm:ss.00")</f>
        <v>00:00.00</v>
      </c>
      <c r="B11">
        <f t="shared" si="0"/>
        <v>-3</v>
      </c>
      <c r="C11">
        <f t="shared" si="1"/>
        <v>0</v>
      </c>
      <c r="D11" t="str">
        <f t="shared" si="2"/>
        <v>00:00.00</v>
      </c>
      <c r="E11" t="s">
        <v>45</v>
      </c>
    </row>
    <row r="12" spans="1:5" x14ac:dyDescent="0.2">
      <c r="A12" t="e" cm="1">
        <f t="array" ref="A12">TEXT(-1,"mm:ss.00")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e" cm="1">
        <f t="array" ref="A13">TEXT(2958466,"mm:ss.00")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str" cm="1">
        <f t="array" ref="A14">TEXT(45688.999999,"mm:ss.00")</f>
        <v>59:59.91</v>
      </c>
      <c r="B14">
        <f t="shared" si="0"/>
        <v>-3</v>
      </c>
      <c r="C14">
        <f t="shared" si="1"/>
        <v>0</v>
      </c>
      <c r="D14" t="str">
        <f t="shared" si="2"/>
        <v>59:59.91</v>
      </c>
      <c r="E14" t="s">
        <v>48</v>
      </c>
    </row>
    <row r="15" spans="1:5" x14ac:dyDescent="0.2">
      <c r="A15" t="str" cm="1">
        <f t="array" ref="A15">TEXT(0.75/86400,"mm:ss.00")</f>
        <v>00:00.75</v>
      </c>
      <c r="B15">
        <f t="shared" si="0"/>
        <v>-3</v>
      </c>
      <c r="C15">
        <f t="shared" si="1"/>
        <v>0</v>
      </c>
      <c r="D15" t="str">
        <f t="shared" si="2"/>
        <v>00:00.75</v>
      </c>
      <c r="E15" t="s">
        <v>49</v>
      </c>
    </row>
    <row r="16" spans="1:5" x14ac:dyDescent="0.2">
      <c r="A16" t="str" cm="1">
        <f t="array" ref="A16">TEXT(1.5,"mm:ss.00")</f>
        <v>00:00.00</v>
      </c>
      <c r="B16">
        <f t="shared" si="0"/>
        <v>-3</v>
      </c>
      <c r="C16">
        <f t="shared" si="1"/>
        <v>0</v>
      </c>
      <c r="D16" t="str">
        <f t="shared" si="2"/>
        <v>00:00.00</v>
      </c>
      <c r="E16" t="s">
        <v>50</v>
      </c>
    </row>
    <row r="17" spans="1:5" x14ac:dyDescent="0.2">
      <c r="A17" t="str" cm="1">
        <f t="array" ref="A17">TEXT(45688.75,"mm:ss.000")</f>
        <v>00:00.000</v>
      </c>
      <c r="B17">
        <f t="shared" si="0"/>
        <v>-3</v>
      </c>
      <c r="C17">
        <f t="shared" si="1"/>
        <v>0</v>
      </c>
      <c r="D17" t="str">
        <f t="shared" si="2"/>
        <v>00:00.000</v>
      </c>
      <c r="E17" t="s">
        <v>51</v>
      </c>
    </row>
    <row r="18" spans="1:5" x14ac:dyDescent="0.2">
      <c r="A18" t="str" cm="1">
        <f t="array" ref="A18">TEXT(0,"mm:ss.000")</f>
        <v>00:00.000</v>
      </c>
      <c r="B18">
        <f t="shared" si="0"/>
        <v>-3</v>
      </c>
      <c r="C18">
        <f t="shared" si="1"/>
        <v>0</v>
      </c>
      <c r="D18" t="str">
        <f t="shared" si="2"/>
        <v>00:00.000</v>
      </c>
      <c r="E18" t="s">
        <v>52</v>
      </c>
    </row>
    <row r="19" spans="1:5" x14ac:dyDescent="0.2">
      <c r="A19" t="e" cm="1">
        <f t="array" ref="A19">TEXT(-1,"mm:ss.000")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TEXT(2958466,"mm:ss.000")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str" cm="1">
        <f t="array" ref="A21">TEXT(45688.999999,"mm:ss.000")</f>
        <v>59:59.914</v>
      </c>
      <c r="B21">
        <f t="shared" si="0"/>
        <v>-3</v>
      </c>
      <c r="C21">
        <f t="shared" si="1"/>
        <v>0</v>
      </c>
      <c r="D21" t="str">
        <f t="shared" si="2"/>
        <v>59:59.914</v>
      </c>
      <c r="E21" t="s">
        <v>55</v>
      </c>
    </row>
    <row r="22" spans="1:5" x14ac:dyDescent="0.2">
      <c r="A22" t="str" cm="1">
        <f t="array" ref="A22">TEXT(0.75/86400,"mm:ss.000")</f>
        <v>00:00.750</v>
      </c>
      <c r="B22">
        <f t="shared" si="0"/>
        <v>-3</v>
      </c>
      <c r="C22">
        <f t="shared" si="1"/>
        <v>0</v>
      </c>
      <c r="D22" t="str">
        <f t="shared" si="2"/>
        <v>00:00.750</v>
      </c>
      <c r="E22" t="s">
        <v>56</v>
      </c>
    </row>
    <row r="23" spans="1:5" x14ac:dyDescent="0.2">
      <c r="A23" t="str" cm="1">
        <f t="array" ref="A23">TEXT(1.5,"mm:ss.000")</f>
        <v>00:00.000</v>
      </c>
      <c r="B23">
        <f t="shared" si="0"/>
        <v>-3</v>
      </c>
      <c r="C23">
        <f t="shared" si="1"/>
        <v>0</v>
      </c>
      <c r="D23" t="str">
        <f t="shared" si="2"/>
        <v>00:00.000</v>
      </c>
      <c r="E23" t="s">
        <v>57</v>
      </c>
    </row>
    <row r="24" spans="1:5" x14ac:dyDescent="0.2">
      <c r="A24" t="str" cm="1">
        <f t="array" ref="A24">TEXT(45688.75,"h:mm a/p")</f>
        <v>6:00 p</v>
      </c>
      <c r="B24">
        <f t="shared" si="0"/>
        <v>-3</v>
      </c>
      <c r="C24">
        <f t="shared" si="1"/>
        <v>0</v>
      </c>
      <c r="D24" t="str">
        <f t="shared" si="2"/>
        <v>6:00 p</v>
      </c>
      <c r="E24" t="s">
        <v>58</v>
      </c>
    </row>
    <row r="25" spans="1:5" x14ac:dyDescent="0.2">
      <c r="A25" t="str" cm="1">
        <f t="array" ref="A25">TEXT(0,"h:mm a/p")</f>
        <v>12:00 a</v>
      </c>
      <c r="B25">
        <f t="shared" si="0"/>
        <v>-3</v>
      </c>
      <c r="C25">
        <f t="shared" si="1"/>
        <v>0</v>
      </c>
      <c r="D25" t="str">
        <f t="shared" si="2"/>
        <v>12:00 a</v>
      </c>
      <c r="E25" t="s">
        <v>59</v>
      </c>
    </row>
    <row r="26" spans="1:5" x14ac:dyDescent="0.2">
      <c r="A26" t="e" cm="1">
        <f t="array" ref="A26">TEXT(-1,"h:mm a/p")</f>
        <v>#VALUE!</v>
      </c>
      <c r="B26">
        <f t="shared" si="0"/>
        <v>3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e" cm="1">
        <f t="array" ref="A27">TEXT(2958466,"h:mm a/p")</f>
        <v>#VALUE!</v>
      </c>
      <c r="B27">
        <f t="shared" si="0"/>
        <v>3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str" cm="1">
        <f t="array" ref="A28">TEXT(45688.999999,"h:mm a/p")</f>
        <v>12:00 a</v>
      </c>
      <c r="B28">
        <f t="shared" si="0"/>
        <v>-3</v>
      </c>
      <c r="C28">
        <f t="shared" si="1"/>
        <v>0</v>
      </c>
      <c r="D28" t="str">
        <f t="shared" si="2"/>
        <v>12:00 a</v>
      </c>
      <c r="E28" t="s">
        <v>62</v>
      </c>
    </row>
    <row r="29" spans="1:5" x14ac:dyDescent="0.2">
      <c r="A29" t="str" cm="1">
        <f t="array" ref="A29">TEXT(0.75/86400,"h:mm a/p")</f>
        <v>12:00 a</v>
      </c>
      <c r="B29">
        <f t="shared" si="0"/>
        <v>-3</v>
      </c>
      <c r="C29">
        <f t="shared" si="1"/>
        <v>0</v>
      </c>
      <c r="D29" t="str">
        <f t="shared" si="2"/>
        <v>12:00 a</v>
      </c>
      <c r="E29" t="s">
        <v>63</v>
      </c>
    </row>
    <row r="30" spans="1:5" x14ac:dyDescent="0.2">
      <c r="A30" t="str" cm="1">
        <f t="array" ref="A30">TEXT(1.5,"h:mm a/p")</f>
        <v>12:00 p</v>
      </c>
      <c r="B30">
        <f t="shared" si="0"/>
        <v>-3</v>
      </c>
      <c r="C30">
        <f t="shared" si="1"/>
        <v>0</v>
      </c>
      <c r="D30" t="str">
        <f t="shared" si="2"/>
        <v>12:00 p</v>
      </c>
      <c r="E30" t="s">
        <v>64</v>
      </c>
    </row>
    <row r="31" spans="1:5" x14ac:dyDescent="0.2">
      <c r="A31" t="str" cm="1">
        <f t="array" ref="A31">TEXT(45688.75,"[Red]m/d/yyyy")</f>
        <v>1/31/2025</v>
      </c>
      <c r="B31">
        <f t="shared" si="0"/>
        <v>-3</v>
      </c>
      <c r="C31">
        <f t="shared" si="1"/>
        <v>0</v>
      </c>
      <c r="D31" t="str">
        <f t="shared" si="2"/>
        <v>1/31/2025</v>
      </c>
      <c r="E31" t="s">
        <v>65</v>
      </c>
    </row>
    <row r="32" spans="1:5" x14ac:dyDescent="0.2">
      <c r="A32" t="str" cm="1">
        <f t="array" ref="A32">TEXT(0,"[Red]m/d/yyyy")</f>
        <v>1/0/1900</v>
      </c>
      <c r="B32">
        <f t="shared" si="0"/>
        <v>-3</v>
      </c>
      <c r="C32">
        <f t="shared" si="1"/>
        <v>0</v>
      </c>
      <c r="D32" t="str">
        <f t="shared" si="2"/>
        <v>1/0/1900</v>
      </c>
      <c r="E32" t="s">
        <v>66</v>
      </c>
    </row>
    <row r="33" spans="1:5" x14ac:dyDescent="0.2">
      <c r="A33" t="e" cm="1">
        <f t="array" ref="A33">TEXT(-1,"[Red]m/d/yyyy")</f>
        <v>#VALUE!</v>
      </c>
      <c r="B33">
        <f t="shared" ref="B33:B64" si="3">IF(ISERROR(A33),ERROR.TYPE(A33),IF(ISNUMBER(A33),0,IF(ISLOGICAL(A33),IF(A33,-1,-2),IF(ISTEXT(A33),-3,-4))))</f>
        <v>3</v>
      </c>
      <c r="C33">
        <f t="shared" ref="C33:C64" si="4">IF(ISNUMBER(A33),A33,0)</f>
        <v>0</v>
      </c>
      <c r="D33" t="str">
        <f t="shared" ref="D33:D64" si="5">IF(ISTEXT(A33),A33,"")</f>
        <v/>
      </c>
      <c r="E33" t="s">
        <v>67</v>
      </c>
    </row>
    <row r="34" spans="1:5" x14ac:dyDescent="0.2">
      <c r="A34" t="e" cm="1">
        <f t="array" ref="A34">TEXT(2958466,"[Red]m/d/yyyy")</f>
        <v>#VALUE!</v>
      </c>
      <c r="B34">
        <f t="shared" si="3"/>
        <v>3</v>
      </c>
      <c r="C34">
        <f t="shared" si="4"/>
        <v>0</v>
      </c>
      <c r="D34" t="str">
        <f t="shared" si="5"/>
        <v/>
      </c>
      <c r="E34" t="s">
        <v>68</v>
      </c>
    </row>
    <row r="35" spans="1:5" x14ac:dyDescent="0.2">
      <c r="A35" t="str" cm="1">
        <f t="array" ref="A35">TEXT(45688.999999,"[Red]m/d/yyyy")</f>
        <v>2/1/2025</v>
      </c>
      <c r="B35">
        <f t="shared" si="3"/>
        <v>-3</v>
      </c>
      <c r="C35">
        <f t="shared" si="4"/>
        <v>0</v>
      </c>
      <c r="D35" t="str">
        <f t="shared" si="5"/>
        <v>2/1/2025</v>
      </c>
      <c r="E35" t="s">
        <v>69</v>
      </c>
    </row>
    <row r="36" spans="1:5" x14ac:dyDescent="0.2">
      <c r="A36" t="str" cm="1">
        <f t="array" ref="A36">TEXT(0.75/86400,"[Red]m/d/yyyy")</f>
        <v>1/0/1900</v>
      </c>
      <c r="B36">
        <f t="shared" si="3"/>
        <v>-3</v>
      </c>
      <c r="C36">
        <f t="shared" si="4"/>
        <v>0</v>
      </c>
      <c r="D36" t="str">
        <f t="shared" si="5"/>
        <v>1/0/1900</v>
      </c>
      <c r="E36" t="s">
        <v>70</v>
      </c>
    </row>
    <row r="37" spans="1:5" x14ac:dyDescent="0.2">
      <c r="A37" t="str" cm="1">
        <f t="array" ref="A37">TEXT(1.5,"[Red]m/d/yyyy")</f>
        <v>1/1/1900</v>
      </c>
      <c r="B37">
        <f t="shared" si="3"/>
        <v>-3</v>
      </c>
      <c r="C37">
        <f t="shared" si="4"/>
        <v>0</v>
      </c>
      <c r="D37" t="str">
        <f t="shared" si="5"/>
        <v>1/1/1900</v>
      </c>
      <c r="E37" t="s">
        <v>71</v>
      </c>
    </row>
    <row r="38" spans="1:5" x14ac:dyDescent="0.2">
      <c r="A38" t="str" cm="1">
        <f t="array" ref="A38">TEXT(45688.75,"[$-419]mmmm")</f>
        <v>январь</v>
      </c>
      <c r="B38">
        <f t="shared" si="3"/>
        <v>-3</v>
      </c>
      <c r="C38">
        <f t="shared" si="4"/>
        <v>0</v>
      </c>
      <c r="D38" t="str">
        <f t="shared" si="5"/>
        <v>январь</v>
      </c>
      <c r="E38" t="s">
        <v>72</v>
      </c>
    </row>
    <row r="39" spans="1:5" x14ac:dyDescent="0.2">
      <c r="A39" t="str" cm="1">
        <f t="array" ref="A39">TEXT(0,"[$-419]mmmm")</f>
        <v>январь</v>
      </c>
      <c r="B39">
        <f t="shared" si="3"/>
        <v>-3</v>
      </c>
      <c r="C39">
        <f t="shared" si="4"/>
        <v>0</v>
      </c>
      <c r="D39" t="str">
        <f t="shared" si="5"/>
        <v>январь</v>
      </c>
      <c r="E39" t="s">
        <v>73</v>
      </c>
    </row>
    <row r="40" spans="1:5" x14ac:dyDescent="0.2">
      <c r="A40" t="e" cm="1">
        <f t="array" ref="A40">TEXT(-1,"[$-419]mmmm")</f>
        <v>#VALUE!</v>
      </c>
      <c r="B40">
        <f t="shared" si="3"/>
        <v>3</v>
      </c>
      <c r="C40">
        <f t="shared" si="4"/>
        <v>0</v>
      </c>
      <c r="D40" t="str">
        <f t="shared" si="5"/>
        <v/>
      </c>
      <c r="E40" t="s">
        <v>74</v>
      </c>
    </row>
    <row r="41" spans="1:5" x14ac:dyDescent="0.2">
      <c r="A41" t="e" cm="1">
        <f t="array" ref="A41">TEXT(2958466,"[$-419]mmmm")</f>
        <v>#VALUE!</v>
      </c>
      <c r="B41">
        <f t="shared" si="3"/>
        <v>3</v>
      </c>
      <c r="C41">
        <f t="shared" si="4"/>
        <v>0</v>
      </c>
      <c r="D41" t="str">
        <f t="shared" si="5"/>
        <v/>
      </c>
      <c r="E41" t="s">
        <v>75</v>
      </c>
    </row>
    <row r="42" spans="1:5" x14ac:dyDescent="0.2">
      <c r="A42" t="str" cm="1">
        <f t="array" ref="A42">TEXT(45688.999999,"[$-419]mmmm")</f>
        <v>февраль</v>
      </c>
      <c r="B42">
        <f t="shared" si="3"/>
        <v>-3</v>
      </c>
      <c r="C42">
        <f t="shared" si="4"/>
        <v>0</v>
      </c>
      <c r="D42" t="str">
        <f t="shared" si="5"/>
        <v>февраль</v>
      </c>
      <c r="E42" t="s">
        <v>76</v>
      </c>
    </row>
    <row r="43" spans="1:5" x14ac:dyDescent="0.2">
      <c r="A43" t="str" cm="1">
        <f t="array" ref="A43">TEXT(0.75/86400,"[$-419]mmmm")</f>
        <v>январь</v>
      </c>
      <c r="B43">
        <f t="shared" si="3"/>
        <v>-3</v>
      </c>
      <c r="C43">
        <f t="shared" si="4"/>
        <v>0</v>
      </c>
      <c r="D43" t="str">
        <f t="shared" si="5"/>
        <v>январь</v>
      </c>
      <c r="E43" t="s">
        <v>77</v>
      </c>
    </row>
    <row r="44" spans="1:5" x14ac:dyDescent="0.2">
      <c r="A44" t="str" cm="1">
        <f t="array" ref="A44">TEXT(1.5,"[$-419]mmmm")</f>
        <v>январь</v>
      </c>
      <c r="B44">
        <f t="shared" si="3"/>
        <v>-3</v>
      </c>
      <c r="C44">
        <f t="shared" si="4"/>
        <v>0</v>
      </c>
      <c r="D44" t="str">
        <f t="shared" si="5"/>
        <v>январь</v>
      </c>
      <c r="E44" t="s">
        <v>78</v>
      </c>
    </row>
    <row r="45" spans="1:5" x14ac:dyDescent="0.2">
      <c r="A45" t="str" cm="1">
        <f t="array" ref="A45">TEXT(45688.75,"[$-409]mmmm")</f>
        <v>January</v>
      </c>
      <c r="B45">
        <f t="shared" si="3"/>
        <v>-3</v>
      </c>
      <c r="C45">
        <f t="shared" si="4"/>
        <v>0</v>
      </c>
      <c r="D45" t="str">
        <f t="shared" si="5"/>
        <v>January</v>
      </c>
      <c r="E45" t="s">
        <v>79</v>
      </c>
    </row>
    <row r="46" spans="1:5" x14ac:dyDescent="0.2">
      <c r="A46" t="str" cm="1">
        <f t="array" ref="A46">TEXT(0,"[$-409]mmmm")</f>
        <v>January</v>
      </c>
      <c r="B46">
        <f t="shared" si="3"/>
        <v>-3</v>
      </c>
      <c r="C46">
        <f t="shared" si="4"/>
        <v>0</v>
      </c>
      <c r="D46" t="str">
        <f t="shared" si="5"/>
        <v>January</v>
      </c>
      <c r="E46" t="s">
        <v>80</v>
      </c>
    </row>
    <row r="47" spans="1:5" x14ac:dyDescent="0.2">
      <c r="A47" t="e" cm="1">
        <f t="array" ref="A47">TEXT(-1,"[$-409]mmmm")</f>
        <v>#VALUE!</v>
      </c>
      <c r="B47">
        <f t="shared" si="3"/>
        <v>3</v>
      </c>
      <c r="C47">
        <f t="shared" si="4"/>
        <v>0</v>
      </c>
      <c r="D47" t="str">
        <f t="shared" si="5"/>
        <v/>
      </c>
      <c r="E47" t="s">
        <v>81</v>
      </c>
    </row>
    <row r="48" spans="1:5" x14ac:dyDescent="0.2">
      <c r="A48" t="e" cm="1">
        <f t="array" ref="A48">TEXT(2958466,"[$-409]mmmm")</f>
        <v>#VALUE!</v>
      </c>
      <c r="B48">
        <f t="shared" si="3"/>
        <v>3</v>
      </c>
      <c r="C48">
        <f t="shared" si="4"/>
        <v>0</v>
      </c>
      <c r="D48" t="str">
        <f t="shared" si="5"/>
        <v/>
      </c>
      <c r="E48" t="s">
        <v>82</v>
      </c>
    </row>
    <row r="49" spans="1:5" x14ac:dyDescent="0.2">
      <c r="A49" t="str" cm="1">
        <f t="array" ref="A49">TEXT(45688.999999,"[$-409]mmmm")</f>
        <v>February</v>
      </c>
      <c r="B49">
        <f t="shared" si="3"/>
        <v>-3</v>
      </c>
      <c r="C49">
        <f t="shared" si="4"/>
        <v>0</v>
      </c>
      <c r="D49" t="str">
        <f t="shared" si="5"/>
        <v>February</v>
      </c>
      <c r="E49" t="s">
        <v>83</v>
      </c>
    </row>
    <row r="50" spans="1:5" x14ac:dyDescent="0.2">
      <c r="A50" t="str" cm="1">
        <f t="array" ref="A50">TEXT(0.75/86400,"[$-409]mmmm")</f>
        <v>January</v>
      </c>
      <c r="B50">
        <f t="shared" si="3"/>
        <v>-3</v>
      </c>
      <c r="C50">
        <f t="shared" si="4"/>
        <v>0</v>
      </c>
      <c r="D50" t="str">
        <f t="shared" si="5"/>
        <v>January</v>
      </c>
      <c r="E50" t="s">
        <v>84</v>
      </c>
    </row>
    <row r="51" spans="1:5" x14ac:dyDescent="0.2">
      <c r="A51" t="str" cm="1">
        <f t="array" ref="A51">TEXT(1.5,"[$-409]mmmm")</f>
        <v>January</v>
      </c>
      <c r="B51">
        <f t="shared" si="3"/>
        <v>-3</v>
      </c>
      <c r="C51">
        <f t="shared" si="4"/>
        <v>0</v>
      </c>
      <c r="D51" t="str">
        <f t="shared" si="5"/>
        <v>January</v>
      </c>
      <c r="E51" t="s">
        <v>85</v>
      </c>
    </row>
    <row r="52" spans="1:5" x14ac:dyDescent="0.2">
      <c r="A52" t="str" cm="1">
        <f t="array" ref="A52">TEXT(45688.75,"mmmmm")</f>
        <v>J</v>
      </c>
      <c r="B52">
        <f t="shared" si="3"/>
        <v>-3</v>
      </c>
      <c r="C52">
        <f t="shared" si="4"/>
        <v>0</v>
      </c>
      <c r="D52" t="str">
        <f t="shared" si="5"/>
        <v>J</v>
      </c>
      <c r="E52" t="s">
        <v>86</v>
      </c>
    </row>
    <row r="53" spans="1:5" x14ac:dyDescent="0.2">
      <c r="A53" t="str" cm="1">
        <f t="array" ref="A53">TEXT(0,"mmmmm")</f>
        <v>J</v>
      </c>
      <c r="B53">
        <f t="shared" si="3"/>
        <v>-3</v>
      </c>
      <c r="C53">
        <f t="shared" si="4"/>
        <v>0</v>
      </c>
      <c r="D53" t="str">
        <f t="shared" si="5"/>
        <v>J</v>
      </c>
      <c r="E53" t="s">
        <v>87</v>
      </c>
    </row>
    <row r="54" spans="1:5" x14ac:dyDescent="0.2">
      <c r="A54" t="e" cm="1">
        <f t="array" ref="A54">TEXT(-1,"mmmmm")</f>
        <v>#VALUE!</v>
      </c>
      <c r="B54">
        <f t="shared" si="3"/>
        <v>3</v>
      </c>
      <c r="C54">
        <f t="shared" si="4"/>
        <v>0</v>
      </c>
      <c r="D54" t="str">
        <f t="shared" si="5"/>
        <v/>
      </c>
      <c r="E54" t="s">
        <v>88</v>
      </c>
    </row>
    <row r="55" spans="1:5" x14ac:dyDescent="0.2">
      <c r="A55" t="e" cm="1">
        <f t="array" ref="A55">TEXT(2958466,"mmmmm")</f>
        <v>#VALUE!</v>
      </c>
      <c r="B55">
        <f t="shared" si="3"/>
        <v>3</v>
      </c>
      <c r="C55">
        <f t="shared" si="4"/>
        <v>0</v>
      </c>
      <c r="D55" t="str">
        <f t="shared" si="5"/>
        <v/>
      </c>
      <c r="E55" t="s">
        <v>89</v>
      </c>
    </row>
    <row r="56" spans="1:5" x14ac:dyDescent="0.2">
      <c r="A56" t="str" cm="1">
        <f t="array" ref="A56">TEXT(45688.999999,"mmmmm")</f>
        <v>F</v>
      </c>
      <c r="B56">
        <f t="shared" si="3"/>
        <v>-3</v>
      </c>
      <c r="C56">
        <f t="shared" si="4"/>
        <v>0</v>
      </c>
      <c r="D56" t="str">
        <f t="shared" si="5"/>
        <v>F</v>
      </c>
      <c r="E56" t="s">
        <v>90</v>
      </c>
    </row>
    <row r="57" spans="1:5" x14ac:dyDescent="0.2">
      <c r="A57" t="str" cm="1">
        <f t="array" ref="A57">TEXT(0.75/86400,"mmmmm")</f>
        <v>J</v>
      </c>
      <c r="B57">
        <f t="shared" si="3"/>
        <v>-3</v>
      </c>
      <c r="C57">
        <f t="shared" si="4"/>
        <v>0</v>
      </c>
      <c r="D57" t="str">
        <f t="shared" si="5"/>
        <v>J</v>
      </c>
      <c r="E57" t="s">
        <v>91</v>
      </c>
    </row>
    <row r="58" spans="1:5" x14ac:dyDescent="0.2">
      <c r="A58" t="str" cm="1">
        <f t="array" ref="A58">TEXT(1.5,"mmmmm")</f>
        <v>J</v>
      </c>
      <c r="B58">
        <f t="shared" si="3"/>
        <v>-3</v>
      </c>
      <c r="C58">
        <f t="shared" si="4"/>
        <v>0</v>
      </c>
      <c r="D58" t="str">
        <f t="shared" si="5"/>
        <v>J</v>
      </c>
      <c r="E58" t="s">
        <v>92</v>
      </c>
    </row>
    <row r="59" spans="1:5" x14ac:dyDescent="0.2">
      <c r="A59" t="str" cm="1">
        <f t="array" ref="A59">TEXT(45688.75,"dddd")</f>
        <v>Friday</v>
      </c>
      <c r="B59">
        <f t="shared" si="3"/>
        <v>-3</v>
      </c>
      <c r="C59">
        <f t="shared" si="4"/>
        <v>0</v>
      </c>
      <c r="D59" t="str">
        <f t="shared" si="5"/>
        <v>Friday</v>
      </c>
      <c r="E59" t="s">
        <v>93</v>
      </c>
    </row>
    <row r="60" spans="1:5" x14ac:dyDescent="0.2">
      <c r="A60" t="str" cm="1">
        <f t="array" ref="A60">TEXT(0,"dddd")</f>
        <v>Saturday</v>
      </c>
      <c r="B60">
        <f t="shared" si="3"/>
        <v>-3</v>
      </c>
      <c r="C60">
        <f t="shared" si="4"/>
        <v>0</v>
      </c>
      <c r="D60" t="str">
        <f t="shared" si="5"/>
        <v>Saturday</v>
      </c>
      <c r="E60" t="s">
        <v>94</v>
      </c>
    </row>
    <row r="61" spans="1:5" x14ac:dyDescent="0.2">
      <c r="A61" t="e" cm="1">
        <f t="array" ref="A61">TEXT(-1,"dddd")</f>
        <v>#VALUE!</v>
      </c>
      <c r="B61">
        <f t="shared" si="3"/>
        <v>3</v>
      </c>
      <c r="C61">
        <f t="shared" si="4"/>
        <v>0</v>
      </c>
      <c r="D61" t="str">
        <f t="shared" si="5"/>
        <v/>
      </c>
      <c r="E61" t="s">
        <v>95</v>
      </c>
    </row>
    <row r="62" spans="1:5" x14ac:dyDescent="0.2">
      <c r="A62" t="e" cm="1">
        <f t="array" ref="A62">TEXT(2958466,"dddd")</f>
        <v>#VALUE!</v>
      </c>
      <c r="B62">
        <f t="shared" si="3"/>
        <v>3</v>
      </c>
      <c r="C62">
        <f t="shared" si="4"/>
        <v>0</v>
      </c>
      <c r="D62" t="str">
        <f t="shared" si="5"/>
        <v/>
      </c>
      <c r="E62" t="s">
        <v>96</v>
      </c>
    </row>
    <row r="63" spans="1:5" x14ac:dyDescent="0.2">
      <c r="A63" t="str" cm="1">
        <f t="array" ref="A63">TEXT(45688.999999,"dddd")</f>
        <v>Saturday</v>
      </c>
      <c r="B63">
        <f t="shared" si="3"/>
        <v>-3</v>
      </c>
      <c r="C63">
        <f t="shared" si="4"/>
        <v>0</v>
      </c>
      <c r="D63" t="str">
        <f t="shared" si="5"/>
        <v>Saturday</v>
      </c>
      <c r="E63" t="s">
        <v>97</v>
      </c>
    </row>
    <row r="64" spans="1:5" x14ac:dyDescent="0.2">
      <c r="A64" t="str" cm="1">
        <f t="array" ref="A64">TEXT(0.75/86400,"dddd")</f>
        <v>Saturday</v>
      </c>
      <c r="B64">
        <f t="shared" si="3"/>
        <v>-3</v>
      </c>
      <c r="C64">
        <f t="shared" si="4"/>
        <v>0</v>
      </c>
      <c r="D64" t="str">
        <f t="shared" si="5"/>
        <v>Saturday</v>
      </c>
      <c r="E64" t="s">
        <v>98</v>
      </c>
    </row>
    <row r="65" spans="1:5" x14ac:dyDescent="0.2">
      <c r="A65" t="str" cm="1">
        <f t="array" ref="A65">TEXT(1.5,"dddd")</f>
        <v>Sunday</v>
      </c>
      <c r="B65">
        <f t="shared" ref="B65:B96" si="6">IF(ISERROR(A65),ERROR.TYPE(A65),IF(ISNUMBER(A65),0,IF(ISLOGICAL(A65),IF(A65,-1,-2),IF(ISTEXT(A65),-3,-4))))</f>
        <v>-3</v>
      </c>
      <c r="C65">
        <f t="shared" ref="C65:C79" si="7">IF(ISNUMBER(A65),A65,0)</f>
        <v>0</v>
      </c>
      <c r="D65" t="str">
        <f t="shared" ref="D65:D79" si="8">IF(ISTEXT(A65),A65,"")</f>
        <v>Sunday</v>
      </c>
      <c r="E65" t="s">
        <v>99</v>
      </c>
    </row>
    <row r="66" spans="1:5" x14ac:dyDescent="0.2">
      <c r="A66" t="str" cm="1">
        <f t="array" ref="A66">TEXT(45688.75,"m/d/yyyy")</f>
        <v>1/31/2025</v>
      </c>
      <c r="B66">
        <f t="shared" si="6"/>
        <v>-3</v>
      </c>
      <c r="C66">
        <f t="shared" si="7"/>
        <v>0</v>
      </c>
      <c r="D66" t="str">
        <f t="shared" si="8"/>
        <v>1/31/2025</v>
      </c>
      <c r="E66" t="s">
        <v>100</v>
      </c>
    </row>
    <row r="67" spans="1:5" x14ac:dyDescent="0.2">
      <c r="A67" t="str" cm="1">
        <f t="array" ref="A67">TEXT(0,"m/d/yyyy")</f>
        <v>1/0/1900</v>
      </c>
      <c r="B67">
        <f t="shared" si="6"/>
        <v>-3</v>
      </c>
      <c r="C67">
        <f t="shared" si="7"/>
        <v>0</v>
      </c>
      <c r="D67" t="str">
        <f t="shared" si="8"/>
        <v>1/0/1900</v>
      </c>
      <c r="E67" t="s">
        <v>101</v>
      </c>
    </row>
    <row r="68" spans="1:5" x14ac:dyDescent="0.2">
      <c r="A68" t="e" cm="1">
        <f t="array" ref="A68">TEXT(-1,"m/d/yyyy")</f>
        <v>#VALUE!</v>
      </c>
      <c r="B68">
        <f t="shared" si="6"/>
        <v>3</v>
      </c>
      <c r="C68">
        <f t="shared" si="7"/>
        <v>0</v>
      </c>
      <c r="D68" t="str">
        <f t="shared" si="8"/>
        <v/>
      </c>
      <c r="E68" t="s">
        <v>102</v>
      </c>
    </row>
    <row r="69" spans="1:5" x14ac:dyDescent="0.2">
      <c r="A69" t="e" cm="1">
        <f t="array" ref="A69">TEXT(2958466,"m/d/yyyy")</f>
        <v>#VALUE!</v>
      </c>
      <c r="B69">
        <f t="shared" si="6"/>
        <v>3</v>
      </c>
      <c r="C69">
        <f t="shared" si="7"/>
        <v>0</v>
      </c>
      <c r="D69" t="str">
        <f t="shared" si="8"/>
        <v/>
      </c>
      <c r="E69" t="s">
        <v>103</v>
      </c>
    </row>
    <row r="70" spans="1:5" x14ac:dyDescent="0.2">
      <c r="A70" t="str" cm="1">
        <f t="array" ref="A70">TEXT(45688.999999,"m/d/yyyy")</f>
        <v>2/1/2025</v>
      </c>
      <c r="B70">
        <f t="shared" si="6"/>
        <v>-3</v>
      </c>
      <c r="C70">
        <f t="shared" si="7"/>
        <v>0</v>
      </c>
      <c r="D70" t="str">
        <f t="shared" si="8"/>
        <v>2/1/2025</v>
      </c>
      <c r="E70" t="s">
        <v>104</v>
      </c>
    </row>
    <row r="71" spans="1:5" x14ac:dyDescent="0.2">
      <c r="A71" t="str" cm="1">
        <f t="array" ref="A71">TEXT(0.75/86400,"m/d/yyyy")</f>
        <v>1/0/1900</v>
      </c>
      <c r="B71">
        <f t="shared" si="6"/>
        <v>-3</v>
      </c>
      <c r="C71">
        <f t="shared" si="7"/>
        <v>0</v>
      </c>
      <c r="D71" t="str">
        <f t="shared" si="8"/>
        <v>1/0/1900</v>
      </c>
      <c r="E71" t="s">
        <v>105</v>
      </c>
    </row>
    <row r="72" spans="1:5" x14ac:dyDescent="0.2">
      <c r="A72" t="str" cm="1">
        <f t="array" ref="A72">TEXT(1.5,"m/d/yyyy")</f>
        <v>1/1/1900</v>
      </c>
      <c r="B72">
        <f t="shared" si="6"/>
        <v>-3</v>
      </c>
      <c r="C72">
        <f t="shared" si="7"/>
        <v>0</v>
      </c>
      <c r="D72" t="str">
        <f t="shared" si="8"/>
        <v>1/1/1900</v>
      </c>
      <c r="E72" t="s">
        <v>106</v>
      </c>
    </row>
    <row r="73" spans="1:5" x14ac:dyDescent="0.2">
      <c r="A73" t="str" cm="1">
        <f t="array" ref="A73">TEXT(45688.75,"yyyy-mm-dd hh:mm:ss")</f>
        <v>2025-01-31 18:00:00</v>
      </c>
      <c r="B73">
        <f t="shared" si="6"/>
        <v>-3</v>
      </c>
      <c r="C73">
        <f t="shared" si="7"/>
        <v>0</v>
      </c>
      <c r="D73" t="str">
        <f t="shared" si="8"/>
        <v>2025-01-31 18:00:00</v>
      </c>
      <c r="E73" t="s">
        <v>107</v>
      </c>
    </row>
    <row r="74" spans="1:5" x14ac:dyDescent="0.2">
      <c r="A74" t="str" cm="1">
        <f t="array" ref="A74">TEXT(0,"yyyy-mm-dd hh:mm:ss")</f>
        <v>1900-01-00 00:00:00</v>
      </c>
      <c r="B74">
        <f t="shared" si="6"/>
        <v>-3</v>
      </c>
      <c r="C74">
        <f t="shared" si="7"/>
        <v>0</v>
      </c>
      <c r="D74" t="str">
        <f t="shared" si="8"/>
        <v>1900-01-00 00:00:00</v>
      </c>
      <c r="E74" t="s">
        <v>108</v>
      </c>
    </row>
    <row r="75" spans="1:5" x14ac:dyDescent="0.2">
      <c r="A75" t="e" cm="1">
        <f t="array" ref="A75">TEXT(-1,"yyyy-mm-dd hh:mm:ss")</f>
        <v>#VALUE!</v>
      </c>
      <c r="B75">
        <f t="shared" si="6"/>
        <v>3</v>
      </c>
      <c r="C75">
        <f t="shared" si="7"/>
        <v>0</v>
      </c>
      <c r="D75" t="str">
        <f t="shared" si="8"/>
        <v/>
      </c>
      <c r="E75" t="s">
        <v>109</v>
      </c>
    </row>
    <row r="76" spans="1:5" x14ac:dyDescent="0.2">
      <c r="A76" t="e" cm="1">
        <f t="array" ref="A76">TEXT(2958466,"yyyy-mm-dd hh:mm:ss")</f>
        <v>#VALUE!</v>
      </c>
      <c r="B76">
        <f t="shared" si="6"/>
        <v>3</v>
      </c>
      <c r="C76">
        <f t="shared" si="7"/>
        <v>0</v>
      </c>
      <c r="D76" t="str">
        <f t="shared" si="8"/>
        <v/>
      </c>
      <c r="E76" t="s">
        <v>110</v>
      </c>
    </row>
    <row r="77" spans="1:5" x14ac:dyDescent="0.2">
      <c r="A77" t="str" cm="1">
        <f t="array" ref="A77">TEXT(45688.999999,"yyyy-mm-dd hh:mm:ss")</f>
        <v>2025-02-01 00:00:00</v>
      </c>
      <c r="B77">
        <f t="shared" si="6"/>
        <v>-3</v>
      </c>
      <c r="C77">
        <f t="shared" si="7"/>
        <v>0</v>
      </c>
      <c r="D77" t="str">
        <f t="shared" si="8"/>
        <v>2025-02-01 00:00:00</v>
      </c>
      <c r="E77" t="s">
        <v>111</v>
      </c>
    </row>
    <row r="78" spans="1:5" x14ac:dyDescent="0.2">
      <c r="A78" t="str" cm="1">
        <f t="array" ref="A78">TEXT(0.75/86400,"yyyy-mm-dd hh:mm:ss")</f>
        <v>1900-01-00 00:00:01</v>
      </c>
      <c r="B78">
        <f t="shared" si="6"/>
        <v>-3</v>
      </c>
      <c r="C78">
        <f t="shared" si="7"/>
        <v>0</v>
      </c>
      <c r="D78" t="str">
        <f t="shared" si="8"/>
        <v>1900-01-00 00:00:01</v>
      </c>
      <c r="E78" t="s">
        <v>112</v>
      </c>
    </row>
    <row r="79" spans="1:5" x14ac:dyDescent="0.2">
      <c r="A79" t="str" cm="1">
        <f t="array" ref="A79">TEXT(1.5,"yyyy-mm-dd hh:mm:ss")</f>
        <v>1900-01-01 12:00:00</v>
      </c>
      <c r="B79">
        <f t="shared" si="6"/>
        <v>-3</v>
      </c>
      <c r="C79">
        <f t="shared" si="7"/>
        <v>0</v>
      </c>
      <c r="D79" t="str">
        <f t="shared" si="8"/>
        <v>1900-01-01 12:00:00</v>
      </c>
      <c r="E79" t="s">
        <v>113</v>
      </c>
    </row>
    <row r="80" spans="1:5" x14ac:dyDescent="0.2">
      <c r="A80" t="s">
        <v>114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2026-10-07T08:57:49Z</dcterms:created>
  <dcterms:modified xsi:type="dcterms:W3CDTF">2026-10-07T08:57:50Z</dcterms:modified>
  <cp:category/>
</cp:coreProperties>
</file>