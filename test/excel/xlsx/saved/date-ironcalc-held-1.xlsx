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66813010-91AE-A741-958F-15EB8479894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2" l="1" a="1"/>
  <c r="A33" i="2" s="1"/>
  <c r="D33" i="2" s="1"/>
  <c r="A32" i="2" a="1"/>
  <c r="A32" i="2" s="1"/>
  <c r="A31" i="2" a="1"/>
  <c r="A31" i="2" s="1"/>
  <c r="D31" i="2" s="1"/>
  <c r="A30" i="2" a="1"/>
  <c r="A30" i="2" s="1"/>
  <c r="A29" i="2" a="1"/>
  <c r="A29" i="2" s="1"/>
  <c r="B29" i="2" s="1"/>
  <c r="A28" i="2" a="1"/>
  <c r="A28" i="2" s="1"/>
  <c r="D28" i="2" s="1"/>
  <c r="A27" i="2" a="1"/>
  <c r="A27" i="2" s="1"/>
  <c r="A26" i="2" a="1"/>
  <c r="A26" i="2" s="1"/>
  <c r="A25" i="2" a="1"/>
  <c r="A25" i="2"/>
  <c r="B25" i="2" s="1"/>
  <c r="A24" i="2" a="1"/>
  <c r="A24" i="2" s="1"/>
  <c r="A23" i="2" a="1"/>
  <c r="A23" i="2" s="1"/>
  <c r="A22" i="2" a="1"/>
  <c r="A22" i="2"/>
  <c r="D22" i="2" s="1"/>
  <c r="A21" i="2" a="1"/>
  <c r="A21" i="2" s="1"/>
  <c r="D21" i="2" s="1"/>
  <c r="A20" i="2" a="1"/>
  <c r="A20" i="2"/>
  <c r="D20" i="2" s="1"/>
  <c r="A19" i="2" a="1"/>
  <c r="A19" i="2"/>
  <c r="B19" i="2" s="1"/>
  <c r="A18" i="2" a="1"/>
  <c r="A18" i="2"/>
  <c r="B18" i="2" s="1"/>
  <c r="A17" i="2" a="1"/>
  <c r="A17" i="2"/>
  <c r="C17" i="2" s="1"/>
  <c r="A16" i="2" a="1"/>
  <c r="A16" i="2"/>
  <c r="D16" i="2" s="1"/>
  <c r="A15" i="2" a="1"/>
  <c r="A15" i="2" s="1"/>
  <c r="D15" i="2" s="1"/>
  <c r="A14" i="2" a="1"/>
  <c r="A14" i="2"/>
  <c r="C14" i="2" s="1"/>
  <c r="A13" i="2" a="1"/>
  <c r="A13" i="2" s="1"/>
  <c r="C13" i="2" s="1"/>
  <c r="A12" i="2" a="1"/>
  <c r="A12" i="2" s="1"/>
  <c r="A11" i="2" a="1"/>
  <c r="A11" i="2"/>
  <c r="D11" i="2" s="1"/>
  <c r="A10" i="2" a="1"/>
  <c r="A10" i="2" s="1"/>
  <c r="C10" i="2" s="1"/>
  <c r="A9" i="2" a="1"/>
  <c r="A9" i="2"/>
  <c r="D9" i="2" s="1"/>
  <c r="A8" i="2" a="1"/>
  <c r="A8" i="2"/>
  <c r="B8" i="2" s="1"/>
  <c r="A7" i="2" a="1"/>
  <c r="A7" i="2"/>
  <c r="B7" i="2" s="1"/>
  <c r="A6" i="2" a="1"/>
  <c r="A6" i="2"/>
  <c r="C6" i="2" s="1"/>
  <c r="A5" i="2" a="1"/>
  <c r="A5" i="2" s="1"/>
  <c r="A4" i="2" a="1"/>
  <c r="A4" i="2" s="1"/>
  <c r="D4" i="2" s="1"/>
  <c r="A3" i="2" a="1"/>
  <c r="A3" i="2"/>
  <c r="D3" i="2" s="1"/>
  <c r="A2" i="2" a="1"/>
  <c r="A2" i="2"/>
  <c r="D2" i="2" s="1"/>
  <c r="A1" i="2" a="1"/>
  <c r="A1" i="2"/>
  <c r="D1" i="2" s="1"/>
  <c r="I15" i="1"/>
  <c r="A14" i="1"/>
  <c r="A13" i="1"/>
  <c r="AL10" i="1"/>
  <c r="A8" i="1"/>
  <c r="A7" i="1"/>
  <c r="E3" i="1"/>
  <c r="C19" i="2" l="1"/>
  <c r="D19" i="2"/>
  <c r="C8" i="2"/>
  <c r="D8" i="2"/>
  <c r="B1" i="2"/>
  <c r="C1" i="2"/>
  <c r="D12" i="2"/>
  <c r="C12" i="2"/>
  <c r="B12" i="2"/>
  <c r="B32" i="2"/>
  <c r="D32" i="2"/>
  <c r="C32" i="2"/>
  <c r="C5" i="2"/>
  <c r="D5" i="2"/>
  <c r="B5" i="2"/>
  <c r="C23" i="2"/>
  <c r="B23" i="2"/>
  <c r="D23" i="2"/>
  <c r="D24" i="2"/>
  <c r="C24" i="2"/>
  <c r="B24" i="2"/>
  <c r="C26" i="2"/>
  <c r="D26" i="2"/>
  <c r="B26" i="2"/>
  <c r="D30" i="2"/>
  <c r="B30" i="2"/>
  <c r="C30" i="2"/>
  <c r="D27" i="2"/>
  <c r="C27" i="2"/>
  <c r="B27" i="2"/>
  <c r="B6" i="2"/>
  <c r="D6" i="2"/>
  <c r="B10" i="2"/>
  <c r="B28" i="2"/>
  <c r="B14" i="2"/>
  <c r="C29" i="2"/>
  <c r="B16" i="2"/>
  <c r="B9" i="2"/>
  <c r="C16" i="2"/>
  <c r="B2" i="2"/>
  <c r="C9" i="2"/>
  <c r="C2" i="2"/>
  <c r="B13" i="2"/>
  <c r="B31" i="2"/>
  <c r="D10" i="2"/>
  <c r="C21" i="2"/>
  <c r="D29" i="2"/>
  <c r="B33" i="2"/>
  <c r="B20" i="2"/>
  <c r="C20" i="2"/>
  <c r="C31" i="2"/>
  <c r="D13" i="2"/>
  <c r="B3" i="2"/>
  <c r="D17" i="2"/>
  <c r="B21" i="2"/>
  <c r="C28" i="2"/>
  <c r="C3" i="2"/>
  <c r="C7" i="2"/>
  <c r="D14" i="2"/>
  <c r="C25" i="2"/>
  <c r="D7" i="2"/>
  <c r="B11" i="2"/>
  <c r="C18" i="2"/>
  <c r="D25" i="2"/>
  <c r="B4" i="2"/>
  <c r="C11" i="2"/>
  <c r="D18" i="2"/>
  <c r="B22" i="2"/>
  <c r="C4" i="2"/>
  <c r="B15" i="2"/>
  <c r="C22" i="2"/>
  <c r="C15" i="2"/>
  <c r="C33" i="2"/>
  <c r="B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<sst xmlns="http://schemas.openxmlformats.org/spreadsheetml/2006/main" count="92" uniqueCount="69">
  <si>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</si>
  <si>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</si>
  <si>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</si>
  <si>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</si>
  <si>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</si>
  <si>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</si>
  <si>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</si>
  <si>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</si>
  <si>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</si>
  <si>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</si>
  <si>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</si>
  <si>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</si>
  <si>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</si>
  <si>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</si>
  <si>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</si>
  <si>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</si>
  <si>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</si>
  <si>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</si>
  <si>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</si>
  <si>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</si>
  <si>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</si>
  <si>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</si>
  <si>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</si>
  <si>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</si>
  <si>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</si>
  <si>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</si>
  <si>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</si>
  <si>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</si>
  <si>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</si>
  <si>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</si>
  <si>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</si>
  <si>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</si>
  <si>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</si>
  <si>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</si>
  <si>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</si>
  <si>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DAYS360#1</t>
  </si>
  <si>
    <t>DAYS360#2</t>
  </si>
  <si>
    <t>DAYS360#3</t>
  </si>
  <si>
    <t>DAYS360#4</t>
  </si>
  <si>
    <t>WEEKDAY#1</t>
  </si>
  <si>
    <t>WEEKDAY#2</t>
  </si>
  <si>
    <t>WEEKDAY#3</t>
  </si>
  <si>
    <t>WORKDAY#1</t>
  </si>
  <si>
    <t>WORKDAY#2</t>
  </si>
  <si>
    <t>WORKDAY.INTL#1</t>
  </si>
  <si>
    <t>TIMEVALUE#1</t>
  </si>
  <si>
    <t>DAYS360#5</t>
  </si>
  <si>
    <t>DAYS360#6</t>
  </si>
  <si>
    <t>DAYS360#7</t>
  </si>
  <si>
    <t>DAYS360#8</t>
  </si>
  <si>
    <t>WEEKDAY#4</t>
  </si>
  <si>
    <t>WEEKDAY#5</t>
  </si>
  <si>
    <t>WEEKDAY#6</t>
  </si>
  <si>
    <t>WEEKDAY#7</t>
  </si>
  <si>
    <t>WEEKDAY#8</t>
  </si>
  <si>
    <t>WEEKDAY#9</t>
  </si>
  <si>
    <t>WORKDAY#3</t>
  </si>
  <si>
    <t>WORKDAY#4</t>
  </si>
  <si>
    <t>WORKDAY#5</t>
  </si>
  <si>
    <t>WORKDAY#6</t>
  </si>
  <si>
    <t>WORKDAY.INTL#2</t>
  </si>
  <si>
    <t>TIMEVALUE#2</t>
  </si>
  <si>
    <t>TIMEVALUE#3</t>
  </si>
  <si>
    <t>TIMEVALUE#4</t>
  </si>
  <si>
    <t>TIMEVALUE#5</t>
  </si>
  <si>
    <t>TIMEVALUE#6</t>
  </si>
  <si>
    <t>VALUE#1</t>
  </si>
  <si>
    <t>VALUE#2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</si>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</sst>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DAYS360(45992.000001,46000.999999)</f>
        <v>9</v>
      </c>
      <c r="B1">
        <f t="shared" ref="B1:B33" si="0">IF(ISERROR(A1),ERROR.TYPE(A1),IF(ISNUMBER(A1),0,IF(ISLOGICAL(A1),IF(A1,-1,-2),IF(ISTEXT(A1),-3,-4))))</f>
        <v>0</v>
      </c>
      <c r="C1">
        <f t="shared" ref="C1:C33" si="1">IF(ISNUMBER(A1),A1,0)</f>
        <v>9</v>
      </c>
      <c r="D1" t="str">
        <f t="shared" ref="D1:D33" si="2">IF(ISTEXT(A1),A1,"")</f>
        <v/>
      </c>
      <c r="E1" t="s">
        <v>35</v>
      </c>
    </row>
    <row r="2" spans="1:5" x14ac:dyDescent="0.2">
      <c r="A2" cm="1">
        <f t="array" ref="A2">DAYS360(DATE(2025,1,1)+0.0000001,DATE(2025,1,1)+0.9999999)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36</v>
      </c>
    </row>
    <row r="3" spans="1:5" x14ac:dyDescent="0.2">
      <c r="A3" cm="1">
        <f t="array" ref="A3">DAYS360(DATE(2025,1,1)+0.9999999,DATE(2025,1,2)+0.0000001)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DAYS360(DATE(2025,1,1)+0.9999999,DATE(2025,1,1))</f>
        <v>-1</v>
      </c>
      <c r="B4">
        <f t="shared" si="0"/>
        <v>0</v>
      </c>
      <c r="C4">
        <f t="shared" si="1"/>
        <v>-1</v>
      </c>
      <c r="D4" t="str">
        <f t="shared" si="2"/>
        <v/>
      </c>
      <c r="E4" t="s">
        <v>38</v>
      </c>
    </row>
    <row r="5" spans="1:5" x14ac:dyDescent="0.2">
      <c r="A5" t="e" cm="1">
        <f t="array" ref="A5">WEEKDAY(-1,"abc")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WEEKDAY(-1,1/0)</f>
        <v>#DIV/0!</v>
      </c>
      <c r="B6">
        <f t="shared" si="0"/>
        <v>2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WEEKDAY(-1,NA())</f>
        <v>#N/A</v>
      </c>
      <c r="B7">
        <f t="shared" si="0"/>
        <v>7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WORKDAY(DATE(2025,1,10),-0.9999999)</f>
        <v>45666</v>
      </c>
      <c r="B8">
        <f t="shared" si="0"/>
        <v>0</v>
      </c>
      <c r="C8">
        <f t="shared" si="1"/>
        <v>45666</v>
      </c>
      <c r="D8" t="str">
        <f t="shared" si="2"/>
        <v/>
      </c>
      <c r="E8" t="s">
        <v>42</v>
      </c>
    </row>
    <row r="9" spans="1:5" x14ac:dyDescent="0.2">
      <c r="A9" cm="1">
        <f t="array" ref="A9">WORKDAY(DATE(2025,1,10),-0.000000001)</f>
        <v>45666</v>
      </c>
      <c r="B9">
        <f t="shared" si="0"/>
        <v>0</v>
      </c>
      <c r="C9">
        <f t="shared" si="1"/>
        <v>45666</v>
      </c>
      <c r="D9" t="str">
        <f t="shared" si="2"/>
        <v/>
      </c>
      <c r="E9" t="s">
        <v>43</v>
      </c>
    </row>
    <row r="10" spans="1:5" x14ac:dyDescent="0.2">
      <c r="A10" cm="1">
        <f t="array" ref="A10">WORKDAY.INTL(DATE(2025,1,10),-0.000000001)</f>
        <v>45666</v>
      </c>
      <c r="B10">
        <f t="shared" si="0"/>
        <v>0</v>
      </c>
      <c r="C10">
        <f t="shared" si="1"/>
        <v>45666</v>
      </c>
      <c r="D10" t="str">
        <f t="shared" si="2"/>
        <v/>
      </c>
      <c r="E10" t="s">
        <v>44</v>
      </c>
    </row>
    <row r="11" spans="1:5" x14ac:dyDescent="0.2">
      <c r="A11" t="e" cm="1">
        <f t="array" ref="A11">TIMEVALUE("0:0:86400")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DAYS360(DATE(2025,1,1),DATE(2025,1,30)+(86399.4/86400))</f>
        <v>29</v>
      </c>
      <c r="B12">
        <f t="shared" si="0"/>
        <v>0</v>
      </c>
      <c r="C12">
        <f t="shared" si="1"/>
        <v>29</v>
      </c>
      <c r="D12" t="str">
        <f t="shared" si="2"/>
        <v/>
      </c>
      <c r="E12" t="s">
        <v>46</v>
      </c>
    </row>
    <row r="13" spans="1:5" x14ac:dyDescent="0.2">
      <c r="A13" cm="1">
        <f t="array" ref="A13">DAYS360(DATE(2025,1,1),DATE(2025,1,30)+(86399.6/86400))</f>
        <v>30</v>
      </c>
      <c r="B13">
        <f t="shared" si="0"/>
        <v>0</v>
      </c>
      <c r="C13">
        <f t="shared" si="1"/>
        <v>30</v>
      </c>
      <c r="D13" t="str">
        <f t="shared" si="2"/>
        <v/>
      </c>
      <c r="E13" t="s">
        <v>47</v>
      </c>
    </row>
    <row r="14" spans="1:5" x14ac:dyDescent="0.2">
      <c r="A14" cm="1">
        <f t="array" ref="A14">DAYS360(DATE(2025,1,1)+0.5,DATE(2025,3,1)+0.5)</f>
        <v>60</v>
      </c>
      <c r="B14">
        <f t="shared" si="0"/>
        <v>0</v>
      </c>
      <c r="C14">
        <f t="shared" si="1"/>
        <v>60</v>
      </c>
      <c r="D14" t="str">
        <f t="shared" si="2"/>
        <v/>
      </c>
      <c r="E14" t="s">
        <v>48</v>
      </c>
    </row>
    <row r="15" spans="1:5" x14ac:dyDescent="0.2">
      <c r="A15" cm="1">
        <f t="array" ref="A15">DAYS360(DATE(2025,1,30)+0.99999999,DATE(2025,2,28),TRUE)</f>
        <v>28</v>
      </c>
      <c r="B15">
        <f t="shared" si="0"/>
        <v>0</v>
      </c>
      <c r="C15">
        <f t="shared" si="1"/>
        <v>28</v>
      </c>
      <c r="D15" t="str">
        <f t="shared" si="2"/>
        <v/>
      </c>
      <c r="E15" t="s">
        <v>49</v>
      </c>
    </row>
    <row r="16" spans="1:5" x14ac:dyDescent="0.2">
      <c r="A16" t="e" cm="1">
        <f t="array" ref="A16">WEEKDAY(NA(),1/0)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WEEKDAY("abc",1/0)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WEEKDAY(-1,5)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WEEKDAY(45667,5)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WEEKDAY(2958466,1)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WEEKDAY(2958466,"x")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WORKDAY(DATE(2025,1,10),0.9999999)</f>
        <v>45667</v>
      </c>
      <c r="B22">
        <f t="shared" si="0"/>
        <v>0</v>
      </c>
      <c r="C22">
        <f t="shared" si="1"/>
        <v>45667</v>
      </c>
      <c r="D22" t="str">
        <f t="shared" si="2"/>
        <v/>
      </c>
      <c r="E22" t="s">
        <v>56</v>
      </c>
    </row>
    <row r="23" spans="1:5" x14ac:dyDescent="0.2">
      <c r="A23" cm="1">
        <f t="array" ref="A23">WORKDAY(DATE(2025,1,10),1.5)</f>
        <v>45670</v>
      </c>
      <c r="B23">
        <f t="shared" si="0"/>
        <v>0</v>
      </c>
      <c r="C23">
        <f t="shared" si="1"/>
        <v>45670</v>
      </c>
      <c r="D23" t="str">
        <f t="shared" si="2"/>
        <v/>
      </c>
      <c r="E23" t="s">
        <v>57</v>
      </c>
    </row>
    <row r="24" spans="1:5" x14ac:dyDescent="0.2">
      <c r="A24" cm="1">
        <f t="array" ref="A24">WORKDAY(DATE(2025,1,10),-1.5)</f>
        <v>45665</v>
      </c>
      <c r="B24">
        <f t="shared" si="0"/>
        <v>0</v>
      </c>
      <c r="C24">
        <f t="shared" si="1"/>
        <v>45665</v>
      </c>
      <c r="D24" t="str">
        <f t="shared" si="2"/>
        <v/>
      </c>
      <c r="E24" t="s">
        <v>58</v>
      </c>
    </row>
    <row r="25" spans="1:5" x14ac:dyDescent="0.2">
      <c r="A25" cm="1">
        <f t="array" ref="A25">WORKDAY(DATE(2025,1,10),-0.5)</f>
        <v>45666</v>
      </c>
      <c r="B25">
        <f t="shared" si="0"/>
        <v>0</v>
      </c>
      <c r="C25">
        <f t="shared" si="1"/>
        <v>45666</v>
      </c>
      <c r="D25" t="str">
        <f t="shared" si="2"/>
        <v/>
      </c>
      <c r="E25" t="s">
        <v>59</v>
      </c>
    </row>
    <row r="26" spans="1:5" x14ac:dyDescent="0.2">
      <c r="A26" cm="1">
        <f t="array" ref="A26">WORKDAY.INTL(DATE(2025,1,10),-2.0000001,1)</f>
        <v>45664</v>
      </c>
      <c r="B26">
        <f t="shared" si="0"/>
        <v>0</v>
      </c>
      <c r="C26">
        <f t="shared" si="1"/>
        <v>45664</v>
      </c>
      <c r="D26" t="str">
        <f t="shared" si="2"/>
        <v/>
      </c>
      <c r="E26" t="s">
        <v>60</v>
      </c>
    </row>
    <row r="27" spans="1:5" x14ac:dyDescent="0.2">
      <c r="A27" cm="1">
        <f t="array" ref="A27">TIMEVALUE("0:0:9999")</f>
        <v>0.11572916666666666</v>
      </c>
      <c r="B27">
        <f t="shared" si="0"/>
        <v>0</v>
      </c>
      <c r="C27">
        <f t="shared" si="1"/>
        <v>0.11572916666666666</v>
      </c>
      <c r="D27" t="str">
        <f t="shared" si="2"/>
        <v/>
      </c>
      <c r="E27" t="s">
        <v>61</v>
      </c>
    </row>
    <row r="28" spans="1:5" x14ac:dyDescent="0.2">
      <c r="A28" t="e" cm="1">
        <f t="array" ref="A28">TIMEVALUE("0:0:10000")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TIMEVALUE("0:9999")</f>
        <v>0.94374999999999964</v>
      </c>
      <c r="B29">
        <f t="shared" si="0"/>
        <v>0</v>
      </c>
      <c r="C29">
        <f t="shared" si="1"/>
        <v>0.94374999999999964</v>
      </c>
      <c r="D29" t="str">
        <f t="shared" si="2"/>
        <v/>
      </c>
      <c r="E29" t="s">
        <v>63</v>
      </c>
    </row>
    <row r="30" spans="1:5" x14ac:dyDescent="0.2">
      <c r="A30" t="e" cm="1">
        <f t="array" ref="A30">TIMEVALUE("0:10000")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TIMEVALUE("1:59:9999")</f>
        <v>0.19836805555555556</v>
      </c>
      <c r="B31">
        <f t="shared" si="0"/>
        <v>0</v>
      </c>
      <c r="C31">
        <f t="shared" si="1"/>
        <v>0.19836805555555556</v>
      </c>
      <c r="D31" t="str">
        <f t="shared" si="2"/>
        <v/>
      </c>
      <c r="E31" t="s">
        <v>65</v>
      </c>
    </row>
    <row r="32" spans="1:5" x14ac:dyDescent="0.2">
      <c r="A32" t="e" cm="1">
        <f t="array" ref="A32">VALUE("0:0:86400")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VALUE("9999:0:9999")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s">
        <v>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2026-10-17T13:49:37Z</dcterms:created>
  <dcterms:modified xsi:type="dcterms:W3CDTF">2026-10-17T13:49:38Z</dcterms:modified>
  <cp:category/>
</cp:coreProperties>
</file>