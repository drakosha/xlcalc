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filterPrivacy="1"/>
  <xr:revisionPtr revIDLastSave="0" documentId="8_{67FC5424-C183-9247-A38F-23F57027F9B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q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3" l="1" a="1"/>
  <c r="A67" i="3" a="1"/>
  <c r="A66" i="3" a="1"/>
  <c r="A65" i="3" a="1"/>
  <c r="A64" i="3" a="1"/>
  <c r="A63" i="3" a="1"/>
  <c r="A62" i="3" a="1"/>
  <c r="A61" i="3" a="1"/>
  <c r="A60" i="3" a="1"/>
  <c r="A59" i="3" a="1"/>
  <c r="A58" i="3" a="1"/>
  <c r="A57" i="3" a="1"/>
  <c r="A56" i="3" a="1"/>
  <c r="A55" i="3" a="1"/>
  <c r="A54" i="3" a="1"/>
  <c r="A53" i="3" a="1"/>
  <c r="A52" i="3" a="1"/>
  <c r="A51" i="3" a="1"/>
  <c r="A50" i="3" a="1"/>
  <c r="A49" i="3" a="1"/>
  <c r="A48" i="3" a="1"/>
  <c r="A47" i="3" a="1"/>
  <c r="A46" i="3" a="1"/>
  <c r="D45" i="3"/>
  <c r="C45" i="3"/>
  <c r="A45" i="3" a="1"/>
  <c r="B45" i="3" s="1"/>
  <c r="A44" i="3" a="1"/>
  <c r="A43" i="3" a="1"/>
  <c r="A42" i="3" a="1"/>
  <c r="A41" i="3" a="1"/>
  <c r="A40" i="3" a="1"/>
  <c r="A39" i="3" a="1"/>
  <c r="A38" i="3" a="1"/>
  <c r="A37" i="3" a="1"/>
  <c r="A36" i="3" a="1"/>
  <c r="A35" i="3" a="1"/>
  <c r="A34" i="3" a="1"/>
  <c r="A33" i="3" a="1"/>
  <c r="A32" i="3" a="1"/>
  <c r="A31" i="3" a="1"/>
  <c r="A30" i="3" a="1"/>
  <c r="A29" i="3" a="1"/>
  <c r="A28" i="3" a="1"/>
  <c r="A27" i="3" a="1"/>
  <c r="A26" i="3" a="1"/>
  <c r="D25" i="3"/>
  <c r="C25" i="3"/>
  <c r="A25" i="3" a="1"/>
  <c r="B25" i="3" s="1"/>
  <c r="A24" i="3" a="1"/>
  <c r="A23" i="3" a="1"/>
  <c r="A22" i="3" a="1"/>
  <c r="A21" i="3" a="1"/>
  <c r="A20" i="3" a="1"/>
  <c r="A18" i="3" a="1"/>
  <c r="A17" i="3" a="1"/>
  <c r="A16" i="3" a="1"/>
  <c r="A15" i="3" a="1"/>
  <c r="A14" i="3" a="1"/>
  <c r="A13" i="3" a="1"/>
  <c r="I15" i="2"/>
  <c r="A14" i="2"/>
  <c r="A13" i="2"/>
  <c r="AL10" i="2"/>
  <c r="A8" i="2"/>
  <c r="A7" i="2"/>
  <c r="E3" i="2"/>
  <c r="A23" i="1"/>
  <c r="A9" i="3" s="1" a="1"/>
  <c r="A11" i="1"/>
  <c r="A8" i="3" s="1" a="1"/>
  <c r="A4" i="1"/>
  <c r="A7" i="3" s="1" a="1"/>
  <c r="A3" i="1"/>
  <c r="A6" i="3" s="1" a="1"/>
  <c r="A2" i="1"/>
  <c r="A1" i="1"/>
  <c r="B41" i="3" l="1"/>
  <c r="D41" i="3"/>
  <c r="C41" i="3"/>
  <c r="B37" i="3"/>
  <c r="D37" i="3"/>
  <c r="C37" i="3"/>
  <c r="B33" i="3"/>
  <c r="D33" i="3"/>
  <c r="C33" i="3"/>
  <c r="B29" i="3"/>
  <c r="D29" i="3"/>
  <c r="C29" i="3"/>
  <c r="D68" i="3"/>
  <c r="C68" i="3"/>
  <c r="B68" i="3"/>
  <c r="D67" i="3"/>
  <c r="C67" i="3"/>
  <c r="B67" i="3"/>
  <c r="D66" i="3"/>
  <c r="C66" i="3"/>
  <c r="B66" i="3"/>
  <c r="D65" i="3"/>
  <c r="C65" i="3"/>
  <c r="B65" i="3"/>
  <c r="B64" i="3"/>
  <c r="D64" i="3"/>
  <c r="C64" i="3"/>
  <c r="B63" i="3"/>
  <c r="C63" i="3"/>
  <c r="D63" i="3"/>
  <c r="D62" i="3"/>
  <c r="C62" i="3"/>
  <c r="B62" i="3"/>
  <c r="D61" i="3"/>
  <c r="C61" i="3"/>
  <c r="B61" i="3"/>
  <c r="D60" i="3"/>
  <c r="C60" i="3"/>
  <c r="B60" i="3"/>
  <c r="B59" i="3"/>
  <c r="D59" i="3"/>
  <c r="C59" i="3"/>
  <c r="B58" i="3"/>
  <c r="D58" i="3"/>
  <c r="C58" i="3"/>
  <c r="D57" i="3"/>
  <c r="C57" i="3"/>
  <c r="B57" i="3"/>
  <c r="D56" i="3"/>
  <c r="C56" i="3"/>
  <c r="B56" i="3"/>
  <c r="B55" i="3"/>
  <c r="D55" i="3"/>
  <c r="C55" i="3"/>
  <c r="D54" i="3"/>
  <c r="C54" i="3"/>
  <c r="B54" i="3"/>
  <c r="B53" i="3"/>
  <c r="C53" i="3"/>
  <c r="D53" i="3"/>
  <c r="B52" i="3"/>
  <c r="C52" i="3"/>
  <c r="D52" i="3"/>
  <c r="D51" i="3"/>
  <c r="C51" i="3"/>
  <c r="B51" i="3"/>
  <c r="D50" i="3"/>
  <c r="B50" i="3"/>
  <c r="C50" i="3"/>
  <c r="D49" i="3"/>
  <c r="C49" i="3"/>
  <c r="B49" i="3"/>
  <c r="C48" i="3"/>
  <c r="D48" i="3"/>
  <c r="B48" i="3"/>
  <c r="B47" i="3"/>
  <c r="C47" i="3"/>
  <c r="D47" i="3"/>
  <c r="B46" i="3"/>
  <c r="D46" i="3"/>
  <c r="C46" i="3"/>
  <c r="D44" i="3"/>
  <c r="C44" i="3"/>
  <c r="B44" i="3"/>
  <c r="D43" i="3"/>
  <c r="C43" i="3"/>
  <c r="B43" i="3"/>
  <c r="C42" i="3"/>
  <c r="B42" i="3"/>
  <c r="D42" i="3"/>
  <c r="D40" i="3"/>
  <c r="C40" i="3"/>
  <c r="B40" i="3"/>
  <c r="D39" i="3"/>
  <c r="B39" i="3"/>
  <c r="C39" i="3"/>
  <c r="B38" i="3"/>
  <c r="D38" i="3"/>
  <c r="C38" i="3"/>
  <c r="B36" i="3"/>
  <c r="C36" i="3"/>
  <c r="D36" i="3"/>
  <c r="C35" i="3"/>
  <c r="D35" i="3"/>
  <c r="B35" i="3"/>
  <c r="C34" i="3"/>
  <c r="B34" i="3"/>
  <c r="D34" i="3"/>
  <c r="B32" i="3"/>
  <c r="C32" i="3"/>
  <c r="D32" i="3"/>
  <c r="C31" i="3"/>
  <c r="D31" i="3"/>
  <c r="B31" i="3"/>
  <c r="C30" i="3"/>
  <c r="D30" i="3"/>
  <c r="B30" i="3"/>
  <c r="D28" i="3"/>
  <c r="B28" i="3"/>
  <c r="C28" i="3"/>
  <c r="B27" i="3"/>
  <c r="D27" i="3"/>
  <c r="C27" i="3"/>
  <c r="D26" i="3"/>
  <c r="C26" i="3"/>
  <c r="B26" i="3"/>
  <c r="D24" i="3"/>
  <c r="C24" i="3"/>
  <c r="B24" i="3"/>
  <c r="C23" i="3"/>
  <c r="B23" i="3"/>
  <c r="D23" i="3"/>
  <c r="D22" i="3"/>
  <c r="C22" i="3"/>
  <c r="B22" i="3"/>
  <c r="C21" i="3"/>
  <c r="D21" i="3"/>
  <c r="B21" i="3"/>
  <c r="D20" i="3"/>
  <c r="B20" i="3"/>
  <c r="C20" i="3"/>
  <c r="D18" i="3"/>
  <c r="B18" i="3"/>
  <c r="C18" i="3"/>
  <c r="B17" i="3"/>
  <c r="C17" i="3"/>
  <c r="D17" i="3"/>
  <c r="D16" i="3"/>
  <c r="C16" i="3"/>
  <c r="B16" i="3"/>
  <c r="D15" i="3"/>
  <c r="C15" i="3"/>
  <c r="B15" i="3"/>
  <c r="D14" i="3"/>
  <c r="B14" i="3"/>
  <c r="C14" i="3"/>
  <c r="C13" i="3"/>
  <c r="D13" i="3"/>
  <c r="B13" i="3"/>
  <c r="B9" i="3"/>
  <c r="C9" i="3"/>
  <c r="D9" i="3"/>
  <c r="B8" i="3"/>
  <c r="D8" i="3"/>
  <c r="C8" i="3"/>
  <c r="B7" i="3"/>
  <c r="D7" i="3"/>
  <c r="C7" i="3"/>
  <c r="B6" i="3"/>
  <c r="C6" i="3"/>
  <c r="D6" i="3"/>
  <c r="A19" i="3" a="1"/>
  <c r="A4" i="3" a="1"/>
  <c r="A5" i="3" a="1"/>
  <c r="A3" i="3" a="1"/>
  <c r="A11" i="3" a="1"/>
  <c r="A1" i="3" a="1"/>
  <c r="A10" i="3" a="1"/>
  <c r="A12" i="3" a="1"/>
  <c r="A2" i="3" a="1"/>
  <c r="B19" i="3" l="1"/>
  <c r="C19" i="3"/>
  <c r="D19" i="3"/>
  <c r="B4" i="3"/>
  <c r="C4" i="3"/>
  <c r="D4" i="3"/>
  <c r="B5" i="3"/>
  <c r="C5" i="3"/>
  <c r="D5" i="3"/>
  <c r="B3" i="3"/>
  <c r="C3" i="3"/>
  <c r="D3" i="3"/>
  <c r="B11" i="3"/>
  <c r="C11" i="3"/>
  <c r="D11" i="3"/>
  <c r="C1" i="3"/>
  <c r="B1" i="3"/>
  <c r="D1" i="3"/>
  <c r="B10" i="3"/>
  <c r="C10" i="3"/>
  <c r="D10" i="3"/>
  <c r="B12" i="3"/>
  <c r="C12" i="3"/>
  <c r="D12" i="3"/>
  <c r="D2" i="3"/>
  <c r="B2" i="3"/>
  <c r="C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<sst xmlns="http://schemas.openxmlformats.org/spreadsheetml/2006/main" count="152" uniqueCount="127">
  <si>
    <t>abc</t>
  </si>
  <si>
    <t>é</t>
  </si>
  <si>
    <t>a‿b</t>
  </si>
  <si>
    <t>３</t>
  </si>
  <si>
    <t>ς</t>
  </si>
  <si>
    <t>aA</t>
  </si>
  <si>
    <t>a</t>
  </si>
  <si>
    <t>٣</t>
  </si>
  <si>
    <t>aaaaaaaaaaaaaaaaab</t>
  </si>
  <si>
    <t>aaaaaaaaaaaaaaaaaab</t>
  </si>
  <si>
    <t>aaaaaaaaaaaaaaaaaaab</t>
  </si>
  <si>
    <t>aaaaaaaaaaaaaaaaaaaaaaab</t>
  </si>
  <si>
    <t>aaaaaaaaaaaaaaaaaaaaaaaaaaab</t>
  </si>
  <si>
    <t>aaaaaaaaaaaaaaaaaaaaaaaaaaaaaaab</t>
  </si>
  <si>
    <t>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aaaaaaaaaaaaaaaab</t>
  </si>
  <si>
    <t>(a(b)c)</t>
  </si>
  <si>
    <t>ab</t>
  </si>
  <si>
    <t>a_b</t>
  </si>
  <si>
    <t>aaaaaaaaaaaaaaaaaaaaaaaab</t>
  </si>
  <si>
    <t>aaaaaaaaaaaaaaaaaaaaaaaaab</t>
  </si>
  <si>
    <t>aaaaaaaaaaaaaaaaaaaaaaaaaab</t>
  </si>
  <si>
    <t>xxxxxxxxxxzy</t>
  </si>
  <si>
    <t>xxxxxxxxxxxxzy</t>
  </si>
  <si>
    <t>xxxxxxxxxxxxxxzy</t>
  </si>
  <si>
    <t>xxxxxxxxxxxxxxxxzy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</si>
  <si>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</si>
  <si>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</si>
  <si>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</si>
  <si>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</si>
  <si>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</si>
  <si>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</si>
  <si>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</si>
  <si>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</si>
  <si>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</si>
  <si>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</si>
  <si>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</si>
  <si>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</si>
  <si>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</si>
  <si>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</si>
  <si>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</si>
  <si>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</si>
  <si>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</si>
  <si>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</si>
  <si>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</si>
  <si>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</si>
  <si>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</si>
  <si>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</si>
  <si>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</si>
  <si>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</si>
  <si>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</si>
  <si>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</si>
  <si>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</si>
  <si>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</si>
  <si>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</si>
  <si>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</si>
  <si>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</si>
  <si>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</si>
  <si>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</si>
  <si>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line#1</t>
  </si>
  <si>
    <t>line#2</t>
  </si>
  <si>
    <t>line#3</t>
  </si>
  <si>
    <t>line#4</t>
  </si>
  <si>
    <t>line#5</t>
  </si>
  <si>
    <t>line#6</t>
  </si>
  <si>
    <t>line#7</t>
  </si>
  <si>
    <t>line#8</t>
  </si>
  <si>
    <t>line#9</t>
  </si>
  <si>
    <t>line#10</t>
  </si>
  <si>
    <t>line#11</t>
  </si>
  <si>
    <t>line#12</t>
  </si>
  <si>
    <t>look#1</t>
  </si>
  <si>
    <t>look#2</t>
  </si>
  <si>
    <t>look#3</t>
  </si>
  <si>
    <t>class#1</t>
  </si>
  <si>
    <t>class#2</t>
  </si>
  <si>
    <t>class#3</t>
  </si>
  <si>
    <t>class#4</t>
  </si>
  <si>
    <t>class#5</t>
  </si>
  <si>
    <t>class#6</t>
  </si>
  <si>
    <t>class#7</t>
  </si>
  <si>
    <t>class#8</t>
  </si>
  <si>
    <t>class#9</t>
  </si>
  <si>
    <t>class#10</t>
  </si>
  <si>
    <t>class#11</t>
  </si>
  <si>
    <t>class#12</t>
  </si>
  <si>
    <t>class#13</t>
  </si>
  <si>
    <t>case#1</t>
  </si>
  <si>
    <t>case#2</t>
  </si>
  <si>
    <t>case#3</t>
  </si>
  <si>
    <t>case#4</t>
  </si>
  <si>
    <t>case#5</t>
  </si>
  <si>
    <t>option#1</t>
  </si>
  <si>
    <t>option#2</t>
  </si>
  <si>
    <t>option#3</t>
  </si>
  <si>
    <t>option#4</t>
  </si>
  <si>
    <t>option#5</t>
  </si>
  <si>
    <t>option#6</t>
  </si>
  <si>
    <t>recurse#1</t>
  </si>
  <si>
    <t>recurse#2</t>
  </si>
  <si>
    <t>recurse#3</t>
  </si>
  <si>
    <t>bad#1</t>
  </si>
  <si>
    <t>bad#2</t>
  </si>
  <si>
    <t>bad#3</t>
  </si>
  <si>
    <t>bad#4</t>
  </si>
  <si>
    <t>bad#5</t>
  </si>
  <si>
    <t>backtrack#1</t>
  </si>
  <si>
    <t>backtrack#2</t>
  </si>
  <si>
    <t>backtrack#3</t>
  </si>
  <si>
    <t>backtrack#4</t>
  </si>
  <si>
    <t>backtrack#5</t>
  </si>
  <si>
    <t>backtrack#6</t>
  </si>
  <si>
    <t>backtrack#7</t>
  </si>
  <si>
    <t>backtrack#8</t>
  </si>
  <si>
    <t>backtrack#9</t>
  </si>
  <si>
    <t>backtrack#10</t>
  </si>
  <si>
    <t>backtrack#11</t>
  </si>
  <si>
    <t>backtrack#12</t>
  </si>
  <si>
    <t>backtrack#13</t>
  </si>
  <si>
    <t>backtrack#14</t>
  </si>
  <si>
    <t>backtrack#15</t>
  </si>
  <si>
    <t>limit#1</t>
  </si>
  <si>
    <t>limit#2</t>
  </si>
  <si>
    <t>limit#3</t>
  </si>
  <si>
    <t>limit#4</t>
  </si>
  <si>
    <t>limit#5</t>
  </si>
  <si>
    <t>limit#6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</si>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</sst>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2</v>
    <v>125</v>
  </rv>
  <rv s="0">
    <v>2</v>
    <v>108</v>
  </rv>
  <rv s="0">
    <v>2</v>
    <v>89</v>
  </rv>
  <rv s="0">
    <v>2</v>
    <v>55</v>
  </rv>
  <rv s="0">
    <v>2</v>
    <v>63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tr">
        <f>"a"&amp;_xlfn.UNICHAR(133)&amp;"b"</f>
        <v>ab</v>
      </c>
    </row>
    <row r="2" spans="1:1" x14ac:dyDescent="0.2">
      <c r="A2" t="str">
        <f>"a"&amp;_xlfn.UNICHAR(8232)&amp;"b"</f>
        <v>a b</v>
      </c>
    </row>
    <row r="3" spans="1:1" x14ac:dyDescent="0.2">
      <c r="A3" t="str">
        <f>"a"&amp;_xlfn.UNICHAR(11)&amp;"b"</f>
        <v>a_x000B_b</v>
      </c>
    </row>
    <row r="4" spans="1:1" x14ac:dyDescent="0.2">
      <c r="A4" t="str">
        <f>"a"&amp;_xlfn.UNICHAR(12)&amp;"b"</f>
        <v>a_x000C_b</v>
      </c>
    </row>
    <row r="5" spans="1:1" x14ac:dyDescent="0.2">
      <c r="A5" t="s">
        <v>0</v>
      </c>
    </row>
    <row r="6" spans="1:1" x14ac:dyDescent="0.2">
      <c r="A6" t="s">
        <v>1</v>
      </c>
    </row>
    <row r="7" spans="1:1" x14ac:dyDescent="0.2">
      <c r="A7" t="s">
        <v>2</v>
      </c>
    </row>
    <row r="8" spans="1:1" x14ac:dyDescent="0.2">
      <c r="A8" t="s">
        <v>3</v>
      </c>
    </row>
    <row r="9" spans="1:1" x14ac:dyDescent="0.2">
      <c r="A9" t="s">
        <v>4</v>
      </c>
    </row>
    <row r="10" spans="1:1" x14ac:dyDescent="0.2">
      <c r="A10" t="s">
        <v>5</v>
      </c>
    </row>
    <row r="11" spans="1:1" x14ac:dyDescent="0.2">
      <c r="A11" t="str">
        <f>"ab"&amp;CHAR(13)&amp;CHAR(10)</f>
        <v xml:space="preserve">ab_x000D_
</v>
      </c>
    </row>
    <row r="12" spans="1:1" x14ac:dyDescent="0.2">
      <c r="A12" t="s">
        <v>6</v>
      </c>
    </row>
    <row r="13" spans="1:1" x14ac:dyDescent="0.2">
      <c r="A13" t="s">
        <v>7</v>
      </c>
    </row>
    <row r="14" spans="1:1" x14ac:dyDescent="0.2">
      <c r="A14" t="s">
        <v>8</v>
      </c>
    </row>
    <row r="15" spans="1:1" x14ac:dyDescent="0.2">
      <c r="A15" t="s">
        <v>9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3" spans="1:1" x14ac:dyDescent="0.2">
      <c r="A23" t="str">
        <f>"a"&amp;CHAR(13)</f>
        <v>a_x000D_</v>
      </c>
    </row>
    <row r="24" spans="1:1" x14ac:dyDescent="0.2">
      <c r="A24" t="s">
        <v>17</v>
      </c>
    </row>
    <row r="25" spans="1:1" x14ac:dyDescent="0.2">
      <c r="A25" t="s">
        <v>18</v>
      </c>
    </row>
    <row r="26" spans="1:1" x14ac:dyDescent="0.2">
      <c r="A26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26</v>
      </c>
      <c r="N1">
        <v>10</v>
      </c>
      <c r="P1">
        <v>1</v>
      </c>
      <c r="Q1">
        <v>2</v>
      </c>
      <c r="R1">
        <v>5</v>
      </c>
      <c r="S1">
        <v>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AA1" t="s">
        <v>27</v>
      </c>
      <c r="AB1" t="s">
        <v>28</v>
      </c>
      <c r="AC1" t="s">
        <v>27</v>
      </c>
      <c r="AD1" t="s">
        <v>27</v>
      </c>
      <c r="AE1" t="s">
        <v>27</v>
      </c>
      <c r="AF1" t="s">
        <v>27</v>
      </c>
      <c r="AG1" t="s">
        <v>27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6</v>
      </c>
    </row>
    <row r="2" spans="1:60" x14ac:dyDescent="0.2">
      <c r="A2" t="s">
        <v>32</v>
      </c>
      <c r="B2">
        <v>8</v>
      </c>
      <c r="C2">
        <v>7</v>
      </c>
      <c r="D2" t="s">
        <v>32</v>
      </c>
      <c r="E2">
        <v>2</v>
      </c>
      <c r="F2" t="s">
        <v>33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34</v>
      </c>
      <c r="N2">
        <v>20</v>
      </c>
      <c r="P2">
        <v>3</v>
      </c>
      <c r="Q2">
        <v>4</v>
      </c>
      <c r="R2">
        <v>7</v>
      </c>
      <c r="S2">
        <v>8</v>
      </c>
      <c r="U2" t="s">
        <v>35</v>
      </c>
      <c r="V2">
        <v>18</v>
      </c>
      <c r="W2">
        <v>20</v>
      </c>
      <c r="X2">
        <v>14</v>
      </c>
      <c r="Y2">
        <v>105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0</v>
      </c>
      <c r="B3">
        <v>15</v>
      </c>
      <c r="C3">
        <v>11</v>
      </c>
      <c r="D3" t="s">
        <v>0</v>
      </c>
      <c r="E3" t="e">
        <f>1/0</f>
        <v>#DIV/0!</v>
      </c>
      <c r="F3" t="s">
        <v>41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42</v>
      </c>
      <c r="N3">
        <v>30</v>
      </c>
      <c r="U3" t="s">
        <v>37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0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43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44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45</v>
      </c>
      <c r="N4">
        <v>50</v>
      </c>
      <c r="P4">
        <v>1</v>
      </c>
      <c r="Q4">
        <v>2</v>
      </c>
      <c r="R4">
        <v>3</v>
      </c>
      <c r="U4" t="s">
        <v>39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46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47</v>
      </c>
      <c r="N5">
        <v>80</v>
      </c>
      <c r="P5">
        <v>4</v>
      </c>
      <c r="Q5">
        <v>5</v>
      </c>
      <c r="R5">
        <v>6</v>
      </c>
      <c r="U5" t="s">
        <v>35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48</v>
      </c>
      <c r="AP5" s="1">
        <v>39786</v>
      </c>
      <c r="AS5" t="s">
        <v>49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50</v>
      </c>
      <c r="G6">
        <v>32</v>
      </c>
      <c r="H6" s="1">
        <v>45473</v>
      </c>
      <c r="L6">
        <v>13</v>
      </c>
      <c r="M6" t="s">
        <v>51</v>
      </c>
      <c r="N6">
        <v>130</v>
      </c>
      <c r="U6" t="s">
        <v>37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52</v>
      </c>
      <c r="G7">
        <v>64</v>
      </c>
      <c r="H7" s="1">
        <v>46022</v>
      </c>
      <c r="I7">
        <v>-10000</v>
      </c>
      <c r="J7">
        <v>100</v>
      </c>
      <c r="U7" t="s">
        <v>35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53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54</v>
      </c>
      <c r="AU8" s="1">
        <v>39448</v>
      </c>
      <c r="BG8">
        <v>2</v>
      </c>
    </row>
    <row r="9" spans="1:60" x14ac:dyDescent="0.2">
      <c r="A9" t="s">
        <v>55</v>
      </c>
      <c r="I9">
        <v>4200</v>
      </c>
      <c r="J9">
        <v>300</v>
      </c>
      <c r="L9" t="s">
        <v>26</v>
      </c>
      <c r="M9" t="s">
        <v>34</v>
      </c>
      <c r="N9" t="s">
        <v>42</v>
      </c>
      <c r="O9" t="s">
        <v>45</v>
      </c>
      <c r="P9" t="s">
        <v>47</v>
      </c>
      <c r="Q9" t="s">
        <v>51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56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57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_xlfn.XMATCH("a.b",Rq!A1,3)</f>
        <v>1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1</v>
      </c>
      <c r="D1" t="str">
        <f t="shared" ref="D1:D32" si="2">IF(ISTEXT(A1),A1,"")</f>
        <v/>
      </c>
      <c r="E1" t="s">
        <v>58</v>
      </c>
    </row>
    <row r="2" spans="1:5" x14ac:dyDescent="0.2">
      <c r="A2" t="e" cm="1">
        <f t="array" ref="A2">_xlfn.XMATCH("(?m)a$",Rq!A1,3)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59</v>
      </c>
    </row>
    <row r="3" spans="1:5" x14ac:dyDescent="0.2">
      <c r="A3" cm="1">
        <f t="array" ref="A3">_xlfn.XMATCH("a\Rb",Rq!A1,3)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60</v>
      </c>
    </row>
    <row r="4" spans="1:5" x14ac:dyDescent="0.2">
      <c r="A4" cm="1">
        <f t="array" ref="A4">_xlfn.XMATCH("a.b",Rq!A2,3)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61</v>
      </c>
    </row>
    <row r="5" spans="1:5" x14ac:dyDescent="0.2">
      <c r="A5" t="e" cm="1">
        <f t="array" ref="A5">_xlfn.XMATCH("(?m)a$",Rq!A2,3)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62</v>
      </c>
    </row>
    <row r="6" spans="1:5" x14ac:dyDescent="0.2">
      <c r="A6" cm="1">
        <f t="array" ref="A6">_xlfn.XMATCH("a.b",Rq!A3,3)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63</v>
      </c>
    </row>
    <row r="7" spans="1:5" x14ac:dyDescent="0.2">
      <c r="A7" cm="1">
        <f t="array" ref="A7">_xlfn.XMATCH("a.b",Rq!A4,3)</f>
        <v>1</v>
      </c>
      <c r="B7">
        <f t="shared" si="0"/>
        <v>0</v>
      </c>
      <c r="C7">
        <f t="shared" si="1"/>
        <v>1</v>
      </c>
      <c r="D7" t="str">
        <f t="shared" si="2"/>
        <v/>
      </c>
      <c r="E7" t="s">
        <v>64</v>
      </c>
    </row>
    <row r="8" spans="1:5" x14ac:dyDescent="0.2">
      <c r="A8" cm="1">
        <f t="array" ref="A8">_xlfn.XMATCH("b$",Rq!A11,3)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65</v>
      </c>
    </row>
    <row r="9" spans="1:5" x14ac:dyDescent="0.2">
      <c r="A9" cm="1">
        <f t="array" ref="A9">_xlfn.XMATCH("a$",Rq!A23,3)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66</v>
      </c>
    </row>
    <row r="10" spans="1:5" x14ac:dyDescent="0.2">
      <c r="A10" cm="1">
        <f t="array" ref="A10">_xlfn.XMATCH("a\vb",Rq!A1,3)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67</v>
      </c>
    </row>
    <row r="11" spans="1:5" x14ac:dyDescent="0.2">
      <c r="A11" cm="1">
        <f t="array" ref="A11">_xlfn.XMATCH("(*LF)a.b",Rq!A1,3)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68</v>
      </c>
    </row>
    <row r="12" spans="1:5" x14ac:dyDescent="0.2">
      <c r="A12" cm="1">
        <f t="array" ref="A12">_xlfn.XMATCH("(*ANYCRLF)a.b",Rq!A1,3)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69</v>
      </c>
    </row>
    <row r="13" spans="1:5" x14ac:dyDescent="0.2">
      <c r="A13" cm="1">
        <f t="array" ref="A13">_xlfn.XMATCH("(?&lt;=a{1,3})b",Rq!A5,3)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70</v>
      </c>
    </row>
    <row r="14" spans="1:5" x14ac:dyDescent="0.2">
      <c r="A14" t="e" cm="1">
        <f t="array" ref="A14">_xlfn.XMATCH("(?&lt;=a|bc)c",Rq!A5,3)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71</v>
      </c>
    </row>
    <row r="15" spans="1:5" x14ac:dyDescent="0.2">
      <c r="A15" cm="1">
        <f t="array" ref="A15">_xlfn.XMATCH("(?&lt;=(a)|b)c",Rq!A5,3)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72</v>
      </c>
    </row>
    <row r="16" spans="1:5" x14ac:dyDescent="0.2">
      <c r="A16" cm="1">
        <f t="array" ref="A16">_xlfn.XMATCH("^e\w$",Rq!A6,3)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73</v>
      </c>
    </row>
    <row r="17" spans="1:5" x14ac:dyDescent="0.2">
      <c r="A17" cm="1">
        <f t="array" ref="A17">_xlfn.XMATCH("^a\wb$",Rq!A7,3)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74</v>
      </c>
    </row>
    <row r="18" spans="1:5" x14ac:dyDescent="0.2">
      <c r="A18" cm="1">
        <f t="array" ref="A18">_xlfn.XMATCH("\d",Rq!A8,3)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75</v>
      </c>
    </row>
    <row r="19" spans="1:5" x14ac:dyDescent="0.2">
      <c r="A19" cm="1">
        <f t="array" ref="A19">_xlfn.XMATCH("a\sb",Rq!A2,3)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76</v>
      </c>
    </row>
    <row r="20" spans="1:5" x14ac:dyDescent="0.2">
      <c r="A20" cm="1">
        <f t="array" ref="A20">_xlfn.XMATCH("^\w+$",Rq!A24,3)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77</v>
      </c>
    </row>
    <row r="21" spans="1:5" x14ac:dyDescent="0.2">
      <c r="A21" cm="1">
        <f t="array" ref="A21">_xlfn.XMATCH("[[:punct:]]",Rq!A7,3)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78</v>
      </c>
    </row>
    <row r="22" spans="1:5" x14ac:dyDescent="0.2">
      <c r="A22" cm="1">
        <f t="array" ref="A22">_xlfn.XMATCH("\p{Xan}",Rq!A8,3)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79</v>
      </c>
    </row>
    <row r="23" spans="1:5" x14ac:dyDescent="0.2">
      <c r="A23" t="e" cm="1">
        <f t="array" ref="A23">_xlfn.XMATCH("\p{sc=Cyrl}",Rq!A5,3)</f>
        <v>#N/A</v>
      </c>
      <c r="B23">
        <f t="shared" si="0"/>
        <v>7</v>
      </c>
      <c r="C23">
        <f t="shared" si="1"/>
        <v>0</v>
      </c>
      <c r="D23" t="str">
        <f t="shared" si="2"/>
        <v/>
      </c>
      <c r="E23" t="s">
        <v>80</v>
      </c>
    </row>
    <row r="24" spans="1:5" x14ac:dyDescent="0.2">
      <c r="A24" cm="1">
        <f t="array" ref="A24">_xlfn.XMATCH("\p{L&amp;}",Rq!A9,3)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81</v>
      </c>
    </row>
    <row r="25" spans="1:5" x14ac:dyDescent="0.2">
      <c r="A25" cm="1">
        <f t="array" ref="A25">_xlfn.XMATCH("\p{Greek}",Rq!A9,3)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82</v>
      </c>
    </row>
    <row r="26" spans="1:5" x14ac:dyDescent="0.2">
      <c r="A26" cm="1">
        <f t="array" ref="A26">_xlfn.XMATCH("\p{ greek }",Rq!A9,3)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83</v>
      </c>
    </row>
    <row r="27" spans="1:5" x14ac:dyDescent="0.2">
      <c r="A27" cm="1">
        <f t="array" ref="A27">_xlfn.XMATCH("\pL",Rq!A9,3)</f>
        <v>1</v>
      </c>
      <c r="B27">
        <f t="shared" si="0"/>
        <v>0</v>
      </c>
      <c r="C27">
        <f t="shared" si="1"/>
        <v>1</v>
      </c>
      <c r="D27" t="str">
        <f t="shared" si="2"/>
        <v/>
      </c>
      <c r="E27" t="s">
        <v>84</v>
      </c>
    </row>
    <row r="28" spans="1:5" x14ac:dyDescent="0.2">
      <c r="A28" cm="1">
        <f t="array" ref="A28">_xlfn.XMATCH("\p{Bidi_Class:L}",Rq!A9,3)</f>
        <v>1</v>
      </c>
      <c r="B28">
        <f t="shared" si="0"/>
        <v>0</v>
      </c>
      <c r="C28">
        <f t="shared" si="1"/>
        <v>1</v>
      </c>
      <c r="D28" t="str">
        <f t="shared" si="2"/>
        <v/>
      </c>
      <c r="E28" t="s">
        <v>85</v>
      </c>
    </row>
    <row r="29" spans="1:5" x14ac:dyDescent="0.2">
      <c r="A29" cm="1">
        <f t="array" ref="A29">_xlfn.XMATCH("(?i)σ",Rq!A9,3)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86</v>
      </c>
    </row>
    <row r="30" spans="1:5" x14ac:dyDescent="0.2">
      <c r="A30" cm="1">
        <f t="array" ref="A30">_xlfn.XMATCH("(?i)(a)\1",Rq!A10,3)</f>
        <v>1</v>
      </c>
      <c r="B30">
        <f t="shared" si="0"/>
        <v>0</v>
      </c>
      <c r="C30">
        <f t="shared" si="1"/>
        <v>1</v>
      </c>
      <c r="D30" t="str">
        <f t="shared" si="2"/>
        <v/>
      </c>
      <c r="E30" t="s">
        <v>87</v>
      </c>
    </row>
    <row r="31" spans="1:5" x14ac:dyDescent="0.2">
      <c r="A31" t="e" cm="1">
        <f t="array" ref="A31">_xlfn.XMATCH("(?i)[^a]",Rq!A10,3)</f>
        <v>#N/A</v>
      </c>
      <c r="B31">
        <f t="shared" si="0"/>
        <v>7</v>
      </c>
      <c r="C31">
        <f t="shared" si="1"/>
        <v>0</v>
      </c>
      <c r="D31" t="str">
        <f t="shared" si="2"/>
        <v/>
      </c>
      <c r="E31" t="s">
        <v>88</v>
      </c>
    </row>
    <row r="32" spans="1:5" x14ac:dyDescent="0.2">
      <c r="A32" cm="1">
        <f t="array" ref="A32">_xlfn.XMATCH("(?i)\p{Lu}",Rq!A12,3)</f>
        <v>1</v>
      </c>
      <c r="B32">
        <f t="shared" si="0"/>
        <v>0</v>
      </c>
      <c r="C32">
        <f t="shared" si="1"/>
        <v>1</v>
      </c>
      <c r="D32" t="str">
        <f t="shared" si="2"/>
        <v/>
      </c>
      <c r="E32" t="s">
        <v>89</v>
      </c>
    </row>
    <row r="33" spans="1:5" x14ac:dyDescent="0.2">
      <c r="A33" cm="1">
        <f t="array" ref="A33">_xlfn.XMATCH("(?i)[A-Z]",Rq!A12,3)</f>
        <v>1</v>
      </c>
      <c r="B33">
        <f t="shared" ref="B33:B64" si="3">IF(ISERROR(A33),ERROR.TYPE(A33),IF(ISNUMBER(A33),0,IF(ISLOGICAL(A33),IF(A33,-1,-2),IF(ISTEXT(A33),-3,-4))))</f>
        <v>0</v>
      </c>
      <c r="C33">
        <f t="shared" ref="C33:C68" si="4">IF(ISNUMBER(A33),A33,0)</f>
        <v>1</v>
      </c>
      <c r="D33" t="str">
        <f t="shared" ref="D33:D68" si="5">IF(ISTEXT(A33),A33,"")</f>
        <v/>
      </c>
      <c r="E33" t="s">
        <v>90</v>
      </c>
    </row>
    <row r="34" spans="1:5" x14ac:dyDescent="0.2">
      <c r="A34" t="e" cm="1">
        <f t="array" ref="A34">_xlfn.XMATCH("(?i)(?^)A",Rq!A12,3)</f>
        <v>#N/A</v>
      </c>
      <c r="B34">
        <f t="shared" si="3"/>
        <v>7</v>
      </c>
      <c r="C34">
        <f t="shared" si="4"/>
        <v>0</v>
      </c>
      <c r="D34" t="str">
        <f t="shared" si="5"/>
        <v/>
      </c>
      <c r="E34" t="s">
        <v>91</v>
      </c>
    </row>
    <row r="35" spans="1:5" x14ac:dyDescent="0.2">
      <c r="A35" t="e" cm="1">
        <f t="array" ref="A35">_xlfn.XMATCH("(?aD)\d",Rq!A13,3)</f>
        <v>#N/A</v>
      </c>
      <c r="B35">
        <f t="shared" si="3"/>
        <v>7</v>
      </c>
      <c r="C35">
        <f t="shared" si="4"/>
        <v>0</v>
      </c>
      <c r="D35" t="str">
        <f t="shared" si="5"/>
        <v/>
      </c>
      <c r="E35" t="s">
        <v>92</v>
      </c>
    </row>
    <row r="36" spans="1:5" x14ac:dyDescent="0.2">
      <c r="A36" t="e" cm="1" vm="1">
        <f t="array" ref="A36">_xlfn.XMATCH("(*LIMIT_MATCH=100)(a+)+$",Rq!A14,3)</f>
        <v>#VALUE!</v>
      </c>
      <c r="B36">
        <f t="shared" si="3"/>
        <v>3</v>
      </c>
      <c r="C36">
        <f t="shared" si="4"/>
        <v>0</v>
      </c>
      <c r="D36" t="str">
        <f t="shared" si="5"/>
        <v/>
      </c>
      <c r="E36" t="s">
        <v>93</v>
      </c>
    </row>
    <row r="37" spans="1:5" x14ac:dyDescent="0.2">
      <c r="A37" cm="1">
        <f t="array" ref="A37">_xlfn.XMATCH("(*NO_AUTO_POSSESS)a+b",Rq!A5,3)</f>
        <v>1</v>
      </c>
      <c r="B37">
        <f t="shared" si="3"/>
        <v>0</v>
      </c>
      <c r="C37">
        <f t="shared" si="4"/>
        <v>1</v>
      </c>
      <c r="D37" t="str">
        <f t="shared" si="5"/>
        <v/>
      </c>
      <c r="E37" t="s">
        <v>94</v>
      </c>
    </row>
    <row r="38" spans="1:5" x14ac:dyDescent="0.2">
      <c r="A38" cm="1">
        <f t="array" ref="A38">_xlfn.XMATCH("(*UTF)(*UCP)abc",Rq!A5,3)</f>
        <v>1</v>
      </c>
      <c r="B38">
        <f t="shared" si="3"/>
        <v>0</v>
      </c>
      <c r="C38">
        <f t="shared" si="4"/>
        <v>1</v>
      </c>
      <c r="D38" t="str">
        <f t="shared" si="5"/>
        <v/>
      </c>
      <c r="E38" t="s">
        <v>95</v>
      </c>
    </row>
    <row r="39" spans="1:5" x14ac:dyDescent="0.2">
      <c r="A39" cm="1">
        <f t="array" ref="A39">_xlfn.XMATCH("(?-x)a",Rq!A5,3)</f>
        <v>1</v>
      </c>
      <c r="B39">
        <f t="shared" si="3"/>
        <v>0</v>
      </c>
      <c r="C39">
        <f t="shared" si="4"/>
        <v>1</v>
      </c>
      <c r="D39" t="str">
        <f t="shared" si="5"/>
        <v/>
      </c>
      <c r="E39" t="s">
        <v>96</v>
      </c>
    </row>
    <row r="40" spans="1:5" x14ac:dyDescent="0.2">
      <c r="A40" cm="1">
        <f t="array" ref="A40">_xlfn.XMATCH("^(\((?:[^()]|(?-1))*\))$",Rq!A21,3)</f>
        <v>1</v>
      </c>
      <c r="B40">
        <f t="shared" si="3"/>
        <v>0</v>
      </c>
      <c r="C40">
        <f t="shared" si="4"/>
        <v>1</v>
      </c>
      <c r="D40" t="str">
        <f t="shared" si="5"/>
        <v/>
      </c>
      <c r="E40" t="s">
        <v>97</v>
      </c>
    </row>
    <row r="41" spans="1:5" x14ac:dyDescent="0.2">
      <c r="A41" t="e" cm="1">
        <f t="array" ref="A41">_xlfn.XMATCH("^(?+1)(\((?:[^()]|(?1))*\))$",Rq!A21,3)</f>
        <v>#N/A</v>
      </c>
      <c r="B41">
        <f t="shared" si="3"/>
        <v>7</v>
      </c>
      <c r="C41">
        <f t="shared" si="4"/>
        <v>0</v>
      </c>
      <c r="D41" t="str">
        <f t="shared" si="5"/>
        <v/>
      </c>
      <c r="E41" t="s">
        <v>98</v>
      </c>
    </row>
    <row r="42" spans="1:5" x14ac:dyDescent="0.2">
      <c r="A42" t="e" cm="1">
        <f t="array" ref="A42">_xlfn.XMATCH("^(a|b(?1))$",Rq!A22,3)</f>
        <v>#N/A</v>
      </c>
      <c r="B42">
        <f t="shared" si="3"/>
        <v>7</v>
      </c>
      <c r="C42">
        <f t="shared" si="4"/>
        <v>0</v>
      </c>
      <c r="D42" t="str">
        <f t="shared" si="5"/>
        <v/>
      </c>
      <c r="E42" t="s">
        <v>99</v>
      </c>
    </row>
    <row r="43" spans="1:5" x14ac:dyDescent="0.2">
      <c r="A43" t="e" cm="1" vm="2">
        <f t="array" ref="A43">_xlfn.XMATCH("\x{D800}",Rq!A5,3)</f>
        <v>#VALUE!</v>
      </c>
      <c r="B43">
        <f t="shared" si="3"/>
        <v>3</v>
      </c>
      <c r="C43">
        <f t="shared" si="4"/>
        <v>0</v>
      </c>
      <c r="D43" t="str">
        <f t="shared" si="5"/>
        <v/>
      </c>
      <c r="E43" t="s">
        <v>100</v>
      </c>
    </row>
    <row r="44" spans="1:5" x14ac:dyDescent="0.2">
      <c r="A44" cm="1">
        <f t="array" ref="A44">_xlfn.XMATCH("(?&lt;=a(*ACCEPT))",Rq!A5,3)</f>
        <v>1</v>
      </c>
      <c r="B44">
        <f t="shared" si="3"/>
        <v>0</v>
      </c>
      <c r="C44">
        <f t="shared" si="4"/>
        <v>1</v>
      </c>
      <c r="D44" t="str">
        <f t="shared" si="5"/>
        <v/>
      </c>
      <c r="E44" t="s">
        <v>101</v>
      </c>
    </row>
    <row r="45" spans="1:5" x14ac:dyDescent="0.2">
      <c r="A45" t="e" cm="1" vm="3">
        <f t="array" ref="A45">_xlfn.XMATCH("\p{Nope}",Rq!A5,3)</f>
        <v>#VALUE!</v>
      </c>
      <c r="B45">
        <f t="shared" si="3"/>
        <v>3</v>
      </c>
      <c r="C45">
        <f t="shared" si="4"/>
        <v>0</v>
      </c>
      <c r="D45" t="str">
        <f t="shared" si="5"/>
        <v/>
      </c>
      <c r="E45" t="s">
        <v>102</v>
      </c>
    </row>
    <row r="46" spans="1:5" x14ac:dyDescent="0.2">
      <c r="A46" t="e" cm="1" vm="4">
        <f t="array" ref="A46">_xlfn.XMATCH("a{65536}",Rq!A5,3)</f>
        <v>#VALUE!</v>
      </c>
      <c r="B46">
        <f t="shared" si="3"/>
        <v>3</v>
      </c>
      <c r="C46">
        <f t="shared" si="4"/>
        <v>0</v>
      </c>
      <c r="D46" t="str">
        <f t="shared" si="5"/>
        <v/>
      </c>
      <c r="E46" t="s">
        <v>103</v>
      </c>
    </row>
    <row r="47" spans="1:5" x14ac:dyDescent="0.2">
      <c r="A47" t="e" cm="1" vm="5">
        <f t="array" ref="A47">_xlfn.XMATCH("(?",Rq!A5,3)</f>
        <v>#VALUE!</v>
      </c>
      <c r="B47">
        <f t="shared" si="3"/>
        <v>3</v>
      </c>
      <c r="C47">
        <f t="shared" si="4"/>
        <v>0</v>
      </c>
      <c r="D47" t="str">
        <f t="shared" si="5"/>
        <v/>
      </c>
      <c r="E47" t="s">
        <v>104</v>
      </c>
    </row>
    <row r="48" spans="1:5" x14ac:dyDescent="0.2">
      <c r="A48" t="e" cm="1">
        <f t="array" ref="A48">_xlfn.XMATCH("(a+)+$",Rq!A14,3)</f>
        <v>#N/A</v>
      </c>
      <c r="B48">
        <f t="shared" si="3"/>
        <v>7</v>
      </c>
      <c r="C48">
        <f t="shared" si="4"/>
        <v>0</v>
      </c>
      <c r="D48" t="str">
        <f t="shared" si="5"/>
        <v/>
      </c>
      <c r="E48" t="s">
        <v>105</v>
      </c>
    </row>
    <row r="49" spans="1:5" x14ac:dyDescent="0.2">
      <c r="A49" t="e" cm="1">
        <f t="array" ref="A49">_xlfn.XMATCH("(a+)+$",Rq!A15,3)</f>
        <v>#N/A</v>
      </c>
      <c r="B49">
        <f t="shared" si="3"/>
        <v>7</v>
      </c>
      <c r="C49">
        <f t="shared" si="4"/>
        <v>0</v>
      </c>
      <c r="D49" t="str">
        <f t="shared" si="5"/>
        <v/>
      </c>
      <c r="E49" t="s">
        <v>106</v>
      </c>
    </row>
    <row r="50" spans="1:5" x14ac:dyDescent="0.2">
      <c r="A50" t="e" cm="1" vm="1">
        <f t="array" ref="A50">_xlfn.XMATCH("(a+)+$",Rq!A16,3)</f>
        <v>#VALUE!</v>
      </c>
      <c r="B50">
        <f t="shared" si="3"/>
        <v>3</v>
      </c>
      <c r="C50">
        <f t="shared" si="4"/>
        <v>0</v>
      </c>
      <c r="D50" t="str">
        <f t="shared" si="5"/>
        <v/>
      </c>
      <c r="E50" t="s">
        <v>107</v>
      </c>
    </row>
    <row r="51" spans="1:5" x14ac:dyDescent="0.2">
      <c r="A51" t="e" cm="1">
        <f t="array" ref="A51">_xlfn.XMATCH("(a|aa)+$",Rq!A17,3)</f>
        <v>#N/A</v>
      </c>
      <c r="B51">
        <f t="shared" si="3"/>
        <v>7</v>
      </c>
      <c r="C51">
        <f t="shared" si="4"/>
        <v>0</v>
      </c>
      <c r="D51" t="str">
        <f t="shared" si="5"/>
        <v/>
      </c>
      <c r="E51" t="s">
        <v>108</v>
      </c>
    </row>
    <row r="52" spans="1:5" x14ac:dyDescent="0.2">
      <c r="A52" t="e" cm="1" vm="1">
        <f t="array" ref="A52">_xlfn.XMATCH("(a|aa)+$",Rq!A18,3)</f>
        <v>#VALUE!</v>
      </c>
      <c r="B52">
        <f t="shared" si="3"/>
        <v>3</v>
      </c>
      <c r="C52">
        <f t="shared" si="4"/>
        <v>0</v>
      </c>
      <c r="D52" t="str">
        <f t="shared" si="5"/>
        <v/>
      </c>
      <c r="E52" t="s">
        <v>109</v>
      </c>
    </row>
    <row r="53" spans="1:5" x14ac:dyDescent="0.2">
      <c r="A53" t="e" cm="1" vm="1">
        <f t="array" ref="A53">_xlfn.XMATCH("(a|aa)+$",Rq!A19,3)</f>
        <v>#VALUE!</v>
      </c>
      <c r="B53">
        <f t="shared" si="3"/>
        <v>3</v>
      </c>
      <c r="C53">
        <f t="shared" si="4"/>
        <v>0</v>
      </c>
      <c r="D53" t="str">
        <f t="shared" si="5"/>
        <v/>
      </c>
      <c r="E53" t="s">
        <v>110</v>
      </c>
    </row>
    <row r="54" spans="1:5" x14ac:dyDescent="0.2">
      <c r="A54" t="e" cm="1">
        <f t="array" ref="A54">_xlfn.XMATCH("(a+)+$",Rq!A20,3)</f>
        <v>#N/A</v>
      </c>
      <c r="B54">
        <f t="shared" si="3"/>
        <v>7</v>
      </c>
      <c r="C54">
        <f t="shared" si="4"/>
        <v>0</v>
      </c>
      <c r="D54" t="str">
        <f t="shared" si="5"/>
        <v/>
      </c>
      <c r="E54" t="s">
        <v>111</v>
      </c>
    </row>
    <row r="55" spans="1:5" x14ac:dyDescent="0.2">
      <c r="A55" t="e" cm="1" vm="1">
        <f t="array" ref="A55">_xlfn.XMATCH("^(a+)+$",Rq!A16,3)</f>
        <v>#VALUE!</v>
      </c>
      <c r="B55">
        <f t="shared" si="3"/>
        <v>3</v>
      </c>
      <c r="C55">
        <f t="shared" si="4"/>
        <v>0</v>
      </c>
      <c r="D55" t="str">
        <f t="shared" si="5"/>
        <v/>
      </c>
      <c r="E55" t="s">
        <v>112</v>
      </c>
    </row>
    <row r="56" spans="1:5" x14ac:dyDescent="0.2">
      <c r="A56" t="e" cm="1">
        <f t="array" ref="A56">_xlfn.XMATCH("(a|aa)+$",Rq!A25,3)</f>
        <v>#N/A</v>
      </c>
      <c r="B56">
        <f t="shared" si="3"/>
        <v>7</v>
      </c>
      <c r="C56">
        <f t="shared" si="4"/>
        <v>0</v>
      </c>
      <c r="D56" t="str">
        <f t="shared" si="5"/>
        <v/>
      </c>
      <c r="E56" t="s">
        <v>113</v>
      </c>
    </row>
    <row r="57" spans="1:5" x14ac:dyDescent="0.2">
      <c r="A57" t="e" cm="1">
        <f t="array" ref="A57">_xlfn.XMATCH("(a|aa)+$",Rq!A26,3)</f>
        <v>#N/A</v>
      </c>
      <c r="B57">
        <f t="shared" si="3"/>
        <v>7</v>
      </c>
      <c r="C57">
        <f t="shared" si="4"/>
        <v>0</v>
      </c>
      <c r="D57" t="str">
        <f t="shared" si="5"/>
        <v/>
      </c>
      <c r="E57" t="s">
        <v>114</v>
      </c>
    </row>
    <row r="58" spans="1:5" x14ac:dyDescent="0.2">
      <c r="A58" t="e" cm="1" vm="1">
        <f t="array" ref="A58">_xlfn.XMATCH("(a|aa)+$",Rq!A27,3)</f>
        <v>#VALUE!</v>
      </c>
      <c r="B58">
        <f t="shared" si="3"/>
        <v>3</v>
      </c>
      <c r="C58">
        <f t="shared" si="4"/>
        <v>0</v>
      </c>
      <c r="D58" t="str">
        <f t="shared" si="5"/>
        <v/>
      </c>
      <c r="E58" t="s">
        <v>115</v>
      </c>
    </row>
    <row r="59" spans="1:5" x14ac:dyDescent="0.2">
      <c r="A59" t="e" cm="1">
        <f t="array" ref="A59">_xlfn.XMATCH("(x+x+)+y",Rq!A28,3)</f>
        <v>#N/A</v>
      </c>
      <c r="B59">
        <f t="shared" si="3"/>
        <v>7</v>
      </c>
      <c r="C59">
        <f t="shared" si="4"/>
        <v>0</v>
      </c>
      <c r="D59" t="str">
        <f t="shared" si="5"/>
        <v/>
      </c>
      <c r="E59" t="s">
        <v>116</v>
      </c>
    </row>
    <row r="60" spans="1:5" x14ac:dyDescent="0.2">
      <c r="A60" t="e" cm="1">
        <f t="array" ref="A60">_xlfn.XMATCH("(x+x+)+y",Rq!A29,3)</f>
        <v>#N/A</v>
      </c>
      <c r="B60">
        <f t="shared" si="3"/>
        <v>7</v>
      </c>
      <c r="C60">
        <f t="shared" si="4"/>
        <v>0</v>
      </c>
      <c r="D60" t="str">
        <f t="shared" si="5"/>
        <v/>
      </c>
      <c r="E60" t="s">
        <v>117</v>
      </c>
    </row>
    <row r="61" spans="1:5" x14ac:dyDescent="0.2">
      <c r="A61" t="e" cm="1">
        <f t="array" ref="A61">_xlfn.XMATCH("(x+x+)+y",Rq!A30,3)</f>
        <v>#N/A</v>
      </c>
      <c r="B61">
        <f t="shared" si="3"/>
        <v>7</v>
      </c>
      <c r="C61">
        <f t="shared" si="4"/>
        <v>0</v>
      </c>
      <c r="D61" t="str">
        <f t="shared" si="5"/>
        <v/>
      </c>
      <c r="E61" t="s">
        <v>118</v>
      </c>
    </row>
    <row r="62" spans="1:5" x14ac:dyDescent="0.2">
      <c r="A62" t="e" cm="1">
        <f t="array" ref="A62">_xlfn.XMATCH("(x+x+)+y",Rq!A31,3)</f>
        <v>#N/A</v>
      </c>
      <c r="B62">
        <f t="shared" si="3"/>
        <v>7</v>
      </c>
      <c r="C62">
        <f t="shared" si="4"/>
        <v>0</v>
      </c>
      <c r="D62" t="str">
        <f t="shared" si="5"/>
        <v/>
      </c>
      <c r="E62" t="s">
        <v>119</v>
      </c>
    </row>
    <row r="63" spans="1:5" x14ac:dyDescent="0.2">
      <c r="A63" t="e" cm="1" vm="1">
        <f t="array" ref="A63">_xlfn.XMATCH("(*LIMIT_MATCH=200000)(a+)+$",Rq!A15,3)</f>
        <v>#VALUE!</v>
      </c>
      <c r="B63">
        <f t="shared" si="3"/>
        <v>3</v>
      </c>
      <c r="C63">
        <f t="shared" si="4"/>
        <v>0</v>
      </c>
      <c r="D63" t="str">
        <f t="shared" si="5"/>
        <v/>
      </c>
      <c r="E63" t="s">
        <v>120</v>
      </c>
    </row>
    <row r="64" spans="1:5" x14ac:dyDescent="0.2">
      <c r="A64" t="e" cm="1" vm="1">
        <f t="array" ref="A64">_xlfn.XMATCH("(*LIMIT_MATCH=500000)(a+)+$",Rq!A15,3)</f>
        <v>#VALUE!</v>
      </c>
      <c r="B64">
        <f t="shared" si="3"/>
        <v>3</v>
      </c>
      <c r="C64">
        <f t="shared" si="4"/>
        <v>0</v>
      </c>
      <c r="D64" t="str">
        <f t="shared" si="5"/>
        <v/>
      </c>
      <c r="E64" t="s">
        <v>121</v>
      </c>
    </row>
    <row r="65" spans="1:5" x14ac:dyDescent="0.2">
      <c r="A65" t="e" cm="1">
        <f t="array" ref="A65">_xlfn.XMATCH("(*LIMIT_MATCH=1000000)(a+)+$",Rq!A15,3)</f>
        <v>#N/A</v>
      </c>
      <c r="B65">
        <f t="shared" ref="B65:B96" si="6">IF(ISERROR(A65),ERROR.TYPE(A65),IF(ISNUMBER(A65),0,IF(ISLOGICAL(A65),IF(A65,-1,-2),IF(ISTEXT(A65),-3,-4))))</f>
        <v>7</v>
      </c>
      <c r="C65">
        <f t="shared" si="4"/>
        <v>0</v>
      </c>
      <c r="D65" t="str">
        <f t="shared" si="5"/>
        <v/>
      </c>
      <c r="E65" t="s">
        <v>122</v>
      </c>
    </row>
    <row r="66" spans="1:5" x14ac:dyDescent="0.2">
      <c r="A66" t="e" cm="1">
        <f t="array" ref="A66">_xlfn.XMATCH("(*LIMIT_MATCH=2000000)(a+)+$",Rq!A15,3)</f>
        <v>#N/A</v>
      </c>
      <c r="B66">
        <f t="shared" si="6"/>
        <v>7</v>
      </c>
      <c r="C66">
        <f t="shared" si="4"/>
        <v>0</v>
      </c>
      <c r="D66" t="str">
        <f t="shared" si="5"/>
        <v/>
      </c>
      <c r="E66" t="s">
        <v>123</v>
      </c>
    </row>
    <row r="67" spans="1:5" x14ac:dyDescent="0.2">
      <c r="A67" t="e" cm="1">
        <f t="array" ref="A67">_xlfn.XMATCH("(*LIMIT_MATCH=5000000)(a+)+$",Rq!A15,3)</f>
        <v>#N/A</v>
      </c>
      <c r="B67">
        <f t="shared" si="6"/>
        <v>7</v>
      </c>
      <c r="C67">
        <f t="shared" si="4"/>
        <v>0</v>
      </c>
      <c r="D67" t="str">
        <f t="shared" si="5"/>
        <v/>
      </c>
      <c r="E67" t="s">
        <v>124</v>
      </c>
    </row>
    <row r="68" spans="1:5" x14ac:dyDescent="0.2">
      <c r="A68" t="e" cm="1">
        <f t="array" ref="A68">_xlfn.XMATCH("(*LIMIT_MATCH=10000000)(a+)+$",Rq!A15,3)</f>
        <v>#N/A</v>
      </c>
      <c r="B68">
        <f t="shared" si="6"/>
        <v>7</v>
      </c>
      <c r="C68">
        <f t="shared" si="4"/>
        <v>0</v>
      </c>
      <c r="D68" t="str">
        <f t="shared" si="5"/>
        <v/>
      </c>
      <c r="E68" t="s">
        <v>125</v>
      </c>
    </row>
    <row r="69" spans="1:5" x14ac:dyDescent="0.2">
      <c r="A69" t="s">
        <v>126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Rq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2026-10-28T17:30:41Z</dcterms:created>
  <dcterms:modified xsi:type="dcterms:W3CDTF">2026-10-28T17:30:42Z</dcterms:modified>
  <cp:category/>
</cp:coreProperties>
</file>