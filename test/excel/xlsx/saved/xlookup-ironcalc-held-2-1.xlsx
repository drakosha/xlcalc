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ECB4A0DC-1523-2F40-8E41-FFF9322D4B8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Us" sheetId="1" r:id="rId1"/>
    <sheet name="Bm" sheetId="2" r:id="rId2"/>
    <sheet name="Em" sheetId="3" r:id="rId3"/>
    <sheet name="Dd" sheetId="4" r:id="rId4"/>
    <sheet name="Ru" sheetId="5" r:id="rId5"/>
    <sheet name="Rd" sheetId="6" r:id="rId6"/>
    <sheet name="Ab" sheetId="7" r:id="rId7"/>
    <sheet name="Aw" sheetId="8" r:id="rId8"/>
    <sheet name="Dw" sheetId="9" r:id="rId9"/>
    <sheet name="D" sheetId="10" r:id="rId10"/>
    <sheet name="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1" l="1" a="1"/>
  <c r="A30" i="11" s="1"/>
  <c r="A29" i="11" a="1"/>
  <c r="A29" i="11" s="1"/>
  <c r="A28" i="11" a="1"/>
  <c r="A28" i="11" s="1"/>
  <c r="A27" i="11" a="1"/>
  <c r="A27" i="11" s="1"/>
  <c r="A26" i="11" a="1"/>
  <c r="A26" i="11" s="1"/>
  <c r="D26" i="11" s="1"/>
  <c r="A25" i="11" a="1"/>
  <c r="A25" i="11"/>
  <c r="D25" i="11" s="1"/>
  <c r="A24" i="11" a="1"/>
  <c r="A24" i="11" s="1"/>
  <c r="A23" i="11" a="1"/>
  <c r="A23" i="11" s="1"/>
  <c r="A22" i="11" a="1"/>
  <c r="A22" i="11" s="1"/>
  <c r="D22" i="11" s="1"/>
  <c r="A21" i="11" a="1"/>
  <c r="A21" i="11"/>
  <c r="D21" i="11" s="1"/>
  <c r="A20" i="11" a="1"/>
  <c r="A20" i="11" s="1"/>
  <c r="A19" i="11" a="1"/>
  <c r="A19" i="11"/>
  <c r="D19" i="11" s="1"/>
  <c r="A18" i="11" a="1"/>
  <c r="A18" i="11" s="1"/>
  <c r="D18" i="11" s="1"/>
  <c r="A17" i="11" a="1"/>
  <c r="A17" i="11" s="1"/>
  <c r="D16" i="11"/>
  <c r="C16" i="11"/>
  <c r="A16" i="11" a="1"/>
  <c r="A16" i="11"/>
  <c r="B16" i="11" s="1"/>
  <c r="A15" i="11" a="1"/>
  <c r="A15" i="11" s="1"/>
  <c r="D15" i="11" s="1"/>
  <c r="A14" i="11" a="1"/>
  <c r="A14" i="11"/>
  <c r="C14" i="11" s="1"/>
  <c r="A13" i="11" a="1"/>
  <c r="A13" i="11"/>
  <c r="C13" i="11" s="1"/>
  <c r="A12" i="11" a="1"/>
  <c r="A12" i="11" s="1"/>
  <c r="A9" i="11" a="1"/>
  <c r="A9" i="11" s="1"/>
  <c r="A8" i="11" a="1"/>
  <c r="A8" i="11" s="1"/>
  <c r="D8" i="11" s="1"/>
  <c r="A7" i="11" a="1"/>
  <c r="A7" i="11" s="1"/>
  <c r="B7" i="11" s="1"/>
  <c r="A6" i="11" a="1"/>
  <c r="A6" i="11"/>
  <c r="B6" i="11" s="1"/>
  <c r="A5" i="11" a="1"/>
  <c r="A5" i="11" s="1"/>
  <c r="A4" i="11" a="1"/>
  <c r="A4" i="11" s="1"/>
  <c r="B4" i="11" s="1"/>
  <c r="A3" i="11" a="1"/>
  <c r="A3" i="11"/>
  <c r="D3" i="11" s="1"/>
  <c r="A2" i="11" a="1"/>
  <c r="A2" i="11" s="1"/>
  <c r="A1" i="11" a="1"/>
  <c r="A1" i="11" s="1"/>
  <c r="I15" i="10"/>
  <c r="A14" i="10"/>
  <c r="A13" i="10"/>
  <c r="AL10" i="10"/>
  <c r="A8" i="10"/>
  <c r="A7" i="10"/>
  <c r="E3" i="10"/>
  <c r="A4" i="3"/>
  <c r="A11" i="11" s="1" a="1"/>
  <c r="A11" i="11" s="1"/>
  <c r="D9" i="11" l="1"/>
  <c r="C9" i="11"/>
  <c r="B9" i="11"/>
  <c r="B24" i="11"/>
  <c r="D24" i="11"/>
  <c r="C24" i="11"/>
  <c r="D17" i="11"/>
  <c r="C17" i="11"/>
  <c r="B17" i="11"/>
  <c r="D12" i="11"/>
  <c r="B12" i="11"/>
  <c r="C27" i="11"/>
  <c r="B27" i="11"/>
  <c r="D27" i="11"/>
  <c r="D1" i="11"/>
  <c r="C1" i="11"/>
  <c r="D30" i="11"/>
  <c r="C30" i="11"/>
  <c r="B30" i="11"/>
  <c r="C6" i="11"/>
  <c r="D6" i="11"/>
  <c r="D13" i="11"/>
  <c r="D2" i="11"/>
  <c r="C2" i="11"/>
  <c r="B2" i="11"/>
  <c r="C5" i="11"/>
  <c r="B5" i="11"/>
  <c r="D5" i="11"/>
  <c r="D20" i="11"/>
  <c r="C20" i="11"/>
  <c r="B20" i="11"/>
  <c r="C11" i="11"/>
  <c r="D11" i="11"/>
  <c r="B11" i="11"/>
  <c r="B28" i="11"/>
  <c r="D28" i="11"/>
  <c r="C28" i="11"/>
  <c r="D29" i="11"/>
  <c r="C29" i="11"/>
  <c r="B29" i="11"/>
  <c r="C23" i="11"/>
  <c r="B23" i="11"/>
  <c r="D23" i="11"/>
  <c r="A10" i="11" a="1"/>
  <c r="A10" i="11" s="1"/>
  <c r="B13" i="11"/>
  <c r="B21" i="11"/>
  <c r="B14" i="11"/>
  <c r="C21" i="11"/>
  <c r="B25" i="11"/>
  <c r="C7" i="11"/>
  <c r="D14" i="11"/>
  <c r="B18" i="11"/>
  <c r="C25" i="11"/>
  <c r="D7" i="11"/>
  <c r="C18" i="11"/>
  <c r="B22" i="11"/>
  <c r="C4" i="11"/>
  <c r="B15" i="11"/>
  <c r="C22" i="11"/>
  <c r="D4" i="11"/>
  <c r="B8" i="11"/>
  <c r="C15" i="11"/>
  <c r="B26" i="11"/>
  <c r="B1" i="11"/>
  <c r="C8" i="11"/>
  <c r="B19" i="11"/>
  <c r="C26" i="11"/>
  <c r="B3" i="11"/>
  <c r="C3" i="11"/>
  <c r="C19" i="11"/>
  <c r="C12" i="11"/>
  <c r="D10" i="11" l="1"/>
  <c r="B10" i="11"/>
  <c r="C1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<sst xmlns="http://schemas.openxmlformats.org/spreadsheetml/2006/main" count="149" uniqueCount="126">
  <si>
    <t>us1</t>
  </si>
  <si>
    <t>us2</t>
  </si>
  <si>
    <t>us3</t>
  </si>
  <si>
    <t>us4</t>
  </si>
  <si>
    <t>us5</t>
  </si>
  <si>
    <t>us6</t>
  </si>
  <si>
    <t>us7</t>
  </si>
  <si>
    <t>bm1</t>
  </si>
  <si>
    <t>bm2</t>
  </si>
  <si>
    <t>bm3</t>
  </si>
  <si>
    <t>bm4</t>
  </si>
  <si>
    <t>bm5</t>
  </si>
  <si>
    <t>bm6</t>
  </si>
  <si>
    <t>bm7</t>
  </si>
  <si>
    <t>em1</t>
  </si>
  <si>
    <t>em2</t>
  </si>
  <si>
    <t>em3</t>
  </si>
  <si>
    <t>em4</t>
  </si>
  <si>
    <t>em5</t>
  </si>
  <si>
    <t>em6</t>
  </si>
  <si>
    <t>em7</t>
  </si>
  <si>
    <t>dd1</t>
  </si>
  <si>
    <t>dd2</t>
  </si>
  <si>
    <t>dd3</t>
  </si>
  <si>
    <t>dd4</t>
  </si>
  <si>
    <t>dd5</t>
  </si>
  <si>
    <t>ru1</t>
  </si>
  <si>
    <t>ru2</t>
  </si>
  <si>
    <t>ru3</t>
  </si>
  <si>
    <t>ru4</t>
  </si>
  <si>
    <t>ru5</t>
  </si>
  <si>
    <t>ru6</t>
  </si>
  <si>
    <t>ru7</t>
  </si>
  <si>
    <t>rd1</t>
  </si>
  <si>
    <t>rd2</t>
  </si>
  <si>
    <t>rd3</t>
  </si>
  <si>
    <t>rd4</t>
  </si>
  <si>
    <t>rd5</t>
  </si>
  <si>
    <t>rd6</t>
  </si>
  <si>
    <t>rd7</t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</si>
  <si>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</si>
  <si>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</si>
  <si>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</si>
  <si>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</si>
  <si>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</si>
  <si>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</si>
  <si>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</si>
  <si>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</si>
  <si>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</si>
  <si>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</si>
  <si>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aw1</t>
  </si>
  <si>
    <t>aw2</t>
  </si>
  <si>
    <t>aw3</t>
  </si>
  <si>
    <t>aw4</t>
  </si>
  <si>
    <t>aw5</t>
  </si>
  <si>
    <t>dw1</t>
  </si>
  <si>
    <t>dw2</t>
  </si>
  <si>
    <t>dw3</t>
  </si>
  <si>
    <t>dw4</t>
  </si>
  <si>
    <t>dw5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</si>
  <si>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</si>
  <si>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</si>
  <si>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</si>
  <si>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</si>
  <si>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</si>
  <si>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</si>
  <si>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</si>
  <si>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</si>
  <si>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</si>
  <si>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</si>
  <si>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</si>
  <si>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</si>
  <si>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</si>
  <si>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</si>
  <si>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</si>
  <si>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</si>
  <si>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</si>
  <si>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</si>
  <si>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</si>
  <si>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</si>
  <si>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</si>
  <si>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</si>
  <si>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</si>
  <si>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</si>
  <si>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</si>
  <si>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</si>
  <si>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</si>
  <si>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</si>
  <si>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</si>
  <si>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</si>
  <si>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</si>
  <si>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</si>
  <si>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</si>
  <si>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</si>
  <si>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</si>
  <si>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XLOOKUP#1</t>
  </si>
  <si>
    <t>XLOOKUP#2</t>
  </si>
  <si>
    <t>XLOOKUP#3</t>
  </si>
  <si>
    <t>XLOOKUP#4</t>
  </si>
  <si>
    <t>XMATCH#1</t>
  </si>
  <si>
    <t>XLOOKUP#5</t>
  </si>
  <si>
    <t>XLOOKUP#6</t>
  </si>
  <si>
    <t>XLOOKUP#7</t>
  </si>
  <si>
    <t>XLOOKUP#8</t>
  </si>
  <si>
    <t>XLOOKUP#9</t>
  </si>
  <si>
    <t>XLOOKUP#10</t>
  </si>
  <si>
    <t>XLOOKUP#11</t>
  </si>
  <si>
    <t>XLOOKUP#12</t>
  </si>
  <si>
    <t>XLOOKUP#13</t>
  </si>
  <si>
    <t>XLOOKUP#14</t>
  </si>
  <si>
    <t>XLOOKUP#15</t>
  </si>
  <si>
    <t>XLOOKUP#16</t>
  </si>
  <si>
    <t>XLOOKUP#17</t>
  </si>
  <si>
    <t>XLOOKUP#18</t>
  </si>
  <si>
    <t>XLOOKUP#19</t>
  </si>
  <si>
    <t>XLOOKUP#20</t>
  </si>
  <si>
    <t>XLOOKUP#21</t>
  </si>
  <si>
    <t>XLOOKUP#22</t>
  </si>
  <si>
    <t>XLOOKUP#23</t>
  </si>
  <si>
    <t>XMATCH#2</t>
  </si>
  <si>
    <t>XLOOKUP#24</t>
  </si>
  <si>
    <t>XLOOKUP#25</t>
  </si>
  <si>
    <t>XMATCH#3</t>
  </si>
  <si>
    <t>XMATCH#4</t>
  </si>
  <si>
    <t>XMATCH#5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</si>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</sst>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3</v>
      </c>
      <c r="B1" t="s">
        <v>0</v>
      </c>
    </row>
    <row r="2" spans="1:2" x14ac:dyDescent="0.2">
      <c r="A2">
        <v>8</v>
      </c>
      <c r="B2" t="s">
        <v>1</v>
      </c>
    </row>
    <row r="3" spans="1:2" x14ac:dyDescent="0.2">
      <c r="A3">
        <v>1</v>
      </c>
      <c r="B3" t="s">
        <v>2</v>
      </c>
    </row>
    <row r="4" spans="1:2" x14ac:dyDescent="0.2">
      <c r="A4">
        <v>9</v>
      </c>
      <c r="B4" t="s">
        <v>3</v>
      </c>
    </row>
    <row r="5" spans="1:2" x14ac:dyDescent="0.2">
      <c r="A5">
        <v>5</v>
      </c>
      <c r="B5" t="s">
        <v>4</v>
      </c>
    </row>
    <row r="6" spans="1:2" x14ac:dyDescent="0.2">
      <c r="A6">
        <v>2</v>
      </c>
      <c r="B6" t="s">
        <v>5</v>
      </c>
    </row>
    <row r="7" spans="1:2" x14ac:dyDescent="0.2">
      <c r="A7">
        <v>7</v>
      </c>
      <c r="B7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7</v>
      </c>
    </row>
    <row r="2" spans="1:2" x14ac:dyDescent="0.2">
      <c r="A2">
        <v>2</v>
      </c>
      <c r="B2" t="s">
        <v>8</v>
      </c>
    </row>
    <row r="3" spans="1:2" x14ac:dyDescent="0.2">
      <c r="A3">
        <v>3</v>
      </c>
      <c r="B3" t="s">
        <v>9</v>
      </c>
    </row>
    <row r="4" spans="1:2" x14ac:dyDescent="0.2">
      <c r="B4" t="s">
        <v>10</v>
      </c>
    </row>
    <row r="5" spans="1:2" x14ac:dyDescent="0.2">
      <c r="A5">
        <v>5</v>
      </c>
      <c r="B5" t="s">
        <v>11</v>
      </c>
    </row>
    <row r="6" spans="1:2" x14ac:dyDescent="0.2">
      <c r="A6">
        <v>6</v>
      </c>
      <c r="B6" t="s">
        <v>12</v>
      </c>
    </row>
    <row r="7" spans="1:2" x14ac:dyDescent="0.2">
      <c r="A7">
        <v>7</v>
      </c>
      <c r="B7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14</v>
      </c>
    </row>
    <row r="2" spans="1:2" x14ac:dyDescent="0.2">
      <c r="A2">
        <v>2</v>
      </c>
      <c r="B2" t="s">
        <v>15</v>
      </c>
    </row>
    <row r="3" spans="1:2" x14ac:dyDescent="0.2">
      <c r="A3">
        <v>3</v>
      </c>
      <c r="B3" t="s">
        <v>16</v>
      </c>
    </row>
    <row r="4" spans="1:2" x14ac:dyDescent="0.2">
      <c r="A4" t="e">
        <f>NA()</f>
        <v>#N/A</v>
      </c>
      <c r="B4" t="s">
        <v>17</v>
      </c>
    </row>
    <row r="5" spans="1:2" x14ac:dyDescent="0.2">
      <c r="A5">
        <v>5</v>
      </c>
      <c r="B5" t="s">
        <v>18</v>
      </c>
    </row>
    <row r="6" spans="1:2" x14ac:dyDescent="0.2">
      <c r="A6">
        <v>6</v>
      </c>
      <c r="B6" t="s">
        <v>19</v>
      </c>
    </row>
    <row r="7" spans="1:2" x14ac:dyDescent="0.2">
      <c r="A7">
        <v>7</v>
      </c>
      <c r="B7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9</v>
      </c>
      <c r="B1" t="s">
        <v>21</v>
      </c>
    </row>
    <row r="2" spans="1:2" x14ac:dyDescent="0.2">
      <c r="A2">
        <v>8</v>
      </c>
      <c r="B2" t="s">
        <v>22</v>
      </c>
    </row>
    <row r="3" spans="1:2" x14ac:dyDescent="0.2">
      <c r="B3" t="s">
        <v>23</v>
      </c>
    </row>
    <row r="4" spans="1:2" x14ac:dyDescent="0.2">
      <c r="A4">
        <v>6</v>
      </c>
      <c r="B4" t="s">
        <v>24</v>
      </c>
    </row>
    <row r="5" spans="1:2" x14ac:dyDescent="0.2">
      <c r="A5">
        <v>5</v>
      </c>
      <c r="B5" t="s">
        <v>25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26</v>
      </c>
    </row>
    <row r="2" spans="1:2" x14ac:dyDescent="0.2">
      <c r="A2">
        <v>3</v>
      </c>
      <c r="B2" t="s">
        <v>27</v>
      </c>
    </row>
    <row r="3" spans="1:2" x14ac:dyDescent="0.2">
      <c r="A3">
        <v>3</v>
      </c>
      <c r="B3" t="s">
        <v>28</v>
      </c>
    </row>
    <row r="4" spans="1:2" x14ac:dyDescent="0.2">
      <c r="A4">
        <v>3</v>
      </c>
      <c r="B4" t="s">
        <v>29</v>
      </c>
    </row>
    <row r="5" spans="1:2" x14ac:dyDescent="0.2">
      <c r="A5">
        <v>3</v>
      </c>
      <c r="B5" t="s">
        <v>30</v>
      </c>
    </row>
    <row r="6" spans="1:2" x14ac:dyDescent="0.2">
      <c r="A6">
        <v>5</v>
      </c>
      <c r="B6" t="s">
        <v>31</v>
      </c>
    </row>
    <row r="7" spans="1:2" x14ac:dyDescent="0.2">
      <c r="A7">
        <v>7</v>
      </c>
      <c r="B7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>
        <v>7</v>
      </c>
      <c r="B1" t="s">
        <v>33</v>
      </c>
    </row>
    <row r="2" spans="1:2" x14ac:dyDescent="0.2">
      <c r="A2">
        <v>5</v>
      </c>
      <c r="B2" t="s">
        <v>34</v>
      </c>
    </row>
    <row r="3" spans="1:2" x14ac:dyDescent="0.2">
      <c r="A3">
        <v>3</v>
      </c>
      <c r="B3" t="s">
        <v>35</v>
      </c>
    </row>
    <row r="4" spans="1:2" x14ac:dyDescent="0.2">
      <c r="A4">
        <v>3</v>
      </c>
      <c r="B4" t="s">
        <v>36</v>
      </c>
    </row>
    <row r="5" spans="1:2" x14ac:dyDescent="0.2">
      <c r="A5">
        <v>3</v>
      </c>
      <c r="B5" t="s">
        <v>37</v>
      </c>
    </row>
    <row r="6" spans="1:2" x14ac:dyDescent="0.2">
      <c r="A6">
        <v>3</v>
      </c>
      <c r="B6" t="s">
        <v>38</v>
      </c>
    </row>
    <row r="7" spans="1:2" x14ac:dyDescent="0.2">
      <c r="A7">
        <v>1</v>
      </c>
      <c r="B7" t="s">
        <v>39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40</v>
      </c>
    </row>
    <row r="2" spans="1:2" x14ac:dyDescent="0.2">
      <c r="A2">
        <v>2</v>
      </c>
      <c r="B2" t="s">
        <v>41</v>
      </c>
    </row>
    <row r="3" spans="1:2" x14ac:dyDescent="0.2">
      <c r="A3">
        <v>3</v>
      </c>
      <c r="B3" t="s">
        <v>42</v>
      </c>
    </row>
    <row r="4" spans="1:2" x14ac:dyDescent="0.2">
      <c r="A4">
        <v>4</v>
      </c>
      <c r="B4" t="s">
        <v>43</v>
      </c>
    </row>
    <row r="5" spans="1:2" x14ac:dyDescent="0.2">
      <c r="A5">
        <v>5</v>
      </c>
      <c r="B5" t="s">
        <v>44</v>
      </c>
    </row>
    <row r="6" spans="1:2" x14ac:dyDescent="0.2">
      <c r="B6" t="s">
        <v>45</v>
      </c>
    </row>
    <row r="7" spans="1:2" x14ac:dyDescent="0.2">
      <c r="B7" t="s">
        <v>46</v>
      </c>
    </row>
    <row r="8" spans="1:2" x14ac:dyDescent="0.2">
      <c r="B8" t="s">
        <v>47</v>
      </c>
    </row>
    <row r="9" spans="1:2" x14ac:dyDescent="0.2">
      <c r="B9" t="s">
        <v>48</v>
      </c>
    </row>
    <row r="10" spans="1:2" x14ac:dyDescent="0.2">
      <c r="B10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50</v>
      </c>
    </row>
    <row r="2" spans="1:2" x14ac:dyDescent="0.2">
      <c r="A2">
        <v>2</v>
      </c>
      <c r="B2" t="s">
        <v>51</v>
      </c>
    </row>
    <row r="3" spans="1:2" x14ac:dyDescent="0.2">
      <c r="A3">
        <v>3</v>
      </c>
      <c r="B3" t="s">
        <v>52</v>
      </c>
    </row>
    <row r="4" spans="1:2" x14ac:dyDescent="0.2">
      <c r="A4">
        <v>4</v>
      </c>
      <c r="B4" t="s">
        <v>53</v>
      </c>
    </row>
    <row r="5" spans="1:2" x14ac:dyDescent="0.2">
      <c r="A5">
        <v>5</v>
      </c>
      <c r="B5" t="s">
        <v>54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9</v>
      </c>
      <c r="B1" t="s">
        <v>55</v>
      </c>
    </row>
    <row r="2" spans="1:2" x14ac:dyDescent="0.2">
      <c r="A2">
        <v>8</v>
      </c>
      <c r="B2" t="s">
        <v>56</v>
      </c>
    </row>
    <row r="3" spans="1:2" x14ac:dyDescent="0.2">
      <c r="A3">
        <v>7</v>
      </c>
      <c r="B3" t="s">
        <v>57</v>
      </c>
    </row>
    <row r="4" spans="1:2" x14ac:dyDescent="0.2">
      <c r="A4">
        <v>6</v>
      </c>
      <c r="B4" t="s">
        <v>58</v>
      </c>
    </row>
    <row r="5" spans="1:2" x14ac:dyDescent="0.2">
      <c r="A5">
        <v>5</v>
      </c>
      <c r="B5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61</v>
      </c>
      <c r="N1">
        <v>10</v>
      </c>
      <c r="P1">
        <v>1</v>
      </c>
      <c r="Q1">
        <v>2</v>
      </c>
      <c r="R1">
        <v>5</v>
      </c>
      <c r="S1">
        <v>6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AA1" t="s">
        <v>62</v>
      </c>
      <c r="AB1" t="s">
        <v>63</v>
      </c>
      <c r="AC1" t="s">
        <v>62</v>
      </c>
      <c r="AD1" t="s">
        <v>62</v>
      </c>
      <c r="AE1" t="s">
        <v>62</v>
      </c>
      <c r="AF1" t="s">
        <v>62</v>
      </c>
      <c r="AG1" t="s">
        <v>62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67</v>
      </c>
    </row>
    <row r="2" spans="1:60" x14ac:dyDescent="0.2">
      <c r="A2" t="s">
        <v>68</v>
      </c>
      <c r="B2">
        <v>8</v>
      </c>
      <c r="C2">
        <v>7</v>
      </c>
      <c r="D2" t="s">
        <v>68</v>
      </c>
      <c r="E2">
        <v>2</v>
      </c>
      <c r="F2" t="s">
        <v>69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70</v>
      </c>
      <c r="N2">
        <v>20</v>
      </c>
      <c r="P2">
        <v>3</v>
      </c>
      <c r="Q2">
        <v>4</v>
      </c>
      <c r="R2">
        <v>7</v>
      </c>
      <c r="S2">
        <v>8</v>
      </c>
      <c r="U2" t="s">
        <v>71</v>
      </c>
      <c r="V2">
        <v>18</v>
      </c>
      <c r="W2">
        <v>20</v>
      </c>
      <c r="X2">
        <v>14</v>
      </c>
      <c r="Y2">
        <v>105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77</v>
      </c>
      <c r="B3">
        <v>15</v>
      </c>
      <c r="C3">
        <v>11</v>
      </c>
      <c r="D3" t="s">
        <v>77</v>
      </c>
      <c r="E3" t="e">
        <f>1/0</f>
        <v>#DIV/0!</v>
      </c>
      <c r="F3" t="s">
        <v>78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79</v>
      </c>
      <c r="N3">
        <v>30</v>
      </c>
      <c r="U3" t="s">
        <v>73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77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80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81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82</v>
      </c>
      <c r="N4">
        <v>50</v>
      </c>
      <c r="P4">
        <v>1</v>
      </c>
      <c r="Q4">
        <v>2</v>
      </c>
      <c r="R4">
        <v>3</v>
      </c>
      <c r="U4" t="s">
        <v>75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67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83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84</v>
      </c>
      <c r="N5">
        <v>80</v>
      </c>
      <c r="P5">
        <v>4</v>
      </c>
      <c r="Q5">
        <v>5</v>
      </c>
      <c r="R5">
        <v>6</v>
      </c>
      <c r="U5" t="s">
        <v>71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85</v>
      </c>
      <c r="AP5" s="1">
        <v>39786</v>
      </c>
      <c r="AS5" t="s">
        <v>86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87</v>
      </c>
      <c r="G6">
        <v>32</v>
      </c>
      <c r="H6" s="1">
        <v>45473</v>
      </c>
      <c r="L6">
        <v>13</v>
      </c>
      <c r="M6" t="s">
        <v>88</v>
      </c>
      <c r="N6">
        <v>130</v>
      </c>
      <c r="U6" t="s">
        <v>73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89</v>
      </c>
      <c r="G7">
        <v>64</v>
      </c>
      <c r="H7" s="1">
        <v>46022</v>
      </c>
      <c r="I7">
        <v>-10000</v>
      </c>
      <c r="J7">
        <v>100</v>
      </c>
      <c r="U7" t="s">
        <v>71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90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91</v>
      </c>
      <c r="AU8" s="1">
        <v>39448</v>
      </c>
      <c r="BG8">
        <v>2</v>
      </c>
    </row>
    <row r="9" spans="1:60" x14ac:dyDescent="0.2">
      <c r="A9" t="s">
        <v>92</v>
      </c>
      <c r="I9">
        <v>4200</v>
      </c>
      <c r="J9">
        <v>300</v>
      </c>
      <c r="L9" t="s">
        <v>61</v>
      </c>
      <c r="M9" t="s">
        <v>70</v>
      </c>
      <c r="N9" t="s">
        <v>79</v>
      </c>
      <c r="O9" t="s">
        <v>82</v>
      </c>
      <c r="P9" t="s">
        <v>84</v>
      </c>
      <c r="Q9" t="s">
        <v>88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93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94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_xlfn.XLOOKUP(5,Us!A1:A7,Us!B1:B7,,0,2)</f>
        <v>#N/A</v>
      </c>
      <c r="B1">
        <f t="shared" ref="B1:B30" si="0">IF(ISERROR(A1),ERROR.TYPE(A1),IF(ISNUMBER(A1),0,IF(ISLOGICAL(A1),IF(A1,-1,-2),IF(ISTEXT(A1),-3,-4))))</f>
        <v>7</v>
      </c>
      <c r="C1">
        <f t="shared" ref="C1:C30" si="1">IF(ISNUMBER(A1),A1,0)</f>
        <v>0</v>
      </c>
      <c r="D1" t="str">
        <f t="shared" ref="D1:D30" si="2">IF(ISTEXT(A1),A1,"")</f>
        <v/>
      </c>
      <c r="E1" t="s">
        <v>95</v>
      </c>
    </row>
    <row r="2" spans="1:5" x14ac:dyDescent="0.2">
      <c r="A2" t="str" cm="1">
        <f t="array" ref="A2">_xlfn.XLOOKUP(8,Us!A1:A7,Us!B1:B7,,0,2)</f>
        <v>us2</v>
      </c>
      <c r="B2">
        <f t="shared" si="0"/>
        <v>-3</v>
      </c>
      <c r="C2">
        <f t="shared" si="1"/>
        <v>0</v>
      </c>
      <c r="D2" t="str">
        <f t="shared" si="2"/>
        <v>us2</v>
      </c>
      <c r="E2" t="s">
        <v>96</v>
      </c>
    </row>
    <row r="3" spans="1:5" x14ac:dyDescent="0.2">
      <c r="A3" t="e" cm="1">
        <f t="array" ref="A3">_xlfn.XLOOKUP(1,Us!A1:A7,Us!B1:B7,,0,2)</f>
        <v>#N/A</v>
      </c>
      <c r="B3">
        <f t="shared" si="0"/>
        <v>7</v>
      </c>
      <c r="C3">
        <f t="shared" si="1"/>
        <v>0</v>
      </c>
      <c r="D3" t="str">
        <f t="shared" si="2"/>
        <v/>
      </c>
      <c r="E3" t="s">
        <v>97</v>
      </c>
    </row>
    <row r="4" spans="1:5" x14ac:dyDescent="0.2">
      <c r="A4" t="str" cm="1">
        <f t="array" ref="A4">_xlfn.XLOOKUP(5,Us!A1:A7,Us!B1:B7,,-1,2)</f>
        <v>us1</v>
      </c>
      <c r="B4">
        <f t="shared" si="0"/>
        <v>-3</v>
      </c>
      <c r="C4">
        <f t="shared" si="1"/>
        <v>0</v>
      </c>
      <c r="D4" t="str">
        <f t="shared" si="2"/>
        <v>us1</v>
      </c>
      <c r="E4" t="s">
        <v>98</v>
      </c>
    </row>
    <row r="5" spans="1:5" x14ac:dyDescent="0.2">
      <c r="A5" cm="1">
        <f t="array" ref="A5">_xlfn.XMATCH(5,Us!A1:A7,1,2)</f>
        <v>2</v>
      </c>
      <c r="B5">
        <f t="shared" si="0"/>
        <v>0</v>
      </c>
      <c r="C5">
        <f t="shared" si="1"/>
        <v>2</v>
      </c>
      <c r="D5" t="str">
        <f t="shared" si="2"/>
        <v/>
      </c>
      <c r="E5" t="s">
        <v>99</v>
      </c>
    </row>
    <row r="6" spans="1:5" x14ac:dyDescent="0.2">
      <c r="A6" t="e" cm="1">
        <f t="array" ref="A6">_xlfn.XLOOKUP(6,Bm!A1:A7,Bm!B1:B7,,0,2)</f>
        <v>#N/A</v>
      </c>
      <c r="B6">
        <f t="shared" si="0"/>
        <v>7</v>
      </c>
      <c r="C6">
        <f t="shared" si="1"/>
        <v>0</v>
      </c>
      <c r="D6" t="str">
        <f t="shared" si="2"/>
        <v/>
      </c>
      <c r="E6" t="s">
        <v>100</v>
      </c>
    </row>
    <row r="7" spans="1:5" x14ac:dyDescent="0.2">
      <c r="A7" t="str" cm="1">
        <f t="array" ref="A7">_xlfn.XLOOKUP(2,Bm!A1:A7,Bm!B1:B7,,0,2)</f>
        <v>bm2</v>
      </c>
      <c r="B7">
        <f t="shared" si="0"/>
        <v>-3</v>
      </c>
      <c r="C7">
        <f t="shared" si="1"/>
        <v>0</v>
      </c>
      <c r="D7" t="str">
        <f t="shared" si="2"/>
        <v>bm2</v>
      </c>
      <c r="E7" t="s">
        <v>101</v>
      </c>
    </row>
    <row r="8" spans="1:5" x14ac:dyDescent="0.2">
      <c r="A8" t="str" cm="1">
        <f t="array" ref="A8">_xlfn.XLOOKUP(6,Bm!A1:A7,Bm!B1:B7,,-1,2)</f>
        <v>bm3</v>
      </c>
      <c r="B8">
        <f t="shared" si="0"/>
        <v>-3</v>
      </c>
      <c r="C8">
        <f t="shared" si="1"/>
        <v>0</v>
      </c>
      <c r="D8" t="str">
        <f t="shared" si="2"/>
        <v>bm3</v>
      </c>
      <c r="E8" t="s">
        <v>102</v>
      </c>
    </row>
    <row r="9" spans="1:5" x14ac:dyDescent="0.2">
      <c r="A9" t="str" cm="1">
        <f t="array" ref="A9">_xlfn.XLOOKUP(6,Bm!A1:A7,Bm!B1:B7,,1,2)</f>
        <v>bm4</v>
      </c>
      <c r="B9">
        <f t="shared" si="0"/>
        <v>-3</v>
      </c>
      <c r="C9">
        <f t="shared" si="1"/>
        <v>0</v>
      </c>
      <c r="D9" t="str">
        <f t="shared" si="2"/>
        <v>bm4</v>
      </c>
      <c r="E9" t="s">
        <v>103</v>
      </c>
    </row>
    <row r="10" spans="1:5" x14ac:dyDescent="0.2">
      <c r="A10" t="e" cm="1">
        <f t="array" ref="A10">_xlfn.XLOOKUP(6,Em!A1:A7,Em!B1:B7,,0,2)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104</v>
      </c>
    </row>
    <row r="11" spans="1:5" x14ac:dyDescent="0.2">
      <c r="A11" t="str" cm="1">
        <f t="array" ref="A11">_xlfn.XLOOKUP(2.5,Em!A1:A7,Em!B1:B7,,1,2)</f>
        <v>em3</v>
      </c>
      <c r="B11">
        <f t="shared" si="0"/>
        <v>-3</v>
      </c>
      <c r="C11">
        <f t="shared" si="1"/>
        <v>0</v>
      </c>
      <c r="D11" t="str">
        <f t="shared" si="2"/>
        <v>em3</v>
      </c>
      <c r="E11" t="s">
        <v>105</v>
      </c>
    </row>
    <row r="12" spans="1:5" x14ac:dyDescent="0.2">
      <c r="A12" t="str" cm="1">
        <f t="array" ref="A12">_xlfn.XLOOKUP(6,Dd!A1:A5,Dd!B1:B5,,0,-2)</f>
        <v>dd4</v>
      </c>
      <c r="B12">
        <f t="shared" si="0"/>
        <v>-3</v>
      </c>
      <c r="C12">
        <f t="shared" si="1"/>
        <v>0</v>
      </c>
      <c r="D12" t="str">
        <f t="shared" si="2"/>
        <v>dd4</v>
      </c>
      <c r="E12" t="s">
        <v>106</v>
      </c>
    </row>
    <row r="13" spans="1:5" x14ac:dyDescent="0.2">
      <c r="A13" t="e" cm="1">
        <f t="array" ref="A13">_xlfn.XLOOKUP(8,Dd!A1:A5,Dd!B1:B5,,0,-2)</f>
        <v>#N/A</v>
      </c>
      <c r="B13">
        <f t="shared" si="0"/>
        <v>7</v>
      </c>
      <c r="C13">
        <f t="shared" si="1"/>
        <v>0</v>
      </c>
      <c r="D13" t="str">
        <f t="shared" si="2"/>
        <v/>
      </c>
      <c r="E13" t="s">
        <v>107</v>
      </c>
    </row>
    <row r="14" spans="1:5" x14ac:dyDescent="0.2">
      <c r="A14" t="str" cm="1">
        <f t="array" ref="A14">_xlfn.XLOOKUP(3,Ru!A1:A7,Ru!B1:B7,,0,2)</f>
        <v>ru2</v>
      </c>
      <c r="B14">
        <f t="shared" si="0"/>
        <v>-3</v>
      </c>
      <c r="C14">
        <f t="shared" si="1"/>
        <v>0</v>
      </c>
      <c r="D14" t="str">
        <f t="shared" si="2"/>
        <v>ru2</v>
      </c>
      <c r="E14" t="s">
        <v>108</v>
      </c>
    </row>
    <row r="15" spans="1:5" x14ac:dyDescent="0.2">
      <c r="A15" t="str" cm="1">
        <f t="array" ref="A15">_xlfn.XLOOKUP(3,Ru!A1:A7,Ru!B1:B7,,1,2)</f>
        <v>ru2</v>
      </c>
      <c r="B15">
        <f t="shared" si="0"/>
        <v>-3</v>
      </c>
      <c r="C15">
        <f t="shared" si="1"/>
        <v>0</v>
      </c>
      <c r="D15" t="str">
        <f t="shared" si="2"/>
        <v>ru2</v>
      </c>
      <c r="E15" t="s">
        <v>109</v>
      </c>
    </row>
    <row r="16" spans="1:5" x14ac:dyDescent="0.2">
      <c r="A16" t="str" cm="1">
        <f t="array" ref="A16">_xlfn.XLOOKUP(4,Ru!A1:A7,Ru!B1:B7,,-1,2)</f>
        <v>ru5</v>
      </c>
      <c r="B16">
        <f t="shared" si="0"/>
        <v>-3</v>
      </c>
      <c r="C16">
        <f t="shared" si="1"/>
        <v>0</v>
      </c>
      <c r="D16" t="str">
        <f t="shared" si="2"/>
        <v>ru5</v>
      </c>
      <c r="E16" t="s">
        <v>110</v>
      </c>
    </row>
    <row r="17" spans="1:5" x14ac:dyDescent="0.2">
      <c r="A17" t="str" cm="1">
        <f t="array" ref="A17">_xlfn.XLOOKUP(3,Rd!A1:A7,Rd!B1:B7,,0,-2)</f>
        <v>rd6</v>
      </c>
      <c r="B17">
        <f t="shared" si="0"/>
        <v>-3</v>
      </c>
      <c r="C17">
        <f t="shared" si="1"/>
        <v>0</v>
      </c>
      <c r="D17" t="str">
        <f t="shared" si="2"/>
        <v>rd6</v>
      </c>
      <c r="E17" t="s">
        <v>111</v>
      </c>
    </row>
    <row r="18" spans="1:5" x14ac:dyDescent="0.2">
      <c r="A18" t="str" cm="1">
        <f t="array" ref="A18">_xlfn.XLOOKUP(4,Rd!A1:A7,Rd!B1:B7,,-1,-2)</f>
        <v>rd3</v>
      </c>
      <c r="B18">
        <f t="shared" si="0"/>
        <v>-3</v>
      </c>
      <c r="C18">
        <f t="shared" si="1"/>
        <v>0</v>
      </c>
      <c r="D18" t="str">
        <f t="shared" si="2"/>
        <v>rd3</v>
      </c>
      <c r="E18" t="s">
        <v>112</v>
      </c>
    </row>
    <row r="19" spans="1:5" x14ac:dyDescent="0.2">
      <c r="A19" t="str" cm="1">
        <f t="array" ref="A19">_xlfn.XLOOKUP(4,Rd!A1:A7,Rd!B1:B7,,1,-2)</f>
        <v>rd2</v>
      </c>
      <c r="B19">
        <f t="shared" si="0"/>
        <v>-3</v>
      </c>
      <c r="C19">
        <f t="shared" si="1"/>
        <v>0</v>
      </c>
      <c r="D19" t="str">
        <f t="shared" si="2"/>
        <v>rd2</v>
      </c>
      <c r="E19" t="s">
        <v>113</v>
      </c>
    </row>
    <row r="20" spans="1:5" x14ac:dyDescent="0.2">
      <c r="A20" t="str" cm="1">
        <f t="array" ref="A20">_xlfn.XLOOKUP(3,Ab!A1:A10,Ab!B1:B10,,0,2)</f>
        <v>ab3</v>
      </c>
      <c r="B20">
        <f t="shared" si="0"/>
        <v>-3</v>
      </c>
      <c r="C20">
        <f t="shared" si="1"/>
        <v>0</v>
      </c>
      <c r="D20" t="str">
        <f t="shared" si="2"/>
        <v>ab3</v>
      </c>
      <c r="E20" t="s">
        <v>114</v>
      </c>
    </row>
    <row r="21" spans="1:5" x14ac:dyDescent="0.2">
      <c r="A21" t="str" cm="1">
        <f t="array" ref="A21">_xlfn.XLOOKUP(10,Ab!A1:A10,Ab!B1:B10,,1,2)</f>
        <v>ab6</v>
      </c>
      <c r="B21">
        <f t="shared" si="0"/>
        <v>-3</v>
      </c>
      <c r="C21">
        <f t="shared" si="1"/>
        <v>0</v>
      </c>
      <c r="D21" t="str">
        <f t="shared" si="2"/>
        <v>ab6</v>
      </c>
      <c r="E21" t="s">
        <v>115</v>
      </c>
    </row>
    <row r="22" spans="1:5" x14ac:dyDescent="0.2">
      <c r="A22" t="str" cm="1">
        <f t="array" ref="A22">_xlfn.XLOOKUP(10,Ab!A1:A10,Ab!B1:B10,,-1,2)</f>
        <v>ab5</v>
      </c>
      <c r="B22">
        <f t="shared" si="0"/>
        <v>-3</v>
      </c>
      <c r="C22">
        <f t="shared" si="1"/>
        <v>0</v>
      </c>
      <c r="D22" t="str">
        <f t="shared" si="2"/>
        <v>ab5</v>
      </c>
      <c r="E22" t="s">
        <v>116</v>
      </c>
    </row>
    <row r="23" spans="1:5" x14ac:dyDescent="0.2">
      <c r="A23" t="str" cm="1">
        <f t="array" ref="A23">_xlfn.XLOOKUP(3,Aw!A:A,Aw!B:B,,0,2)</f>
        <v>aw3</v>
      </c>
      <c r="B23">
        <f t="shared" si="0"/>
        <v>-3</v>
      </c>
      <c r="C23">
        <f t="shared" si="1"/>
        <v>0</v>
      </c>
      <c r="D23" t="str">
        <f t="shared" si="2"/>
        <v>aw3</v>
      </c>
      <c r="E23" t="s">
        <v>117</v>
      </c>
    </row>
    <row r="24" spans="1:5" x14ac:dyDescent="0.2">
      <c r="A24" cm="1">
        <f t="array" ref="A24">_xlfn.XLOOKUP(10,Aw!A:A,Aw!B:B,,1,2)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118</v>
      </c>
    </row>
    <row r="25" spans="1:5" x14ac:dyDescent="0.2">
      <c r="A25" cm="1">
        <f t="array" ref="A25">_xlfn.XMATCH(10,Aw!A:A,1,2)</f>
        <v>6</v>
      </c>
      <c r="B25">
        <f t="shared" si="0"/>
        <v>0</v>
      </c>
      <c r="C25">
        <f t="shared" si="1"/>
        <v>6</v>
      </c>
      <c r="D25" t="str">
        <f t="shared" si="2"/>
        <v/>
      </c>
      <c r="E25" t="s">
        <v>119</v>
      </c>
    </row>
    <row r="26" spans="1:5" x14ac:dyDescent="0.2">
      <c r="A26" t="e" cm="1">
        <f t="array" ref="A26">_xlfn.XLOOKUP(7,Dw!A:A,Dw!B:B,,0,-2)</f>
        <v>#N/A</v>
      </c>
      <c r="B26">
        <f t="shared" si="0"/>
        <v>7</v>
      </c>
      <c r="C26">
        <f t="shared" si="1"/>
        <v>0</v>
      </c>
      <c r="D26" t="str">
        <f t="shared" si="2"/>
        <v/>
      </c>
      <c r="E26" t="s">
        <v>120</v>
      </c>
    </row>
    <row r="27" spans="1:5" x14ac:dyDescent="0.2">
      <c r="A27" t="str" cm="1">
        <f t="array" ref="A27">_xlfn.XLOOKUP(7,Dw!A1:A5,Dw!B1:B5,,0,-2)</f>
        <v>dw3</v>
      </c>
      <c r="B27">
        <f t="shared" si="0"/>
        <v>-3</v>
      </c>
      <c r="C27">
        <f t="shared" si="1"/>
        <v>0</v>
      </c>
      <c r="D27" t="str">
        <f t="shared" si="2"/>
        <v>dw3</v>
      </c>
      <c r="E27" t="s">
        <v>121</v>
      </c>
    </row>
    <row r="28" spans="1:5" x14ac:dyDescent="0.2">
      <c r="A28" t="e" cm="1">
        <f t="array" ref="A28">_xlfn.XMATCH(7.1,Dw!A:A,-1,-2)</f>
        <v>#N/A</v>
      </c>
      <c r="B28">
        <f t="shared" si="0"/>
        <v>7</v>
      </c>
      <c r="C28">
        <f t="shared" si="1"/>
        <v>0</v>
      </c>
      <c r="D28" t="str">
        <f t="shared" si="2"/>
        <v/>
      </c>
      <c r="E28" t="s">
        <v>122</v>
      </c>
    </row>
    <row r="29" spans="1:5" x14ac:dyDescent="0.2">
      <c r="A29" cm="1">
        <f t="array" ref="A29">_xlfn.XMATCH(7.1,Dw!A:A,1,-2)</f>
        <v>1048576</v>
      </c>
      <c r="B29">
        <f t="shared" si="0"/>
        <v>0</v>
      </c>
      <c r="C29">
        <f t="shared" si="1"/>
        <v>1048576</v>
      </c>
      <c r="D29" t="str">
        <f t="shared" si="2"/>
        <v/>
      </c>
      <c r="E29" t="s">
        <v>123</v>
      </c>
    </row>
    <row r="30" spans="1:5" x14ac:dyDescent="0.2">
      <c r="A30" t="e" cm="1">
        <f t="array" ref="A30">_xlfn.XMATCH("a*",Ab!B1:B10,2,-2)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124</v>
      </c>
    </row>
    <row r="31" spans="1:5" x14ac:dyDescent="0.2">
      <c r="A31" t="s">
        <v>125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</vt:lpstr>
      <vt:lpstr>Bm</vt:lpstr>
      <vt:lpstr>Em</vt:lpstr>
      <vt:lpstr>Dd</vt:lpstr>
      <vt:lpstr>Ru</vt:lpstr>
      <vt:lpstr>Rd</vt:lpstr>
      <vt:lpstr>Ab</vt:lpstr>
      <vt:lpstr>Aw</vt:lpstr>
      <vt:lpstr>Dw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2026-10-17T13:08:52Z</dcterms:created>
  <dcterms:modified xsi:type="dcterms:W3CDTF">2026-10-17T13:08:53Z</dcterms:modified>
  <cp:category/>
</cp:coreProperties>
</file>