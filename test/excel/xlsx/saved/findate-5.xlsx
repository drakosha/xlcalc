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5E8A1267-9B5A-1C41-9FC0-36137712573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3" l="1" a="1"/>
  <c r="A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A6" i="3" a="1"/>
  <c r="A6" i="3" s="1"/>
  <c r="B6" i="3" s="1"/>
  <c r="A5" i="3" a="1"/>
  <c r="A5" i="3" s="1"/>
  <c r="A4" i="3" a="1"/>
  <c r="A4" i="3" s="1"/>
  <c r="B4" i="3" s="1"/>
  <c r="A3" i="3" a="1"/>
  <c r="A3" i="3" s="1"/>
  <c r="A2" i="3" a="1"/>
  <c r="A2" i="3" s="1"/>
  <c r="D2" i="3" s="1"/>
  <c r="A1" i="3" a="1"/>
  <c r="A1" i="3" s="1"/>
  <c r="I15" i="2"/>
  <c r="A14" i="2"/>
  <c r="A13" i="2"/>
  <c r="AL10" i="2"/>
  <c r="A8" i="2"/>
  <c r="A7" i="2"/>
  <c r="E3" i="2"/>
  <c r="B1" i="3" l="1"/>
  <c r="D1" i="3"/>
  <c r="C1" i="3"/>
  <c r="C8" i="3"/>
  <c r="D8" i="3"/>
  <c r="D7" i="3"/>
  <c r="C7" i="3"/>
  <c r="B7" i="3"/>
  <c r="D9" i="3"/>
  <c r="B9" i="3"/>
  <c r="C9" i="3"/>
  <c r="C10" i="3"/>
  <c r="D10" i="3"/>
  <c r="B10" i="3"/>
  <c r="D3" i="3"/>
  <c r="C3" i="3"/>
  <c r="B3" i="3"/>
  <c r="D5" i="3"/>
  <c r="C5" i="3"/>
  <c r="B5" i="3"/>
  <c r="C11" i="3"/>
  <c r="B11" i="3"/>
  <c r="D11" i="3"/>
  <c r="B12" i="3"/>
  <c r="D12" i="3"/>
  <c r="C12" i="3"/>
  <c r="B13" i="3"/>
  <c r="D13" i="3"/>
  <c r="C13" i="3"/>
  <c r="D14" i="3"/>
  <c r="C14" i="3"/>
  <c r="B14" i="3"/>
  <c r="D15" i="3"/>
  <c r="C15" i="3"/>
  <c r="B15" i="3"/>
  <c r="D6" i="3"/>
  <c r="B2" i="3"/>
  <c r="C6" i="3"/>
  <c r="C2" i="3"/>
  <c r="C4" i="3"/>
  <c r="D4" i="3"/>
  <c r="B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<sst xmlns="http://schemas.openxmlformats.org/spreadsheetml/2006/main" count="78" uniqueCount="53">
  <si>
    <t>300</t>
  </si>
  <si>
    <t>abc</t>
  </si>
  <si>
    <t>2009-01-01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</si>
  <si>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</si>
  <si>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</si>
  <si>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</si>
  <si>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</si>
  <si>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</si>
  <si>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</si>
  <si>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</si>
  <si>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</si>
  <si>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</si>
  <si>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</si>
  <si>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</si>
  <si>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</si>
  <si>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</si>
  <si>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</si>
  <si>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</si>
  <si>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</si>
  <si>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</si>
  <si>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</si>
  <si>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</si>
  <si>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</si>
  <si>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</si>
  <si>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</si>
  <si>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</si>
  <si>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</si>
  <si>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</si>
  <si>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</si>
  <si>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</si>
  <si>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</si>
  <si>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</si>
  <si>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</si>
  <si>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</si>
  <si>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</si>
  <si>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</si>
  <si>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</si>
  <si>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TIMEVALUE#31</t>
  </si>
  <si>
    <t>TIMEVALUE#32</t>
  </si>
  <si>
    <t>TIMEVALUE#33</t>
  </si>
  <si>
    <t>TIMEVALUE#34</t>
  </si>
  <si>
    <t>TIMEVALUE#35</t>
  </si>
  <si>
    <t>DATEVALUE#16</t>
  </si>
  <si>
    <t>DATEVALUE#17</t>
  </si>
  <si>
    <t>DATEVALUE#18</t>
  </si>
  <si>
    <t>RATE#19</t>
  </si>
  <si>
    <t>RATE#20</t>
  </si>
  <si>
    <t>RATE#21</t>
  </si>
  <si>
    <t>RATE#22</t>
  </si>
  <si>
    <t>RATE#23</t>
  </si>
  <si>
    <t>RATE#24</t>
  </si>
  <si>
    <t>RATE#25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</si>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</sst>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baseColWidth="10" defaultColWidth="8.83203125" defaultRowHeight="15" x14ac:dyDescent="0.2"/>
  <sheetData>
    <row r="1" spans="1:9" x14ac:dyDescent="0.2">
      <c r="A1">
        <v>-1000</v>
      </c>
      <c r="B1">
        <v>-1000</v>
      </c>
      <c r="C1">
        <v>39744</v>
      </c>
      <c r="D1">
        <v>39744</v>
      </c>
      <c r="E1">
        <v>-100</v>
      </c>
      <c r="F1">
        <v>39448</v>
      </c>
      <c r="G1">
        <v>39448</v>
      </c>
      <c r="H1">
        <v>-100</v>
      </c>
      <c r="I1">
        <v>-5000</v>
      </c>
    </row>
    <row r="2" spans="1:9" x14ac:dyDescent="0.2">
      <c r="A2">
        <v>300</v>
      </c>
      <c r="B2" t="s">
        <v>0</v>
      </c>
      <c r="C2" t="s">
        <v>1</v>
      </c>
      <c r="D2">
        <v>39750</v>
      </c>
      <c r="E2">
        <v>110</v>
      </c>
      <c r="F2">
        <v>39813</v>
      </c>
      <c r="G2" t="s">
        <v>2</v>
      </c>
      <c r="H2" t="b">
        <v>1</v>
      </c>
      <c r="I2">
        <v>450</v>
      </c>
    </row>
    <row r="3" spans="1:9" x14ac:dyDescent="0.2">
      <c r="A3">
        <v>400</v>
      </c>
      <c r="B3" t="b">
        <v>1</v>
      </c>
      <c r="C3" t="b">
        <v>1</v>
      </c>
      <c r="D3">
        <v>39744</v>
      </c>
      <c r="I3">
        <v>450</v>
      </c>
    </row>
    <row r="4" spans="1:9" x14ac:dyDescent="0.2">
      <c r="A4">
        <v>500</v>
      </c>
      <c r="B4">
        <v>500</v>
      </c>
      <c r="D4">
        <v>39751.5</v>
      </c>
      <c r="E4">
        <v>-1000</v>
      </c>
      <c r="F4">
        <v>39448</v>
      </c>
      <c r="I4">
        <v>450</v>
      </c>
    </row>
    <row r="5" spans="1:9" x14ac:dyDescent="0.2">
      <c r="A5">
        <v>200</v>
      </c>
      <c r="B5" t="s">
        <v>1</v>
      </c>
      <c r="C5">
        <v>39750</v>
      </c>
      <c r="E5">
        <v>100</v>
      </c>
      <c r="F5">
        <v>39814</v>
      </c>
      <c r="I5">
        <v>450</v>
      </c>
    </row>
    <row r="6" spans="1:9" x14ac:dyDescent="0.2">
      <c r="A6">
        <v>100</v>
      </c>
      <c r="B6">
        <v>700</v>
      </c>
      <c r="E6">
        <v>100</v>
      </c>
      <c r="F6">
        <v>40179</v>
      </c>
      <c r="I6">
        <v>450</v>
      </c>
    </row>
    <row r="7" spans="1:9" x14ac:dyDescent="0.2">
      <c r="E7">
        <v>1100</v>
      </c>
      <c r="F7">
        <v>40544</v>
      </c>
      <c r="I7">
        <v>450</v>
      </c>
    </row>
    <row r="8" spans="1:9" x14ac:dyDescent="0.2">
      <c r="I8">
        <v>450</v>
      </c>
    </row>
    <row r="9" spans="1:9" x14ac:dyDescent="0.2">
      <c r="I9">
        <v>450</v>
      </c>
    </row>
    <row r="10" spans="1:9" x14ac:dyDescent="0.2">
      <c r="I10">
        <v>450</v>
      </c>
    </row>
    <row r="11" spans="1:9" x14ac:dyDescent="0.2">
      <c r="I11">
        <v>450</v>
      </c>
    </row>
    <row r="12" spans="1:9" x14ac:dyDescent="0.2">
      <c r="I12">
        <v>450</v>
      </c>
    </row>
    <row r="13" spans="1:9" x14ac:dyDescent="0.2">
      <c r="I13">
        <v>1450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3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4</v>
      </c>
      <c r="N1">
        <v>10</v>
      </c>
      <c r="P1">
        <v>1</v>
      </c>
      <c r="Q1">
        <v>2</v>
      </c>
      <c r="R1">
        <v>5</v>
      </c>
      <c r="S1">
        <v>6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AA1" t="s">
        <v>5</v>
      </c>
      <c r="AB1" t="s">
        <v>6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10</v>
      </c>
    </row>
    <row r="2" spans="1:60" x14ac:dyDescent="0.2">
      <c r="A2" t="s">
        <v>11</v>
      </c>
      <c r="B2">
        <v>8</v>
      </c>
      <c r="C2">
        <v>7</v>
      </c>
      <c r="D2" t="s">
        <v>11</v>
      </c>
      <c r="E2">
        <v>2</v>
      </c>
      <c r="F2" t="s">
        <v>12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13</v>
      </c>
      <c r="N2">
        <v>20</v>
      </c>
      <c r="P2">
        <v>3</v>
      </c>
      <c r="Q2">
        <v>4</v>
      </c>
      <c r="R2">
        <v>7</v>
      </c>
      <c r="S2">
        <v>8</v>
      </c>
      <c r="U2" t="s">
        <v>14</v>
      </c>
      <c r="V2">
        <v>18</v>
      </c>
      <c r="W2">
        <v>20</v>
      </c>
      <c r="X2">
        <v>14</v>
      </c>
      <c r="Y2">
        <v>105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</v>
      </c>
      <c r="B3">
        <v>15</v>
      </c>
      <c r="C3">
        <v>11</v>
      </c>
      <c r="D3" t="s">
        <v>1</v>
      </c>
      <c r="E3" t="e">
        <f>1/0</f>
        <v>#DIV/0!</v>
      </c>
      <c r="F3" t="s">
        <v>20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21</v>
      </c>
      <c r="N3">
        <v>30</v>
      </c>
      <c r="U3" t="s">
        <v>16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24</v>
      </c>
      <c r="N4">
        <v>50</v>
      </c>
      <c r="P4">
        <v>1</v>
      </c>
      <c r="Q4">
        <v>2</v>
      </c>
      <c r="R4">
        <v>3</v>
      </c>
      <c r="U4" t="s">
        <v>18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26</v>
      </c>
      <c r="N5">
        <v>80</v>
      </c>
      <c r="P5">
        <v>4</v>
      </c>
      <c r="Q5">
        <v>5</v>
      </c>
      <c r="R5">
        <v>6</v>
      </c>
      <c r="U5" t="s">
        <v>14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27</v>
      </c>
      <c r="AP5" s="1">
        <v>39786</v>
      </c>
      <c r="AS5" t="s">
        <v>28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29</v>
      </c>
      <c r="G6">
        <v>32</v>
      </c>
      <c r="H6" s="1">
        <v>45473</v>
      </c>
      <c r="L6">
        <v>13</v>
      </c>
      <c r="M6" t="s">
        <v>30</v>
      </c>
      <c r="N6">
        <v>130</v>
      </c>
      <c r="U6" t="s">
        <v>16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31</v>
      </c>
      <c r="G7">
        <v>64</v>
      </c>
      <c r="H7" s="1">
        <v>46022</v>
      </c>
      <c r="I7">
        <v>-10000</v>
      </c>
      <c r="J7">
        <v>100</v>
      </c>
      <c r="U7" t="s">
        <v>14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33</v>
      </c>
      <c r="AU8" s="1">
        <v>39448</v>
      </c>
      <c r="BG8">
        <v>2</v>
      </c>
    </row>
    <row r="9" spans="1:60" x14ac:dyDescent="0.2">
      <c r="A9" t="s">
        <v>34</v>
      </c>
      <c r="I9">
        <v>4200</v>
      </c>
      <c r="J9">
        <v>300</v>
      </c>
      <c r="L9" t="s">
        <v>4</v>
      </c>
      <c r="M9" t="s">
        <v>13</v>
      </c>
      <c r="N9" t="s">
        <v>21</v>
      </c>
      <c r="O9" t="s">
        <v>24</v>
      </c>
      <c r="P9" t="s">
        <v>26</v>
      </c>
      <c r="Q9" t="s">
        <v>30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TIMEVALUE("1:2:3")</f>
        <v>4.3090277777777776E-2</v>
      </c>
      <c r="B1">
        <f t="shared" ref="B1:B15" si="0">IF(ISERROR(A1),ERROR.TYPE(A1),IF(ISNUMBER(A1),0,IF(ISLOGICAL(A1),IF(A1,-1,-2),IF(ISTEXT(A1),-3,-4))))</f>
        <v>0</v>
      </c>
      <c r="C1">
        <f t="shared" ref="C1:C15" si="1">IF(ISNUMBER(A1),A1,0)</f>
        <v>4.3090277777777776E-2</v>
      </c>
      <c r="D1" t="str">
        <f t="shared" ref="D1:D15" si="2">IF(ISTEXT(A1),A1,"")</f>
        <v/>
      </c>
      <c r="E1" t="s">
        <v>37</v>
      </c>
    </row>
    <row r="2" spans="1:5" x14ac:dyDescent="0.2">
      <c r="A2" t="e" cm="1">
        <f t="array" ref="A2">TIMEVALUE("24:00 AM")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38</v>
      </c>
    </row>
    <row r="3" spans="1:5" x14ac:dyDescent="0.2">
      <c r="A3" cm="1">
        <f t="array" ref="A3">TIMEVALUE("10:60")</f>
        <v>0.45833333333333331</v>
      </c>
      <c r="B3">
        <f t="shared" si="0"/>
        <v>0</v>
      </c>
      <c r="C3">
        <f t="shared" si="1"/>
        <v>0.45833333333333331</v>
      </c>
      <c r="D3" t="str">
        <f t="shared" si="2"/>
        <v/>
      </c>
      <c r="E3" t="s">
        <v>39</v>
      </c>
    </row>
    <row r="4" spans="1:5" x14ac:dyDescent="0.2">
      <c r="A4" cm="1">
        <f t="array" ref="A4">TIMEVALUE("0:00:00.5")</f>
        <v>5.7870370370370367E-6</v>
      </c>
      <c r="B4">
        <f t="shared" si="0"/>
        <v>0</v>
      </c>
      <c r="C4">
        <f t="shared" si="1"/>
        <v>5.7870370370370367E-6</v>
      </c>
      <c r="D4" t="str">
        <f t="shared" si="2"/>
        <v/>
      </c>
      <c r="E4" t="s">
        <v>40</v>
      </c>
    </row>
    <row r="5" spans="1:5" x14ac:dyDescent="0.2">
      <c r="A5" cm="1">
        <f t="array" ref="A5">TIMEVALUE("1:00:59.99")</f>
        <v>4.2360995370370365E-2</v>
      </c>
      <c r="B5">
        <f t="shared" si="0"/>
        <v>0</v>
      </c>
      <c r="C5">
        <f t="shared" si="1"/>
        <v>4.2360995370370365E-2</v>
      </c>
      <c r="D5" t="str">
        <f t="shared" si="2"/>
        <v/>
      </c>
      <c r="E5" t="s">
        <v>41</v>
      </c>
    </row>
    <row r="6" spans="1:5" x14ac:dyDescent="0.2">
      <c r="A6" cm="1">
        <f t="array" ref="A6">DATEVALUE("2025-01-31 9999:00")</f>
        <v>46104</v>
      </c>
      <c r="B6">
        <f t="shared" si="0"/>
        <v>0</v>
      </c>
      <c r="C6">
        <f t="shared" si="1"/>
        <v>46104</v>
      </c>
      <c r="D6" t="str">
        <f t="shared" si="2"/>
        <v/>
      </c>
      <c r="E6" t="s">
        <v>42</v>
      </c>
    </row>
    <row r="7" spans="1:5" x14ac:dyDescent="0.2">
      <c r="A7" cm="1">
        <f t="array" ref="A7">DATEVALUE("2025-01-31 10:60")</f>
        <v>45688</v>
      </c>
      <c r="B7">
        <f t="shared" si="0"/>
        <v>0</v>
      </c>
      <c r="C7">
        <f t="shared" si="1"/>
        <v>45688</v>
      </c>
      <c r="D7" t="str">
        <f t="shared" si="2"/>
        <v/>
      </c>
      <c r="E7" t="s">
        <v>43</v>
      </c>
    </row>
    <row r="8" spans="1:5" x14ac:dyDescent="0.2">
      <c r="A8" cm="1">
        <f t="array" ref="A8">DATEVALUE("1/31/2025 25:00:00")</f>
        <v>45689</v>
      </c>
      <c r="B8">
        <f t="shared" si="0"/>
        <v>0</v>
      </c>
      <c r="C8">
        <f t="shared" si="1"/>
        <v>45689</v>
      </c>
      <c r="D8" t="str">
        <f t="shared" si="2"/>
        <v/>
      </c>
      <c r="E8" t="s">
        <v>44</v>
      </c>
    </row>
    <row r="9" spans="1:5" x14ac:dyDescent="0.2">
      <c r="A9" cm="1">
        <f t="array" ref="A9">RATE(10,-100,1000)</f>
        <v>-1.9633517072925619E-10</v>
      </c>
      <c r="B9">
        <f t="shared" si="0"/>
        <v>0</v>
      </c>
      <c r="C9">
        <f t="shared" si="1"/>
        <v>-1.9633517072925619E-10</v>
      </c>
      <c r="D9" t="str">
        <f t="shared" si="2"/>
        <v/>
      </c>
      <c r="E9" t="s">
        <v>45</v>
      </c>
    </row>
    <row r="10" spans="1:5" x14ac:dyDescent="0.2">
      <c r="A10" cm="1">
        <f t="array" ref="A10">RATE(10,-100,1000,0,1)</f>
        <v>-1.4879976339731739E-9</v>
      </c>
      <c r="B10">
        <f t="shared" si="0"/>
        <v>0</v>
      </c>
      <c r="C10">
        <f t="shared" si="1"/>
        <v>-1.4879976339731739E-9</v>
      </c>
      <c r="D10" t="str">
        <f t="shared" si="2"/>
        <v/>
      </c>
      <c r="E10" t="s">
        <v>46</v>
      </c>
    </row>
    <row r="11" spans="1:5" x14ac:dyDescent="0.2">
      <c r="A11" cm="1">
        <f t="array" ref="A11">RATE(10,-100,1000,0,1,0)</f>
        <v>0</v>
      </c>
      <c r="B11">
        <f t="shared" si="0"/>
        <v>0</v>
      </c>
      <c r="C11">
        <f t="shared" si="1"/>
        <v>0</v>
      </c>
      <c r="D11" t="str">
        <f t="shared" si="2"/>
        <v/>
      </c>
      <c r="E11" t="s">
        <v>47</v>
      </c>
    </row>
    <row r="12" spans="1:5" x14ac:dyDescent="0.2">
      <c r="A12" cm="1">
        <f t="array" ref="A12">RATE(12,-100,1200)</f>
        <v>-4.3434156497998736E-10</v>
      </c>
      <c r="B12">
        <f t="shared" si="0"/>
        <v>0</v>
      </c>
      <c r="C12">
        <f t="shared" si="1"/>
        <v>-4.3434156497998736E-10</v>
      </c>
      <c r="D12" t="str">
        <f t="shared" si="2"/>
        <v/>
      </c>
      <c r="E12" t="s">
        <v>48</v>
      </c>
    </row>
    <row r="13" spans="1:5" x14ac:dyDescent="0.2">
      <c r="A13" cm="1">
        <f t="array" ref="A13">RATE(5,-200,1000,0,1)</f>
        <v>-1.6302285183735498E-9</v>
      </c>
      <c r="B13">
        <f t="shared" si="0"/>
        <v>0</v>
      </c>
      <c r="C13">
        <f t="shared" si="1"/>
        <v>-1.6302285183735498E-9</v>
      </c>
      <c r="D13" t="str">
        <f t="shared" si="2"/>
        <v/>
      </c>
      <c r="E13" t="s">
        <v>49</v>
      </c>
    </row>
    <row r="14" spans="1:5" x14ac:dyDescent="0.2">
      <c r="A14" t="e" cm="1">
        <f t="array" ref="A14">RATE(10,-100,1000,0,0,0.05)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50</v>
      </c>
    </row>
    <row r="15" spans="1:5" x14ac:dyDescent="0.2">
      <c r="A15" cm="1">
        <f t="array" ref="A15">RATE(24,-50,1200,0,0)</f>
        <v>-7.3913875869126756E-10</v>
      </c>
      <c r="B15">
        <f t="shared" si="0"/>
        <v>0</v>
      </c>
      <c r="C15">
        <f t="shared" si="1"/>
        <v>-7.3913875869126756E-10</v>
      </c>
      <c r="D15" t="str">
        <f t="shared" si="2"/>
        <v/>
      </c>
      <c r="E15" t="s">
        <v>51</v>
      </c>
    </row>
    <row r="16" spans="1:5" x14ac:dyDescent="0.2">
      <c r="A16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2026-10-07T05:15:32Z</dcterms:created>
  <dcterms:modified xsi:type="dcterms:W3CDTF">2026-10-07T05:15:33Z</dcterms:modified>
  <cp:category/>
</cp:coreProperties>
</file>