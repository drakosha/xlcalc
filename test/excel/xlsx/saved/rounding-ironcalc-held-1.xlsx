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A4449FD1-11C4-B646-94F8-EA25B786B51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l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3" l="1" a="1"/>
  <c r="A32" i="3" s="1"/>
  <c r="A31" i="3" a="1"/>
  <c r="A31" i="3" s="1"/>
  <c r="A30" i="3" a="1"/>
  <c r="A30" i="3" s="1"/>
  <c r="B30" i="3" s="1"/>
  <c r="A29" i="3" a="1"/>
  <c r="A29" i="3" s="1"/>
  <c r="A28" i="3" a="1"/>
  <c r="A28" i="3" s="1"/>
  <c r="A27" i="3" a="1"/>
  <c r="A27" i="3" s="1"/>
  <c r="A26" i="3" a="1"/>
  <c r="A26" i="3"/>
  <c r="D26" i="3" s="1"/>
  <c r="A25" i="3" a="1"/>
  <c r="A25" i="3"/>
  <c r="C25" i="3" s="1"/>
  <c r="A24" i="3" a="1"/>
  <c r="A24" i="3" s="1"/>
  <c r="A23" i="3" a="1"/>
  <c r="A23" i="3"/>
  <c r="D23" i="3" s="1"/>
  <c r="A22" i="3" a="1"/>
  <c r="A22" i="3" s="1"/>
  <c r="A21" i="3" a="1"/>
  <c r="A21" i="3"/>
  <c r="D21" i="3" s="1"/>
  <c r="A20" i="3" a="1"/>
  <c r="A20" i="3" s="1"/>
  <c r="D20" i="3" s="1"/>
  <c r="A19" i="3" a="1"/>
  <c r="A19" i="3" s="1"/>
  <c r="A18" i="3" a="1"/>
  <c r="A18" i="3"/>
  <c r="C18" i="3" s="1"/>
  <c r="A17" i="3" a="1"/>
  <c r="A17" i="3" s="1"/>
  <c r="B17" i="3" s="1"/>
  <c r="A16" i="3" a="1"/>
  <c r="A16" i="3"/>
  <c r="B16" i="3" s="1"/>
  <c r="A15" i="3" a="1"/>
  <c r="A15" i="3"/>
  <c r="C15" i="3" s="1"/>
  <c r="A14" i="3" a="1"/>
  <c r="A14" i="3" s="1"/>
  <c r="D14" i="3" s="1"/>
  <c r="A13" i="3" a="1"/>
  <c r="A13" i="3"/>
  <c r="C13" i="3" s="1"/>
  <c r="A12" i="3" a="1"/>
  <c r="A12" i="3" s="1"/>
  <c r="C12" i="3" s="1"/>
  <c r="A11" i="3" a="1"/>
  <c r="A11" i="3" s="1"/>
  <c r="A10" i="3" a="1"/>
  <c r="A10" i="3" s="1"/>
  <c r="A9" i="3" a="1"/>
  <c r="A9" i="3"/>
  <c r="B9" i="3" s="1"/>
  <c r="A8" i="3" a="1"/>
  <c r="A8" i="3"/>
  <c r="C8" i="3" s="1"/>
  <c r="A7" i="3" a="1"/>
  <c r="A7" i="3" s="1"/>
  <c r="A6" i="3" a="1"/>
  <c r="A6" i="3"/>
  <c r="B6" i="3" s="1"/>
  <c r="A5" i="3" a="1"/>
  <c r="A5" i="3"/>
  <c r="D5" i="3" s="1"/>
  <c r="A4" i="3" a="1"/>
  <c r="A4" i="3" s="1"/>
  <c r="A3" i="3" a="1"/>
  <c r="A3" i="3" s="1"/>
  <c r="D3" i="3" s="1"/>
  <c r="A1" i="3" a="1"/>
  <c r="A1" i="3"/>
  <c r="D1" i="3" s="1"/>
  <c r="I15" i="2"/>
  <c r="A14" i="2"/>
  <c r="A13" i="2"/>
  <c r="AL10" i="2"/>
  <c r="A8" i="2"/>
  <c r="A7" i="2"/>
  <c r="E3" i="2"/>
  <c r="A2" i="1"/>
  <c r="A2" i="3" s="1" a="1"/>
  <c r="A2" i="3" s="1"/>
  <c r="B1" i="1"/>
  <c r="C31" i="3" l="1"/>
  <c r="B31" i="3"/>
  <c r="D25" i="3"/>
  <c r="B18" i="3"/>
  <c r="D18" i="3"/>
  <c r="C22" i="3"/>
  <c r="B22" i="3"/>
  <c r="D22" i="3"/>
  <c r="B24" i="3"/>
  <c r="C24" i="3"/>
  <c r="D24" i="3"/>
  <c r="C7" i="3"/>
  <c r="B7" i="3"/>
  <c r="D7" i="3"/>
  <c r="D4" i="3"/>
  <c r="C4" i="3"/>
  <c r="B4" i="3"/>
  <c r="D11" i="3"/>
  <c r="B11" i="3"/>
  <c r="C11" i="3"/>
  <c r="D19" i="3"/>
  <c r="B19" i="3"/>
  <c r="C19" i="3"/>
  <c r="D27" i="3"/>
  <c r="C27" i="3"/>
  <c r="B27" i="3"/>
  <c r="D28" i="3"/>
  <c r="C28" i="3"/>
  <c r="B28" i="3"/>
  <c r="C29" i="3"/>
  <c r="D29" i="3"/>
  <c r="B29" i="3"/>
  <c r="D10" i="3"/>
  <c r="C10" i="3"/>
  <c r="B10" i="3"/>
  <c r="D2" i="3"/>
  <c r="C2" i="3"/>
  <c r="B2" i="3"/>
  <c r="D32" i="3"/>
  <c r="C32" i="3"/>
  <c r="B32" i="3"/>
  <c r="B1" i="3"/>
  <c r="D15" i="3"/>
  <c r="D8" i="3"/>
  <c r="B23" i="3"/>
  <c r="B8" i="3"/>
  <c r="C26" i="3"/>
  <c r="C1" i="3"/>
  <c r="D30" i="3"/>
  <c r="B12" i="3"/>
  <c r="C30" i="3"/>
  <c r="D12" i="3"/>
  <c r="C17" i="3"/>
  <c r="B15" i="3"/>
  <c r="C16" i="3"/>
  <c r="C9" i="3"/>
  <c r="D16" i="3"/>
  <c r="D9" i="3"/>
  <c r="B13" i="3"/>
  <c r="C20" i="3"/>
  <c r="B3" i="3"/>
  <c r="D17" i="3"/>
  <c r="B21" i="3"/>
  <c r="C23" i="3"/>
  <c r="B20" i="3"/>
  <c r="C6" i="3"/>
  <c r="D13" i="3"/>
  <c r="D31" i="3"/>
  <c r="D6" i="3"/>
  <c r="C3" i="3"/>
  <c r="B14" i="3"/>
  <c r="C21" i="3"/>
  <c r="C14" i="3"/>
  <c r="B25" i="3"/>
  <c r="B26" i="3"/>
  <c r="B5" i="3"/>
  <c r="C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<sst xmlns="http://schemas.openxmlformats.org/spreadsheetml/2006/main" count="91" uniqueCount="68">
  <si>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</si>
  <si>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</si>
  <si>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</si>
  <si>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</si>
  <si>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</si>
  <si>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</si>
  <si>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</si>
  <si>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</si>
  <si>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</si>
  <si>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</si>
  <si>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</si>
  <si>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</si>
  <si>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</si>
  <si>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</si>
  <si>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</si>
  <si>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</si>
  <si>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</si>
  <si>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</si>
  <si>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</si>
  <si>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</si>
  <si>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</si>
  <si>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</si>
  <si>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</si>
  <si>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</si>
  <si>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</si>
  <si>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</si>
  <si>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</si>
  <si>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</si>
  <si>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</si>
  <si>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</si>
  <si>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</si>
  <si>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</si>
  <si>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</si>
  <si>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</si>
  <si>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</si>
  <si>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FLOOR#1</t>
  </si>
  <si>
    <t>FLOOR#2</t>
  </si>
  <si>
    <t>FLOOR#3</t>
  </si>
  <si>
    <t>FLOOR#4</t>
  </si>
  <si>
    <t>FLOOR.MATH#1</t>
  </si>
  <si>
    <t>FLOOR.MATH#2</t>
  </si>
  <si>
    <t>FLOOR.MATH#3</t>
  </si>
  <si>
    <t>CEILING.MATH#1</t>
  </si>
  <si>
    <t>CEILING.MATH#2</t>
  </si>
  <si>
    <t>CEILING.MATH#3</t>
  </si>
  <si>
    <t>ROUND#1</t>
  </si>
  <si>
    <t>ROUND#2</t>
  </si>
  <si>
    <t>FLOOR#5</t>
  </si>
  <si>
    <t>FLOOR#6</t>
  </si>
  <si>
    <t>FLOOR#7</t>
  </si>
  <si>
    <t>FLOOR#8</t>
  </si>
  <si>
    <t>FLOOR#9</t>
  </si>
  <si>
    <t>CEILING#1</t>
  </si>
  <si>
    <t>FLOOR.MATH#4</t>
  </si>
  <si>
    <t>FLOOR.MATH#5</t>
  </si>
  <si>
    <t>FLOOR.MATH#6</t>
  </si>
  <si>
    <t>FLOOR.MATH#7</t>
  </si>
  <si>
    <t>CEILING.MATH#4</t>
  </si>
  <si>
    <t>CEILING.MATH#5</t>
  </si>
  <si>
    <t>CEILING.MATH#6</t>
  </si>
  <si>
    <t>CEILING.MATH#7</t>
  </si>
  <si>
    <t>CEILING.MATH#8</t>
  </si>
  <si>
    <t>ROUND#3</t>
  </si>
  <si>
    <t>ROUND#4</t>
  </si>
  <si>
    <t>ROUND#5</t>
  </si>
  <si>
    <t>ROUND#6</t>
  </si>
  <si>
    <t>ROUND#7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</si>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</sst>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0</v>
      </c>
      <c r="B1">
        <f>1.05*(0.0284+0.0046)-0.0284</f>
        <v>6.2499999999999986E-3</v>
      </c>
    </row>
    <row r="2" spans="1:2" x14ac:dyDescent="0.2">
      <c r="A2" t="str">
        <f>"0"</f>
        <v>0</v>
      </c>
    </row>
    <row r="3" spans="1:2" x14ac:dyDescent="0.2">
      <c r="A3" t="b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FLOOR(0,0)</f>
        <v>0</v>
      </c>
      <c r="B1">
        <f t="shared" ref="B1:B32" si="0">IF(ISERROR(A1),ERROR.TYPE(A1),IF(ISNUMBER(A1),0,IF(ISLOGICAL(A1),IF(A1,-1,-2),IF(ISTEXT(A1),-3,-4))))</f>
        <v>0</v>
      </c>
      <c r="C1">
        <f t="shared" ref="C1:C32" si="1">IF(ISNUMBER(A1),A1,0)</f>
        <v>0</v>
      </c>
      <c r="D1" t="str">
        <f t="shared" ref="D1:D32" si="2">IF(ISTEXT(A1),A1,"")</f>
        <v/>
      </c>
      <c r="E1" t="s">
        <v>35</v>
      </c>
    </row>
    <row r="2" spans="1:5" x14ac:dyDescent="0.2">
      <c r="A2" cm="1">
        <f t="array" ref="A2">FLOOR(Fl!A2,Fl!A3)</f>
        <v>0</v>
      </c>
      <c r="B2">
        <f t="shared" si="0"/>
        <v>0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cm="1">
        <f t="array" ref="A3">FLOOR(Fl!A4,Fl!A4)</f>
        <v>0</v>
      </c>
      <c r="B3">
        <f t="shared" si="0"/>
        <v>0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cm="1">
        <f t="array" ref="A4">FLOOR(Fl!A3,Fl!A2)</f>
        <v>0</v>
      </c>
      <c r="B4">
        <f t="shared" si="0"/>
        <v>0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cm="1">
        <f t="array" ref="A5">_xlfn.FLOOR.MATH(-7.1,1,0.01)</f>
        <v>-7</v>
      </c>
      <c r="B5">
        <f t="shared" si="0"/>
        <v>0</v>
      </c>
      <c r="C5">
        <f t="shared" si="1"/>
        <v>-7</v>
      </c>
      <c r="D5" t="str">
        <f t="shared" si="2"/>
        <v/>
      </c>
      <c r="E5" t="s">
        <v>39</v>
      </c>
    </row>
    <row r="6" spans="1:5" x14ac:dyDescent="0.2">
      <c r="A6" cm="1">
        <f t="array" ref="A6">_xlfn.FLOOR.MATH(-10,0.21,0.01)</f>
        <v>-9.8699999999999992</v>
      </c>
      <c r="B6">
        <f t="shared" si="0"/>
        <v>0</v>
      </c>
      <c r="C6">
        <f t="shared" si="1"/>
        <v>-9.8699999999999992</v>
      </c>
      <c r="D6" t="str">
        <f t="shared" si="2"/>
        <v/>
      </c>
      <c r="E6" t="s">
        <v>40</v>
      </c>
    </row>
    <row r="7" spans="1:5" x14ac:dyDescent="0.2">
      <c r="A7" cm="1">
        <f t="array" ref="A7">_xlfn.FLOOR.MATH(-7.9,-7,0.01)</f>
        <v>-7</v>
      </c>
      <c r="B7">
        <f t="shared" si="0"/>
        <v>0</v>
      </c>
      <c r="C7">
        <f t="shared" si="1"/>
        <v>-7</v>
      </c>
      <c r="D7" t="str">
        <f t="shared" si="2"/>
        <v/>
      </c>
      <c r="E7" t="s">
        <v>41</v>
      </c>
    </row>
    <row r="8" spans="1:5" x14ac:dyDescent="0.2">
      <c r="A8" cm="1">
        <f t="array" ref="A8">_xlfn.CEILING.MATH(-7.1,-1,0.01)</f>
        <v>-8</v>
      </c>
      <c r="B8">
        <f t="shared" si="0"/>
        <v>0</v>
      </c>
      <c r="C8">
        <f t="shared" si="1"/>
        <v>-8</v>
      </c>
      <c r="D8" t="str">
        <f t="shared" si="2"/>
        <v/>
      </c>
      <c r="E8" t="s">
        <v>42</v>
      </c>
    </row>
    <row r="9" spans="1:5" x14ac:dyDescent="0.2">
      <c r="A9" cm="1">
        <f t="array" ref="A9">_xlfn.CEILING.MATH(-7.9,0.21,0.01)</f>
        <v>-7.9799999999999995</v>
      </c>
      <c r="B9">
        <f t="shared" si="0"/>
        <v>0</v>
      </c>
      <c r="C9">
        <f t="shared" si="1"/>
        <v>-7.9799999999999995</v>
      </c>
      <c r="D9" t="str">
        <f t="shared" si="2"/>
        <v/>
      </c>
      <c r="E9" t="s">
        <v>43</v>
      </c>
    </row>
    <row r="10" spans="1:5" x14ac:dyDescent="0.2">
      <c r="A10" cm="1">
        <f t="array" ref="A10">_xlfn.CEILING.MATH(-10,7,0.01)</f>
        <v>-14</v>
      </c>
      <c r="B10">
        <f t="shared" si="0"/>
        <v>0</v>
      </c>
      <c r="C10">
        <f t="shared" si="1"/>
        <v>-14</v>
      </c>
      <c r="D10" t="str">
        <f t="shared" si="2"/>
        <v/>
      </c>
      <c r="E10" t="s">
        <v>44</v>
      </c>
    </row>
    <row r="11" spans="1:5" x14ac:dyDescent="0.2">
      <c r="A11" cm="1">
        <f t="array" ref="A11">ROUND(1.05*(0.0284+0.0046)-0.0284,4)</f>
        <v>6.3E-3</v>
      </c>
      <c r="B11">
        <f t="shared" si="0"/>
        <v>0</v>
      </c>
      <c r="C11">
        <f t="shared" si="1"/>
        <v>6.3E-3</v>
      </c>
      <c r="D11" t="str">
        <f t="shared" si="2"/>
        <v/>
      </c>
      <c r="E11" t="s">
        <v>45</v>
      </c>
    </row>
    <row r="12" spans="1:5" x14ac:dyDescent="0.2">
      <c r="A12" cm="1">
        <f t="array" ref="A12">ROUND(Fl!B1,4)</f>
        <v>6.3E-3</v>
      </c>
      <c r="B12">
        <f t="shared" si="0"/>
        <v>0</v>
      </c>
      <c r="C12">
        <f t="shared" si="1"/>
        <v>6.3E-3</v>
      </c>
      <c r="D12" t="str">
        <f t="shared" si="2"/>
        <v/>
      </c>
      <c r="E12" t="s">
        <v>46</v>
      </c>
    </row>
    <row r="13" spans="1:5" x14ac:dyDescent="0.2">
      <c r="A13" t="e" cm="1">
        <f t="array" ref="A13">FLOOR(5,0)</f>
        <v>#DIV/0!</v>
      </c>
      <c r="B13">
        <f t="shared" si="0"/>
        <v>2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FLOOR(1E-300,0)</f>
        <v>#DIV/0!</v>
      </c>
      <c r="B14">
        <f t="shared" si="0"/>
        <v>2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e" cm="1">
        <f t="array" ref="A15">FLOOR(-5,0)</f>
        <v>#DIV/0!</v>
      </c>
      <c r="B15">
        <f t="shared" si="0"/>
        <v>2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cm="1">
        <f t="array" ref="A16">FLOOR(0,5)</f>
        <v>0</v>
      </c>
      <c r="B16">
        <f t="shared" si="0"/>
        <v>0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cm="1">
        <f t="array" ref="A17">FLOOR(0,-5)</f>
        <v>0</v>
      </c>
      <c r="B17">
        <f t="shared" si="0"/>
        <v>0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cm="1">
        <f t="array" ref="A18">CEILING(0,0)</f>
        <v>0</v>
      </c>
      <c r="B18">
        <f t="shared" si="0"/>
        <v>0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cm="1">
        <f t="array" ref="A19">_xlfn.FLOOR.MATH(-7.1,1,-0.01)</f>
        <v>-7</v>
      </c>
      <c r="B19">
        <f t="shared" si="0"/>
        <v>0</v>
      </c>
      <c r="C19">
        <f t="shared" si="1"/>
        <v>-7</v>
      </c>
      <c r="D19" t="str">
        <f t="shared" si="2"/>
        <v/>
      </c>
      <c r="E19" t="s">
        <v>53</v>
      </c>
    </row>
    <row r="20" spans="1:5" x14ac:dyDescent="0.2">
      <c r="A20" cm="1">
        <f t="array" ref="A20">_xlfn.FLOOR.MATH(-7.1,1,1E-300)</f>
        <v>-7</v>
      </c>
      <c r="B20">
        <f t="shared" si="0"/>
        <v>0</v>
      </c>
      <c r="C20">
        <f t="shared" si="1"/>
        <v>-7</v>
      </c>
      <c r="D20" t="str">
        <f t="shared" si="2"/>
        <v/>
      </c>
      <c r="E20" t="s">
        <v>54</v>
      </c>
    </row>
    <row r="21" spans="1:5" x14ac:dyDescent="0.2">
      <c r="A21" cm="1">
        <f t="array" ref="A21">_xlfn.FLOOR.MATH(-7.1,1,0)</f>
        <v>-8</v>
      </c>
      <c r="B21">
        <f t="shared" si="0"/>
        <v>0</v>
      </c>
      <c r="C21">
        <f t="shared" si="1"/>
        <v>-8</v>
      </c>
      <c r="D21" t="str">
        <f t="shared" si="2"/>
        <v/>
      </c>
      <c r="E21" t="s">
        <v>55</v>
      </c>
    </row>
    <row r="22" spans="1:5" x14ac:dyDescent="0.2">
      <c r="A22" cm="1">
        <f t="array" ref="A22">_xlfn.FLOOR.MATH(7.1,1,0.01)</f>
        <v>7</v>
      </c>
      <c r="B22">
        <f t="shared" si="0"/>
        <v>0</v>
      </c>
      <c r="C22">
        <f t="shared" si="1"/>
        <v>7</v>
      </c>
      <c r="D22" t="str">
        <f t="shared" si="2"/>
        <v/>
      </c>
      <c r="E22" t="s">
        <v>56</v>
      </c>
    </row>
    <row r="23" spans="1:5" x14ac:dyDescent="0.2">
      <c r="A23" cm="1">
        <f t="array" ref="A23">_xlfn.CEILING.MATH(-7.1,1,0.5)</f>
        <v>-8</v>
      </c>
      <c r="B23">
        <f t="shared" si="0"/>
        <v>0</v>
      </c>
      <c r="C23">
        <f t="shared" si="1"/>
        <v>-8</v>
      </c>
      <c r="D23" t="str">
        <f t="shared" si="2"/>
        <v/>
      </c>
      <c r="E23" t="s">
        <v>57</v>
      </c>
    </row>
    <row r="24" spans="1:5" x14ac:dyDescent="0.2">
      <c r="A24" cm="1">
        <f t="array" ref="A24">_xlfn.CEILING.MATH(-7.1,1,"0.01")</f>
        <v>-8</v>
      </c>
      <c r="B24">
        <f t="shared" si="0"/>
        <v>0</v>
      </c>
      <c r="C24">
        <f t="shared" si="1"/>
        <v>-8</v>
      </c>
      <c r="D24" t="str">
        <f t="shared" si="2"/>
        <v/>
      </c>
      <c r="E24" t="s">
        <v>58</v>
      </c>
    </row>
    <row r="25" spans="1:5" x14ac:dyDescent="0.2">
      <c r="A25" cm="1">
        <f t="array" ref="A25">_xlfn.CEILING.MATH(-7.1,1,TRUE)</f>
        <v>-8</v>
      </c>
      <c r="B25">
        <f t="shared" si="0"/>
        <v>0</v>
      </c>
      <c r="C25">
        <f t="shared" si="1"/>
        <v>-8</v>
      </c>
      <c r="D25" t="str">
        <f t="shared" si="2"/>
        <v/>
      </c>
      <c r="E25" t="s">
        <v>59</v>
      </c>
    </row>
    <row r="26" spans="1:5" x14ac:dyDescent="0.2">
      <c r="A26" cm="1">
        <f t="array" ref="A26">_xlfn.CEILING.MATH(-7.1,1,FALSE)</f>
        <v>-7</v>
      </c>
      <c r="B26">
        <f t="shared" si="0"/>
        <v>0</v>
      </c>
      <c r="C26">
        <f t="shared" si="1"/>
        <v>-7</v>
      </c>
      <c r="D26" t="str">
        <f t="shared" si="2"/>
        <v/>
      </c>
      <c r="E26" t="s">
        <v>60</v>
      </c>
    </row>
    <row r="27" spans="1:5" x14ac:dyDescent="0.2">
      <c r="A27" cm="1">
        <f t="array" ref="A27">_xlfn.CEILING.MATH(7.1,1,0.01)</f>
        <v>8</v>
      </c>
      <c r="B27">
        <f t="shared" si="0"/>
        <v>0</v>
      </c>
      <c r="C27">
        <f t="shared" si="1"/>
        <v>8</v>
      </c>
      <c r="D27" t="str">
        <f t="shared" si="2"/>
        <v/>
      </c>
      <c r="E27" t="s">
        <v>61</v>
      </c>
    </row>
    <row r="28" spans="1:5" x14ac:dyDescent="0.2">
      <c r="A28" cm="1">
        <f t="array" ref="A28">ROUND(2.5-2^-51,0)</f>
        <v>3</v>
      </c>
      <c r="B28">
        <f t="shared" si="0"/>
        <v>0</v>
      </c>
      <c r="C28">
        <f t="shared" si="1"/>
        <v>3</v>
      </c>
      <c r="D28" t="str">
        <f t="shared" si="2"/>
        <v/>
      </c>
      <c r="E28" t="s">
        <v>62</v>
      </c>
    </row>
    <row r="29" spans="1:5" x14ac:dyDescent="0.2">
      <c r="A29" cm="1">
        <f t="array" ref="A29">ROUND(-2.5+2^-51,0)</f>
        <v>-3</v>
      </c>
      <c r="B29">
        <f t="shared" si="0"/>
        <v>0</v>
      </c>
      <c r="C29">
        <f t="shared" si="1"/>
        <v>-3</v>
      </c>
      <c r="D29" t="str">
        <f t="shared" si="2"/>
        <v/>
      </c>
      <c r="E29" t="s">
        <v>63</v>
      </c>
    </row>
    <row r="30" spans="1:5" x14ac:dyDescent="0.2">
      <c r="A30" cm="1">
        <f t="array" ref="A30">ROUND(1234.5-2^-38,0)</f>
        <v>1235</v>
      </c>
      <c r="B30">
        <f t="shared" si="0"/>
        <v>0</v>
      </c>
      <c r="C30">
        <f t="shared" si="1"/>
        <v>1235</v>
      </c>
      <c r="D30" t="str">
        <f t="shared" si="2"/>
        <v/>
      </c>
      <c r="E30" t="s">
        <v>64</v>
      </c>
    </row>
    <row r="31" spans="1:5" x14ac:dyDescent="0.2">
      <c r="A31" cm="1">
        <f t="array" ref="A31">ROUND(1234.5-2^-30,0)</f>
        <v>1234</v>
      </c>
      <c r="B31">
        <f t="shared" si="0"/>
        <v>0</v>
      </c>
      <c r="C31">
        <f t="shared" si="1"/>
        <v>1234</v>
      </c>
      <c r="D31" t="str">
        <f t="shared" si="2"/>
        <v/>
      </c>
      <c r="E31" t="s">
        <v>65</v>
      </c>
    </row>
    <row r="32" spans="1:5" x14ac:dyDescent="0.2">
      <c r="A32" cm="1">
        <f t="array" ref="A32">ROUND(0.125-2^-56,2)</f>
        <v>0.13</v>
      </c>
      <c r="B32">
        <f t="shared" si="0"/>
        <v>0</v>
      </c>
      <c r="C32">
        <f t="shared" si="1"/>
        <v>0.13</v>
      </c>
      <c r="D32" t="str">
        <f t="shared" si="2"/>
        <v/>
      </c>
      <c r="E32" t="s">
        <v>66</v>
      </c>
    </row>
    <row r="33" spans="1:1" x14ac:dyDescent="0.2">
      <c r="A33" t="s">
        <v>67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2026-10-17T13:08:46Z</dcterms:created>
  <dcterms:modified xsi:type="dcterms:W3CDTF">2026-10-17T13:08:47Z</dcterms:modified>
  <cp:category/>
</cp:coreProperties>
</file>