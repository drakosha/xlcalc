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filterPrivacy="1"/>
  <xr:revisionPtr revIDLastSave="0" documentId="8_{37B209B2-82C9-474F-BA1D-0359A54E94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p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" i="3" l="1" a="1"/>
  <c r="A128" i="3" a="1"/>
  <c r="A127" i="3" a="1"/>
  <c r="A126" i="3" a="1"/>
  <c r="A125" i="3" a="1"/>
  <c r="A124" i="3" a="1"/>
  <c r="A123" i="3" a="1"/>
  <c r="D122" i="3"/>
  <c r="A122" i="3" a="1"/>
  <c r="A121" i="3" a="1"/>
  <c r="A120" i="3" a="1"/>
  <c r="A119" i="3" a="1"/>
  <c r="A118" i="3" a="1"/>
  <c r="A117" i="3" a="1"/>
  <c r="A116" i="3" a="1"/>
  <c r="D115" i="3"/>
  <c r="A115" i="3" a="1"/>
  <c r="A114" i="3" a="1"/>
  <c r="A113" i="3" a="1"/>
  <c r="A112" i="3" a="1"/>
  <c r="A111" i="3" a="1"/>
  <c r="A110" i="3" a="1"/>
  <c r="A109" i="3" a="1"/>
  <c r="A108" i="3" a="1"/>
  <c r="A107" i="3" a="1"/>
  <c r="A106" i="3" a="1"/>
  <c r="A105" i="3" a="1"/>
  <c r="A104" i="3" a="1"/>
  <c r="A103" i="3" a="1"/>
  <c r="A102" i="3" a="1"/>
  <c r="A101" i="3" a="1"/>
  <c r="A100" i="3" a="1"/>
  <c r="D100" i="3" s="1"/>
  <c r="A99" i="3" a="1"/>
  <c r="A98" i="3" a="1"/>
  <c r="A95" i="3" a="1"/>
  <c r="A94" i="3" a="1"/>
  <c r="A93" i="3" a="1"/>
  <c r="A92" i="3" a="1"/>
  <c r="A91" i="3" a="1"/>
  <c r="A90" i="3" a="1"/>
  <c r="A89" i="3" a="1"/>
  <c r="A88" i="3" a="1"/>
  <c r="A87" i="3" a="1"/>
  <c r="A86" i="3" a="1"/>
  <c r="A85" i="3" a="1"/>
  <c r="A84" i="3" a="1"/>
  <c r="A83" i="3" a="1"/>
  <c r="A82" i="3" a="1"/>
  <c r="A81" i="3" a="1"/>
  <c r="A80" i="3" a="1"/>
  <c r="A79" i="3" a="1"/>
  <c r="A78" i="3" a="1"/>
  <c r="A77" i="3" a="1"/>
  <c r="A76" i="3" a="1"/>
  <c r="A75" i="3" a="1"/>
  <c r="A74" i="3" a="1"/>
  <c r="A73" i="3" a="1"/>
  <c r="A72" i="3" a="1"/>
  <c r="A71" i="3" a="1"/>
  <c r="A70" i="3" a="1"/>
  <c r="A69" i="3" a="1"/>
  <c r="A68" i="3" a="1"/>
  <c r="A67" i="3" a="1"/>
  <c r="A66" i="3" a="1"/>
  <c r="A65" i="3" a="1"/>
  <c r="A64" i="3" a="1"/>
  <c r="A63" i="3" a="1"/>
  <c r="A62" i="3" a="1"/>
  <c r="A61" i="3" a="1"/>
  <c r="A60" i="3" a="1"/>
  <c r="A59" i="3" a="1"/>
  <c r="A58" i="3" a="1"/>
  <c r="A57" i="3" a="1"/>
  <c r="A56" i="3" a="1"/>
  <c r="A55" i="3" a="1"/>
  <c r="A54" i="3" a="1"/>
  <c r="A53" i="3" a="1"/>
  <c r="A52" i="3" a="1"/>
  <c r="A51" i="3" a="1"/>
  <c r="A50" i="3" a="1"/>
  <c r="A49" i="3" a="1"/>
  <c r="A48" i="3" a="1"/>
  <c r="A47" i="3" a="1"/>
  <c r="A46" i="3" a="1"/>
  <c r="A45" i="3" a="1"/>
  <c r="A44" i="3" a="1"/>
  <c r="A43" i="3" a="1"/>
  <c r="A42" i="3" a="1"/>
  <c r="A41" i="3" a="1"/>
  <c r="A40" i="3" a="1"/>
  <c r="A33" i="3" a="1"/>
  <c r="A32" i="3" a="1"/>
  <c r="A23" i="3" a="1"/>
  <c r="A22" i="3" a="1"/>
  <c r="A21" i="3" a="1"/>
  <c r="A20" i="3" a="1"/>
  <c r="A19" i="3" a="1"/>
  <c r="A18" i="3" a="1"/>
  <c r="A17" i="3" a="1"/>
  <c r="A16" i="3" a="1"/>
  <c r="A15" i="3" a="1"/>
  <c r="A14" i="3" a="1"/>
  <c r="A13" i="3" a="1"/>
  <c r="A12" i="3" a="1"/>
  <c r="A11" i="3" a="1"/>
  <c r="A10" i="3" a="1"/>
  <c r="A9" i="3" a="1"/>
  <c r="A8" i="3" a="1"/>
  <c r="A7" i="3" a="1"/>
  <c r="A6" i="3" a="1"/>
  <c r="A5" i="3" a="1"/>
  <c r="A4" i="3" a="1"/>
  <c r="A3" i="3" a="1"/>
  <c r="A2" i="3" a="1"/>
  <c r="A1" i="3" a="1"/>
  <c r="I15" i="2"/>
  <c r="A14" i="2"/>
  <c r="A13" i="2"/>
  <c r="AL10" i="2"/>
  <c r="A8" i="2"/>
  <c r="A7" i="2"/>
  <c r="E3" i="2"/>
  <c r="A23" i="1"/>
  <c r="A10" i="1"/>
  <c r="A9" i="1"/>
  <c r="A8" i="1"/>
  <c r="B115" i="3" l="1"/>
  <c r="C115" i="3"/>
  <c r="D108" i="3"/>
  <c r="C108" i="3"/>
  <c r="B108" i="3"/>
  <c r="B93" i="3"/>
  <c r="D93" i="3"/>
  <c r="C93" i="3"/>
  <c r="D86" i="3"/>
  <c r="C86" i="3"/>
  <c r="B86" i="3"/>
  <c r="B71" i="3"/>
  <c r="D71" i="3"/>
  <c r="C71" i="3"/>
  <c r="B64" i="3"/>
  <c r="D64" i="3"/>
  <c r="C64" i="3"/>
  <c r="B49" i="3"/>
  <c r="D49" i="3"/>
  <c r="C49" i="3"/>
  <c r="D42" i="3"/>
  <c r="C42" i="3"/>
  <c r="B42" i="3"/>
  <c r="C129" i="3"/>
  <c r="B129" i="3"/>
  <c r="D129" i="3"/>
  <c r="C128" i="3"/>
  <c r="B128" i="3"/>
  <c r="D128" i="3"/>
  <c r="D127" i="3"/>
  <c r="C127" i="3"/>
  <c r="B127" i="3"/>
  <c r="B126" i="3"/>
  <c r="D126" i="3"/>
  <c r="C126" i="3"/>
  <c r="C125" i="3"/>
  <c r="D125" i="3"/>
  <c r="B125" i="3"/>
  <c r="B124" i="3"/>
  <c r="D124" i="3"/>
  <c r="C124" i="3"/>
  <c r="D123" i="3"/>
  <c r="C123" i="3"/>
  <c r="B123" i="3"/>
  <c r="B122" i="3"/>
  <c r="C122" i="3"/>
  <c r="C121" i="3"/>
  <c r="D121" i="3"/>
  <c r="B121" i="3"/>
  <c r="B120" i="3"/>
  <c r="D120" i="3"/>
  <c r="C120" i="3"/>
  <c r="C119" i="3"/>
  <c r="B119" i="3"/>
  <c r="D119" i="3"/>
  <c r="C118" i="3"/>
  <c r="B118" i="3"/>
  <c r="D118" i="3"/>
  <c r="C117" i="3"/>
  <c r="D117" i="3"/>
  <c r="B117" i="3"/>
  <c r="B116" i="3"/>
  <c r="C116" i="3"/>
  <c r="D116" i="3"/>
  <c r="D114" i="3"/>
  <c r="C114" i="3"/>
  <c r="B114" i="3"/>
  <c r="D113" i="3"/>
  <c r="C113" i="3"/>
  <c r="B113" i="3"/>
  <c r="D112" i="3"/>
  <c r="C112" i="3"/>
  <c r="B112" i="3"/>
  <c r="B111" i="3"/>
  <c r="C111" i="3"/>
  <c r="D111" i="3"/>
  <c r="C110" i="3"/>
  <c r="D110" i="3"/>
  <c r="B110" i="3"/>
  <c r="B109" i="3"/>
  <c r="C109" i="3"/>
  <c r="D109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C102" i="3"/>
  <c r="B102" i="3"/>
  <c r="D102" i="3"/>
  <c r="B101" i="3"/>
  <c r="C101" i="3"/>
  <c r="D101" i="3"/>
  <c r="B100" i="3"/>
  <c r="C100" i="3"/>
  <c r="C99" i="3"/>
  <c r="D99" i="3"/>
  <c r="B99" i="3"/>
  <c r="D98" i="3"/>
  <c r="C98" i="3"/>
  <c r="B98" i="3"/>
  <c r="D95" i="3"/>
  <c r="C95" i="3"/>
  <c r="B95" i="3"/>
  <c r="D94" i="3"/>
  <c r="C94" i="3"/>
  <c r="B94" i="3"/>
  <c r="B92" i="3"/>
  <c r="C92" i="3"/>
  <c r="D92" i="3"/>
  <c r="B91" i="3"/>
  <c r="C91" i="3"/>
  <c r="D91" i="3"/>
  <c r="D90" i="3"/>
  <c r="C90" i="3"/>
  <c r="B90" i="3"/>
  <c r="B89" i="3"/>
  <c r="D89" i="3"/>
  <c r="C89" i="3"/>
  <c r="C88" i="3"/>
  <c r="B88" i="3"/>
  <c r="D88" i="3"/>
  <c r="D87" i="3"/>
  <c r="C87" i="3"/>
  <c r="B87" i="3"/>
  <c r="D85" i="3"/>
  <c r="C85" i="3"/>
  <c r="B85" i="3"/>
  <c r="B84" i="3"/>
  <c r="D84" i="3"/>
  <c r="C84" i="3"/>
  <c r="C83" i="3"/>
  <c r="B83" i="3"/>
  <c r="D83" i="3"/>
  <c r="D82" i="3"/>
  <c r="C82" i="3"/>
  <c r="B82" i="3"/>
  <c r="B81" i="3"/>
  <c r="C81" i="3"/>
  <c r="D81" i="3"/>
  <c r="D80" i="3"/>
  <c r="C80" i="3"/>
  <c r="B80" i="3"/>
  <c r="D79" i="3"/>
  <c r="C79" i="3"/>
  <c r="B79" i="3"/>
  <c r="B78" i="3"/>
  <c r="D78" i="3"/>
  <c r="C78" i="3"/>
  <c r="B77" i="3"/>
  <c r="C77" i="3"/>
  <c r="D77" i="3"/>
  <c r="D76" i="3"/>
  <c r="B76" i="3"/>
  <c r="C76" i="3"/>
  <c r="B75" i="3"/>
  <c r="C75" i="3"/>
  <c r="D75" i="3"/>
  <c r="C74" i="3"/>
  <c r="B74" i="3"/>
  <c r="D74" i="3"/>
  <c r="D73" i="3"/>
  <c r="C73" i="3"/>
  <c r="B73" i="3"/>
  <c r="D72" i="3"/>
  <c r="C72" i="3"/>
  <c r="B72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B65" i="3"/>
  <c r="C65" i="3"/>
  <c r="D65" i="3"/>
  <c r="D63" i="3"/>
  <c r="C63" i="3"/>
  <c r="B63" i="3"/>
  <c r="B62" i="3"/>
  <c r="C62" i="3"/>
  <c r="D62" i="3"/>
  <c r="B61" i="3"/>
  <c r="C61" i="3"/>
  <c r="D61" i="3"/>
  <c r="B60" i="3"/>
  <c r="C60" i="3"/>
  <c r="D60" i="3"/>
  <c r="B59" i="3"/>
  <c r="C59" i="3"/>
  <c r="D59" i="3"/>
  <c r="B58" i="3"/>
  <c r="C58" i="3"/>
  <c r="D58" i="3"/>
  <c r="D57" i="3"/>
  <c r="C57" i="3"/>
  <c r="B57" i="3"/>
  <c r="B56" i="3"/>
  <c r="D56" i="3"/>
  <c r="C56" i="3"/>
  <c r="D55" i="3"/>
  <c r="C55" i="3"/>
  <c r="B55" i="3"/>
  <c r="D54" i="3"/>
  <c r="C54" i="3"/>
  <c r="B54" i="3"/>
  <c r="B53" i="3"/>
  <c r="C53" i="3"/>
  <c r="D53" i="3"/>
  <c r="D52" i="3"/>
  <c r="C52" i="3"/>
  <c r="B52" i="3"/>
  <c r="D51" i="3"/>
  <c r="B51" i="3"/>
  <c r="C51" i="3"/>
  <c r="C50" i="3"/>
  <c r="D50" i="3"/>
  <c r="B50" i="3"/>
  <c r="B48" i="3"/>
  <c r="D48" i="3"/>
  <c r="C48" i="3"/>
  <c r="B47" i="3"/>
  <c r="D47" i="3"/>
  <c r="C47" i="3"/>
  <c r="C46" i="3"/>
  <c r="B46" i="3"/>
  <c r="D46" i="3"/>
  <c r="D45" i="3"/>
  <c r="C45" i="3"/>
  <c r="B45" i="3"/>
  <c r="D44" i="3"/>
  <c r="C44" i="3"/>
  <c r="B44" i="3"/>
  <c r="B43" i="3"/>
  <c r="D43" i="3"/>
  <c r="C43" i="3"/>
  <c r="C41" i="3"/>
  <c r="B41" i="3"/>
  <c r="D41" i="3"/>
  <c r="D40" i="3"/>
  <c r="C40" i="3"/>
  <c r="B40" i="3"/>
  <c r="B33" i="3"/>
  <c r="D33" i="3"/>
  <c r="C33" i="3"/>
  <c r="B32" i="3"/>
  <c r="D32" i="3"/>
  <c r="C32" i="3"/>
  <c r="B23" i="3"/>
  <c r="C23" i="3"/>
  <c r="D23" i="3"/>
  <c r="B22" i="3"/>
  <c r="C22" i="3"/>
  <c r="D22" i="3"/>
  <c r="B21" i="3"/>
  <c r="D21" i="3"/>
  <c r="C21" i="3"/>
  <c r="B20" i="3"/>
  <c r="D20" i="3"/>
  <c r="C20" i="3"/>
  <c r="B19" i="3"/>
  <c r="C19" i="3"/>
  <c r="D19" i="3"/>
  <c r="C18" i="3"/>
  <c r="D18" i="3"/>
  <c r="B18" i="3"/>
  <c r="C17" i="3"/>
  <c r="D17" i="3"/>
  <c r="B17" i="3"/>
  <c r="D16" i="3"/>
  <c r="B16" i="3"/>
  <c r="C16" i="3"/>
  <c r="B15" i="3"/>
  <c r="D15" i="3"/>
  <c r="C15" i="3"/>
  <c r="D14" i="3"/>
  <c r="B14" i="3"/>
  <c r="C14" i="3"/>
  <c r="D13" i="3"/>
  <c r="C13" i="3"/>
  <c r="B13" i="3"/>
  <c r="D12" i="3"/>
  <c r="B12" i="3"/>
  <c r="C12" i="3"/>
  <c r="D11" i="3"/>
  <c r="C11" i="3"/>
  <c r="B11" i="3"/>
  <c r="D10" i="3"/>
  <c r="C10" i="3"/>
  <c r="B10" i="3"/>
  <c r="C9" i="3"/>
  <c r="B9" i="3"/>
  <c r="D9" i="3"/>
  <c r="D8" i="3"/>
  <c r="C8" i="3"/>
  <c r="B8" i="3"/>
  <c r="C7" i="3"/>
  <c r="B7" i="3"/>
  <c r="D7" i="3"/>
  <c r="D6" i="3"/>
  <c r="B6" i="3"/>
  <c r="C6" i="3"/>
  <c r="C5" i="3"/>
  <c r="D5" i="3"/>
  <c r="B5" i="3"/>
  <c r="C4" i="3"/>
  <c r="D4" i="3"/>
  <c r="B4" i="3"/>
  <c r="B3" i="3"/>
  <c r="C3" i="3"/>
  <c r="D3" i="3"/>
  <c r="C2" i="3"/>
  <c r="B2" i="3"/>
  <c r="D2" i="3"/>
  <c r="D1" i="3"/>
  <c r="C1" i="3"/>
  <c r="B1" i="3"/>
  <c r="A37" i="3" a="1"/>
  <c r="A96" i="3" a="1"/>
  <c r="A25" i="3" a="1"/>
  <c r="A26" i="3" a="1"/>
  <c r="A24" i="3" a="1"/>
  <c r="A97" i="3" a="1"/>
  <c r="A31" i="3" a="1"/>
  <c r="A36" i="3" a="1"/>
  <c r="A38" i="3" a="1"/>
  <c r="A30" i="3" a="1"/>
  <c r="A27" i="3" a="1"/>
  <c r="A29" i="3" a="1"/>
  <c r="A28" i="3" a="1"/>
  <c r="A34" i="3" a="1"/>
  <c r="A35" i="3" a="1"/>
  <c r="A39" i="3" a="1"/>
  <c r="B37" i="3" l="1"/>
  <c r="C37" i="3"/>
  <c r="D37" i="3"/>
  <c r="B96" i="3"/>
  <c r="C96" i="3"/>
  <c r="D96" i="3"/>
  <c r="B25" i="3"/>
  <c r="C25" i="3"/>
  <c r="D25" i="3"/>
  <c r="C26" i="3"/>
  <c r="D26" i="3"/>
  <c r="B26" i="3"/>
  <c r="C24" i="3"/>
  <c r="B24" i="3"/>
  <c r="D24" i="3"/>
  <c r="B97" i="3"/>
  <c r="C97" i="3"/>
  <c r="D97" i="3"/>
  <c r="D31" i="3"/>
  <c r="C31" i="3"/>
  <c r="B31" i="3"/>
  <c r="B36" i="3"/>
  <c r="C36" i="3"/>
  <c r="D36" i="3"/>
  <c r="B38" i="3"/>
  <c r="C38" i="3"/>
  <c r="D38" i="3"/>
  <c r="C30" i="3"/>
  <c r="B30" i="3"/>
  <c r="D30" i="3"/>
  <c r="D27" i="3"/>
  <c r="B27" i="3"/>
  <c r="C27" i="3"/>
  <c r="D29" i="3"/>
  <c r="B29" i="3"/>
  <c r="C29" i="3"/>
  <c r="B28" i="3"/>
  <c r="D28" i="3"/>
  <c r="C28" i="3"/>
  <c r="C34" i="3"/>
  <c r="D34" i="3"/>
  <c r="B34" i="3"/>
  <c r="B35" i="3"/>
  <c r="C35" i="3"/>
  <c r="D35" i="3"/>
  <c r="B39" i="3"/>
  <c r="C39" i="3"/>
  <c r="D3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1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</valueMetadata>
</metadata>
</file>

<file path=xl/sharedStrings.xml><?xml version="1.0" encoding="utf-8"?>
<sst xmlns="http://schemas.openxmlformats.org/spreadsheetml/2006/main" count="216" uniqueCount="192">
  <si>
    <t>abc</t>
  </si>
  <si>
    <t>aaa</t>
  </si>
  <si>
    <t>concat</t>
  </si>
  <si>
    <t>cat food</t>
  </si>
  <si>
    <t>café</t>
  </si>
  <si>
    <t>٣</t>
  </si>
  <si>
    <t>a b</t>
  </si>
  <si>
    <t>😀</t>
  </si>
  <si>
    <t>Ä</t>
  </si>
  <si>
    <t>Д</t>
  </si>
  <si>
    <t>K</t>
  </si>
  <si>
    <t>a.b*c</t>
  </si>
  <si>
    <t>abab</t>
  </si>
  <si>
    <t>(a(b)c)</t>
  </si>
  <si>
    <t>a{,2}</t>
  </si>
  <si>
    <t>x y</t>
  </si>
  <si>
    <t>aaaaaaaaaaaaaaaab</t>
  </si>
  <si>
    <t>aaaaaaaaaaaaaaaaaaaab</t>
  </si>
  <si>
    <t>aaaaaaaaaaaaaaaaaaaaaaaab</t>
  </si>
  <si>
    <t>aa</t>
  </si>
  <si>
    <t>bb</t>
  </si>
  <si>
    <t>ab</t>
  </si>
  <si>
    <t>c</t>
  </si>
  <si>
    <t>C</t>
  </si>
  <si>
    <t>42</t>
  </si>
  <si>
    <t>é</t>
  </si>
  <si>
    <t>a{</t>
  </si>
  <si>
    <t>aaaaaaaaaaaaaaaaaaaaaaaaaaaab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</si>
  <si>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</si>
  <si>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</si>
  <si>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</si>
  <si>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</si>
  <si>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</si>
  <si>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</si>
  <si>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</si>
  <si>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</si>
  <si>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</si>
  <si>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</si>
  <si>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</si>
  <si>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</si>
  <si>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</si>
  <si>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</si>
  <si>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</si>
  <si>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</si>
  <si>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</si>
  <si>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</si>
  <si>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</si>
  <si>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</si>
  <si>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</si>
  <si>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</si>
  <si>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</si>
  <si>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</si>
  <si>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</si>
  <si>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</si>
  <si>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</si>
  <si>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</si>
  <si>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</si>
  <si>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</si>
  <si>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</si>
  <si>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</si>
  <si>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</si>
  <si>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</si>
  <si>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class#1</t>
  </si>
  <si>
    <t>class#2</t>
  </si>
  <si>
    <t>class#3</t>
  </si>
  <si>
    <t>class#4</t>
  </si>
  <si>
    <t>class#5</t>
  </si>
  <si>
    <t>class#6</t>
  </si>
  <si>
    <t>class#7</t>
  </si>
  <si>
    <t>class#8</t>
  </si>
  <si>
    <t>class#9</t>
  </si>
  <si>
    <t>class#10</t>
  </si>
  <si>
    <t>class#11</t>
  </si>
  <si>
    <t>class#12</t>
  </si>
  <si>
    <t>class#13</t>
  </si>
  <si>
    <t>class#14</t>
  </si>
  <si>
    <t>class#15</t>
  </si>
  <si>
    <t>class#16</t>
  </si>
  <si>
    <t>class#17</t>
  </si>
  <si>
    <t>class#18</t>
  </si>
  <si>
    <t>class#19</t>
  </si>
  <si>
    <t>class#20</t>
  </si>
  <si>
    <t>class#21</t>
  </si>
  <si>
    <t>class#22</t>
  </si>
  <si>
    <t>anchor#1</t>
  </si>
  <si>
    <t>anchor#2</t>
  </si>
  <si>
    <t>anchor#3</t>
  </si>
  <si>
    <t>anchor#4</t>
  </si>
  <si>
    <t>anchor#5</t>
  </si>
  <si>
    <t>anchor#6</t>
  </si>
  <si>
    <t>anchor#7</t>
  </si>
  <si>
    <t>anchor#8</t>
  </si>
  <si>
    <t>anchor#9</t>
  </si>
  <si>
    <t>anchor#10</t>
  </si>
  <si>
    <t>anchor#11</t>
  </si>
  <si>
    <t>dot#1</t>
  </si>
  <si>
    <t>dot#2</t>
  </si>
  <si>
    <t>dot#3</t>
  </si>
  <si>
    <t>dot#4</t>
  </si>
  <si>
    <t>dot#5</t>
  </si>
  <si>
    <t>dot#6</t>
  </si>
  <si>
    <t>dot#7</t>
  </si>
  <si>
    <t>dot#8</t>
  </si>
  <si>
    <t>dot#9</t>
  </si>
  <si>
    <t>dot#10</t>
  </si>
  <si>
    <t>dot#11</t>
  </si>
  <si>
    <t>dot#12</t>
  </si>
  <si>
    <t>quant#1</t>
  </si>
  <si>
    <t>quant#2</t>
  </si>
  <si>
    <t>quant#3</t>
  </si>
  <si>
    <t>quant#4</t>
  </si>
  <si>
    <t>quant#5</t>
  </si>
  <si>
    <t>quant#6</t>
  </si>
  <si>
    <t>quant#7</t>
  </si>
  <si>
    <t>quant#8</t>
  </si>
  <si>
    <t>quant#9</t>
  </si>
  <si>
    <t>quant#10</t>
  </si>
  <si>
    <t>quant#11</t>
  </si>
  <si>
    <t>quant#12</t>
  </si>
  <si>
    <t>quant#13</t>
  </si>
  <si>
    <t>quant#14</t>
  </si>
  <si>
    <t>group#1</t>
  </si>
  <si>
    <t>group#2</t>
  </si>
  <si>
    <t>group#3</t>
  </si>
  <si>
    <t>group#4</t>
  </si>
  <si>
    <t>group#5</t>
  </si>
  <si>
    <t>group#6</t>
  </si>
  <si>
    <t>group#7</t>
  </si>
  <si>
    <t>group#8</t>
  </si>
  <si>
    <t>group#9</t>
  </si>
  <si>
    <t>group#10</t>
  </si>
  <si>
    <t>group#11</t>
  </si>
  <si>
    <t>group#12</t>
  </si>
  <si>
    <t>group#13</t>
  </si>
  <si>
    <t>group#14</t>
  </si>
  <si>
    <t>group#15</t>
  </si>
  <si>
    <t>look#1</t>
  </si>
  <si>
    <t>look#2</t>
  </si>
  <si>
    <t>look#3</t>
  </si>
  <si>
    <t>look#4</t>
  </si>
  <si>
    <t>look#5</t>
  </si>
  <si>
    <t>look#6</t>
  </si>
  <si>
    <t>look#7</t>
  </si>
  <si>
    <t>option#1</t>
  </si>
  <si>
    <t>option#2</t>
  </si>
  <si>
    <t>option#3</t>
  </si>
  <si>
    <t>option#4</t>
  </si>
  <si>
    <t>option#5</t>
  </si>
  <si>
    <t>option#6</t>
  </si>
  <si>
    <t>option#7</t>
  </si>
  <si>
    <t>option#8</t>
  </si>
  <si>
    <t>option#9</t>
  </si>
  <si>
    <t>option#10</t>
  </si>
  <si>
    <t>option#11</t>
  </si>
  <si>
    <t>option#12</t>
  </si>
  <si>
    <t>option#13</t>
  </si>
  <si>
    <t>option#14</t>
  </si>
  <si>
    <t>option#15</t>
  </si>
  <si>
    <t>option#16</t>
  </si>
  <si>
    <t>option#17</t>
  </si>
  <si>
    <t>recurse#1</t>
  </si>
  <si>
    <t>recurse#2</t>
  </si>
  <si>
    <t>recurse#3</t>
  </si>
  <si>
    <t>recurse#4</t>
  </si>
  <si>
    <t>recurse#5</t>
  </si>
  <si>
    <t>cond#1</t>
  </si>
  <si>
    <t>cond#2</t>
  </si>
  <si>
    <t>cond#3</t>
  </si>
  <si>
    <t>cond#4</t>
  </si>
  <si>
    <t>cond#5</t>
  </si>
  <si>
    <t>cond#6</t>
  </si>
  <si>
    <t>verb#1</t>
  </si>
  <si>
    <t>verb#2</t>
  </si>
  <si>
    <t>verb#3</t>
  </si>
  <si>
    <t>verb#4</t>
  </si>
  <si>
    <t>verb#5</t>
  </si>
  <si>
    <t>verb#6</t>
  </si>
  <si>
    <t>verb#7</t>
  </si>
  <si>
    <t>verb#8</t>
  </si>
  <si>
    <t>verb#9</t>
  </si>
  <si>
    <t>verb#10</t>
  </si>
  <si>
    <t>bad#1</t>
  </si>
  <si>
    <t>bad#2</t>
  </si>
  <si>
    <t>bad#3</t>
  </si>
  <si>
    <t>bad#4</t>
  </si>
  <si>
    <t>bad#5</t>
  </si>
  <si>
    <t>bad#6</t>
  </si>
  <si>
    <t>backtrack#1</t>
  </si>
  <si>
    <t>backtrack#2</t>
  </si>
  <si>
    <t>backtrack#3</t>
  </si>
  <si>
    <t>backtrack#4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</si>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</sst>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2</v>
    <v>79</v>
  </rv>
  <rv s="0">
    <v>2</v>
    <v>54</v>
  </rv>
  <rv s="0">
    <v>2</v>
    <v>59</v>
  </rv>
  <rv s="0">
    <v>2</v>
    <v>85</v>
  </rv>
  <rv s="0">
    <v>2</v>
    <v>64</v>
  </rv>
  <rv s="0">
    <v>2</v>
    <v>70</v>
  </rv>
  <rv s="0">
    <v>2</v>
    <v>50</v>
  </rv>
  <rv s="0">
    <v>2</v>
    <v>53</v>
  </rv>
  <rv s="0">
    <v>2</v>
    <v>51</v>
  </rv>
  <rv s="0">
    <v>2</v>
    <v>68</v>
  </rv>
  <rv s="0">
    <v>2</v>
    <v>58</v>
  </rv>
  <rv s="0">
    <v>2</v>
    <v>60</v>
  </rv>
  <rv s="0">
    <v>2</v>
    <v>125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tr">
        <f>"a"&amp;CHAR(10)&amp;"b"</f>
        <v>a
b</v>
      </c>
    </row>
    <row r="9" spans="1:1" x14ac:dyDescent="0.2">
      <c r="A9" t="str">
        <f>"a"&amp;CHAR(13)&amp;CHAR(10)&amp;"b"</f>
        <v>a_x000D_
b</v>
      </c>
    </row>
    <row r="10" spans="1:1" x14ac:dyDescent="0.2">
      <c r="A10" t="str">
        <f>"ab"&amp;CHAR(10)</f>
        <v xml:space="preserve">ab
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tr">
        <f>"a"&amp;CHAR(13)&amp;"b"</f>
        <v>a_x000D_b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28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29</v>
      </c>
      <c r="N1">
        <v>10</v>
      </c>
      <c r="P1">
        <v>1</v>
      </c>
      <c r="Q1">
        <v>2</v>
      </c>
      <c r="R1">
        <v>5</v>
      </c>
      <c r="S1">
        <v>6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30</v>
      </c>
      <c r="AB1" t="s">
        <v>31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35</v>
      </c>
    </row>
    <row r="2" spans="1:60" x14ac:dyDescent="0.2">
      <c r="A2" t="s">
        <v>36</v>
      </c>
      <c r="B2">
        <v>8</v>
      </c>
      <c r="C2">
        <v>7</v>
      </c>
      <c r="D2" t="s">
        <v>36</v>
      </c>
      <c r="E2">
        <v>2</v>
      </c>
      <c r="F2" t="s">
        <v>37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38</v>
      </c>
      <c r="N2">
        <v>20</v>
      </c>
      <c r="P2">
        <v>3</v>
      </c>
      <c r="Q2">
        <v>4</v>
      </c>
      <c r="R2">
        <v>7</v>
      </c>
      <c r="S2">
        <v>8</v>
      </c>
      <c r="U2" t="s">
        <v>39</v>
      </c>
      <c r="V2">
        <v>18</v>
      </c>
      <c r="W2">
        <v>20</v>
      </c>
      <c r="X2">
        <v>14</v>
      </c>
      <c r="Y2">
        <v>105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0</v>
      </c>
      <c r="B3">
        <v>15</v>
      </c>
      <c r="C3">
        <v>11</v>
      </c>
      <c r="D3" t="s">
        <v>0</v>
      </c>
      <c r="E3" t="e">
        <f>1/0</f>
        <v>#DIV/0!</v>
      </c>
      <c r="F3" t="s">
        <v>45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46</v>
      </c>
      <c r="N3">
        <v>30</v>
      </c>
      <c r="U3" t="s">
        <v>41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0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47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48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49</v>
      </c>
      <c r="N4">
        <v>50</v>
      </c>
      <c r="P4">
        <v>1</v>
      </c>
      <c r="Q4">
        <v>2</v>
      </c>
      <c r="R4">
        <v>3</v>
      </c>
      <c r="U4" t="s">
        <v>43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35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50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51</v>
      </c>
      <c r="N5">
        <v>80</v>
      </c>
      <c r="P5">
        <v>4</v>
      </c>
      <c r="Q5">
        <v>5</v>
      </c>
      <c r="R5">
        <v>6</v>
      </c>
      <c r="U5" t="s">
        <v>39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52</v>
      </c>
      <c r="AP5" s="1">
        <v>39786</v>
      </c>
      <c r="AS5" t="s">
        <v>53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54</v>
      </c>
      <c r="G6">
        <v>32</v>
      </c>
      <c r="H6" s="1">
        <v>45473</v>
      </c>
      <c r="L6">
        <v>13</v>
      </c>
      <c r="M6" t="s">
        <v>55</v>
      </c>
      <c r="N6">
        <v>130</v>
      </c>
      <c r="U6" t="s">
        <v>41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56</v>
      </c>
      <c r="G7">
        <v>64</v>
      </c>
      <c r="H7" s="1">
        <v>46022</v>
      </c>
      <c r="I7">
        <v>-10000</v>
      </c>
      <c r="J7">
        <v>100</v>
      </c>
      <c r="U7" t="s">
        <v>39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57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58</v>
      </c>
      <c r="AU8" s="1">
        <v>39448</v>
      </c>
      <c r="BG8">
        <v>2</v>
      </c>
    </row>
    <row r="9" spans="1:60" x14ac:dyDescent="0.2">
      <c r="A9" t="s">
        <v>59</v>
      </c>
      <c r="I9">
        <v>4200</v>
      </c>
      <c r="J9">
        <v>300</v>
      </c>
      <c r="L9" t="s">
        <v>29</v>
      </c>
      <c r="M9" t="s">
        <v>38</v>
      </c>
      <c r="N9" t="s">
        <v>46</v>
      </c>
      <c r="O9" t="s">
        <v>49</v>
      </c>
      <c r="P9" t="s">
        <v>51</v>
      </c>
      <c r="Q9" t="s">
        <v>55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60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61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_xlfn.XMATCH("[a-c]+",Rp!A1,3)</f>
        <v>1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1</v>
      </c>
      <c r="D1" t="str">
        <f t="shared" ref="D1:D32" si="2">IF(ISTEXT(A1),A1,"")</f>
        <v/>
      </c>
      <c r="E1" t="s">
        <v>62</v>
      </c>
    </row>
    <row r="2" spans="1:5" x14ac:dyDescent="0.2">
      <c r="A2" t="e" cm="1">
        <f t="array" ref="A2">_xlfn.XMATCH("[^a-c]",Rp!A1,3)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63</v>
      </c>
    </row>
    <row r="3" spans="1:5" x14ac:dyDescent="0.2">
      <c r="A3" cm="1">
        <f t="array" ref="A3">_xlfn.XMATCH("[[:alpha:]]",Rp!A1,3)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64</v>
      </c>
    </row>
    <row r="4" spans="1:5" x14ac:dyDescent="0.2">
      <c r="A4" cm="1">
        <f t="array" ref="A4">_xlfn.XMATCH("[[:digit:]]",Rp!A6,3)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65</v>
      </c>
    </row>
    <row r="5" spans="1:5" x14ac:dyDescent="0.2">
      <c r="A5" cm="1">
        <f t="array" ref="A5">_xlfn.XMATCH("\d",Rp!A6,3)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66</v>
      </c>
    </row>
    <row r="6" spans="1:5" x14ac:dyDescent="0.2">
      <c r="A6" cm="1">
        <f t="array" ref="A6">_xlfn.XMATCH("^caf\w$",Rp!A5,3)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67</v>
      </c>
    </row>
    <row r="7" spans="1:5" x14ac:dyDescent="0.2">
      <c r="A7" cm="1">
        <f t="array" ref="A7">_xlfn.XMATCH("a\sb",Rp!A7,3)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68</v>
      </c>
    </row>
    <row r="8" spans="1:5" x14ac:dyDescent="0.2">
      <c r="A8" cm="1">
        <f t="array" ref="A8">_xlfn.XMATCH("a\hb",Rp!A7,3)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69</v>
      </c>
    </row>
    <row r="9" spans="1:5" x14ac:dyDescent="0.2">
      <c r="A9" t="e" cm="1">
        <f t="array" ref="A9">_xlfn.XMATCH("\bcat\b",Rp!A3,3)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70</v>
      </c>
    </row>
    <row r="10" spans="1:5" x14ac:dyDescent="0.2">
      <c r="A10" cm="1">
        <f t="array" ref="A10">_xlfn.XMATCH("\bcat\b",Rp!A4,3)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71</v>
      </c>
    </row>
    <row r="11" spans="1:5" x14ac:dyDescent="0.2">
      <c r="A11" t="e" cm="1">
        <f t="array" ref="A11">_xlfn.XMATCH("caf\b",Rp!A5,3)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72</v>
      </c>
    </row>
    <row r="12" spans="1:5" x14ac:dyDescent="0.2">
      <c r="A12" cm="1">
        <f t="array" ref="A12">_xlfn.XMATCH("\p{L}",Rp!A13,3)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73</v>
      </c>
    </row>
    <row r="13" spans="1:5" x14ac:dyDescent="0.2">
      <c r="A13" cm="1">
        <f t="array" ref="A13">_xlfn.XMATCH("\p{Cyrillic}",Rp!A13,3)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74</v>
      </c>
    </row>
    <row r="14" spans="1:5" x14ac:dyDescent="0.2">
      <c r="A14" t="e" cm="1">
        <f t="array" ref="A14">_xlfn.XMATCH("\P{L}",Rp!A13,3)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75</v>
      </c>
    </row>
    <row r="15" spans="1:5" x14ac:dyDescent="0.2">
      <c r="A15" cm="1">
        <f t="array" ref="A15">_xlfn.XMATCH("[]a]",Rp!A1,3)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76</v>
      </c>
    </row>
    <row r="16" spans="1:5" x14ac:dyDescent="0.2">
      <c r="A16" cm="1">
        <f t="array" ref="A16">_xlfn.XMATCH("[\d\p{Lu}]",Rp!A13,3)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77</v>
      </c>
    </row>
    <row r="17" spans="1:5" x14ac:dyDescent="0.2">
      <c r="A17" cm="1">
        <f t="array" ref="A17">_xlfn.XMATCH("\x{414}",Rp!A13,3)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78</v>
      </c>
    </row>
    <row r="18" spans="1:5" x14ac:dyDescent="0.2">
      <c r="A18" t="e" cm="1">
        <f t="array" ref="A18">_xlfn.XMATCH("\x41",Rp!A12,3)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79</v>
      </c>
    </row>
    <row r="19" spans="1:5" x14ac:dyDescent="0.2">
      <c r="A19" cm="1">
        <f t="array" ref="A19">_xlfn.XMATCH("\N{U+414}",Rp!A13,3)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80</v>
      </c>
    </row>
    <row r="20" spans="1:5" x14ac:dyDescent="0.2">
      <c r="A20" t="e" cm="1" vm="1">
        <f t="array" ref="A20">_xlfn.XMATCH("\u0414",Rp!A13,3)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81</v>
      </c>
    </row>
    <row r="21" spans="1:5" x14ac:dyDescent="0.2">
      <c r="A21" t="e" cm="1">
        <f t="array" ref="A21">_xlfn.XMATCH("[[:^alpha:]]",Rp!A1,3)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82</v>
      </c>
    </row>
    <row r="22" spans="1:5" x14ac:dyDescent="0.2">
      <c r="A22" cm="1">
        <f t="array" ref="A22">_xlfn.XMATCH("[[:word:]]+",Rp!A1,3)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83</v>
      </c>
    </row>
    <row r="23" spans="1:5" x14ac:dyDescent="0.2">
      <c r="A23" cm="1">
        <f t="array" ref="A23">_xlfn.XMATCH("\Aabc\z",Rp!A1,3)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84</v>
      </c>
    </row>
    <row r="24" spans="1:5" x14ac:dyDescent="0.2">
      <c r="A24" cm="1">
        <f t="array" ref="A24">_xlfn.XMATCH("b\Z",Rp!A10,3)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85</v>
      </c>
    </row>
    <row r="25" spans="1:5" x14ac:dyDescent="0.2">
      <c r="A25" t="e" cm="1">
        <f t="array" ref="A25">_xlfn.XMATCH("b\z",Rp!A10,3)</f>
        <v>#N/A</v>
      </c>
      <c r="B25">
        <f t="shared" si="0"/>
        <v>7</v>
      </c>
      <c r="C25">
        <f t="shared" si="1"/>
        <v>0</v>
      </c>
      <c r="D25" t="str">
        <f t="shared" si="2"/>
        <v/>
      </c>
      <c r="E25" t="s">
        <v>86</v>
      </c>
    </row>
    <row r="26" spans="1:5" x14ac:dyDescent="0.2">
      <c r="A26" cm="1">
        <f t="array" ref="A26">_xlfn.XMATCH("b$",Rp!A10,3)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87</v>
      </c>
    </row>
    <row r="27" spans="1:5" x14ac:dyDescent="0.2">
      <c r="A27" t="e" cm="1">
        <f t="array" ref="A27">_xlfn.XMATCH("^b",Rp!A8,3)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88</v>
      </c>
    </row>
    <row r="28" spans="1:5" x14ac:dyDescent="0.2">
      <c r="A28" cm="1">
        <f t="array" ref="A28">_xlfn.XMATCH("(?m)^b",Rp!A8,3)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89</v>
      </c>
    </row>
    <row r="29" spans="1:5" x14ac:dyDescent="0.2">
      <c r="A29" t="e" cm="1">
        <f t="array" ref="A29">_xlfn.XMATCH("a$",Rp!A8,3)</f>
        <v>#N/A</v>
      </c>
      <c r="B29">
        <f t="shared" si="0"/>
        <v>7</v>
      </c>
      <c r="C29">
        <f t="shared" si="1"/>
        <v>0</v>
      </c>
      <c r="D29" t="str">
        <f t="shared" si="2"/>
        <v/>
      </c>
      <c r="E29" t="s">
        <v>90</v>
      </c>
    </row>
    <row r="30" spans="1:5" x14ac:dyDescent="0.2">
      <c r="A30" cm="1">
        <f t="array" ref="A30">_xlfn.XMATCH("(?m)a$",Rp!A8,3)</f>
        <v>1</v>
      </c>
      <c r="B30">
        <f t="shared" si="0"/>
        <v>0</v>
      </c>
      <c r="C30">
        <f t="shared" si="1"/>
        <v>1</v>
      </c>
      <c r="D30" t="str">
        <f t="shared" si="2"/>
        <v/>
      </c>
      <c r="E30" t="s">
        <v>91</v>
      </c>
    </row>
    <row r="31" spans="1:5" x14ac:dyDescent="0.2">
      <c r="A31" cm="1">
        <f t="array" ref="A31">_xlfn.XMATCH("(?m)a$",Rp!A9,3)</f>
        <v>1</v>
      </c>
      <c r="B31">
        <f t="shared" si="0"/>
        <v>0</v>
      </c>
      <c r="C31">
        <f t="shared" si="1"/>
        <v>1</v>
      </c>
      <c r="D31" t="str">
        <f t="shared" si="2"/>
        <v/>
      </c>
      <c r="E31" t="s">
        <v>92</v>
      </c>
    </row>
    <row r="32" spans="1:5" x14ac:dyDescent="0.2">
      <c r="A32" cm="1">
        <f t="array" ref="A32">_xlfn.XMATCH("\Gabc",Rp!A1,3)</f>
        <v>1</v>
      </c>
      <c r="B32">
        <f t="shared" si="0"/>
        <v>0</v>
      </c>
      <c r="C32">
        <f t="shared" si="1"/>
        <v>1</v>
      </c>
      <c r="D32" t="str">
        <f t="shared" si="2"/>
        <v/>
      </c>
      <c r="E32" t="s">
        <v>93</v>
      </c>
    </row>
    <row r="33" spans="1:5" x14ac:dyDescent="0.2">
      <c r="A33" t="e" cm="1">
        <f t="array" ref="A33">_xlfn.XMATCH("\Gb",Rp!A1,3)</f>
        <v>#N/A</v>
      </c>
      <c r="B33">
        <f t="shared" ref="B33:B64" si="3">IF(ISERROR(A33),ERROR.TYPE(A33),IF(ISNUMBER(A33),0,IF(ISLOGICAL(A33),IF(A33,-1,-2),IF(ISTEXT(A33),-3,-4))))</f>
        <v>7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94</v>
      </c>
    </row>
    <row r="34" spans="1:5" x14ac:dyDescent="0.2">
      <c r="A34" t="e" cm="1">
        <f t="array" ref="A34">_xlfn.XMATCH("a.b",Rp!A8,3)</f>
        <v>#N/A</v>
      </c>
      <c r="B34">
        <f t="shared" si="3"/>
        <v>7</v>
      </c>
      <c r="C34">
        <f t="shared" si="4"/>
        <v>0</v>
      </c>
      <c r="D34" t="str">
        <f t="shared" si="5"/>
        <v/>
      </c>
      <c r="E34" t="s">
        <v>95</v>
      </c>
    </row>
    <row r="35" spans="1:5" x14ac:dyDescent="0.2">
      <c r="A35" cm="1">
        <f t="array" ref="A35">_xlfn.XMATCH("(?s)a.b",Rp!A8,3)</f>
        <v>1</v>
      </c>
      <c r="B35">
        <f t="shared" si="3"/>
        <v>0</v>
      </c>
      <c r="C35">
        <f t="shared" si="4"/>
        <v>1</v>
      </c>
      <c r="D35" t="str">
        <f t="shared" si="5"/>
        <v/>
      </c>
      <c r="E35" t="s">
        <v>96</v>
      </c>
    </row>
    <row r="36" spans="1:5" x14ac:dyDescent="0.2">
      <c r="A36" t="e" cm="1">
        <f t="array" ref="A36">_xlfn.XMATCH("a..b",Rp!A9,3)</f>
        <v>#N/A</v>
      </c>
      <c r="B36">
        <f t="shared" si="3"/>
        <v>7</v>
      </c>
      <c r="C36">
        <f t="shared" si="4"/>
        <v>0</v>
      </c>
      <c r="D36" t="str">
        <f t="shared" si="5"/>
        <v/>
      </c>
      <c r="E36" t="s">
        <v>97</v>
      </c>
    </row>
    <row r="37" spans="1:5" x14ac:dyDescent="0.2">
      <c r="A37" t="e" cm="1">
        <f t="array" ref="A37">_xlfn.XMATCH("a.b",Rp!A23,3)</f>
        <v>#N/A</v>
      </c>
      <c r="B37">
        <f t="shared" si="3"/>
        <v>7</v>
      </c>
      <c r="C37">
        <f t="shared" si="4"/>
        <v>0</v>
      </c>
      <c r="D37" t="str">
        <f t="shared" si="5"/>
        <v/>
      </c>
      <c r="E37" t="s">
        <v>98</v>
      </c>
    </row>
    <row r="38" spans="1:5" x14ac:dyDescent="0.2">
      <c r="A38" cm="1">
        <f t="array" ref="A38">_xlfn.XMATCH("a\Rb",Rp!A9,3)</f>
        <v>1</v>
      </c>
      <c r="B38">
        <f t="shared" si="3"/>
        <v>0</v>
      </c>
      <c r="C38">
        <f t="shared" si="4"/>
        <v>1</v>
      </c>
      <c r="D38" t="str">
        <f t="shared" si="5"/>
        <v/>
      </c>
      <c r="E38" t="s">
        <v>99</v>
      </c>
    </row>
    <row r="39" spans="1:5" x14ac:dyDescent="0.2">
      <c r="A39" t="e" cm="1">
        <f t="array" ref="A39">_xlfn.XMATCH("a\Nb",Rp!A8,3)</f>
        <v>#N/A</v>
      </c>
      <c r="B39">
        <f t="shared" si="3"/>
        <v>7</v>
      </c>
      <c r="C39">
        <f t="shared" si="4"/>
        <v>0</v>
      </c>
      <c r="D39" t="str">
        <f t="shared" si="5"/>
        <v/>
      </c>
      <c r="E39" t="s">
        <v>100</v>
      </c>
    </row>
    <row r="40" spans="1:5" x14ac:dyDescent="0.2">
      <c r="A40" cm="1">
        <f t="array" ref="A40">_xlfn.XMATCH("^.$",Rp!A11,3)</f>
        <v>1</v>
      </c>
      <c r="B40">
        <f t="shared" si="3"/>
        <v>0</v>
      </c>
      <c r="C40">
        <f t="shared" si="4"/>
        <v>1</v>
      </c>
      <c r="D40" t="str">
        <f t="shared" si="5"/>
        <v/>
      </c>
      <c r="E40" t="s">
        <v>101</v>
      </c>
    </row>
    <row r="41" spans="1:5" x14ac:dyDescent="0.2">
      <c r="A41" t="e" cm="1">
        <f t="array" ref="A41">_xlfn.XMATCH("^..$",Rp!A11,3)</f>
        <v>#N/A</v>
      </c>
      <c r="B41">
        <f t="shared" si="3"/>
        <v>7</v>
      </c>
      <c r="C41">
        <f t="shared" si="4"/>
        <v>0</v>
      </c>
      <c r="D41" t="str">
        <f t="shared" si="5"/>
        <v/>
      </c>
      <c r="E41" t="s">
        <v>102</v>
      </c>
    </row>
    <row r="42" spans="1:5" x14ac:dyDescent="0.2">
      <c r="A42" cm="1">
        <f t="array" ref="A42">_xlfn.XMATCH("^\x{1F600}$",Rp!A11,3)</f>
        <v>1</v>
      </c>
      <c r="B42">
        <f t="shared" si="3"/>
        <v>0</v>
      </c>
      <c r="C42">
        <f t="shared" si="4"/>
        <v>1</v>
      </c>
      <c r="D42" t="str">
        <f t="shared" si="5"/>
        <v/>
      </c>
      <c r="E42" t="s">
        <v>103</v>
      </c>
    </row>
    <row r="43" spans="1:5" x14ac:dyDescent="0.2">
      <c r="A43" cm="1">
        <f t="array" ref="A43">_xlfn.XMATCH("^[😀]$",Rp!A11,3)</f>
        <v>1</v>
      </c>
      <c r="B43">
        <f t="shared" si="3"/>
        <v>0</v>
      </c>
      <c r="C43">
        <f t="shared" si="4"/>
        <v>1</v>
      </c>
      <c r="D43" t="str">
        <f t="shared" si="5"/>
        <v/>
      </c>
      <c r="E43" t="s">
        <v>104</v>
      </c>
    </row>
    <row r="44" spans="1:5" x14ac:dyDescent="0.2">
      <c r="A44" cm="1">
        <f t="array" ref="A44">_xlfn.XMATCH("^\X$",Rp!A30,3)</f>
        <v>1</v>
      </c>
      <c r="B44">
        <f t="shared" si="3"/>
        <v>0</v>
      </c>
      <c r="C44">
        <f t="shared" si="4"/>
        <v>1</v>
      </c>
      <c r="D44" t="str">
        <f t="shared" si="5"/>
        <v/>
      </c>
      <c r="E44" t="s">
        <v>105</v>
      </c>
    </row>
    <row r="45" spans="1:5" x14ac:dyDescent="0.2">
      <c r="A45" t="e" cm="1">
        <f t="array" ref="A45">_xlfn.XMATCH("^.$",Rp!A30,3)</f>
        <v>#N/A</v>
      </c>
      <c r="B45">
        <f t="shared" si="3"/>
        <v>7</v>
      </c>
      <c r="C45">
        <f t="shared" si="4"/>
        <v>0</v>
      </c>
      <c r="D45" t="str">
        <f t="shared" si="5"/>
        <v/>
      </c>
      <c r="E45" t="s">
        <v>106</v>
      </c>
    </row>
    <row r="46" spans="1:5" x14ac:dyDescent="0.2">
      <c r="A46" cm="1">
        <f t="array" ref="A46">_xlfn.XMATCH("a{2}",Rp!A2,3)</f>
        <v>1</v>
      </c>
      <c r="B46">
        <f t="shared" si="3"/>
        <v>0</v>
      </c>
      <c r="C46">
        <f t="shared" si="4"/>
        <v>1</v>
      </c>
      <c r="D46" t="str">
        <f t="shared" si="5"/>
        <v/>
      </c>
      <c r="E46" t="s">
        <v>107</v>
      </c>
    </row>
    <row r="47" spans="1:5" x14ac:dyDescent="0.2">
      <c r="A47" cm="1">
        <f t="array" ref="A47">_xlfn.XMATCH("^a{,2}$",Rp!A24,3)</f>
        <v>1</v>
      </c>
      <c r="B47">
        <f t="shared" si="3"/>
        <v>0</v>
      </c>
      <c r="C47">
        <f t="shared" si="4"/>
        <v>1</v>
      </c>
      <c r="D47" t="str">
        <f t="shared" si="5"/>
        <v/>
      </c>
      <c r="E47" t="s">
        <v>108</v>
      </c>
    </row>
    <row r="48" spans="1:5" x14ac:dyDescent="0.2">
      <c r="A48" t="e" cm="1">
        <f t="array" ref="A48">_xlfn.XMATCH("^a{,2}$",Rp!A18,3)</f>
        <v>#N/A</v>
      </c>
      <c r="B48">
        <f t="shared" si="3"/>
        <v>7</v>
      </c>
      <c r="C48">
        <f t="shared" si="4"/>
        <v>0</v>
      </c>
      <c r="D48" t="str">
        <f t="shared" si="5"/>
        <v/>
      </c>
      <c r="E48" t="s">
        <v>109</v>
      </c>
    </row>
    <row r="49" spans="1:5" x14ac:dyDescent="0.2">
      <c r="A49" cm="1">
        <f t="array" ref="A49">_xlfn.XMATCH("a+?",Rp!A2,3)</f>
        <v>1</v>
      </c>
      <c r="B49">
        <f t="shared" si="3"/>
        <v>0</v>
      </c>
      <c r="C49">
        <f t="shared" si="4"/>
        <v>1</v>
      </c>
      <c r="D49" t="str">
        <f t="shared" si="5"/>
        <v/>
      </c>
      <c r="E49" t="s">
        <v>110</v>
      </c>
    </row>
    <row r="50" spans="1:5" x14ac:dyDescent="0.2">
      <c r="A50" t="e" cm="1">
        <f t="array" ref="A50">_xlfn.XMATCH("a++b",Rp!A2,3)</f>
        <v>#N/A</v>
      </c>
      <c r="B50">
        <f t="shared" si="3"/>
        <v>7</v>
      </c>
      <c r="C50">
        <f t="shared" si="4"/>
        <v>0</v>
      </c>
      <c r="D50" t="str">
        <f t="shared" si="5"/>
        <v/>
      </c>
      <c r="E50" t="s">
        <v>111</v>
      </c>
    </row>
    <row r="51" spans="1:5" x14ac:dyDescent="0.2">
      <c r="A51" t="e" cm="1">
        <f t="array" ref="A51">_xlfn.XMATCH("^a*+a",Rp!A2,3)</f>
        <v>#N/A</v>
      </c>
      <c r="B51">
        <f t="shared" si="3"/>
        <v>7</v>
      </c>
      <c r="C51">
        <f t="shared" si="4"/>
        <v>0</v>
      </c>
      <c r="D51" t="str">
        <f t="shared" si="5"/>
        <v/>
      </c>
      <c r="E51" t="s">
        <v>112</v>
      </c>
    </row>
    <row r="52" spans="1:5" x14ac:dyDescent="0.2">
      <c r="A52" cm="1">
        <f t="array" ref="A52">_xlfn.XMATCH("^a*a",Rp!A2,3)</f>
        <v>1</v>
      </c>
      <c r="B52">
        <f t="shared" si="3"/>
        <v>0</v>
      </c>
      <c r="C52">
        <f t="shared" si="4"/>
        <v>1</v>
      </c>
      <c r="D52" t="str">
        <f t="shared" si="5"/>
        <v/>
      </c>
      <c r="E52" t="s">
        <v>113</v>
      </c>
    </row>
    <row r="53" spans="1:5" x14ac:dyDescent="0.2">
      <c r="A53" cm="1">
        <f t="array" ref="A53">_xlfn.XMATCH("a{",Rp!A31,3)</f>
        <v>1</v>
      </c>
      <c r="B53">
        <f t="shared" si="3"/>
        <v>0</v>
      </c>
      <c r="C53">
        <f t="shared" si="4"/>
        <v>1</v>
      </c>
      <c r="D53" t="str">
        <f t="shared" si="5"/>
        <v/>
      </c>
      <c r="E53" t="s">
        <v>114</v>
      </c>
    </row>
    <row r="54" spans="1:5" x14ac:dyDescent="0.2">
      <c r="A54" t="e" cm="1" vm="2">
        <f t="array" ref="A54">_xlfn.XMATCH("a{2,1}",Rp!A2,3)</f>
        <v>#VALUE!</v>
      </c>
      <c r="B54">
        <f t="shared" si="3"/>
        <v>3</v>
      </c>
      <c r="C54">
        <f t="shared" si="4"/>
        <v>0</v>
      </c>
      <c r="D54" t="str">
        <f t="shared" si="5"/>
        <v/>
      </c>
      <c r="E54" t="s">
        <v>115</v>
      </c>
    </row>
    <row r="55" spans="1:5" x14ac:dyDescent="0.2">
      <c r="A55" t="e" cm="1">
        <f t="array" ref="A55">_xlfn.XMATCH("(?&gt;a+)a",Rp!A2,3)</f>
        <v>#N/A</v>
      </c>
      <c r="B55">
        <f t="shared" si="3"/>
        <v>7</v>
      </c>
      <c r="C55">
        <f t="shared" si="4"/>
        <v>0</v>
      </c>
      <c r="D55" t="str">
        <f t="shared" si="5"/>
        <v/>
      </c>
      <c r="E55" t="s">
        <v>116</v>
      </c>
    </row>
    <row r="56" spans="1:5" x14ac:dyDescent="0.2">
      <c r="A56" t="e" cm="1" vm="3">
        <f t="array" ref="A56">_xlfn.XMATCH("a**",Rp!A2,3)</f>
        <v>#VALUE!</v>
      </c>
      <c r="B56">
        <f t="shared" si="3"/>
        <v>3</v>
      </c>
      <c r="C56">
        <f t="shared" si="4"/>
        <v>0</v>
      </c>
      <c r="D56" t="str">
        <f t="shared" si="5"/>
        <v/>
      </c>
      <c r="E56" t="s">
        <v>117</v>
      </c>
    </row>
    <row r="57" spans="1:5" x14ac:dyDescent="0.2">
      <c r="A57" t="e" cm="1" vm="3">
        <f t="array" ref="A57">_xlfn.XMATCH("a{2}{2}",Rp!A2,3)</f>
        <v>#VALUE!</v>
      </c>
      <c r="B57">
        <f t="shared" si="3"/>
        <v>3</v>
      </c>
      <c r="C57">
        <f t="shared" si="4"/>
        <v>0</v>
      </c>
      <c r="D57" t="str">
        <f t="shared" si="5"/>
        <v/>
      </c>
      <c r="E57" t="s">
        <v>118</v>
      </c>
    </row>
    <row r="58" spans="1:5" x14ac:dyDescent="0.2">
      <c r="A58" cm="1">
        <f t="array" ref="A58">_xlfn.XMATCH("^a?+a",Rp!A24,3)</f>
        <v>1</v>
      </c>
      <c r="B58">
        <f t="shared" si="3"/>
        <v>0</v>
      </c>
      <c r="C58">
        <f t="shared" si="4"/>
        <v>1</v>
      </c>
      <c r="D58" t="str">
        <f t="shared" si="5"/>
        <v/>
      </c>
      <c r="E58" t="s">
        <v>119</v>
      </c>
    </row>
    <row r="59" spans="1:5" x14ac:dyDescent="0.2">
      <c r="A59" cm="1">
        <f t="array" ref="A59">_xlfn.XMATCH("(?U)^a+$",Rp!A2,3)</f>
        <v>1</v>
      </c>
      <c r="B59">
        <f t="shared" si="3"/>
        <v>0</v>
      </c>
      <c r="C59">
        <f t="shared" si="4"/>
        <v>1</v>
      </c>
      <c r="D59" t="str">
        <f t="shared" si="5"/>
        <v/>
      </c>
      <c r="E59" t="s">
        <v>120</v>
      </c>
    </row>
    <row r="60" spans="1:5" x14ac:dyDescent="0.2">
      <c r="A60" cm="1">
        <f t="array" ref="A60">_xlfn.XMATCH("(a)\1",Rp!A2,3)</f>
        <v>1</v>
      </c>
      <c r="B60">
        <f t="shared" si="3"/>
        <v>0</v>
      </c>
      <c r="C60">
        <f t="shared" si="4"/>
        <v>1</v>
      </c>
      <c r="D60" t="str">
        <f t="shared" si="5"/>
        <v/>
      </c>
      <c r="E60" t="s">
        <v>121</v>
      </c>
    </row>
    <row r="61" spans="1:5" x14ac:dyDescent="0.2">
      <c r="A61" cm="1">
        <f t="array" ref="A61">_xlfn.XMATCH("(?&lt;x&gt;a)\k&lt;x&gt;",Rp!A2,3)</f>
        <v>1</v>
      </c>
      <c r="B61">
        <f t="shared" si="3"/>
        <v>0</v>
      </c>
      <c r="C61">
        <f t="shared" si="4"/>
        <v>1</v>
      </c>
      <c r="D61" t="str">
        <f t="shared" si="5"/>
        <v/>
      </c>
      <c r="E61" t="s">
        <v>122</v>
      </c>
    </row>
    <row r="62" spans="1:5" x14ac:dyDescent="0.2">
      <c r="A62" cm="1">
        <f t="array" ref="A62">_xlfn.XMATCH("(?'x'a)\k'x'",Rp!A2,3)</f>
        <v>1</v>
      </c>
      <c r="B62">
        <f t="shared" si="3"/>
        <v>0</v>
      </c>
      <c r="C62">
        <f t="shared" si="4"/>
        <v>1</v>
      </c>
      <c r="D62" t="str">
        <f t="shared" si="5"/>
        <v/>
      </c>
      <c r="E62" t="s">
        <v>123</v>
      </c>
    </row>
    <row r="63" spans="1:5" x14ac:dyDescent="0.2">
      <c r="A63" cm="1">
        <f t="array" ref="A63">_xlfn.XMATCH("(?P&lt;x&gt;a)(?P=x)",Rp!A2,3)</f>
        <v>1</v>
      </c>
      <c r="B63">
        <f t="shared" si="3"/>
        <v>0</v>
      </c>
      <c r="C63">
        <f t="shared" si="4"/>
        <v>1</v>
      </c>
      <c r="D63" t="str">
        <f t="shared" si="5"/>
        <v/>
      </c>
      <c r="E63" t="s">
        <v>124</v>
      </c>
    </row>
    <row r="64" spans="1:5" x14ac:dyDescent="0.2">
      <c r="A64" cm="1">
        <f t="array" ref="A64">_xlfn.XMATCH("(a)\g{-1}",Rp!A2,3)</f>
        <v>1</v>
      </c>
      <c r="B64">
        <f t="shared" si="3"/>
        <v>0</v>
      </c>
      <c r="C64">
        <f t="shared" si="4"/>
        <v>1</v>
      </c>
      <c r="D64" t="str">
        <f t="shared" si="5"/>
        <v/>
      </c>
      <c r="E64" t="s">
        <v>125</v>
      </c>
    </row>
    <row r="65" spans="1:5" x14ac:dyDescent="0.2">
      <c r="A65" cm="1">
        <f t="array" ref="A65">_xlfn.XMATCH("(a)\g1",Rp!A2,3)</f>
        <v>1</v>
      </c>
      <c r="B65">
        <f t="shared" ref="B65:B96" si="6">IF(ISERROR(A65),ERROR.TYPE(A65),IF(ISNUMBER(A65),0,IF(ISLOGICAL(A65),IF(A65,-1,-2),IF(ISTEXT(A65),-3,-4))))</f>
        <v>0</v>
      </c>
      <c r="C65">
        <f t="shared" ref="C65:C96" si="7">IF(ISNUMBER(A65),A65,0)</f>
        <v>1</v>
      </c>
      <c r="D65" t="str">
        <f t="shared" ref="D65:D96" si="8">IF(ISTEXT(A65),A65,"")</f>
        <v/>
      </c>
      <c r="E65" t="s">
        <v>126</v>
      </c>
    </row>
    <row r="66" spans="1:5" x14ac:dyDescent="0.2">
      <c r="A66" cm="1">
        <f t="array" ref="A66">_xlfn.XMATCH("(?&lt;x&gt;a)\k{x}",Rp!A2,3)</f>
        <v>1</v>
      </c>
      <c r="B66">
        <f t="shared" si="6"/>
        <v>0</v>
      </c>
      <c r="C66">
        <f t="shared" si="7"/>
        <v>1</v>
      </c>
      <c r="D66" t="str">
        <f t="shared" si="8"/>
        <v/>
      </c>
      <c r="E66" t="s">
        <v>127</v>
      </c>
    </row>
    <row r="67" spans="1:5" x14ac:dyDescent="0.2">
      <c r="A67" cm="1">
        <f t="array" ref="A67">_xlfn.XMATCH("^(?|(a)|(b))\1$",Rp!A25,3)</f>
        <v>1</v>
      </c>
      <c r="B67">
        <f t="shared" si="6"/>
        <v>0</v>
      </c>
      <c r="C67">
        <f t="shared" si="7"/>
        <v>1</v>
      </c>
      <c r="D67" t="str">
        <f t="shared" si="8"/>
        <v/>
      </c>
      <c r="E67" t="s">
        <v>128</v>
      </c>
    </row>
    <row r="68" spans="1:5" x14ac:dyDescent="0.2">
      <c r="A68" cm="1">
        <f t="array" ref="A68">_xlfn.XMATCH("^(ab){2}$",Rp!A16,3)</f>
        <v>1</v>
      </c>
      <c r="B68">
        <f t="shared" si="6"/>
        <v>0</v>
      </c>
      <c r="C68">
        <f t="shared" si="7"/>
        <v>1</v>
      </c>
      <c r="D68" t="str">
        <f t="shared" si="8"/>
        <v/>
      </c>
      <c r="E68" t="s">
        <v>129</v>
      </c>
    </row>
    <row r="69" spans="1:5" x14ac:dyDescent="0.2">
      <c r="A69" t="e" cm="1" vm="4">
        <f t="array" ref="A69">_xlfn.XMATCH("(?&lt;x&gt;a)|(?&lt;x&gt;b)",Rp!A1,3)</f>
        <v>#VALUE!</v>
      </c>
      <c r="B69">
        <f t="shared" si="6"/>
        <v>3</v>
      </c>
      <c r="C69">
        <f t="shared" si="7"/>
        <v>0</v>
      </c>
      <c r="D69" t="str">
        <f t="shared" si="8"/>
        <v/>
      </c>
      <c r="E69" t="s">
        <v>130</v>
      </c>
    </row>
    <row r="70" spans="1:5" x14ac:dyDescent="0.2">
      <c r="A70" cm="1">
        <f t="array" ref="A70">_xlfn.XMATCH("(?J)(?&lt;x&gt;a)|(?&lt;x&gt;b)",Rp!A1,3)</f>
        <v>1</v>
      </c>
      <c r="B70">
        <f t="shared" si="6"/>
        <v>0</v>
      </c>
      <c r="C70">
        <f t="shared" si="7"/>
        <v>1</v>
      </c>
      <c r="D70" t="str">
        <f t="shared" si="8"/>
        <v/>
      </c>
      <c r="E70" t="s">
        <v>131</v>
      </c>
    </row>
    <row r="71" spans="1:5" x14ac:dyDescent="0.2">
      <c r="A71" t="e" cm="1" vm="5">
        <f t="array" ref="A71">_xlfn.XMATCH("(a)\2",Rp!A2,3)</f>
        <v>#VALUE!</v>
      </c>
      <c r="B71">
        <f t="shared" si="6"/>
        <v>3</v>
      </c>
      <c r="C71">
        <f t="shared" si="7"/>
        <v>0</v>
      </c>
      <c r="D71" t="str">
        <f t="shared" si="8"/>
        <v/>
      </c>
      <c r="E71" t="s">
        <v>132</v>
      </c>
    </row>
    <row r="72" spans="1:5" x14ac:dyDescent="0.2">
      <c r="A72" t="e" cm="1" vm="5">
        <f t="array" ref="A72">_xlfn.XMATCH("(?n)(a)\1",Rp!A2,3)</f>
        <v>#VALUE!</v>
      </c>
      <c r="B72">
        <f t="shared" si="6"/>
        <v>3</v>
      </c>
      <c r="C72">
        <f t="shared" si="7"/>
        <v>0</v>
      </c>
      <c r="D72" t="str">
        <f t="shared" si="8"/>
        <v/>
      </c>
      <c r="E72" t="s">
        <v>133</v>
      </c>
    </row>
    <row r="73" spans="1:5" x14ac:dyDescent="0.2">
      <c r="A73" cm="1">
        <f t="array" ref="A73">_xlfn.XMATCH("(?#note)abc",Rp!A1,3)</f>
        <v>1</v>
      </c>
      <c r="B73">
        <f t="shared" si="6"/>
        <v>0</v>
      </c>
      <c r="C73">
        <f t="shared" si="7"/>
        <v>1</v>
      </c>
      <c r="D73" t="str">
        <f t="shared" si="8"/>
        <v/>
      </c>
      <c r="E73" t="s">
        <v>134</v>
      </c>
    </row>
    <row r="74" spans="1:5" x14ac:dyDescent="0.2">
      <c r="A74" cm="1">
        <f t="array" ref="A74">_xlfn.XMATCH("a|",Rp!A27,3)</f>
        <v>1</v>
      </c>
      <c r="B74">
        <f t="shared" si="6"/>
        <v>0</v>
      </c>
      <c r="C74">
        <f t="shared" si="7"/>
        <v>1</v>
      </c>
      <c r="D74" t="str">
        <f t="shared" si="8"/>
        <v/>
      </c>
      <c r="E74" t="s">
        <v>135</v>
      </c>
    </row>
    <row r="75" spans="1:5" x14ac:dyDescent="0.2">
      <c r="A75" cm="1">
        <f t="array" ref="A75">_xlfn.XMATCH("a(?=b)",Rp!A1,3)</f>
        <v>1</v>
      </c>
      <c r="B75">
        <f t="shared" si="6"/>
        <v>0</v>
      </c>
      <c r="C75">
        <f t="shared" si="7"/>
        <v>1</v>
      </c>
      <c r="D75" t="str">
        <f t="shared" si="8"/>
        <v/>
      </c>
      <c r="E75" t="s">
        <v>136</v>
      </c>
    </row>
    <row r="76" spans="1:5" x14ac:dyDescent="0.2">
      <c r="A76" t="e" cm="1">
        <f t="array" ref="A76">_xlfn.XMATCH("a(?!b)",Rp!A1,3)</f>
        <v>#N/A</v>
      </c>
      <c r="B76">
        <f t="shared" si="6"/>
        <v>7</v>
      </c>
      <c r="C76">
        <f t="shared" si="7"/>
        <v>0</v>
      </c>
      <c r="D76" t="str">
        <f t="shared" si="8"/>
        <v/>
      </c>
      <c r="E76" t="s">
        <v>137</v>
      </c>
    </row>
    <row r="77" spans="1:5" x14ac:dyDescent="0.2">
      <c r="A77" cm="1">
        <f t="array" ref="A77">_xlfn.XMATCH("(?&lt;=a)b",Rp!A1,3)</f>
        <v>1</v>
      </c>
      <c r="B77">
        <f t="shared" si="6"/>
        <v>0</v>
      </c>
      <c r="C77">
        <f t="shared" si="7"/>
        <v>1</v>
      </c>
      <c r="D77" t="str">
        <f t="shared" si="8"/>
        <v/>
      </c>
      <c r="E77" t="s">
        <v>138</v>
      </c>
    </row>
    <row r="78" spans="1:5" x14ac:dyDescent="0.2">
      <c r="A78" t="e" cm="1">
        <f t="array" ref="A78">_xlfn.XMATCH("(?&lt;!a)b",Rp!A1,3)</f>
        <v>#N/A</v>
      </c>
      <c r="B78">
        <f t="shared" si="6"/>
        <v>7</v>
      </c>
      <c r="C78">
        <f t="shared" si="7"/>
        <v>0</v>
      </c>
      <c r="D78" t="str">
        <f t="shared" si="8"/>
        <v/>
      </c>
      <c r="E78" t="s">
        <v>139</v>
      </c>
    </row>
    <row r="79" spans="1:5" x14ac:dyDescent="0.2">
      <c r="A79" cm="1">
        <f t="array" ref="A79">_xlfn.XMATCH("(?&lt;=ab|c)c",Rp!A1,3)</f>
        <v>1</v>
      </c>
      <c r="B79">
        <f t="shared" si="6"/>
        <v>0</v>
      </c>
      <c r="C79">
        <f t="shared" si="7"/>
        <v>1</v>
      </c>
      <c r="D79" t="str">
        <f t="shared" si="8"/>
        <v/>
      </c>
      <c r="E79" t="s">
        <v>140</v>
      </c>
    </row>
    <row r="80" spans="1:5" x14ac:dyDescent="0.2">
      <c r="A80" t="e" cm="1" vm="6">
        <f t="array" ref="A80">_xlfn.XMATCH("(?&lt;=a+)b",Rp!A1,3)</f>
        <v>#VALUE!</v>
      </c>
      <c r="B80">
        <f t="shared" si="6"/>
        <v>3</v>
      </c>
      <c r="C80">
        <f t="shared" si="7"/>
        <v>0</v>
      </c>
      <c r="D80" t="str">
        <f t="shared" si="8"/>
        <v/>
      </c>
      <c r="E80" t="s">
        <v>141</v>
      </c>
    </row>
    <row r="81" spans="1:5" x14ac:dyDescent="0.2">
      <c r="A81" cm="1">
        <f t="array" ref="A81">_xlfn.XMATCH("(?&lt;=a(?=b))b",Rp!A1,3)</f>
        <v>1</v>
      </c>
      <c r="B81">
        <f t="shared" si="6"/>
        <v>0</v>
      </c>
      <c r="C81">
        <f t="shared" si="7"/>
        <v>1</v>
      </c>
      <c r="D81" t="str">
        <f t="shared" si="8"/>
        <v/>
      </c>
      <c r="E81" t="s">
        <v>142</v>
      </c>
    </row>
    <row r="82" spans="1:5" x14ac:dyDescent="0.2">
      <c r="A82" cm="1">
        <f t="array" ref="A82">_xlfn.XMATCH("a(?i)BC",Rp!A1,3)</f>
        <v>1</v>
      </c>
      <c r="B82">
        <f t="shared" si="6"/>
        <v>0</v>
      </c>
      <c r="C82">
        <f t="shared" si="7"/>
        <v>1</v>
      </c>
      <c r="D82" t="str">
        <f t="shared" si="8"/>
        <v/>
      </c>
      <c r="E82" t="s">
        <v>143</v>
      </c>
    </row>
    <row r="83" spans="1:5" x14ac:dyDescent="0.2">
      <c r="A83" cm="1">
        <f t="array" ref="A83">_xlfn.XMATCH("a(?i:B)c",Rp!A1,3)</f>
        <v>1</v>
      </c>
      <c r="B83">
        <f t="shared" si="6"/>
        <v>0</v>
      </c>
      <c r="C83">
        <f t="shared" si="7"/>
        <v>1</v>
      </c>
      <c r="D83" t="str">
        <f t="shared" si="8"/>
        <v/>
      </c>
      <c r="E83" t="s">
        <v>144</v>
      </c>
    </row>
    <row r="84" spans="1:5" x14ac:dyDescent="0.2">
      <c r="A84" t="e" cm="1">
        <f t="array" ref="A84">_xlfn.XMATCH("(?i)a(?-i)B",Rp!A1,3)</f>
        <v>#N/A</v>
      </c>
      <c r="B84">
        <f t="shared" si="6"/>
        <v>7</v>
      </c>
      <c r="C84">
        <f t="shared" si="7"/>
        <v>0</v>
      </c>
      <c r="D84" t="str">
        <f t="shared" si="8"/>
        <v/>
      </c>
      <c r="E84" t="s">
        <v>145</v>
      </c>
    </row>
    <row r="85" spans="1:5" x14ac:dyDescent="0.2">
      <c r="A85" cm="1">
        <f t="array" ref="A85">_xlfn.XMATCH("(?i)ä",Rp!A12,3)</f>
        <v>1</v>
      </c>
      <c r="B85">
        <f t="shared" si="6"/>
        <v>0</v>
      </c>
      <c r="C85">
        <f t="shared" si="7"/>
        <v>1</v>
      </c>
      <c r="D85" t="str">
        <f t="shared" si="8"/>
        <v/>
      </c>
      <c r="E85" t="s">
        <v>146</v>
      </c>
    </row>
    <row r="86" spans="1:5" x14ac:dyDescent="0.2">
      <c r="A86" cm="1">
        <f t="array" ref="A86">_xlfn.XMATCH("(?i)д",Rp!A13,3)</f>
        <v>1</v>
      </c>
      <c r="B86">
        <f t="shared" si="6"/>
        <v>0</v>
      </c>
      <c r="C86">
        <f t="shared" si="7"/>
        <v>1</v>
      </c>
      <c r="D86" t="str">
        <f t="shared" si="8"/>
        <v/>
      </c>
      <c r="E86" t="s">
        <v>147</v>
      </c>
    </row>
    <row r="87" spans="1:5" x14ac:dyDescent="0.2">
      <c r="A87" cm="1">
        <f t="array" ref="A87">_xlfn.XMATCH("(?i)k",Rp!A14,3)</f>
        <v>1</v>
      </c>
      <c r="B87">
        <f t="shared" si="6"/>
        <v>0</v>
      </c>
      <c r="C87">
        <f t="shared" si="7"/>
        <v>1</v>
      </c>
      <c r="D87" t="str">
        <f t="shared" si="8"/>
        <v/>
      </c>
      <c r="E87" t="s">
        <v>148</v>
      </c>
    </row>
    <row r="88" spans="1:5" x14ac:dyDescent="0.2">
      <c r="A88" cm="1">
        <f t="array" ref="A88">_xlfn.XMATCH("^(a(?i)b|c)$",Rp!A28,3)</f>
        <v>1</v>
      </c>
      <c r="B88">
        <f t="shared" si="6"/>
        <v>0</v>
      </c>
      <c r="C88">
        <f t="shared" si="7"/>
        <v>1</v>
      </c>
      <c r="D88" t="str">
        <f t="shared" si="8"/>
        <v/>
      </c>
      <c r="E88" t="s">
        <v>149</v>
      </c>
    </row>
    <row r="89" spans="1:5" x14ac:dyDescent="0.2">
      <c r="A89" cm="1">
        <f t="array" ref="A89">_xlfn.XMATCH("(?x)a b c",Rp!A1,3)</f>
        <v>1</v>
      </c>
      <c r="B89">
        <f t="shared" si="6"/>
        <v>0</v>
      </c>
      <c r="C89">
        <f t="shared" si="7"/>
        <v>1</v>
      </c>
      <c r="D89" t="str">
        <f t="shared" si="8"/>
        <v/>
      </c>
      <c r="E89" t="s">
        <v>150</v>
      </c>
    </row>
    <row r="90" spans="1:5" x14ac:dyDescent="0.2">
      <c r="A90" cm="1">
        <f t="array" ref="A90">_xlfn.XMATCH("(?x)x\ y",Rp!A19,3)</f>
        <v>1</v>
      </c>
      <c r="B90">
        <f t="shared" si="6"/>
        <v>0</v>
      </c>
      <c r="C90">
        <f t="shared" si="7"/>
        <v>1</v>
      </c>
      <c r="D90" t="str">
        <f t="shared" si="8"/>
        <v/>
      </c>
      <c r="E90" t="s">
        <v>151</v>
      </c>
    </row>
    <row r="91" spans="1:5" x14ac:dyDescent="0.2">
      <c r="A91" cm="1">
        <f t="array" ref="A91">_xlfn.XMATCH("(?x)ab#c",Rp!A1,3)</f>
        <v>1</v>
      </c>
      <c r="B91">
        <f t="shared" si="6"/>
        <v>0</v>
      </c>
      <c r="C91">
        <f t="shared" si="7"/>
        <v>1</v>
      </c>
      <c r="D91" t="str">
        <f t="shared" si="8"/>
        <v/>
      </c>
      <c r="E91" t="s">
        <v>152</v>
      </c>
    </row>
    <row r="92" spans="1:5" x14ac:dyDescent="0.2">
      <c r="A92" cm="1">
        <f t="array" ref="A92">_xlfn.XMATCH("\Qa.b*c\E",Rp!A15,3)</f>
        <v>1</v>
      </c>
      <c r="B92">
        <f t="shared" si="6"/>
        <v>0</v>
      </c>
      <c r="C92">
        <f t="shared" si="7"/>
        <v>1</v>
      </c>
      <c r="D92" t="str">
        <f t="shared" si="8"/>
        <v/>
      </c>
      <c r="E92" t="s">
        <v>153</v>
      </c>
    </row>
    <row r="93" spans="1:5" x14ac:dyDescent="0.2">
      <c r="A93" t="e" cm="1">
        <f t="array" ref="A93">_xlfn.XMATCH("\Q.\E",Rp!A1,3)</f>
        <v>#N/A</v>
      </c>
      <c r="B93">
        <f t="shared" si="6"/>
        <v>7</v>
      </c>
      <c r="C93">
        <f t="shared" si="7"/>
        <v>0</v>
      </c>
      <c r="D93" t="str">
        <f t="shared" si="8"/>
        <v/>
      </c>
      <c r="E93" t="s">
        <v>154</v>
      </c>
    </row>
    <row r="94" spans="1:5" x14ac:dyDescent="0.2">
      <c r="A94" cm="1">
        <f t="array" ref="A94">_xlfn.XMATCH("(*UCP)\d",Rp!A6,3)</f>
        <v>1</v>
      </c>
      <c r="B94">
        <f t="shared" si="6"/>
        <v>0</v>
      </c>
      <c r="C94">
        <f t="shared" si="7"/>
        <v>1</v>
      </c>
      <c r="D94" t="str">
        <f t="shared" si="8"/>
        <v/>
      </c>
      <c r="E94" t="s">
        <v>155</v>
      </c>
    </row>
    <row r="95" spans="1:5" x14ac:dyDescent="0.2">
      <c r="A95" cm="1">
        <f t="array" ref="A95">_xlfn.XMATCH("(*UTF)^.$",Rp!A11,3)</f>
        <v>1</v>
      </c>
      <c r="B95">
        <f t="shared" si="6"/>
        <v>0</v>
      </c>
      <c r="C95">
        <f t="shared" si="7"/>
        <v>1</v>
      </c>
      <c r="D95" t="str">
        <f t="shared" si="8"/>
        <v/>
      </c>
      <c r="E95" t="s">
        <v>156</v>
      </c>
    </row>
    <row r="96" spans="1:5" x14ac:dyDescent="0.2">
      <c r="A96" t="e" cm="1">
        <f t="array" ref="A96">_xlfn.XMATCH("(*CR)a.b",Rp!A23,3)</f>
        <v>#N/A</v>
      </c>
      <c r="B96">
        <f t="shared" si="6"/>
        <v>7</v>
      </c>
      <c r="C96">
        <f t="shared" si="7"/>
        <v>0</v>
      </c>
      <c r="D96" t="str">
        <f t="shared" si="8"/>
        <v/>
      </c>
      <c r="E96" t="s">
        <v>157</v>
      </c>
    </row>
    <row r="97" spans="1:5" x14ac:dyDescent="0.2">
      <c r="A97" cm="1">
        <f t="array" ref="A97">_xlfn.XMATCH("(*CRLF)(?m)a$",Rp!A9,3)</f>
        <v>1</v>
      </c>
      <c r="B97">
        <f t="shared" ref="B97:B128" si="9">IF(ISERROR(A97),ERROR.TYPE(A97),IF(ISNUMBER(A97),0,IF(ISLOGICAL(A97),IF(A97,-1,-2),IF(ISTEXT(A97),-3,-4))))</f>
        <v>0</v>
      </c>
      <c r="C97">
        <f t="shared" ref="C97:C129" si="10">IF(ISNUMBER(A97),A97,0)</f>
        <v>1</v>
      </c>
      <c r="D97" t="str">
        <f t="shared" ref="D97:D129" si="11">IF(ISTEXT(A97),A97,"")</f>
        <v/>
      </c>
      <c r="E97" t="s">
        <v>158</v>
      </c>
    </row>
    <row r="98" spans="1:5" x14ac:dyDescent="0.2">
      <c r="A98" cm="1">
        <f t="array" ref="A98">_xlfn.XMATCH("(?xx)[a b]+c",Rp!A1,3)</f>
        <v>1</v>
      </c>
      <c r="B98">
        <f t="shared" si="9"/>
        <v>0</v>
      </c>
      <c r="C98">
        <f t="shared" si="10"/>
        <v>1</v>
      </c>
      <c r="D98" t="str">
        <f t="shared" si="11"/>
        <v/>
      </c>
      <c r="E98" t="s">
        <v>159</v>
      </c>
    </row>
    <row r="99" spans="1:5" x14ac:dyDescent="0.2">
      <c r="A99" cm="1">
        <f t="array" ref="A99">_xlfn.XMATCH("\((?:[^()]|(?R))*\)",Rp!A17,3)</f>
        <v>1</v>
      </c>
      <c r="B99">
        <f t="shared" si="9"/>
        <v>0</v>
      </c>
      <c r="C99">
        <f t="shared" si="10"/>
        <v>1</v>
      </c>
      <c r="D99" t="str">
        <f t="shared" si="11"/>
        <v/>
      </c>
      <c r="E99" t="s">
        <v>160</v>
      </c>
    </row>
    <row r="100" spans="1:5" x14ac:dyDescent="0.2">
      <c r="A100" cm="1">
        <f t="array" ref="A100">_xlfn.XMATCH("^(\((?:[^()]|(?1))*\))$",Rp!A17,3)</f>
        <v>1</v>
      </c>
      <c r="B100">
        <f t="shared" si="9"/>
        <v>0</v>
      </c>
      <c r="C100">
        <f t="shared" si="10"/>
        <v>1</v>
      </c>
      <c r="D100" t="str">
        <f t="shared" si="11"/>
        <v/>
      </c>
      <c r="E100" t="s">
        <v>161</v>
      </c>
    </row>
    <row r="101" spans="1:5" x14ac:dyDescent="0.2">
      <c r="A101" cm="1">
        <f t="array" ref="A101">_xlfn.XMATCH("^(?&lt;p&gt;\((?:[^()]|(?&amp;p))*\))$",Rp!A17,3)</f>
        <v>1</v>
      </c>
      <c r="B101">
        <f t="shared" si="9"/>
        <v>0</v>
      </c>
      <c r="C101">
        <f t="shared" si="10"/>
        <v>1</v>
      </c>
      <c r="D101" t="str">
        <f t="shared" si="11"/>
        <v/>
      </c>
      <c r="E101" t="s">
        <v>162</v>
      </c>
    </row>
    <row r="102" spans="1:5" x14ac:dyDescent="0.2">
      <c r="A102" cm="1">
        <f t="array" ref="A102">_xlfn.XMATCH("^(?P&lt;p&gt;\((?:[^()]|(?P&gt;p))*\))$",Rp!A17,3)</f>
        <v>1</v>
      </c>
      <c r="B102">
        <f t="shared" si="9"/>
        <v>0</v>
      </c>
      <c r="C102">
        <f t="shared" si="10"/>
        <v>1</v>
      </c>
      <c r="D102" t="str">
        <f t="shared" si="11"/>
        <v/>
      </c>
      <c r="E102" t="s">
        <v>163</v>
      </c>
    </row>
    <row r="103" spans="1:5" x14ac:dyDescent="0.2">
      <c r="A103" cm="1">
        <f t="array" ref="A103">_xlfn.XMATCH("^(\((?:[^()]|\g&lt;1&gt;)*\))$",Rp!A17,3)</f>
        <v>1</v>
      </c>
      <c r="B103">
        <f t="shared" si="9"/>
        <v>0</v>
      </c>
      <c r="C103">
        <f t="shared" si="10"/>
        <v>1</v>
      </c>
      <c r="D103" t="str">
        <f t="shared" si="11"/>
        <v/>
      </c>
      <c r="E103" t="s">
        <v>164</v>
      </c>
    </row>
    <row r="104" spans="1:5" x14ac:dyDescent="0.2">
      <c r="A104" cm="1">
        <f t="array" ref="A104">_xlfn.XMATCH("^(a)?(?(1)b|c)$",Rp!A26,3)</f>
        <v>1</v>
      </c>
      <c r="B104">
        <f t="shared" si="9"/>
        <v>0</v>
      </c>
      <c r="C104">
        <f t="shared" si="10"/>
        <v>1</v>
      </c>
      <c r="D104" t="str">
        <f t="shared" si="11"/>
        <v/>
      </c>
      <c r="E104" t="s">
        <v>165</v>
      </c>
    </row>
    <row r="105" spans="1:5" x14ac:dyDescent="0.2">
      <c r="A105" cm="1">
        <f t="array" ref="A105">_xlfn.XMATCH("^(a)?(?(1)b|c)$",Rp!A27,3)</f>
        <v>1</v>
      </c>
      <c r="B105">
        <f t="shared" si="9"/>
        <v>0</v>
      </c>
      <c r="C105">
        <f t="shared" si="10"/>
        <v>1</v>
      </c>
      <c r="D105" t="str">
        <f t="shared" si="11"/>
        <v/>
      </c>
      <c r="E105" t="s">
        <v>166</v>
      </c>
    </row>
    <row r="106" spans="1:5" x14ac:dyDescent="0.2">
      <c r="A106" cm="1">
        <f t="array" ref="A106">_xlfn.XMATCH("(?(DEFINE)(?&lt;d&gt;\d))^(?&amp;d)+$",Rp!A29,3)</f>
        <v>1</v>
      </c>
      <c r="B106">
        <f t="shared" si="9"/>
        <v>0</v>
      </c>
      <c r="C106">
        <f t="shared" si="10"/>
        <v>1</v>
      </c>
      <c r="D106" t="str">
        <f t="shared" si="11"/>
        <v/>
      </c>
      <c r="E106" t="s">
        <v>167</v>
      </c>
    </row>
    <row r="107" spans="1:5" x14ac:dyDescent="0.2">
      <c r="A107" cm="1">
        <f t="array" ref="A107">_xlfn.XMATCH("^(?(?=a)ab|c)$",Rp!A26,3)</f>
        <v>1</v>
      </c>
      <c r="B107">
        <f t="shared" si="9"/>
        <v>0</v>
      </c>
      <c r="C107">
        <f t="shared" si="10"/>
        <v>1</v>
      </c>
      <c r="D107" t="str">
        <f t="shared" si="11"/>
        <v/>
      </c>
      <c r="E107" t="s">
        <v>168</v>
      </c>
    </row>
    <row r="108" spans="1:5" x14ac:dyDescent="0.2">
      <c r="A108" cm="1">
        <f t="array" ref="A108">_xlfn.XMATCH("^(?&lt;x&gt;a)?(?(&lt;x&gt;)b|c)$",Rp!A26,3)</f>
        <v>1</v>
      </c>
      <c r="B108">
        <f t="shared" si="9"/>
        <v>0</v>
      </c>
      <c r="C108">
        <f t="shared" si="10"/>
        <v>1</v>
      </c>
      <c r="D108" t="str">
        <f t="shared" si="11"/>
        <v/>
      </c>
      <c r="E108" t="s">
        <v>169</v>
      </c>
    </row>
    <row r="109" spans="1:5" x14ac:dyDescent="0.2">
      <c r="A109" cm="1">
        <f t="array" ref="A109">_xlfn.XMATCH("(?(R)a|b)",Rp!A26,3)</f>
        <v>1</v>
      </c>
      <c r="B109">
        <f t="shared" si="9"/>
        <v>0</v>
      </c>
      <c r="C109">
        <f t="shared" si="10"/>
        <v>1</v>
      </c>
      <c r="D109" t="str">
        <f t="shared" si="11"/>
        <v/>
      </c>
      <c r="E109" t="s">
        <v>170</v>
      </c>
    </row>
    <row r="110" spans="1:5" x14ac:dyDescent="0.2">
      <c r="A110" cm="1">
        <f t="array" ref="A110">_xlfn.XMATCH("a(*FAIL)|b",Rp!A1,3)</f>
        <v>1</v>
      </c>
      <c r="B110">
        <f t="shared" si="9"/>
        <v>0</v>
      </c>
      <c r="C110">
        <f t="shared" si="10"/>
        <v>1</v>
      </c>
      <c r="D110" t="str">
        <f t="shared" si="11"/>
        <v/>
      </c>
      <c r="E110" t="s">
        <v>171</v>
      </c>
    </row>
    <row r="111" spans="1:5" x14ac:dyDescent="0.2">
      <c r="A111" cm="1">
        <f t="array" ref="A111">_xlfn.XMATCH("a(*ACCEPT)z",Rp!A1,3)</f>
        <v>1</v>
      </c>
      <c r="B111">
        <f t="shared" si="9"/>
        <v>0</v>
      </c>
      <c r="C111">
        <f t="shared" si="10"/>
        <v>1</v>
      </c>
      <c r="D111" t="str">
        <f t="shared" si="11"/>
        <v/>
      </c>
      <c r="E111" t="s">
        <v>172</v>
      </c>
    </row>
    <row r="112" spans="1:5" x14ac:dyDescent="0.2">
      <c r="A112" t="e" cm="1">
        <f t="array" ref="A112">_xlfn.XMATCH("a+(*COMMIT)b",Rp!A2,3)</f>
        <v>#N/A</v>
      </c>
      <c r="B112">
        <f t="shared" si="9"/>
        <v>7</v>
      </c>
      <c r="C112">
        <f t="shared" si="10"/>
        <v>0</v>
      </c>
      <c r="D112" t="str">
        <f t="shared" si="11"/>
        <v/>
      </c>
      <c r="E112" t="s">
        <v>173</v>
      </c>
    </row>
    <row r="113" spans="1:5" x14ac:dyDescent="0.2">
      <c r="A113" cm="1">
        <f t="array" ref="A113">_xlfn.XMATCH("a(*SKIP)x|b",Rp!A1,3)</f>
        <v>1</v>
      </c>
      <c r="B113">
        <f t="shared" si="9"/>
        <v>0</v>
      </c>
      <c r="C113">
        <f t="shared" si="10"/>
        <v>1</v>
      </c>
      <c r="D113" t="str">
        <f t="shared" si="11"/>
        <v/>
      </c>
      <c r="E113" t="s">
        <v>174</v>
      </c>
    </row>
    <row r="114" spans="1:5" x14ac:dyDescent="0.2">
      <c r="A114" cm="1">
        <f t="array" ref="A114">_xlfn.XMATCH("a(*PRUNE)x|b",Rp!A1,3)</f>
        <v>1</v>
      </c>
      <c r="B114">
        <f t="shared" si="9"/>
        <v>0</v>
      </c>
      <c r="C114">
        <f t="shared" si="10"/>
        <v>1</v>
      </c>
      <c r="D114" t="str">
        <f t="shared" si="11"/>
        <v/>
      </c>
      <c r="E114" t="s">
        <v>175</v>
      </c>
    </row>
    <row r="115" spans="1:5" x14ac:dyDescent="0.2">
      <c r="A115" cm="1">
        <f t="array" ref="A115">_xlfn.XMATCH("(?:a(*THEN)x|ab)",Rp!A1,3)</f>
        <v>1</v>
      </c>
      <c r="B115">
        <f t="shared" si="9"/>
        <v>0</v>
      </c>
      <c r="C115">
        <f t="shared" si="10"/>
        <v>1</v>
      </c>
      <c r="D115" t="str">
        <f t="shared" si="11"/>
        <v/>
      </c>
      <c r="E115" t="s">
        <v>176</v>
      </c>
    </row>
    <row r="116" spans="1:5" x14ac:dyDescent="0.2">
      <c r="A116" cm="1">
        <f t="array" ref="A116">_xlfn.XMATCH("(*MARK:m)abc",Rp!A1,3)</f>
        <v>1</v>
      </c>
      <c r="B116">
        <f t="shared" si="9"/>
        <v>0</v>
      </c>
      <c r="C116">
        <f t="shared" si="10"/>
        <v>1</v>
      </c>
      <c r="D116" t="str">
        <f t="shared" si="11"/>
        <v/>
      </c>
      <c r="E116" t="s">
        <v>177</v>
      </c>
    </row>
    <row r="117" spans="1:5" x14ac:dyDescent="0.2">
      <c r="A117" cm="1">
        <f t="array" ref="A117">_xlfn.XMATCH("a\Kb",Rp!A1,3)</f>
        <v>1</v>
      </c>
      <c r="B117">
        <f t="shared" si="9"/>
        <v>0</v>
      </c>
      <c r="C117">
        <f t="shared" si="10"/>
        <v>1</v>
      </c>
      <c r="D117" t="str">
        <f t="shared" si="11"/>
        <v/>
      </c>
      <c r="E117" t="s">
        <v>178</v>
      </c>
    </row>
    <row r="118" spans="1:5" x14ac:dyDescent="0.2">
      <c r="A118" t="e" cm="1" vm="7">
        <f t="array" ref="A118">_xlfn.XMATCH("(?C1)abc",Rp!A1,3)</f>
        <v>#VALUE!</v>
      </c>
      <c r="B118">
        <f t="shared" si="9"/>
        <v>3</v>
      </c>
      <c r="C118">
        <f t="shared" si="10"/>
        <v>0</v>
      </c>
      <c r="D118" t="str">
        <f t="shared" si="11"/>
        <v/>
      </c>
      <c r="E118" t="s">
        <v>179</v>
      </c>
    </row>
    <row r="119" spans="1:5" x14ac:dyDescent="0.2">
      <c r="A119" t="e" cm="1" vm="8">
        <f t="array" ref="A119">_xlfn.XMATCH("\Cb",Rp!A1,3)</f>
        <v>#VALUE!</v>
      </c>
      <c r="B119">
        <f t="shared" si="9"/>
        <v>3</v>
      </c>
      <c r="C119">
        <f t="shared" si="10"/>
        <v>0</v>
      </c>
      <c r="D119" t="str">
        <f t="shared" si="11"/>
        <v/>
      </c>
      <c r="E119" t="s">
        <v>180</v>
      </c>
    </row>
    <row r="120" spans="1:5" x14ac:dyDescent="0.2">
      <c r="A120" t="e" cm="1" vm="9">
        <f t="array" ref="A120">_xlfn.XMATCH("\",Rp!A1,3)</f>
        <v>#VALUE!</v>
      </c>
      <c r="B120">
        <f t="shared" si="9"/>
        <v>3</v>
      </c>
      <c r="C120">
        <f t="shared" si="10"/>
        <v>0</v>
      </c>
      <c r="D120" t="str">
        <f t="shared" si="11"/>
        <v/>
      </c>
      <c r="E120" t="s">
        <v>181</v>
      </c>
    </row>
    <row r="121" spans="1:5" x14ac:dyDescent="0.2">
      <c r="A121" t="e" cm="1" vm="10">
        <f t="array" ref="A121">_xlfn.XMATCH("a)",Rp!A1,3)</f>
        <v>#VALUE!</v>
      </c>
      <c r="B121">
        <f t="shared" si="9"/>
        <v>3</v>
      </c>
      <c r="C121">
        <f t="shared" si="10"/>
        <v>0</v>
      </c>
      <c r="D121" t="str">
        <f t="shared" si="11"/>
        <v/>
      </c>
      <c r="E121" t="s">
        <v>182</v>
      </c>
    </row>
    <row r="122" spans="1:5" x14ac:dyDescent="0.2">
      <c r="A122" t="e" cm="1" vm="3">
        <f t="array" ref="A122">_xlfn.XMATCH("*a",Rp!A1,3)</f>
        <v>#VALUE!</v>
      </c>
      <c r="B122">
        <f t="shared" si="9"/>
        <v>3</v>
      </c>
      <c r="C122">
        <f t="shared" si="10"/>
        <v>0</v>
      </c>
      <c r="D122" t="str">
        <f t="shared" si="11"/>
        <v/>
      </c>
      <c r="E122" t="s">
        <v>183</v>
      </c>
    </row>
    <row r="123" spans="1:5" x14ac:dyDescent="0.2">
      <c r="A123" t="e" cm="1" vm="6">
        <f t="array" ref="A123">_xlfn.XMATCH("(?&lt;=a*)b",Rp!A1,3)</f>
        <v>#VALUE!</v>
      </c>
      <c r="B123">
        <f t="shared" si="9"/>
        <v>3</v>
      </c>
      <c r="C123">
        <f t="shared" si="10"/>
        <v>0</v>
      </c>
      <c r="D123" t="str">
        <f t="shared" si="11"/>
        <v/>
      </c>
      <c r="E123" t="s">
        <v>184</v>
      </c>
    </row>
    <row r="124" spans="1:5" x14ac:dyDescent="0.2">
      <c r="A124" t="e" cm="1" vm="11">
        <f t="array" ref="A124">_xlfn.XMATCH("[b-a]",Rp!A1,3)</f>
        <v>#VALUE!</v>
      </c>
      <c r="B124">
        <f t="shared" si="9"/>
        <v>3</v>
      </c>
      <c r="C124">
        <f t="shared" si="10"/>
        <v>0</v>
      </c>
      <c r="D124" t="str">
        <f t="shared" si="11"/>
        <v/>
      </c>
      <c r="E124" t="s">
        <v>185</v>
      </c>
    </row>
    <row r="125" spans="1:5" x14ac:dyDescent="0.2">
      <c r="A125" t="e" cm="1" vm="12">
        <f t="array" ref="A125">_xlfn.XMATCH("(?z)a",Rp!A1,3)</f>
        <v>#VALUE!</v>
      </c>
      <c r="B125">
        <f t="shared" si="9"/>
        <v>3</v>
      </c>
      <c r="C125">
        <f t="shared" si="10"/>
        <v>0</v>
      </c>
      <c r="D125" t="str">
        <f t="shared" si="11"/>
        <v/>
      </c>
      <c r="E125" t="s">
        <v>186</v>
      </c>
    </row>
    <row r="126" spans="1:5" x14ac:dyDescent="0.2">
      <c r="A126" t="e" cm="1">
        <f t="array" ref="A126">_xlfn.XMATCH("(a+)+$",Rp!A20,3)</f>
        <v>#N/A</v>
      </c>
      <c r="B126">
        <f t="shared" si="9"/>
        <v>7</v>
      </c>
      <c r="C126">
        <f t="shared" si="10"/>
        <v>0</v>
      </c>
      <c r="D126" t="str">
        <f t="shared" si="11"/>
        <v/>
      </c>
      <c r="E126" t="s">
        <v>187</v>
      </c>
    </row>
    <row r="127" spans="1:5" x14ac:dyDescent="0.2">
      <c r="A127" t="e" cm="1" vm="13">
        <f t="array" ref="A127">_xlfn.XMATCH("(a+)+$",Rp!A21,3)</f>
        <v>#VALUE!</v>
      </c>
      <c r="B127">
        <f t="shared" si="9"/>
        <v>3</v>
      </c>
      <c r="C127">
        <f t="shared" si="10"/>
        <v>0</v>
      </c>
      <c r="D127" t="str">
        <f t="shared" si="11"/>
        <v/>
      </c>
      <c r="E127" t="s">
        <v>188</v>
      </c>
    </row>
    <row r="128" spans="1:5" x14ac:dyDescent="0.2">
      <c r="A128" t="e" cm="1" vm="13">
        <f t="array" ref="A128">_xlfn.XMATCH("(a+)+$",Rp!A22,3)</f>
        <v>#VALUE!</v>
      </c>
      <c r="B128">
        <f t="shared" si="9"/>
        <v>3</v>
      </c>
      <c r="C128">
        <f t="shared" si="10"/>
        <v>0</v>
      </c>
      <c r="D128" t="str">
        <f t="shared" si="11"/>
        <v/>
      </c>
      <c r="E128" t="s">
        <v>189</v>
      </c>
    </row>
    <row r="129" spans="1:5" x14ac:dyDescent="0.2">
      <c r="A129" t="e" cm="1" vm="13">
        <f t="array" ref="A129">_xlfn.XMATCH("(a+)+$",Rp!A32,3)</f>
        <v>#VALUE!</v>
      </c>
      <c r="B129">
        <f t="shared" ref="B129:B160" si="12">IF(ISERROR(A129),ERROR.TYPE(A129),IF(ISNUMBER(A129),0,IF(ISLOGICAL(A129),IF(A129,-1,-2),IF(ISTEXT(A129),-3,-4))))</f>
        <v>3</v>
      </c>
      <c r="C129">
        <f t="shared" si="10"/>
        <v>0</v>
      </c>
      <c r="D129" t="str">
        <f t="shared" si="11"/>
        <v/>
      </c>
      <c r="E129" t="s">
        <v>190</v>
      </c>
    </row>
    <row r="130" spans="1:5" x14ac:dyDescent="0.2">
      <c r="A130" t="s">
        <v>191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Rp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2026-10-28T17:30:40Z</dcterms:created>
  <dcterms:modified xsi:type="dcterms:W3CDTF">2026-10-28T17:30:41Z</dcterms:modified>
  <cp:category/>
</cp:coreProperties>
</file>