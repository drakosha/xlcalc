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8A557395-231A-8244-B1DF-ED5C3601E3D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6" i="2" l="1" a="1"/>
  <c r="A76" i="2" s="1"/>
  <c r="A75" i="2" a="1"/>
  <c r="A75" i="2" s="1"/>
  <c r="A74" i="2" a="1"/>
  <c r="A74" i="2" s="1"/>
  <c r="D74" i="2" s="1"/>
  <c r="A73" i="2" a="1"/>
  <c r="A73" i="2" s="1"/>
  <c r="A72" i="2" a="1"/>
  <c r="A72" i="2" s="1"/>
  <c r="A71" i="2" a="1"/>
  <c r="A71" i="2" s="1"/>
  <c r="A70" i="2" a="1"/>
  <c r="A70" i="2" s="1"/>
  <c r="A69" i="2" a="1"/>
  <c r="A69" i="2" s="1"/>
  <c r="A68" i="2" a="1"/>
  <c r="A68" i="2"/>
  <c r="D68" i="2" s="1"/>
  <c r="A67" i="2" a="1"/>
  <c r="A67" i="2"/>
  <c r="D67" i="2" s="1"/>
  <c r="A66" i="2" a="1"/>
  <c r="A66" i="2" s="1"/>
  <c r="D65" i="2"/>
  <c r="A65" i="2" a="1"/>
  <c r="A65" i="2"/>
  <c r="C65" i="2" s="1"/>
  <c r="A64" i="2" a="1"/>
  <c r="A64" i="2" s="1"/>
  <c r="A63" i="2" a="1"/>
  <c r="A63" i="2" s="1"/>
  <c r="A62" i="2" a="1"/>
  <c r="A62" i="2" s="1"/>
  <c r="A61" i="2" a="1"/>
  <c r="A61" i="2" s="1"/>
  <c r="A60" i="2" a="1"/>
  <c r="A60" i="2" s="1"/>
  <c r="A59" i="2" a="1"/>
  <c r="A59" i="2"/>
  <c r="D59" i="2" s="1"/>
  <c r="A58" i="2" a="1"/>
  <c r="A58" i="2" s="1"/>
  <c r="A57" i="2" a="1"/>
  <c r="A57" i="2" s="1"/>
  <c r="A56" i="2" a="1"/>
  <c r="A56" i="2" s="1"/>
  <c r="D56" i="2" s="1"/>
  <c r="A55" i="2" a="1"/>
  <c r="A55" i="2" s="1"/>
  <c r="A54" i="2" a="1"/>
  <c r="A54" i="2"/>
  <c r="D54" i="2" s="1"/>
  <c r="A53" i="2" a="1"/>
  <c r="A53" i="2"/>
  <c r="D53" i="2" s="1"/>
  <c r="A52" i="2" a="1"/>
  <c r="A52" i="2" s="1"/>
  <c r="A51" i="2" a="1"/>
  <c r="A51" i="2"/>
  <c r="C51" i="2" s="1"/>
  <c r="A50" i="2" a="1"/>
  <c r="A50" i="2"/>
  <c r="D50" i="2" s="1"/>
  <c r="A49" i="2" a="1"/>
  <c r="A49" i="2" s="1"/>
  <c r="A48" i="2" a="1"/>
  <c r="A48" i="2" s="1"/>
  <c r="A47" i="2" a="1"/>
  <c r="A47" i="2" s="1"/>
  <c r="A46" i="2" a="1"/>
  <c r="A46" i="2" s="1"/>
  <c r="A45" i="2" a="1"/>
  <c r="A45" i="2" s="1"/>
  <c r="A44" i="2" a="1"/>
  <c r="A44" i="2" s="1"/>
  <c r="A43" i="2" a="1"/>
  <c r="A43" i="2" s="1"/>
  <c r="A42" i="2" a="1"/>
  <c r="A42" i="2" s="1"/>
  <c r="A41" i="2" a="1"/>
  <c r="A41" i="2" s="1"/>
  <c r="A40" i="2" a="1"/>
  <c r="A40" i="2" s="1"/>
  <c r="A39" i="2" a="1"/>
  <c r="A39" i="2" s="1"/>
  <c r="D39" i="2" s="1"/>
  <c r="A38" i="2" a="1"/>
  <c r="A38" i="2"/>
  <c r="D38" i="2" s="1"/>
  <c r="A37" i="2" a="1"/>
  <c r="A37" i="2"/>
  <c r="B37" i="2" s="1"/>
  <c r="A36" i="2" a="1"/>
  <c r="A36" i="2" s="1"/>
  <c r="A35" i="2" a="1"/>
  <c r="A35" i="2" s="1"/>
  <c r="A34" i="2" a="1"/>
  <c r="A34" i="2" s="1"/>
  <c r="D34" i="2" s="1"/>
  <c r="A33" i="2" a="1"/>
  <c r="A33" i="2" s="1"/>
  <c r="A32" i="2" a="1"/>
  <c r="A32" i="2" s="1"/>
  <c r="A31" i="2" a="1"/>
  <c r="A31" i="2" s="1"/>
  <c r="A30" i="2" a="1"/>
  <c r="A30" i="2"/>
  <c r="D30" i="2" s="1"/>
  <c r="A29" i="2" a="1"/>
  <c r="A29" i="2"/>
  <c r="B29" i="2" s="1"/>
  <c r="A28" i="2" a="1"/>
  <c r="A28" i="2"/>
  <c r="D28" i="2" s="1"/>
  <c r="A27" i="2" a="1"/>
  <c r="A27" i="2" s="1"/>
  <c r="A26" i="2" a="1"/>
  <c r="A26" i="2"/>
  <c r="B26" i="2" s="1"/>
  <c r="A25" i="2" a="1"/>
  <c r="A25" i="2" s="1"/>
  <c r="A24" i="2" a="1"/>
  <c r="A24" i="2"/>
  <c r="D24" i="2" s="1"/>
  <c r="A23" i="2" a="1"/>
  <c r="A23" i="2"/>
  <c r="D23" i="2" s="1"/>
  <c r="A22" i="2" a="1"/>
  <c r="A22" i="2" s="1"/>
  <c r="A21" i="2" a="1"/>
  <c r="A21" i="2"/>
  <c r="D21" i="2" s="1"/>
  <c r="A20" i="2" a="1"/>
  <c r="A20" i="2"/>
  <c r="C20" i="2" s="1"/>
  <c r="A19" i="2" a="1"/>
  <c r="A19" i="2" s="1"/>
  <c r="B19" i="2" s="1"/>
  <c r="A18" i="2" a="1"/>
  <c r="A18" i="2" s="1"/>
  <c r="A17" i="2" a="1"/>
  <c r="A17" i="2" s="1"/>
  <c r="D17" i="2" s="1"/>
  <c r="A16" i="2" a="1"/>
  <c r="A16" i="2"/>
  <c r="D16" i="2" s="1"/>
  <c r="A15" i="2" a="1"/>
  <c r="A15" i="2" s="1"/>
  <c r="A14" i="2" a="1"/>
  <c r="A14" i="2"/>
  <c r="D14" i="2" s="1"/>
  <c r="A13" i="2" a="1"/>
  <c r="A13" i="2" s="1"/>
  <c r="A12" i="2" a="1"/>
  <c r="A12" i="2" s="1"/>
  <c r="D12" i="2" s="1"/>
  <c r="A11" i="2" a="1"/>
  <c r="A11" i="2"/>
  <c r="B11" i="2" s="1"/>
  <c r="A10" i="2" a="1"/>
  <c r="A10" i="2"/>
  <c r="D10" i="2" s="1"/>
  <c r="A9" i="2" a="1"/>
  <c r="A9" i="2" s="1"/>
  <c r="A8" i="2" a="1"/>
  <c r="A8" i="2" s="1"/>
  <c r="B8" i="2" s="1"/>
  <c r="A7" i="2" a="1"/>
  <c r="A7" i="2"/>
  <c r="C7" i="2" s="1"/>
  <c r="A6" i="2" a="1"/>
  <c r="A6" i="2"/>
  <c r="D6" i="2" s="1"/>
  <c r="A5" i="2" a="1"/>
  <c r="A5" i="2"/>
  <c r="D5" i="2" s="1"/>
  <c r="A4" i="2" a="1"/>
  <c r="A4" i="2" s="1"/>
  <c r="A3" i="2" a="1"/>
  <c r="A3" i="2" s="1"/>
  <c r="A2" i="2" a="1"/>
  <c r="A2" i="2"/>
  <c r="C2" i="2" s="1"/>
  <c r="A1" i="2" a="1"/>
  <c r="A1" i="2"/>
  <c r="B1" i="2" s="1"/>
  <c r="I15" i="1"/>
  <c r="A14" i="1"/>
  <c r="A13" i="1"/>
  <c r="AL10" i="1"/>
  <c r="A8" i="1"/>
  <c r="A7" i="1"/>
  <c r="E3" i="1"/>
  <c r="B69" i="2" l="1"/>
  <c r="D69" i="2"/>
  <c r="C69" i="2"/>
  <c r="B18" i="2"/>
  <c r="D18" i="2"/>
  <c r="C18" i="2"/>
  <c r="C47" i="2"/>
  <c r="B47" i="2"/>
  <c r="D47" i="2"/>
  <c r="B60" i="2"/>
  <c r="D60" i="2"/>
  <c r="C60" i="2"/>
  <c r="C25" i="2"/>
  <c r="D25" i="2"/>
  <c r="C11" i="2"/>
  <c r="D11" i="2"/>
  <c r="B51" i="2"/>
  <c r="D51" i="2"/>
  <c r="C38" i="2"/>
  <c r="C29" i="2"/>
  <c r="D29" i="2"/>
  <c r="C53" i="2"/>
  <c r="B53" i="2"/>
  <c r="D7" i="2"/>
  <c r="B2" i="2"/>
  <c r="B20" i="2"/>
  <c r="C54" i="2"/>
  <c r="B65" i="2"/>
  <c r="C27" i="2"/>
  <c r="D27" i="2"/>
  <c r="B27" i="2"/>
  <c r="B55" i="2"/>
  <c r="D55" i="2"/>
  <c r="C55" i="2"/>
  <c r="D48" i="2"/>
  <c r="C48" i="2"/>
  <c r="B48" i="2"/>
  <c r="D49" i="2"/>
  <c r="C49" i="2"/>
  <c r="B49" i="2"/>
  <c r="D4" i="2"/>
  <c r="C4" i="2"/>
  <c r="B4" i="2"/>
  <c r="D52" i="2"/>
  <c r="C52" i="2"/>
  <c r="B52" i="2"/>
  <c r="D3" i="2"/>
  <c r="B3" i="2"/>
  <c r="C3" i="2"/>
  <c r="D43" i="2"/>
  <c r="C43" i="2"/>
  <c r="B43" i="2"/>
  <c r="D61" i="2"/>
  <c r="C61" i="2"/>
  <c r="B61" i="2"/>
  <c r="D36" i="2"/>
  <c r="C36" i="2"/>
  <c r="B36" i="2"/>
  <c r="D58" i="2"/>
  <c r="C58" i="2"/>
  <c r="B58" i="2"/>
  <c r="D13" i="2"/>
  <c r="C13" i="2"/>
  <c r="B13" i="2"/>
  <c r="D42" i="2"/>
  <c r="C42" i="2"/>
  <c r="B42" i="2"/>
  <c r="D66" i="2"/>
  <c r="C66" i="2"/>
  <c r="B66" i="2"/>
  <c r="D57" i="2"/>
  <c r="C57" i="2"/>
  <c r="B57" i="2"/>
  <c r="D40" i="2"/>
  <c r="B40" i="2"/>
  <c r="C40" i="2"/>
  <c r="D41" i="2"/>
  <c r="C41" i="2"/>
  <c r="B41" i="2"/>
  <c r="C22" i="2"/>
  <c r="B22" i="2"/>
  <c r="D22" i="2"/>
  <c r="D70" i="2"/>
  <c r="C70" i="2"/>
  <c r="B70" i="2"/>
  <c r="D71" i="2"/>
  <c r="C71" i="2"/>
  <c r="B71" i="2"/>
  <c r="B15" i="2"/>
  <c r="D15" i="2"/>
  <c r="C15" i="2"/>
  <c r="D31" i="2"/>
  <c r="C31" i="2"/>
  <c r="B31" i="2"/>
  <c r="B44" i="2"/>
  <c r="D44" i="2"/>
  <c r="C44" i="2"/>
  <c r="B62" i="2"/>
  <c r="C62" i="2"/>
  <c r="D62" i="2"/>
  <c r="D72" i="2"/>
  <c r="C72" i="2"/>
  <c r="B72" i="2"/>
  <c r="D32" i="2"/>
  <c r="C32" i="2"/>
  <c r="B32" i="2"/>
  <c r="D45" i="2"/>
  <c r="C45" i="2"/>
  <c r="B45" i="2"/>
  <c r="D63" i="2"/>
  <c r="C63" i="2"/>
  <c r="B63" i="2"/>
  <c r="D73" i="2"/>
  <c r="C73" i="2"/>
  <c r="B73" i="2"/>
  <c r="B33" i="2"/>
  <c r="D33" i="2"/>
  <c r="C33" i="2"/>
  <c r="D46" i="2"/>
  <c r="C46" i="2"/>
  <c r="B46" i="2"/>
  <c r="D64" i="2"/>
  <c r="C64" i="2"/>
  <c r="B64" i="2"/>
  <c r="D75" i="2"/>
  <c r="C75" i="2"/>
  <c r="B75" i="2"/>
  <c r="D9" i="2"/>
  <c r="C9" i="2"/>
  <c r="B9" i="2"/>
  <c r="D35" i="2"/>
  <c r="C35" i="2"/>
  <c r="B35" i="2"/>
  <c r="D76" i="2"/>
  <c r="C76" i="2"/>
  <c r="B76" i="2"/>
  <c r="B12" i="2"/>
  <c r="B30" i="2"/>
  <c r="C37" i="2"/>
  <c r="D1" i="2"/>
  <c r="B5" i="2"/>
  <c r="C12" i="2"/>
  <c r="D19" i="2"/>
  <c r="B23" i="2"/>
  <c r="C30" i="2"/>
  <c r="D37" i="2"/>
  <c r="B59" i="2"/>
  <c r="D8" i="2"/>
  <c r="C19" i="2"/>
  <c r="D26" i="2"/>
  <c r="C5" i="2"/>
  <c r="B16" i="2"/>
  <c r="C23" i="2"/>
  <c r="B34" i="2"/>
  <c r="C59" i="2"/>
  <c r="C16" i="2"/>
  <c r="C34" i="2"/>
  <c r="B38" i="2"/>
  <c r="B56" i="2"/>
  <c r="B74" i="2"/>
  <c r="C56" i="2"/>
  <c r="B67" i="2"/>
  <c r="C74" i="2"/>
  <c r="C67" i="2"/>
  <c r="D20" i="2"/>
  <c r="B24" i="2"/>
  <c r="C6" i="2"/>
  <c r="B17" i="2"/>
  <c r="C24" i="2"/>
  <c r="C1" i="2"/>
  <c r="D2" i="2"/>
  <c r="B10" i="2"/>
  <c r="C17" i="2"/>
  <c r="B28" i="2"/>
  <c r="B39" i="2"/>
  <c r="C8" i="2"/>
  <c r="B6" i="2"/>
  <c r="C10" i="2"/>
  <c r="C28" i="2"/>
  <c r="C21" i="2"/>
  <c r="B50" i="2"/>
  <c r="B68" i="2"/>
  <c r="C26" i="2"/>
  <c r="B21" i="2"/>
  <c r="B14" i="2"/>
  <c r="C39" i="2"/>
  <c r="B7" i="2"/>
  <c r="C14" i="2"/>
  <c r="B25" i="2"/>
  <c r="C50" i="2"/>
  <c r="C68" i="2"/>
  <c r="B5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<sst xmlns="http://schemas.openxmlformats.org/spreadsheetml/2006/main" count="135" uniqueCount="112">
  <si>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</si>
  <si>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</si>
  <si>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</si>
  <si>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</si>
  <si>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</si>
  <si>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</si>
  <si>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</si>
  <si>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</si>
  <si>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</si>
  <si>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</si>
  <si>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</si>
  <si>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</si>
  <si>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</si>
  <si>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</si>
  <si>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</si>
  <si>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</si>
  <si>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</si>
  <si>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</si>
  <si>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</si>
  <si>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</si>
  <si>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</si>
  <si>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</si>
  <si>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</si>
  <si>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</si>
  <si>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</si>
  <si>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</si>
  <si>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</si>
  <si>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</si>
  <si>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</si>
  <si>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</si>
  <si>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</si>
  <si>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</si>
  <si>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</si>
  <si>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</si>
  <si>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</si>
  <si>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VALUE#1</t>
  </si>
  <si>
    <t>operators#1</t>
  </si>
  <si>
    <t>ABS#1</t>
  </si>
  <si>
    <t>VALUE#2</t>
  </si>
  <si>
    <t>operators#2</t>
  </si>
  <si>
    <t>ABS#2</t>
  </si>
  <si>
    <t>VALUE#3</t>
  </si>
  <si>
    <t>operators#3</t>
  </si>
  <si>
    <t>ABS#3</t>
  </si>
  <si>
    <t>VALUE#4</t>
  </si>
  <si>
    <t>operators#4</t>
  </si>
  <si>
    <t>ABS#4</t>
  </si>
  <si>
    <t>VALUE#5</t>
  </si>
  <si>
    <t>operators#5</t>
  </si>
  <si>
    <t>ABS#5</t>
  </si>
  <si>
    <t>VALUE#6</t>
  </si>
  <si>
    <t>operators#6</t>
  </si>
  <si>
    <t>ABS#6</t>
  </si>
  <si>
    <t>VALUE#7</t>
  </si>
  <si>
    <t>operators#7</t>
  </si>
  <si>
    <t>ABS#7</t>
  </si>
  <si>
    <t>VALUE#8</t>
  </si>
  <si>
    <t>operators#8</t>
  </si>
  <si>
    <t>ABS#8</t>
  </si>
  <si>
    <t>VALUE#9</t>
  </si>
  <si>
    <t>operators#9</t>
  </si>
  <si>
    <t>ABS#9</t>
  </si>
  <si>
    <t>VALUE#10</t>
  </si>
  <si>
    <t>operators#10</t>
  </si>
  <si>
    <t>ABS#10</t>
  </si>
  <si>
    <t>VALUE#11</t>
  </si>
  <si>
    <t>operators#11</t>
  </si>
  <si>
    <t>ABS#11</t>
  </si>
  <si>
    <t>VALUE#12</t>
  </si>
  <si>
    <t>operators#12</t>
  </si>
  <si>
    <t>ABS#12</t>
  </si>
  <si>
    <t>VALUE#13</t>
  </si>
  <si>
    <t>operators#13</t>
  </si>
  <si>
    <t>ABS#13</t>
  </si>
  <si>
    <t>VALUE#14</t>
  </si>
  <si>
    <t>operators#14</t>
  </si>
  <si>
    <t>ABS#14</t>
  </si>
  <si>
    <t>VALUE#15</t>
  </si>
  <si>
    <t>operators#15</t>
  </si>
  <si>
    <t>ABS#15</t>
  </si>
  <si>
    <t>VALUE#16</t>
  </si>
  <si>
    <t>operators#16</t>
  </si>
  <si>
    <t>ABS#16</t>
  </si>
  <si>
    <t>VALUE#17</t>
  </si>
  <si>
    <t>operators#17</t>
  </si>
  <si>
    <t>ABS#17</t>
  </si>
  <si>
    <t>VALUE#18</t>
  </si>
  <si>
    <t>operators#18</t>
  </si>
  <si>
    <t>ABS#18</t>
  </si>
  <si>
    <t>VALUE#19</t>
  </si>
  <si>
    <t>operators#19</t>
  </si>
  <si>
    <t>ABS#19</t>
  </si>
  <si>
    <t>VALUE#20</t>
  </si>
  <si>
    <t>operators#20</t>
  </si>
  <si>
    <t>ABS#20</t>
  </si>
  <si>
    <t>VALUE#21</t>
  </si>
  <si>
    <t>operators#21</t>
  </si>
  <si>
    <t>ABS#21</t>
  </si>
  <si>
    <t>VALUE#22</t>
  </si>
  <si>
    <t>operators#22</t>
  </si>
  <si>
    <t>ABS#22</t>
  </si>
  <si>
    <t>percent#1</t>
  </si>
  <si>
    <t>percent#2</t>
  </si>
  <si>
    <t>percent#3</t>
  </si>
  <si>
    <t>percent#4</t>
  </si>
  <si>
    <t>percent#5</t>
  </si>
  <si>
    <t>NUMBERVALUE#1</t>
  </si>
  <si>
    <t>NUMBERVALUE#2</t>
  </si>
  <si>
    <t>NUMBERVALUE#3</t>
  </si>
  <si>
    <t>NUMBERVALUE#4</t>
  </si>
  <si>
    <t>NUMBERVALUE#5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</si>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</sst>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7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(VALUE("1.1%")-(0.011))*100000000000000000000</f>
        <v>0</v>
      </c>
      <c r="B1">
        <f t="shared" ref="B1:B32" si="0">IF(ISERROR(A1),ERROR.TYPE(A1),IF(ISNUMBER(A1),0,IF(ISLOGICAL(A1),IF(A1,-1,-2),IF(ISTEXT(A1),-3,-4))))</f>
        <v>0</v>
      </c>
      <c r="C1">
        <f t="shared" ref="C1:C32" si="1">IF(ISNUMBER(A1),A1,0)</f>
        <v>0</v>
      </c>
      <c r="D1" t="str">
        <f t="shared" ref="D1:D32" si="2">IF(ISTEXT(A1),A1,"")</f>
        <v/>
      </c>
      <c r="E1" t="s">
        <v>35</v>
      </c>
    </row>
    <row r="2" spans="1:5" x14ac:dyDescent="0.2">
      <c r="A2" cm="1">
        <f t="array" ref="A2">("1.1%"*1-(0.011))*100000000000000000000</f>
        <v>0</v>
      </c>
      <c r="B2">
        <f t="shared" si="0"/>
        <v>0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cm="1">
        <f t="array" ref="A3">(ABS("1.1%")-ABS(0.011))*100000000000000000000</f>
        <v>0</v>
      </c>
      <c r="B3">
        <f t="shared" si="0"/>
        <v>0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cm="1">
        <f t="array" ref="A4">(VALUE("0.7%")-(0.007))*100000000000000000000</f>
        <v>0</v>
      </c>
      <c r="B4">
        <f t="shared" si="0"/>
        <v>0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cm="1">
        <f t="array" ref="A5">("0.7%"*1-(0.007))*100000000000000000000</f>
        <v>0</v>
      </c>
      <c r="B5">
        <f t="shared" si="0"/>
        <v>0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cm="1">
        <f t="array" ref="A6">(ABS("0.7%")-ABS(0.007))*100000000000000000000</f>
        <v>0</v>
      </c>
      <c r="B6">
        <f t="shared" si="0"/>
        <v>0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cm="1">
        <f t="array" ref="A7">(VALUE("1.255%")-(0.01255))*100000000000000000000</f>
        <v>0</v>
      </c>
      <c r="B7">
        <f t="shared" si="0"/>
        <v>0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cm="1">
        <f t="array" ref="A8">("1.255%"*1-(0.01255))*100000000000000000000</f>
        <v>0</v>
      </c>
      <c r="B8">
        <f t="shared" si="0"/>
        <v>0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cm="1">
        <f t="array" ref="A9">(ABS("1.255%")-ABS(0.01255))*100000000000000000000</f>
        <v>0</v>
      </c>
      <c r="B9">
        <f t="shared" si="0"/>
        <v>0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cm="1">
        <f t="array" ref="A10">(VALUE("99.9%")-(0.999))*100000000000000000000</f>
        <v>0</v>
      </c>
      <c r="B10">
        <f t="shared" si="0"/>
        <v>0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cm="1">
        <f t="array" ref="A11">("99.9%"*1-(0.999))*100000000000000000000</f>
        <v>0</v>
      </c>
      <c r="B11">
        <f t="shared" si="0"/>
        <v>0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cm="1">
        <f t="array" ref="A12">(ABS("99.9%")-ABS(0.999))*100000000000000000000</f>
        <v>0</v>
      </c>
      <c r="B12">
        <f t="shared" si="0"/>
        <v>0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cm="1">
        <f t="array" ref="A13">(VALUE("0.035%")-(0.00035))*100000000000000000000</f>
        <v>0</v>
      </c>
      <c r="B13">
        <f t="shared" si="0"/>
        <v>0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cm="1">
        <f t="array" ref="A14">("0.035%"*1-(0.00035))*100000000000000000000</f>
        <v>0</v>
      </c>
      <c r="B14">
        <f t="shared" si="0"/>
        <v>0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cm="1">
        <f t="array" ref="A15">(ABS("0.035%")-ABS(0.00035))*100000000000000000000</f>
        <v>0</v>
      </c>
      <c r="B15">
        <f t="shared" si="0"/>
        <v>0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cm="1">
        <f t="array" ref="A16">(VALUE("1.005%")-(0.01005))*100000000000000000000</f>
        <v>0</v>
      </c>
      <c r="B16">
        <f t="shared" si="0"/>
        <v>0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cm="1">
        <f t="array" ref="A17">("1.005%"*1-(0.01005))*100000000000000000000</f>
        <v>0</v>
      </c>
      <c r="B17">
        <f t="shared" si="0"/>
        <v>0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cm="1">
        <f t="array" ref="A18">(ABS("1.005%")-ABS(0.01005))*100000000000000000000</f>
        <v>0</v>
      </c>
      <c r="B18">
        <f t="shared" si="0"/>
        <v>0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cm="1">
        <f t="array" ref="A19">(VALUE("123.45%")-(1.2345))*100000000000000000000</f>
        <v>0</v>
      </c>
      <c r="B19">
        <f t="shared" si="0"/>
        <v>0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cm="1">
        <f t="array" ref="A20">("123.45%"*1-(1.2345))*100000000000000000000</f>
        <v>0</v>
      </c>
      <c r="B20">
        <f t="shared" si="0"/>
        <v>0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cm="1">
        <f t="array" ref="A21">(ABS("123.45%")-ABS(1.2345))*100000000000000000000</f>
        <v>0</v>
      </c>
      <c r="B21">
        <f t="shared" si="0"/>
        <v>0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cm="1">
        <f t="array" ref="A22">(VALUE("(1.1%)")-(-0.011))*100000000000000000000</f>
        <v>0</v>
      </c>
      <c r="B22">
        <f t="shared" si="0"/>
        <v>0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cm="1">
        <f t="array" ref="A23">("(1.1%)"*1-(-0.011))*100000000000000000000</f>
        <v>0</v>
      </c>
      <c r="B23">
        <f t="shared" si="0"/>
        <v>0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cm="1">
        <f t="array" ref="A24">(ABS("(1.1%)")-ABS(-0.011))*100000000000000000000</f>
        <v>0</v>
      </c>
      <c r="B24">
        <f t="shared" si="0"/>
        <v>0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cm="1">
        <f t="array" ref="A25">(VALUE("%0.7")-(0.007))*100000000000000000000</f>
        <v>0</v>
      </c>
      <c r="B25">
        <f t="shared" si="0"/>
        <v>0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cm="1">
        <f t="array" ref="A26">("%0.7"*1-(0.007))*100000000000000000000</f>
        <v>0</v>
      </c>
      <c r="B26">
        <f t="shared" si="0"/>
        <v>0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cm="1">
        <f t="array" ref="A27">(ABS("%0.7")-ABS(0.007))*100000000000000000000</f>
        <v>0</v>
      </c>
      <c r="B27">
        <f t="shared" si="0"/>
        <v>0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e" cm="1">
        <f t="array" ref="A28">(VALUE("$1.1%")-(0.011))*100000000000000000000</f>
        <v>#VALUE!</v>
      </c>
      <c r="B28">
        <f t="shared" si="0"/>
        <v>3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t="e" cm="1">
        <f t="array" ref="A29">("$1.1%"*1-(0.011))*100000000000000000000</f>
        <v>#VALUE!</v>
      </c>
      <c r="B29">
        <f t="shared" si="0"/>
        <v>3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t="e" cm="1">
        <f t="array" ref="A30">(ABS("$1.1%")-ABS(0.011))*100000000000000000000</f>
        <v>#VALUE!</v>
      </c>
      <c r="B30">
        <f t="shared" si="0"/>
        <v>3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t="e" cm="1">
        <f t="array" ref="A31">(VALUE("1,1%")-(0.011))*100000000000000000000</f>
        <v>#VALUE!</v>
      </c>
      <c r="B31">
        <f t="shared" si="0"/>
        <v>3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t="e" cm="1">
        <f t="array" ref="A32">("1,1%"*1-(0.011))*100000000000000000000</f>
        <v>#VALUE!</v>
      </c>
      <c r="B32">
        <f t="shared" si="0"/>
        <v>3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t="e" cm="1">
        <f t="array" ref="A33">(ABS("1,1%")-ABS(0.011))*100000000000000000000</f>
        <v>#VALUE!</v>
      </c>
      <c r="B33">
        <f t="shared" ref="B33:B64" si="3">IF(ISERROR(A33),ERROR.TYPE(A33),IF(ISNUMBER(A33),0,IF(ISLOGICAL(A33),IF(A33,-1,-2),IF(ISTEXT(A33),-3,-4))))</f>
        <v>3</v>
      </c>
      <c r="C33">
        <f t="shared" ref="C33:C64" si="4">IF(ISNUMBER(A33),A33,0)</f>
        <v>0</v>
      </c>
      <c r="D33" t="str">
        <f t="shared" ref="D33:D64" si="5">IF(ISTEXT(A33),A33,"")</f>
        <v/>
      </c>
      <c r="E33" t="s">
        <v>67</v>
      </c>
    </row>
    <row r="34" spans="1:5" x14ac:dyDescent="0.2">
      <c r="A34" t="e" cm="1">
        <f t="array" ref="A34">(VALUE("0,7%")-(0.007))*100000000000000000000</f>
        <v>#VALUE!</v>
      </c>
      <c r="B34">
        <f t="shared" si="3"/>
        <v>3</v>
      </c>
      <c r="C34">
        <f t="shared" si="4"/>
        <v>0</v>
      </c>
      <c r="D34" t="str">
        <f t="shared" si="5"/>
        <v/>
      </c>
      <c r="E34" t="s">
        <v>68</v>
      </c>
    </row>
    <row r="35" spans="1:5" x14ac:dyDescent="0.2">
      <c r="A35" t="e" cm="1">
        <f t="array" ref="A35">("0,7%"*1-(0.007))*100000000000000000000</f>
        <v>#VALUE!</v>
      </c>
      <c r="B35">
        <f t="shared" si="3"/>
        <v>3</v>
      </c>
      <c r="C35">
        <f t="shared" si="4"/>
        <v>0</v>
      </c>
      <c r="D35" t="str">
        <f t="shared" si="5"/>
        <v/>
      </c>
      <c r="E35" t="s">
        <v>69</v>
      </c>
    </row>
    <row r="36" spans="1:5" x14ac:dyDescent="0.2">
      <c r="A36" t="e" cm="1">
        <f t="array" ref="A36">(ABS("0,7%")-ABS(0.007))*100000000000000000000</f>
        <v>#VALUE!</v>
      </c>
      <c r="B36">
        <f t="shared" si="3"/>
        <v>3</v>
      </c>
      <c r="C36">
        <f t="shared" si="4"/>
        <v>0</v>
      </c>
      <c r="D36" t="str">
        <f t="shared" si="5"/>
        <v/>
      </c>
      <c r="E36" t="s">
        <v>70</v>
      </c>
    </row>
    <row r="37" spans="1:5" x14ac:dyDescent="0.2">
      <c r="A37" cm="1">
        <f t="array" ref="A37">(VALUE("1,255%")-(0.01255))*100000000000000000000</f>
        <v>1.2537450000000001E+21</v>
      </c>
      <c r="B37">
        <f t="shared" si="3"/>
        <v>0</v>
      </c>
      <c r="C37">
        <f t="shared" si="4"/>
        <v>1.2537450000000001E+21</v>
      </c>
      <c r="D37" t="str">
        <f t="shared" si="5"/>
        <v/>
      </c>
      <c r="E37" t="s">
        <v>71</v>
      </c>
    </row>
    <row r="38" spans="1:5" x14ac:dyDescent="0.2">
      <c r="A38" cm="1">
        <f t="array" ref="A38">("1,255%"*1-(0.01255))*100000000000000000000</f>
        <v>1.2537450000000001E+21</v>
      </c>
      <c r="B38">
        <f t="shared" si="3"/>
        <v>0</v>
      </c>
      <c r="C38">
        <f t="shared" si="4"/>
        <v>1.2537450000000001E+21</v>
      </c>
      <c r="D38" t="str">
        <f t="shared" si="5"/>
        <v/>
      </c>
      <c r="E38" t="s">
        <v>72</v>
      </c>
    </row>
    <row r="39" spans="1:5" x14ac:dyDescent="0.2">
      <c r="A39" cm="1">
        <f t="array" ref="A39">(ABS("1,255%")-ABS(0.01255))*100000000000000000000</f>
        <v>1.2537450000000001E+21</v>
      </c>
      <c r="B39">
        <f t="shared" si="3"/>
        <v>0</v>
      </c>
      <c r="C39">
        <f t="shared" si="4"/>
        <v>1.2537450000000001E+21</v>
      </c>
      <c r="D39" t="str">
        <f t="shared" si="5"/>
        <v/>
      </c>
      <c r="E39" t="s">
        <v>73</v>
      </c>
    </row>
    <row r="40" spans="1:5" x14ac:dyDescent="0.2">
      <c r="A40" t="e" cm="1">
        <f t="array" ref="A40">(VALUE("99,9%")-(0.999))*100000000000000000000</f>
        <v>#VALUE!</v>
      </c>
      <c r="B40">
        <f t="shared" si="3"/>
        <v>3</v>
      </c>
      <c r="C40">
        <f t="shared" si="4"/>
        <v>0</v>
      </c>
      <c r="D40" t="str">
        <f t="shared" si="5"/>
        <v/>
      </c>
      <c r="E40" t="s">
        <v>74</v>
      </c>
    </row>
    <row r="41" spans="1:5" x14ac:dyDescent="0.2">
      <c r="A41" t="e" cm="1">
        <f t="array" ref="A41">("99,9%"*1-(0.999))*100000000000000000000</f>
        <v>#VALUE!</v>
      </c>
      <c r="B41">
        <f t="shared" si="3"/>
        <v>3</v>
      </c>
      <c r="C41">
        <f t="shared" si="4"/>
        <v>0</v>
      </c>
      <c r="D41" t="str">
        <f t="shared" si="5"/>
        <v/>
      </c>
      <c r="E41" t="s">
        <v>75</v>
      </c>
    </row>
    <row r="42" spans="1:5" x14ac:dyDescent="0.2">
      <c r="A42" t="e" cm="1">
        <f t="array" ref="A42">(ABS("99,9%")-ABS(0.999))*100000000000000000000</f>
        <v>#VALUE!</v>
      </c>
      <c r="B42">
        <f t="shared" si="3"/>
        <v>3</v>
      </c>
      <c r="C42">
        <f t="shared" si="4"/>
        <v>0</v>
      </c>
      <c r="D42" t="str">
        <f t="shared" si="5"/>
        <v/>
      </c>
      <c r="E42" t="s">
        <v>76</v>
      </c>
    </row>
    <row r="43" spans="1:5" x14ac:dyDescent="0.2">
      <c r="A43" t="e" cm="1">
        <f t="array" ref="A43">(VALUE("123,45%")-(1.2345))*100000000000000000000</f>
        <v>#VALUE!</v>
      </c>
      <c r="B43">
        <f t="shared" si="3"/>
        <v>3</v>
      </c>
      <c r="C43">
        <f t="shared" si="4"/>
        <v>0</v>
      </c>
      <c r="D43" t="str">
        <f t="shared" si="5"/>
        <v/>
      </c>
      <c r="E43" t="s">
        <v>77</v>
      </c>
    </row>
    <row r="44" spans="1:5" x14ac:dyDescent="0.2">
      <c r="A44" t="e" cm="1">
        <f t="array" ref="A44">("123,45%"*1-(1.2345))*100000000000000000000</f>
        <v>#VALUE!</v>
      </c>
      <c r="B44">
        <f t="shared" si="3"/>
        <v>3</v>
      </c>
      <c r="C44">
        <f t="shared" si="4"/>
        <v>0</v>
      </c>
      <c r="D44" t="str">
        <f t="shared" si="5"/>
        <v/>
      </c>
      <c r="E44" t="s">
        <v>78</v>
      </c>
    </row>
    <row r="45" spans="1:5" x14ac:dyDescent="0.2">
      <c r="A45" t="e" cm="1">
        <f t="array" ref="A45">(ABS("123,45%")-ABS(1.2345))*100000000000000000000</f>
        <v>#VALUE!</v>
      </c>
      <c r="B45">
        <f t="shared" si="3"/>
        <v>3</v>
      </c>
      <c r="C45">
        <f t="shared" si="4"/>
        <v>0</v>
      </c>
      <c r="D45" t="str">
        <f t="shared" si="5"/>
        <v/>
      </c>
      <c r="E45" t="s">
        <v>79</v>
      </c>
    </row>
    <row r="46" spans="1:5" x14ac:dyDescent="0.2">
      <c r="A46" t="e" cm="1">
        <f t="array" ref="A46">(VALUE("(1,1%)")-(-0.011))*100000000000000000000</f>
        <v>#VALUE!</v>
      </c>
      <c r="B46">
        <f t="shared" si="3"/>
        <v>3</v>
      </c>
      <c r="C46">
        <f t="shared" si="4"/>
        <v>0</v>
      </c>
      <c r="D46" t="str">
        <f t="shared" si="5"/>
        <v/>
      </c>
      <c r="E46" t="s">
        <v>80</v>
      </c>
    </row>
    <row r="47" spans="1:5" x14ac:dyDescent="0.2">
      <c r="A47" t="e" cm="1">
        <f t="array" ref="A47">("(1,1%)"*1-(-0.011))*100000000000000000000</f>
        <v>#VALUE!</v>
      </c>
      <c r="B47">
        <f t="shared" si="3"/>
        <v>3</v>
      </c>
      <c r="C47">
        <f t="shared" si="4"/>
        <v>0</v>
      </c>
      <c r="D47" t="str">
        <f t="shared" si="5"/>
        <v/>
      </c>
      <c r="E47" t="s">
        <v>81</v>
      </c>
    </row>
    <row r="48" spans="1:5" x14ac:dyDescent="0.2">
      <c r="A48" t="e" cm="1">
        <f t="array" ref="A48">(ABS("(1,1%)")-ABS(-0.011))*100000000000000000000</f>
        <v>#VALUE!</v>
      </c>
      <c r="B48">
        <f t="shared" si="3"/>
        <v>3</v>
      </c>
      <c r="C48">
        <f t="shared" si="4"/>
        <v>0</v>
      </c>
      <c r="D48" t="str">
        <f t="shared" si="5"/>
        <v/>
      </c>
      <c r="E48" t="s">
        <v>82</v>
      </c>
    </row>
    <row r="49" spans="1:5" x14ac:dyDescent="0.2">
      <c r="A49" t="e" cm="1">
        <f t="array" ref="A49">(VALUE("%0,7")-(0.007))*100000000000000000000</f>
        <v>#VALUE!</v>
      </c>
      <c r="B49">
        <f t="shared" si="3"/>
        <v>3</v>
      </c>
      <c r="C49">
        <f t="shared" si="4"/>
        <v>0</v>
      </c>
      <c r="D49" t="str">
        <f t="shared" si="5"/>
        <v/>
      </c>
      <c r="E49" t="s">
        <v>83</v>
      </c>
    </row>
    <row r="50" spans="1:5" x14ac:dyDescent="0.2">
      <c r="A50" t="e" cm="1">
        <f t="array" ref="A50">("%0,7"*1-(0.007))*100000000000000000000</f>
        <v>#VALUE!</v>
      </c>
      <c r="B50">
        <f t="shared" si="3"/>
        <v>3</v>
      </c>
      <c r="C50">
        <f t="shared" si="4"/>
        <v>0</v>
      </c>
      <c r="D50" t="str">
        <f t="shared" si="5"/>
        <v/>
      </c>
      <c r="E50" t="s">
        <v>84</v>
      </c>
    </row>
    <row r="51" spans="1:5" x14ac:dyDescent="0.2">
      <c r="A51" t="e" cm="1">
        <f t="array" ref="A51">(ABS("%0,7")-ABS(0.007))*100000000000000000000</f>
        <v>#VALUE!</v>
      </c>
      <c r="B51">
        <f t="shared" si="3"/>
        <v>3</v>
      </c>
      <c r="C51">
        <f t="shared" si="4"/>
        <v>0</v>
      </c>
      <c r="D51" t="str">
        <f t="shared" si="5"/>
        <v/>
      </c>
      <c r="E51" t="s">
        <v>85</v>
      </c>
    </row>
    <row r="52" spans="1:5" x14ac:dyDescent="0.2">
      <c r="A52" cm="1">
        <f t="array" ref="A52">(VALUE("11E-1%")-(0.011))*100000000000000000000</f>
        <v>0</v>
      </c>
      <c r="B52">
        <f t="shared" si="3"/>
        <v>0</v>
      </c>
      <c r="C52">
        <f t="shared" si="4"/>
        <v>0</v>
      </c>
      <c r="D52" t="str">
        <f t="shared" si="5"/>
        <v/>
      </c>
      <c r="E52" t="s">
        <v>86</v>
      </c>
    </row>
    <row r="53" spans="1:5" x14ac:dyDescent="0.2">
      <c r="A53" cm="1">
        <f t="array" ref="A53">("11E-1%"*1-(0.011))*100000000000000000000</f>
        <v>0</v>
      </c>
      <c r="B53">
        <f t="shared" si="3"/>
        <v>0</v>
      </c>
      <c r="C53">
        <f t="shared" si="4"/>
        <v>0</v>
      </c>
      <c r="D53" t="str">
        <f t="shared" si="5"/>
        <v/>
      </c>
      <c r="E53" t="s">
        <v>87</v>
      </c>
    </row>
    <row r="54" spans="1:5" x14ac:dyDescent="0.2">
      <c r="A54" cm="1">
        <f t="array" ref="A54">(ABS("11E-1%")-ABS(0.011))*100000000000000000000</f>
        <v>0</v>
      </c>
      <c r="B54">
        <f t="shared" si="3"/>
        <v>0</v>
      </c>
      <c r="C54">
        <f t="shared" si="4"/>
        <v>0</v>
      </c>
      <c r="D54" t="str">
        <f t="shared" si="5"/>
        <v/>
      </c>
      <c r="E54" t="s">
        <v>88</v>
      </c>
    </row>
    <row r="55" spans="1:5" x14ac:dyDescent="0.2">
      <c r="A55" cm="1">
        <f t="array" ref="A55">(VALUE("7E-1%")-(0.007))*100000000000000000000</f>
        <v>0</v>
      </c>
      <c r="B55">
        <f t="shared" si="3"/>
        <v>0</v>
      </c>
      <c r="C55">
        <f t="shared" si="4"/>
        <v>0</v>
      </c>
      <c r="D55" t="str">
        <f t="shared" si="5"/>
        <v/>
      </c>
      <c r="E55" t="s">
        <v>89</v>
      </c>
    </row>
    <row r="56" spans="1:5" x14ac:dyDescent="0.2">
      <c r="A56" cm="1">
        <f t="array" ref="A56">("7E-1%"*1-(0.007))*100000000000000000000</f>
        <v>0</v>
      </c>
      <c r="B56">
        <f t="shared" si="3"/>
        <v>0</v>
      </c>
      <c r="C56">
        <f t="shared" si="4"/>
        <v>0</v>
      </c>
      <c r="D56" t="str">
        <f t="shared" si="5"/>
        <v/>
      </c>
      <c r="E56" t="s">
        <v>90</v>
      </c>
    </row>
    <row r="57" spans="1:5" x14ac:dyDescent="0.2">
      <c r="A57" cm="1">
        <f t="array" ref="A57">(ABS("7E-1%")-ABS(0.007))*100000000000000000000</f>
        <v>0</v>
      </c>
      <c r="B57">
        <f t="shared" si="3"/>
        <v>0</v>
      </c>
      <c r="C57">
        <f t="shared" si="4"/>
        <v>0</v>
      </c>
      <c r="D57" t="str">
        <f t="shared" si="5"/>
        <v/>
      </c>
      <c r="E57" t="s">
        <v>91</v>
      </c>
    </row>
    <row r="58" spans="1:5" x14ac:dyDescent="0.2">
      <c r="A58" cm="1">
        <f t="array" ref="A58">(VALUE("1 2/3")-(1+2/3))*100000000000000000000</f>
        <v>0</v>
      </c>
      <c r="B58">
        <f t="shared" si="3"/>
        <v>0</v>
      </c>
      <c r="C58">
        <f t="shared" si="4"/>
        <v>0</v>
      </c>
      <c r="D58" t="str">
        <f t="shared" si="5"/>
        <v/>
      </c>
      <c r="E58" t="s">
        <v>92</v>
      </c>
    </row>
    <row r="59" spans="1:5" x14ac:dyDescent="0.2">
      <c r="A59" cm="1">
        <f t="array" ref="A59">("1 2/3"*1-(1+2/3))*100000000000000000000</f>
        <v>0</v>
      </c>
      <c r="B59">
        <f t="shared" si="3"/>
        <v>0</v>
      </c>
      <c r="C59">
        <f t="shared" si="4"/>
        <v>0</v>
      </c>
      <c r="D59" t="str">
        <f t="shared" si="5"/>
        <v/>
      </c>
      <c r="E59" t="s">
        <v>93</v>
      </c>
    </row>
    <row r="60" spans="1:5" x14ac:dyDescent="0.2">
      <c r="A60" cm="1">
        <f t="array" ref="A60">(ABS("1 2/3")-ABS(1+2/3))*100000000000000000000</f>
        <v>0</v>
      </c>
      <c r="B60">
        <f t="shared" si="3"/>
        <v>0</v>
      </c>
      <c r="C60">
        <f t="shared" si="4"/>
        <v>0</v>
      </c>
      <c r="D60" t="str">
        <f t="shared" si="5"/>
        <v/>
      </c>
      <c r="E60" t="s">
        <v>94</v>
      </c>
    </row>
    <row r="61" spans="1:5" x14ac:dyDescent="0.2">
      <c r="A61" cm="1">
        <f t="array" ref="A61">(VALUE("2 4/7")-(2+4/7))*100000000000000000000</f>
        <v>0</v>
      </c>
      <c r="B61">
        <f t="shared" si="3"/>
        <v>0</v>
      </c>
      <c r="C61">
        <f t="shared" si="4"/>
        <v>0</v>
      </c>
      <c r="D61" t="str">
        <f t="shared" si="5"/>
        <v/>
      </c>
      <c r="E61" t="s">
        <v>95</v>
      </c>
    </row>
    <row r="62" spans="1:5" x14ac:dyDescent="0.2">
      <c r="A62" cm="1">
        <f t="array" ref="A62">("2 4/7"*1-(2+4/7))*100000000000000000000</f>
        <v>0</v>
      </c>
      <c r="B62">
        <f t="shared" si="3"/>
        <v>0</v>
      </c>
      <c r="C62">
        <f t="shared" si="4"/>
        <v>0</v>
      </c>
      <c r="D62" t="str">
        <f t="shared" si="5"/>
        <v/>
      </c>
      <c r="E62" t="s">
        <v>96</v>
      </c>
    </row>
    <row r="63" spans="1:5" x14ac:dyDescent="0.2">
      <c r="A63" cm="1">
        <f t="array" ref="A63">(ABS("2 4/7")-ABS(2+4/7))*100000000000000000000</f>
        <v>0</v>
      </c>
      <c r="B63">
        <f t="shared" si="3"/>
        <v>0</v>
      </c>
      <c r="C63">
        <f t="shared" si="4"/>
        <v>0</v>
      </c>
      <c r="D63" t="str">
        <f t="shared" si="5"/>
        <v/>
      </c>
      <c r="E63" t="s">
        <v>97</v>
      </c>
    </row>
    <row r="64" spans="1:5" x14ac:dyDescent="0.2">
      <c r="A64" cm="1">
        <f t="array" ref="A64">(VALUE("1 2/3%")-((1+2/3)/100))*100000000000000000000</f>
        <v>0</v>
      </c>
      <c r="B64">
        <f t="shared" si="3"/>
        <v>0</v>
      </c>
      <c r="C64">
        <f t="shared" si="4"/>
        <v>0</v>
      </c>
      <c r="D64" t="str">
        <f t="shared" si="5"/>
        <v/>
      </c>
      <c r="E64" t="s">
        <v>98</v>
      </c>
    </row>
    <row r="65" spans="1:5" x14ac:dyDescent="0.2">
      <c r="A65" cm="1">
        <f t="array" ref="A65">("1 2/3%"*1-((1+2/3)/100))*100000000000000000000</f>
        <v>0</v>
      </c>
      <c r="B65">
        <f t="shared" ref="B65:B96" si="6">IF(ISERROR(A65),ERROR.TYPE(A65),IF(ISNUMBER(A65),0,IF(ISLOGICAL(A65),IF(A65,-1,-2),IF(ISTEXT(A65),-3,-4))))</f>
        <v>0</v>
      </c>
      <c r="C65">
        <f t="shared" ref="C65:C76" si="7">IF(ISNUMBER(A65),A65,0)</f>
        <v>0</v>
      </c>
      <c r="D65" t="str">
        <f t="shared" ref="D65:D76" si="8">IF(ISTEXT(A65),A65,"")</f>
        <v/>
      </c>
      <c r="E65" t="s">
        <v>99</v>
      </c>
    </row>
    <row r="66" spans="1:5" x14ac:dyDescent="0.2">
      <c r="A66" cm="1">
        <f t="array" ref="A66">(ABS("1 2/3%")-ABS((1+2/3)/100))*100000000000000000000</f>
        <v>0</v>
      </c>
      <c r="B66">
        <f t="shared" si="6"/>
        <v>0</v>
      </c>
      <c r="C66">
        <f t="shared" si="7"/>
        <v>0</v>
      </c>
      <c r="D66" t="str">
        <f t="shared" si="8"/>
        <v/>
      </c>
      <c r="E66" t="s">
        <v>100</v>
      </c>
    </row>
    <row r="67" spans="1:5" x14ac:dyDescent="0.2">
      <c r="A67" cm="1">
        <f t="array" ref="A67">(1.1%-0.011)*100000000000000000000</f>
        <v>173.47234759768071</v>
      </c>
      <c r="B67">
        <f t="shared" si="6"/>
        <v>0</v>
      </c>
      <c r="C67">
        <f t="shared" si="7"/>
        <v>173.47234759768071</v>
      </c>
      <c r="D67" t="str">
        <f t="shared" si="8"/>
        <v/>
      </c>
      <c r="E67" t="s">
        <v>101</v>
      </c>
    </row>
    <row r="68" spans="1:5" x14ac:dyDescent="0.2">
      <c r="A68" cm="1">
        <f t="array" ref="A68">(0.7%-0.007)*100000000000000000000</f>
        <v>-86.736173798840355</v>
      </c>
      <c r="B68">
        <f t="shared" si="6"/>
        <v>0</v>
      </c>
      <c r="C68">
        <f t="shared" si="7"/>
        <v>-86.736173798840355</v>
      </c>
      <c r="D68" t="str">
        <f t="shared" si="8"/>
        <v/>
      </c>
      <c r="E68" t="s">
        <v>102</v>
      </c>
    </row>
    <row r="69" spans="1:5" x14ac:dyDescent="0.2">
      <c r="A69" cm="1">
        <f t="array" ref="A69">(99.9%-0.999)*100000000000000000000</f>
        <v>11102.230246251565</v>
      </c>
      <c r="B69">
        <f t="shared" si="6"/>
        <v>0</v>
      </c>
      <c r="C69">
        <f t="shared" si="7"/>
        <v>11102.230246251565</v>
      </c>
      <c r="D69" t="str">
        <f t="shared" si="8"/>
        <v/>
      </c>
      <c r="E69" t="s">
        <v>103</v>
      </c>
    </row>
    <row r="70" spans="1:5" x14ac:dyDescent="0.2">
      <c r="A70" cm="1">
        <f t="array" ref="A70">((11/10)%-0.011)*100000000000000000000</f>
        <v>173.47234759768071</v>
      </c>
      <c r="B70">
        <f t="shared" si="6"/>
        <v>0</v>
      </c>
      <c r="C70">
        <f t="shared" si="7"/>
        <v>173.47234759768071</v>
      </c>
      <c r="D70" t="str">
        <f t="shared" si="8"/>
        <v/>
      </c>
      <c r="E70" t="s">
        <v>104</v>
      </c>
    </row>
    <row r="71" spans="1:5" x14ac:dyDescent="0.2">
      <c r="A71" cm="1">
        <f t="array" ref="A71">(9%%-0.0009)*100000000000000000000</f>
        <v>0</v>
      </c>
      <c r="B71">
        <f t="shared" si="6"/>
        <v>0</v>
      </c>
      <c r="C71">
        <f t="shared" si="7"/>
        <v>0</v>
      </c>
      <c r="D71" t="str">
        <f t="shared" si="8"/>
        <v/>
      </c>
      <c r="E71" t="s">
        <v>105</v>
      </c>
    </row>
    <row r="72" spans="1:5" x14ac:dyDescent="0.2">
      <c r="A72" cm="1">
        <f t="array" ref="A72">(_xlfn.NUMBERVALUE("1.1%",".",",")-0.011)*100000000000000000000</f>
        <v>173.47234759768071</v>
      </c>
      <c r="B72">
        <f t="shared" si="6"/>
        <v>0</v>
      </c>
      <c r="C72">
        <f t="shared" si="7"/>
        <v>173.47234759768071</v>
      </c>
      <c r="D72" t="str">
        <f t="shared" si="8"/>
        <v/>
      </c>
      <c r="E72" t="s">
        <v>106</v>
      </c>
    </row>
    <row r="73" spans="1:5" x14ac:dyDescent="0.2">
      <c r="A73" cm="1">
        <f t="array" ref="A73">(_xlfn.NUMBERVALUE("1,1%",",",".")-0.011)*100000000000000000000</f>
        <v>173.47234759768071</v>
      </c>
      <c r="B73">
        <f t="shared" si="6"/>
        <v>0</v>
      </c>
      <c r="C73">
        <f t="shared" si="7"/>
        <v>173.47234759768071</v>
      </c>
      <c r="D73" t="str">
        <f t="shared" si="8"/>
        <v/>
      </c>
      <c r="E73" t="s">
        <v>107</v>
      </c>
    </row>
    <row r="74" spans="1:5" x14ac:dyDescent="0.2">
      <c r="A74" cm="1">
        <f t="array" ref="A74">(_xlfn.NUMBERVALUE("0.7%",".")-0.007)*100000000000000000000</f>
        <v>-86.736173798840355</v>
      </c>
      <c r="B74">
        <f t="shared" si="6"/>
        <v>0</v>
      </c>
      <c r="C74">
        <f t="shared" si="7"/>
        <v>-86.736173798840355</v>
      </c>
      <c r="D74" t="str">
        <f t="shared" si="8"/>
        <v/>
      </c>
      <c r="E74" t="s">
        <v>108</v>
      </c>
    </row>
    <row r="75" spans="1:5" x14ac:dyDescent="0.2">
      <c r="A75" cm="1">
        <f t="array" ref="A75">(_xlfn.NUMBERVALUE("9%%",".")-0.0009)*100000000000000000000</f>
        <v>0</v>
      </c>
      <c r="B75">
        <f t="shared" si="6"/>
        <v>0</v>
      </c>
      <c r="C75">
        <f t="shared" si="7"/>
        <v>0</v>
      </c>
      <c r="D75" t="str">
        <f t="shared" si="8"/>
        <v/>
      </c>
      <c r="E75" t="s">
        <v>109</v>
      </c>
    </row>
    <row r="76" spans="1:5" x14ac:dyDescent="0.2">
      <c r="A76" cm="1">
        <f t="array" ref="A76">(_xlfn.NUMBERVALUE("1.1%%",".")-0.00011)*100000000000000000000</f>
        <v>1.3552527156068805</v>
      </c>
      <c r="B76">
        <f t="shared" si="6"/>
        <v>0</v>
      </c>
      <c r="C76">
        <f t="shared" si="7"/>
        <v>1.3552527156068805</v>
      </c>
      <c r="D76" t="str">
        <f t="shared" si="8"/>
        <v/>
      </c>
      <c r="E76" t="s">
        <v>110</v>
      </c>
    </row>
    <row r="77" spans="1:5" x14ac:dyDescent="0.2">
      <c r="A77" t="s">
        <v>111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2026-10-10T14:42:06Z</dcterms:created>
  <dcterms:modified xsi:type="dcterms:W3CDTF">2026-10-10T14:42:07Z</dcterms:modified>
  <cp:category/>
</cp:coreProperties>
</file>