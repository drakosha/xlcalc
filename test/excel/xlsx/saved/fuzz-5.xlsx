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74B88D38-1E90-F54A-B5AB-E57BFCC3860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D400" i="2" s="1"/>
  <c r="A399" i="2" a="1"/>
  <c r="A399" i="2" s="1"/>
  <c r="A398" i="2" a="1"/>
  <c r="A398" i="2"/>
  <c r="D398" i="2" s="1"/>
  <c r="A397" i="2" a="1"/>
  <c r="A397" i="2" s="1"/>
  <c r="A396" i="2" a="1"/>
  <c r="A396" i="2"/>
  <c r="D396" i="2" s="1"/>
  <c r="A395" i="2" a="1"/>
  <c r="A395" i="2" s="1"/>
  <c r="D395" i="2" s="1"/>
  <c r="A394" i="2" a="1"/>
  <c r="A394" i="2" s="1"/>
  <c r="A393" i="2" a="1"/>
  <c r="A393" i="2" s="1"/>
  <c r="A392" i="2" a="1"/>
  <c r="A392" i="2" s="1"/>
  <c r="A391" i="2" a="1"/>
  <c r="A391" i="2"/>
  <c r="B391" i="2" s="1"/>
  <c r="A390" i="2" a="1"/>
  <c r="A390" i="2" s="1"/>
  <c r="A389" i="2" a="1"/>
  <c r="A389" i="2"/>
  <c r="D389" i="2" s="1"/>
  <c r="A388" i="2" a="1"/>
  <c r="A388" i="2" s="1"/>
  <c r="A387" i="2" a="1"/>
  <c r="A387" i="2" s="1"/>
  <c r="A386" i="2" a="1"/>
  <c r="A386" i="2"/>
  <c r="B386" i="2" s="1"/>
  <c r="A385" i="2" a="1"/>
  <c r="A385" i="2" s="1"/>
  <c r="A384" i="2" a="1"/>
  <c r="A384" i="2" s="1"/>
  <c r="A383" i="2" a="1"/>
  <c r="A383" i="2" s="1"/>
  <c r="D383" i="2" s="1"/>
  <c r="A382" i="2" a="1"/>
  <c r="A382" i="2"/>
  <c r="D382" i="2" s="1"/>
  <c r="A381" i="2" a="1"/>
  <c r="A381" i="2" s="1"/>
  <c r="C381" i="2" s="1"/>
  <c r="A380" i="2" a="1"/>
  <c r="A380" i="2" s="1"/>
  <c r="A379" i="2" a="1"/>
  <c r="A379" i="2" s="1"/>
  <c r="B379" i="2" s="1"/>
  <c r="A378" i="2" a="1"/>
  <c r="A378" i="2"/>
  <c r="A377" i="2" a="1"/>
  <c r="A377" i="2" s="1"/>
  <c r="D377" i="2" s="1"/>
  <c r="A376" i="2" a="1"/>
  <c r="A376" i="2" s="1"/>
  <c r="D376" i="2" s="1"/>
  <c r="A375" i="2" a="1"/>
  <c r="A375" i="2" s="1"/>
  <c r="A374" i="2" a="1"/>
  <c r="A374" i="2" s="1"/>
  <c r="A373" i="2" a="1"/>
  <c r="A373" i="2"/>
  <c r="C373" i="2" s="1"/>
  <c r="A372" i="2" a="1"/>
  <c r="A372" i="2" s="1"/>
  <c r="B372" i="2" s="1"/>
  <c r="A371" i="2" a="1"/>
  <c r="A371" i="2"/>
  <c r="D371" i="2" s="1"/>
  <c r="A370" i="2" a="1"/>
  <c r="A370" i="2" s="1"/>
  <c r="D370" i="2" s="1"/>
  <c r="A369" i="2" a="1"/>
  <c r="A369" i="2" s="1"/>
  <c r="A368" i="2" a="1"/>
  <c r="A368" i="2" s="1"/>
  <c r="A367" i="2" a="1"/>
  <c r="A367" i="2" s="1"/>
  <c r="A366" i="2" a="1"/>
  <c r="A366" i="2" s="1"/>
  <c r="A365" i="2" a="1"/>
  <c r="A365" i="2" s="1"/>
  <c r="D365" i="2" s="1"/>
  <c r="A364" i="2" a="1"/>
  <c r="A364" i="2"/>
  <c r="D364" i="2" s="1"/>
  <c r="A363" i="2" a="1"/>
  <c r="A363" i="2"/>
  <c r="A362" i="2" a="1"/>
  <c r="A362" i="2"/>
  <c r="C362" i="2" s="1"/>
  <c r="A361" i="2" a="1"/>
  <c r="A361" i="2" s="1"/>
  <c r="A360" i="2" a="1"/>
  <c r="A360" i="2"/>
  <c r="B359" i="2"/>
  <c r="A359" i="2" a="1"/>
  <c r="A359" i="2" s="1"/>
  <c r="D359" i="2" s="1"/>
  <c r="A358" i="2" a="1"/>
  <c r="A358" i="2" s="1"/>
  <c r="A357" i="2" a="1"/>
  <c r="A357" i="2" s="1"/>
  <c r="A356" i="2" a="1"/>
  <c r="A356" i="2"/>
  <c r="D356" i="2" s="1"/>
  <c r="A355" i="2" a="1"/>
  <c r="A355" i="2"/>
  <c r="B355" i="2" s="1"/>
  <c r="A354" i="2" a="1"/>
  <c r="A354" i="2" s="1"/>
  <c r="A353" i="2" a="1"/>
  <c r="A353" i="2"/>
  <c r="A352" i="2" a="1"/>
  <c r="A352" i="2"/>
  <c r="A351" i="2" a="1"/>
  <c r="A351" i="2" s="1"/>
  <c r="A350" i="2" a="1"/>
  <c r="A350" i="2"/>
  <c r="D350" i="2" s="1"/>
  <c r="A349" i="2" a="1"/>
  <c r="A349" i="2" s="1"/>
  <c r="A348" i="2" a="1"/>
  <c r="A348" i="2"/>
  <c r="A347" i="2" a="1"/>
  <c r="A347" i="2" s="1"/>
  <c r="C347" i="2" s="1"/>
  <c r="A346" i="2" a="1"/>
  <c r="A346" i="2" s="1"/>
  <c r="A345" i="2" a="1"/>
  <c r="A345" i="2" s="1"/>
  <c r="A344" i="2" a="1"/>
  <c r="A344" i="2"/>
  <c r="C344" i="2" s="1"/>
  <c r="A343" i="2" a="1"/>
  <c r="A343" i="2" s="1"/>
  <c r="A342" i="2" a="1"/>
  <c r="A342" i="2" s="1"/>
  <c r="D341" i="2"/>
  <c r="A341" i="2" a="1"/>
  <c r="A341" i="2" s="1"/>
  <c r="C341" i="2" s="1"/>
  <c r="A340" i="2" a="1"/>
  <c r="A340" i="2" s="1"/>
  <c r="D340" i="2" s="1"/>
  <c r="A339" i="2" a="1"/>
  <c r="A339" i="2"/>
  <c r="C339" i="2" s="1"/>
  <c r="A338" i="2" a="1"/>
  <c r="A338" i="2"/>
  <c r="A337" i="2" a="1"/>
  <c r="A337" i="2"/>
  <c r="B337" i="2" s="1"/>
  <c r="A336" i="2" a="1"/>
  <c r="A336" i="2" s="1"/>
  <c r="A335" i="2" a="1"/>
  <c r="A335" i="2" s="1"/>
  <c r="B335" i="2" s="1"/>
  <c r="A334" i="2" a="1"/>
  <c r="A334" i="2"/>
  <c r="A333" i="2" a="1"/>
  <c r="A333" i="2"/>
  <c r="D333" i="2" s="1"/>
  <c r="A332" i="2" a="1"/>
  <c r="A332" i="2"/>
  <c r="C332" i="2" s="1"/>
  <c r="A331" i="2" a="1"/>
  <c r="A331" i="2" s="1"/>
  <c r="B331" i="2" s="1"/>
  <c r="A330" i="2" a="1"/>
  <c r="A330" i="2" s="1"/>
  <c r="A329" i="2" a="1"/>
  <c r="A329" i="2" s="1"/>
  <c r="D329" i="2" s="1"/>
  <c r="A328" i="2" a="1"/>
  <c r="A328" i="2"/>
  <c r="A327" i="2" a="1"/>
  <c r="A327" i="2" s="1"/>
  <c r="B327" i="2" s="1"/>
  <c r="A326" i="2" a="1"/>
  <c r="A326" i="2"/>
  <c r="C326" i="2" s="1"/>
  <c r="A325" i="2" a="1"/>
  <c r="A325" i="2" s="1"/>
  <c r="B325" i="2" s="1"/>
  <c r="A324" i="2" a="1"/>
  <c r="A324" i="2" s="1"/>
  <c r="A323" i="2" a="1"/>
  <c r="A323" i="2" s="1"/>
  <c r="D323" i="2" s="1"/>
  <c r="A322" i="2" a="1"/>
  <c r="A322" i="2" s="1"/>
  <c r="A321" i="2" a="1"/>
  <c r="A321" i="2"/>
  <c r="A320" i="2" a="1"/>
  <c r="A320" i="2" s="1"/>
  <c r="A319" i="2" a="1"/>
  <c r="A319" i="2"/>
  <c r="B319" i="2" s="1"/>
  <c r="D318" i="2"/>
  <c r="A318" i="2" a="1"/>
  <c r="A318" i="2"/>
  <c r="C318" i="2" s="1"/>
  <c r="A317" i="2" a="1"/>
  <c r="A317" i="2"/>
  <c r="A316" i="2" a="1"/>
  <c r="A316" i="2" s="1"/>
  <c r="A315" i="2" a="1"/>
  <c r="A315" i="2" s="1"/>
  <c r="A314" i="2" a="1"/>
  <c r="A314" i="2"/>
  <c r="D314" i="2" s="1"/>
  <c r="A313" i="2" a="1"/>
  <c r="A313" i="2"/>
  <c r="A312" i="2" a="1"/>
  <c r="A312" i="2"/>
  <c r="B312" i="2" s="1"/>
  <c r="D311" i="2"/>
  <c r="B311" i="2"/>
  <c r="A311" i="2" a="1"/>
  <c r="A311" i="2" s="1"/>
  <c r="C311" i="2" s="1"/>
  <c r="A308" i="2" a="1"/>
  <c r="A308" i="2"/>
  <c r="C308" i="2" s="1"/>
  <c r="A307" i="2" a="1"/>
  <c r="A307" i="2" s="1"/>
  <c r="B307" i="2" s="1"/>
  <c r="A306" i="2" a="1"/>
  <c r="A306" i="2" s="1"/>
  <c r="D306" i="2" s="1"/>
  <c r="A305" i="2" a="1"/>
  <c r="A305" i="2" s="1"/>
  <c r="D305" i="2" s="1"/>
  <c r="A304" i="2" a="1"/>
  <c r="A304" i="2" s="1"/>
  <c r="A303" i="2" a="1"/>
  <c r="A303" i="2"/>
  <c r="A301" i="2" a="1"/>
  <c r="A301" i="2" s="1"/>
  <c r="B301" i="2" s="1"/>
  <c r="A300" i="2" a="1"/>
  <c r="A300" i="2"/>
  <c r="A299" i="2" a="1"/>
  <c r="A299" i="2" s="1"/>
  <c r="A298" i="2" a="1"/>
  <c r="A298" i="2" s="1"/>
  <c r="D298" i="2" s="1"/>
  <c r="A297" i="2" a="1"/>
  <c r="A297" i="2" s="1"/>
  <c r="D297" i="2" s="1"/>
  <c r="A295" i="2" a="1"/>
  <c r="A295" i="2"/>
  <c r="A294" i="2" a="1"/>
  <c r="A294" i="2" s="1"/>
  <c r="B294" i="2" s="1"/>
  <c r="A293" i="2" a="1"/>
  <c r="A293" i="2" s="1"/>
  <c r="D293" i="2" s="1"/>
  <c r="A292" i="2" a="1"/>
  <c r="A292" i="2" s="1"/>
  <c r="D292" i="2" s="1"/>
  <c r="A291" i="2" a="1"/>
  <c r="A291" i="2"/>
  <c r="A290" i="2" a="1"/>
  <c r="A290" i="2" s="1"/>
  <c r="A288" i="2" a="1"/>
  <c r="A288" i="2" s="1"/>
  <c r="D288" i="2" s="1"/>
  <c r="A287" i="2" a="1"/>
  <c r="A287" i="2" s="1"/>
  <c r="B287" i="2" s="1"/>
  <c r="A286" i="2" a="1"/>
  <c r="A286" i="2"/>
  <c r="B286" i="2" s="1"/>
  <c r="A285" i="2" a="1"/>
  <c r="A285" i="2"/>
  <c r="A284" i="2" a="1"/>
  <c r="A284" i="2" s="1"/>
  <c r="D284" i="2" s="1"/>
  <c r="A283" i="2" a="1"/>
  <c r="A283" i="2" s="1"/>
  <c r="D283" i="2" s="1"/>
  <c r="A282" i="2" a="1"/>
  <c r="A282" i="2"/>
  <c r="A281" i="2" a="1"/>
  <c r="A281" i="2" s="1"/>
  <c r="A280" i="2" a="1"/>
  <c r="A280" i="2" s="1"/>
  <c r="A279" i="2" a="1"/>
  <c r="A279" i="2" s="1"/>
  <c r="D279" i="2" s="1"/>
  <c r="D278" i="2"/>
  <c r="A278" i="2" a="1"/>
  <c r="A278" i="2"/>
  <c r="C278" i="2" s="1"/>
  <c r="A277" i="2" a="1"/>
  <c r="A277" i="2" s="1"/>
  <c r="A276" i="2" a="1"/>
  <c r="A276" i="2"/>
  <c r="D276" i="2" s="1"/>
  <c r="D275" i="2"/>
  <c r="C275" i="2"/>
  <c r="B275" i="2"/>
  <c r="A275" i="2" a="1"/>
  <c r="A275" i="2" s="1"/>
  <c r="A274" i="2" a="1"/>
  <c r="A274" i="2"/>
  <c r="A273" i="2" a="1"/>
  <c r="A273" i="2" s="1"/>
  <c r="A272" i="2" a="1"/>
  <c r="A272" i="2" s="1"/>
  <c r="A271" i="2" a="1"/>
  <c r="A271" i="2" s="1"/>
  <c r="B271" i="2" s="1"/>
  <c r="A270" i="2" a="1"/>
  <c r="A270" i="2" s="1"/>
  <c r="A269" i="2" a="1"/>
  <c r="A269" i="2" s="1"/>
  <c r="A268" i="2" a="1"/>
  <c r="A268" i="2"/>
  <c r="D268" i="2" s="1"/>
  <c r="A267" i="2" a="1"/>
  <c r="A267" i="2"/>
  <c r="A266" i="2" a="1"/>
  <c r="A266" i="2" s="1"/>
  <c r="B266" i="2" s="1"/>
  <c r="A265" i="2" a="1"/>
  <c r="A265" i="2"/>
  <c r="A264" i="2" a="1"/>
  <c r="A264" i="2"/>
  <c r="C264" i="2" s="1"/>
  <c r="A263" i="2" a="1"/>
  <c r="A263" i="2"/>
  <c r="A262" i="2" a="1"/>
  <c r="A262" i="2" s="1"/>
  <c r="B262" i="2" s="1"/>
  <c r="A261" i="2" a="1"/>
  <c r="A261" i="2"/>
  <c r="D261" i="2" s="1"/>
  <c r="D260" i="2"/>
  <c r="C260" i="2"/>
  <c r="B260" i="2"/>
  <c r="A260" i="2" a="1"/>
  <c r="A260" i="2"/>
  <c r="A259" i="2" a="1"/>
  <c r="A259" i="2" s="1"/>
  <c r="A258" i="2" a="1"/>
  <c r="A258" i="2"/>
  <c r="C258" i="2" s="1"/>
  <c r="A257" i="2" a="1"/>
  <c r="A257" i="2" s="1"/>
  <c r="A256" i="2" a="1"/>
  <c r="A256" i="2" s="1"/>
  <c r="A255" i="2" a="1"/>
  <c r="A255" i="2"/>
  <c r="D255" i="2" s="1"/>
  <c r="A254" i="2" a="1"/>
  <c r="A254" i="2" s="1"/>
  <c r="C254" i="2" s="1"/>
  <c r="A253" i="2" a="1"/>
  <c r="A253" i="2" s="1"/>
  <c r="B253" i="2" s="1"/>
  <c r="A252" i="2" a="1"/>
  <c r="A252" i="2"/>
  <c r="A251" i="2" a="1"/>
  <c r="A251" i="2" s="1"/>
  <c r="D251" i="2" s="1"/>
  <c r="A250" i="2" a="1"/>
  <c r="A250" i="2"/>
  <c r="D250" i="2" s="1"/>
  <c r="A249" i="2" a="1"/>
  <c r="A249" i="2"/>
  <c r="C249" i="2" s="1"/>
  <c r="A248" i="2" a="1"/>
  <c r="A248" i="2" s="1"/>
  <c r="A247" i="2" a="1"/>
  <c r="A247" i="2"/>
  <c r="B247" i="2" s="1"/>
  <c r="A246" i="2" a="1"/>
  <c r="A246" i="2"/>
  <c r="D246" i="2" s="1"/>
  <c r="A245" i="2" a="1"/>
  <c r="A245" i="2" s="1"/>
  <c r="B245" i="2" s="1"/>
  <c r="A244" i="2" a="1"/>
  <c r="A244" i="2"/>
  <c r="D244" i="2" s="1"/>
  <c r="A243" i="2" a="1"/>
  <c r="A243" i="2"/>
  <c r="D243" i="2" s="1"/>
  <c r="A242" i="2" a="1"/>
  <c r="A242" i="2" s="1"/>
  <c r="A241" i="2" a="1"/>
  <c r="A241" i="2" s="1"/>
  <c r="D241" i="2" s="1"/>
  <c r="A240" i="2" a="1"/>
  <c r="A240" i="2"/>
  <c r="A239" i="2" a="1"/>
  <c r="A239" i="2" s="1"/>
  <c r="D239" i="2" s="1"/>
  <c r="A238" i="2" a="1"/>
  <c r="A238" i="2"/>
  <c r="A237" i="2" a="1"/>
  <c r="A237" i="2" s="1"/>
  <c r="D237" i="2" s="1"/>
  <c r="A236" i="2" a="1"/>
  <c r="A236" i="2"/>
  <c r="C236" i="2" s="1"/>
  <c r="A235" i="2" a="1"/>
  <c r="A235" i="2" s="1"/>
  <c r="A234" i="2" a="1"/>
  <c r="A234" i="2" s="1"/>
  <c r="A233" i="2" a="1"/>
  <c r="A233" i="2" s="1"/>
  <c r="D233" i="2" s="1"/>
  <c r="D232" i="2"/>
  <c r="C232" i="2"/>
  <c r="A232" i="2" a="1"/>
  <c r="A232" i="2" s="1"/>
  <c r="B232" i="2" s="1"/>
  <c r="A231" i="2" a="1"/>
  <c r="A231" i="2"/>
  <c r="A230" i="2" a="1"/>
  <c r="A230" i="2"/>
  <c r="D230" i="2" s="1"/>
  <c r="A229" i="2" a="1"/>
  <c r="A229" i="2" s="1"/>
  <c r="D228" i="2"/>
  <c r="C228" i="2"/>
  <c r="A228" i="2" a="1"/>
  <c r="A228" i="2"/>
  <c r="B228" i="2" s="1"/>
  <c r="A227" i="2" a="1"/>
  <c r="A227" i="2"/>
  <c r="A226" i="2" a="1"/>
  <c r="A226" i="2"/>
  <c r="D226" i="2" s="1"/>
  <c r="A225" i="2" a="1"/>
  <c r="A225" i="2" s="1"/>
  <c r="A224" i="2" a="1"/>
  <c r="A224" i="2"/>
  <c r="C224" i="2" s="1"/>
  <c r="A223" i="2" a="1"/>
  <c r="A223" i="2"/>
  <c r="D223" i="2" s="1"/>
  <c r="A222" i="2" a="1"/>
  <c r="A222" i="2"/>
  <c r="D222" i="2" s="1"/>
  <c r="A221" i="2" a="1"/>
  <c r="A221" i="2" s="1"/>
  <c r="C221" i="2" s="1"/>
  <c r="A220" i="2" a="1"/>
  <c r="A220" i="2" s="1"/>
  <c r="A219" i="2" a="1"/>
  <c r="A219" i="2" s="1"/>
  <c r="D219" i="2" s="1"/>
  <c r="A218" i="2" a="1"/>
  <c r="A218" i="2"/>
  <c r="D218" i="2" s="1"/>
  <c r="A217" i="2" a="1"/>
  <c r="A217" i="2" s="1"/>
  <c r="B217" i="2" s="1"/>
  <c r="A216" i="2" a="1"/>
  <c r="A216" i="2"/>
  <c r="D216" i="2" s="1"/>
  <c r="A215" i="2" a="1"/>
  <c r="A215" i="2" s="1"/>
  <c r="A214" i="2" a="1"/>
  <c r="A214" i="2" s="1"/>
  <c r="A213" i="2" a="1"/>
  <c r="A213" i="2"/>
  <c r="C213" i="2" s="1"/>
  <c r="A212" i="2" a="1"/>
  <c r="A212" i="2"/>
  <c r="D212" i="2" s="1"/>
  <c r="A211" i="2" a="1"/>
  <c r="A211" i="2" s="1"/>
  <c r="A210" i="2" a="1"/>
  <c r="A210" i="2"/>
  <c r="B210" i="2" s="1"/>
  <c r="A209" i="2" a="1"/>
  <c r="A209" i="2"/>
  <c r="A207" i="2" a="1"/>
  <c r="A207" i="2" s="1"/>
  <c r="D207" i="2" s="1"/>
  <c r="A206" i="2" a="1"/>
  <c r="A206" i="2"/>
  <c r="D206" i="2" s="1"/>
  <c r="A205" i="2" a="1"/>
  <c r="A205" i="2"/>
  <c r="B205" i="2" s="1"/>
  <c r="A204" i="2" a="1"/>
  <c r="A204" i="2" s="1"/>
  <c r="B204" i="2" s="1"/>
  <c r="A203" i="2" a="1"/>
  <c r="A203" i="2" s="1"/>
  <c r="D203" i="2" s="1"/>
  <c r="A202" i="2" a="1"/>
  <c r="A202" i="2"/>
  <c r="A201" i="2" a="1"/>
  <c r="A201" i="2" s="1"/>
  <c r="A199" i="2" a="1"/>
  <c r="A199" i="2" s="1"/>
  <c r="B199" i="2" s="1"/>
  <c r="A198" i="2" a="1"/>
  <c r="A198" i="2" s="1"/>
  <c r="A197" i="2" a="1"/>
  <c r="A197" i="2"/>
  <c r="D197" i="2" s="1"/>
  <c r="A196" i="2" a="1"/>
  <c r="A196" i="2" s="1"/>
  <c r="A195" i="2" a="1"/>
  <c r="A195" i="2"/>
  <c r="C195" i="2" s="1"/>
  <c r="A194" i="2" a="1"/>
  <c r="A194" i="2"/>
  <c r="A193" i="2" a="1"/>
  <c r="A193" i="2" s="1"/>
  <c r="A192" i="2" a="1"/>
  <c r="A192" i="2"/>
  <c r="D192" i="2" s="1"/>
  <c r="A191" i="2" a="1"/>
  <c r="A191" i="2" s="1"/>
  <c r="A189" i="2" a="1"/>
  <c r="A189" i="2" s="1"/>
  <c r="D189" i="2" s="1"/>
  <c r="A188" i="2" a="1"/>
  <c r="A188" i="2"/>
  <c r="D188" i="2" s="1"/>
  <c r="A187" i="2" a="1"/>
  <c r="A187" i="2" s="1"/>
  <c r="A186" i="2" a="1"/>
  <c r="A186" i="2" s="1"/>
  <c r="A185" i="2" a="1"/>
  <c r="A185" i="2" s="1"/>
  <c r="B185" i="2" s="1"/>
  <c r="A184" i="2" a="1"/>
  <c r="A184" i="2"/>
  <c r="A183" i="2" a="1"/>
  <c r="A183" i="2"/>
  <c r="D183" i="2" s="1"/>
  <c r="A182" i="2" a="1"/>
  <c r="A182" i="2" s="1"/>
  <c r="A181" i="2" a="1"/>
  <c r="A181" i="2" s="1"/>
  <c r="B181" i="2" s="1"/>
  <c r="A180" i="2" a="1"/>
  <c r="A180" i="2" s="1"/>
  <c r="D180" i="2" s="1"/>
  <c r="A179" i="2" a="1"/>
  <c r="A179" i="2" s="1"/>
  <c r="D179" i="2" s="1"/>
  <c r="A178" i="2" a="1"/>
  <c r="A178" i="2"/>
  <c r="A177" i="2" a="1"/>
  <c r="A177" i="2" s="1"/>
  <c r="A176" i="2" a="1"/>
  <c r="A176" i="2" s="1"/>
  <c r="A175" i="2" a="1"/>
  <c r="A175" i="2" s="1"/>
  <c r="C175" i="2" s="1"/>
  <c r="A174" i="2" a="1"/>
  <c r="A174" i="2"/>
  <c r="A173" i="2" a="1"/>
  <c r="A173" i="2" s="1"/>
  <c r="A171" i="2" a="1"/>
  <c r="A171" i="2" s="1"/>
  <c r="D171" i="2" s="1"/>
  <c r="A170" i="2" a="1"/>
  <c r="A170" i="2"/>
  <c r="D170" i="2" s="1"/>
  <c r="A168" i="2" a="1"/>
  <c r="A168" i="2" s="1"/>
  <c r="A167" i="2" a="1"/>
  <c r="A167" i="2" s="1"/>
  <c r="B167" i="2" s="1"/>
  <c r="A166" i="2" a="1"/>
  <c r="A166" i="2" s="1"/>
  <c r="A165" i="2" a="1"/>
  <c r="A165" i="2"/>
  <c r="D165" i="2" s="1"/>
  <c r="A164" i="2" a="1"/>
  <c r="A164" i="2" s="1"/>
  <c r="A162" i="2" a="1"/>
  <c r="A162" i="2"/>
  <c r="D162" i="2" s="1"/>
  <c r="A161" i="2" a="1"/>
  <c r="A161" i="2"/>
  <c r="D161" i="2" s="1"/>
  <c r="A160" i="2" a="1"/>
  <c r="A160" i="2" s="1"/>
  <c r="A159" i="2" a="1"/>
  <c r="A159" i="2" s="1"/>
  <c r="A158" i="2" a="1"/>
  <c r="A158" i="2" s="1"/>
  <c r="A157" i="2" a="1"/>
  <c r="A157" i="2"/>
  <c r="D157" i="2" s="1"/>
  <c r="A156" i="2" a="1"/>
  <c r="A156" i="2"/>
  <c r="D156" i="2" s="1"/>
  <c r="A155" i="2" a="1"/>
  <c r="A155" i="2" s="1"/>
  <c r="D155" i="2" s="1"/>
  <c r="A154" i="2" a="1"/>
  <c r="A154" i="2" s="1"/>
  <c r="A153" i="2" a="1"/>
  <c r="A153" i="2"/>
  <c r="D153" i="2" s="1"/>
  <c r="A152" i="2" a="1"/>
  <c r="A152" i="2"/>
  <c r="D152" i="2" s="1"/>
  <c r="D151" i="2"/>
  <c r="C151" i="2"/>
  <c r="B151" i="2"/>
  <c r="A151" i="2" a="1"/>
  <c r="A151" i="2"/>
  <c r="A150" i="2" a="1"/>
  <c r="A150" i="2" s="1"/>
  <c r="A149" i="2" a="1"/>
  <c r="A149" i="2"/>
  <c r="D149" i="2" s="1"/>
  <c r="A148" i="2" a="1"/>
  <c r="A148" i="2" s="1"/>
  <c r="A147" i="2" a="1"/>
  <c r="A147" i="2" s="1"/>
  <c r="D147" i="2" s="1"/>
  <c r="A146" i="2" a="1"/>
  <c r="A146" i="2"/>
  <c r="D146" i="2" s="1"/>
  <c r="A145" i="2" a="1"/>
  <c r="A145" i="2" s="1"/>
  <c r="B145" i="2" s="1"/>
  <c r="A144" i="2" a="1"/>
  <c r="A144" i="2" s="1"/>
  <c r="A143" i="2" a="1"/>
  <c r="A143" i="2"/>
  <c r="D143" i="2" s="1"/>
  <c r="A142" i="2" a="1"/>
  <c r="A142" i="2"/>
  <c r="B142" i="2" s="1"/>
  <c r="A141" i="2" a="1"/>
  <c r="A141" i="2" s="1"/>
  <c r="C140" i="2"/>
  <c r="B140" i="2"/>
  <c r="A140" i="2" a="1"/>
  <c r="A140" i="2" s="1"/>
  <c r="D140" i="2" s="1"/>
  <c r="A139" i="2" a="1"/>
  <c r="A139" i="2"/>
  <c r="A138" i="2" a="1"/>
  <c r="A138" i="2" s="1"/>
  <c r="A137" i="2" a="1"/>
  <c r="A137" i="2"/>
  <c r="D137" i="2" s="1"/>
  <c r="A136" i="2" a="1"/>
  <c r="A136" i="2" s="1"/>
  <c r="D136" i="2" s="1"/>
  <c r="A135" i="2" a="1"/>
  <c r="A135" i="2" s="1"/>
  <c r="A134" i="2" a="1"/>
  <c r="A134" i="2" s="1"/>
  <c r="B134" i="2" s="1"/>
  <c r="A133" i="2" a="1"/>
  <c r="A133" i="2"/>
  <c r="D133" i="2" s="1"/>
  <c r="A132" i="2" a="1"/>
  <c r="A132" i="2" s="1"/>
  <c r="A131" i="2" a="1"/>
  <c r="A131" i="2" s="1"/>
  <c r="A130" i="2" a="1"/>
  <c r="A130" i="2" s="1"/>
  <c r="A129" i="2" a="1"/>
  <c r="A129" i="2"/>
  <c r="D129" i="2" s="1"/>
  <c r="A127" i="2" a="1"/>
  <c r="A127" i="2" s="1"/>
  <c r="D127" i="2" s="1"/>
  <c r="A126" i="2" a="1"/>
  <c r="A126" i="2" s="1"/>
  <c r="A125" i="2" a="1"/>
  <c r="A125" i="2" s="1"/>
  <c r="D125" i="2" s="1"/>
  <c r="A124" i="2" a="1"/>
  <c r="A124" i="2"/>
  <c r="A123" i="2" a="1"/>
  <c r="A123" i="2"/>
  <c r="B123" i="2" s="1"/>
  <c r="A122" i="2" a="1"/>
  <c r="A122" i="2" s="1"/>
  <c r="A121" i="2" a="1"/>
  <c r="A121" i="2" s="1"/>
  <c r="D121" i="2" s="1"/>
  <c r="A120" i="2" a="1"/>
  <c r="A120" i="2"/>
  <c r="A119" i="2" a="1"/>
  <c r="A119" i="2" s="1"/>
  <c r="A117" i="2" a="1"/>
  <c r="A117" i="2"/>
  <c r="D117" i="2" s="1"/>
  <c r="A116" i="2" a="1"/>
  <c r="A116" i="2"/>
  <c r="A115" i="2" a="1"/>
  <c r="A115" i="2" s="1"/>
  <c r="A114" i="2" a="1"/>
  <c r="A114" i="2"/>
  <c r="C114" i="2" s="1"/>
  <c r="A113" i="2" a="1"/>
  <c r="A113" i="2"/>
  <c r="D113" i="2" s="1"/>
  <c r="A112" i="2" a="1"/>
  <c r="A112" i="2" s="1"/>
  <c r="A111" i="2" a="1"/>
  <c r="A111" i="2"/>
  <c r="D111" i="2" s="1"/>
  <c r="A110" i="2" a="1"/>
  <c r="A110" i="2" s="1"/>
  <c r="D110" i="2" s="1"/>
  <c r="A109" i="2" a="1"/>
  <c r="A109" i="2" s="1"/>
  <c r="D109" i="2" s="1"/>
  <c r="A108" i="2" a="1"/>
  <c r="A108" i="2" s="1"/>
  <c r="A107" i="2" a="1"/>
  <c r="A107" i="2"/>
  <c r="D107" i="2" s="1"/>
  <c r="A106" i="2" a="1"/>
  <c r="A106" i="2" s="1"/>
  <c r="D106" i="2" s="1"/>
  <c r="A105" i="2" a="1"/>
  <c r="A105" i="2" s="1"/>
  <c r="A104" i="2" a="1"/>
  <c r="A104" i="2"/>
  <c r="C104" i="2" s="1"/>
  <c r="A103" i="2" a="1"/>
  <c r="A103" i="2" s="1"/>
  <c r="A102" i="2" a="1"/>
  <c r="A102" i="2" s="1"/>
  <c r="A101" i="2" a="1"/>
  <c r="A101" i="2" s="1"/>
  <c r="A100" i="2" a="1"/>
  <c r="A100" i="2"/>
  <c r="C100" i="2" s="1"/>
  <c r="A99" i="2" a="1"/>
  <c r="A99" i="2"/>
  <c r="D99" i="2" s="1"/>
  <c r="A98" i="2" a="1"/>
  <c r="A98" i="2"/>
  <c r="B98" i="2" s="1"/>
  <c r="A97" i="2" a="1"/>
  <c r="A97" i="2" s="1"/>
  <c r="A96" i="2" a="1"/>
  <c r="A96" i="2"/>
  <c r="B96" i="2" s="1"/>
  <c r="D95" i="2"/>
  <c r="C95" i="2"/>
  <c r="A95" i="2" a="1"/>
  <c r="A95" i="2" s="1"/>
  <c r="B95" i="2" s="1"/>
  <c r="A94" i="2" a="1"/>
  <c r="A94" i="2"/>
  <c r="C94" i="2" s="1"/>
  <c r="A93" i="2" a="1"/>
  <c r="A93" i="2"/>
  <c r="D93" i="2" s="1"/>
  <c r="A92" i="2" a="1"/>
  <c r="A92" i="2"/>
  <c r="D92" i="2" s="1"/>
  <c r="A91" i="2" a="1"/>
  <c r="A91" i="2" s="1"/>
  <c r="D91" i="2" s="1"/>
  <c r="A90" i="2" a="1"/>
  <c r="A90" i="2"/>
  <c r="A89" i="2" a="1"/>
  <c r="A89" i="2"/>
  <c r="D89" i="2" s="1"/>
  <c r="D87" i="2"/>
  <c r="C87" i="2"/>
  <c r="A86" i="2" a="1"/>
  <c r="A86" i="2"/>
  <c r="A85" i="2" a="1"/>
  <c r="A85" i="2"/>
  <c r="D85" i="2" s="1"/>
  <c r="A84" i="2" a="1"/>
  <c r="A84" i="2"/>
  <c r="D84" i="2" s="1"/>
  <c r="A83" i="2" a="1"/>
  <c r="A83" i="2" s="1"/>
  <c r="A82" i="2" a="1"/>
  <c r="A82" i="2"/>
  <c r="B82" i="2" s="1"/>
  <c r="A81" i="2" a="1"/>
  <c r="A81" i="2"/>
  <c r="D81" i="2" s="1"/>
  <c r="A80" i="2" a="1"/>
  <c r="A80" i="2" s="1"/>
  <c r="A79" i="2" a="1"/>
  <c r="A79" i="2" s="1"/>
  <c r="D79" i="2" s="1"/>
  <c r="A78" i="2" a="1"/>
  <c r="A78" i="2"/>
  <c r="D78" i="2" s="1"/>
  <c r="A77" i="2" a="1"/>
  <c r="A77" i="2" s="1"/>
  <c r="A76" i="2" a="1"/>
  <c r="A76" i="2" s="1"/>
  <c r="C76" i="2" s="1"/>
  <c r="A75" i="2" a="1"/>
  <c r="A75" i="2" s="1"/>
  <c r="A74" i="2" a="1"/>
  <c r="A74" i="2"/>
  <c r="D74" i="2" s="1"/>
  <c r="A73" i="2" a="1"/>
  <c r="A73" i="2" s="1"/>
  <c r="B73" i="2" s="1"/>
  <c r="A72" i="2" a="1"/>
  <c r="A72" i="2" s="1"/>
  <c r="B72" i="2" s="1"/>
  <c r="A71" i="2" a="1"/>
  <c r="A71" i="2" s="1"/>
  <c r="A70" i="2" a="1"/>
  <c r="A70" i="2" s="1"/>
  <c r="A69" i="2" a="1"/>
  <c r="A69" i="2" s="1"/>
  <c r="B69" i="2" s="1"/>
  <c r="A68" i="2" a="1"/>
  <c r="A68" i="2" s="1"/>
  <c r="B68" i="2" s="1"/>
  <c r="A67" i="2" a="1"/>
  <c r="A67" i="2"/>
  <c r="A66" i="2" a="1"/>
  <c r="A66" i="2" s="1"/>
  <c r="A65" i="2" a="1"/>
  <c r="A65" i="2"/>
  <c r="D65" i="2" s="1"/>
  <c r="A64" i="2" a="1"/>
  <c r="A64" i="2" s="1"/>
  <c r="A63" i="2" a="1"/>
  <c r="A63" i="2"/>
  <c r="D63" i="2" s="1"/>
  <c r="A62" i="2" a="1"/>
  <c r="A62" i="2"/>
  <c r="C62" i="2" s="1"/>
  <c r="A61" i="2" a="1"/>
  <c r="A61" i="2" s="1"/>
  <c r="D61" i="2" s="1"/>
  <c r="A60" i="2" a="1"/>
  <c r="A60" i="2"/>
  <c r="A59" i="2" a="1"/>
  <c r="A59" i="2" s="1"/>
  <c r="A58" i="2" a="1"/>
  <c r="A58" i="2"/>
  <c r="C58" i="2" s="1"/>
  <c r="A57" i="2" a="1"/>
  <c r="A57" i="2" s="1"/>
  <c r="D57" i="2" s="1"/>
  <c r="A56" i="2" a="1"/>
  <c r="A56" i="2" s="1"/>
  <c r="A55" i="2" a="1"/>
  <c r="A55" i="2" s="1"/>
  <c r="D55" i="2" s="1"/>
  <c r="A54" i="2" a="1"/>
  <c r="A54" i="2"/>
  <c r="C54" i="2" s="1"/>
  <c r="D53" i="2"/>
  <c r="A53" i="2" a="1"/>
  <c r="A53" i="2"/>
  <c r="C53" i="2" s="1"/>
  <c r="A52" i="2" a="1"/>
  <c r="A52" i="2"/>
  <c r="B52" i="2" s="1"/>
  <c r="A51" i="2" a="1"/>
  <c r="A51" i="2"/>
  <c r="B51" i="2" s="1"/>
  <c r="A50" i="2" a="1"/>
  <c r="A50" i="2" s="1"/>
  <c r="B50" i="2" s="1"/>
  <c r="A49" i="2" a="1"/>
  <c r="A49" i="2" s="1"/>
  <c r="A48" i="2" a="1"/>
  <c r="A48" i="2" s="1"/>
  <c r="A47" i="2" a="1"/>
  <c r="A47" i="2" s="1"/>
  <c r="A46" i="2" a="1"/>
  <c r="A46" i="2"/>
  <c r="D46" i="2" s="1"/>
  <c r="A45" i="2" a="1"/>
  <c r="A45" i="2"/>
  <c r="A44" i="2" a="1"/>
  <c r="A44" i="2"/>
  <c r="D44" i="2" s="1"/>
  <c r="A43" i="2" a="1"/>
  <c r="A43" i="2" s="1"/>
  <c r="A42" i="2" a="1"/>
  <c r="A42" i="2" s="1"/>
  <c r="B42" i="2" s="1"/>
  <c r="A41" i="2" a="1"/>
  <c r="A41" i="2"/>
  <c r="A40" i="2" a="1"/>
  <c r="A40" i="2"/>
  <c r="C40" i="2" s="1"/>
  <c r="A39" i="2" a="1"/>
  <c r="A39" i="2" s="1"/>
  <c r="A38" i="2" a="1"/>
  <c r="A38" i="2"/>
  <c r="D38" i="2" s="1"/>
  <c r="A37" i="2" a="1"/>
  <c r="A37" i="2" s="1"/>
  <c r="D37" i="2" s="1"/>
  <c r="A36" i="2" a="1"/>
  <c r="A36" i="2"/>
  <c r="C36" i="2" s="1"/>
  <c r="A35" i="2" a="1"/>
  <c r="A35" i="2" s="1"/>
  <c r="D34" i="2"/>
  <c r="C34" i="2"/>
  <c r="A34" i="2" a="1"/>
  <c r="A34" i="2" s="1"/>
  <c r="B34" i="2" s="1"/>
  <c r="A33" i="2" a="1"/>
  <c r="A33" i="2" s="1"/>
  <c r="A32" i="2" a="1"/>
  <c r="A32" i="2"/>
  <c r="D32" i="2" s="1"/>
  <c r="A31" i="2" a="1"/>
  <c r="A31" i="2" s="1"/>
  <c r="A30" i="2" a="1"/>
  <c r="A30" i="2"/>
  <c r="D30" i="2" s="1"/>
  <c r="A29" i="2" a="1"/>
  <c r="A29" i="2"/>
  <c r="D29" i="2" s="1"/>
  <c r="A28" i="2" a="1"/>
  <c r="A28" i="2"/>
  <c r="D28" i="2" s="1"/>
  <c r="A27" i="2" a="1"/>
  <c r="A27" i="2"/>
  <c r="C27" i="2" s="1"/>
  <c r="A26" i="2" a="1"/>
  <c r="A26" i="2" s="1"/>
  <c r="A25" i="2" a="1"/>
  <c r="A25" i="2" s="1"/>
  <c r="D25" i="2" s="1"/>
  <c r="A24" i="2" a="1"/>
  <c r="A24" i="2" s="1"/>
  <c r="B24" i="2" s="1"/>
  <c r="A23" i="2" a="1"/>
  <c r="A23" i="2"/>
  <c r="D23" i="2" s="1"/>
  <c r="A22" i="2" a="1"/>
  <c r="A22" i="2"/>
  <c r="D22" i="2" s="1"/>
  <c r="A20" i="2" a="1"/>
  <c r="A20" i="2"/>
  <c r="C20" i="2" s="1"/>
  <c r="A19" i="2" a="1"/>
  <c r="A19" i="2"/>
  <c r="D19" i="2" s="1"/>
  <c r="A18" i="2" a="1"/>
  <c r="A18" i="2" s="1"/>
  <c r="A17" i="2" a="1"/>
  <c r="A17" i="2"/>
  <c r="D17" i="2" s="1"/>
  <c r="A16" i="2" a="1"/>
  <c r="A16" i="2" s="1"/>
  <c r="B16" i="2" s="1"/>
  <c r="A15" i="2" a="1"/>
  <c r="A15" i="2"/>
  <c r="A14" i="2" a="1"/>
  <c r="A14" i="2" s="1"/>
  <c r="A13" i="2" a="1"/>
  <c r="A13" i="2" s="1"/>
  <c r="D13" i="2" s="1"/>
  <c r="A12" i="2" a="1"/>
  <c r="A12" i="2" s="1"/>
  <c r="B12" i="2" s="1"/>
  <c r="A11" i="2" a="1"/>
  <c r="A11" i="2"/>
  <c r="B11" i="2" s="1"/>
  <c r="A10" i="2" a="1"/>
  <c r="A10" i="2" s="1"/>
  <c r="A9" i="2" a="1"/>
  <c r="A9" i="2"/>
  <c r="D9" i="2" s="1"/>
  <c r="A8" i="2" a="1"/>
  <c r="A8" i="2" s="1"/>
  <c r="A7" i="2" a="1"/>
  <c r="A7" i="2" s="1"/>
  <c r="D7" i="2" s="1"/>
  <c r="A6" i="2" a="1"/>
  <c r="A6" i="2" s="1"/>
  <c r="A5" i="2" a="1"/>
  <c r="A5" i="2"/>
  <c r="B5" i="2" s="1"/>
  <c r="A4" i="2" a="1"/>
  <c r="A4" i="2" s="1"/>
  <c r="D4" i="2" s="1"/>
  <c r="A3" i="2" a="1"/>
  <c r="A3" i="2" s="1"/>
  <c r="A2" i="2" a="1"/>
  <c r="A2" i="2" s="1"/>
  <c r="A1" i="2" a="1"/>
  <c r="A1" i="2"/>
  <c r="D1" i="2" s="1"/>
  <c r="I15" i="1"/>
  <c r="A14" i="1"/>
  <c r="A310" i="2" s="1" a="1"/>
  <c r="A310" i="2" s="1"/>
  <c r="A13" i="1"/>
  <c r="A309" i="2" s="1" a="1"/>
  <c r="A309" i="2" s="1"/>
  <c r="AL10" i="1"/>
  <c r="A8" i="1"/>
  <c r="A87" i="2" s="1" a="1"/>
  <c r="A87" i="2" s="1"/>
  <c r="B87" i="2" s="1"/>
  <c r="A7" i="1"/>
  <c r="A289" i="2" s="1" a="1"/>
  <c r="A289" i="2" s="1"/>
  <c r="E3" i="1"/>
  <c r="A296" i="2" s="1" a="1"/>
  <c r="A296" i="2" s="1"/>
  <c r="A208" i="2" a="1"/>
  <c r="B336" i="2" l="1"/>
  <c r="C336" i="2"/>
  <c r="D336" i="2"/>
  <c r="D242" i="2"/>
  <c r="C242" i="2"/>
  <c r="B242" i="2"/>
  <c r="C354" i="2"/>
  <c r="B354" i="2"/>
  <c r="D354" i="2"/>
  <c r="D366" i="2"/>
  <c r="C366" i="2"/>
  <c r="B366" i="2"/>
  <c r="C66" i="2"/>
  <c r="D66" i="2"/>
  <c r="B66" i="2"/>
  <c r="D80" i="2"/>
  <c r="C80" i="2"/>
  <c r="B80" i="2"/>
  <c r="B361" i="2"/>
  <c r="C361" i="2"/>
  <c r="D384" i="2"/>
  <c r="C384" i="2"/>
  <c r="B384" i="2"/>
  <c r="B18" i="2"/>
  <c r="C18" i="2"/>
  <c r="D18" i="2"/>
  <c r="D102" i="2"/>
  <c r="C102" i="2"/>
  <c r="B102" i="2"/>
  <c r="B132" i="2"/>
  <c r="C132" i="2"/>
  <c r="D132" i="2"/>
  <c r="D70" i="2"/>
  <c r="C70" i="2"/>
  <c r="B183" i="2"/>
  <c r="B38" i="2"/>
  <c r="B365" i="2"/>
  <c r="C391" i="2"/>
  <c r="C38" i="2"/>
  <c r="C57" i="2"/>
  <c r="B91" i="2"/>
  <c r="C98" i="2"/>
  <c r="B136" i="2"/>
  <c r="C145" i="2"/>
  <c r="B224" i="2"/>
  <c r="B293" i="2"/>
  <c r="B305" i="2"/>
  <c r="B314" i="2"/>
  <c r="D332" i="2"/>
  <c r="C365" i="2"/>
  <c r="B246" i="2"/>
  <c r="D331" i="2"/>
  <c r="C253" i="2"/>
  <c r="C183" i="2"/>
  <c r="C204" i="2"/>
  <c r="B241" i="2"/>
  <c r="D253" i="2"/>
  <c r="C91" i="2"/>
  <c r="C293" i="2"/>
  <c r="C305" i="2"/>
  <c r="C314" i="2"/>
  <c r="B350" i="2"/>
  <c r="C246" i="2"/>
  <c r="D204" i="2"/>
  <c r="B332" i="2"/>
  <c r="D224" i="2"/>
  <c r="C350" i="2"/>
  <c r="D325" i="2"/>
  <c r="B121" i="2"/>
  <c r="D98" i="2"/>
  <c r="C136" i="2"/>
  <c r="C359" i="2"/>
  <c r="B171" i="2"/>
  <c r="C22" i="2"/>
  <c r="D76" i="2"/>
  <c r="B99" i="2"/>
  <c r="C117" i="2"/>
  <c r="D167" i="2"/>
  <c r="C5" i="2"/>
  <c r="B179" i="2"/>
  <c r="C188" i="2"/>
  <c r="D199" i="2"/>
  <c r="D258" i="2"/>
  <c r="C241" i="2"/>
  <c r="D372" i="2"/>
  <c r="B57" i="2"/>
  <c r="B22" i="2"/>
  <c r="B206" i="2"/>
  <c r="C206" i="2"/>
  <c r="C217" i="2"/>
  <c r="B23" i="2"/>
  <c r="C99" i="2"/>
  <c r="D217" i="2"/>
  <c r="B258" i="2"/>
  <c r="D5" i="2"/>
  <c r="C23" i="2"/>
  <c r="B85" i="2"/>
  <c r="C179" i="2"/>
  <c r="B188" i="2"/>
  <c r="D266" i="2"/>
  <c r="C85" i="2"/>
  <c r="A118" i="2" a="1"/>
  <c r="A118" i="2" s="1"/>
  <c r="C118" i="2" s="1"/>
  <c r="B61" i="2"/>
  <c r="B170" i="2"/>
  <c r="B251" i="2"/>
  <c r="C287" i="2"/>
  <c r="B344" i="2"/>
  <c r="C386" i="2"/>
  <c r="D347" i="2"/>
  <c r="D145" i="2"/>
  <c r="C61" i="2"/>
  <c r="C170" i="2"/>
  <c r="A200" i="2" a="1"/>
  <c r="A200" i="2" s="1"/>
  <c r="C200" i="2" s="1"/>
  <c r="C251" i="2"/>
  <c r="B278" i="2"/>
  <c r="D287" i="2"/>
  <c r="B318" i="2"/>
  <c r="D344" i="2"/>
  <c r="D386" i="2"/>
  <c r="C121" i="2"/>
  <c r="C372" i="2"/>
  <c r="B76" i="2"/>
  <c r="B117" i="2"/>
  <c r="C167" i="2"/>
  <c r="C107" i="2"/>
  <c r="B53" i="2"/>
  <c r="C379" i="2"/>
  <c r="B370" i="2"/>
  <c r="D379" i="2"/>
  <c r="A208" i="2"/>
  <c r="D97" i="2"/>
  <c r="C97" i="2"/>
  <c r="B97" i="2"/>
  <c r="C164" i="2"/>
  <c r="B164" i="2"/>
  <c r="D164" i="2"/>
  <c r="D48" i="2"/>
  <c r="C48" i="2"/>
  <c r="B48" i="2"/>
  <c r="D135" i="2"/>
  <c r="C135" i="2"/>
  <c r="B135" i="2"/>
  <c r="C256" i="2"/>
  <c r="B256" i="2"/>
  <c r="D256" i="2"/>
  <c r="D39" i="2"/>
  <c r="C39" i="2"/>
  <c r="B39" i="2"/>
  <c r="D26" i="2"/>
  <c r="C26" i="2"/>
  <c r="B26" i="2"/>
  <c r="C290" i="2"/>
  <c r="D290" i="2"/>
  <c r="B290" i="2"/>
  <c r="D392" i="2"/>
  <c r="C392" i="2"/>
  <c r="B392" i="2"/>
  <c r="C277" i="2"/>
  <c r="D277" i="2"/>
  <c r="B277" i="2"/>
  <c r="D173" i="2"/>
  <c r="C173" i="2"/>
  <c r="B173" i="2"/>
  <c r="D115" i="2"/>
  <c r="C115" i="2"/>
  <c r="B115" i="2"/>
  <c r="C14" i="2"/>
  <c r="D14" i="2"/>
  <c r="B14" i="2"/>
  <c r="D196" i="2"/>
  <c r="C196" i="2"/>
  <c r="B196" i="2"/>
  <c r="D394" i="2"/>
  <c r="C394" i="2"/>
  <c r="B394" i="2"/>
  <c r="D280" i="2"/>
  <c r="C280" i="2"/>
  <c r="B280" i="2"/>
  <c r="D122" i="2"/>
  <c r="B122" i="2"/>
  <c r="C122" i="2"/>
  <c r="B193" i="2"/>
  <c r="D193" i="2"/>
  <c r="C193" i="2"/>
  <c r="D56" i="2"/>
  <c r="C56" i="2"/>
  <c r="B56" i="2"/>
  <c r="D225" i="2"/>
  <c r="B225" i="2"/>
  <c r="C225" i="2"/>
  <c r="C77" i="2"/>
  <c r="D77" i="2"/>
  <c r="B77" i="2"/>
  <c r="B138" i="2"/>
  <c r="D138" i="2"/>
  <c r="C138" i="2"/>
  <c r="B43" i="2"/>
  <c r="D43" i="2"/>
  <c r="C43" i="2"/>
  <c r="D119" i="2"/>
  <c r="C119" i="2"/>
  <c r="B119" i="2"/>
  <c r="D150" i="2"/>
  <c r="C150" i="2"/>
  <c r="B150" i="2"/>
  <c r="D259" i="2"/>
  <c r="C259" i="2"/>
  <c r="B259" i="2"/>
  <c r="B71" i="2"/>
  <c r="D71" i="2"/>
  <c r="C71" i="2"/>
  <c r="C10" i="2"/>
  <c r="B10" i="2"/>
  <c r="D10" i="2"/>
  <c r="C273" i="2"/>
  <c r="B273" i="2"/>
  <c r="D273" i="2"/>
  <c r="D315" i="2"/>
  <c r="B315" i="2"/>
  <c r="C315" i="2"/>
  <c r="B31" i="2"/>
  <c r="C31" i="2"/>
  <c r="D31" i="2"/>
  <c r="D59" i="2"/>
  <c r="C59" i="2"/>
  <c r="B59" i="2"/>
  <c r="D234" i="2"/>
  <c r="B234" i="2"/>
  <c r="C234" i="2"/>
  <c r="D342" i="2"/>
  <c r="B342" i="2"/>
  <c r="C342" i="2"/>
  <c r="D198" i="2"/>
  <c r="C198" i="2"/>
  <c r="B198" i="2"/>
  <c r="C296" i="2"/>
  <c r="D296" i="2"/>
  <c r="B296" i="2"/>
  <c r="C130" i="2"/>
  <c r="D130" i="2"/>
  <c r="B130" i="2"/>
  <c r="D131" i="2"/>
  <c r="B131" i="2"/>
  <c r="C131" i="2"/>
  <c r="D101" i="2"/>
  <c r="C101" i="2"/>
  <c r="B101" i="2"/>
  <c r="C2" i="2"/>
  <c r="B2" i="2"/>
  <c r="D2" i="2"/>
  <c r="D144" i="2"/>
  <c r="C144" i="2"/>
  <c r="B144" i="2"/>
  <c r="B3" i="2"/>
  <c r="C3" i="2"/>
  <c r="D3" i="2"/>
  <c r="D214" i="2"/>
  <c r="C214" i="2"/>
  <c r="B214" i="2"/>
  <c r="B126" i="2"/>
  <c r="D126" i="2"/>
  <c r="C126" i="2"/>
  <c r="B289" i="2"/>
  <c r="D289" i="2"/>
  <c r="C289" i="2"/>
  <c r="B6" i="2"/>
  <c r="D6" i="2"/>
  <c r="C6" i="2"/>
  <c r="B33" i="2"/>
  <c r="C33" i="2"/>
  <c r="D33" i="2"/>
  <c r="D160" i="2"/>
  <c r="B160" i="2"/>
  <c r="C160" i="2"/>
  <c r="D201" i="2"/>
  <c r="C201" i="2"/>
  <c r="B201" i="2"/>
  <c r="C220" i="2"/>
  <c r="B220" i="2"/>
  <c r="D220" i="2"/>
  <c r="D299" i="2"/>
  <c r="C299" i="2"/>
  <c r="B299" i="2"/>
  <c r="D345" i="2"/>
  <c r="C345" i="2"/>
  <c r="B345" i="2"/>
  <c r="D387" i="2"/>
  <c r="C387" i="2"/>
  <c r="B387" i="2"/>
  <c r="B229" i="2"/>
  <c r="C229" i="2"/>
  <c r="D229" i="2"/>
  <c r="C272" i="2"/>
  <c r="B272" i="2"/>
  <c r="D272" i="2"/>
  <c r="D281" i="2"/>
  <c r="C281" i="2"/>
  <c r="B281" i="2"/>
  <c r="D320" i="2"/>
  <c r="B320" i="2"/>
  <c r="C320" i="2"/>
  <c r="D47" i="2"/>
  <c r="C47" i="2"/>
  <c r="B47" i="2"/>
  <c r="B103" i="2"/>
  <c r="D103" i="2"/>
  <c r="C103" i="2"/>
  <c r="D304" i="2"/>
  <c r="C304" i="2"/>
  <c r="B304" i="2"/>
  <c r="D176" i="2"/>
  <c r="C176" i="2"/>
  <c r="B176" i="2"/>
  <c r="D324" i="2"/>
  <c r="C324" i="2"/>
  <c r="B324" i="2"/>
  <c r="D186" i="2"/>
  <c r="C186" i="2"/>
  <c r="B186" i="2"/>
  <c r="D316" i="2"/>
  <c r="B316" i="2"/>
  <c r="C316" i="2"/>
  <c r="D351" i="2"/>
  <c r="C351" i="2"/>
  <c r="B351" i="2"/>
  <c r="C148" i="2"/>
  <c r="D148" i="2"/>
  <c r="B148" i="2"/>
  <c r="D168" i="2"/>
  <c r="C168" i="2"/>
  <c r="B168" i="2"/>
  <c r="B108" i="2"/>
  <c r="C108" i="2"/>
  <c r="D108" i="2"/>
  <c r="D367" i="2"/>
  <c r="C367" i="2"/>
  <c r="B367" i="2"/>
  <c r="C310" i="2"/>
  <c r="B310" i="2"/>
  <c r="D310" i="2"/>
  <c r="D35" i="2"/>
  <c r="B35" i="2"/>
  <c r="C35" i="2"/>
  <c r="C112" i="2"/>
  <c r="B112" i="2"/>
  <c r="D112" i="2"/>
  <c r="B141" i="2"/>
  <c r="C141" i="2"/>
  <c r="D141" i="2"/>
  <c r="D182" i="2"/>
  <c r="C182" i="2"/>
  <c r="B182" i="2"/>
  <c r="D388" i="2"/>
  <c r="C388" i="2"/>
  <c r="B388" i="2"/>
  <c r="C215" i="2"/>
  <c r="B215" i="2"/>
  <c r="C72" i="2"/>
  <c r="C49" i="2"/>
  <c r="B49" i="2"/>
  <c r="C327" i="2"/>
  <c r="C184" i="2"/>
  <c r="B184" i="2"/>
  <c r="D209" i="2"/>
  <c r="C209" i="2"/>
  <c r="B235" i="2"/>
  <c r="D235" i="2"/>
  <c r="B267" i="2"/>
  <c r="D267" i="2"/>
  <c r="D348" i="2"/>
  <c r="C348" i="2"/>
  <c r="B348" i="2"/>
  <c r="D360" i="2"/>
  <c r="C360" i="2"/>
  <c r="B360" i="2"/>
  <c r="B373" i="2"/>
  <c r="D373" i="2"/>
  <c r="C380" i="2"/>
  <c r="B380" i="2"/>
  <c r="D380" i="2"/>
  <c r="C393" i="2"/>
  <c r="B393" i="2"/>
  <c r="D393" i="2"/>
  <c r="D381" i="2"/>
  <c r="B381" i="2"/>
  <c r="B104" i="2"/>
  <c r="D174" i="2"/>
  <c r="C174" i="2"/>
  <c r="B174" i="2"/>
  <c r="B200" i="2"/>
  <c r="B156" i="2"/>
  <c r="D205" i="2"/>
  <c r="B216" i="2"/>
  <c r="B226" i="2"/>
  <c r="B237" i="2"/>
  <c r="C247" i="2"/>
  <c r="D263" i="2"/>
  <c r="C263" i="2"/>
  <c r="B268" i="2"/>
  <c r="C294" i="2"/>
  <c r="C301" i="2"/>
  <c r="B306" i="2"/>
  <c r="C312" i="2"/>
  <c r="C322" i="2"/>
  <c r="B322" i="2"/>
  <c r="D327" i="2"/>
  <c r="D338" i="2"/>
  <c r="C338" i="2"/>
  <c r="B338" i="2"/>
  <c r="C355" i="2"/>
  <c r="D257" i="2"/>
  <c r="C257" i="2"/>
  <c r="B257" i="2"/>
  <c r="B27" i="2"/>
  <c r="B189" i="2"/>
  <c r="B92" i="2"/>
  <c r="D96" i="2"/>
  <c r="D100" i="2"/>
  <c r="B105" i="2"/>
  <c r="D105" i="2"/>
  <c r="C105" i="2"/>
  <c r="B110" i="2"/>
  <c r="D114" i="2"/>
  <c r="D118" i="2"/>
  <c r="C123" i="2"/>
  <c r="B133" i="2"/>
  <c r="C142" i="2"/>
  <c r="C156" i="2"/>
  <c r="B161" i="2"/>
  <c r="D175" i="2"/>
  <c r="C180" i="2"/>
  <c r="D185" i="2"/>
  <c r="A190" i="2" a="1"/>
  <c r="A190" i="2" s="1"/>
  <c r="D200" i="2"/>
  <c r="C211" i="2"/>
  <c r="B211" i="2"/>
  <c r="C216" i="2"/>
  <c r="C226" i="2"/>
  <c r="C237" i="2"/>
  <c r="D247" i="2"/>
  <c r="C268" i="2"/>
  <c r="D294" i="2"/>
  <c r="D301" i="2"/>
  <c r="C306" i="2"/>
  <c r="D312" i="2"/>
  <c r="D322" i="2"/>
  <c r="C328" i="2"/>
  <c r="B328" i="2"/>
  <c r="D355" i="2"/>
  <c r="B368" i="2"/>
  <c r="C368" i="2"/>
  <c r="B395" i="2"/>
  <c r="C67" i="2"/>
  <c r="D67" i="2"/>
  <c r="B81" i="2"/>
  <c r="B127" i="2"/>
  <c r="C155" i="2"/>
  <c r="B165" i="2"/>
  <c r="D184" i="2"/>
  <c r="B221" i="2"/>
  <c r="C267" i="2"/>
  <c r="B146" i="2"/>
  <c r="C165" i="2"/>
  <c r="C189" i="2"/>
  <c r="C230" i="2"/>
  <c r="D252" i="2"/>
  <c r="C252" i="2"/>
  <c r="B252" i="2"/>
  <c r="B288" i="2"/>
  <c r="D337" i="2"/>
  <c r="C11" i="2"/>
  <c r="D58" i="2"/>
  <c r="A163" i="2" a="1"/>
  <c r="A163" i="2" s="1"/>
  <c r="A128" i="2" a="1"/>
  <c r="A128" i="2" s="1"/>
  <c r="C32" i="2"/>
  <c r="D36" i="2"/>
  <c r="D41" i="2"/>
  <c r="C41" i="2"/>
  <c r="B54" i="2"/>
  <c r="B63" i="2"/>
  <c r="D68" i="2"/>
  <c r="C73" i="2"/>
  <c r="A88" i="2" a="1"/>
  <c r="A88" i="2" s="1"/>
  <c r="C92" i="2"/>
  <c r="C110" i="2"/>
  <c r="D123" i="2"/>
  <c r="B129" i="2"/>
  <c r="C133" i="2"/>
  <c r="D142" i="2"/>
  <c r="C161" i="2"/>
  <c r="D191" i="2"/>
  <c r="C191" i="2"/>
  <c r="D211" i="2"/>
  <c r="B222" i="2"/>
  <c r="D248" i="2"/>
  <c r="C248" i="2"/>
  <c r="B248" i="2"/>
  <c r="B263" i="2"/>
  <c r="B284" i="2"/>
  <c r="D295" i="2"/>
  <c r="C295" i="2"/>
  <c r="B295" i="2"/>
  <c r="D313" i="2"/>
  <c r="C313" i="2"/>
  <c r="B313" i="2"/>
  <c r="B333" i="2"/>
  <c r="B362" i="2"/>
  <c r="D368" i="2"/>
  <c r="B383" i="2"/>
  <c r="C395" i="2"/>
  <c r="D15" i="2"/>
  <c r="C15" i="2"/>
  <c r="B44" i="2"/>
  <c r="B321" i="2"/>
  <c r="D321" i="2"/>
  <c r="C321" i="2"/>
  <c r="B100" i="2"/>
  <c r="C288" i="2"/>
  <c r="D361" i="2"/>
  <c r="B36" i="2"/>
  <c r="C147" i="2"/>
  <c r="B147" i="2"/>
  <c r="B78" i="2"/>
  <c r="D83" i="2"/>
  <c r="B83" i="2"/>
  <c r="B152" i="2"/>
  <c r="C181" i="2"/>
  <c r="B191" i="2"/>
  <c r="C222" i="2"/>
  <c r="C238" i="2"/>
  <c r="B238" i="2"/>
  <c r="D269" i="2"/>
  <c r="C269" i="2"/>
  <c r="C284" i="2"/>
  <c r="A302" i="2" a="1"/>
  <c r="A302" i="2" s="1"/>
  <c r="C307" i="2"/>
  <c r="B323" i="2"/>
  <c r="D328" i="2"/>
  <c r="C333" i="2"/>
  <c r="D362" i="2"/>
  <c r="D369" i="2"/>
  <c r="C369" i="2"/>
  <c r="B369" i="2"/>
  <c r="B376" i="2"/>
  <c r="C383" i="2"/>
  <c r="D210" i="2"/>
  <c r="C210" i="2"/>
  <c r="C262" i="2"/>
  <c r="B283" i="2"/>
  <c r="C283" i="2"/>
  <c r="C44" i="2"/>
  <c r="B114" i="2"/>
  <c r="B40" i="2"/>
  <c r="B58" i="2"/>
  <c r="D82" i="2"/>
  <c r="C82" i="2"/>
  <c r="D104" i="2"/>
  <c r="C185" i="2"/>
  <c r="B32" i="2"/>
  <c r="D45" i="2"/>
  <c r="C45" i="2"/>
  <c r="B45" i="2"/>
  <c r="D73" i="2"/>
  <c r="C129" i="2"/>
  <c r="D16" i="2"/>
  <c r="C50" i="2"/>
  <c r="D54" i="2"/>
  <c r="C64" i="2"/>
  <c r="B64" i="2"/>
  <c r="C78" i="2"/>
  <c r="C83" i="2"/>
  <c r="B106" i="2"/>
  <c r="C152" i="2"/>
  <c r="C171" i="2"/>
  <c r="D181" i="2"/>
  <c r="B254" i="2"/>
  <c r="B269" i="2"/>
  <c r="B279" i="2"/>
  <c r="D307" i="2"/>
  <c r="C323" i="2"/>
  <c r="D334" i="2"/>
  <c r="C334" i="2"/>
  <c r="B334" i="2"/>
  <c r="B356" i="2"/>
  <c r="D363" i="2"/>
  <c r="C363" i="2"/>
  <c r="B363" i="2"/>
  <c r="C376" i="2"/>
  <c r="C19" i="2"/>
  <c r="B19" i="2"/>
  <c r="D215" i="2"/>
  <c r="B230" i="2"/>
  <c r="D349" i="2"/>
  <c r="C349" i="2"/>
  <c r="B349" i="2"/>
  <c r="C81" i="2"/>
  <c r="B343" i="2"/>
  <c r="D343" i="2"/>
  <c r="C343" i="2"/>
  <c r="D72" i="2"/>
  <c r="B137" i="2"/>
  <c r="C205" i="2"/>
  <c r="D221" i="2"/>
  <c r="D262" i="2"/>
  <c r="C16" i="2"/>
  <c r="D50" i="2"/>
  <c r="D64" i="2"/>
  <c r="C106" i="2"/>
  <c r="B157" i="2"/>
  <c r="B212" i="2"/>
  <c r="D238" i="2"/>
  <c r="B243" i="2"/>
  <c r="D254" i="2"/>
  <c r="B264" i="2"/>
  <c r="D270" i="2"/>
  <c r="C270" i="2"/>
  <c r="B270" i="2"/>
  <c r="C279" i="2"/>
  <c r="B285" i="2"/>
  <c r="D285" i="2"/>
  <c r="B297" i="2"/>
  <c r="B329" i="2"/>
  <c r="C356" i="2"/>
  <c r="B62" i="2"/>
  <c r="D86" i="2"/>
  <c r="C86" i="2"/>
  <c r="B86" i="2"/>
  <c r="B209" i="2"/>
  <c r="B15" i="2"/>
  <c r="D49" i="2"/>
  <c r="C137" i="2"/>
  <c r="B180" i="2"/>
  <c r="C7" i="2"/>
  <c r="C63" i="2"/>
  <c r="D24" i="2"/>
  <c r="B111" i="2"/>
  <c r="B125" i="2"/>
  <c r="D139" i="2"/>
  <c r="C139" i="2"/>
  <c r="B139" i="2"/>
  <c r="C212" i="2"/>
  <c r="C243" i="2"/>
  <c r="C297" i="2"/>
  <c r="C329" i="2"/>
  <c r="B340" i="2"/>
  <c r="C357" i="2"/>
  <c r="B357" i="2"/>
  <c r="D357" i="2"/>
  <c r="C370" i="2"/>
  <c r="B377" i="2"/>
  <c r="D282" i="2"/>
  <c r="C282" i="2"/>
  <c r="B282" i="2"/>
  <c r="D300" i="2"/>
  <c r="C300" i="2"/>
  <c r="B300" i="2"/>
  <c r="C127" i="2"/>
  <c r="D27" i="2"/>
  <c r="D62" i="2"/>
  <c r="B118" i="2"/>
  <c r="C96" i="2"/>
  <c r="C166" i="2"/>
  <c r="B166" i="2"/>
  <c r="D166" i="2"/>
  <c r="C68" i="2"/>
  <c r="B20" i="2"/>
  <c r="D8" i="2"/>
  <c r="C8" i="2"/>
  <c r="B8" i="2"/>
  <c r="D20" i="2"/>
  <c r="D12" i="2"/>
  <c r="C37" i="2"/>
  <c r="C69" i="2"/>
  <c r="C4" i="2"/>
  <c r="C46" i="2"/>
  <c r="B74" i="2"/>
  <c r="B93" i="2"/>
  <c r="C157" i="2"/>
  <c r="C187" i="2"/>
  <c r="B187" i="2"/>
  <c r="B233" i="2"/>
  <c r="C134" i="2"/>
  <c r="A172" i="2" a="1"/>
  <c r="A172" i="2" s="1"/>
  <c r="B177" i="2"/>
  <c r="D177" i="2"/>
  <c r="D187" i="2"/>
  <c r="C192" i="2"/>
  <c r="C202" i="2"/>
  <c r="B202" i="2"/>
  <c r="D202" i="2"/>
  <c r="B218" i="2"/>
  <c r="C233" i="2"/>
  <c r="B239" i="2"/>
  <c r="D264" i="2"/>
  <c r="C271" i="2"/>
  <c r="C285" i="2"/>
  <c r="D291" i="2"/>
  <c r="C291" i="2"/>
  <c r="B291" i="2"/>
  <c r="B303" i="2"/>
  <c r="D303" i="2"/>
  <c r="B308" i="2"/>
  <c r="C340" i="2"/>
  <c r="D352" i="2"/>
  <c r="C352" i="2"/>
  <c r="D358" i="2"/>
  <c r="C358" i="2"/>
  <c r="B358" i="2"/>
  <c r="C377" i="2"/>
  <c r="D390" i="2"/>
  <c r="C390" i="2"/>
  <c r="C146" i="2"/>
  <c r="B175" i="2"/>
  <c r="C28" i="2"/>
  <c r="C24" i="2"/>
  <c r="B46" i="2"/>
  <c r="A21" i="2" a="1"/>
  <c r="A21" i="2" s="1"/>
  <c r="B55" i="2"/>
  <c r="D120" i="2"/>
  <c r="C120" i="2"/>
  <c r="B120" i="2"/>
  <c r="B192" i="2"/>
  <c r="C207" i="2"/>
  <c r="B207" i="2"/>
  <c r="B17" i="2"/>
  <c r="B29" i="2"/>
  <c r="C55" i="2"/>
  <c r="C74" i="2"/>
  <c r="B84" i="2"/>
  <c r="C93" i="2"/>
  <c r="C111" i="2"/>
  <c r="D116" i="2"/>
  <c r="C116" i="2"/>
  <c r="C125" i="2"/>
  <c r="C1" i="2"/>
  <c r="B1" i="2"/>
  <c r="B9" i="2"/>
  <c r="B13" i="2"/>
  <c r="C17" i="2"/>
  <c r="B25" i="2"/>
  <c r="C29" i="2"/>
  <c r="D42" i="2"/>
  <c r="C51" i="2"/>
  <c r="B65" i="2"/>
  <c r="C84" i="2"/>
  <c r="B89" i="2"/>
  <c r="D134" i="2"/>
  <c r="B149" i="2"/>
  <c r="B153" i="2"/>
  <c r="D158" i="2"/>
  <c r="C158" i="2"/>
  <c r="B158" i="2"/>
  <c r="B197" i="2"/>
  <c r="B213" i="2"/>
  <c r="D213" i="2"/>
  <c r="C218" i="2"/>
  <c r="C239" i="2"/>
  <c r="B255" i="2"/>
  <c r="B265" i="2"/>
  <c r="D265" i="2"/>
  <c r="C265" i="2"/>
  <c r="D271" i="2"/>
  <c r="B276" i="2"/>
  <c r="D286" i="2"/>
  <c r="C286" i="2"/>
  <c r="D308" i="2"/>
  <c r="D330" i="2"/>
  <c r="C330" i="2"/>
  <c r="B330" i="2"/>
  <c r="D346" i="2"/>
  <c r="C346" i="2"/>
  <c r="B346" i="2"/>
  <c r="B390" i="2"/>
  <c r="C235" i="2"/>
  <c r="C337" i="2"/>
  <c r="B7" i="2"/>
  <c r="D11" i="2"/>
  <c r="D309" i="2"/>
  <c r="C309" i="2"/>
  <c r="B309" i="2"/>
  <c r="C42" i="2"/>
  <c r="D60" i="2"/>
  <c r="C60" i="2"/>
  <c r="B60" i="2"/>
  <c r="C9" i="2"/>
  <c r="C13" i="2"/>
  <c r="C25" i="2"/>
  <c r="C30" i="2"/>
  <c r="B30" i="2"/>
  <c r="D51" i="2"/>
  <c r="C65" i="2"/>
  <c r="B70" i="2"/>
  <c r="D75" i="2"/>
  <c r="C75" i="2"/>
  <c r="B75" i="2"/>
  <c r="C89" i="2"/>
  <c r="B107" i="2"/>
  <c r="B116" i="2"/>
  <c r="C149" i="2"/>
  <c r="C153" i="2"/>
  <c r="B159" i="2"/>
  <c r="D159" i="2"/>
  <c r="C177" i="2"/>
  <c r="C197" i="2"/>
  <c r="D245" i="2"/>
  <c r="C245" i="2"/>
  <c r="B250" i="2"/>
  <c r="C255" i="2"/>
  <c r="C276" i="2"/>
  <c r="C292" i="2"/>
  <c r="B292" i="2"/>
  <c r="B298" i="2"/>
  <c r="C303" i="2"/>
  <c r="C319" i="2"/>
  <c r="B352" i="2"/>
  <c r="D378" i="2"/>
  <c r="C378" i="2"/>
  <c r="B378" i="2"/>
  <c r="B155" i="2"/>
  <c r="D194" i="2"/>
  <c r="C194" i="2"/>
  <c r="B194" i="2"/>
  <c r="D69" i="2"/>
  <c r="D52" i="2"/>
  <c r="C52" i="2"/>
  <c r="D178" i="2"/>
  <c r="C178" i="2"/>
  <c r="B178" i="2"/>
  <c r="D240" i="2"/>
  <c r="C240" i="2"/>
  <c r="B240" i="2"/>
  <c r="C250" i="2"/>
  <c r="C298" i="2"/>
  <c r="D319" i="2"/>
  <c r="B341" i="2"/>
  <c r="B347" i="2"/>
  <c r="D385" i="2"/>
  <c r="C385" i="2"/>
  <c r="B385" i="2"/>
  <c r="B67" i="2"/>
  <c r="D40" i="2"/>
  <c r="B28" i="2"/>
  <c r="D124" i="2"/>
  <c r="C124" i="2"/>
  <c r="B124" i="2"/>
  <c r="C12" i="2"/>
  <c r="B37" i="2"/>
  <c r="B41" i="2"/>
  <c r="B4" i="2"/>
  <c r="D90" i="2"/>
  <c r="C90" i="2"/>
  <c r="B90" i="2"/>
  <c r="D154" i="2"/>
  <c r="C154" i="2"/>
  <c r="B154" i="2"/>
  <c r="C159" i="2"/>
  <c r="A169" i="2" a="1"/>
  <c r="A169" i="2" s="1"/>
  <c r="C266" i="2"/>
  <c r="C325" i="2"/>
  <c r="C331" i="2"/>
  <c r="B231" i="2"/>
  <c r="D231" i="2"/>
  <c r="C274" i="2"/>
  <c r="B274" i="2"/>
  <c r="D317" i="2"/>
  <c r="C317" i="2"/>
  <c r="D397" i="2"/>
  <c r="C397" i="2"/>
  <c r="B397" i="2"/>
  <c r="D227" i="2"/>
  <c r="C227" i="2"/>
  <c r="D374" i="2"/>
  <c r="C374" i="2"/>
  <c r="B109" i="2"/>
  <c r="B203" i="2"/>
  <c r="B223" i="2"/>
  <c r="C231" i="2"/>
  <c r="B244" i="2"/>
  <c r="B261" i="2"/>
  <c r="D274" i="2"/>
  <c r="B317" i="2"/>
  <c r="B326" i="2"/>
  <c r="B339" i="2"/>
  <c r="D339" i="2"/>
  <c r="D353" i="2"/>
  <c r="C353" i="2"/>
  <c r="B353" i="2"/>
  <c r="B79" i="2"/>
  <c r="B94" i="2"/>
  <c r="C109" i="2"/>
  <c r="B113" i="2"/>
  <c r="B143" i="2"/>
  <c r="B162" i="2"/>
  <c r="C203" i="2"/>
  <c r="B219" i="2"/>
  <c r="C223" i="2"/>
  <c r="B227" i="2"/>
  <c r="B236" i="2"/>
  <c r="C244" i="2"/>
  <c r="C261" i="2"/>
  <c r="D326" i="2"/>
  <c r="B374" i="2"/>
  <c r="D399" i="2"/>
  <c r="C399" i="2"/>
  <c r="B399" i="2"/>
  <c r="C79" i="2"/>
  <c r="D94" i="2"/>
  <c r="C113" i="2"/>
  <c r="C143" i="2"/>
  <c r="C162" i="2"/>
  <c r="B195" i="2"/>
  <c r="D195" i="2"/>
  <c r="C199" i="2"/>
  <c r="C219" i="2"/>
  <c r="D236" i="2"/>
  <c r="B249" i="2"/>
  <c r="D249" i="2"/>
  <c r="D335" i="2"/>
  <c r="C335" i="2"/>
  <c r="C375" i="2"/>
  <c r="B375" i="2"/>
  <c r="D375" i="2"/>
  <c r="D391" i="2"/>
  <c r="B398" i="2"/>
  <c r="C398" i="2"/>
  <c r="B396" i="2"/>
  <c r="B371" i="2"/>
  <c r="B389" i="2"/>
  <c r="C396" i="2"/>
  <c r="B364" i="2"/>
  <c r="C371" i="2"/>
  <c r="B382" i="2"/>
  <c r="C389" i="2"/>
  <c r="B400" i="2"/>
  <c r="C364" i="2"/>
  <c r="C382" i="2"/>
  <c r="C400" i="2"/>
  <c r="D169" i="2" l="1"/>
  <c r="B169" i="2"/>
  <c r="C169" i="2"/>
  <c r="D21" i="2"/>
  <c r="C21" i="2"/>
  <c r="B21" i="2"/>
  <c r="B88" i="2"/>
  <c r="D88" i="2"/>
  <c r="C88" i="2"/>
  <c r="D302" i="2"/>
  <c r="C302" i="2"/>
  <c r="B302" i="2"/>
  <c r="D190" i="2"/>
  <c r="C190" i="2"/>
  <c r="B190" i="2"/>
  <c r="D172" i="2"/>
  <c r="C172" i="2"/>
  <c r="B172" i="2"/>
  <c r="D128" i="2"/>
  <c r="C128" i="2"/>
  <c r="B128" i="2"/>
  <c r="B163" i="2"/>
  <c r="D163" i="2"/>
  <c r="C163" i="2"/>
  <c r="C208" i="2"/>
  <c r="B208" i="2"/>
  <c r="D20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<sst xmlns="http://schemas.openxmlformats.org/spreadsheetml/2006/main" count="459" uniqueCount="436">
  <si>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</si>
  <si>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</si>
  <si>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</si>
  <si>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</si>
  <si>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</si>
  <si>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</si>
  <si>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</si>
  <si>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</si>
  <si>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</si>
  <si>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</si>
  <si>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</si>
  <si>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</si>
  <si>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</si>
  <si>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</si>
  <si>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</si>
  <si>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</si>
  <si>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</si>
  <si>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</si>
  <si>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</si>
  <si>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</si>
  <si>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</si>
  <si>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</si>
  <si>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</si>
  <si>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</si>
  <si>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</si>
  <si>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</si>
  <si>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</si>
  <si>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</si>
  <si>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</si>
  <si>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</si>
  <si>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</si>
  <si>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</si>
  <si>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</si>
  <si>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</si>
  <si>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</si>
  <si>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1#1601</t>
  </si>
  <si>
    <t>1#1602</t>
  </si>
  <si>
    <t>1#1603</t>
  </si>
  <si>
    <t>1#1604</t>
  </si>
  <si>
    <t>1#1605</t>
  </si>
  <si>
    <t>1#1606</t>
  </si>
  <si>
    <t>1#1607</t>
  </si>
  <si>
    <t>1#1608</t>
  </si>
  <si>
    <t>1#1609</t>
  </si>
  <si>
    <t>1#1610</t>
  </si>
  <si>
    <t>1#1611</t>
  </si>
  <si>
    <t>1#1612</t>
  </si>
  <si>
    <t>1#1613</t>
  </si>
  <si>
    <t>1#1614</t>
  </si>
  <si>
    <t>1#1615</t>
  </si>
  <si>
    <t>1#1616</t>
  </si>
  <si>
    <t>1#1617</t>
  </si>
  <si>
    <t>1#1618</t>
  </si>
  <si>
    <t>1#1619</t>
  </si>
  <si>
    <t>1#1620</t>
  </si>
  <si>
    <t>1#1621</t>
  </si>
  <si>
    <t>1#1622</t>
  </si>
  <si>
    <t>1#1623</t>
  </si>
  <si>
    <t>1#1624</t>
  </si>
  <si>
    <t>1#1625</t>
  </si>
  <si>
    <t>1#1626</t>
  </si>
  <si>
    <t>1#1627</t>
  </si>
  <si>
    <t>1#1628</t>
  </si>
  <si>
    <t>1#1629</t>
  </si>
  <si>
    <t>1#1630</t>
  </si>
  <si>
    <t>1#1631</t>
  </si>
  <si>
    <t>1#1632</t>
  </si>
  <si>
    <t>1#1633</t>
  </si>
  <si>
    <t>1#1634</t>
  </si>
  <si>
    <t>1#1635</t>
  </si>
  <si>
    <t>1#1636</t>
  </si>
  <si>
    <t>1#1637</t>
  </si>
  <si>
    <t>1#1638</t>
  </si>
  <si>
    <t>1#1639</t>
  </si>
  <si>
    <t>1#1640</t>
  </si>
  <si>
    <t>1#1641</t>
  </si>
  <si>
    <t>1#1642</t>
  </si>
  <si>
    <t>1#1643</t>
  </si>
  <si>
    <t>1#1644</t>
  </si>
  <si>
    <t>1#1645</t>
  </si>
  <si>
    <t>1#1646</t>
  </si>
  <si>
    <t>1#1647</t>
  </si>
  <si>
    <t>1#1648</t>
  </si>
  <si>
    <t>1#1649</t>
  </si>
  <si>
    <t>1#1650</t>
  </si>
  <si>
    <t>1#1651</t>
  </si>
  <si>
    <t>1#1652</t>
  </si>
  <si>
    <t>1#1653</t>
  </si>
  <si>
    <t>1#1654</t>
  </si>
  <si>
    <t>1#1655</t>
  </si>
  <si>
    <t>1#1656</t>
  </si>
  <si>
    <t>1#1657</t>
  </si>
  <si>
    <t>1#1658</t>
  </si>
  <si>
    <t>1#1659</t>
  </si>
  <si>
    <t>1#1660</t>
  </si>
  <si>
    <t>1#1661</t>
  </si>
  <si>
    <t>1#1662</t>
  </si>
  <si>
    <t>1#1663</t>
  </si>
  <si>
    <t>1#1664</t>
  </si>
  <si>
    <t>1#1665</t>
  </si>
  <si>
    <t>1#1666</t>
  </si>
  <si>
    <t>1#1667</t>
  </si>
  <si>
    <t>1#1668</t>
  </si>
  <si>
    <t>1#1669</t>
  </si>
  <si>
    <t>1#1670</t>
  </si>
  <si>
    <t>1#1671</t>
  </si>
  <si>
    <t>1#1672</t>
  </si>
  <si>
    <t>1#1673</t>
  </si>
  <si>
    <t>1#1674</t>
  </si>
  <si>
    <t>1#1675</t>
  </si>
  <si>
    <t>1#1676</t>
  </si>
  <si>
    <t>1#1677</t>
  </si>
  <si>
    <t>1#1678</t>
  </si>
  <si>
    <t>1#1679</t>
  </si>
  <si>
    <t>1#1680</t>
  </si>
  <si>
    <t>1#1681</t>
  </si>
  <si>
    <t>1#1682</t>
  </si>
  <si>
    <t>1#1683</t>
  </si>
  <si>
    <t>1#1684</t>
  </si>
  <si>
    <t>1#1685</t>
  </si>
  <si>
    <t>1#1686</t>
  </si>
  <si>
    <t>1#1687</t>
  </si>
  <si>
    <t>1#1688</t>
  </si>
  <si>
    <t>1#1689</t>
  </si>
  <si>
    <t>1#1690</t>
  </si>
  <si>
    <t>1#1691</t>
  </si>
  <si>
    <t>1#1692</t>
  </si>
  <si>
    <t>1#1693</t>
  </si>
  <si>
    <t>1#1694</t>
  </si>
  <si>
    <t>1#1695</t>
  </si>
  <si>
    <t>1#1696</t>
  </si>
  <si>
    <t>1#1697</t>
  </si>
  <si>
    <t>1#1698</t>
  </si>
  <si>
    <t>1#1699</t>
  </si>
  <si>
    <t>1#1700</t>
  </si>
  <si>
    <t>1#1701</t>
  </si>
  <si>
    <t>1#1702</t>
  </si>
  <si>
    <t>1#1703</t>
  </si>
  <si>
    <t>1#1704</t>
  </si>
  <si>
    <t>1#1705</t>
  </si>
  <si>
    <t>1#1706</t>
  </si>
  <si>
    <t>1#1707</t>
  </si>
  <si>
    <t>1#1708</t>
  </si>
  <si>
    <t>1#1709</t>
  </si>
  <si>
    <t>1#1710</t>
  </si>
  <si>
    <t>1#1711</t>
  </si>
  <si>
    <t>1#1712</t>
  </si>
  <si>
    <t>1#1713</t>
  </si>
  <si>
    <t>1#1714</t>
  </si>
  <si>
    <t>1#1715</t>
  </si>
  <si>
    <t>1#1716</t>
  </si>
  <si>
    <t>1#1717</t>
  </si>
  <si>
    <t>1#1718</t>
  </si>
  <si>
    <t>1#1719</t>
  </si>
  <si>
    <t>1#1720</t>
  </si>
  <si>
    <t>1#1721</t>
  </si>
  <si>
    <t>1#1722</t>
  </si>
  <si>
    <t>1#1723</t>
  </si>
  <si>
    <t>1#1724</t>
  </si>
  <si>
    <t>1#1725</t>
  </si>
  <si>
    <t>1#1726</t>
  </si>
  <si>
    <t>1#1727</t>
  </si>
  <si>
    <t>1#1728</t>
  </si>
  <si>
    <t>1#1729</t>
  </si>
  <si>
    <t>1#1730</t>
  </si>
  <si>
    <t>1#1731</t>
  </si>
  <si>
    <t>1#1732</t>
  </si>
  <si>
    <t>1#1733</t>
  </si>
  <si>
    <t>1#1734</t>
  </si>
  <si>
    <t>1#1735</t>
  </si>
  <si>
    <t>1#1736</t>
  </si>
  <si>
    <t>1#1737</t>
  </si>
  <si>
    <t>1#1738</t>
  </si>
  <si>
    <t>1#1739</t>
  </si>
  <si>
    <t>1#1740</t>
  </si>
  <si>
    <t>1#1741</t>
  </si>
  <si>
    <t>1#1742</t>
  </si>
  <si>
    <t>1#1743</t>
  </si>
  <si>
    <t>1#1744</t>
  </si>
  <si>
    <t>1#1745</t>
  </si>
  <si>
    <t>1#1746</t>
  </si>
  <si>
    <t>1#1747</t>
  </si>
  <si>
    <t>1#1748</t>
  </si>
  <si>
    <t>1#1749</t>
  </si>
  <si>
    <t>1#1750</t>
  </si>
  <si>
    <t>1#1751</t>
  </si>
  <si>
    <t>1#1752</t>
  </si>
  <si>
    <t>1#1753</t>
  </si>
  <si>
    <t>1#1754</t>
  </si>
  <si>
    <t>1#1755</t>
  </si>
  <si>
    <t>1#1756</t>
  </si>
  <si>
    <t>1#1757</t>
  </si>
  <si>
    <t>1#1758</t>
  </si>
  <si>
    <t>1#1759</t>
  </si>
  <si>
    <t>1#1760</t>
  </si>
  <si>
    <t>1#1761</t>
  </si>
  <si>
    <t>1#1762</t>
  </si>
  <si>
    <t>1#1763</t>
  </si>
  <si>
    <t>1#1764</t>
  </si>
  <si>
    <t>1#1765</t>
  </si>
  <si>
    <t>1#1766</t>
  </si>
  <si>
    <t>1#1767</t>
  </si>
  <si>
    <t>1#1768</t>
  </si>
  <si>
    <t>1#1769</t>
  </si>
  <si>
    <t>1#1770</t>
  </si>
  <si>
    <t>1#1771</t>
  </si>
  <si>
    <t>1#1772</t>
  </si>
  <si>
    <t>1#1773</t>
  </si>
  <si>
    <t>1#1774</t>
  </si>
  <si>
    <t>1#1775</t>
  </si>
  <si>
    <t>1#1776</t>
  </si>
  <si>
    <t>1#1777</t>
  </si>
  <si>
    <t>1#1778</t>
  </si>
  <si>
    <t>1#1779</t>
  </si>
  <si>
    <t>1#1780</t>
  </si>
  <si>
    <t>1#1781</t>
  </si>
  <si>
    <t>1#1782</t>
  </si>
  <si>
    <t>1#1783</t>
  </si>
  <si>
    <t>1#1784</t>
  </si>
  <si>
    <t>1#1785</t>
  </si>
  <si>
    <t>1#1786</t>
  </si>
  <si>
    <t>1#1787</t>
  </si>
  <si>
    <t>1#1788</t>
  </si>
  <si>
    <t>1#1789</t>
  </si>
  <si>
    <t>1#1790</t>
  </si>
  <si>
    <t>1#1791</t>
  </si>
  <si>
    <t>1#1792</t>
  </si>
  <si>
    <t>1#1793</t>
  </si>
  <si>
    <t>1#1794</t>
  </si>
  <si>
    <t>1#1795</t>
  </si>
  <si>
    <t>1#1796</t>
  </si>
  <si>
    <t>1#1797</t>
  </si>
  <si>
    <t>1#1798</t>
  </si>
  <si>
    <t>1#1799</t>
  </si>
  <si>
    <t>1#1800</t>
  </si>
  <si>
    <t>1#1801</t>
  </si>
  <si>
    <t>1#1802</t>
  </si>
  <si>
    <t>1#1803</t>
  </si>
  <si>
    <t>1#1804</t>
  </si>
  <si>
    <t>1#1805</t>
  </si>
  <si>
    <t>1#1806</t>
  </si>
  <si>
    <t>1#1807</t>
  </si>
  <si>
    <t>1#1808</t>
  </si>
  <si>
    <t>1#1809</t>
  </si>
  <si>
    <t>1#1810</t>
  </si>
  <si>
    <t>1#1811</t>
  </si>
  <si>
    <t>1#1812</t>
  </si>
  <si>
    <t>1#1813</t>
  </si>
  <si>
    <t>1#1814</t>
  </si>
  <si>
    <t>1#1815</t>
  </si>
  <si>
    <t>1#1816</t>
  </si>
  <si>
    <t>1#1817</t>
  </si>
  <si>
    <t>1#1818</t>
  </si>
  <si>
    <t>1#1819</t>
  </si>
  <si>
    <t>1#1820</t>
  </si>
  <si>
    <t>1#1821</t>
  </si>
  <si>
    <t>1#1822</t>
  </si>
  <si>
    <t>1#1823</t>
  </si>
  <si>
    <t>1#1824</t>
  </si>
  <si>
    <t>1#1825</t>
  </si>
  <si>
    <t>1#1826</t>
  </si>
  <si>
    <t>1#1827</t>
  </si>
  <si>
    <t>1#1828</t>
  </si>
  <si>
    <t>1#1829</t>
  </si>
  <si>
    <t>1#1830</t>
  </si>
  <si>
    <t>1#1831</t>
  </si>
  <si>
    <t>1#1832</t>
  </si>
  <si>
    <t>1#1833</t>
  </si>
  <si>
    <t>1#1834</t>
  </si>
  <si>
    <t>1#1835</t>
  </si>
  <si>
    <t>1#1836</t>
  </si>
  <si>
    <t>1#1837</t>
  </si>
  <si>
    <t>1#1838</t>
  </si>
  <si>
    <t>1#1839</t>
  </si>
  <si>
    <t>1#1840</t>
  </si>
  <si>
    <t>1#1841</t>
  </si>
  <si>
    <t>1#1842</t>
  </si>
  <si>
    <t>1#1843</t>
  </si>
  <si>
    <t>1#1844</t>
  </si>
  <si>
    <t>1#1845</t>
  </si>
  <si>
    <t>1#1846</t>
  </si>
  <si>
    <t>1#1847</t>
  </si>
  <si>
    <t>1#1848</t>
  </si>
  <si>
    <t>1#1849</t>
  </si>
  <si>
    <t>1#1850</t>
  </si>
  <si>
    <t>1#1851</t>
  </si>
  <si>
    <t>1#1852</t>
  </si>
  <si>
    <t>1#1853</t>
  </si>
  <si>
    <t>1#1854</t>
  </si>
  <si>
    <t>1#1855</t>
  </si>
  <si>
    <t>1#1856</t>
  </si>
  <si>
    <t>1#1857</t>
  </si>
  <si>
    <t>1#1858</t>
  </si>
  <si>
    <t>1#1859</t>
  </si>
  <si>
    <t>1#1860</t>
  </si>
  <si>
    <t>1#1861</t>
  </si>
  <si>
    <t>1#1862</t>
  </si>
  <si>
    <t>1#1863</t>
  </si>
  <si>
    <t>1#1864</t>
  </si>
  <si>
    <t>1#1865</t>
  </si>
  <si>
    <t>1#1866</t>
  </si>
  <si>
    <t>1#1867</t>
  </si>
  <si>
    <t>1#1868</t>
  </si>
  <si>
    <t>1#1869</t>
  </si>
  <si>
    <t>1#1870</t>
  </si>
  <si>
    <t>1#1871</t>
  </si>
  <si>
    <t>1#1872</t>
  </si>
  <si>
    <t>1#1873</t>
  </si>
  <si>
    <t>1#1874</t>
  </si>
  <si>
    <t>1#1875</t>
  </si>
  <si>
    <t>1#1876</t>
  </si>
  <si>
    <t>1#1877</t>
  </si>
  <si>
    <t>1#1878</t>
  </si>
  <si>
    <t>1#1879</t>
  </si>
  <si>
    <t>1#1880</t>
  </si>
  <si>
    <t>1#1881</t>
  </si>
  <si>
    <t>1#1882</t>
  </si>
  <si>
    <t>1#1883</t>
  </si>
  <si>
    <t>1#1884</t>
  </si>
  <si>
    <t>1#1885</t>
  </si>
  <si>
    <t>1#1886</t>
  </si>
  <si>
    <t>1#1887</t>
  </si>
  <si>
    <t>1#1888</t>
  </si>
  <si>
    <t>1#1889</t>
  </si>
  <si>
    <t>1#1890</t>
  </si>
  <si>
    <t>1#1891</t>
  </si>
  <si>
    <t>1#1892</t>
  </si>
  <si>
    <t>1#1893</t>
  </si>
  <si>
    <t>1#1894</t>
  </si>
  <si>
    <t>1#1895</t>
  </si>
  <si>
    <t>1#1896</t>
  </si>
  <si>
    <t>1#1897</t>
  </si>
  <si>
    <t>1#1898</t>
  </si>
  <si>
    <t>1#1899</t>
  </si>
  <si>
    <t>1#1900</t>
  </si>
  <si>
    <t>1#1901</t>
  </si>
  <si>
    <t>1#1902</t>
  </si>
  <si>
    <t>1#1903</t>
  </si>
  <si>
    <t>1#1904</t>
  </si>
  <si>
    <t>1#1905</t>
  </si>
  <si>
    <t>1#1906</t>
  </si>
  <si>
    <t>1#1907</t>
  </si>
  <si>
    <t>1#1908</t>
  </si>
  <si>
    <t>1#1909</t>
  </si>
  <si>
    <t>1#1910</t>
  </si>
  <si>
    <t>1#1911</t>
  </si>
  <si>
    <t>1#1912</t>
  </si>
  <si>
    <t>1#1913</t>
  </si>
  <si>
    <t>1#1914</t>
  </si>
  <si>
    <t>1#1915</t>
  </si>
  <si>
    <t>1#1916</t>
  </si>
  <si>
    <t>1#1917</t>
  </si>
  <si>
    <t>1#1918</t>
  </si>
  <si>
    <t>1#1919</t>
  </si>
  <si>
    <t>1#1920</t>
  </si>
  <si>
    <t>1#1921</t>
  </si>
  <si>
    <t>1#1922</t>
  </si>
  <si>
    <t>1#1923</t>
  </si>
  <si>
    <t>1#1924</t>
  </si>
  <si>
    <t>1#1925</t>
  </si>
  <si>
    <t>1#1926</t>
  </si>
  <si>
    <t>1#1927</t>
  </si>
  <si>
    <t>1#1928</t>
  </si>
  <si>
    <t>1#1929</t>
  </si>
  <si>
    <t>1#1930</t>
  </si>
  <si>
    <t>1#1931</t>
  </si>
  <si>
    <t>1#1932</t>
  </si>
  <si>
    <t>1#1933</t>
  </si>
  <si>
    <t>1#1934</t>
  </si>
  <si>
    <t>1#1935</t>
  </si>
  <si>
    <t>1#1936</t>
  </si>
  <si>
    <t>1#1937</t>
  </si>
  <si>
    <t>1#1938</t>
  </si>
  <si>
    <t>1#1939</t>
  </si>
  <si>
    <t>1#1940</t>
  </si>
  <si>
    <t>1#1941</t>
  </si>
  <si>
    <t>1#1942</t>
  </si>
  <si>
    <t>1#1943</t>
  </si>
  <si>
    <t>1#1944</t>
  </si>
  <si>
    <t>1#1945</t>
  </si>
  <si>
    <t>1#1946</t>
  </si>
  <si>
    <t>1#1947</t>
  </si>
  <si>
    <t>1#1948</t>
  </si>
  <si>
    <t>1#1949</t>
  </si>
  <si>
    <t>1#1950</t>
  </si>
  <si>
    <t>1#1951</t>
  </si>
  <si>
    <t>1#1952</t>
  </si>
  <si>
    <t>1#1953</t>
  </si>
  <si>
    <t>1#1954</t>
  </si>
  <si>
    <t>1#1955</t>
  </si>
  <si>
    <t>1#1956</t>
  </si>
  <si>
    <t>1#1957</t>
  </si>
  <si>
    <t>1#1958</t>
  </si>
  <si>
    <t>1#1959</t>
  </si>
  <si>
    <t>1#1960</t>
  </si>
  <si>
    <t>1#1961</t>
  </si>
  <si>
    <t>1#1962</t>
  </si>
  <si>
    <t>1#1963</t>
  </si>
  <si>
    <t>1#1964</t>
  </si>
  <si>
    <t>1#1965</t>
  </si>
  <si>
    <t>1#1966</t>
  </si>
  <si>
    <t>1#1967</t>
  </si>
  <si>
    <t>1#1968</t>
  </si>
  <si>
    <t>1#1969</t>
  </si>
  <si>
    <t>1#1970</t>
  </si>
  <si>
    <t>1#1971</t>
  </si>
  <si>
    <t>1#1972</t>
  </si>
  <si>
    <t>1#1973</t>
  </si>
  <si>
    <t>1#1974</t>
  </si>
  <si>
    <t>1#1975</t>
  </si>
  <si>
    <t>1#1976</t>
  </si>
  <si>
    <t>1#1977</t>
  </si>
  <si>
    <t>1#1978</t>
  </si>
  <si>
    <t>1#1979</t>
  </si>
  <si>
    <t>1#1980</t>
  </si>
  <si>
    <t>1#1981</t>
  </si>
  <si>
    <t>1#1982</t>
  </si>
  <si>
    <t>1#1983</t>
  </si>
  <si>
    <t>1#1984</t>
  </si>
  <si>
    <t>1#1985</t>
  </si>
  <si>
    <t>1#1986</t>
  </si>
  <si>
    <t>1#1987</t>
  </si>
  <si>
    <t>1#1988</t>
  </si>
  <si>
    <t>1#1989</t>
  </si>
  <si>
    <t>1#1990</t>
  </si>
  <si>
    <t>1#1991</t>
  </si>
  <si>
    <t>1#1992</t>
  </si>
  <si>
    <t>1#1993</t>
  </si>
  <si>
    <t>1#1994</t>
  </si>
  <si>
    <t>1#1995</t>
  </si>
  <si>
    <t>1#1996</t>
  </si>
  <si>
    <t>1#1997</t>
  </si>
  <si>
    <t>1#1998</t>
  </si>
  <si>
    <t>1#1999</t>
  </si>
  <si>
    <t>1#2000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</si>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</sst>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7</v>
    <v>8</v>
    <v>0</v>
    <v>1</v>
  </rv>
  <rv s="0">
    <v>1</v>
    <v>8</v>
    <v>1</v>
    <v>1</v>
  </rv>
  <rv s="0">
    <v>1</v>
    <v>8</v>
    <v>0</v>
    <v>1</v>
  </rv>
  <rv s="0">
    <v>0</v>
    <v>8</v>
    <v>5</v>
    <v>1</v>
  </rv>
  <rv s="0">
    <v>1</v>
    <v>8</v>
    <v>2</v>
    <v>1</v>
  </rv>
  <rv s="0">
    <v>2</v>
    <v>8</v>
    <v>0</v>
    <v>1</v>
  </rv>
  <rv s="0">
    <v>0</v>
    <v>8</v>
    <v>7</v>
    <v>1</v>
  </rv>
  <rv s="0">
    <v>0</v>
    <v>8</v>
    <v>4</v>
    <v>1</v>
  </rv>
  <rv s="0">
    <v>0</v>
    <v>8</v>
    <v>3</v>
    <v>1</v>
  </rv>
  <rv s="0">
    <v>1</v>
    <v>8</v>
    <v>9</v>
    <v>1</v>
  </rv>
  <rv s="0">
    <v>5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_xlfn.BINOM.DIST(6,2,0.5,"FALSE")</f>
        <v>#NUM!</v>
      </c>
      <c r="B1">
        <f t="shared" ref="B1:B64" si="0">IF(ISERROR(A1),ERROR.TYPE(A1),IF(ISNUMBER(A1),0,IF(ISLOGICAL(A1),IF(A1,-1,-2),IF(ISTEXT(A1),-3,-4))))</f>
        <v>6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ACOSH(0.5)</f>
        <v>#NUM!</v>
      </c>
      <c r="B2">
        <f t="shared" si="0"/>
        <v>6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 vm="1">
        <f t="array" aca="1" ref="A3" ca="1">_xlfn.WRAPCOLS(D!B1:B8,1)</f>
        <v>#VALUE!</v>
      </c>
      <c r="B3">
        <f t="shared" ca="1" si="0"/>
        <v>9</v>
      </c>
      <c r="C3">
        <f t="shared" ca="1" si="1"/>
        <v>0</v>
      </c>
      <c r="D3" t="str">
        <f t="shared" ca="1" si="2"/>
        <v/>
      </c>
      <c r="E3" t="s">
        <v>37</v>
      </c>
    </row>
    <row r="4" spans="1:5" x14ac:dyDescent="0.2">
      <c r="A4" cm="1">
        <f t="array" ref="A4">PROB(D!AH1:AH4,D!AI1:AI4,2)</f>
        <v>0.1</v>
      </c>
      <c r="B4">
        <f t="shared" si="0"/>
        <v>0</v>
      </c>
      <c r="C4">
        <f t="shared" si="1"/>
        <v>0.1</v>
      </c>
      <c r="D4" t="str">
        <f t="shared" si="2"/>
        <v/>
      </c>
      <c r="E4" t="s">
        <v>38</v>
      </c>
    </row>
    <row r="5" spans="1:5" x14ac:dyDescent="0.2">
      <c r="A5" t="b" cm="1">
        <f t="array" ref="A5">TBILLYIELD(39538,39600,98.45)=MDETERM(COUNTBLANK(D!D1:D8))</f>
        <v>0</v>
      </c>
      <c r="B5">
        <f t="shared" si="0"/>
        <v>-2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b" cm="1">
        <f t="array" ref="A6">TRUE()</f>
        <v>1</v>
      </c>
      <c r="B6">
        <f t="shared" si="0"/>
        <v>-1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_xlfn.IMCSCH(D!A12)</f>
        <v>#NUM!</v>
      </c>
      <c r="B7">
        <f t="shared" si="0"/>
        <v>6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LN(86)</f>
        <v>4.4543472962535073</v>
      </c>
      <c r="B8">
        <f t="shared" si="0"/>
        <v>0</v>
      </c>
      <c r="C8">
        <f t="shared" si="1"/>
        <v>4.4543472962535073</v>
      </c>
      <c r="D8" t="str">
        <f t="shared" si="2"/>
        <v/>
      </c>
      <c r="E8" t="s">
        <v>42</v>
      </c>
    </row>
    <row r="9" spans="1:5" x14ac:dyDescent="0.2">
      <c r="A9" cm="1">
        <f t="array" ref="A9">FISHERINV(TRUE)</f>
        <v>0.76159415595576485</v>
      </c>
      <c r="B9">
        <f t="shared" si="0"/>
        <v>0</v>
      </c>
      <c r="C9">
        <f t="shared" si="1"/>
        <v>0.76159415595576485</v>
      </c>
      <c r="D9" t="str">
        <f t="shared" si="2"/>
        <v/>
      </c>
      <c r="E9" t="s">
        <v>43</v>
      </c>
    </row>
    <row r="10" spans="1:5" x14ac:dyDescent="0.2">
      <c r="A10" t="e" cm="1">
        <f t="array" ref="A10">_xlfn.SKEW.P(_xlfn.MODE.MULT(D!BG1:BG12,2.5,D!U1:Y7),D!H1:H7,D!F1,D!H1:H7)*_xlfn.F.INV(10,6,_xlfn.STDEV.S(D!B1:B8,D!AW1:AW4,-1.5,D!L1:L6))</f>
        <v>#NUM!</v>
      </c>
      <c r="B10">
        <f t="shared" si="0"/>
        <v>6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_xlfn.MINIFS(D!A15,D!I1:I5,"&gt;4")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MIN(D!B1:B8)</f>
        <v>-3.5</v>
      </c>
      <c r="B12">
        <f t="shared" si="0"/>
        <v>0</v>
      </c>
      <c r="C12">
        <f t="shared" si="1"/>
        <v>-3.5</v>
      </c>
      <c r="D12" t="str">
        <f t="shared" si="2"/>
        <v/>
      </c>
      <c r="E12" t="s">
        <v>46</v>
      </c>
    </row>
    <row r="13" spans="1:5" x14ac:dyDescent="0.2">
      <c r="A13" t="e" cm="1">
        <f t="array" ref="A13">SUMSQ(3,D!B3,#VALUE!)&lt;&gt;LOG(10)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SUM(FISHER(100))</f>
        <v>#NUM!</v>
      </c>
      <c r="B14">
        <f t="shared" si="0"/>
        <v>6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_xlfn.TEXTJOIN(";",FALSE,STDEVA(FALSE))</f>
        <v>#DIV/0!</v>
      </c>
      <c r="B15">
        <f t="shared" si="0"/>
        <v>2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_xlfn.CSCH(1.5)</f>
        <v>0.46964244059522464</v>
      </c>
      <c r="B16">
        <f t="shared" si="0"/>
        <v>0</v>
      </c>
      <c r="C16">
        <f t="shared" si="1"/>
        <v>0.46964244059522464</v>
      </c>
      <c r="D16" t="str">
        <f t="shared" si="2"/>
        <v/>
      </c>
      <c r="E16" t="s">
        <v>50</v>
      </c>
    </row>
    <row r="17" spans="1:5" x14ac:dyDescent="0.2">
      <c r="A17" cm="1">
        <f t="array" ref="A17">_xlfn.IFS(FALSE,"6:35 AM",TRUE,2)</f>
        <v>2</v>
      </c>
      <c r="B17">
        <f t="shared" si="0"/>
        <v>0</v>
      </c>
      <c r="C17">
        <f t="shared" si="1"/>
        <v>2</v>
      </c>
      <c r="D17" t="str">
        <f t="shared" si="2"/>
        <v/>
      </c>
      <c r="E17" t="s">
        <v>51</v>
      </c>
    </row>
    <row r="18" spans="1:5" x14ac:dyDescent="0.2">
      <c r="A18" cm="1">
        <f t="array" ref="A18">_xlfn.DAYS(D!H3,44228)</f>
        <v>1431</v>
      </c>
      <c r="B18">
        <f t="shared" si="0"/>
        <v>0</v>
      </c>
      <c r="C18">
        <f t="shared" si="1"/>
        <v>1431</v>
      </c>
      <c r="D18" t="str">
        <f t="shared" si="2"/>
        <v/>
      </c>
      <c r="E18" t="s">
        <v>52</v>
      </c>
    </row>
    <row r="19" spans="1:5" x14ac:dyDescent="0.2">
      <c r="A19" t="str" cm="1">
        <f t="array" ref="A19">T("Rainfall")</f>
        <v>Rainfall</v>
      </c>
      <c r="B19">
        <f t="shared" si="0"/>
        <v>-3</v>
      </c>
      <c r="C19">
        <f t="shared" si="1"/>
        <v>0</v>
      </c>
      <c r="D19" t="str">
        <f t="shared" si="2"/>
        <v>Rainfall</v>
      </c>
      <c r="E19" t="s">
        <v>53</v>
      </c>
    </row>
    <row r="20" spans="1:5" x14ac:dyDescent="0.2">
      <c r="A20" cm="1">
        <f t="array" ref="A20">INDEX(COS(-1.5),1,1)</f>
        <v>7.0737201667702906E-2</v>
      </c>
      <c r="B20">
        <f t="shared" si="0"/>
        <v>0</v>
      </c>
      <c r="C20">
        <f t="shared" si="1"/>
        <v>7.0737201667702906E-2</v>
      </c>
      <c r="D20" t="str">
        <f t="shared" si="2"/>
        <v/>
      </c>
      <c r="E20" t="s">
        <v>54</v>
      </c>
    </row>
    <row r="21" spans="1:5" x14ac:dyDescent="0.2">
      <c r="A21" t="e" cm="1">
        <f t="array" ref="A21">_xlfn.IMCOSH(D!A8)</f>
        <v>#N/A</v>
      </c>
      <c r="B21">
        <f t="shared" si="0"/>
        <v>7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MIN(D!B1:B8)</f>
        <v>-3.5</v>
      </c>
      <c r="B22">
        <f t="shared" si="0"/>
        <v>0</v>
      </c>
      <c r="C22">
        <f t="shared" si="1"/>
        <v>-3.5</v>
      </c>
      <c r="D22" t="str">
        <f t="shared" si="2"/>
        <v/>
      </c>
      <c r="E22" t="s">
        <v>56</v>
      </c>
    </row>
    <row r="23" spans="1:5" x14ac:dyDescent="0.2">
      <c r="A23" cm="1">
        <f t="array" ref="A23">GAMMALN(4)</f>
        <v>1.791759469228055</v>
      </c>
      <c r="B23">
        <f t="shared" si="0"/>
        <v>0</v>
      </c>
      <c r="C23">
        <f t="shared" si="1"/>
        <v>1.791759469228055</v>
      </c>
      <c r="D23" t="str">
        <f t="shared" si="2"/>
        <v/>
      </c>
      <c r="E23" t="s">
        <v>57</v>
      </c>
    </row>
    <row r="24" spans="1:5" x14ac:dyDescent="0.2">
      <c r="A24" cm="1">
        <f t="array" ref="A24">EXP("1.5")</f>
        <v>4.4816890703380645</v>
      </c>
      <c r="B24">
        <f t="shared" si="0"/>
        <v>0</v>
      </c>
      <c r="C24">
        <f t="shared" si="1"/>
        <v>4.4816890703380645</v>
      </c>
      <c r="D24" t="str">
        <f t="shared" si="2"/>
        <v/>
      </c>
      <c r="E24" t="s">
        <v>58</v>
      </c>
    </row>
    <row r="25" spans="1:5" x14ac:dyDescent="0.2">
      <c r="A25" t="str" cm="1">
        <f t="array" ref="A25">_xlfn.TEXTJOIN(";",FALSE,_xlfn.FLOOR.MATH(0,5))</f>
        <v>0</v>
      </c>
      <c r="B25">
        <f t="shared" si="0"/>
        <v>-3</v>
      </c>
      <c r="C25">
        <f t="shared" si="1"/>
        <v>0</v>
      </c>
      <c r="D25" t="str">
        <f t="shared" si="2"/>
        <v>0</v>
      </c>
      <c r="E25" t="s">
        <v>59</v>
      </c>
    </row>
    <row r="26" spans="1:5" x14ac:dyDescent="0.2">
      <c r="A26" cm="1">
        <f t="array" ref="A26">COLUMNS(ROUND(60,1))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_xlfn.F.DIST.RT(D!L4,D!B1-DAY("TRUE"),_xlfn.POISSON.DIST(D!A15,5,TRUE))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_xlfn.F.INV(7,_xlfn.GAMMA(2.5),4)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WEIBULL(105,20," 2 ",-_xlfn.PERCENTRANK.EXC(D!B1:B8,8)/D!A4)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63</v>
      </c>
    </row>
    <row r="30" spans="1:5" x14ac:dyDescent="0.2">
      <c r="A30" cm="1">
        <f t="array" ref="A30">FTEST(D!B1:B8,D!I1:I5*_xlfn.PERCENTILE.INC(D!N1:N6,0.3))</f>
        <v>1.9953882531183624E-27</v>
      </c>
      <c r="B30">
        <f t="shared" si="0"/>
        <v>0</v>
      </c>
      <c r="C30">
        <f t="shared" si="1"/>
        <v>1.9953882531183624E-27</v>
      </c>
      <c r="D30" t="str">
        <f t="shared" si="2"/>
        <v/>
      </c>
      <c r="E30" t="s">
        <v>64</v>
      </c>
    </row>
    <row r="31" spans="1:5" x14ac:dyDescent="0.2">
      <c r="A31" cm="1">
        <f t="array" ref="A31">_xlfn.DAYS(44270,D!A5)</f>
        <v>44270</v>
      </c>
      <c r="B31">
        <f t="shared" si="0"/>
        <v>0</v>
      </c>
      <c r="C31">
        <f t="shared" si="1"/>
        <v>44270</v>
      </c>
      <c r="D31" t="str">
        <f t="shared" si="2"/>
        <v/>
      </c>
      <c r="E31" t="s">
        <v>65</v>
      </c>
    </row>
    <row r="32" spans="1:5" x14ac:dyDescent="0.2">
      <c r="A32" t="e" cm="1">
        <f t="array" ref="A32">DSTDEV(D!B1,"Yield",D!H1:H7)&gt;_xlfn.CSC(15)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 vm="2">
        <f t="array" aca="1" ref="A33" ca="1">DB(-1,100000,2.5,{1,2;3,4},_xlfn.LOGNORM.DIST(#REF!,D!B1,1.2,FALSE))</f>
        <v>#VALUE!</v>
      </c>
      <c r="B33">
        <f t="shared" ca="1" si="0"/>
        <v>9</v>
      </c>
      <c r="C33">
        <f t="shared" ca="1" si="1"/>
        <v>0</v>
      </c>
      <c r="D33" t="str">
        <f t="shared" ca="1" si="2"/>
        <v/>
      </c>
      <c r="E33" t="s">
        <v>67</v>
      </c>
    </row>
    <row r="34" spans="1:5" x14ac:dyDescent="0.2">
      <c r="A34" cm="1">
        <f t="array" ref="A34">IMREAL("6-9i")</f>
        <v>6</v>
      </c>
      <c r="B34">
        <f t="shared" si="0"/>
        <v>0</v>
      </c>
      <c r="C34">
        <f t="shared" si="1"/>
        <v>6</v>
      </c>
      <c r="D34" t="str">
        <f t="shared" si="2"/>
        <v/>
      </c>
      <c r="E34" t="s">
        <v>68</v>
      </c>
    </row>
    <row r="35" spans="1:5" x14ac:dyDescent="0.2">
      <c r="A35" t="e" cm="1" vm="3">
        <f t="array" aca="1" ref="A35" ca="1">LINEST(D!AY1:AY5,D!AZ1:AZ5)</f>
        <v>#VALUE!</v>
      </c>
      <c r="B35">
        <f t="shared" ca="1" si="0"/>
        <v>9</v>
      </c>
      <c r="C35">
        <f t="shared" ca="1" si="1"/>
        <v>0</v>
      </c>
      <c r="D35" t="str">
        <f t="shared" ca="1" si="2"/>
        <v/>
      </c>
      <c r="E35" t="s">
        <v>69</v>
      </c>
    </row>
    <row r="36" spans="1:5" x14ac:dyDescent="0.2">
      <c r="A36" t="e" cm="1">
        <f t="array" ref="A36">SUMPRODUCT(D!U1:Y7,D!C1:C8,_xlfn.TOCOL(D!H1:H7,{3,1,2}))*TANH(-2)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N(7)</f>
        <v>7</v>
      </c>
      <c r="B37">
        <f t="shared" si="0"/>
        <v>0</v>
      </c>
      <c r="C37">
        <f t="shared" si="1"/>
        <v>7</v>
      </c>
      <c r="D37" t="str">
        <f t="shared" si="2"/>
        <v/>
      </c>
      <c r="E37" t="s">
        <v>71</v>
      </c>
    </row>
    <row r="38" spans="1:5" x14ac:dyDescent="0.2">
      <c r="A38" t="e" cm="1">
        <f t="array" ref="A38">_xlfn.TEXTJOIN(";",FALSE,_xlfn.NORM.DIST(42,PROB(_xlfn.TEXTSPLIT("a,b;c",#NAME?,D!AV1:AV7),D!L8:Q10,2,_xlfn.ACOT(2)),FALSE,TRUE))</f>
        <v>#NAME?</v>
      </c>
      <c r="B38">
        <f t="shared" si="0"/>
        <v>5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SUM(NETWORKDAYS.INTL(38718,38748))</f>
        <v>22</v>
      </c>
      <c r="B39">
        <f t="shared" si="0"/>
        <v>0</v>
      </c>
      <c r="C39">
        <f t="shared" si="1"/>
        <v>22</v>
      </c>
      <c r="D39" t="str">
        <f t="shared" si="2"/>
        <v/>
      </c>
      <c r="E39" t="s">
        <v>73</v>
      </c>
    </row>
    <row r="40" spans="1:5" x14ac:dyDescent="0.2">
      <c r="A40" cm="1">
        <f t="array" ref="A40">BESSELJ(1.9,1)</f>
        <v>0.5811570728301696</v>
      </c>
      <c r="B40">
        <f t="shared" si="0"/>
        <v>0</v>
      </c>
      <c r="C40">
        <f t="shared" si="1"/>
        <v>0.5811570728301696</v>
      </c>
      <c r="D40" t="str">
        <f t="shared" si="2"/>
        <v/>
      </c>
      <c r="E40" t="s">
        <v>74</v>
      </c>
    </row>
    <row r="41" spans="1:5" x14ac:dyDescent="0.2">
      <c r="A41" t="e" cm="1">
        <f t="array" ref="A41">SLN("?",7500,0.25)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COVAR(D!B1:B8,D!AA1:AB2)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str" cm="1">
        <f t="array" ref="A43">LEFT("x y")</f>
        <v>x</v>
      </c>
      <c r="B43">
        <f t="shared" si="0"/>
        <v>-3</v>
      </c>
      <c r="C43">
        <f t="shared" si="1"/>
        <v>0</v>
      </c>
      <c r="D43" t="str">
        <f t="shared" si="2"/>
        <v>x</v>
      </c>
      <c r="E43" t="s">
        <v>77</v>
      </c>
    </row>
    <row r="44" spans="1:5" x14ac:dyDescent="0.2">
      <c r="A44" cm="1">
        <f t="array" ref="A44">SUMIF(D!B7,CONVERT(D!B1,40000,"kg"),D!H1:H7)</f>
        <v>0</v>
      </c>
      <c r="B44">
        <f t="shared" si="0"/>
        <v>0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_xlfn.LOGNORM.INV(0.039084,3.5,1.2)</f>
        <v>4.000025218680638</v>
      </c>
      <c r="B45">
        <f t="shared" si="0"/>
        <v>0</v>
      </c>
      <c r="C45">
        <f t="shared" si="1"/>
        <v>4.000025218680638</v>
      </c>
      <c r="D45" t="str">
        <f t="shared" si="2"/>
        <v/>
      </c>
      <c r="E45" t="s">
        <v>79</v>
      </c>
    </row>
    <row r="46" spans="1:5" x14ac:dyDescent="0.2">
      <c r="A46" t="str" cm="1">
        <f t="array" ref="A46">INDEX(RIGHT(FIND("M","Miriam McGovern"),INT(8.9)),1,1)</f>
        <v>1</v>
      </c>
      <c r="B46">
        <f t="shared" si="0"/>
        <v>-3</v>
      </c>
      <c r="C46">
        <f t="shared" si="1"/>
        <v>0</v>
      </c>
      <c r="D46" t="str">
        <f t="shared" si="2"/>
        <v>1</v>
      </c>
      <c r="E46" t="s">
        <v>80</v>
      </c>
    </row>
    <row r="47" spans="1:5" x14ac:dyDescent="0.2">
      <c r="A47" cm="1">
        <f t="array" ref="A47">FISHER(0.75)</f>
        <v>0.97295507452765662</v>
      </c>
      <c r="B47">
        <f t="shared" si="0"/>
        <v>0</v>
      </c>
      <c r="C47">
        <f t="shared" si="1"/>
        <v>0.97295507452765662</v>
      </c>
      <c r="D47" t="str">
        <f t="shared" si="2"/>
        <v/>
      </c>
      <c r="E47" t="s">
        <v>81</v>
      </c>
    </row>
    <row r="48" spans="1:5" x14ac:dyDescent="0.2">
      <c r="A48" t="str" cm="1">
        <f t="array" ref="A48">IMLOG10("3+4i")</f>
        <v>0.698970004336019+0.402719196273373i</v>
      </c>
      <c r="B48">
        <f t="shared" si="0"/>
        <v>-3</v>
      </c>
      <c r="C48">
        <f t="shared" si="1"/>
        <v>0</v>
      </c>
      <c r="D48" t="str">
        <f t="shared" si="2"/>
        <v>0.698970004336019+0.402719196273373i</v>
      </c>
      <c r="E48" t="s">
        <v>82</v>
      </c>
    </row>
    <row r="49" spans="1:5" x14ac:dyDescent="0.2">
      <c r="A49" cm="1">
        <f t="array" ref="A49">_xlfn.COT(100)</f>
        <v>-1.7029569194264691</v>
      </c>
      <c r="B49">
        <f t="shared" si="0"/>
        <v>0</v>
      </c>
      <c r="C49">
        <f t="shared" si="1"/>
        <v>-1.7029569194264691</v>
      </c>
      <c r="D49" t="str">
        <f t="shared" si="2"/>
        <v/>
      </c>
      <c r="E49" t="s">
        <v>83</v>
      </c>
    </row>
    <row r="50" spans="1:5" x14ac:dyDescent="0.2">
      <c r="A50" t="str" cm="1">
        <f t="array" ref="A50">_xlfn.TEXTJOIN(";",FALSE,_xlfn.COVARIANCE.P(D!B1:B8,D!C1:C8))</f>
        <v>155.328125</v>
      </c>
      <c r="B50">
        <f t="shared" si="0"/>
        <v>-3</v>
      </c>
      <c r="C50">
        <f t="shared" si="1"/>
        <v>0</v>
      </c>
      <c r="D50" t="str">
        <f t="shared" si="2"/>
        <v>155.328125</v>
      </c>
      <c r="E50" t="s">
        <v>84</v>
      </c>
    </row>
    <row r="51" spans="1:5" x14ac:dyDescent="0.2">
      <c r="A51" cm="1">
        <f t="array" ref="A51">_xlfn.CHISQ.INV(0.93,1)</f>
        <v>3.2830202867595295</v>
      </c>
      <c r="B51">
        <f t="shared" si="0"/>
        <v>0</v>
      </c>
      <c r="C51">
        <f t="shared" si="1"/>
        <v>3.2830202867595295</v>
      </c>
      <c r="D51" t="str">
        <f t="shared" si="2"/>
        <v/>
      </c>
      <c r="E51" t="s">
        <v>85</v>
      </c>
    </row>
    <row r="52" spans="1:5" x14ac:dyDescent="0.2">
      <c r="A52" t="e" cm="1">
        <f t="array" ref="A52">BINOMDIST(FINV(D!B7,6,4),10,0.5,FALSE)</f>
        <v>#NUM!</v>
      </c>
      <c r="B52">
        <f t="shared" si="0"/>
        <v>6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_xlfn.DECIMAL("FF",16)</f>
        <v>255</v>
      </c>
      <c r="B53">
        <f t="shared" si="0"/>
        <v>0</v>
      </c>
      <c r="C53">
        <f t="shared" si="1"/>
        <v>255</v>
      </c>
      <c r="D53" t="str">
        <f t="shared" si="2"/>
        <v/>
      </c>
      <c r="E53" t="s">
        <v>87</v>
      </c>
    </row>
    <row r="54" spans="1:5" x14ac:dyDescent="0.2">
      <c r="A54" t="b" cm="1">
        <f t="array" ref="A54">_xlfn.EXPON.DIST(0.2,0.5,TRUE)&lt;&gt;DELTA(5,0.5)</f>
        <v>1</v>
      </c>
      <c r="B54">
        <f t="shared" si="0"/>
        <v>-1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_xlfn.PERCENTRANK.EXC("1E2",8)=_xlfn.IMCOT(D!G4)</f>
        <v>#N/A</v>
      </c>
      <c r="B55">
        <f t="shared" si="0"/>
        <v>7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INDEX(D!B2:B3,SUMXMY2(D!B1:B8,D!C1:C8),3)</f>
        <v>#REF!</v>
      </c>
      <c r="B56">
        <f t="shared" si="0"/>
        <v>4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str" cm="1">
        <f t="array" ref="A57">BAHTTEXT("50%")</f>
        <v>ห้าสิบสตางค์</v>
      </c>
      <c r="B57">
        <f t="shared" si="0"/>
        <v>-3</v>
      </c>
      <c r="C57">
        <f t="shared" si="1"/>
        <v>0</v>
      </c>
      <c r="D57" t="str">
        <f t="shared" si="2"/>
        <v>ห้าสิบสตางค์</v>
      </c>
      <c r="E57" t="s">
        <v>91</v>
      </c>
    </row>
    <row r="58" spans="1:5" x14ac:dyDescent="0.2">
      <c r="A58" t="e" cm="1">
        <f t="array" ref="A58">INDEX(_xlfn.RANK.EQ(94,D!G1:G7),1,1)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_xlfn.CONFIDENCE.NORM(0.05,D!A5-"1/2/2025",-1*_xlfn.MODE.SNGL(D!U1:Y7,D!P4:R5))</f>
        <v>#NUM!</v>
      </c>
      <c r="B59">
        <f t="shared" si="0"/>
        <v>6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str" cm="1">
        <f t="array" ref="A60">_xlfn.IMSEC("4+3i")</f>
        <v>-0.0652940278579471-0.0752249603027732i</v>
      </c>
      <c r="B60">
        <f t="shared" si="0"/>
        <v>-3</v>
      </c>
      <c r="C60">
        <f t="shared" si="1"/>
        <v>0</v>
      </c>
      <c r="D60" t="str">
        <f t="shared" si="2"/>
        <v>-0.0652940278579471-0.0752249603027732i</v>
      </c>
      <c r="E60" t="s">
        <v>94</v>
      </c>
    </row>
    <row r="61" spans="1:5" x14ac:dyDescent="0.2">
      <c r="A61" t="e" cm="1">
        <f t="array" ref="A61">COMPLEX(NPER(0.5,7,-1000,10000,1),1,YEARFRAC(D!A1:A5,41120))=SKEW(_xlfn.TOROW(D!AA1:AB2,2))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PRICEDISC(TRIMMEAN(-1.5,0.2),1&gt;D!A2,0.0525,60)</f>
        <v>#NUM!</v>
      </c>
      <c r="B62">
        <f t="shared" si="0"/>
        <v>6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LOGNORMDIST(4,MULTINOMIAL(D!D1:D8,3,D!A10),"2024-02-29")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VALUE(TINV(0.05464493,60))</f>
        <v>1.9599999977988323</v>
      </c>
      <c r="B64">
        <f t="shared" si="0"/>
        <v>0</v>
      </c>
      <c r="C64">
        <f t="shared" si="1"/>
        <v>1.9599999977988323</v>
      </c>
      <c r="D64" t="str">
        <f t="shared" si="2"/>
        <v/>
      </c>
      <c r="E64" t="s">
        <v>98</v>
      </c>
    </row>
    <row r="65" spans="1:5" x14ac:dyDescent="0.2">
      <c r="A65" t="e" cm="1">
        <f t="array" ref="A65">_xlfn.PERMUTATIONA(3,-1.5)</f>
        <v>#NUM!</v>
      </c>
      <c r="B65">
        <f t="shared" ref="B65:B128" si="3">IF(ISERROR(A65),ERROR.TYPE(A65),IF(ISNUMBER(A65),0,IF(ISLOGICAL(A65),IF(A65,-1,-2),IF(ISTEXT(A65),-3,-4))))</f>
        <v>6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TYPE(D!A4-D!F1)</f>
        <v>16</v>
      </c>
      <c r="B66">
        <f t="shared" si="3"/>
        <v>0</v>
      </c>
      <c r="C66">
        <f t="shared" si="4"/>
        <v>16</v>
      </c>
      <c r="D66" t="str">
        <f t="shared" si="5"/>
        <v/>
      </c>
      <c r="E66" t="s">
        <v>100</v>
      </c>
    </row>
    <row r="67" spans="1:5" x14ac:dyDescent="0.2">
      <c r="A67" t="e" cm="1">
        <f t="array" ref="A67">_xlfn.XLOOKUP(FALSE,D!L1:L6,D!M1:M6)</f>
        <v>#N/A</v>
      </c>
      <c r="B67">
        <f t="shared" si="3"/>
        <v>7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INDEX(_xlfn.PERCENTOF(D!G1:G7,"0"),1,1)</f>
        <v>#DIV/0!</v>
      </c>
      <c r="B68">
        <f t="shared" si="3"/>
        <v>2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str" cm="1">
        <f t="array" ref="A69">DEC2HEX(D!A12,4)</f>
        <v>0000</v>
      </c>
      <c r="B69">
        <f t="shared" si="3"/>
        <v>-3</v>
      </c>
      <c r="C69">
        <f t="shared" si="4"/>
        <v>0</v>
      </c>
      <c r="D69" t="str">
        <f t="shared" si="5"/>
        <v>0000</v>
      </c>
      <c r="E69" t="s">
        <v>103</v>
      </c>
    </row>
    <row r="70" spans="1:5" x14ac:dyDescent="0.2">
      <c r="A70" cm="1">
        <f t="array" ref="A70">TAN(0.785)</f>
        <v>0.99920399010504268</v>
      </c>
      <c r="B70">
        <f t="shared" si="3"/>
        <v>0</v>
      </c>
      <c r="C70">
        <f t="shared" si="4"/>
        <v>0.99920399010504268</v>
      </c>
      <c r="D70" t="str">
        <f t="shared" si="5"/>
        <v/>
      </c>
      <c r="E70" t="s">
        <v>104</v>
      </c>
    </row>
    <row r="71" spans="1:5" x14ac:dyDescent="0.2">
      <c r="A71" t="e" cm="1">
        <f t="array" ref="A71">_xlfn.TEXTJOIN(";",FALSE,ACCRINTM(DATE(2008,4,1),TIME(12,0,0),0.1,"Привет",CORREL(D!B1:B8,D!C1:C8)))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_xlfn.BITAND(1,5)</f>
        <v>1</v>
      </c>
      <c r="B72">
        <f t="shared" si="3"/>
        <v>0</v>
      </c>
      <c r="C72">
        <f t="shared" si="4"/>
        <v>1</v>
      </c>
      <c r="D72" t="str">
        <f t="shared" si="5"/>
        <v/>
      </c>
      <c r="E72" t="s">
        <v>106</v>
      </c>
    </row>
    <row r="73" spans="1:5" x14ac:dyDescent="0.2">
      <c r="A73" cm="1">
        <f t="array" ref="A73">IMABS("5+12i")</f>
        <v>13</v>
      </c>
      <c r="B73">
        <f t="shared" si="3"/>
        <v>0</v>
      </c>
      <c r="C73">
        <f t="shared" si="4"/>
        <v>13</v>
      </c>
      <c r="D73" t="str">
        <f t="shared" si="5"/>
        <v/>
      </c>
      <c r="E73" t="s">
        <v>107</v>
      </c>
    </row>
    <row r="74" spans="1:5" x14ac:dyDescent="0.2">
      <c r="A74" t="e" cm="1">
        <f t="array" ref="A74">HEX2OCT("2024-02-29",1)</f>
        <v>#NUM!</v>
      </c>
      <c r="B74">
        <f t="shared" si="3"/>
        <v>6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SUM(MATCH(5,D!AK1:AL3,5))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SUM(MINVERSE(D!D1:D8))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ROWS(DVAR(D!AW1:AW4,"Yield",D!AV1:AV7))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INDEX(_xlfn.MUNIT(-1),1,1)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DURATION(DATE(2018,7,1),DATE(2048,1,1),0.08,0.09,59,1)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cm="1">
        <f t="array" ref="A80">ODD(1.5)</f>
        <v>3</v>
      </c>
      <c r="B80">
        <f t="shared" si="3"/>
        <v>0</v>
      </c>
      <c r="C80">
        <f t="shared" si="4"/>
        <v>3</v>
      </c>
      <c r="D80" t="str">
        <f t="shared" si="5"/>
        <v/>
      </c>
      <c r="E80" t="s">
        <v>114</v>
      </c>
    </row>
    <row r="81" spans="1:5" x14ac:dyDescent="0.2">
      <c r="A81" t="e" cm="1">
        <f t="array" ref="A81">GROWTH(TREND({3,1,2},D!AZ1:AZ5,{45658,45689}),-1,D!M1:N6)*ODDFPRICE(TRUE,""," ",DAY(40648)+3,D!B3,0.0625,FALSE,BAHTTEXT(2.5),1)</f>
        <v>#REF!</v>
      </c>
      <c r="B81">
        <f t="shared" si="3"/>
        <v>4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_xlfn.NUMBERVALUE("x y",",")</f>
        <v>#VALUE!</v>
      </c>
      <c r="B82">
        <f t="shared" si="3"/>
        <v>3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str" cm="1">
        <f t="array" ref="A83">LEFTB(0.25,1000)</f>
        <v>0.25</v>
      </c>
      <c r="B83">
        <f t="shared" si="3"/>
        <v>-3</v>
      </c>
      <c r="C83">
        <f t="shared" si="4"/>
        <v>0</v>
      </c>
      <c r="D83" t="str">
        <f t="shared" si="5"/>
        <v>0.25</v>
      </c>
      <c r="E83" t="s">
        <v>117</v>
      </c>
    </row>
    <row r="84" spans="1:5" x14ac:dyDescent="0.2">
      <c r="A84" t="str" cm="1">
        <f t="array" ref="A84">INDEX(CHOOSE({1},"a",D!A9,D!A10),1,1)</f>
        <v>a</v>
      </c>
      <c r="B84">
        <f t="shared" si="3"/>
        <v>-3</v>
      </c>
      <c r="C84">
        <f t="shared" si="4"/>
        <v>0</v>
      </c>
      <c r="D84" t="str">
        <f t="shared" si="5"/>
        <v>a</v>
      </c>
      <c r="E84" t="s">
        <v>118</v>
      </c>
    </row>
    <row r="85" spans="1:5" x14ac:dyDescent="0.2">
      <c r="A85" cm="1">
        <f t="array" ref="A85">CRITBINOM(D!A12,0.5,0.75)</f>
        <v>0</v>
      </c>
      <c r="B85">
        <f t="shared" si="3"/>
        <v>0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RANK(D!N2,D!A15)</f>
        <v>#N/A</v>
      </c>
      <c r="B86">
        <f t="shared" si="3"/>
        <v>7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BETADIST(_xlfn.T.INV.2T(0.546449,0.5),-1.5,10)&lt;INDEX(LINEST(IMPOWER(D!A8,2.5)&amp;45658,D!AA1:AB2),2,3)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BETADIST(2,D!B7,FALSE,4,D!A8)</f>
        <v>#N/A</v>
      </c>
      <c r="B88">
        <f t="shared" si="3"/>
        <v>7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cm="1">
        <f t="array" ref="A89">ROWS(_xlfn.PDURATION(0.025,2000,2200))</f>
        <v>1</v>
      </c>
      <c r="B89">
        <f t="shared" si="3"/>
        <v>0</v>
      </c>
      <c r="C89">
        <f t="shared" si="4"/>
        <v>1</v>
      </c>
      <c r="D89" t="str">
        <f t="shared" si="5"/>
        <v/>
      </c>
      <c r="E89" t="s">
        <v>123</v>
      </c>
    </row>
    <row r="90" spans="1:5" x14ac:dyDescent="0.2">
      <c r="A90" cm="1">
        <f t="array" ref="A90">INDEX(LN(86),1,1)</f>
        <v>4.4543472962535073</v>
      </c>
      <c r="B90">
        <f t="shared" si="3"/>
        <v>0</v>
      </c>
      <c r="C90">
        <f t="shared" si="4"/>
        <v>4.4543472962535073</v>
      </c>
      <c r="D90" t="str">
        <f t="shared" si="5"/>
        <v/>
      </c>
      <c r="E90" t="s">
        <v>124</v>
      </c>
    </row>
    <row r="91" spans="1:5" x14ac:dyDescent="0.2">
      <c r="A91" t="e" cm="1">
        <f t="array" ref="A91">_xlfn.VALUETOTEXT(ODDFPRICE(-1,59,D!A5,DATE(2009,3,1),0.0785,D!F1,100,2,1),FDIST(45658,6,"50%"))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cm="1">
        <f t="array" ref="A92">LN("50%")</f>
        <v>-0.69314718055994529</v>
      </c>
      <c r="B92">
        <f t="shared" si="3"/>
        <v>0</v>
      </c>
      <c r="C92">
        <f t="shared" si="4"/>
        <v>-0.69314718055994529</v>
      </c>
      <c r="D92" t="str">
        <f t="shared" si="5"/>
        <v/>
      </c>
      <c r="E92" t="s">
        <v>126</v>
      </c>
    </row>
    <row r="93" spans="1:5" x14ac:dyDescent="0.2">
      <c r="A93" t="str" cm="1">
        <f t="array" ref="A93">SUBSTITUTE("Sales Data","Sales","A")</f>
        <v>A Data</v>
      </c>
      <c r="B93">
        <f t="shared" si="3"/>
        <v>-3</v>
      </c>
      <c r="C93">
        <f t="shared" si="4"/>
        <v>0</v>
      </c>
      <c r="D93" t="str">
        <f t="shared" si="5"/>
        <v>A Data</v>
      </c>
      <c r="E93" t="s">
        <v>127</v>
      </c>
    </row>
    <row r="94" spans="1:5" x14ac:dyDescent="0.2">
      <c r="A94" t="b" cm="1">
        <f t="array" ref="A94">ISERR(2.5)</f>
        <v>0</v>
      </c>
      <c r="B94">
        <f t="shared" si="3"/>
        <v>-2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cm="1">
        <f t="array" ref="A95">POISSON(2,5,TRUE)</f>
        <v>0.12465201948308113</v>
      </c>
      <c r="B95">
        <f t="shared" si="3"/>
        <v>0</v>
      </c>
      <c r="C95">
        <f t="shared" si="4"/>
        <v>0.12465201948308113</v>
      </c>
      <c r="D95" t="str">
        <f t="shared" si="5"/>
        <v/>
      </c>
      <c r="E95" t="s">
        <v>129</v>
      </c>
    </row>
    <row r="96" spans="1:5" x14ac:dyDescent="0.2">
      <c r="A96" t="e" cm="1">
        <f t="array" aca="1" ref="A96" ca="1">SUMIF(D!AS1:AS8,"&gt;4",D!B2:B3)*TTEST(D!M1:M6,D!C1:C8,2,D!A2)</f>
        <v>#DIV/0!</v>
      </c>
      <c r="B96">
        <f t="shared" ca="1" si="3"/>
        <v>2</v>
      </c>
      <c r="C96">
        <f t="shared" ca="1" si="4"/>
        <v>0</v>
      </c>
      <c r="D96" t="str">
        <f t="shared" ca="1" si="5"/>
        <v/>
      </c>
      <c r="E96" t="s">
        <v>130</v>
      </c>
    </row>
    <row r="97" spans="1:5" x14ac:dyDescent="0.2">
      <c r="A97" t="e" cm="1">
        <f t="array" ref="A97">VLOOKUP(5,3,2,"a*")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cm="1">
        <f t="array" ref="A98">COLUMNS(_xlfn.IMCSC(HYPGEOMDIST(1,0.25,{0.5;-1},20)))</f>
        <v>1</v>
      </c>
      <c r="B98">
        <f t="shared" si="3"/>
        <v>0</v>
      </c>
      <c r="C98">
        <f t="shared" si="4"/>
        <v>1</v>
      </c>
      <c r="D98" t="str">
        <f t="shared" si="5"/>
        <v/>
      </c>
      <c r="E98" t="s">
        <v>132</v>
      </c>
    </row>
    <row r="99" spans="1:5" x14ac:dyDescent="0.2">
      <c r="A99" cm="1">
        <f t="array" ref="A99">COLUMNS(MONTH(45688.75))</f>
        <v>1</v>
      </c>
      <c r="B99">
        <f t="shared" si="3"/>
        <v>0</v>
      </c>
      <c r="C99">
        <f t="shared" si="4"/>
        <v>1</v>
      </c>
      <c r="D99" t="str">
        <f t="shared" si="5"/>
        <v/>
      </c>
      <c r="E99" t="s">
        <v>133</v>
      </c>
    </row>
    <row r="100" spans="1:5" x14ac:dyDescent="0.2">
      <c r="A100" cm="1">
        <f t="array" ref="A100">IF(TRUE,0.25,10)</f>
        <v>0.25</v>
      </c>
      <c r="B100">
        <f t="shared" si="3"/>
        <v>0</v>
      </c>
      <c r="C100">
        <f t="shared" si="4"/>
        <v>0.25</v>
      </c>
      <c r="D100" t="str">
        <f t="shared" si="5"/>
        <v/>
      </c>
      <c r="E100" t="s">
        <v>134</v>
      </c>
    </row>
    <row r="101" spans="1:5" x14ac:dyDescent="0.2">
      <c r="A101" cm="1">
        <f t="array" ref="A101">OCT2DEC(4)</f>
        <v>4</v>
      </c>
      <c r="B101">
        <f t="shared" si="3"/>
        <v>0</v>
      </c>
      <c r="C101">
        <f t="shared" si="4"/>
        <v>4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ROWS(ODDLPRICE(100,"TRUE",SUMX2MY2({0.5;-1},{1,2;3,4}),0,0.0405,"abc"+REPT("*-",2),2,0))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cm="1">
        <f t="array" ref="A103">RADIANS(270)</f>
        <v>4.7123889803846897</v>
      </c>
      <c r="B103">
        <f t="shared" si="3"/>
        <v>0</v>
      </c>
      <c r="C103">
        <f t="shared" si="4"/>
        <v>4.7123889803846897</v>
      </c>
      <c r="D103" t="str">
        <f t="shared" si="5"/>
        <v/>
      </c>
      <c r="E103" t="s">
        <v>137</v>
      </c>
    </row>
    <row r="104" spans="1:5" x14ac:dyDescent="0.2">
      <c r="A104" cm="1">
        <f t="array" ref="A104">SUM(STEYX(D!C1:C8,D!B1:B8))</f>
        <v>2.4135597180703909</v>
      </c>
      <c r="B104">
        <f t="shared" si="3"/>
        <v>0</v>
      </c>
      <c r="C104">
        <f t="shared" si="4"/>
        <v>2.4135597180703909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_xlfn.T.DIST.2T(-1.5,D!B7)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_xlfn.VAR.P(D!N1:N6)</f>
        <v>1688.8888888888889</v>
      </c>
      <c r="B106">
        <f t="shared" si="3"/>
        <v>0</v>
      </c>
      <c r="C106">
        <f t="shared" si="4"/>
        <v>1688.8888888888889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INDEX(QUOTIENT(5,_xlfn.CEILING.MATH(IMLOG10("x y"),D!F1)),1,1)</f>
        <v>#NUM!</v>
      </c>
      <c r="B107">
        <f t="shared" si="3"/>
        <v>6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LARGE(D!N1:N6,D!A3)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COUPPCD(D!A15,D!N2,"x y")-ROUNDUP(3.2,0)</f>
        <v>#NUM!</v>
      </c>
      <c r="B109">
        <f t="shared" si="3"/>
        <v>6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SEARCHB(" 2 ",TRIM(" 2 "))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cm="1">
        <f t="array" ref="A111">TYPE(D!AS1:AS8)</f>
        <v>64</v>
      </c>
      <c r="B111">
        <f t="shared" si="3"/>
        <v>0</v>
      </c>
      <c r="C111">
        <f t="shared" si="4"/>
        <v>64</v>
      </c>
      <c r="D111" t="str">
        <f t="shared" si="5"/>
        <v/>
      </c>
      <c r="E111" t="s">
        <v>145</v>
      </c>
    </row>
    <row r="112" spans="1:5" x14ac:dyDescent="0.2">
      <c r="A112" t="str" cm="1">
        <f t="array" ref="A112">_xlfn.TEXTJOIN(";",FALSE,IMCONJUGATE("3+4i"))</f>
        <v>3-4i</v>
      </c>
      <c r="B112">
        <f t="shared" si="3"/>
        <v>-3</v>
      </c>
      <c r="C112">
        <f t="shared" si="4"/>
        <v>0</v>
      </c>
      <c r="D112" t="str">
        <f t="shared" si="5"/>
        <v>3-4i</v>
      </c>
      <c r="E112" t="s">
        <v>146</v>
      </c>
    </row>
    <row r="113" spans="1:5" x14ac:dyDescent="0.2">
      <c r="A113" t="e" cm="1">
        <f t="array" ref="A113">NORMINV(10,0," 2 ")^ISLOGICAL(2.5)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REPT("*-",-1)+IMLN("3+4i")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cm="1">
        <f t="array" ref="A115">_xlfn.AGGREGATE(-1000&lt;&gt;0.25,4,D!AY1:AY5)</f>
        <v>7.2</v>
      </c>
      <c r="B115">
        <f t="shared" si="3"/>
        <v>0</v>
      </c>
      <c r="C115">
        <f t="shared" si="4"/>
        <v>7.2</v>
      </c>
      <c r="D115" t="str">
        <f t="shared" si="5"/>
        <v/>
      </c>
      <c r="E115" t="s">
        <v>149</v>
      </c>
    </row>
    <row r="116" spans="1:5" x14ac:dyDescent="0.2">
      <c r="A116" cm="1">
        <f t="array" ref="A116">ATAN2(1,1)</f>
        <v>0.78539816339744828</v>
      </c>
      <c r="B116">
        <f t="shared" si="3"/>
        <v>0</v>
      </c>
      <c r="C116">
        <f t="shared" si="4"/>
        <v>0.78539816339744828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INDEX(_xlfn.Z.TEST(D!A9,IRR(D!I1:I5)),1,1)</f>
        <v>#N/A</v>
      </c>
      <c r="B117">
        <f t="shared" si="3"/>
        <v>7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MIN(D!E1:E8,{2,"a";TRUE,#N/A},100)</f>
        <v>#DIV/0!</v>
      </c>
      <c r="B118">
        <f t="shared" si="3"/>
        <v>2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cm="1">
        <f t="array" ref="A119">_xlfn.SEC(45)</f>
        <v>1.9035944074044246</v>
      </c>
      <c r="B119">
        <f t="shared" si="3"/>
        <v>0</v>
      </c>
      <c r="C119">
        <f t="shared" si="4"/>
        <v>1.9035944074044246</v>
      </c>
      <c r="D119" t="str">
        <f t="shared" si="5"/>
        <v/>
      </c>
      <c r="E119" t="s">
        <v>153</v>
      </c>
    </row>
    <row r="120" spans="1:5" x14ac:dyDescent="0.2">
      <c r="A120" t="str" cm="1">
        <f t="array" ref="A120">OCT2HEX("100",4)</f>
        <v>0040</v>
      </c>
      <c r="B120">
        <f t="shared" si="3"/>
        <v>-3</v>
      </c>
      <c r="C120">
        <f t="shared" si="4"/>
        <v>0</v>
      </c>
      <c r="D120" t="str">
        <f t="shared" si="5"/>
        <v>0040</v>
      </c>
      <c r="E120" t="s">
        <v>154</v>
      </c>
    </row>
    <row r="121" spans="1:5" x14ac:dyDescent="0.2">
      <c r="A121" t="e" cm="1">
        <f t="array" ref="A121">COLUMNS(_xlfn.MODE.SNGL(D!B1:B8))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_xlfn.HYPGEOM.DIST(10,2,8,0,TRUE)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_xlfn.AGGREGATE(PROB(D!AH1:AH4,D!AI1:AI4,-1),4,D!B1:B8)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INDEX(IMREAL("6-9i"),1,1)</f>
        <v>6</v>
      </c>
      <c r="B124">
        <f t="shared" si="3"/>
        <v>0</v>
      </c>
      <c r="C124">
        <f t="shared" si="4"/>
        <v>6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DEC2HEX(#REF!,4)*BESSELJ(1.9,-1)</f>
        <v>#REF!</v>
      </c>
      <c r="B125">
        <f t="shared" si="3"/>
        <v>4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_xlfn.PERCENTRANK.INC(D!M2,8)</f>
        <v>#N/A</v>
      </c>
      <c r="B126">
        <f t="shared" si="3"/>
        <v>7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cm="1">
        <f t="array" ref="A127">SUM(BIN2OCT("1001"))</f>
        <v>11</v>
      </c>
      <c r="B127">
        <f t="shared" si="3"/>
        <v>0</v>
      </c>
      <c r="C127">
        <f t="shared" si="4"/>
        <v>11</v>
      </c>
      <c r="D127" t="str">
        <f t="shared" si="5"/>
        <v/>
      </c>
      <c r="E127" t="s">
        <v>161</v>
      </c>
    </row>
    <row r="128" spans="1:5" x14ac:dyDescent="0.2">
      <c r="A128" cm="1">
        <f t="array" ref="A128">ERROR.TYPE(D!A7)</f>
        <v>2</v>
      </c>
      <c r="B128">
        <f t="shared" si="3"/>
        <v>0</v>
      </c>
      <c r="C128">
        <f t="shared" si="4"/>
        <v>2</v>
      </c>
      <c r="D128" t="str">
        <f t="shared" si="5"/>
        <v/>
      </c>
      <c r="E128" t="s">
        <v>162</v>
      </c>
    </row>
    <row r="129" spans="1:5" x14ac:dyDescent="0.2">
      <c r="A129" t="str" cm="1">
        <f t="array" ref="A129">DEC2BIN(9)</f>
        <v>1001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1001</v>
      </c>
      <c r="E129" t="s">
        <v>163</v>
      </c>
    </row>
    <row r="130" spans="1:5" x14ac:dyDescent="0.2">
      <c r="A130" cm="1">
        <f t="array" ref="A130">SUM(_xlfn.CSC(15))</f>
        <v>1.5377805615408537</v>
      </c>
      <c r="B130">
        <f t="shared" si="6"/>
        <v>0</v>
      </c>
      <c r="C130">
        <f t="shared" si="7"/>
        <v>1.5377805615408537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CRITBINOM(MONTH(40648),0.5,"a,b")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cm="1">
        <f t="array" ref="A132">IPMT(0.00833333333333333,1,36,4)</f>
        <v>-3.3333333333333319E-2</v>
      </c>
      <c r="B132">
        <f t="shared" si="6"/>
        <v>0</v>
      </c>
      <c r="C132">
        <f t="shared" si="7"/>
        <v>-3.3333333333333319E-2</v>
      </c>
      <c r="D132" t="str">
        <f t="shared" si="8"/>
        <v/>
      </c>
      <c r="E132" t="s">
        <v>166</v>
      </c>
    </row>
    <row r="133" spans="1:5" x14ac:dyDescent="0.2">
      <c r="A133" cm="1">
        <f t="array" ref="A133">SUM(SEARCHB("B","abc"))</f>
        <v>2</v>
      </c>
      <c r="B133">
        <f t="shared" si="6"/>
        <v>0</v>
      </c>
      <c r="C133">
        <f t="shared" si="7"/>
        <v>2</v>
      </c>
      <c r="D133" t="str">
        <f t="shared" si="8"/>
        <v/>
      </c>
      <c r="E133" t="s">
        <v>167</v>
      </c>
    </row>
    <row r="134" spans="1:5" x14ac:dyDescent="0.2">
      <c r="A134" t="e" cm="1" vm="4">
        <f t="array" aca="1" ref="A134" ca="1">GAMMADIST(10.00001131,D!N2,-1,D!N1:N6)</f>
        <v>#VALUE!</v>
      </c>
      <c r="B134">
        <f t="shared" ca="1" si="6"/>
        <v>9</v>
      </c>
      <c r="C134">
        <f t="shared" ca="1" si="7"/>
        <v>0</v>
      </c>
      <c r="D134" t="str">
        <f t="shared" ca="1" si="8"/>
        <v/>
      </c>
      <c r="E134" t="s">
        <v>168</v>
      </c>
    </row>
    <row r="135" spans="1:5" x14ac:dyDescent="0.2">
      <c r="A135" t="e" cm="1">
        <f t="array" ref="A135">SKEW(1000)</f>
        <v>#DIV/0!</v>
      </c>
      <c r="B135">
        <f t="shared" si="6"/>
        <v>2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str" cm="1">
        <f t="array" ref="A136">REPLACEB(LEFTB("1.5",2),2,3,"x")</f>
        <v>1x</v>
      </c>
      <c r="B136">
        <f t="shared" si="6"/>
        <v>-3</v>
      </c>
      <c r="C136">
        <f t="shared" si="7"/>
        <v>0</v>
      </c>
      <c r="D136" t="str">
        <f t="shared" si="8"/>
        <v>1x</v>
      </c>
      <c r="E136" t="s">
        <v>170</v>
      </c>
    </row>
    <row r="137" spans="1:5" x14ac:dyDescent="0.2">
      <c r="A137" cm="1">
        <f t="array" ref="A137">SUM(_xlfn.XOR(D!F1:F7,D!AZ1:AZ5))</f>
        <v>1</v>
      </c>
      <c r="B137">
        <f t="shared" si="6"/>
        <v>0</v>
      </c>
      <c r="C137">
        <f t="shared" si="7"/>
        <v>1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SUM(DELTA(1000&lt;_xlfn.QUARTILE.INC(D!A3,1),D!L4))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_xlfn.TEXTJOIN(";",FALSE,_xlfn.IMCSCH(SUMIFS(D!F1:F7,D!B2:B3,"&gt;4")))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cm="1">
        <f t="array" ref="A140">ROWS(_xlfn.XOR({"x";""},{1,2;3,4}))</f>
        <v>1</v>
      </c>
      <c r="B140">
        <f t="shared" si="6"/>
        <v>0</v>
      </c>
      <c r="C140">
        <f t="shared" si="7"/>
        <v>1</v>
      </c>
      <c r="D140" t="str">
        <f t="shared" si="8"/>
        <v/>
      </c>
      <c r="E140" t="s">
        <v>174</v>
      </c>
    </row>
    <row r="141" spans="1:5" x14ac:dyDescent="0.2">
      <c r="A141" cm="1">
        <f t="array" ref="A141">_xlfn.ERFC.PRECISE(2.5)</f>
        <v>4.0695201744495886E-4</v>
      </c>
      <c r="B141">
        <f t="shared" si="6"/>
        <v>0</v>
      </c>
      <c r="C141">
        <f t="shared" si="7"/>
        <v>4.0695201744495886E-4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IRR(_xlfn.HSTACK({1},_xlfn.SEQUENCE(3,-1),#N/A))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cm="1">
        <f t="array" ref="A143">YEAR("1/2/2025")</f>
        <v>2025</v>
      </c>
      <c r="B143">
        <f t="shared" si="6"/>
        <v>0</v>
      </c>
      <c r="C143">
        <f t="shared" si="7"/>
        <v>2025</v>
      </c>
      <c r="D143" t="str">
        <f t="shared" si="8"/>
        <v/>
      </c>
      <c r="E143" t="s">
        <v>177</v>
      </c>
    </row>
    <row r="144" spans="1:5" x14ac:dyDescent="0.2">
      <c r="A144" cm="1">
        <f t="array" ref="A144">TIMEVALUE("2:24 AM")</f>
        <v>0.1</v>
      </c>
      <c r="B144">
        <f t="shared" si="6"/>
        <v>0</v>
      </c>
      <c r="C144">
        <f t="shared" si="7"/>
        <v>0.1</v>
      </c>
      <c r="D144" t="str">
        <f t="shared" si="8"/>
        <v/>
      </c>
      <c r="E144" t="s">
        <v>178</v>
      </c>
    </row>
    <row r="145" spans="1:5" x14ac:dyDescent="0.2">
      <c r="A145" t="str" cm="1">
        <f t="array" ref="A145">_xlfn.TEXTJOIN(";",FALSE,COMBIN(D!G4,2))</f>
        <v>28</v>
      </c>
      <c r="B145">
        <f t="shared" si="6"/>
        <v>-3</v>
      </c>
      <c r="C145">
        <f t="shared" si="7"/>
        <v>0</v>
      </c>
      <c r="D145" t="str">
        <f t="shared" si="8"/>
        <v>28</v>
      </c>
      <c r="E145" t="s">
        <v>179</v>
      </c>
    </row>
    <row r="146" spans="1:5" x14ac:dyDescent="0.2">
      <c r="A146" t="e" cm="1">
        <f t="array" ref="A146">_xlfn.TEXTJOIN(";",FALSE,_xlfn.F.DIST.RT("TRUE",-1.5,4))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COUPDAYBS(DATE(2011,1,25),7,40000)</f>
        <v>#NUM!</v>
      </c>
      <c r="B147">
        <f t="shared" si="6"/>
        <v>6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 vm="5">
        <f t="array" aca="1" ref="A148" ca="1">DURATION(DATE(2018,7,1),EFFECT({1;2;3}," "),2,2%+_xlfn.VAR.S(D!B1:B8),2,_xlfn.WEIBULL.DIST(4,{1,2;3,4},100,TRUE))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182</v>
      </c>
    </row>
    <row r="149" spans="1:5" x14ac:dyDescent="0.2">
      <c r="A149" cm="1">
        <f t="array" ref="A149">SUM(STDEVA(D!B1:B8))</f>
        <v>13.760020699216158</v>
      </c>
      <c r="B149">
        <f t="shared" si="6"/>
        <v>0</v>
      </c>
      <c r="C149">
        <f t="shared" si="7"/>
        <v>13.760020699216158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MODE(1,{2,"a";TRUE,#N/A},D!AV1:AV7)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str" cm="1">
        <f t="array" ref="A151">_xlfn.TEXTJOIN(";",FALSE,TRIM("  First Quarter Earnings  "))</f>
        <v>First Quarter Earnings</v>
      </c>
      <c r="B151">
        <f t="shared" si="6"/>
        <v>-3</v>
      </c>
      <c r="C151">
        <f t="shared" si="7"/>
        <v>0</v>
      </c>
      <c r="D151" t="str">
        <f t="shared" si="8"/>
        <v>First Quarter Earnings</v>
      </c>
      <c r="E151" t="s">
        <v>185</v>
      </c>
    </row>
    <row r="152" spans="1:5" x14ac:dyDescent="0.2">
      <c r="A152" cm="1">
        <f t="array" ref="A152">ROWS(SUMSQ(D!F1:F7,D!C2))</f>
        <v>1</v>
      </c>
      <c r="B152">
        <f t="shared" si="6"/>
        <v>0</v>
      </c>
      <c r="C152">
        <f t="shared" si="7"/>
        <v>1</v>
      </c>
      <c r="D152" t="str">
        <f t="shared" si="8"/>
        <v/>
      </c>
      <c r="E152" t="s">
        <v>186</v>
      </c>
    </row>
    <row r="153" spans="1:5" x14ac:dyDescent="0.2">
      <c r="A153" cm="1">
        <f t="array" ref="A153">COLUMN(D!C1:C8)</f>
        <v>3</v>
      </c>
      <c r="B153">
        <f t="shared" si="6"/>
        <v>0</v>
      </c>
      <c r="C153">
        <f t="shared" si="7"/>
        <v>3</v>
      </c>
      <c r="D153" t="str">
        <f t="shared" si="8"/>
        <v/>
      </c>
      <c r="E153" t="s">
        <v>187</v>
      </c>
    </row>
    <row r="154" spans="1:5" x14ac:dyDescent="0.2">
      <c r="A154" t="b" cm="1">
        <f t="array" ref="A154">HYPGEOMDIST(" 2 ",4,8,10)&gt;COUNTIF(D!C1:C8,0)</f>
        <v>1</v>
      </c>
      <c r="B154">
        <f t="shared" si="6"/>
        <v>-1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cm="1">
        <f t="array" ref="A155">HEX2DEC("A5")</f>
        <v>165</v>
      </c>
      <c r="B155">
        <f t="shared" si="6"/>
        <v>0</v>
      </c>
      <c r="C155">
        <f t="shared" si="7"/>
        <v>165</v>
      </c>
      <c r="D155" t="str">
        <f t="shared" si="8"/>
        <v/>
      </c>
      <c r="E155" t="s">
        <v>189</v>
      </c>
    </row>
    <row r="156" spans="1:5" x14ac:dyDescent="0.2">
      <c r="A156" cm="1">
        <f t="array" ref="A156">ACOSH(AVERAGEIF(D!H1:H7,"&gt;4"))</f>
        <v>11.422922604846999</v>
      </c>
      <c r="B156">
        <f t="shared" si="6"/>
        <v>0</v>
      </c>
      <c r="C156">
        <f t="shared" si="7"/>
        <v>11.422922604846999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DCOUNT(D!B1,"Yield",D!D1:D8)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 vm="6">
        <f t="array" aca="1" ref="A158" ca="1">_xlfn.CONFIDENCE.T({3,1,2},"1E2",50)/SUBSTITUTE("Sales Data","TRUE","A")</f>
        <v>#VALUE!</v>
      </c>
      <c r="B158">
        <f t="shared" ca="1" si="6"/>
        <v>9</v>
      </c>
      <c r="C158">
        <f t="shared" ca="1" si="7"/>
        <v>0</v>
      </c>
      <c r="D158" t="str">
        <f t="shared" ca="1" si="8"/>
        <v/>
      </c>
      <c r="E158" t="s">
        <v>192</v>
      </c>
    </row>
    <row r="159" spans="1:5" x14ac:dyDescent="0.2">
      <c r="A159" t="e" cm="1">
        <f t="array" ref="A159">_xlfn.F.INV(0.01,6,4)+BIN2HEX(D!A3,3+DVARP(D!AZ1:AZ5,"Yield",D!E1:E8))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IMPRODUCT(D!G1:G7,D!U1:Y7)</f>
        <v>#NUM!</v>
      </c>
      <c r="B160">
        <f t="shared" si="6"/>
        <v>6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cm="1">
        <f t="array" ref="A161">HEX2DEC("A5")</f>
        <v>165</v>
      </c>
      <c r="B161">
        <f t="shared" si="6"/>
        <v>0</v>
      </c>
      <c r="C161">
        <f t="shared" si="7"/>
        <v>165</v>
      </c>
      <c r="D161" t="str">
        <f t="shared" si="8"/>
        <v/>
      </c>
      <c r="E161" t="s">
        <v>195</v>
      </c>
    </row>
    <row r="162" spans="1:5" x14ac:dyDescent="0.2">
      <c r="A162" t="str" cm="1">
        <f t="array" ref="A162">_xlfn.TEXTJOIN(";",FALSE,_xlfn.IMCOT("4+3i"))</f>
        <v>0.00490118239430447-0.999266927805902i</v>
      </c>
      <c r="B162">
        <f t="shared" si="6"/>
        <v>-3</v>
      </c>
      <c r="C162">
        <f t="shared" si="7"/>
        <v>0</v>
      </c>
      <c r="D162" t="str">
        <f t="shared" si="8"/>
        <v>0.00490118239430447-0.999266927805902i</v>
      </c>
      <c r="E162" t="s">
        <v>196</v>
      </c>
    </row>
    <row r="163" spans="1:5" x14ac:dyDescent="0.2">
      <c r="A163" t="e" cm="1">
        <f t="array" ref="A163">FVSCHEDULE(D!A7,2)</f>
        <v>#DIV/0!</v>
      </c>
      <c r="B163">
        <f t="shared" si="6"/>
        <v>2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cm="1">
        <f t="array" ref="A164">OCT2DEC("54")</f>
        <v>44</v>
      </c>
      <c r="B164">
        <f t="shared" si="6"/>
        <v>0</v>
      </c>
      <c r="C164">
        <f t="shared" si="7"/>
        <v>44</v>
      </c>
      <c r="D164" t="str">
        <f t="shared" si="8"/>
        <v/>
      </c>
      <c r="E164" t="s">
        <v>198</v>
      </c>
    </row>
    <row r="165" spans="1:5" x14ac:dyDescent="0.2">
      <c r="A165" cm="1">
        <f t="array" ref="A165">FISHER(0.75)</f>
        <v>0.97295507452765662</v>
      </c>
      <c r="B165">
        <f t="shared" si="6"/>
        <v>0</v>
      </c>
      <c r="C165">
        <f t="shared" si="7"/>
        <v>0.97295507452765662</v>
      </c>
      <c r="D165" t="str">
        <f t="shared" si="8"/>
        <v/>
      </c>
      <c r="E165" t="s">
        <v>199</v>
      </c>
    </row>
    <row r="166" spans="1:5" x14ac:dyDescent="0.2">
      <c r="A166" cm="1">
        <f t="array" ref="A166">EXP(_xlfn.GAUSS(2))</f>
        <v>1.611636090118034</v>
      </c>
      <c r="B166">
        <f t="shared" si="6"/>
        <v>0</v>
      </c>
      <c r="C166">
        <f t="shared" si="7"/>
        <v>1.611636090118034</v>
      </c>
      <c r="D166" t="str">
        <f t="shared" si="8"/>
        <v/>
      </c>
      <c r="E166" t="s">
        <v>200</v>
      </c>
    </row>
    <row r="167" spans="1:5" x14ac:dyDescent="0.2">
      <c r="A167" t="str" cm="1">
        <f t="array" ref="A167">IMLN("3+4i")</f>
        <v>1.6094379124341+0.927295218001612i</v>
      </c>
      <c r="B167">
        <f t="shared" si="6"/>
        <v>-3</v>
      </c>
      <c r="C167">
        <f t="shared" si="7"/>
        <v>0</v>
      </c>
      <c r="D167" t="str">
        <f t="shared" si="8"/>
        <v>1.6094379124341+0.927295218001612i</v>
      </c>
      <c r="E167" t="s">
        <v>201</v>
      </c>
    </row>
    <row r="168" spans="1:5" x14ac:dyDescent="0.2">
      <c r="A168" t="e" cm="1" vm="3">
        <f t="array" aca="1" ref="A168" ca="1">FACTDOUBLE(_xlfn.TAKE({45658,45689},1))</f>
        <v>#VALUE!</v>
      </c>
      <c r="B168">
        <f t="shared" ca="1" si="6"/>
        <v>9</v>
      </c>
      <c r="C168">
        <f t="shared" ca="1" si="7"/>
        <v>0</v>
      </c>
      <c r="D168" t="str">
        <f t="shared" ca="1" si="8"/>
        <v/>
      </c>
      <c r="E168" t="s">
        <v>202</v>
      </c>
    </row>
    <row r="169" spans="1:5" x14ac:dyDescent="0.2">
      <c r="A169" t="e" cm="1" vm="7">
        <f t="array" aca="1" ref="A169" ca="1">CHOOSE(2,"a",D!E1:E8,"6:35 AM")</f>
        <v>#VALUE!</v>
      </c>
      <c r="B169">
        <f t="shared" ca="1" si="6"/>
        <v>9</v>
      </c>
      <c r="C169">
        <f t="shared" ca="1" si="7"/>
        <v>0</v>
      </c>
      <c r="D169" t="str">
        <f t="shared" ca="1" si="8"/>
        <v/>
      </c>
      <c r="E169" t="s">
        <v>203</v>
      </c>
    </row>
    <row r="170" spans="1:5" x14ac:dyDescent="0.2">
      <c r="A170" t="e" cm="1">
        <f t="array" ref="A170">_xlfn.TEXTJOIN(";",FALSE,DSTDEVP(D!G1:G7,"A",D!A1:A5))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str" cm="1">
        <f t="array" ref="A171">_xlfn.IMCOSH("4+3i")</f>
        <v>-27.0349456030742+3.85115333481178i</v>
      </c>
      <c r="B171">
        <f t="shared" si="6"/>
        <v>-3</v>
      </c>
      <c r="C171">
        <f t="shared" si="7"/>
        <v>0</v>
      </c>
      <c r="D171" t="str">
        <f t="shared" si="8"/>
        <v>-27.0349456030742+3.85115333481178i</v>
      </c>
      <c r="E171" t="s">
        <v>205</v>
      </c>
    </row>
    <row r="172" spans="1:5" x14ac:dyDescent="0.2">
      <c r="A172" t="e" cm="1">
        <f t="array" ref="A172">SKEW(D!E1:E8)</f>
        <v>#DIV/0!</v>
      </c>
      <c r="B172">
        <f t="shared" si="6"/>
        <v>2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str" cm="1">
        <f t="array" ref="A173">IMLN("3+4i")</f>
        <v>1.6094379124341+0.927295218001612i</v>
      </c>
      <c r="B173">
        <f t="shared" si="6"/>
        <v>-3</v>
      </c>
      <c r="C173">
        <f t="shared" si="7"/>
        <v>0</v>
      </c>
      <c r="D173" t="str">
        <f t="shared" si="8"/>
        <v>1.6094379124341+0.927295218001612i</v>
      </c>
      <c r="E173" t="s">
        <v>207</v>
      </c>
    </row>
    <row r="174" spans="1:5" x14ac:dyDescent="0.2">
      <c r="A174" t="e" cm="1">
        <f t="array" ref="A174">_xlfn.MINIFS(D!B3,D!A12,"&gt;4",D!M1:M6,ATAN2(1,100))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DEC2BIN(9,#N/A)</f>
        <v>#N/A</v>
      </c>
      <c r="B175">
        <f t="shared" si="6"/>
        <v>7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CONVERT("$1,000"&lt;0.5,"lbm","kg")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COLUMNS(DURATION(#N/A,FALSE,0.08,0.09,"",1))</f>
        <v>#N/A</v>
      </c>
      <c r="B177">
        <f t="shared" si="6"/>
        <v>7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COLUMNS(FORECAST(-1.5,D!M1:M6,D!B1:B8))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cm="1">
        <f t="array" ref="A179">SUM(_xlfn.CHOOSEROWS(D!L1:N6,-1))</f>
        <v>143</v>
      </c>
      <c r="B179">
        <f t="shared" si="6"/>
        <v>0</v>
      </c>
      <c r="C179">
        <f t="shared" si="7"/>
        <v>143</v>
      </c>
      <c r="D179" t="str">
        <f t="shared" si="8"/>
        <v/>
      </c>
      <c r="E179" t="s">
        <v>213</v>
      </c>
    </row>
    <row r="180" spans="1:5" x14ac:dyDescent="0.2">
      <c r="A180" t="str" cm="1">
        <f t="array" ref="A180">HYPERLINK(D!F1)</f>
        <v>Аренда</v>
      </c>
      <c r="B180">
        <f t="shared" si="6"/>
        <v>-3</v>
      </c>
      <c r="C180">
        <f t="shared" si="7"/>
        <v>0</v>
      </c>
      <c r="D180" t="str">
        <f t="shared" si="8"/>
        <v>Аренда</v>
      </c>
      <c r="E180" t="s">
        <v>214</v>
      </c>
    </row>
    <row r="181" spans="1:5" x14ac:dyDescent="0.2">
      <c r="A181" cm="1">
        <f t="array" ref="A181">SUM(_xlfn.CHISQ.DIST.RT(18.307,10))</f>
        <v>5.0000589091398109E-2</v>
      </c>
      <c r="B181">
        <f t="shared" si="6"/>
        <v>0</v>
      </c>
      <c r="C181">
        <f t="shared" si="7"/>
        <v>5.0000589091398109E-2</v>
      </c>
      <c r="D181" t="str">
        <f t="shared" si="8"/>
        <v/>
      </c>
      <c r="E181" t="s">
        <v>215</v>
      </c>
    </row>
    <row r="182" spans="1:5" x14ac:dyDescent="0.2">
      <c r="A182" cm="1">
        <f t="array" ref="A182">DELTA(5,"-4")</f>
        <v>0</v>
      </c>
      <c r="B182">
        <f t="shared" si="6"/>
        <v>0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_xlfn.TEXTJOIN(";",FALSE,CUMIPMT(0.0075,10,125000,"3",D!G1:G7,0))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b" cm="1">
        <f t="array" ref="A184">ISODD(ATAN(10))</f>
        <v>1</v>
      </c>
      <c r="B184">
        <f t="shared" si="6"/>
        <v>-1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cm="1">
        <f t="array" ref="A185">_xlfn.F.DIST.RT(10,D!B1,4)</f>
        <v>2.3290758827948906E-2</v>
      </c>
      <c r="B185">
        <f t="shared" si="6"/>
        <v>0</v>
      </c>
      <c r="C185">
        <f t="shared" si="7"/>
        <v>2.3290758827948906E-2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FISHER(2)</f>
        <v>#NUM!</v>
      </c>
      <c r="B186">
        <f t="shared" si="6"/>
        <v>6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_xlfn.F.INV.RT(0.01,100/45351,4)</f>
        <v>#NUM!</v>
      </c>
      <c r="B187">
        <f t="shared" si="6"/>
        <v>6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IMARGUMENT(#NAME?)=IMLOG10("3+4i")</f>
        <v>#NAME?</v>
      </c>
      <c r="B188">
        <f t="shared" si="6"/>
        <v>5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_xlfn.IMSINH("$1,000")</f>
        <v>#NUM!</v>
      </c>
      <c r="B189">
        <f t="shared" si="6"/>
        <v>6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COLUMNS(_xlfn.VSTACK(D!L8:Q10,""&gt;AVERAGEIF(D!L4,"2025-01-31 12:00"),PV(D!A8,240,500,45658,"3")))</f>
        <v>#DIV/0!</v>
      </c>
      <c r="B190">
        <f t="shared" si="6"/>
        <v>2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cm="1">
        <f t="array" ref="A191">ROWS(TRANSPOSE(D!L8:Q10))</f>
        <v>6</v>
      </c>
      <c r="B191">
        <f t="shared" si="6"/>
        <v>0</v>
      </c>
      <c r="C191">
        <f t="shared" si="7"/>
        <v>6</v>
      </c>
      <c r="D191" t="str">
        <f t="shared" si="8"/>
        <v/>
      </c>
      <c r="E191" t="s">
        <v>225</v>
      </c>
    </row>
    <row r="192" spans="1:5" x14ac:dyDescent="0.2">
      <c r="A192" cm="1">
        <f t="array" ref="A192">_xlfn.COT(30)</f>
        <v>-0.15611995216165919</v>
      </c>
      <c r="B192">
        <f t="shared" si="6"/>
        <v>0</v>
      </c>
      <c r="C192">
        <f t="shared" si="7"/>
        <v>-0.15611995216165919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_xlfn.CHISQ.INV(100,ACOSH(SYD(0,7500,10,1)))*_xlfn.BITLSHIFT(4,2)</f>
        <v>#NUM!</v>
      </c>
      <c r="B193">
        <f t="shared" ref="B193:B256" si="9">IF(ISERROR(A193),ERROR.TYPE(A193),IF(ISNUMBER(A193),0,IF(ISLOGICAL(A193),IF(A193,-1,-2),IF(ISTEXT(A193),-3,-4))))</f>
        <v>6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_xlfn.CHOOSEROWS(D!L1:N6,0,1)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_xlfn.STDEV.P(D!B1:B8,{0.5;-1})</f>
        <v>12.912227731882675</v>
      </c>
      <c r="B195">
        <f t="shared" si="9"/>
        <v>0</v>
      </c>
      <c r="C195">
        <f t="shared" si="10"/>
        <v>12.912227731882675</v>
      </c>
      <c r="D195" t="str">
        <f t="shared" si="11"/>
        <v/>
      </c>
      <c r="E195" t="s">
        <v>229</v>
      </c>
    </row>
    <row r="196" spans="1:5" x14ac:dyDescent="0.2">
      <c r="A196" t="e" cm="1" vm="6">
        <f t="array" aca="1" ref="A196" ca="1">_xlfn.LOGNORM.DIST(0.5,10,1.2,TRUE)=TRUNC({1,2,3},"18:30")</f>
        <v>#VALUE!</v>
      </c>
      <c r="B196">
        <f t="shared" ca="1" si="9"/>
        <v>9</v>
      </c>
      <c r="C196">
        <f t="shared" ca="1" si="10"/>
        <v>0</v>
      </c>
      <c r="D196" t="str">
        <f t="shared" ca="1" si="11"/>
        <v/>
      </c>
      <c r="E196" t="s">
        <v>230</v>
      </c>
    </row>
    <row r="197" spans="1:5" x14ac:dyDescent="0.2">
      <c r="A197" t="e" cm="1">
        <f t="array" ref="A197">DSTDEVP(D!N2,"Yield",D!L4)</f>
        <v>#VALUE!</v>
      </c>
      <c r="B197">
        <f t="shared" si="9"/>
        <v>3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cm="1">
        <f t="array" ref="A198">_xlfn.IFS(FALSE,{3,1,2},3,2)</f>
        <v>2</v>
      </c>
      <c r="B198">
        <f t="shared" si="9"/>
        <v>0</v>
      </c>
      <c r="C198">
        <f t="shared" si="10"/>
        <v>2</v>
      </c>
      <c r="D198" t="str">
        <f t="shared" si="11"/>
        <v/>
      </c>
      <c r="E198" t="s">
        <v>232</v>
      </c>
    </row>
    <row r="199" spans="1:5" x14ac:dyDescent="0.2">
      <c r="A199" cm="1">
        <f t="array" ref="A199">MAXA(D!B3)</f>
        <v>15</v>
      </c>
      <c r="B199">
        <f t="shared" si="9"/>
        <v>0</v>
      </c>
      <c r="C199">
        <f t="shared" si="10"/>
        <v>15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MIRR(D!E1:E8,0.1,D!C2)</f>
        <v>#DIV/0!</v>
      </c>
      <c r="B200">
        <f t="shared" si="9"/>
        <v>2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_xlfn.PERCENTILE.EXC(D!B1:B8,LCM({1,2,3},D!P1:Q2))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COLUMNS(VALUE("$1,000"))</f>
        <v>1</v>
      </c>
      <c r="B202">
        <f t="shared" si="9"/>
        <v>0</v>
      </c>
      <c r="C202">
        <f t="shared" si="10"/>
        <v>1</v>
      </c>
      <c r="D202" t="str">
        <f t="shared" si="11"/>
        <v/>
      </c>
      <c r="E202" t="s">
        <v>236</v>
      </c>
    </row>
    <row r="203" spans="1:5" x14ac:dyDescent="0.2">
      <c r="A203" cm="1">
        <f t="array" ref="A203">RECEIVED(DATE(2008,2,15),DATE(2008,5,15),1000000,0.0575,2)</f>
        <v>1014584.6544071021</v>
      </c>
      <c r="B203">
        <f t="shared" si="9"/>
        <v>0</v>
      </c>
      <c r="C203">
        <f t="shared" si="10"/>
        <v>1014584.6544071021</v>
      </c>
      <c r="D203" t="str">
        <f t="shared" si="11"/>
        <v/>
      </c>
      <c r="E203" t="s">
        <v>237</v>
      </c>
    </row>
    <row r="204" spans="1:5" x14ac:dyDescent="0.2">
      <c r="A204" t="b" cm="1">
        <f t="array" ref="A204">ISERROR(45688.75)</f>
        <v>0</v>
      </c>
      <c r="B204">
        <f t="shared" si="9"/>
        <v>-2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_xlfn.MODE.SNGL(D!BF1:BF6,_xlfn.CHOOSECOLS({"a","b"},5,5),D!B1:B8*#REF!)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str" cm="1">
        <f t="array" ref="A206">_xlfn.TEXTBEFORE("a-b-c",D!AS1:AS8)</f>
        <v/>
      </c>
      <c r="B206">
        <f t="shared" si="9"/>
        <v>-3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cm="1">
        <f t="array" ref="A207">ATAN2(1,1)</f>
        <v>0.78539816339744828</v>
      </c>
      <c r="B207">
        <f t="shared" si="9"/>
        <v>0</v>
      </c>
      <c r="C207">
        <f t="shared" si="10"/>
        <v>0.78539816339744828</v>
      </c>
      <c r="D207" t="str">
        <f t="shared" si="11"/>
        <v/>
      </c>
      <c r="E207" t="s">
        <v>241</v>
      </c>
    </row>
    <row r="208" spans="1:5" x14ac:dyDescent="0.2">
      <c r="A208" t="b" cm="1">
        <f t="array" ref="A208">XNPV(0.09,D!J1:J5,D!AU1:AU5)&gt;=_xlfn.FLOOR.PRECISE(-3.2,-1.5)</f>
        <v>1</v>
      </c>
      <c r="B208">
        <f t="shared" si="9"/>
        <v>-1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LOGINV(0.039084,3.5,SYD(30000,1000,0,1))</f>
        <v>#NUM!</v>
      </c>
      <c r="B209">
        <f t="shared" si="9"/>
        <v>6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_xlfn.SWITCH(2,1,D!M2,2,2.5,_xlfn.CHOOSECOLS(D!M1:N6,1,3))</f>
        <v>2.5</v>
      </c>
      <c r="B210">
        <f t="shared" si="9"/>
        <v>0</v>
      </c>
      <c r="C210">
        <f t="shared" si="10"/>
        <v>2.5</v>
      </c>
      <c r="D210" t="str">
        <f t="shared" si="11"/>
        <v/>
      </c>
      <c r="E210" t="s">
        <v>244</v>
      </c>
    </row>
    <row r="211" spans="1:5" x14ac:dyDescent="0.2">
      <c r="A211" t="b" cm="1">
        <f t="array" ref="A211">ISTEXT(2.5)</f>
        <v>0</v>
      </c>
      <c r="B211">
        <f t="shared" si="9"/>
        <v>-2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ROWS(PERCENTILE({1;2;3},"a,b"))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_xlfn.CHISQ.DIST(7,1,TRUE)</f>
        <v>0.99184902840649736</v>
      </c>
      <c r="B213">
        <f t="shared" si="9"/>
        <v>0</v>
      </c>
      <c r="C213">
        <f t="shared" si="10"/>
        <v>0.99184902840649736</v>
      </c>
      <c r="D213" t="str">
        <f t="shared" si="11"/>
        <v/>
      </c>
      <c r="E213" t="s">
        <v>247</v>
      </c>
    </row>
    <row r="214" spans="1:5" x14ac:dyDescent="0.2">
      <c r="A214" t="str" cm="1">
        <f t="array" ref="A214">DOLLAR("1/2/2025",1)</f>
        <v>$45,659.0</v>
      </c>
      <c r="B214">
        <f t="shared" si="9"/>
        <v>-3</v>
      </c>
      <c r="C214">
        <f t="shared" si="10"/>
        <v>0</v>
      </c>
      <c r="D214" t="str">
        <f t="shared" si="11"/>
        <v>$45,659.0</v>
      </c>
      <c r="E214" t="s">
        <v>248</v>
      </c>
    </row>
    <row r="215" spans="1:5" x14ac:dyDescent="0.2">
      <c r="A215" cm="1">
        <f t="array" ref="A215">NEGBINOMDIST(45688.75,5,0.25)</f>
        <v>0</v>
      </c>
      <c r="B215">
        <f t="shared" si="9"/>
        <v>0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cm="1">
        <f t="array" ref="A216">COUNTA(TRUE,_xlfn.TAKE(D!L1:N6,-1),D!C1:C8,0)</f>
        <v>13</v>
      </c>
      <c r="B216">
        <f t="shared" si="9"/>
        <v>0</v>
      </c>
      <c r="C216">
        <f t="shared" si="10"/>
        <v>13</v>
      </c>
      <c r="D216" t="str">
        <f t="shared" si="11"/>
        <v/>
      </c>
      <c r="E216" t="s">
        <v>250</v>
      </c>
    </row>
    <row r="217" spans="1:5" x14ac:dyDescent="0.2">
      <c r="A217" cm="1">
        <f t="array" ref="A217">YEAR(3)</f>
        <v>1900</v>
      </c>
      <c r="B217">
        <f t="shared" si="9"/>
        <v>0</v>
      </c>
      <c r="C217">
        <f t="shared" si="10"/>
        <v>1900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INDEX(_xlfn.COT(#NAME?),1,1)</f>
        <v>#NAME?</v>
      </c>
      <c r="B218">
        <f t="shared" si="9"/>
        <v>5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LOOKUP(4.19,D!K1:K8,D!N1:N6)</f>
        <v>#N/A</v>
      </c>
      <c r="B219">
        <f t="shared" si="9"/>
        <v>7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cm="1">
        <f t="array" ref="A220">_xlfn.CHISQ.INV.RT(0.050001,_xlfn.GAMMALN.PRECISE(4))-ODD(1000)</f>
        <v>-997.15857471409811</v>
      </c>
      <c r="B220">
        <f t="shared" si="9"/>
        <v>0</v>
      </c>
      <c r="C220">
        <f t="shared" si="10"/>
        <v>-997.15857471409811</v>
      </c>
      <c r="D220" t="str">
        <f t="shared" si="11"/>
        <v/>
      </c>
      <c r="E220" t="s">
        <v>254</v>
      </c>
    </row>
    <row r="221" spans="1:5" x14ac:dyDescent="0.2">
      <c r="A221" cm="1">
        <f t="array" ref="A221">ABS(D!A2)</f>
        <v>2</v>
      </c>
      <c r="B221">
        <f t="shared" si="9"/>
        <v>0</v>
      </c>
      <c r="C221">
        <f t="shared" si="10"/>
        <v>2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_xlfn.UNICHAR(-1)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DB("3",100000,D!B3,FALSE,D!A10)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LARGE(100,-1.5)</f>
        <v>#NUM!</v>
      </c>
      <c r="B224">
        <f t="shared" si="9"/>
        <v>6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BIN2OCT("1001","A")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str" cm="1">
        <f t="array" ref="A226">_xlfn.IMCSC(10)</f>
        <v>-1.83816396088967</v>
      </c>
      <c r="B226">
        <f t="shared" si="9"/>
        <v>-3</v>
      </c>
      <c r="C226">
        <f t="shared" si="10"/>
        <v>0</v>
      </c>
      <c r="D226" t="str">
        <f t="shared" si="11"/>
        <v>-1.83816396088967</v>
      </c>
      <c r="E226" t="s">
        <v>260</v>
      </c>
    </row>
    <row r="227" spans="1:5" x14ac:dyDescent="0.2">
      <c r="A227" t="b" cm="1">
        <f t="array" ref="A227">ISLOGICAL(2.5)</f>
        <v>0</v>
      </c>
      <c r="B227">
        <f t="shared" si="9"/>
        <v>-2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DB(HEX2DEC(0.5)/DAY(D!AU2),-1.5,6,0,_xlfn.GAMMA.INV(0.068094,"-4",2))</f>
        <v>#NUM!</v>
      </c>
      <c r="B228">
        <f t="shared" si="9"/>
        <v>6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 vm="8">
        <f t="array" aca="1" ref="A229" ca="1">_xlfn.UNIQUE(D!AS1:AS8)</f>
        <v>#VALUE!</v>
      </c>
      <c r="B229">
        <f t="shared" ca="1" si="9"/>
        <v>9</v>
      </c>
      <c r="C229">
        <f t="shared" ca="1" si="10"/>
        <v>0</v>
      </c>
      <c r="D229" t="str">
        <f t="shared" ca="1" si="11"/>
        <v/>
      </c>
      <c r="E229" t="s">
        <v>263</v>
      </c>
    </row>
    <row r="230" spans="1:5" x14ac:dyDescent="0.2">
      <c r="A230" cm="1">
        <f t="array" ref="A230">SUM(GAMMALN(4))</f>
        <v>1.791759469228055</v>
      </c>
      <c r="B230">
        <f t="shared" si="9"/>
        <v>0</v>
      </c>
      <c r="C230">
        <f t="shared" si="10"/>
        <v>1.791759469228055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ISO.CEILING(0,D!G4)&lt;=_xlfn.XMATCH(3,{"a","b"})</f>
        <v>#N/A</v>
      </c>
      <c r="B231">
        <f t="shared" si="9"/>
        <v>7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TRIMMEAN(D!A1:A5,100)</f>
        <v>#NUM!</v>
      </c>
      <c r="B232">
        <f t="shared" si="9"/>
        <v>6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GAMMALN("-4")</f>
        <v>#NUM!</v>
      </c>
      <c r="B233">
        <f t="shared" si="9"/>
        <v>6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e" cm="1" vm="8">
        <f t="array" aca="1" ref="A234" ca="1">_xlfn.CHISQ.INV(D!A1:A5,1)</f>
        <v>#VALUE!</v>
      </c>
      <c r="B234">
        <f t="shared" ca="1" si="9"/>
        <v>9</v>
      </c>
      <c r="C234">
        <f t="shared" ca="1" si="10"/>
        <v>0</v>
      </c>
      <c r="D234" t="str">
        <f t="shared" ca="1" si="11"/>
        <v/>
      </c>
      <c r="E234" t="s">
        <v>268</v>
      </c>
    </row>
    <row r="235" spans="1:5" x14ac:dyDescent="0.2">
      <c r="A235" t="e" cm="1">
        <f t="array" ref="A235">COLUMNS(TRIM(ODDLYIELD("?",DATE(2008,6,15),"a*",0.0375,FALSE,D!L4,0.5,0)+TRUE))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cm="1">
        <f t="array" ref="A236">NORMSDIST(2.5)</f>
        <v>0.99379033467422384</v>
      </c>
      <c r="B236">
        <f t="shared" si="9"/>
        <v>0</v>
      </c>
      <c r="C236">
        <f t="shared" si="10"/>
        <v>0.99379033467422384</v>
      </c>
      <c r="D236" t="str">
        <f t="shared" si="11"/>
        <v/>
      </c>
      <c r="E236" t="s">
        <v>270</v>
      </c>
    </row>
    <row r="237" spans="1:5" x14ac:dyDescent="0.2">
      <c r="A237" cm="1">
        <f t="array" ref="A237">MEDIAN(D!B1:B8)</f>
        <v>12.625</v>
      </c>
      <c r="B237">
        <f t="shared" si="9"/>
        <v>0</v>
      </c>
      <c r="C237">
        <f t="shared" si="10"/>
        <v>12.625</v>
      </c>
      <c r="D237" t="str">
        <f t="shared" si="11"/>
        <v/>
      </c>
      <c r="E237" t="s">
        <v>271</v>
      </c>
    </row>
    <row r="238" spans="1:5" x14ac:dyDescent="0.2">
      <c r="A238" t="str" cm="1">
        <f t="array" ref="A238">COMPLEX(2,4)</f>
        <v>2+4i</v>
      </c>
      <c r="B238">
        <f t="shared" si="9"/>
        <v>-3</v>
      </c>
      <c r="C238">
        <f t="shared" si="10"/>
        <v>0</v>
      </c>
      <c r="D238" t="str">
        <f t="shared" si="11"/>
        <v>2+4i</v>
      </c>
      <c r="E238" t="s">
        <v>272</v>
      </c>
    </row>
    <row r="239" spans="1:5" x14ac:dyDescent="0.2">
      <c r="A239" cm="1">
        <f t="array" ref="A239">_xlfn.GAMMALN.PRECISE(4)</f>
        <v>1.791759469228055</v>
      </c>
      <c r="B239">
        <f t="shared" si="9"/>
        <v>0</v>
      </c>
      <c r="C239">
        <f t="shared" si="10"/>
        <v>1.791759469228055</v>
      </c>
      <c r="D239" t="str">
        <f t="shared" si="11"/>
        <v/>
      </c>
      <c r="E239" t="s">
        <v>273</v>
      </c>
    </row>
    <row r="240" spans="1:5" x14ac:dyDescent="0.2">
      <c r="A240" cm="1">
        <f t="array" ref="A240">_xlfn.SKEW.P({1,2;3,4})</f>
        <v>0</v>
      </c>
      <c r="B240">
        <f t="shared" si="9"/>
        <v>0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cm="1">
        <f t="array" ref="A241">COLUMNS(LENB("abc"))</f>
        <v>1</v>
      </c>
      <c r="B241">
        <f t="shared" si="9"/>
        <v>0</v>
      </c>
      <c r="C241">
        <f t="shared" si="10"/>
        <v>1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VLOOKUP(5,D!L1:N6,D!F1:F7,FALSE)</f>
        <v>#REF!</v>
      </c>
      <c r="B242">
        <f t="shared" si="9"/>
        <v>4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cm="1">
        <f t="array" ref="A243">BESSELJ(D!C2,1)</f>
        <v>-4.682825726925465E-3</v>
      </c>
      <c r="B243">
        <f t="shared" si="9"/>
        <v>0</v>
      </c>
      <c r="C243">
        <f t="shared" si="10"/>
        <v>-4.682825726925465E-3</v>
      </c>
      <c r="D243" t="str">
        <f t="shared" si="11"/>
        <v/>
      </c>
      <c r="E243" t="s">
        <v>277</v>
      </c>
    </row>
    <row r="244" spans="1:5" x14ac:dyDescent="0.2">
      <c r="A244" cm="1">
        <f t="array" ref="A244">NPER(2.5,4,-1000,10000,1)</f>
        <v>1.8420409390714285</v>
      </c>
      <c r="B244">
        <f t="shared" si="9"/>
        <v>0</v>
      </c>
      <c r="C244">
        <f t="shared" si="10"/>
        <v>1.8420409390714285</v>
      </c>
      <c r="D244" t="str">
        <f t="shared" si="11"/>
        <v/>
      </c>
      <c r="E244" t="s">
        <v>278</v>
      </c>
    </row>
    <row r="245" spans="1:5" x14ac:dyDescent="0.2">
      <c r="A245" cm="1">
        <f t="array" ref="A245">STANDARDIZE(42,40,45688.75)</f>
        <v>4.3774452135372495E-5</v>
      </c>
      <c r="B245">
        <f t="shared" si="9"/>
        <v>0</v>
      </c>
      <c r="C245">
        <f t="shared" si="10"/>
        <v>4.3774452135372495E-5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COLUMNS(BIN2OCT("1001",#NUM!))</f>
        <v>#NUM!</v>
      </c>
      <c r="B246">
        <f t="shared" si="9"/>
        <v>6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_xlfn._xlws.SORT(D!B1:B8,D!B1:C8)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str" cm="1">
        <f t="array" ref="A248">RIGHTB("abc",3)</f>
        <v>abc</v>
      </c>
      <c r="B248">
        <f t="shared" si="9"/>
        <v>-3</v>
      </c>
      <c r="C248">
        <f t="shared" si="10"/>
        <v>0</v>
      </c>
      <c r="D248" t="str">
        <f t="shared" si="11"/>
        <v>abc</v>
      </c>
      <c r="E248" t="s">
        <v>282</v>
      </c>
    </row>
    <row r="249" spans="1:5" x14ac:dyDescent="0.2">
      <c r="A249" cm="1">
        <f t="array" ref="A249">MONTH(40648)</f>
        <v>4</v>
      </c>
      <c r="B249">
        <f t="shared" si="9"/>
        <v>0</v>
      </c>
      <c r="C249">
        <f t="shared" si="10"/>
        <v>4</v>
      </c>
      <c r="D249" t="str">
        <f t="shared" si="11"/>
        <v/>
      </c>
      <c r="E249" t="s">
        <v>283</v>
      </c>
    </row>
    <row r="250" spans="1:5" x14ac:dyDescent="0.2">
      <c r="A250" cm="1">
        <f t="array" ref="A250">ROWS(HEX2DEC("A5"))</f>
        <v>1</v>
      </c>
      <c r="B250">
        <f t="shared" si="9"/>
        <v>0</v>
      </c>
      <c r="C250">
        <f t="shared" si="10"/>
        <v>1</v>
      </c>
      <c r="D250" t="str">
        <f t="shared" si="11"/>
        <v/>
      </c>
      <c r="E250" t="s">
        <v>284</v>
      </c>
    </row>
    <row r="251" spans="1:5" x14ac:dyDescent="0.2">
      <c r="A251" cm="1">
        <f t="array" ref="A251">SUMPRODUCT(D!B1:B8)</f>
        <v>114.75</v>
      </c>
      <c r="B251">
        <f t="shared" si="9"/>
        <v>0</v>
      </c>
      <c r="C251">
        <f t="shared" si="10"/>
        <v>114.75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WORKDAY(-1.5,FALSE)</f>
        <v>#NUM!</v>
      </c>
      <c r="B252">
        <f t="shared" si="9"/>
        <v>6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cm="1">
        <f t="array" ref="A253">COUNTA("?","$1,000",TBILLEQ(39538,#DIV/0!,"aBc"),-1)</f>
        <v>4</v>
      </c>
      <c r="B253">
        <f t="shared" si="9"/>
        <v>0</v>
      </c>
      <c r="C253">
        <f t="shared" si="10"/>
        <v>4</v>
      </c>
      <c r="D253" t="str">
        <f t="shared" si="11"/>
        <v/>
      </c>
      <c r="E253" t="s">
        <v>287</v>
      </c>
    </row>
    <row r="254" spans="1:5" x14ac:dyDescent="0.2">
      <c r="A254" t="str" cm="1">
        <f t="array" ref="A254">TRIM("  First Quarter Earnings  ")</f>
        <v>First Quarter Earnings</v>
      </c>
      <c r="B254">
        <f t="shared" si="9"/>
        <v>-3</v>
      </c>
      <c r="C254">
        <f t="shared" si="10"/>
        <v>0</v>
      </c>
      <c r="D254" t="str">
        <f t="shared" si="11"/>
        <v>First Quarter Earnings</v>
      </c>
      <c r="E254" t="s">
        <v>288</v>
      </c>
    </row>
    <row r="255" spans="1:5" x14ac:dyDescent="0.2">
      <c r="A255" t="str" cm="1">
        <f t="array" ref="A255">HLOOKUP(5,D!L8:Q10,2,10)</f>
        <v>five</v>
      </c>
      <c r="B255">
        <f t="shared" si="9"/>
        <v>-3</v>
      </c>
      <c r="C255">
        <f t="shared" si="10"/>
        <v>0</v>
      </c>
      <c r="D255" t="str">
        <f t="shared" si="11"/>
        <v>five</v>
      </c>
      <c r="E255" t="s">
        <v>289</v>
      </c>
    </row>
    <row r="256" spans="1:5" x14ac:dyDescent="0.2">
      <c r="A256" cm="1">
        <f t="array" ref="A256">FV(0.005,10,-200,-500,1)</f>
        <v>2581.4033740601185</v>
      </c>
      <c r="B256">
        <f t="shared" si="9"/>
        <v>0</v>
      </c>
      <c r="C256">
        <f t="shared" si="10"/>
        <v>2581.4033740601185</v>
      </c>
      <c r="D256" t="str">
        <f t="shared" si="11"/>
        <v/>
      </c>
      <c r="E256" t="s">
        <v>290</v>
      </c>
    </row>
    <row r="257" spans="1:5" x14ac:dyDescent="0.2">
      <c r="A257" cm="1">
        <f t="array" ref="A257">_xlfn.CEILING.PRECISE(4.3)</f>
        <v>5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5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DSTDEV(D!C2,_xlfn.BETA.DIST(2,7,10,#N/A,D!A1,"a*"),D!C2)</f>
        <v>#N/A</v>
      </c>
      <c r="B258">
        <f t="shared" si="12"/>
        <v>7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cm="1">
        <f t="array" ref="A259">COLUMNS(LN(2))</f>
        <v>1</v>
      </c>
      <c r="B259">
        <f t="shared" si="12"/>
        <v>0</v>
      </c>
      <c r="C259">
        <f t="shared" si="13"/>
        <v>1</v>
      </c>
      <c r="D259" t="str">
        <f t="shared" si="14"/>
        <v/>
      </c>
      <c r="E259" t="s">
        <v>293</v>
      </c>
    </row>
    <row r="260" spans="1:5" x14ac:dyDescent="0.2">
      <c r="A260" cm="1">
        <f t="array" ref="A260">ROWS(D!AW1:AW4)</f>
        <v>4</v>
      </c>
      <c r="B260">
        <f t="shared" si="12"/>
        <v>0</v>
      </c>
      <c r="C260">
        <f t="shared" si="13"/>
        <v>4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BIN2HEX("1.5",0.25)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 vm="6">
        <f t="array" aca="1" ref="A262" ca="1">_xlfn.BETA.INV(D!L4,"a*",10,{3,1,2},3)</f>
        <v>#VALUE!</v>
      </c>
      <c r="B262">
        <f t="shared" ca="1" si="12"/>
        <v>9</v>
      </c>
      <c r="C262">
        <f t="shared" ca="1" si="13"/>
        <v>0</v>
      </c>
      <c r="D262" t="str">
        <f t="shared" ca="1" si="14"/>
        <v/>
      </c>
      <c r="E262" t="s">
        <v>296</v>
      </c>
    </row>
    <row r="263" spans="1:5" x14ac:dyDescent="0.2">
      <c r="A263" cm="1">
        <f t="array" ref="A263">INDEX(SLN(30000,7500,1),1,1)</f>
        <v>22500</v>
      </c>
      <c r="B263">
        <f t="shared" si="12"/>
        <v>0</v>
      </c>
      <c r="C263">
        <f t="shared" si="13"/>
        <v>22500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_xlfn.TEXTJOIN(";",FALSE,DEC2HEX("x y",4))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cm="1">
        <f t="array" ref="A265">MAXA(D!B1:B8)</f>
        <v>42</v>
      </c>
      <c r="B265">
        <f t="shared" si="12"/>
        <v>0</v>
      </c>
      <c r="C265">
        <f t="shared" si="13"/>
        <v>42</v>
      </c>
      <c r="D265" t="str">
        <f t="shared" si="14"/>
        <v/>
      </c>
      <c r="E265" t="s">
        <v>299</v>
      </c>
    </row>
    <row r="266" spans="1:5" x14ac:dyDescent="0.2">
      <c r="A266" t="str" cm="1">
        <f t="array" ref="A266">ROMAN(499,0)</f>
        <v>CDXCIX</v>
      </c>
      <c r="B266">
        <f t="shared" si="12"/>
        <v>-3</v>
      </c>
      <c r="C266">
        <f t="shared" si="13"/>
        <v>0</v>
      </c>
      <c r="D266" t="str">
        <f t="shared" si="14"/>
        <v>CDXCIX</v>
      </c>
      <c r="E266" t="s">
        <v>300</v>
      </c>
    </row>
    <row r="267" spans="1:5" x14ac:dyDescent="0.2">
      <c r="A267" t="e" cm="1">
        <f t="array" ref="A267">STDEVA(D!B1:B8)&lt;_xlfn.T.INV.2T(FACT(#REF!),60)</f>
        <v>#REF!</v>
      </c>
      <c r="B267">
        <f t="shared" si="12"/>
        <v>4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cm="1">
        <f t="array" ref="A268">VARP({1;2;3})</f>
        <v>0.66666666666666663</v>
      </c>
      <c r="B268">
        <f t="shared" si="12"/>
        <v>0</v>
      </c>
      <c r="C268">
        <f t="shared" si="13"/>
        <v>0.66666666666666663</v>
      </c>
      <c r="D268" t="str">
        <f t="shared" si="14"/>
        <v/>
      </c>
      <c r="E268" t="s">
        <v>302</v>
      </c>
    </row>
    <row r="269" spans="1:5" x14ac:dyDescent="0.2">
      <c r="A269" cm="1">
        <f t="array" ref="A269">TBILLPRICE(39538,39600,0.09)</f>
        <v>98.45</v>
      </c>
      <c r="B269">
        <f t="shared" si="12"/>
        <v>0</v>
      </c>
      <c r="C269">
        <f t="shared" si="13"/>
        <v>98.45</v>
      </c>
      <c r="D269" t="str">
        <f t="shared" si="14"/>
        <v/>
      </c>
      <c r="E269" t="s">
        <v>303</v>
      </c>
    </row>
    <row r="270" spans="1:5" x14ac:dyDescent="0.2">
      <c r="A270" cm="1">
        <f t="array" ref="A270">PRICEDISC(D!A12,39508,ACCRINT(39508,39691,39569,D!G4,1000,2,0,0.5)^TRUE,D!B1)</f>
        <v>-576899.70370370359</v>
      </c>
      <c r="B270">
        <f t="shared" si="12"/>
        <v>0</v>
      </c>
      <c r="C270">
        <f t="shared" si="13"/>
        <v>-576899.70370370359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_xlfn.Z.TEST(D!AZ1:AZ5,4,_xlfn.TEXTBEFORE("a-b-c",2.5))</f>
        <v>#N/A</v>
      </c>
      <c r="B271">
        <f t="shared" si="12"/>
        <v>7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_xlfn.CHOOSECOLS({1},2,1)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str" cm="1">
        <f t="array" ref="A273">_xlfn.IMTAN("4+3i")</f>
        <v>0.00490825806749606+1.00070953606723i</v>
      </c>
      <c r="B273">
        <f t="shared" si="12"/>
        <v>-3</v>
      </c>
      <c r="C273">
        <f t="shared" si="13"/>
        <v>0</v>
      </c>
      <c r="D273" t="str">
        <f t="shared" si="14"/>
        <v>0.00490825806749606+1.00070953606723i</v>
      </c>
      <c r="E273" t="s">
        <v>307</v>
      </c>
    </row>
    <row r="274" spans="1:5" x14ac:dyDescent="0.2">
      <c r="A274" t="b" cm="1">
        <f t="array" ref="A274">IMSIN("4+3i")&lt;=_xlfn.SECH(45)</f>
        <v>0</v>
      </c>
      <c r="B274">
        <f t="shared" si="12"/>
        <v>-2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SUM(CHOOSE(D!B7,"a",FALSE,"c"))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_xlfn.AGGREGATE(" 2 ",2.5,D!A12,D!B3,D!M1:M6)</f>
        <v>2</v>
      </c>
      <c r="B276">
        <f t="shared" si="12"/>
        <v>0</v>
      </c>
      <c r="C276">
        <f t="shared" si="13"/>
        <v>2</v>
      </c>
      <c r="D276" t="str">
        <f t="shared" si="14"/>
        <v/>
      </c>
      <c r="E276" t="s">
        <v>310</v>
      </c>
    </row>
    <row r="277" spans="1:5" x14ac:dyDescent="0.2">
      <c r="A277" cm="1">
        <f t="array" ref="A277">_xlfn.STDEV.P(D!G4)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str" cm="1">
        <f t="array" ref="A278">IMCONJUGATE("3+4i")</f>
        <v>3-4i</v>
      </c>
      <c r="B278">
        <f t="shared" si="12"/>
        <v>-3</v>
      </c>
      <c r="C278">
        <f t="shared" si="13"/>
        <v>0</v>
      </c>
      <c r="D278" t="str">
        <f t="shared" si="14"/>
        <v>3-4i</v>
      </c>
      <c r="E278" t="s">
        <v>312</v>
      </c>
    </row>
    <row r="279" spans="1:5" x14ac:dyDescent="0.2">
      <c r="A279" t="e" cm="1">
        <f t="array" ref="A279">XNPV(FALSE,D!J1:J5,D!AU1:AU5)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 vm="9">
        <f t="array" aca="1" ref="A280" ca="1">GAMMADIST(10.00001131,9,D!AW1:AW4,FALSE)</f>
        <v>#VALUE!</v>
      </c>
      <c r="B280">
        <f t="shared" ca="1" si="12"/>
        <v>9</v>
      </c>
      <c r="C280">
        <f t="shared" ca="1" si="13"/>
        <v>0</v>
      </c>
      <c r="D280" t="str">
        <f t="shared" ca="1" si="14"/>
        <v/>
      </c>
      <c r="E280" t="s">
        <v>314</v>
      </c>
    </row>
    <row r="281" spans="1:5" x14ac:dyDescent="0.2">
      <c r="A281" t="e" cm="1">
        <f t="array" ref="A281">ODDFPRICE(DATE(2008,11,11),DATE(2021,3,1),DATE(2008,10,15),DATE(2009,3,1),0.0785,45351,"A",100,10)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ROWS(_xlfn._xlws.SORT(0.5))</f>
        <v>1</v>
      </c>
      <c r="B282">
        <f t="shared" si="12"/>
        <v>0</v>
      </c>
      <c r="C282">
        <f t="shared" si="13"/>
        <v>1</v>
      </c>
      <c r="D282" t="str">
        <f t="shared" si="14"/>
        <v/>
      </c>
      <c r="E282" t="s">
        <v>316</v>
      </c>
    </row>
    <row r="283" spans="1:5" x14ac:dyDescent="0.2">
      <c r="A283" t="b" cm="1">
        <f t="array" ref="A283">_xlfn.GAMMALN.PRECISE(4)&lt;=NETWORKDAYS(41183,D!A10)</f>
        <v>0</v>
      </c>
      <c r="B283">
        <f t="shared" si="12"/>
        <v>-2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DATEDIF(D!H3,D!AP1,"Y")</f>
        <v>#NUM!</v>
      </c>
      <c r="B284">
        <f t="shared" si="12"/>
        <v>6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TBILLPRICE(39538,39600,0.09)</f>
        <v>98.45</v>
      </c>
      <c r="B285">
        <f t="shared" si="12"/>
        <v>0</v>
      </c>
      <c r="C285">
        <f t="shared" si="13"/>
        <v>98.45</v>
      </c>
      <c r="D285" t="str">
        <f t="shared" si="14"/>
        <v/>
      </c>
      <c r="E285" t="s">
        <v>319</v>
      </c>
    </row>
    <row r="286" spans="1:5" x14ac:dyDescent="0.2">
      <c r="A286" cm="1">
        <f t="array" ref="A286">_xlfn.GAUSS(DOLLARDE(1.02,1000))</f>
        <v>0.34613576962726511</v>
      </c>
      <c r="B286">
        <f t="shared" si="12"/>
        <v>0</v>
      </c>
      <c r="C286">
        <f t="shared" si="13"/>
        <v>0.34613576962726511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INDEX(SMALL(D!A1,4),1,1)</f>
        <v>#NUM!</v>
      </c>
      <c r="B287">
        <f t="shared" si="12"/>
        <v>6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LOGINV(0.039084,3.5,1.2)</f>
        <v>4.000025218680638</v>
      </c>
      <c r="B288">
        <f t="shared" si="12"/>
        <v>0</v>
      </c>
      <c r="C288">
        <f t="shared" si="13"/>
        <v>4.000025218680638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_xlfn.TEXTJOIN(100,D!A7,YIELD(D!G4,IMSIN("4+3i"),D!G4,95.04287,#NAME?*1,D!A15,0)&amp;-1.5,"","b")</f>
        <v>#DIV/0!</v>
      </c>
      <c r="B289">
        <f t="shared" si="12"/>
        <v>2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SKEW(_xlfn.TOROW({45658,45689},GROWTH(D!AY1:AY5,{0.5;-1})))</f>
        <v>#REF!</v>
      </c>
      <c r="B290">
        <f t="shared" si="12"/>
        <v>4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ACCRINTM(7,D!G4,#REF!,1000,D!A1:A5)</f>
        <v>#REF!</v>
      </c>
      <c r="B291">
        <f t="shared" si="12"/>
        <v>4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cm="1">
        <f t="array" ref="A292">ROWS(WEEKDAY(39492,LARGE(D!B1:B8,3)))</f>
        <v>1</v>
      </c>
      <c r="B292">
        <f t="shared" si="12"/>
        <v>0</v>
      </c>
      <c r="C292">
        <f t="shared" si="13"/>
        <v>1</v>
      </c>
      <c r="D292" t="str">
        <f t="shared" si="14"/>
        <v/>
      </c>
      <c r="E292" t="s">
        <v>326</v>
      </c>
    </row>
    <row r="293" spans="1:5" x14ac:dyDescent="0.2">
      <c r="A293" t="str" cm="1">
        <f t="array" ref="A293">_xlfn.TEXTJOIN(";",FALSE,AVERAGEA(D!B1:B8))</f>
        <v>14.34375</v>
      </c>
      <c r="B293">
        <f t="shared" si="12"/>
        <v>-3</v>
      </c>
      <c r="C293">
        <f t="shared" si="13"/>
        <v>0</v>
      </c>
      <c r="D293" t="str">
        <f t="shared" si="14"/>
        <v>14.34375</v>
      </c>
      <c r="E293" t="s">
        <v>327</v>
      </c>
    </row>
    <row r="294" spans="1:5" x14ac:dyDescent="0.2">
      <c r="A294" t="e" cm="1" vm="8">
        <f t="array" aca="1" ref="A294" ca="1">QUARTILE(D!B1:B8,D!I1:I5)&gt;LCM(5,D!A1:A5)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328</v>
      </c>
    </row>
    <row r="295" spans="1:5" x14ac:dyDescent="0.2">
      <c r="A295" t="b" cm="1">
        <f t="array" ref="A295">DEVSQ(D!A1:A5,MAXA({"x";""},D!I1:I5,D!AW1:AW4,1000))&gt;IMDIV(1,"10+24i")</f>
        <v>0</v>
      </c>
      <c r="B295">
        <f t="shared" si="12"/>
        <v>-2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 vm="10">
        <f t="array" aca="1" ref="A296" ca="1">_xlfn.PERCENTILE.EXC(D!E1:E8,_xlfn.VSTACK(D!B1:C8,D!R1:S2))</f>
        <v>#VALUE!</v>
      </c>
      <c r="B296">
        <f t="shared" ca="1" si="12"/>
        <v>9</v>
      </c>
      <c r="C296">
        <f t="shared" ca="1" si="13"/>
        <v>0</v>
      </c>
      <c r="D296" t="str">
        <f t="shared" ca="1" si="14"/>
        <v/>
      </c>
      <c r="E296" t="s">
        <v>330</v>
      </c>
    </row>
    <row r="297" spans="1:5" x14ac:dyDescent="0.2">
      <c r="A297" t="e" cm="1">
        <f t="array" ref="A297">ROWS(LINEST(D!AY1:AY5,D!P4:R5+D!N2))</f>
        <v>#REF!</v>
      </c>
      <c r="B297">
        <f t="shared" si="12"/>
        <v>4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cm="1">
        <f t="array" ref="A298">TAN(0.785)</f>
        <v>0.99920399010504268</v>
      </c>
      <c r="B298">
        <f t="shared" si="12"/>
        <v>0</v>
      </c>
      <c r="C298">
        <f t="shared" si="13"/>
        <v>0.99920399010504268</v>
      </c>
      <c r="D298" t="str">
        <f t="shared" si="14"/>
        <v/>
      </c>
      <c r="E298" t="s">
        <v>332</v>
      </c>
    </row>
    <row r="299" spans="1:5" x14ac:dyDescent="0.2">
      <c r="A299" cm="1">
        <f t="array" ref="A299">COLUMNS(IRR(D!I1:I5))</f>
        <v>1</v>
      </c>
      <c r="B299">
        <f t="shared" si="12"/>
        <v>0</v>
      </c>
      <c r="C299">
        <f t="shared" si="13"/>
        <v>1</v>
      </c>
      <c r="D299" t="str">
        <f t="shared" si="14"/>
        <v/>
      </c>
      <c r="E299" t="s">
        <v>333</v>
      </c>
    </row>
    <row r="300" spans="1:5" x14ac:dyDescent="0.2">
      <c r="A300" cm="1">
        <f t="array" ref="A300">_xlfn.NUMBERVALUE(3,"a*","0")</f>
        <v>3</v>
      </c>
      <c r="B300">
        <f t="shared" si="12"/>
        <v>0</v>
      </c>
      <c r="C300">
        <f t="shared" si="13"/>
        <v>3</v>
      </c>
      <c r="D300" t="str">
        <f t="shared" si="14"/>
        <v/>
      </c>
      <c r="E300" t="s">
        <v>334</v>
      </c>
    </row>
    <row r="301" spans="1:5" x14ac:dyDescent="0.2">
      <c r="A301" cm="1">
        <f t="array" ref="A301">_xlfn.FLOOR.MATH(24.3,-1.5,10)</f>
        <v>24</v>
      </c>
      <c r="B301">
        <f t="shared" si="12"/>
        <v>0</v>
      </c>
      <c r="C301">
        <f t="shared" si="13"/>
        <v>24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HYPGEOMDIST(3,MINA(_xlfn.XLOOKUP(45658,D!N1:N6,D!M1:M6)),8,D!A13)</f>
        <v>#N/A</v>
      </c>
      <c r="B302">
        <f t="shared" si="12"/>
        <v>7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_xlfn.TEXTJOIN(";",FALSE,SUMSQ(_xlfn.T.DIST.RT(7,1),COUPDAYSNC("a*",_xlfn.EXPON.DIST(0.2,10,0.25),2,#DIV/0!)))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 vm="7">
        <f t="array" aca="1" ref="A304" ca="1">ROW(D!D1:D8)&gt;TRUNC(D!N2)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338</v>
      </c>
    </row>
    <row r="305" spans="1:5" x14ac:dyDescent="0.2">
      <c r="A305" cm="1">
        <f t="array" ref="A305">NPV(0.1,D!A4)</f>
        <v>0</v>
      </c>
      <c r="B305">
        <f t="shared" si="12"/>
        <v>0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cm="1">
        <f t="array" ref="A306">INDEX(STDEV(D!AZ1:AZ5,D!A13,{1,2,3}),1,1)</f>
        <v>1.407885953173359</v>
      </c>
      <c r="B306">
        <f t="shared" si="12"/>
        <v>0</v>
      </c>
      <c r="C306">
        <f t="shared" si="13"/>
        <v>1.407885953173359</v>
      </c>
      <c r="D306" t="str">
        <f t="shared" si="14"/>
        <v/>
      </c>
      <c r="E306" t="s">
        <v>340</v>
      </c>
    </row>
    <row r="307" spans="1:5" x14ac:dyDescent="0.2">
      <c r="A307" cm="1">
        <f t="array" ref="A307">COLUMNS(OR(D!I1:I5,TRUE))</f>
        <v>1</v>
      </c>
      <c r="B307">
        <f t="shared" si="12"/>
        <v>0</v>
      </c>
      <c r="C307">
        <f t="shared" si="13"/>
        <v>1</v>
      </c>
      <c r="D307" t="str">
        <f t="shared" si="14"/>
        <v/>
      </c>
      <c r="E307" t="s">
        <v>341</v>
      </c>
    </row>
    <row r="308" spans="1:5" x14ac:dyDescent="0.2">
      <c r="A308" t="str" cm="1">
        <f t="array" ref="A308">_xlfn.TEXTJOIN(";",FALSE,_xlfn.VAR.P(D!AS1:AS8))</f>
        <v>0.56</v>
      </c>
      <c r="B308">
        <f t="shared" si="12"/>
        <v>-3</v>
      </c>
      <c r="C308">
        <f t="shared" si="13"/>
        <v>0</v>
      </c>
      <c r="D308" t="str">
        <f t="shared" si="14"/>
        <v>0.56</v>
      </c>
      <c r="E308" t="s">
        <v>342</v>
      </c>
    </row>
    <row r="309" spans="1:5" x14ac:dyDescent="0.2">
      <c r="A309" t="e" cm="1">
        <f t="array" ref="A309">AMORLINC(2400,DATE(2008,8,19),2.5,300,1,4/FALSE,"abc")&lt;&gt;DEVSQ(D!B1:B8,D!A1:A5,-AMORLINC(2400,YIELDDISC(DATE(2008,2,16),D!F1,99.795,D!C2,2),DATE(2008,12,31),_xlfn.HYPGEOM.DIST(1,0.5,2,20,D!A13),1,0.15,"x y"+-1)-TREND(D!AY1:AY5,D!N1:N6))</f>
        <v>#DIV/0!</v>
      </c>
      <c r="B309">
        <f t="shared" si="12"/>
        <v>2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str" cm="1">
        <f t="array" ref="A310">CLEAN(D!A14)</f>
        <v>abc</v>
      </c>
      <c r="B310">
        <f t="shared" si="12"/>
        <v>-3</v>
      </c>
      <c r="C310">
        <f t="shared" si="13"/>
        <v>0</v>
      </c>
      <c r="D310" t="str">
        <f t="shared" si="14"/>
        <v>abc</v>
      </c>
      <c r="E310" t="s">
        <v>344</v>
      </c>
    </row>
    <row r="311" spans="1:5" x14ac:dyDescent="0.2">
      <c r="A311" cm="1">
        <f t="array" ref="A311">DATE(D!B1,"1E2",31)</f>
        <v>4505</v>
      </c>
      <c r="B311">
        <f t="shared" si="12"/>
        <v>0</v>
      </c>
      <c r="C311">
        <f t="shared" si="13"/>
        <v>4505</v>
      </c>
      <c r="D311" t="str">
        <f t="shared" si="14"/>
        <v/>
      </c>
      <c r="E311" t="s">
        <v>345</v>
      </c>
    </row>
    <row r="312" spans="1:5" x14ac:dyDescent="0.2">
      <c r="A312" t="b" cm="1">
        <f t="array" ref="A312">ISNUMBER(1000)&lt;FISHERINV(0.972955)</f>
        <v>0</v>
      </c>
      <c r="B312">
        <f t="shared" si="12"/>
        <v>-2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_xlfn.AGGREGATE(9,4,D!G4)</f>
        <v>8</v>
      </c>
      <c r="B313">
        <f t="shared" si="12"/>
        <v>0</v>
      </c>
      <c r="C313">
        <f t="shared" si="13"/>
        <v>8</v>
      </c>
      <c r="D313" t="str">
        <f t="shared" si="14"/>
        <v/>
      </c>
      <c r="E313" t="s">
        <v>347</v>
      </c>
    </row>
    <row r="314" spans="1:5" x14ac:dyDescent="0.2">
      <c r="A314" t="str" cm="1">
        <f t="array" ref="A314">_xlfn.TEXTJOIN(";",FALSE,LARGE(D!H1:H7,3))</f>
        <v>45689</v>
      </c>
      <c r="B314">
        <f t="shared" si="12"/>
        <v>-3</v>
      </c>
      <c r="C314">
        <f t="shared" si="13"/>
        <v>0</v>
      </c>
      <c r="D314" t="str">
        <f t="shared" si="14"/>
        <v>45689</v>
      </c>
      <c r="E314" t="s">
        <v>348</v>
      </c>
    </row>
    <row r="315" spans="1:5" x14ac:dyDescent="0.2">
      <c r="A315" cm="1">
        <f t="array" ref="A315">_xlfn.CSC(15)</f>
        <v>1.5377805615408537</v>
      </c>
      <c r="B315">
        <f t="shared" si="12"/>
        <v>0</v>
      </c>
      <c r="C315">
        <f t="shared" si="13"/>
        <v>1.5377805615408537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MMULT(D!L8:Q10,BIN2OCT(#NUM!,3))</f>
        <v>#NUM!</v>
      </c>
      <c r="B316">
        <f t="shared" si="12"/>
        <v>6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SUM(MULTINOMIAL(2,3,D!F1:F7,D!M1:N6))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e" cm="1">
        <f t="array" ref="A318">COLUMNS(_xlfn.BITLSHIFT(0.5,100))</f>
        <v>#NUM!</v>
      </c>
      <c r="B318">
        <f t="shared" si="12"/>
        <v>6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cm="1">
        <f t="array" ref="A319">ROUNDDOWN("3",0)</f>
        <v>3</v>
      </c>
      <c r="B319">
        <f t="shared" si="12"/>
        <v>0</v>
      </c>
      <c r="C319">
        <f t="shared" si="13"/>
        <v>3</v>
      </c>
      <c r="D319" t="str">
        <f t="shared" si="14"/>
        <v/>
      </c>
      <c r="E319" t="s">
        <v>353</v>
      </c>
    </row>
    <row r="320" spans="1:5" x14ac:dyDescent="0.2">
      <c r="A320" cm="1">
        <f t="array" ref="A320">ROWS(_xlfn.TAKE(D!L1:N6,5,5))</f>
        <v>5</v>
      </c>
      <c r="B320">
        <f t="shared" si="12"/>
        <v>0</v>
      </c>
      <c r="C320">
        <f t="shared" si="13"/>
        <v>5</v>
      </c>
      <c r="D320" t="str">
        <f t="shared" si="14"/>
        <v/>
      </c>
      <c r="E320" t="s">
        <v>354</v>
      </c>
    </row>
    <row r="321" spans="1:5" x14ac:dyDescent="0.2">
      <c r="A321" cm="1">
        <f t="array" ref="A321">VARP(0.5)</f>
        <v>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_xlfn.CSCH(1.5)</f>
        <v>0.46964244059522464</v>
      </c>
      <c r="B322">
        <f t="shared" si="15"/>
        <v>0</v>
      </c>
      <c r="C322">
        <f t="shared" si="16"/>
        <v>0.46964244059522464</v>
      </c>
      <c r="D322" t="str">
        <f t="shared" si="17"/>
        <v/>
      </c>
      <c r="E322" t="s">
        <v>356</v>
      </c>
    </row>
    <row r="323" spans="1:5" x14ac:dyDescent="0.2">
      <c r="A323" cm="1">
        <f t="array" ref="A323">_xlfn.COMBINA(4,3)</f>
        <v>20</v>
      </c>
      <c r="B323">
        <f t="shared" si="15"/>
        <v>0</v>
      </c>
      <c r="C323">
        <f t="shared" si="16"/>
        <v>20</v>
      </c>
      <c r="D323" t="str">
        <f t="shared" si="17"/>
        <v/>
      </c>
      <c r="E323" t="s">
        <v>357</v>
      </c>
    </row>
    <row r="324" spans="1:5" x14ac:dyDescent="0.2">
      <c r="A324" t="e" cm="1" vm="6">
        <f t="array" aca="1" ref="A324" ca="1">_xlfn.WRAPROWS({1,2,3},3)</f>
        <v>#VALUE!</v>
      </c>
      <c r="B324">
        <f t="shared" ca="1" si="15"/>
        <v>9</v>
      </c>
      <c r="C324">
        <f t="shared" ca="1" si="16"/>
        <v>0</v>
      </c>
      <c r="D324" t="str">
        <f t="shared" ca="1" si="17"/>
        <v/>
      </c>
      <c r="E324" t="s">
        <v>358</v>
      </c>
    </row>
    <row r="325" spans="1:5" x14ac:dyDescent="0.2">
      <c r="A325" cm="1">
        <f t="array" ref="A325">_xlfn.CHISQ.INV(D!A5,1)</f>
        <v>0</v>
      </c>
      <c r="B325">
        <f t="shared" si="15"/>
        <v>0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cm="1">
        <f t="array" ref="A326">_xlfn.NORM.DIST(0.5,40,1.5,FALSE)</f>
        <v>7.0027874123613315E-152</v>
      </c>
      <c r="B326">
        <f t="shared" si="15"/>
        <v>0</v>
      </c>
      <c r="C326">
        <f t="shared" si="16"/>
        <v>7.0027874123613315E-152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ODDFYIELD(DATE(2008,11,11),OCT2HEX("100",D!H1:H7),FALSE,"A",D!A1,84.5,100,2)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_xlfn.TEXTJOIN(";",FALSE,SEARCH("a,b","Statements",1000))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_xlfn.HYPGEOM.DIST(1,D!B1,FALSE,20,TRUE)</f>
        <v>1</v>
      </c>
      <c r="B329">
        <f t="shared" si="15"/>
        <v>0</v>
      </c>
      <c r="C329">
        <f t="shared" si="16"/>
        <v>1</v>
      </c>
      <c r="D329" t="str">
        <f t="shared" si="17"/>
        <v/>
      </c>
      <c r="E329" t="s">
        <v>363</v>
      </c>
    </row>
    <row r="330" spans="1:5" x14ac:dyDescent="0.2">
      <c r="A330" cm="1">
        <f t="array" ref="A330">PERCENTRANK(D!B1:B8,D!G4)</f>
        <v>0.28499999999999998</v>
      </c>
      <c r="B330">
        <f t="shared" si="15"/>
        <v>0</v>
      </c>
      <c r="C330">
        <f t="shared" si="16"/>
        <v>0.28499999999999998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MDURATION(" 2 ",DATE(2048,1,1),ATAN2(MDETERM(D!B2:B3),59),0.09,"Привет","a*")&lt;=DSTDEVP(D!A15,"Yield",D!F1:F7)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b" cm="1">
        <f t="array" ref="A332">ISEVEN(-1)</f>
        <v>0</v>
      </c>
      <c r="B332">
        <f t="shared" si="15"/>
        <v>-2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cm="1">
        <f t="array" ref="A333">WORKDAY(0,151)</f>
        <v>212</v>
      </c>
      <c r="B333">
        <f t="shared" si="15"/>
        <v>0</v>
      </c>
      <c r="C333">
        <f t="shared" si="16"/>
        <v>212</v>
      </c>
      <c r="D333" t="str">
        <f t="shared" si="17"/>
        <v/>
      </c>
      <c r="E333" t="s">
        <v>367</v>
      </c>
    </row>
    <row r="334" spans="1:5" x14ac:dyDescent="0.2">
      <c r="A334" t="b" cm="1">
        <f t="array" ref="A334">AND(TRUE,TRUE)</f>
        <v>1</v>
      </c>
      <c r="B334">
        <f t="shared" si="15"/>
        <v>-1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str" cm="1">
        <f t="array" ref="A335">TEXT(0.5,"2024-02-29")</f>
        <v>2024-12-29</v>
      </c>
      <c r="B335">
        <f t="shared" si="15"/>
        <v>-3</v>
      </c>
      <c r="C335">
        <f t="shared" si="16"/>
        <v>0</v>
      </c>
      <c r="D335" t="str">
        <f t="shared" si="17"/>
        <v>2024-12-29</v>
      </c>
      <c r="E335" t="s">
        <v>369</v>
      </c>
    </row>
    <row r="336" spans="1:5" x14ac:dyDescent="0.2">
      <c r="A336" cm="1">
        <f t="array" ref="A336">NETWORKDAYS(41183,MOD(3,D!L4))</f>
        <v>-29415</v>
      </c>
      <c r="B336">
        <f t="shared" si="15"/>
        <v>0</v>
      </c>
      <c r="C336">
        <f t="shared" si="16"/>
        <v>-29415</v>
      </c>
      <c r="D336" t="str">
        <f t="shared" si="17"/>
        <v/>
      </c>
      <c r="E336" t="s">
        <v>370</v>
      </c>
    </row>
    <row r="337" spans="1:5" x14ac:dyDescent="0.2">
      <c r="A337" cm="1">
        <f t="array" ref="A337">SQRT(16)</f>
        <v>4</v>
      </c>
      <c r="B337">
        <f t="shared" si="15"/>
        <v>0</v>
      </c>
      <c r="C337">
        <f t="shared" si="16"/>
        <v>4</v>
      </c>
      <c r="D337" t="str">
        <f t="shared" si="17"/>
        <v/>
      </c>
      <c r="E337" t="s">
        <v>371</v>
      </c>
    </row>
    <row r="338" spans="1:5" x14ac:dyDescent="0.2">
      <c r="A338" t="e" cm="1">
        <f t="array" ref="A338">COLUMNS(TTEST({3,1,2},D!C1:C8,2,1))</f>
        <v>#N/A</v>
      </c>
      <c r="B338">
        <f t="shared" si="15"/>
        <v>7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str" cm="1">
        <f t="array" ref="A339">_xlfn.BASE(2.5,2)</f>
        <v>10</v>
      </c>
      <c r="B339">
        <f t="shared" si="15"/>
        <v>-3</v>
      </c>
      <c r="C339">
        <f t="shared" si="16"/>
        <v>0</v>
      </c>
      <c r="D339" t="str">
        <f t="shared" si="17"/>
        <v>10</v>
      </c>
      <c r="E339" t="s">
        <v>373</v>
      </c>
    </row>
    <row r="340" spans="1:5" x14ac:dyDescent="0.2">
      <c r="A340" t="e" cm="1">
        <f t="array" ref="A340">EDATE(0.25=" ",1)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cm="1">
        <f t="array" ref="A341">_xlfn.PERCENTRANK.EXC(D!B1:B8,TRUE)</f>
        <v>0.17699999999999999</v>
      </c>
      <c r="B341">
        <f t="shared" si="15"/>
        <v>0</v>
      </c>
      <c r="C341">
        <f t="shared" si="16"/>
        <v>0.17699999999999999</v>
      </c>
      <c r="D341" t="str">
        <f t="shared" si="17"/>
        <v/>
      </c>
      <c r="E341" t="s">
        <v>375</v>
      </c>
    </row>
    <row r="342" spans="1:5" x14ac:dyDescent="0.2">
      <c r="A342" t="e" cm="1">
        <f t="array" ref="A342">_xlfn.T.INV.2T("$1,000",60)</f>
        <v>#NUM!</v>
      </c>
      <c r="B342">
        <f t="shared" si="15"/>
        <v>6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cm="1">
        <f t="array" ref="A343">COLUMNS(_xlfn._xlws.SORT(D!AY1:AY5))</f>
        <v>1</v>
      </c>
      <c r="B343">
        <f t="shared" si="15"/>
        <v>0</v>
      </c>
      <c r="C343">
        <f t="shared" si="16"/>
        <v>1</v>
      </c>
      <c r="D343" t="str">
        <f t="shared" si="17"/>
        <v/>
      </c>
      <c r="E343" t="s">
        <v>377</v>
      </c>
    </row>
    <row r="344" spans="1:5" x14ac:dyDescent="0.2">
      <c r="A344" cm="1">
        <f t="array" ref="A344">FORECAST(30,D!C1:C8,D!B1:B8)</f>
        <v>28.178836053687952</v>
      </c>
      <c r="B344">
        <f t="shared" si="15"/>
        <v>0</v>
      </c>
      <c r="C344">
        <f t="shared" si="16"/>
        <v>28.178836053687952</v>
      </c>
      <c r="D344" t="str">
        <f t="shared" si="17"/>
        <v/>
      </c>
      <c r="E344" t="s">
        <v>378</v>
      </c>
    </row>
    <row r="345" spans="1:5" x14ac:dyDescent="0.2">
      <c r="A345" t="e" cm="1">
        <f t="array" ref="A345">_xlfn.RANK.AVG(45688.75,D!M1:M6,10)</f>
        <v>#N/A</v>
      </c>
      <c r="B345">
        <f t="shared" si="15"/>
        <v>7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t="str" cm="1">
        <f t="array" ref="A346">_xlfn.TEXTJOIN(";",FALSE,WORKDAY(39722,"2025-01-31"))</f>
        <v>103686</v>
      </c>
      <c r="B346">
        <f t="shared" si="15"/>
        <v>-3</v>
      </c>
      <c r="C346">
        <f t="shared" si="16"/>
        <v>0</v>
      </c>
      <c r="D346" t="str">
        <f t="shared" si="17"/>
        <v>103686</v>
      </c>
      <c r="E346" t="s">
        <v>380</v>
      </c>
    </row>
    <row r="347" spans="1:5" x14ac:dyDescent="0.2">
      <c r="A347" t="e" cm="1">
        <f t="array" ref="A347">SUM(_xlfn.EXPAND(D!P1:Q2,3))</f>
        <v>#N/A</v>
      </c>
      <c r="B347">
        <f t="shared" si="15"/>
        <v>7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cm="1">
        <f t="array" ref="A348">INDEX(SEARCH("e","Statements"),1,1)</f>
        <v>5</v>
      </c>
      <c r="B348">
        <f t="shared" si="15"/>
        <v>0</v>
      </c>
      <c r="C348">
        <f t="shared" si="16"/>
        <v>5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_xlfn.TEXTJOIN(";",FALSE,YIELDDISC(DATE(2008,2,16),FISHERINV(1),99.795,100,2))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cm="1">
        <f t="array" ref="A350">_xlfn.BITAND(1,5)</f>
        <v>1</v>
      </c>
      <c r="B350">
        <f t="shared" si="15"/>
        <v>0</v>
      </c>
      <c r="C350">
        <f t="shared" si="16"/>
        <v>1</v>
      </c>
      <c r="D350" t="str">
        <f t="shared" si="17"/>
        <v/>
      </c>
      <c r="E350" t="s">
        <v>384</v>
      </c>
    </row>
    <row r="351" spans="1:5" x14ac:dyDescent="0.2">
      <c r="A351" t="e" cm="1">
        <f t="array" ref="A351">DVAR(D!B3,TRUE,D!F1:F7)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cm="1">
        <f t="array" ref="A352">_xlfn.BITRSHIFT(13,2)</f>
        <v>3</v>
      </c>
      <c r="B352">
        <f t="shared" si="15"/>
        <v>0</v>
      </c>
      <c r="C352">
        <f t="shared" si="16"/>
        <v>3</v>
      </c>
      <c r="D352" t="str">
        <f t="shared" si="17"/>
        <v/>
      </c>
      <c r="E352" t="s">
        <v>386</v>
      </c>
    </row>
    <row r="353" spans="1:5" x14ac:dyDescent="0.2">
      <c r="A353" t="e" cm="1">
        <f t="array" ref="A353">IMLOG2(TRUE)</f>
        <v>#VALUE!</v>
      </c>
      <c r="B353">
        <f t="shared" si="15"/>
        <v>3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t="e" cm="1" vm="11">
        <f t="array" aca="1" ref="A354" ca="1">_xlfn.TOROW(D!P4:R5)&amp;_xlfn.PERMUTATIONA(3,1000)</f>
        <v>#VALUE!</v>
      </c>
      <c r="B354">
        <f t="shared" ca="1" si="15"/>
        <v>9</v>
      </c>
      <c r="C354">
        <f t="shared" ca="1" si="16"/>
        <v>0</v>
      </c>
      <c r="D354" t="str">
        <f t="shared" ca="1" si="17"/>
        <v/>
      </c>
      <c r="E354" t="s">
        <v>388</v>
      </c>
    </row>
    <row r="355" spans="1:5" x14ac:dyDescent="0.2">
      <c r="A355" cm="1">
        <f t="array" ref="A355">SUM(ISEVEN(D!B3))</f>
        <v>0</v>
      </c>
      <c r="B355">
        <f t="shared" si="15"/>
        <v>0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FACT(5)</f>
        <v>120</v>
      </c>
      <c r="B356">
        <f t="shared" si="15"/>
        <v>0</v>
      </c>
      <c r="C356">
        <f t="shared" si="16"/>
        <v>120</v>
      </c>
      <c r="D356" t="str">
        <f t="shared" si="17"/>
        <v/>
      </c>
      <c r="E356" t="s">
        <v>390</v>
      </c>
    </row>
    <row r="357" spans="1:5" x14ac:dyDescent="0.2">
      <c r="A357" t="e" cm="1" vm="5">
        <f t="array" aca="1" ref="A357" ca="1">_xlfn.DROP(D!L1:N6,3,1)</f>
        <v>#VALUE!</v>
      </c>
      <c r="B357">
        <f t="shared" ca="1" si="15"/>
        <v>9</v>
      </c>
      <c r="C357">
        <f t="shared" ca="1" si="16"/>
        <v>0</v>
      </c>
      <c r="D357" t="str">
        <f t="shared" ca="1" si="17"/>
        <v/>
      </c>
      <c r="E357" t="s">
        <v>391</v>
      </c>
    </row>
    <row r="358" spans="1:5" x14ac:dyDescent="0.2">
      <c r="A358" t="str" cm="1">
        <f t="array" ref="A358">_xlfn.CONCAT("a","b","c")</f>
        <v>abc</v>
      </c>
      <c r="B358">
        <f t="shared" si="15"/>
        <v>-3</v>
      </c>
      <c r="C358">
        <f t="shared" si="16"/>
        <v>0</v>
      </c>
      <c r="D358" t="str">
        <f t="shared" si="17"/>
        <v>abc</v>
      </c>
      <c r="E358" t="s">
        <v>392</v>
      </c>
    </row>
    <row r="359" spans="1:5" x14ac:dyDescent="0.2">
      <c r="A359" cm="1">
        <f t="array" ref="A359">ROWS(_xlfn.PERCENTILE.EXC(D!B1:B8,0.25))</f>
        <v>1</v>
      </c>
      <c r="B359">
        <f t="shared" si="15"/>
        <v>0</v>
      </c>
      <c r="C359">
        <f t="shared" si="16"/>
        <v>1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_xlfn.TEXTBEFORE("a-b-c",{1,2,3})</f>
        <v>#N/A</v>
      </c>
      <c r="B360">
        <f t="shared" si="15"/>
        <v>7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 vm="2">
        <f t="array" aca="1" ref="A361" ca="1">SUMIFS(D!A12,D!M1:M6,WORKDAY(39722,"50%"*#DIV/0!),D!C2,"FALSE",D!AV1:AV7,{1,2;3,4})</f>
        <v>#VALUE!</v>
      </c>
      <c r="B361">
        <f t="shared" ca="1" si="15"/>
        <v>9</v>
      </c>
      <c r="C361">
        <f t="shared" ca="1" si="16"/>
        <v>0</v>
      </c>
      <c r="D361" t="str">
        <f t="shared" ca="1" si="17"/>
        <v/>
      </c>
      <c r="E361" t="s">
        <v>395</v>
      </c>
    </row>
    <row r="362" spans="1:5" x14ac:dyDescent="0.2">
      <c r="A362" t="e" cm="1">
        <f t="array" ref="A362">SEARCH(D!A5,"Statements",2)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cm="1">
        <f t="array" ref="A363">SUM(CHIDIST(4,D!B1))</f>
        <v>0.40600584970983811</v>
      </c>
      <c r="B363">
        <f t="shared" si="15"/>
        <v>0</v>
      </c>
      <c r="C363">
        <f t="shared" si="16"/>
        <v>0.40600584970983811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IMSUM("3+4i","5-3i",_xlfn.TOROW(D!P4:R5),D!A4+"Привет")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_xlfn.PERCENTILE.EXC(D!B1:B8,10)^_xlfn.LOGNORM.DIST(LARGE(D!AV1:AV7,_xlfn.ARABIC("x y")&gt;45688.75)/_xlfn.CSC(15),FALSE,-D!M2%&gt;"?",DVAR(D!N1:N6,"Yield",D!C2))</f>
        <v>#NUM!</v>
      </c>
      <c r="B365">
        <f t="shared" si="15"/>
        <v>6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WORKDAY.INTL(ROWS(-1.5),60,11)</f>
        <v>70</v>
      </c>
      <c r="B366">
        <f t="shared" si="15"/>
        <v>0</v>
      </c>
      <c r="C366">
        <f t="shared" si="16"/>
        <v>70</v>
      </c>
      <c r="D366" t="str">
        <f t="shared" si="17"/>
        <v/>
      </c>
      <c r="E366" t="s">
        <v>400</v>
      </c>
    </row>
    <row r="367" spans="1:5" x14ac:dyDescent="0.2">
      <c r="A367" t="e" cm="1" vm="2">
        <f t="array" aca="1" ref="A367" ca="1">TIME(NORMSINV(0.908789),DAYS360(_xlfn.HYPGEOM.DIST(D!A1,4,1,20,FALSE),40908,AVERAGEIF(D!B1:B8,4,D!I1:I5))&lt;&gt;{2,"a";TRUE,#N/A},0)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401</v>
      </c>
    </row>
    <row r="368" spans="1:5" x14ac:dyDescent="0.2">
      <c r="A368" t="e" cm="1">
        <f t="array" ref="A368">_xlfn.EXPAND(D!B1:C8,1,-1)</f>
        <v>#VALUE!</v>
      </c>
      <c r="B368">
        <f t="shared" si="15"/>
        <v>3</v>
      </c>
      <c r="C368">
        <f t="shared" si="16"/>
        <v>0</v>
      </c>
      <c r="D368" t="str">
        <f t="shared" si="17"/>
        <v/>
      </c>
      <c r="E368" t="s">
        <v>402</v>
      </c>
    </row>
    <row r="369" spans="1:5" x14ac:dyDescent="0.2">
      <c r="A369" t="b" cm="1">
        <f t="array" ref="A369">ISLOGICAL(2.5)</f>
        <v>0</v>
      </c>
      <c r="B369">
        <f t="shared" si="15"/>
        <v>-2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_xlfn.TEXTJOIN(";",FALSE,PRICEDISC("TRUE",39508,0.0525,"abc",D!A9))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_xlfn.CHISQ.TEST(D!U1:Y7,D!AM1:AN3)</f>
        <v>#N/A</v>
      </c>
      <c r="B371">
        <f t="shared" si="15"/>
        <v>7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t="e" cm="1">
        <f t="array" ref="A372">ODDLPRICE(DATE(2008,2,7),DATE(2008,6,15),DATE(2007,10,15),0.0375,"3",100,D!B7,D!A8)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SQRT(7)</f>
        <v>2.6457513110645907</v>
      </c>
      <c r="B373">
        <f t="shared" si="15"/>
        <v>0</v>
      </c>
      <c r="C373">
        <f t="shared" si="16"/>
        <v>2.6457513110645907</v>
      </c>
      <c r="D373" t="str">
        <f t="shared" si="17"/>
        <v/>
      </c>
      <c r="E373" t="s">
        <v>407</v>
      </c>
    </row>
    <row r="374" spans="1:5" x14ac:dyDescent="0.2">
      <c r="A374" cm="1">
        <f t="array" ref="A374">_xlfn.SKEW.P(D!B1:B8,FALSE,{1,2,3})</f>
        <v>1.381570170420017</v>
      </c>
      <c r="B374">
        <f t="shared" si="15"/>
        <v>0</v>
      </c>
      <c r="C374">
        <f t="shared" si="16"/>
        <v>1.381570170420017</v>
      </c>
      <c r="D374" t="str">
        <f t="shared" si="17"/>
        <v/>
      </c>
      <c r="E374" t="s">
        <v>408</v>
      </c>
    </row>
    <row r="375" spans="1:5" x14ac:dyDescent="0.2">
      <c r="A375" t="b" cm="1">
        <f t="array" ref="A375">ISBLANK(D!A10)</f>
        <v>0</v>
      </c>
      <c r="B375">
        <f t="shared" si="15"/>
        <v>-2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>
        <f t="array" ref="A376">DISC(43282,"TRUE",97.975,45351)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_xlfn.NUMBERVALUE("2.500,27",",",".")</f>
        <v>2500.27</v>
      </c>
      <c r="B377">
        <f t="shared" si="15"/>
        <v>0</v>
      </c>
      <c r="C377">
        <f t="shared" si="16"/>
        <v>2500.27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YIELD(DATE(2008,2,15),TBILLPRICE(39538,39600,D!A12),0.0575,95.04287,D!L4,"")</f>
        <v>#NUM!</v>
      </c>
      <c r="B378">
        <f t="shared" si="15"/>
        <v>6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str" cm="1">
        <f t="array" ref="A379">DOLLAR("1E2",0.25)</f>
        <v>$100</v>
      </c>
      <c r="B379">
        <f t="shared" si="15"/>
        <v>-3</v>
      </c>
      <c r="C379">
        <f t="shared" si="16"/>
        <v>0</v>
      </c>
      <c r="D379" t="str">
        <f t="shared" si="17"/>
        <v>$100</v>
      </c>
      <c r="E379" t="s">
        <v>413</v>
      </c>
    </row>
    <row r="380" spans="1:5" x14ac:dyDescent="0.2">
      <c r="A380" t="e" cm="1">
        <f t="array" ref="A380">INDEX(SUMX2PY2(D!B1:B8,D!B1:C8),1,1)</f>
        <v>#N/A</v>
      </c>
      <c r="B380">
        <f t="shared" si="15"/>
        <v>7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EXACT("","word")&lt;MINUTE(#DIV/0!)</f>
        <v>#DIV/0!</v>
      </c>
      <c r="B381">
        <f t="shared" si="15"/>
        <v>2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cm="1">
        <f t="array" ref="A382">ROWS(_xlfn.UNICODE("B"))</f>
        <v>1</v>
      </c>
      <c r="B382">
        <f t="shared" si="15"/>
        <v>0</v>
      </c>
      <c r="C382">
        <f t="shared" si="16"/>
        <v>1</v>
      </c>
      <c r="D382" t="str">
        <f t="shared" si="17"/>
        <v/>
      </c>
      <c r="E382" t="s">
        <v>416</v>
      </c>
    </row>
    <row r="383" spans="1:5" x14ac:dyDescent="0.2">
      <c r="A383" t="e" cm="1">
        <f t="array" ref="A383">NETWORKDAYS.INTL(38718,"")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cm="1">
        <f t="array" ref="A384">YEAR(45658)</f>
        <v>2025</v>
      </c>
      <c r="B384">
        <f t="shared" si="15"/>
        <v>0</v>
      </c>
      <c r="C384">
        <f t="shared" si="16"/>
        <v>2025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BESSELK(-1.5,-1)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str" cm="1">
        <f t="array" ref="A386">INDEX(RIGHT(1,5),1,1)</f>
        <v>1</v>
      </c>
      <c r="B386">
        <f t="shared" si="18"/>
        <v>-3</v>
      </c>
      <c r="C386">
        <f t="shared" si="19"/>
        <v>0</v>
      </c>
      <c r="D386" t="str">
        <f t="shared" si="20"/>
        <v>1</v>
      </c>
      <c r="E386" t="s">
        <v>420</v>
      </c>
    </row>
    <row r="387" spans="1:5" x14ac:dyDescent="0.2">
      <c r="A387" t="e" cm="1" vm="2">
        <f t="array" aca="1" ref="A387" ca="1">_xlfn.TEXTSPLIT("a,b;c",",",";")</f>
        <v>#VALUE!</v>
      </c>
      <c r="B387">
        <f t="shared" ca="1" si="18"/>
        <v>9</v>
      </c>
      <c r="C387">
        <f t="shared" ca="1" si="19"/>
        <v>0</v>
      </c>
      <c r="D387" t="str">
        <f t="shared" ca="1" si="20"/>
        <v/>
      </c>
      <c r="E387" t="s">
        <v>421</v>
      </c>
    </row>
    <row r="388" spans="1:5" x14ac:dyDescent="0.2">
      <c r="A388" t="e" cm="1">
        <f t="array" ref="A388">_xlfn.TEXTSPLIT(" "-"?",",",0)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_xlfn.QUARTILE.INC(D!AS1:AS8,YIELDMAT(DATE(2008,3,15),D!K1:K8,FALSE,D!A1,100.0123,D!A1))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VARPA(D!B1:B8)</f>
        <v>165.6708984375</v>
      </c>
      <c r="B390">
        <f t="shared" si="18"/>
        <v>0</v>
      </c>
      <c r="C390">
        <f t="shared" si="19"/>
        <v>165.6708984375</v>
      </c>
      <c r="D390" t="str">
        <f t="shared" si="20"/>
        <v/>
      </c>
      <c r="E390" t="s">
        <v>424</v>
      </c>
    </row>
    <row r="391" spans="1:5" x14ac:dyDescent="0.2">
      <c r="A391" cm="1">
        <f t="array" ref="A391">MONTH(40648)</f>
        <v>4</v>
      </c>
      <c r="B391">
        <f t="shared" si="18"/>
        <v>0</v>
      </c>
      <c r="C391">
        <f t="shared" si="19"/>
        <v>4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PRICE(DATE(2008,2,15),-1.5,0.0575," 2 ",100,2,0)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str" cm="1">
        <f t="array" ref="A393">_xlfn.IMCSCH("4+3i")</f>
        <v>-0.036275889628626-0.0051744731840194i</v>
      </c>
      <c r="B393">
        <f t="shared" si="18"/>
        <v>-3</v>
      </c>
      <c r="C393">
        <f t="shared" si="19"/>
        <v>0</v>
      </c>
      <c r="D393" t="str">
        <f t="shared" si="20"/>
        <v>-0.036275889628626-0.0051744731840194i</v>
      </c>
      <c r="E393" t="s">
        <v>427</v>
      </c>
    </row>
    <row r="394" spans="1:5" x14ac:dyDescent="0.2">
      <c r="A394" cm="1">
        <f t="array" ref="A394">ROWS(FREQUENCY(D!B1:B8,D!AT1:AT3))</f>
        <v>4</v>
      </c>
      <c r="B394">
        <f t="shared" si="18"/>
        <v>0</v>
      </c>
      <c r="C394">
        <f t="shared" si="19"/>
        <v>4</v>
      </c>
      <c r="D394" t="str">
        <f t="shared" si="20"/>
        <v/>
      </c>
      <c r="E394" t="s">
        <v>428</v>
      </c>
    </row>
    <row r="395" spans="1:5" x14ac:dyDescent="0.2">
      <c r="A395" cm="1">
        <f t="array" ref="A395">EOMONTH(40544,1)</f>
        <v>40602</v>
      </c>
      <c r="B395">
        <f t="shared" si="18"/>
        <v>0</v>
      </c>
      <c r="C395">
        <f t="shared" si="19"/>
        <v>40602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_xlfn.MINIFS(D!B3,D!N2,"&gt;4",D!G4,59)&gt;=_xlfn.RANK.EQ(D!L4,D!C1:C8)</f>
        <v>#N/A</v>
      </c>
      <c r="B396">
        <f t="shared" si="18"/>
        <v>7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SUMX2PY2({1},LOGEST(D!L1:N6,D!BC1:BC6))</f>
        <v>#REF!</v>
      </c>
      <c r="B397">
        <f t="shared" si="18"/>
        <v>4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DGET(D!A15,D!A9,D!B2:B3)</f>
        <v>#VALUE!</v>
      </c>
      <c r="B398">
        <f t="shared" si="18"/>
        <v>3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_xlfn.TAKE(D!E1:E8,-1)</f>
        <v>8</v>
      </c>
      <c r="B399">
        <f t="shared" si="18"/>
        <v>0</v>
      </c>
      <c r="C399">
        <f t="shared" si="19"/>
        <v>8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MDETERM(D!U1:Y7)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2026-10-07T05:15:39Z</dcterms:created>
  <dcterms:modified xsi:type="dcterms:W3CDTF">2026-10-07T05:15:40Z</dcterms:modified>
  <cp:category/>
</cp:coreProperties>
</file>