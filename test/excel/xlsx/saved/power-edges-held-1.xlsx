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DCD5029C-A71B-1143-B3DB-6BDC1009415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2" l="1" a="1"/>
  <c r="A28" i="2" s="1"/>
  <c r="D28" i="2" s="1"/>
  <c r="A27" i="2" a="1"/>
  <c r="A27" i="2"/>
  <c r="C27" i="2" s="1"/>
  <c r="A26" i="2" a="1"/>
  <c r="A26" i="2"/>
  <c r="C26" i="2" s="1"/>
  <c r="A25" i="2" a="1"/>
  <c r="A25" i="2" s="1"/>
  <c r="A24" i="2" a="1"/>
  <c r="A24" i="2"/>
  <c r="C24" i="2" s="1"/>
  <c r="A23" i="2" a="1"/>
  <c r="A23" i="2" s="1"/>
  <c r="A22" i="2" a="1"/>
  <c r="A22" i="2" s="1"/>
  <c r="B22" i="2" s="1"/>
  <c r="A21" i="2" a="1"/>
  <c r="A21" i="2" s="1"/>
  <c r="A20" i="2" a="1"/>
  <c r="A20" i="2" s="1"/>
  <c r="A19" i="2" a="1"/>
  <c r="A19" i="2"/>
  <c r="D19" i="2" s="1"/>
  <c r="A18" i="2" a="1"/>
  <c r="A18" i="2" s="1"/>
  <c r="A17" i="2" a="1"/>
  <c r="A17" i="2" s="1"/>
  <c r="D17" i="2" s="1"/>
  <c r="A16" i="2" a="1"/>
  <c r="A16" i="2"/>
  <c r="D16" i="2" s="1"/>
  <c r="A15" i="2" a="1"/>
  <c r="A15" i="2"/>
  <c r="B15" i="2" s="1"/>
  <c r="A14" i="2" a="1"/>
  <c r="A14" i="2"/>
  <c r="B14" i="2" s="1"/>
  <c r="A13" i="2" a="1"/>
  <c r="A13" i="2" s="1"/>
  <c r="C13" i="2" s="1"/>
  <c r="A12" i="2" a="1"/>
  <c r="A12" i="2" s="1"/>
  <c r="D12" i="2" s="1"/>
  <c r="A11" i="2" a="1"/>
  <c r="A11" i="2"/>
  <c r="C11" i="2" s="1"/>
  <c r="A10" i="2" a="1"/>
  <c r="A10" i="2"/>
  <c r="D10" i="2" s="1"/>
  <c r="A9" i="2" a="1"/>
  <c r="A9" i="2"/>
  <c r="D9" i="2" s="1"/>
  <c r="A8" i="2" a="1"/>
  <c r="A8" i="2"/>
  <c r="D8" i="2" s="1"/>
  <c r="A7" i="2" a="1"/>
  <c r="A7" i="2" s="1"/>
  <c r="A6" i="2" a="1"/>
  <c r="A6" i="2"/>
  <c r="B6" i="2" s="1"/>
  <c r="A5" i="2" a="1"/>
  <c r="A5" i="2"/>
  <c r="C5" i="2" s="1"/>
  <c r="A4" i="2" a="1"/>
  <c r="A4" i="2" s="1"/>
  <c r="C4" i="2" s="1"/>
  <c r="A3" i="2" a="1"/>
  <c r="A3" i="2"/>
  <c r="C3" i="2" s="1"/>
  <c r="A2" i="2" a="1"/>
  <c r="A2" i="2" s="1"/>
  <c r="A1" i="2" a="1"/>
  <c r="A1" i="2"/>
  <c r="C1" i="2" s="1"/>
  <c r="I15" i="1"/>
  <c r="A14" i="1"/>
  <c r="A13" i="1"/>
  <c r="AL10" i="1"/>
  <c r="A8" i="1"/>
  <c r="A7" i="1"/>
  <c r="E3" i="1"/>
  <c r="C21" i="2" l="1"/>
  <c r="D21" i="2"/>
  <c r="C14" i="2"/>
  <c r="D14" i="2"/>
  <c r="C16" i="2"/>
  <c r="D27" i="2"/>
  <c r="D5" i="2"/>
  <c r="B9" i="2"/>
  <c r="C9" i="2"/>
  <c r="D3" i="2"/>
  <c r="B27" i="2"/>
  <c r="C7" i="2"/>
  <c r="B7" i="2"/>
  <c r="D7" i="2"/>
  <c r="B25" i="2"/>
  <c r="C25" i="2"/>
  <c r="D25" i="2"/>
  <c r="B18" i="2"/>
  <c r="C18" i="2"/>
  <c r="D18" i="2"/>
  <c r="D23" i="2"/>
  <c r="C23" i="2"/>
  <c r="B23" i="2"/>
  <c r="D2" i="2"/>
  <c r="C2" i="2"/>
  <c r="B2" i="2"/>
  <c r="D20" i="2"/>
  <c r="C20" i="2"/>
  <c r="B20" i="2"/>
  <c r="C22" i="2"/>
  <c r="B11" i="2"/>
  <c r="B4" i="2"/>
  <c r="D11" i="2"/>
  <c r="D4" i="2"/>
  <c r="D22" i="2"/>
  <c r="B26" i="2"/>
  <c r="B1" i="2"/>
  <c r="D26" i="2"/>
  <c r="D1" i="2"/>
  <c r="C12" i="2"/>
  <c r="B8" i="2"/>
  <c r="C15" i="2"/>
  <c r="C8" i="2"/>
  <c r="D15" i="2"/>
  <c r="B19" i="2"/>
  <c r="B12" i="2"/>
  <c r="C19" i="2"/>
  <c r="B5" i="2"/>
  <c r="B16" i="2"/>
  <c r="B17" i="2"/>
  <c r="D6" i="2"/>
  <c r="B10" i="2"/>
  <c r="D24" i="2"/>
  <c r="B28" i="2"/>
  <c r="B24" i="2"/>
  <c r="C6" i="2"/>
  <c r="D13" i="2"/>
  <c r="C17" i="2"/>
  <c r="B3" i="2"/>
  <c r="C10" i="2"/>
  <c r="B21" i="2"/>
  <c r="C28" i="2"/>
  <c r="B1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<sst xmlns="http://schemas.openxmlformats.org/spreadsheetml/2006/main" count="87" uniqueCount="64">
  <si>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</si>
  <si>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</si>
  <si>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</si>
  <si>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</si>
  <si>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</si>
  <si>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</si>
  <si>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</si>
  <si>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</si>
  <si>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</si>
  <si>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</si>
  <si>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</si>
  <si>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</si>
  <si>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</si>
  <si>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</si>
  <si>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</si>
  <si>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</si>
  <si>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</si>
  <si>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</si>
  <si>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</si>
  <si>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</si>
  <si>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</si>
  <si>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</si>
  <si>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</si>
  <si>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</si>
  <si>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</si>
  <si>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</si>
  <si>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</si>
  <si>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</si>
  <si>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</si>
  <si>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</si>
  <si>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</si>
  <si>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</si>
  <si>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</si>
  <si>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</si>
  <si>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</si>
  <si>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tolerance#1</t>
  </si>
  <si>
    <t>tolerance#2</t>
  </si>
  <si>
    <t>tolerance#3</t>
  </si>
  <si>
    <t>tolerance#4</t>
  </si>
  <si>
    <t>tolerance#5</t>
  </si>
  <si>
    <t>tolerance#6</t>
  </si>
  <si>
    <t>tolerance#7</t>
  </si>
  <si>
    <t>tolerance#8</t>
  </si>
  <si>
    <t>tolerance#9</t>
  </si>
  <si>
    <t>tolerance#10</t>
  </si>
  <si>
    <t>tolerance#11</t>
  </si>
  <si>
    <t>tolerance#12</t>
  </si>
  <si>
    <t>tolerance#13</t>
  </si>
  <si>
    <t>tolerance#14</t>
  </si>
  <si>
    <t>tolerance#15</t>
  </si>
  <si>
    <t>tolerance#16</t>
  </si>
  <si>
    <t>tolerance#17</t>
  </si>
  <si>
    <t>tolerance#18</t>
  </si>
  <si>
    <t>tolerance#19</t>
  </si>
  <si>
    <t>tolerance#20</t>
  </si>
  <si>
    <t>tolerance#21</t>
  </si>
  <si>
    <t>size#1</t>
  </si>
  <si>
    <t>size#2</t>
  </si>
  <si>
    <t>size#3</t>
  </si>
  <si>
    <t>size#4</t>
  </si>
  <si>
    <t>size#5</t>
  </si>
  <si>
    <t>size#6</t>
  </si>
  <si>
    <t>size#7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</si>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</sst>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(-8)^(1/(3+0.000000000000002))</f>
        <v>-1.9999999999999989</v>
      </c>
      <c r="B1">
        <f t="shared" ref="B1:B28" si="0">IF(ISERROR(A1),ERROR.TYPE(A1),IF(ISNUMBER(A1),0,IF(ISLOGICAL(A1),IF(A1,-1,-2),IF(ISTEXT(A1),-3,-4))))</f>
        <v>0</v>
      </c>
      <c r="C1">
        <f t="shared" ref="C1:C28" si="1">IF(ISNUMBER(A1),A1,0)</f>
        <v>-1.9999999999999989</v>
      </c>
      <c r="D1" t="str">
        <f t="shared" ref="D1:D28" si="2">IF(ISTEXT(A1),A1,"")</f>
        <v/>
      </c>
      <c r="E1" t="s">
        <v>35</v>
      </c>
    </row>
    <row r="2" spans="1:5" x14ac:dyDescent="0.2">
      <c r="A2" cm="1">
        <f t="array" ref="A2">(-8)^(1/(3+0.000000000000004))</f>
        <v>-1.999999999999998</v>
      </c>
      <c r="B2">
        <f t="shared" si="0"/>
        <v>0</v>
      </c>
      <c r="C2">
        <f t="shared" si="1"/>
        <v>-1.999999999999998</v>
      </c>
      <c r="D2" t="str">
        <f t="shared" si="2"/>
        <v/>
      </c>
      <c r="E2" t="s">
        <v>36</v>
      </c>
    </row>
    <row r="3" spans="1:5" x14ac:dyDescent="0.2">
      <c r="A3" cm="1">
        <f t="array" ref="A3">(-8)^(1/(3+0.000000000000005))</f>
        <v>-1.9999999999999978</v>
      </c>
      <c r="B3">
        <f t="shared" si="0"/>
        <v>0</v>
      </c>
      <c r="C3">
        <f t="shared" si="1"/>
        <v>-1.9999999999999978</v>
      </c>
      <c r="D3" t="str">
        <f t="shared" si="2"/>
        <v/>
      </c>
      <c r="E3" t="s">
        <v>37</v>
      </c>
    </row>
    <row r="4" spans="1:5" x14ac:dyDescent="0.2">
      <c r="A4" t="e" cm="1">
        <f t="array" ref="A4">(-8)^(1/(3+0.000000000000006))</f>
        <v>#NUM!</v>
      </c>
      <c r="B4">
        <f t="shared" si="0"/>
        <v>6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t="e" cm="1">
        <f t="array" ref="A5">(-8)^(1/(3+0.000000000000008))</f>
        <v>#NUM!</v>
      </c>
      <c r="B5">
        <f t="shared" si="0"/>
        <v>6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t="e" cm="1">
        <f t="array" ref="A6">(-8)^(1/(3+0.00000000000001))</f>
        <v>#NUM!</v>
      </c>
      <c r="B6">
        <f t="shared" si="0"/>
        <v>6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t="e" cm="1">
        <f t="array" ref="A7">(-8)^(1/(3+0.000000000000012))</f>
        <v>#NUM!</v>
      </c>
      <c r="B7">
        <f t="shared" si="0"/>
        <v>6</v>
      </c>
      <c r="C7">
        <f t="shared" si="1"/>
        <v>0</v>
      </c>
      <c r="D7" t="str">
        <f t="shared" si="2"/>
        <v/>
      </c>
      <c r="E7" t="s">
        <v>41</v>
      </c>
    </row>
    <row r="8" spans="1:5" x14ac:dyDescent="0.2">
      <c r="A8" t="e" cm="1">
        <f t="array" ref="A8">(-8)^(1/(3+0.00000000000002))</f>
        <v>#NUM!</v>
      </c>
      <c r="B8">
        <f t="shared" si="0"/>
        <v>6</v>
      </c>
      <c r="C8">
        <f t="shared" si="1"/>
        <v>0</v>
      </c>
      <c r="D8" t="str">
        <f t="shared" si="2"/>
        <v/>
      </c>
      <c r="E8" t="s">
        <v>42</v>
      </c>
    </row>
    <row r="9" spans="1:5" x14ac:dyDescent="0.2">
      <c r="A9" cm="1">
        <f t="array" ref="A9">(-8)^(1/(3-0.000000000000004))</f>
        <v>-2.0000000000000018</v>
      </c>
      <c r="B9">
        <f t="shared" si="0"/>
        <v>0</v>
      </c>
      <c r="C9">
        <f t="shared" si="1"/>
        <v>-2.0000000000000018</v>
      </c>
      <c r="D9" t="str">
        <f t="shared" si="2"/>
        <v/>
      </c>
      <c r="E9" t="s">
        <v>43</v>
      </c>
    </row>
    <row r="10" spans="1:5" x14ac:dyDescent="0.2">
      <c r="A10" t="e" cm="1">
        <f t="array" ref="A10">(-8)^(1/(3-0.000000000000006))</f>
        <v>#NUM!</v>
      </c>
      <c r="B10">
        <f t="shared" si="0"/>
        <v>6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t="e" cm="1">
        <f t="array" ref="A11">(-8)^(1/(3-0.000000000000008))</f>
        <v>#NUM!</v>
      </c>
      <c r="B11">
        <f t="shared" si="0"/>
        <v>6</v>
      </c>
      <c r="C11">
        <f t="shared" si="1"/>
        <v>0</v>
      </c>
      <c r="D11" t="str">
        <f t="shared" si="2"/>
        <v/>
      </c>
      <c r="E11" t="s">
        <v>45</v>
      </c>
    </row>
    <row r="12" spans="1:5" x14ac:dyDescent="0.2">
      <c r="A12" t="e" cm="1">
        <f t="array" ref="A12">(-8)^(1/(3-0.000000000000012))</f>
        <v>#NUM!</v>
      </c>
      <c r="B12">
        <f t="shared" si="0"/>
        <v>6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cm="1">
        <f t="array" ref="A13">(-2)^(1/(9+0.000000000000004))</f>
        <v>-1.0800597388923061</v>
      </c>
      <c r="B13">
        <f t="shared" si="0"/>
        <v>0</v>
      </c>
      <c r="C13">
        <f t="shared" si="1"/>
        <v>-1.0800597388923061</v>
      </c>
      <c r="D13" t="str">
        <f t="shared" si="2"/>
        <v/>
      </c>
      <c r="E13" t="s">
        <v>47</v>
      </c>
    </row>
    <row r="14" spans="1:5" x14ac:dyDescent="0.2">
      <c r="A14" t="e" cm="1">
        <f t="array" ref="A14">(-2)^(1/(9+0.00000000000001))</f>
        <v>#NUM!</v>
      </c>
      <c r="B14">
        <f t="shared" si="0"/>
        <v>6</v>
      </c>
      <c r="C14">
        <f t="shared" si="1"/>
        <v>0</v>
      </c>
      <c r="D14" t="str">
        <f t="shared" si="2"/>
        <v/>
      </c>
      <c r="E14" t="s">
        <v>48</v>
      </c>
    </row>
    <row r="15" spans="1:5" x14ac:dyDescent="0.2">
      <c r="A15" t="e" cm="1">
        <f t="array" ref="A15">(-2)^(1/(9+0.00000000000002))</f>
        <v>#NUM!</v>
      </c>
      <c r="B15">
        <f t="shared" si="0"/>
        <v>6</v>
      </c>
      <c r="C15">
        <f t="shared" si="1"/>
        <v>0</v>
      </c>
      <c r="D15" t="str">
        <f t="shared" si="2"/>
        <v/>
      </c>
      <c r="E15" t="s">
        <v>49</v>
      </c>
    </row>
    <row r="16" spans="1:5" x14ac:dyDescent="0.2">
      <c r="A16" t="e" cm="1">
        <f t="array" ref="A16">(-2)^(1/(9+0.00000000000003))</f>
        <v>#NUM!</v>
      </c>
      <c r="B16">
        <f t="shared" si="0"/>
        <v>6</v>
      </c>
      <c r="C16">
        <f t="shared" si="1"/>
        <v>0</v>
      </c>
      <c r="D16" t="str">
        <f t="shared" si="2"/>
        <v/>
      </c>
      <c r="E16" t="s">
        <v>50</v>
      </c>
    </row>
    <row r="17" spans="1:5" x14ac:dyDescent="0.2">
      <c r="A17" t="e" cm="1">
        <f t="array" ref="A17">(-2)^(1/(9+0.00000000000004))</f>
        <v>#NUM!</v>
      </c>
      <c r="B17">
        <f t="shared" si="0"/>
        <v>6</v>
      </c>
      <c r="C17">
        <f t="shared" si="1"/>
        <v>0</v>
      </c>
      <c r="D17" t="str">
        <f t="shared" si="2"/>
        <v/>
      </c>
      <c r="E17" t="s">
        <v>51</v>
      </c>
    </row>
    <row r="18" spans="1:5" x14ac:dyDescent="0.2">
      <c r="A18" cm="1">
        <f t="array" ref="A18">(-2)^(1/(101+0.0000000000002))</f>
        <v>-1.0068864466457506</v>
      </c>
      <c r="B18">
        <f t="shared" si="0"/>
        <v>0</v>
      </c>
      <c r="C18">
        <f t="shared" si="1"/>
        <v>-1.0068864466457506</v>
      </c>
      <c r="D18" t="str">
        <f t="shared" si="2"/>
        <v/>
      </c>
      <c r="E18" t="s">
        <v>52</v>
      </c>
    </row>
    <row r="19" spans="1:5" x14ac:dyDescent="0.2">
      <c r="A19" cm="1">
        <f t="array" ref="A19">(-2)^(1/(101+0.0000000000003))</f>
        <v>-1.0068864466457506</v>
      </c>
      <c r="B19">
        <f t="shared" si="0"/>
        <v>0</v>
      </c>
      <c r="C19">
        <f t="shared" si="1"/>
        <v>-1.0068864466457506</v>
      </c>
      <c r="D19" t="str">
        <f t="shared" si="2"/>
        <v/>
      </c>
      <c r="E19" t="s">
        <v>53</v>
      </c>
    </row>
    <row r="20" spans="1:5" x14ac:dyDescent="0.2">
      <c r="A20" cm="1">
        <f t="array" ref="A20">(-2)^(1/(101+0.0000000000004))</f>
        <v>-1.0068864466457506</v>
      </c>
      <c r="B20">
        <f t="shared" si="0"/>
        <v>0</v>
      </c>
      <c r="C20">
        <f t="shared" si="1"/>
        <v>-1.0068864466457506</v>
      </c>
      <c r="D20" t="str">
        <f t="shared" si="2"/>
        <v/>
      </c>
      <c r="E20" t="s">
        <v>54</v>
      </c>
    </row>
    <row r="21" spans="1:5" x14ac:dyDescent="0.2">
      <c r="A21" t="e" cm="1">
        <f t="array" ref="A21">(-2)^(1/(101+0.0000000000006))</f>
        <v>#NUM!</v>
      </c>
      <c r="B21">
        <f t="shared" si="0"/>
        <v>6</v>
      </c>
      <c r="C21">
        <f t="shared" si="1"/>
        <v>0</v>
      </c>
      <c r="D21" t="str">
        <f t="shared" si="2"/>
        <v/>
      </c>
      <c r="E21" t="s">
        <v>55</v>
      </c>
    </row>
    <row r="22" spans="1:5" x14ac:dyDescent="0.2">
      <c r="A22" cm="1">
        <f t="array" ref="A22">(-2)^(1/99999999)</f>
        <v>-1.0000000069314718</v>
      </c>
      <c r="B22">
        <f t="shared" si="0"/>
        <v>0</v>
      </c>
      <c r="C22">
        <f t="shared" si="1"/>
        <v>-1.0000000069314718</v>
      </c>
      <c r="D22" t="str">
        <f t="shared" si="2"/>
        <v/>
      </c>
      <c r="E22" t="s">
        <v>56</v>
      </c>
    </row>
    <row r="23" spans="1:5" x14ac:dyDescent="0.2">
      <c r="A23" cm="1">
        <f t="array" ref="A23">(-2)^(1/999999999)</f>
        <v>-1.0000000006931471</v>
      </c>
      <c r="B23">
        <f t="shared" si="0"/>
        <v>0</v>
      </c>
      <c r="C23">
        <f t="shared" si="1"/>
        <v>-1.0000000006931471</v>
      </c>
      <c r="D23" t="str">
        <f t="shared" si="2"/>
        <v/>
      </c>
      <c r="E23" t="s">
        <v>57</v>
      </c>
    </row>
    <row r="24" spans="1:5" x14ac:dyDescent="0.2">
      <c r="A24" t="e" cm="1">
        <f t="array" ref="A24">(-2)^(1/2147483647)</f>
        <v>#NUM!</v>
      </c>
      <c r="B24">
        <f t="shared" si="0"/>
        <v>6</v>
      </c>
      <c r="C24">
        <f t="shared" si="1"/>
        <v>0</v>
      </c>
      <c r="D24" t="str">
        <f t="shared" si="2"/>
        <v/>
      </c>
      <c r="E24" t="s">
        <v>58</v>
      </c>
    </row>
    <row r="25" spans="1:5" x14ac:dyDescent="0.2">
      <c r="A25" t="e" cm="1">
        <f t="array" ref="A25">(-2)^(1/2147483649)</f>
        <v>#NUM!</v>
      </c>
      <c r="B25">
        <f t="shared" si="0"/>
        <v>6</v>
      </c>
      <c r="C25">
        <f t="shared" si="1"/>
        <v>0</v>
      </c>
      <c r="D25" t="str">
        <f t="shared" si="2"/>
        <v/>
      </c>
      <c r="E25" t="s">
        <v>59</v>
      </c>
    </row>
    <row r="26" spans="1:5" x14ac:dyDescent="0.2">
      <c r="A26" t="e" cm="1">
        <f t="array" ref="A26">(-2)^(1/4294967297)</f>
        <v>#NUM!</v>
      </c>
      <c r="B26">
        <f t="shared" si="0"/>
        <v>6</v>
      </c>
      <c r="C26">
        <f t="shared" si="1"/>
        <v>0</v>
      </c>
      <c r="D26" t="str">
        <f t="shared" si="2"/>
        <v/>
      </c>
      <c r="E26" t="s">
        <v>60</v>
      </c>
    </row>
    <row r="27" spans="1:5" x14ac:dyDescent="0.2">
      <c r="A27" t="e" cm="1">
        <f t="array" ref="A27">(-2)^(1/99999999999)</f>
        <v>#NUM!</v>
      </c>
      <c r="B27">
        <f t="shared" si="0"/>
        <v>6</v>
      </c>
      <c r="C27">
        <f t="shared" si="1"/>
        <v>0</v>
      </c>
      <c r="D27" t="str">
        <f t="shared" si="2"/>
        <v/>
      </c>
      <c r="E27" t="s">
        <v>61</v>
      </c>
    </row>
    <row r="28" spans="1:5" x14ac:dyDescent="0.2">
      <c r="A28" t="e" cm="1">
        <f t="array" ref="A28">(-2)^(-1/2147483647)</f>
        <v>#NUM!</v>
      </c>
      <c r="B28">
        <f t="shared" si="0"/>
        <v>6</v>
      </c>
      <c r="C28">
        <f t="shared" si="1"/>
        <v>0</v>
      </c>
      <c r="D28" t="str">
        <f t="shared" si="2"/>
        <v/>
      </c>
      <c r="E28" t="s">
        <v>62</v>
      </c>
    </row>
    <row r="29" spans="1:5" x14ac:dyDescent="0.2">
      <c r="A29" t="s">
        <v>63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2026-10-12T19:27:46Z</dcterms:created>
  <dcterms:modified xsi:type="dcterms:W3CDTF">2026-10-12T19:27:46Z</dcterms:modified>
  <cp:category/>
</cp:coreProperties>
</file>