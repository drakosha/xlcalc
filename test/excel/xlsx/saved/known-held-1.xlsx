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4"/>
  <workbookPr filterPrivacy="1"/>
  <xr:revisionPtr revIDLastSave="0" documentId="8_{C9FAA133-3AC5-1940-8BFF-72285037F856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" sheetId="1" r:id="rId1"/>
    <sheet name="C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7" i="2" l="1" a="1"/>
  <c r="A37" i="2" s="1"/>
  <c r="A36" i="2" a="1"/>
  <c r="A36" i="2" s="1"/>
  <c r="A35" i="2" a="1"/>
  <c r="A35" i="2" s="1"/>
  <c r="D35" i="2" s="1"/>
  <c r="A34" i="2" a="1"/>
  <c r="A34" i="2"/>
  <c r="D34" i="2" s="1"/>
  <c r="A33" i="2" a="1"/>
  <c r="A33" i="2" s="1"/>
  <c r="A32" i="2" a="1"/>
  <c r="A32" i="2" s="1"/>
  <c r="A31" i="2" a="1"/>
  <c r="A31" i="2" s="1"/>
  <c r="D31" i="2" s="1"/>
  <c r="A30" i="2" a="1"/>
  <c r="A30" i="2"/>
  <c r="C30" i="2" s="1"/>
  <c r="A29" i="2" a="1"/>
  <c r="A29" i="2" s="1"/>
  <c r="A28" i="2" a="1"/>
  <c r="A28" i="2" s="1"/>
  <c r="A27" i="2" a="1"/>
  <c r="A27" i="2" s="1"/>
  <c r="A26" i="2" a="1"/>
  <c r="A26" i="2" s="1"/>
  <c r="A25" i="2" a="1"/>
  <c r="A25" i="2" s="1"/>
  <c r="A24" i="2" a="1"/>
  <c r="A24" i="2" s="1"/>
  <c r="C24" i="2" s="1"/>
  <c r="A23" i="2" a="1"/>
  <c r="A23" i="2" s="1"/>
  <c r="A22" i="2" a="1"/>
  <c r="A22" i="2" s="1"/>
  <c r="C22" i="2" s="1"/>
  <c r="A21" i="2" a="1"/>
  <c r="A21" i="2" s="1"/>
  <c r="A20" i="2" a="1"/>
  <c r="A20" i="2"/>
  <c r="C20" i="2" s="1"/>
  <c r="A19" i="2" a="1"/>
  <c r="A19" i="2" s="1"/>
  <c r="D19" i="2" s="1"/>
  <c r="A18" i="2" a="1"/>
  <c r="A18" i="2" s="1"/>
  <c r="A17" i="2" a="1"/>
  <c r="A17" i="2" s="1"/>
  <c r="C17" i="2" s="1"/>
  <c r="A16" i="2" a="1"/>
  <c r="A16" i="2"/>
  <c r="D16" i="2" s="1"/>
  <c r="A15" i="2" a="1"/>
  <c r="A15" i="2" s="1"/>
  <c r="D14" i="2"/>
  <c r="A14" i="2" a="1"/>
  <c r="A14" i="2"/>
  <c r="C14" i="2" s="1"/>
  <c r="A13" i="2" a="1"/>
  <c r="A13" i="2" s="1"/>
  <c r="A12" i="2" a="1"/>
  <c r="A12" i="2"/>
  <c r="C12" i="2" s="1"/>
  <c r="A11" i="2" a="1"/>
  <c r="A11" i="2" s="1"/>
  <c r="A10" i="2" a="1"/>
  <c r="A10" i="2" s="1"/>
  <c r="A9" i="2" a="1"/>
  <c r="A9" i="2" s="1"/>
  <c r="A8" i="2" a="1"/>
  <c r="A8" i="2" s="1"/>
  <c r="A7" i="2" a="1"/>
  <c r="A7" i="2" s="1"/>
  <c r="A6" i="2" a="1"/>
  <c r="A6" i="2" s="1"/>
  <c r="A5" i="2" a="1"/>
  <c r="A5" i="2" s="1"/>
  <c r="A4" i="2" a="1"/>
  <c r="A4" i="2" s="1"/>
  <c r="A3" i="2" a="1"/>
  <c r="A3" i="2" s="1"/>
  <c r="A2" i="2" a="1"/>
  <c r="A2" i="2" s="1"/>
  <c r="A1" i="2" a="1"/>
  <c r="A1" i="2" s="1"/>
  <c r="I15" i="1"/>
  <c r="A14" i="1"/>
  <c r="A13" i="1"/>
  <c r="AL10" i="1"/>
  <c r="A8" i="1"/>
  <c r="A7" i="1"/>
  <c r="E3" i="1"/>
  <c r="B23" i="2" l="1"/>
  <c r="D23" i="2"/>
  <c r="C23" i="2"/>
  <c r="B25" i="2"/>
  <c r="D25" i="2"/>
  <c r="C25" i="2"/>
  <c r="D30" i="2"/>
  <c r="D12" i="2"/>
  <c r="B16" i="2"/>
  <c r="B34" i="2"/>
  <c r="C16" i="2"/>
  <c r="C34" i="2"/>
  <c r="D28" i="2"/>
  <c r="C28" i="2"/>
  <c r="B28" i="2"/>
  <c r="C29" i="2"/>
  <c r="D29" i="2"/>
  <c r="B29" i="2"/>
  <c r="D21" i="2"/>
  <c r="C21" i="2"/>
  <c r="B21" i="2"/>
  <c r="D13" i="2"/>
  <c r="B13" i="2"/>
  <c r="C13" i="2"/>
  <c r="D33" i="2"/>
  <c r="C33" i="2"/>
  <c r="B33" i="2"/>
  <c r="D11" i="2"/>
  <c r="C11" i="2"/>
  <c r="B11" i="2"/>
  <c r="D8" i="2"/>
  <c r="C8" i="2"/>
  <c r="B8" i="2"/>
  <c r="D9" i="2"/>
  <c r="C9" i="2"/>
  <c r="B9" i="2"/>
  <c r="D18" i="2"/>
  <c r="C18" i="2"/>
  <c r="B18" i="2"/>
  <c r="D26" i="2"/>
  <c r="C26" i="2"/>
  <c r="B26" i="2"/>
  <c r="D36" i="2"/>
  <c r="C36" i="2"/>
  <c r="B36" i="2"/>
  <c r="D32" i="2"/>
  <c r="C32" i="2"/>
  <c r="B32" i="2"/>
  <c r="D1" i="2"/>
  <c r="C1" i="2"/>
  <c r="B1" i="2"/>
  <c r="B15" i="2"/>
  <c r="D15" i="2"/>
  <c r="C15" i="2"/>
  <c r="D2" i="2"/>
  <c r="B2" i="2"/>
  <c r="C2" i="2"/>
  <c r="D3" i="2"/>
  <c r="C3" i="2"/>
  <c r="B3" i="2"/>
  <c r="D4" i="2"/>
  <c r="C4" i="2"/>
  <c r="B4" i="2"/>
  <c r="B5" i="2"/>
  <c r="D5" i="2"/>
  <c r="C5" i="2"/>
  <c r="D6" i="2"/>
  <c r="C6" i="2"/>
  <c r="B6" i="2"/>
  <c r="D7" i="2"/>
  <c r="C7" i="2"/>
  <c r="B7" i="2"/>
  <c r="B10" i="2"/>
  <c r="D10" i="2"/>
  <c r="C10" i="2"/>
  <c r="B27" i="2"/>
  <c r="D27" i="2"/>
  <c r="C27" i="2"/>
  <c r="D37" i="2"/>
  <c r="C37" i="2"/>
  <c r="B37" i="2"/>
  <c r="B20" i="2"/>
  <c r="B31" i="2"/>
  <c r="D20" i="2"/>
  <c r="B24" i="2"/>
  <c r="C31" i="2"/>
  <c r="D24" i="2"/>
  <c r="C35" i="2"/>
  <c r="B17" i="2"/>
  <c r="B35" i="2"/>
  <c r="D17" i="2"/>
  <c r="B14" i="2"/>
  <c r="B22" i="2"/>
  <c r="D22" i="2"/>
  <c r="B19" i="2"/>
  <c r="B12" i="2"/>
  <c r="C19" i="2"/>
  <c r="B30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<sst xmlns="http://schemas.openxmlformats.org/spreadsheetml/2006/main" count="96" uniqueCount="73">
  <si>
    <t>Аренда</t>
  </si>
  <si>
    <t>one</t>
  </si>
  <si>
    <t>Tree</t>
  </si>
  <si>
    <t>Height</t>
  </si>
  <si>
    <t>Age</t>
  </si>
  <si>
    <t>Yield</t>
  </si>
  <si>
    <t>Profit</t>
  </si>
  <si>
    <t>a</t>
  </si>
  <si>
    <t>2</t>
  </si>
  <si>
    <t>аренда</t>
  </si>
  <si>
    <t>two</t>
  </si>
  <si>
    <t>Apple</t>
  </si>
  <si>
    <t>&gt;10</t>
  </si>
  <si>
    <t>Pear</t>
  </si>
  <si>
    <t>a*</t>
  </si>
  <si>
    <t>Cherry</t>
  </si>
  <si>
    <t>Plum</t>
  </si>
  <si>
    <t>abc</t>
  </si>
  <si>
    <t>Арендй</t>
  </si>
  <si>
    <t>three</t>
  </si>
  <si>
    <t>Б</t>
  </si>
  <si>
    <t>Арeнда*</t>
  </si>
  <si>
    <t>five</t>
  </si>
  <si>
    <t>x*y</t>
  </si>
  <si>
    <t>eight</t>
  </si>
  <si>
    <t>35</t>
  </si>
  <si>
    <t>A</t>
  </si>
  <si>
    <t>Чай</t>
  </si>
  <si>
    <t>thirteen</t>
  </si>
  <si>
    <t>Чаи</t>
  </si>
  <si>
    <t>3000</t>
  </si>
  <si>
    <t>b</t>
  </si>
  <si>
    <t>Привет Мир</t>
  </si>
  <si>
    <t>1.5</t>
  </si>
  <si>
    <t>1,5</t>
  </si>
  <si>
    <t>SORTBY#1</t>
  </si>
  <si>
    <t>SORTBY#2</t>
  </si>
  <si>
    <t>SORTBY#3</t>
  </si>
  <si>
    <t>SORTBY#4</t>
  </si>
  <si>
    <t>SORTBY#5</t>
  </si>
  <si>
    <t>SORTBY#6</t>
  </si>
  <si>
    <t>SORTBY#7</t>
  </si>
  <si>
    <t>SORTBY#8</t>
  </si>
  <si>
    <t>SORTBY#9</t>
  </si>
  <si>
    <t>SORTBY#10</t>
  </si>
  <si>
    <t>LOOKUP#1</t>
  </si>
  <si>
    <t>LOOKUP#2</t>
  </si>
  <si>
    <t>LOOKUP#3</t>
  </si>
  <si>
    <t>LOOKUP#4</t>
  </si>
  <si>
    <t>LOOKUP#5</t>
  </si>
  <si>
    <t>LOOKUP#6</t>
  </si>
  <si>
    <t>LOOKUP#7</t>
  </si>
  <si>
    <t>LOOKUP#8</t>
  </si>
  <si>
    <t>LOOKUP#9</t>
  </si>
  <si>
    <t>LOOKUP#10</t>
  </si>
  <si>
    <t>IFS#1</t>
  </si>
  <si>
    <t>IFS#2</t>
  </si>
  <si>
    <t>IFS#3</t>
  </si>
  <si>
    <t>IFS#4</t>
  </si>
  <si>
    <t>IFS#5</t>
  </si>
  <si>
    <t>IFS#6</t>
  </si>
  <si>
    <t>IFS#7</t>
  </si>
  <si>
    <t>IFS#8</t>
  </si>
  <si>
    <t>IFS#9</t>
  </si>
  <si>
    <t>IFS#10</t>
  </si>
  <si>
    <t>IFS#11</t>
  </si>
  <si>
    <t>SWITCH#1</t>
  </si>
  <si>
    <t>SWITCH#2</t>
  </si>
  <si>
    <t>SWITCH#3</t>
  </si>
  <si>
    <t>IF#1</t>
  </si>
  <si>
    <t>IF#2</t>
  </si>
  <si>
    <t>CHOOSE#1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</si>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</sst>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17"/>
  <sheetViews>
    <sheetView tabSelected="1" workbookViewId="0"/>
  </sheetViews>
  <sheetFormatPr baseColWidth="10" defaultColWidth="8.83203125" defaultRowHeight="15" x14ac:dyDescent="0.2"/>
  <sheetData>
    <row r="1" spans="1:60" x14ac:dyDescent="0.2">
      <c r="B1">
        <v>4</v>
      </c>
      <c r="C1">
        <v>2</v>
      </c>
      <c r="D1">
        <v>1</v>
      </c>
      <c r="E1">
        <v>1</v>
      </c>
      <c r="F1" t="s">
        <v>0</v>
      </c>
      <c r="G1">
        <v>1</v>
      </c>
      <c r="H1" s="1">
        <v>45657</v>
      </c>
      <c r="I1">
        <v>-10000</v>
      </c>
      <c r="J1">
        <v>-10000</v>
      </c>
      <c r="L1">
        <v>1</v>
      </c>
      <c r="M1" t="s">
        <v>1</v>
      </c>
      <c r="N1">
        <v>10</v>
      </c>
      <c r="P1">
        <v>1</v>
      </c>
      <c r="Q1">
        <v>2</v>
      </c>
      <c r="R1">
        <v>5</v>
      </c>
      <c r="S1">
        <v>6</v>
      </c>
      <c r="U1" t="s">
        <v>2</v>
      </c>
      <c r="V1" t="s">
        <v>3</v>
      </c>
      <c r="W1" t="s">
        <v>4</v>
      </c>
      <c r="X1" t="s">
        <v>5</v>
      </c>
      <c r="Y1" t="s">
        <v>6</v>
      </c>
      <c r="AA1" t="s">
        <v>2</v>
      </c>
      <c r="AB1" t="s">
        <v>3</v>
      </c>
      <c r="AC1" t="s">
        <v>2</v>
      </c>
      <c r="AD1" t="s">
        <v>2</v>
      </c>
      <c r="AE1" t="s">
        <v>2</v>
      </c>
      <c r="AF1" t="s">
        <v>2</v>
      </c>
      <c r="AG1" t="s">
        <v>2</v>
      </c>
      <c r="AH1">
        <v>0</v>
      </c>
      <c r="AI1">
        <v>0.2</v>
      </c>
      <c r="AK1">
        <v>58</v>
      </c>
      <c r="AL1">
        <v>35</v>
      </c>
      <c r="AM1">
        <v>45.35</v>
      </c>
      <c r="AN1">
        <v>47.65</v>
      </c>
      <c r="AP1" s="1">
        <v>41235</v>
      </c>
      <c r="AQ1">
        <v>0.09</v>
      </c>
      <c r="AR1">
        <v>1</v>
      </c>
      <c r="AS1">
        <v>1</v>
      </c>
      <c r="AT1">
        <v>0</v>
      </c>
      <c r="AU1" s="1">
        <v>39448</v>
      </c>
      <c r="AV1">
        <v>4</v>
      </c>
      <c r="AW1" t="b">
        <v>1</v>
      </c>
      <c r="AX1" t="b">
        <v>1</v>
      </c>
      <c r="AY1">
        <v>3</v>
      </c>
      <c r="AZ1">
        <v>1</v>
      </c>
      <c r="BA1">
        <v>6</v>
      </c>
      <c r="BB1">
        <v>33100</v>
      </c>
      <c r="BC1">
        <v>11</v>
      </c>
      <c r="BD1">
        <v>17</v>
      </c>
      <c r="BE1">
        <v>89</v>
      </c>
      <c r="BF1">
        <v>1</v>
      </c>
      <c r="BG1">
        <v>1</v>
      </c>
      <c r="BH1" t="s">
        <v>7</v>
      </c>
    </row>
    <row r="2" spans="1:60" x14ac:dyDescent="0.2">
      <c r="A2" t="s">
        <v>8</v>
      </c>
      <c r="B2">
        <v>8</v>
      </c>
      <c r="C2">
        <v>7</v>
      </c>
      <c r="D2" t="s">
        <v>8</v>
      </c>
      <c r="E2">
        <v>2</v>
      </c>
      <c r="F2" t="s">
        <v>9</v>
      </c>
      <c r="G2">
        <v>2</v>
      </c>
      <c r="H2" s="1">
        <v>45658</v>
      </c>
      <c r="I2">
        <v>3000</v>
      </c>
      <c r="J2">
        <v>2750</v>
      </c>
      <c r="L2">
        <v>2</v>
      </c>
      <c r="M2" t="s">
        <v>10</v>
      </c>
      <c r="N2">
        <v>20</v>
      </c>
      <c r="P2">
        <v>3</v>
      </c>
      <c r="Q2">
        <v>4</v>
      </c>
      <c r="R2">
        <v>7</v>
      </c>
      <c r="S2">
        <v>8</v>
      </c>
      <c r="U2" t="s">
        <v>11</v>
      </c>
      <c r="V2">
        <v>18</v>
      </c>
      <c r="W2">
        <v>20</v>
      </c>
      <c r="X2">
        <v>14</v>
      </c>
      <c r="Y2">
        <v>105</v>
      </c>
      <c r="AA2" t="s">
        <v>11</v>
      </c>
      <c r="AB2" t="s">
        <v>12</v>
      </c>
      <c r="AC2" t="s">
        <v>13</v>
      </c>
      <c r="AD2" t="s">
        <v>14</v>
      </c>
      <c r="AE2" t="s">
        <v>15</v>
      </c>
      <c r="AF2" t="s">
        <v>16</v>
      </c>
      <c r="AH2">
        <v>1</v>
      </c>
      <c r="AI2">
        <v>0.3</v>
      </c>
      <c r="AK2">
        <v>11</v>
      </c>
      <c r="AL2">
        <v>25</v>
      </c>
      <c r="AM2">
        <v>17.559999999999999</v>
      </c>
      <c r="AN2">
        <v>18.440000000000001</v>
      </c>
      <c r="AP2" s="1">
        <v>41247</v>
      </c>
      <c r="AQ2">
        <v>0.11</v>
      </c>
      <c r="AR2">
        <v>-0.5</v>
      </c>
      <c r="AS2">
        <v>2</v>
      </c>
      <c r="AT2">
        <v>10</v>
      </c>
      <c r="AU2" s="1">
        <v>39508</v>
      </c>
      <c r="AV2">
        <v>5</v>
      </c>
      <c r="AW2" t="b">
        <v>0</v>
      </c>
      <c r="AX2" t="b">
        <v>1</v>
      </c>
      <c r="AY2">
        <v>5</v>
      </c>
      <c r="AZ2">
        <v>2</v>
      </c>
      <c r="BA2">
        <v>7</v>
      </c>
      <c r="BB2">
        <v>47300</v>
      </c>
      <c r="BC2">
        <v>12</v>
      </c>
      <c r="BD2">
        <v>18</v>
      </c>
      <c r="BE2">
        <v>88</v>
      </c>
      <c r="BF2">
        <v>2</v>
      </c>
      <c r="BG2">
        <v>2</v>
      </c>
    </row>
    <row r="3" spans="1:60" x14ac:dyDescent="0.2">
      <c r="A3" t="s">
        <v>17</v>
      </c>
      <c r="B3">
        <v>15</v>
      </c>
      <c r="C3">
        <v>11</v>
      </c>
      <c r="D3" t="s">
        <v>17</v>
      </c>
      <c r="E3" t="e">
        <f>1/0</f>
        <v>#DIV/0!</v>
      </c>
      <c r="F3" t="s">
        <v>18</v>
      </c>
      <c r="G3">
        <v>4</v>
      </c>
      <c r="H3" s="1">
        <v>45659</v>
      </c>
      <c r="I3">
        <v>4200</v>
      </c>
      <c r="J3">
        <v>4250</v>
      </c>
      <c r="L3">
        <v>3</v>
      </c>
      <c r="M3" t="s">
        <v>19</v>
      </c>
      <c r="N3">
        <v>30</v>
      </c>
      <c r="U3" t="s">
        <v>13</v>
      </c>
      <c r="V3">
        <v>12</v>
      </c>
      <c r="W3">
        <v>12</v>
      </c>
      <c r="X3">
        <v>10</v>
      </c>
      <c r="Y3">
        <v>96</v>
      </c>
      <c r="AH3">
        <v>2</v>
      </c>
      <c r="AI3">
        <v>0.1</v>
      </c>
      <c r="AK3">
        <v>10</v>
      </c>
      <c r="AL3">
        <v>23</v>
      </c>
      <c r="AM3">
        <v>16.09</v>
      </c>
      <c r="AN3">
        <v>16.91</v>
      </c>
      <c r="AP3" s="1">
        <v>41295</v>
      </c>
      <c r="AQ3">
        <v>0.1</v>
      </c>
      <c r="AR3">
        <v>4.1666666666666699E-2</v>
      </c>
      <c r="AS3">
        <v>2</v>
      </c>
      <c r="AT3">
        <v>20</v>
      </c>
      <c r="AU3" s="1">
        <v>39751</v>
      </c>
      <c r="AV3">
        <v>8</v>
      </c>
      <c r="AW3" t="s">
        <v>17</v>
      </c>
      <c r="AX3">
        <v>1</v>
      </c>
      <c r="AY3">
        <v>7</v>
      </c>
      <c r="AZ3">
        <v>3</v>
      </c>
      <c r="BB3">
        <v>69000</v>
      </c>
      <c r="BC3">
        <v>13</v>
      </c>
      <c r="BE3">
        <v>92</v>
      </c>
      <c r="BF3">
        <v>2</v>
      </c>
      <c r="BG3">
        <v>3</v>
      </c>
      <c r="BH3" t="s">
        <v>20</v>
      </c>
    </row>
    <row r="4" spans="1:60" x14ac:dyDescent="0.2">
      <c r="A4" t="b">
        <v>1</v>
      </c>
      <c r="B4">
        <v>16</v>
      </c>
      <c r="C4">
        <v>19</v>
      </c>
      <c r="D4" t="b">
        <v>1</v>
      </c>
      <c r="E4">
        <v>4</v>
      </c>
      <c r="F4" t="s">
        <v>21</v>
      </c>
      <c r="G4">
        <v>8</v>
      </c>
      <c r="H4" s="1">
        <v>45689</v>
      </c>
      <c r="I4">
        <v>6800</v>
      </c>
      <c r="J4">
        <v>3250</v>
      </c>
      <c r="L4">
        <v>5</v>
      </c>
      <c r="M4" t="s">
        <v>22</v>
      </c>
      <c r="N4">
        <v>50</v>
      </c>
      <c r="P4">
        <v>1</v>
      </c>
      <c r="Q4">
        <v>2</v>
      </c>
      <c r="R4">
        <v>3</v>
      </c>
      <c r="U4" t="s">
        <v>15</v>
      </c>
      <c r="V4">
        <v>13</v>
      </c>
      <c r="W4">
        <v>14</v>
      </c>
      <c r="X4">
        <v>9</v>
      </c>
      <c r="Y4">
        <v>105</v>
      </c>
      <c r="AH4">
        <v>3</v>
      </c>
      <c r="AI4">
        <v>0.4</v>
      </c>
      <c r="AP4" s="1">
        <v>39778</v>
      </c>
      <c r="AR4">
        <v>-1.38888888888889E-3</v>
      </c>
      <c r="AS4" t="s">
        <v>7</v>
      </c>
      <c r="AU4" s="1">
        <v>39859</v>
      </c>
      <c r="AV4">
        <v>7</v>
      </c>
      <c r="AY4">
        <v>10</v>
      </c>
      <c r="AZ4">
        <v>4</v>
      </c>
      <c r="BB4">
        <v>102000</v>
      </c>
      <c r="BC4">
        <v>14</v>
      </c>
      <c r="BE4">
        <v>101</v>
      </c>
      <c r="BF4">
        <v>3</v>
      </c>
      <c r="BG4">
        <v>4</v>
      </c>
    </row>
    <row r="5" spans="1:60" x14ac:dyDescent="0.2">
      <c r="A5" t="b">
        <v>0</v>
      </c>
      <c r="B5">
        <v>23</v>
      </c>
      <c r="C5">
        <v>21</v>
      </c>
      <c r="E5">
        <v>5</v>
      </c>
      <c r="F5" t="s">
        <v>23</v>
      </c>
      <c r="G5">
        <v>16</v>
      </c>
      <c r="H5" s="1">
        <v>45717</v>
      </c>
      <c r="I5">
        <v>1200</v>
      </c>
      <c r="J5">
        <v>2750</v>
      </c>
      <c r="L5">
        <v>8</v>
      </c>
      <c r="M5" t="s">
        <v>24</v>
      </c>
      <c r="N5">
        <v>80</v>
      </c>
      <c r="P5">
        <v>4</v>
      </c>
      <c r="Q5">
        <v>5</v>
      </c>
      <c r="R5">
        <v>6</v>
      </c>
      <c r="U5" t="s">
        <v>11</v>
      </c>
      <c r="V5">
        <v>14</v>
      </c>
      <c r="W5">
        <v>15</v>
      </c>
      <c r="X5">
        <v>10</v>
      </c>
      <c r="Y5">
        <v>75</v>
      </c>
      <c r="AK5">
        <v>58</v>
      </c>
      <c r="AL5" t="s">
        <v>25</v>
      </c>
      <c r="AP5" s="1">
        <v>39786</v>
      </c>
      <c r="AS5" t="s">
        <v>26</v>
      </c>
      <c r="AU5" s="1">
        <v>39904</v>
      </c>
      <c r="AV5">
        <v>11</v>
      </c>
      <c r="AY5">
        <v>11</v>
      </c>
      <c r="AZ5">
        <v>5</v>
      </c>
      <c r="BB5">
        <v>150000</v>
      </c>
      <c r="BC5">
        <v>15</v>
      </c>
      <c r="BE5">
        <v>94</v>
      </c>
      <c r="BF5">
        <v>5</v>
      </c>
      <c r="BG5">
        <v>3</v>
      </c>
    </row>
    <row r="6" spans="1:60" x14ac:dyDescent="0.2">
      <c r="A6" s="1">
        <v>45688</v>
      </c>
      <c r="B6">
        <v>42</v>
      </c>
      <c r="C6">
        <v>40</v>
      </c>
      <c r="D6">
        <v>5</v>
      </c>
      <c r="E6">
        <v>6</v>
      </c>
      <c r="F6" t="s">
        <v>27</v>
      </c>
      <c r="G6">
        <v>32</v>
      </c>
      <c r="H6" s="1">
        <v>45473</v>
      </c>
      <c r="L6">
        <v>13</v>
      </c>
      <c r="M6" t="s">
        <v>28</v>
      </c>
      <c r="N6">
        <v>130</v>
      </c>
      <c r="U6" t="s">
        <v>13</v>
      </c>
      <c r="V6">
        <v>9</v>
      </c>
      <c r="W6">
        <v>8</v>
      </c>
      <c r="X6">
        <v>8</v>
      </c>
      <c r="Y6">
        <v>76.8</v>
      </c>
      <c r="AK6">
        <v>11</v>
      </c>
      <c r="AP6" s="1">
        <v>39834</v>
      </c>
      <c r="AS6">
        <v>3</v>
      </c>
      <c r="AV6">
        <v>4</v>
      </c>
      <c r="BB6">
        <v>220000</v>
      </c>
      <c r="BC6">
        <v>16</v>
      </c>
      <c r="BE6">
        <v>97</v>
      </c>
      <c r="BF6">
        <v>2</v>
      </c>
      <c r="BG6">
        <v>2</v>
      </c>
    </row>
    <row r="7" spans="1:60" x14ac:dyDescent="0.2">
      <c r="A7" t="e">
        <f>1/0</f>
        <v>#DIV/0!</v>
      </c>
      <c r="B7">
        <v>-3.5</v>
      </c>
      <c r="C7">
        <v>-1</v>
      </c>
      <c r="D7" t="b">
        <v>0</v>
      </c>
      <c r="E7">
        <v>7</v>
      </c>
      <c r="F7" t="s">
        <v>29</v>
      </c>
      <c r="G7">
        <v>64</v>
      </c>
      <c r="H7" s="1">
        <v>46022</v>
      </c>
      <c r="I7">
        <v>-10000</v>
      </c>
      <c r="J7">
        <v>100</v>
      </c>
      <c r="U7" t="s">
        <v>11</v>
      </c>
      <c r="V7">
        <v>8</v>
      </c>
      <c r="W7">
        <v>9</v>
      </c>
      <c r="X7">
        <v>6</v>
      </c>
      <c r="Y7">
        <v>45</v>
      </c>
      <c r="AK7" t="b">
        <v>1</v>
      </c>
      <c r="AL7">
        <v>23</v>
      </c>
      <c r="AP7" s="1">
        <v>38719</v>
      </c>
      <c r="AS7">
        <v>1</v>
      </c>
      <c r="AU7" s="1">
        <v>39508</v>
      </c>
      <c r="AV7">
        <v>3</v>
      </c>
      <c r="BE7">
        <v>95</v>
      </c>
      <c r="BG7">
        <v>1</v>
      </c>
    </row>
    <row r="8" spans="1:60" x14ac:dyDescent="0.2">
      <c r="A8" t="e">
        <f>NA()</f>
        <v>#N/A</v>
      </c>
      <c r="B8">
        <v>10.25</v>
      </c>
      <c r="C8">
        <v>9</v>
      </c>
      <c r="D8">
        <v>3.5</v>
      </c>
      <c r="E8">
        <v>8</v>
      </c>
      <c r="I8" t="s">
        <v>30</v>
      </c>
      <c r="J8">
        <v>200</v>
      </c>
      <c r="L8">
        <v>1</v>
      </c>
      <c r="M8">
        <v>2</v>
      </c>
      <c r="N8">
        <v>3</v>
      </c>
      <c r="O8">
        <v>5</v>
      </c>
      <c r="P8">
        <v>8</v>
      </c>
      <c r="Q8">
        <v>13</v>
      </c>
      <c r="AP8" s="1">
        <v>38733</v>
      </c>
      <c r="AS8" t="s">
        <v>31</v>
      </c>
      <c r="AU8" s="1">
        <v>39448</v>
      </c>
      <c r="BG8">
        <v>2</v>
      </c>
    </row>
    <row r="9" spans="1:60" x14ac:dyDescent="0.2">
      <c r="A9" t="s">
        <v>32</v>
      </c>
      <c r="I9">
        <v>4200</v>
      </c>
      <c r="J9">
        <v>300</v>
      </c>
      <c r="L9" t="s">
        <v>1</v>
      </c>
      <c r="M9" t="s">
        <v>10</v>
      </c>
      <c r="N9" t="s">
        <v>19</v>
      </c>
      <c r="O9" t="s">
        <v>22</v>
      </c>
      <c r="P9" t="s">
        <v>24</v>
      </c>
      <c r="Q9" t="s">
        <v>28</v>
      </c>
      <c r="AK9">
        <v>58</v>
      </c>
      <c r="AL9">
        <v>35</v>
      </c>
      <c r="AU9" s="1">
        <v>39751</v>
      </c>
      <c r="BG9">
        <v>3</v>
      </c>
    </row>
    <row r="10" spans="1:60" x14ac:dyDescent="0.2">
      <c r="A10" t="s">
        <v>33</v>
      </c>
      <c r="J10">
        <v>400</v>
      </c>
      <c r="L10">
        <v>10</v>
      </c>
      <c r="M10">
        <v>20</v>
      </c>
      <c r="N10">
        <v>30</v>
      </c>
      <c r="O10">
        <v>50</v>
      </c>
      <c r="P10">
        <v>80</v>
      </c>
      <c r="Q10">
        <v>130</v>
      </c>
      <c r="AK10">
        <v>11</v>
      </c>
      <c r="AL10" t="e">
        <f>1/0</f>
        <v>#DIV/0!</v>
      </c>
      <c r="AU10" s="1">
        <v>39859</v>
      </c>
      <c r="BG10">
        <v>5</v>
      </c>
    </row>
    <row r="11" spans="1:60" x14ac:dyDescent="0.2">
      <c r="A11" t="s">
        <v>34</v>
      </c>
      <c r="I11">
        <v>6800</v>
      </c>
      <c r="J11">
        <v>500</v>
      </c>
      <c r="AK11">
        <v>10</v>
      </c>
      <c r="AL11">
        <v>23</v>
      </c>
      <c r="AU11" s="1">
        <v>39904</v>
      </c>
      <c r="BG11">
        <v>6</v>
      </c>
    </row>
    <row r="12" spans="1:60" x14ac:dyDescent="0.2">
      <c r="A12">
        <v>0</v>
      </c>
      <c r="BG12">
        <v>1</v>
      </c>
    </row>
    <row r="13" spans="1:60" x14ac:dyDescent="0.2">
      <c r="A13" t="str">
        <f>""</f>
        <v/>
      </c>
      <c r="I13">
        <v>-10000</v>
      </c>
    </row>
    <row r="14" spans="1:60" x14ac:dyDescent="0.2">
      <c r="A14" t="str">
        <f>CHAR(9)&amp;"abc"&amp;CHAR(10)</f>
        <v xml:space="preserve">	abc
</v>
      </c>
      <c r="I14">
        <v>3000</v>
      </c>
    </row>
    <row r="15" spans="1:60" x14ac:dyDescent="0.2">
      <c r="A15">
        <v>45688.75</v>
      </c>
      <c r="I15" t="e">
        <f>NA()</f>
        <v>#N/A</v>
      </c>
    </row>
    <row r="16" spans="1:60" x14ac:dyDescent="0.2">
      <c r="I16">
        <v>6800</v>
      </c>
    </row>
    <row r="17" spans="9:9" x14ac:dyDescent="0.2">
      <c r="I17">
        <v>1200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8"/>
  <sheetViews>
    <sheetView workbookViewId="0"/>
  </sheetViews>
  <sheetFormatPr baseColWidth="10" defaultColWidth="8.83203125" defaultRowHeight="15" x14ac:dyDescent="0.2"/>
  <sheetData>
    <row r="1" spans="1:5" x14ac:dyDescent="0.2">
      <c r="A1" t="str" cm="1">
        <f t="array" ref="A1">_xlfn.ARRAYTOTEXT(_xlfn.SORTBY(D!M1:M6,D!N1:N6,{1;-1}),1)</f>
        <v>{"one";}</v>
      </c>
      <c r="B1">
        <f t="shared" ref="B1:B37" si="0">IF(ISERROR(A1),ERROR.TYPE(A1),IF(ISNUMBER(A1),0,IF(ISLOGICAL(A1),IF(A1,-1,-2),IF(ISTEXT(A1),-3,-4))))</f>
        <v>-3</v>
      </c>
      <c r="C1">
        <f t="shared" ref="C1:C37" si="1">IF(ISNUMBER(A1),A1,0)</f>
        <v>0</v>
      </c>
      <c r="D1" t="str">
        <f t="shared" ref="D1:D37" si="2">IF(ISTEXT(A1),A1,"")</f>
        <v>{"one";}</v>
      </c>
      <c r="E1" t="s">
        <v>35</v>
      </c>
    </row>
    <row r="2" spans="1:5" x14ac:dyDescent="0.2">
      <c r="A2" t="str" cm="1">
        <f t="array" ref="A2">_xlfn.ARRAYTOTEXT(_xlfn.SORTBY(D!B1:B8,D!C1:C8,{1,-1}),1)</f>
        <v>{-3.5,}</v>
      </c>
      <c r="B2">
        <f t="shared" si="0"/>
        <v>-3</v>
      </c>
      <c r="C2">
        <f t="shared" si="1"/>
        <v>0</v>
      </c>
      <c r="D2" t="str">
        <f t="shared" si="2"/>
        <v>{-3.5,}</v>
      </c>
      <c r="E2" t="s">
        <v>36</v>
      </c>
    </row>
    <row r="3" spans="1:5" x14ac:dyDescent="0.2">
      <c r="A3" t="str" cm="1">
        <f t="array" ref="A3">_xlfn.ARRAYTOTEXT(_xlfn.SORTBY(D!B1:B8,D!C1:C8,{1;-1},D!B1:B8,{1,-1}),1)</f>
        <v>{-3.5,#VALUE!;#VALUE!,#VALUE!}</v>
      </c>
      <c r="B3">
        <f t="shared" si="0"/>
        <v>-3</v>
      </c>
      <c r="C3">
        <f t="shared" si="1"/>
        <v>0</v>
      </c>
      <c r="D3" t="str">
        <f t="shared" si="2"/>
        <v>{-3.5,#VALUE!;#VALUE!,#VALUE!}</v>
      </c>
      <c r="E3" t="s">
        <v>37</v>
      </c>
    </row>
    <row r="4" spans="1:5" x14ac:dyDescent="0.2">
      <c r="A4" cm="1">
        <f t="array" ref="A4">SUM(_xlfn.SORTBY(D!B1:B8,D!C1:C8,{1,-1}))</f>
        <v>-3.5</v>
      </c>
      <c r="B4">
        <f t="shared" si="0"/>
        <v>0</v>
      </c>
      <c r="C4">
        <f t="shared" si="1"/>
        <v>-3.5</v>
      </c>
      <c r="D4" t="str">
        <f t="shared" si="2"/>
        <v/>
      </c>
      <c r="E4" t="s">
        <v>38</v>
      </c>
    </row>
    <row r="5" spans="1:5" x14ac:dyDescent="0.2">
      <c r="A5" cm="1">
        <f t="array" ref="A5">INDEX(_xlfn.SORTBY(D!M1:M6,D!N1:N6,{1;1;1}),3)</f>
        <v>0</v>
      </c>
      <c r="B5">
        <f t="shared" si="0"/>
        <v>0</v>
      </c>
      <c r="C5">
        <f t="shared" si="1"/>
        <v>0</v>
      </c>
      <c r="D5" t="str">
        <f t="shared" si="2"/>
        <v/>
      </c>
      <c r="E5" t="s">
        <v>39</v>
      </c>
    </row>
    <row r="6" spans="1:5" x14ac:dyDescent="0.2">
      <c r="A6" t="str" cm="1">
        <f t="array" ref="A6">_xlfn.ARRAYTOTEXT(_xlfn.SORTBY(D!M1:M6,D!N1:N6,{1;2;-1}),1)</f>
        <v>{"one";#VALUE!;}</v>
      </c>
      <c r="B6">
        <f t="shared" si="0"/>
        <v>-3</v>
      </c>
      <c r="C6">
        <f t="shared" si="1"/>
        <v>0</v>
      </c>
      <c r="D6" t="str">
        <f t="shared" si="2"/>
        <v>{"one";#VALUE!;}</v>
      </c>
      <c r="E6" t="s">
        <v>40</v>
      </c>
    </row>
    <row r="7" spans="1:5" x14ac:dyDescent="0.2">
      <c r="A7" t="str" cm="1">
        <f t="array" ref="A7">_xlfn.ARRAYTOTEXT(_xlfn.SORTBY(D!M1:M6,D!N1:N6,D!A4:A5),1)</f>
        <v>{"one";#VALUE!}</v>
      </c>
      <c r="B7">
        <f t="shared" si="0"/>
        <v>-3</v>
      </c>
      <c r="C7">
        <f t="shared" si="1"/>
        <v>0</v>
      </c>
      <c r="D7" t="str">
        <f t="shared" si="2"/>
        <v>{"one";#VALUE!}</v>
      </c>
      <c r="E7" t="s">
        <v>41</v>
      </c>
    </row>
    <row r="8" spans="1:5" x14ac:dyDescent="0.2">
      <c r="A8" cm="1">
        <f t="array" ref="A8">ROWS(_xlfn.SORTBY(D!M1:M6,D!N1:N6,{1}))</f>
        <v>1</v>
      </c>
      <c r="B8">
        <f t="shared" si="0"/>
        <v>0</v>
      </c>
      <c r="C8">
        <f t="shared" si="1"/>
        <v>1</v>
      </c>
      <c r="D8" t="str">
        <f t="shared" si="2"/>
        <v/>
      </c>
      <c r="E8" t="s">
        <v>42</v>
      </c>
    </row>
    <row r="9" spans="1:5" x14ac:dyDescent="0.2">
      <c r="A9" cm="1">
        <f t="array" ref="A9">TYPE(_xlfn.SORTBY(D!M1:M6,D!N1:N6,{1}))</f>
        <v>64</v>
      </c>
      <c r="B9">
        <f t="shared" si="0"/>
        <v>0</v>
      </c>
      <c r="C9">
        <f t="shared" si="1"/>
        <v>64</v>
      </c>
      <c r="D9" t="str">
        <f t="shared" si="2"/>
        <v/>
      </c>
      <c r="E9" t="s">
        <v>43</v>
      </c>
    </row>
    <row r="10" spans="1:5" x14ac:dyDescent="0.2">
      <c r="A10" t="str" cm="1">
        <f t="array" ref="A10">_xlfn.SORTBY(D!M1:M6,D!N1:N6,{-1})</f>
        <v>thirteen</v>
      </c>
      <c r="B10">
        <f t="shared" si="0"/>
        <v>-3</v>
      </c>
      <c r="C10">
        <f t="shared" si="1"/>
        <v>0</v>
      </c>
      <c r="D10" t="str">
        <f t="shared" si="2"/>
        <v>thirteen</v>
      </c>
      <c r="E10" t="s">
        <v>44</v>
      </c>
    </row>
    <row r="11" spans="1:5" x14ac:dyDescent="0.2">
      <c r="A11" t="str" cm="1">
        <f t="array" aca="1" ref="A11" ca="1">LOOKUP(4.19,D!L1:L6,D!B2)</f>
        <v>2</v>
      </c>
      <c r="B11">
        <f t="shared" ca="1" si="0"/>
        <v>-3</v>
      </c>
      <c r="C11">
        <f t="shared" ca="1" si="1"/>
        <v>0</v>
      </c>
      <c r="D11" t="str">
        <f t="shared" ca="1" si="2"/>
        <v>2</v>
      </c>
      <c r="E11" t="s">
        <v>45</v>
      </c>
    </row>
    <row r="12" spans="1:5" x14ac:dyDescent="0.2">
      <c r="A12" t="str" cm="1">
        <f t="array" aca="1" ref="A12" ca="1">LOOKUP(4.19,D!L1:L6,D!L9)</f>
        <v>three</v>
      </c>
      <c r="B12">
        <f t="shared" ca="1" si="0"/>
        <v>-3</v>
      </c>
      <c r="C12">
        <f t="shared" ca="1" si="1"/>
        <v>0</v>
      </c>
      <c r="D12" t="str">
        <f t="shared" ca="1" si="2"/>
        <v>three</v>
      </c>
      <c r="E12" t="s">
        <v>46</v>
      </c>
    </row>
    <row r="13" spans="1:5" x14ac:dyDescent="0.2">
      <c r="A13" cm="1">
        <f t="array" aca="1" ref="A13" ca="1">LOOKUP(5,D!L8:Q8,D!B2)</f>
        <v>2</v>
      </c>
      <c r="B13">
        <f t="shared" ca="1" si="0"/>
        <v>0</v>
      </c>
      <c r="C13">
        <f t="shared" ca="1" si="1"/>
        <v>2</v>
      </c>
      <c r="D13" t="str">
        <f t="shared" ca="1" si="2"/>
        <v/>
      </c>
      <c r="E13" t="s">
        <v>47</v>
      </c>
    </row>
    <row r="14" spans="1:5" x14ac:dyDescent="0.2">
      <c r="A14" t="str" cm="1">
        <f t="array" aca="1" ref="A14" ca="1">LOOKUP(4.19,D!L1:L6,D!L9:M9)</f>
        <v>three</v>
      </c>
      <c r="B14">
        <f t="shared" ca="1" si="0"/>
        <v>-3</v>
      </c>
      <c r="C14">
        <f t="shared" ca="1" si="1"/>
        <v>0</v>
      </c>
      <c r="D14" t="str">
        <f t="shared" ca="1" si="2"/>
        <v>three</v>
      </c>
      <c r="E14" t="s">
        <v>48</v>
      </c>
    </row>
    <row r="15" spans="1:5" x14ac:dyDescent="0.2">
      <c r="A15" cm="1">
        <f t="array" aca="1" ref="A15" ca="1">LOOKUP(5,D!L8:Q8,D!B2:B3)</f>
        <v>23</v>
      </c>
      <c r="B15">
        <f t="shared" ca="1" si="0"/>
        <v>0</v>
      </c>
      <c r="C15">
        <f t="shared" ca="1" si="1"/>
        <v>23</v>
      </c>
      <c r="D15" t="str">
        <f t="shared" ca="1" si="2"/>
        <v/>
      </c>
      <c r="E15" t="s">
        <v>49</v>
      </c>
    </row>
    <row r="16" spans="1:5" x14ac:dyDescent="0.2">
      <c r="A16" cm="1">
        <f t="array" ref="A16">LOOKUP(4.19,{1;2;3;5},D!B2:B3)</f>
        <v>16</v>
      </c>
      <c r="B16">
        <f t="shared" si="0"/>
        <v>0</v>
      </c>
      <c r="C16">
        <f t="shared" si="1"/>
        <v>16</v>
      </c>
      <c r="D16" t="str">
        <f t="shared" si="2"/>
        <v/>
      </c>
      <c r="E16" t="s">
        <v>50</v>
      </c>
    </row>
    <row r="17" spans="1:5" x14ac:dyDescent="0.2">
      <c r="A17" cm="1">
        <f t="array" ref="A17">LOOKUP(4.19,D!L1:L6+0,D!B2:B3)</f>
        <v>16</v>
      </c>
      <c r="B17">
        <f t="shared" si="0"/>
        <v>0</v>
      </c>
      <c r="C17">
        <f t="shared" si="1"/>
        <v>16</v>
      </c>
      <c r="D17" t="str">
        <f t="shared" si="2"/>
        <v/>
      </c>
      <c r="E17" t="s">
        <v>51</v>
      </c>
    </row>
    <row r="18" spans="1:5" x14ac:dyDescent="0.2">
      <c r="A18" cm="1">
        <f t="array" aca="1" ref="A18" ca="1">LOOKUP(100,D!L1:L6,D!B2:B3)</f>
        <v>-3.5</v>
      </c>
      <c r="B18">
        <f t="shared" ca="1" si="0"/>
        <v>0</v>
      </c>
      <c r="C18">
        <f t="shared" ca="1" si="1"/>
        <v>-3.5</v>
      </c>
      <c r="D18" t="str">
        <f t="shared" ca="1" si="2"/>
        <v/>
      </c>
      <c r="E18" t="s">
        <v>52</v>
      </c>
    </row>
    <row r="19" spans="1:5" x14ac:dyDescent="0.2">
      <c r="A19" cm="1">
        <f t="array" aca="1" ref="A19" ca="1">LOOKUP(4.19,D!L1:L6,D!B1048575:B1048576)</f>
        <v>0</v>
      </c>
      <c r="B19">
        <f t="shared" ca="1" si="0"/>
        <v>0</v>
      </c>
      <c r="C19">
        <f t="shared" ca="1" si="1"/>
        <v>0</v>
      </c>
      <c r="D19" t="str">
        <f t="shared" ca="1" si="2"/>
        <v/>
      </c>
      <c r="E19" t="s">
        <v>53</v>
      </c>
    </row>
    <row r="20" spans="1:5" x14ac:dyDescent="0.2">
      <c r="A20" t="e" cm="1">
        <f t="array" ref="A20">LOOKUP(4.19,D!L1:L6,{1;2})</f>
        <v>#N/A</v>
      </c>
      <c r="B20">
        <f t="shared" si="0"/>
        <v>7</v>
      </c>
      <c r="C20">
        <f t="shared" si="1"/>
        <v>0</v>
      </c>
      <c r="D20" t="str">
        <f t="shared" si="2"/>
        <v/>
      </c>
      <c r="E20" t="s">
        <v>54</v>
      </c>
    </row>
    <row r="21" spans="1:5" x14ac:dyDescent="0.2">
      <c r="A21" cm="1">
        <f t="array" ref="A21">TYPE(_xlfn.IFS("x",1))</f>
        <v>64</v>
      </c>
      <c r="B21">
        <f t="shared" si="0"/>
        <v>0</v>
      </c>
      <c r="C21">
        <f t="shared" si="1"/>
        <v>64</v>
      </c>
      <c r="D21" t="str">
        <f t="shared" si="2"/>
        <v/>
      </c>
      <c r="E21" t="s">
        <v>55</v>
      </c>
    </row>
    <row r="22" spans="1:5" x14ac:dyDescent="0.2">
      <c r="A22" cm="1">
        <f t="array" ref="A22">COLUMNS(_xlfn.IFS("x",1))</f>
        <v>1</v>
      </c>
      <c r="B22">
        <f t="shared" si="0"/>
        <v>0</v>
      </c>
      <c r="C22">
        <f t="shared" si="1"/>
        <v>1</v>
      </c>
      <c r="D22" t="str">
        <f t="shared" si="2"/>
        <v/>
      </c>
      <c r="E22" t="s">
        <v>56</v>
      </c>
    </row>
    <row r="23" spans="1:5" x14ac:dyDescent="0.2">
      <c r="A23" cm="1">
        <f t="array" ref="A23">ROWS(_xlfn.IFS(D!A3,1))</f>
        <v>1</v>
      </c>
      <c r="B23">
        <f t="shared" si="0"/>
        <v>0</v>
      </c>
      <c r="C23">
        <f t="shared" si="1"/>
        <v>1</v>
      </c>
      <c r="D23" t="str">
        <f t="shared" si="2"/>
        <v/>
      </c>
      <c r="E23" t="s">
        <v>57</v>
      </c>
    </row>
    <row r="24" spans="1:5" x14ac:dyDescent="0.2">
      <c r="A24" cm="1">
        <f t="array" ref="A24">ROWS(_xlfn.IFS("",1))</f>
        <v>1</v>
      </c>
      <c r="B24">
        <f t="shared" si="0"/>
        <v>0</v>
      </c>
      <c r="C24">
        <f t="shared" si="1"/>
        <v>1</v>
      </c>
      <c r="D24" t="str">
        <f t="shared" si="2"/>
        <v/>
      </c>
      <c r="E24" t="s">
        <v>58</v>
      </c>
    </row>
    <row r="25" spans="1:5" x14ac:dyDescent="0.2">
      <c r="A25" cm="1">
        <f t="array" ref="A25">ROWS(_xlfn.IFS(FALSE,1,"x",2))</f>
        <v>1</v>
      </c>
      <c r="B25">
        <f t="shared" si="0"/>
        <v>0</v>
      </c>
      <c r="C25">
        <f t="shared" si="1"/>
        <v>1</v>
      </c>
      <c r="D25" t="str">
        <f t="shared" si="2"/>
        <v/>
      </c>
      <c r="E25" t="s">
        <v>59</v>
      </c>
    </row>
    <row r="26" spans="1:5" x14ac:dyDescent="0.2">
      <c r="A26" cm="1">
        <f t="array" ref="A26">ROWS(_xlfn.VSTACK(1,_xlfn.IFS("x",1)))</f>
        <v>2</v>
      </c>
      <c r="B26">
        <f t="shared" si="0"/>
        <v>0</v>
      </c>
      <c r="C26">
        <f t="shared" si="1"/>
        <v>2</v>
      </c>
      <c r="D26" t="str">
        <f t="shared" si="2"/>
        <v/>
      </c>
      <c r="E26" t="s">
        <v>60</v>
      </c>
    </row>
    <row r="27" spans="1:5" x14ac:dyDescent="0.2">
      <c r="A27" t="e" cm="1">
        <f t="array" ref="A27">ROWS(_xlfn.IFS(1/0,1))</f>
        <v>#DIV/0!</v>
      </c>
      <c r="B27">
        <f t="shared" si="0"/>
        <v>2</v>
      </c>
      <c r="C27">
        <f t="shared" si="1"/>
        <v>0</v>
      </c>
      <c r="D27" t="str">
        <f t="shared" si="2"/>
        <v/>
      </c>
      <c r="E27" t="s">
        <v>61</v>
      </c>
    </row>
    <row r="28" spans="1:5" x14ac:dyDescent="0.2">
      <c r="A28" t="e" cm="1">
        <f t="array" ref="A28">ROWS(_xlfn.IFS(D!A7,1))</f>
        <v>#DIV/0!</v>
      </c>
      <c r="B28">
        <f t="shared" si="0"/>
        <v>2</v>
      </c>
      <c r="C28">
        <f t="shared" si="1"/>
        <v>0</v>
      </c>
      <c r="D28" t="str">
        <f t="shared" si="2"/>
        <v/>
      </c>
      <c r="E28" t="s">
        <v>62</v>
      </c>
    </row>
    <row r="29" spans="1:5" x14ac:dyDescent="0.2">
      <c r="A29" t="e" cm="1">
        <f t="array" ref="A29">ROWS(_xlfn.IFS(TRUE,1/0))</f>
        <v>#DIV/0!</v>
      </c>
      <c r="B29">
        <f t="shared" si="0"/>
        <v>2</v>
      </c>
      <c r="C29">
        <f t="shared" si="1"/>
        <v>0</v>
      </c>
      <c r="D29" t="str">
        <f t="shared" si="2"/>
        <v/>
      </c>
      <c r="E29" t="s">
        <v>63</v>
      </c>
    </row>
    <row r="30" spans="1:5" x14ac:dyDescent="0.2">
      <c r="A30" t="e" cm="1">
        <f t="array" ref="A30">ROWS(_xlfn.IFS(FALSE,1))</f>
        <v>#N/A</v>
      </c>
      <c r="B30">
        <f t="shared" si="0"/>
        <v>7</v>
      </c>
      <c r="C30">
        <f t="shared" si="1"/>
        <v>0</v>
      </c>
      <c r="D30" t="str">
        <f t="shared" si="2"/>
        <v/>
      </c>
      <c r="E30" t="s">
        <v>64</v>
      </c>
    </row>
    <row r="31" spans="1:5" x14ac:dyDescent="0.2">
      <c r="A31" cm="1">
        <f t="array" ref="A31">TYPE(_xlfn.IFS(FALSE,1))</f>
        <v>16</v>
      </c>
      <c r="B31">
        <f t="shared" si="0"/>
        <v>0</v>
      </c>
      <c r="C31">
        <f t="shared" si="1"/>
        <v>16</v>
      </c>
      <c r="D31" t="str">
        <f t="shared" si="2"/>
        <v/>
      </c>
      <c r="E31" t="s">
        <v>65</v>
      </c>
    </row>
    <row r="32" spans="1:5" x14ac:dyDescent="0.2">
      <c r="A32" t="e" cm="1">
        <f t="array" ref="A32">ROWS(_xlfn.SWITCH(3,1,"a"))</f>
        <v>#N/A</v>
      </c>
      <c r="B32">
        <f t="shared" si="0"/>
        <v>7</v>
      </c>
      <c r="C32">
        <f t="shared" si="1"/>
        <v>0</v>
      </c>
      <c r="D32" t="str">
        <f t="shared" si="2"/>
        <v/>
      </c>
      <c r="E32" t="s">
        <v>66</v>
      </c>
    </row>
    <row r="33" spans="1:5" x14ac:dyDescent="0.2">
      <c r="A33" t="e" cm="1">
        <f t="array" ref="A33">ROWS(_xlfn.SWITCH("x",1,"a"))</f>
        <v>#N/A</v>
      </c>
      <c r="B33">
        <f t="shared" si="0"/>
        <v>7</v>
      </c>
      <c r="C33">
        <f t="shared" si="1"/>
        <v>0</v>
      </c>
      <c r="D33" t="str">
        <f t="shared" si="2"/>
        <v/>
      </c>
      <c r="E33" t="s">
        <v>67</v>
      </c>
    </row>
    <row r="34" spans="1:5" x14ac:dyDescent="0.2">
      <c r="A34" cm="1">
        <f t="array" ref="A34">TYPE(_xlfn.SWITCH(3,1,"a"))</f>
        <v>16</v>
      </c>
      <c r="B34">
        <f t="shared" si="0"/>
        <v>0</v>
      </c>
      <c r="C34">
        <f t="shared" si="1"/>
        <v>16</v>
      </c>
      <c r="D34" t="str">
        <f t="shared" si="2"/>
        <v/>
      </c>
      <c r="E34" t="s">
        <v>68</v>
      </c>
    </row>
    <row r="35" spans="1:5" x14ac:dyDescent="0.2">
      <c r="A35" t="e" cm="1">
        <f t="array" ref="A35">ROWS(IF("x",1,2))</f>
        <v>#VALUE!</v>
      </c>
      <c r="B35">
        <f t="shared" si="0"/>
        <v>3</v>
      </c>
      <c r="C35">
        <f t="shared" si="1"/>
        <v>0</v>
      </c>
      <c r="D35" t="str">
        <f t="shared" si="2"/>
        <v/>
      </c>
      <c r="E35" t="s">
        <v>69</v>
      </c>
    </row>
    <row r="36" spans="1:5" x14ac:dyDescent="0.2">
      <c r="A36" cm="1">
        <f t="array" ref="A36">TYPE(IF("x",1,2))</f>
        <v>16</v>
      </c>
      <c r="B36">
        <f t="shared" si="0"/>
        <v>0</v>
      </c>
      <c r="C36">
        <f t="shared" si="1"/>
        <v>16</v>
      </c>
      <c r="D36" t="str">
        <f t="shared" si="2"/>
        <v/>
      </c>
      <c r="E36" t="s">
        <v>70</v>
      </c>
    </row>
    <row r="37" spans="1:5" x14ac:dyDescent="0.2">
      <c r="A37" t="e" cm="1">
        <f t="array" ref="A37">ROWS(CHOOSE(5,1,2))</f>
        <v>#VALUE!</v>
      </c>
      <c r="B37">
        <f t="shared" si="0"/>
        <v>3</v>
      </c>
      <c r="C37">
        <f t="shared" si="1"/>
        <v>0</v>
      </c>
      <c r="D37" t="str">
        <f t="shared" si="2"/>
        <v/>
      </c>
      <c r="E37" t="s">
        <v>71</v>
      </c>
    </row>
    <row r="38" spans="1:5" x14ac:dyDescent="0.2">
      <c r="A38" t="s">
        <v>72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</vt:lpstr>
      <vt:lpstr>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2026-10-09T19:36:13Z</dcterms:created>
  <dcterms:modified xsi:type="dcterms:W3CDTF">2026-10-09T19:36:13Z</dcterms:modified>
  <cp:category/>
</cp:coreProperties>
</file>