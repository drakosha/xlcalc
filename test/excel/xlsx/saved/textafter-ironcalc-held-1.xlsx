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B91C7794-2F95-9D44-B6F8-8BE1D6B058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2" l="1" a="1"/>
  <c r="A23" i="2" s="1"/>
  <c r="A22" i="2" a="1"/>
  <c r="A22" i="2" s="1"/>
  <c r="D22" i="2" s="1"/>
  <c r="A21" i="2" a="1"/>
  <c r="A21" i="2" s="1"/>
  <c r="B21" i="2" s="1"/>
  <c r="A20" i="2" a="1"/>
  <c r="A20" i="2" s="1"/>
  <c r="A19" i="2" a="1"/>
  <c r="A19" i="2"/>
  <c r="D19" i="2" s="1"/>
  <c r="A18" i="2" a="1"/>
  <c r="A18" i="2" s="1"/>
  <c r="A17" i="2" a="1"/>
  <c r="A17" i="2" s="1"/>
  <c r="A16" i="2" a="1"/>
  <c r="A16" i="2" s="1"/>
  <c r="A15" i="2" a="1"/>
  <c r="A15" i="2" s="1"/>
  <c r="B15" i="2" s="1"/>
  <c r="A14" i="2" a="1"/>
  <c r="A14" i="2" s="1"/>
  <c r="D14" i="2" s="1"/>
  <c r="A13" i="2" a="1"/>
  <c r="A13" i="2" s="1"/>
  <c r="B13" i="2" s="1"/>
  <c r="A12" i="2" a="1"/>
  <c r="A12" i="2" s="1"/>
  <c r="A11" i="2" a="1"/>
  <c r="A11" i="2" s="1"/>
  <c r="D11" i="2" s="1"/>
  <c r="A10" i="2" a="1"/>
  <c r="A10" i="2" s="1"/>
  <c r="A9" i="2" a="1"/>
  <c r="A9" i="2"/>
  <c r="D9" i="2" s="1"/>
  <c r="A8" i="2" a="1"/>
  <c r="A8" i="2" s="1"/>
  <c r="D8" i="2" s="1"/>
  <c r="A7" i="2" a="1"/>
  <c r="A7" i="2"/>
  <c r="D7" i="2" s="1"/>
  <c r="A6" i="2" a="1"/>
  <c r="A6" i="2"/>
  <c r="D6" i="2" s="1"/>
  <c r="A5" i="2" a="1"/>
  <c r="A5" i="2" s="1"/>
  <c r="A4" i="2" a="1"/>
  <c r="A4" i="2" s="1"/>
  <c r="B4" i="2" s="1"/>
  <c r="A3" i="2" a="1"/>
  <c r="A3" i="2" s="1"/>
  <c r="A2" i="2" a="1"/>
  <c r="A2" i="2" s="1"/>
  <c r="A1" i="2" a="1"/>
  <c r="A1" i="2" s="1"/>
  <c r="I15" i="1"/>
  <c r="A14" i="1"/>
  <c r="A13" i="1"/>
  <c r="AL10" i="1"/>
  <c r="A8" i="1"/>
  <c r="A7" i="1"/>
  <c r="E3" i="1"/>
  <c r="B16" i="2" l="1"/>
  <c r="D16" i="2"/>
  <c r="C16" i="2"/>
  <c r="B9" i="2"/>
  <c r="C9" i="2"/>
  <c r="C5" i="2"/>
  <c r="B5" i="2"/>
  <c r="D5" i="2"/>
  <c r="C20" i="2"/>
  <c r="D20" i="2"/>
  <c r="B20" i="2"/>
  <c r="D18" i="2"/>
  <c r="B18" i="2"/>
  <c r="C18" i="2"/>
  <c r="B10" i="2"/>
  <c r="D10" i="2"/>
  <c r="C10" i="2"/>
  <c r="C1" i="2"/>
  <c r="B1" i="2"/>
  <c r="D1" i="2"/>
  <c r="C2" i="2"/>
  <c r="D2" i="2"/>
  <c r="B2" i="2"/>
  <c r="B3" i="2"/>
  <c r="D3" i="2"/>
  <c r="C3" i="2"/>
  <c r="D12" i="2"/>
  <c r="C12" i="2"/>
  <c r="B12" i="2"/>
  <c r="C17" i="2"/>
  <c r="D17" i="2"/>
  <c r="B17" i="2"/>
  <c r="D23" i="2"/>
  <c r="C23" i="2"/>
  <c r="B23" i="2"/>
  <c r="C13" i="2"/>
  <c r="B6" i="2"/>
  <c r="D15" i="2"/>
  <c r="B19" i="2"/>
  <c r="C6" i="2"/>
  <c r="D13" i="2"/>
  <c r="B14" i="2"/>
  <c r="C21" i="2"/>
  <c r="C7" i="2"/>
  <c r="B11" i="2"/>
  <c r="B22" i="2"/>
  <c r="C4" i="2"/>
  <c r="C19" i="2"/>
  <c r="B7" i="2"/>
  <c r="C14" i="2"/>
  <c r="D21" i="2"/>
  <c r="D4" i="2"/>
  <c r="B8" i="2"/>
  <c r="C15" i="2"/>
  <c r="C11" i="2"/>
  <c r="C22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<sst xmlns="http://schemas.openxmlformats.org/spreadsheetml/2006/main" count="82" uniqueCount="59">
  <si>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</si>
  <si>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</si>
  <si>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</si>
  <si>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</si>
  <si>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</si>
  <si>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</si>
  <si>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</si>
  <si>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</si>
  <si>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</si>
  <si>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</si>
  <si>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</si>
  <si>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</si>
  <si>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</si>
  <si>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</si>
  <si>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</si>
  <si>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</si>
  <si>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</si>
  <si>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</si>
  <si>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</si>
  <si>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</si>
  <si>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</si>
  <si>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</si>
  <si>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</si>
  <si>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</si>
  <si>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</si>
  <si>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</si>
  <si>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</si>
  <si>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</si>
  <si>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</si>
  <si>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</si>
  <si>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</si>
  <si>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</si>
  <si>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</si>
  <si>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</si>
  <si>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</si>
  <si>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TEXTAFTER#1</t>
  </si>
  <si>
    <t>TEXTAFTER#2</t>
  </si>
  <si>
    <t>TEXTBEFORE#1</t>
  </si>
  <si>
    <t>TEXTAFTER#3</t>
  </si>
  <si>
    <t>TEXTAFTER#4</t>
  </si>
  <si>
    <t>TEXTAFTER#5</t>
  </si>
  <si>
    <t>TEXTBEFORE#2</t>
  </si>
  <si>
    <t>TEXTSPLIT#1</t>
  </si>
  <si>
    <t>TEXTSPLIT#2</t>
  </si>
  <si>
    <t>TEXTAFTER#6</t>
  </si>
  <si>
    <t>TEXTAFTER#7</t>
  </si>
  <si>
    <t>TEXTAFTER#8</t>
  </si>
  <si>
    <t>TEXTAFTER#9</t>
  </si>
  <si>
    <t>TEXTBEFORE#3</t>
  </si>
  <si>
    <t>TEXTBEFORE#4</t>
  </si>
  <si>
    <t>TEXTAFTER#10</t>
  </si>
  <si>
    <t>TEXTAFTER#11</t>
  </si>
  <si>
    <t>TEXTAFTER#12</t>
  </si>
  <si>
    <t>TEXTAFTER#13</t>
  </si>
  <si>
    <t>TEXTBEFORE#5</t>
  </si>
  <si>
    <t>TEXTAFTER#14</t>
  </si>
  <si>
    <t>TEXTSPLIT#3</t>
  </si>
  <si>
    <t>TEXTSPLIT#4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</si>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</sst>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_xlfn.TEXTAFTER("123 the 456 the 891","the",-1.6,1,0,"Not found")</f>
        <v xml:space="preserve"> 456 the 891</v>
      </c>
      <c r="B1">
        <f t="shared" ref="B1:B23" si="0">IF(ISERROR(A1),ERROR.TYPE(A1),IF(ISNUMBER(A1),0,IF(ISLOGICAL(A1),IF(A1,-1,-2),IF(ISTEXT(A1),-3,-4))))</f>
        <v>-3</v>
      </c>
      <c r="C1">
        <f t="shared" ref="C1:C23" si="1">IF(ISNUMBER(A1),A1,0)</f>
        <v>0</v>
      </c>
      <c r="D1" t="str">
        <f t="shared" ref="D1:D23" si="2">IF(ISTEXT(A1),A1,"")</f>
        <v xml:space="preserve"> 456 the 891</v>
      </c>
      <c r="E1" t="s">
        <v>35</v>
      </c>
    </row>
    <row r="2" spans="1:5" x14ac:dyDescent="0.2">
      <c r="A2" t="str" cm="1">
        <f t="array" ref="A2">_xlfn.TEXTAFTER("123 the 456 the 891","the",-1.2,1,0,"Not found")</f>
        <v xml:space="preserve"> 456 the 891</v>
      </c>
      <c r="B2">
        <f t="shared" si="0"/>
        <v>-3</v>
      </c>
      <c r="C2">
        <f t="shared" si="1"/>
        <v>0</v>
      </c>
      <c r="D2" t="str">
        <f t="shared" si="2"/>
        <v xml:space="preserve"> 456 the 891</v>
      </c>
      <c r="E2" t="s">
        <v>36</v>
      </c>
    </row>
    <row r="3" spans="1:5" x14ac:dyDescent="0.2">
      <c r="A3" t="str" cm="1">
        <f t="array" ref="A3">_xlfn.TEXTBEFORE("123 the 456 the 891","the",-1.6,1,0, "Not found")</f>
        <v xml:space="preserve">123 </v>
      </c>
      <c r="B3">
        <f t="shared" si="0"/>
        <v>-3</v>
      </c>
      <c r="C3">
        <f t="shared" si="1"/>
        <v>0</v>
      </c>
      <c r="D3" t="str">
        <f t="shared" si="2"/>
        <v xml:space="preserve">123 </v>
      </c>
      <c r="E3" t="s">
        <v>37</v>
      </c>
    </row>
    <row r="4" spans="1:5" x14ac:dyDescent="0.2">
      <c r="A4" t="e" cm="1">
        <f t="array" ref="A4">_xlfn.TEXTAFTER("del","deli",1,1,0,"qwerty")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_xlfn.TEXTAFTER("hi","Hello Good Morning",1,1,0,"@")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_xlfn.TEXTAFTER("del","deli",1)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_xlfn.TEXTBEFORE("del","deli",1,1,0, "qwerty")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_xlfn.TEXTSPLIT("Hola sin split",)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_xlfn.TEXTSPLIT("Hola sin split",,)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str" cm="1">
        <f t="array" ref="A10">_xlfn.TEXTAFTER("123 the 456 the 891","the",1.6)</f>
        <v xml:space="preserve"> 456 the 891</v>
      </c>
      <c r="B10">
        <f t="shared" si="0"/>
        <v>-3</v>
      </c>
      <c r="C10">
        <f t="shared" si="1"/>
        <v>0</v>
      </c>
      <c r="D10" t="str">
        <f t="shared" si="2"/>
        <v xml:space="preserve"> 456 the 891</v>
      </c>
      <c r="E10" t="s">
        <v>44</v>
      </c>
    </row>
    <row r="11" spans="1:5" x14ac:dyDescent="0.2">
      <c r="A11" t="str" cm="1">
        <f t="array" ref="A11">_xlfn.TEXTAFTER("123 the 456 the 891","the",-0.5)</f>
        <v xml:space="preserve"> 891</v>
      </c>
      <c r="B11">
        <f t="shared" si="0"/>
        <v>-3</v>
      </c>
      <c r="C11">
        <f t="shared" si="1"/>
        <v>0</v>
      </c>
      <c r="D11" t="str">
        <f t="shared" si="2"/>
        <v xml:space="preserve"> 891</v>
      </c>
      <c r="E11" t="s">
        <v>45</v>
      </c>
    </row>
    <row r="12" spans="1:5" x14ac:dyDescent="0.2">
      <c r="A12" t="e" cm="1">
        <f t="array" ref="A12">_xlfn.TEXTAFTER("123 the 456 the 891","the",0.5)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str" cm="1">
        <f t="array" ref="A13">_xlfn.TEXTAFTER("123 the 456 the 891","the",1.9999999)</f>
        <v xml:space="preserve"> 891</v>
      </c>
      <c r="B13">
        <f t="shared" si="0"/>
        <v>-3</v>
      </c>
      <c r="C13">
        <f t="shared" si="1"/>
        <v>0</v>
      </c>
      <c r="D13" t="str">
        <f t="shared" si="2"/>
        <v xml:space="preserve"> 891</v>
      </c>
      <c r="E13" t="s">
        <v>47</v>
      </c>
    </row>
    <row r="14" spans="1:5" x14ac:dyDescent="0.2">
      <c r="A14" t="e" cm="1">
        <f t="array" ref="A14">_xlfn.TEXTBEFORE("123 the 456 the 891","the",-2.5)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str" cm="1">
        <f t="array" ref="A15">_xlfn.TEXTBEFORE("123 the 456 the 891","the",2.7)</f>
        <v xml:space="preserve">123 the 456 </v>
      </c>
      <c r="B15">
        <f t="shared" si="0"/>
        <v>-3</v>
      </c>
      <c r="C15">
        <f t="shared" si="1"/>
        <v>0</v>
      </c>
      <c r="D15" t="str">
        <f t="shared" si="2"/>
        <v xml:space="preserve">123 the 456 </v>
      </c>
      <c r="E15" t="s">
        <v>49</v>
      </c>
    </row>
    <row r="16" spans="1:5" x14ac:dyDescent="0.2">
      <c r="A16" t="str" cm="1">
        <f t="array" ref="A16">_xlfn.TEXTAFTER("abc","abc")</f>
        <v/>
      </c>
      <c r="B16">
        <f t="shared" si="0"/>
        <v>-3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str" cm="1">
        <f t="array" ref="A17">_xlfn.TEXTAFTER("abc",{"abcd","b"})</f>
        <v>c</v>
      </c>
      <c r="B17">
        <f t="shared" si="0"/>
        <v>-3</v>
      </c>
      <c r="C17">
        <f t="shared" si="1"/>
        <v>0</v>
      </c>
      <c r="D17" t="str">
        <f t="shared" si="2"/>
        <v>c</v>
      </c>
      <c r="E17" t="s">
        <v>51</v>
      </c>
    </row>
    <row r="18" spans="1:5" x14ac:dyDescent="0.2">
      <c r="A18" t="e" cm="1">
        <f t="array" ref="A18">_xlfn.TEXTAFTER("abc",{"abcd","xyzw"},1,0,0,"-")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_xlfn.TEXTAFTER("abc","ABCD",1,1)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_xlfn.TEXTBEFORE("abc","abcd",1,0,1)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str" cm="1">
        <f t="array" ref="A21">_xlfn.TEXTAFTER("abc","x",1,0,0,"-")</f>
        <v>-</v>
      </c>
      <c r="B21">
        <f t="shared" si="0"/>
        <v>-3</v>
      </c>
      <c r="C21">
        <f t="shared" si="1"/>
        <v>0</v>
      </c>
      <c r="D21" t="str">
        <f t="shared" si="2"/>
        <v>-</v>
      </c>
      <c r="E21" t="s">
        <v>55</v>
      </c>
    </row>
    <row r="22" spans="1:5" x14ac:dyDescent="0.2">
      <c r="A22" cm="1">
        <f t="array" ref="A22">ROWS(_xlfn.TEXTSPLIT("a;b",,";"))</f>
        <v>2</v>
      </c>
      <c r="B22">
        <f t="shared" si="0"/>
        <v>0</v>
      </c>
      <c r="C22">
        <f t="shared" si="1"/>
        <v>2</v>
      </c>
      <c r="D22" t="str">
        <f t="shared" si="2"/>
        <v/>
      </c>
      <c r="E22" t="s">
        <v>56</v>
      </c>
    </row>
    <row r="23" spans="1:5" x14ac:dyDescent="0.2">
      <c r="A23" cm="1">
        <f t="array" ref="A23">COLUMNS(_xlfn.TEXTSPLIT("a b"," "))</f>
        <v>2</v>
      </c>
      <c r="B23">
        <f t="shared" si="0"/>
        <v>0</v>
      </c>
      <c r="C23">
        <f t="shared" si="1"/>
        <v>2</v>
      </c>
      <c r="D23" t="str">
        <f t="shared" si="2"/>
        <v/>
      </c>
      <c r="E23" t="s">
        <v>57</v>
      </c>
    </row>
    <row r="24" spans="1:5" x14ac:dyDescent="0.2">
      <c r="A24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2026-10-17T13:08:50Z</dcterms:created>
  <dcterms:modified xsi:type="dcterms:W3CDTF">2026-10-17T13:08:50Z</dcterms:modified>
  <cp:category/>
</cp:coreProperties>
</file>