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A3CF1234-5078-B847-B783-ACAF2B7A307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H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2" i="3" l="1" a="1"/>
  <c r="A72" i="3" s="1"/>
  <c r="A71" i="3" a="1"/>
  <c r="A71" i="3"/>
  <c r="D71" i="3" s="1"/>
  <c r="A70" i="3" a="1"/>
  <c r="A70" i="3"/>
  <c r="B70" i="3" s="1"/>
  <c r="A69" i="3" a="1"/>
  <c r="A69" i="3" s="1"/>
  <c r="A68" i="3" a="1"/>
  <c r="A68" i="3" s="1"/>
  <c r="A67" i="3" a="1"/>
  <c r="A67" i="3"/>
  <c r="B67" i="3" s="1"/>
  <c r="A66" i="3" a="1"/>
  <c r="A66" i="3"/>
  <c r="D66" i="3" s="1"/>
  <c r="A65" i="3" a="1"/>
  <c r="A65" i="3" s="1"/>
  <c r="A64" i="3" a="1"/>
  <c r="A64" i="3"/>
  <c r="D64" i="3" s="1"/>
  <c r="A63" i="3" a="1"/>
  <c r="A63" i="3"/>
  <c r="D63" i="3" s="1"/>
  <c r="A62" i="3" a="1"/>
  <c r="A62" i="3"/>
  <c r="D62" i="3" s="1"/>
  <c r="A61" i="3" a="1"/>
  <c r="A61" i="3" s="1"/>
  <c r="A60" i="3" a="1"/>
  <c r="A60" i="3" s="1"/>
  <c r="A59" i="3" a="1"/>
  <c r="A59" i="3" s="1"/>
  <c r="C59" i="3" s="1"/>
  <c r="A58" i="3" a="1"/>
  <c r="A58" i="3"/>
  <c r="B58" i="3" s="1"/>
  <c r="A57" i="3" a="1"/>
  <c r="A57" i="3"/>
  <c r="D57" i="3" s="1"/>
  <c r="A56" i="3" a="1"/>
  <c r="A56" i="3"/>
  <c r="C56" i="3" s="1"/>
  <c r="A55" i="3" a="1"/>
  <c r="A55" i="3"/>
  <c r="D55" i="3" s="1"/>
  <c r="A54" i="3" a="1"/>
  <c r="A54" i="3"/>
  <c r="C54" i="3" s="1"/>
  <c r="A53" i="3" a="1"/>
  <c r="A53" i="3" s="1"/>
  <c r="D53" i="3" s="1"/>
  <c r="A52" i="3" a="1"/>
  <c r="A52" i="3"/>
  <c r="B52" i="3" s="1"/>
  <c r="A51" i="3" a="1"/>
  <c r="A51" i="3" s="1"/>
  <c r="A50" i="3" a="1"/>
  <c r="A50" i="3" s="1"/>
  <c r="A49" i="3" a="1"/>
  <c r="A49" i="3"/>
  <c r="B49" i="3" s="1"/>
  <c r="A48" i="3" a="1"/>
  <c r="A48" i="3"/>
  <c r="D48" i="3" s="1"/>
  <c r="A47" i="3" a="1"/>
  <c r="A47" i="3" s="1"/>
  <c r="A46" i="3" a="1"/>
  <c r="A46" i="3"/>
  <c r="D46" i="3" s="1"/>
  <c r="A45" i="3" a="1"/>
  <c r="A45" i="3"/>
  <c r="D45" i="3" s="1"/>
  <c r="A44" i="3" a="1"/>
  <c r="A44" i="3"/>
  <c r="D44" i="3" s="1"/>
  <c r="C43" i="3"/>
  <c r="A43" i="3" a="1"/>
  <c r="A43" i="3" s="1"/>
  <c r="A42" i="3" a="1"/>
  <c r="A42" i="3" s="1"/>
  <c r="D42" i="3" s="1"/>
  <c r="A41" i="3" a="1"/>
  <c r="A41" i="3"/>
  <c r="C41" i="3" s="1"/>
  <c r="A40" i="3" a="1"/>
  <c r="A40" i="3"/>
  <c r="A39" i="3" a="1"/>
  <c r="A39" i="3"/>
  <c r="D39" i="3" s="1"/>
  <c r="A38" i="3" a="1"/>
  <c r="A38" i="3"/>
  <c r="C38" i="3" s="1"/>
  <c r="A37" i="3" a="1"/>
  <c r="A37" i="3"/>
  <c r="D37" i="3" s="1"/>
  <c r="A36" i="3" a="1"/>
  <c r="A36" i="3"/>
  <c r="C36" i="3" s="1"/>
  <c r="A35" i="3" a="1"/>
  <c r="A35" i="3" s="1"/>
  <c r="D35" i="3" s="1"/>
  <c r="A34" i="3" a="1"/>
  <c r="A34" i="3" s="1"/>
  <c r="B34" i="3" s="1"/>
  <c r="A33" i="3" a="1"/>
  <c r="A33" i="3" s="1"/>
  <c r="A32" i="3" a="1"/>
  <c r="A32" i="3" s="1"/>
  <c r="A31" i="3" a="1"/>
  <c r="A31" i="3"/>
  <c r="C31" i="3" s="1"/>
  <c r="A30" i="3" a="1"/>
  <c r="A30" i="3"/>
  <c r="D30" i="3" s="1"/>
  <c r="A29" i="3" a="1"/>
  <c r="A29" i="3" s="1"/>
  <c r="A28" i="3" a="1"/>
  <c r="A28" i="3"/>
  <c r="D28" i="3" s="1"/>
  <c r="A27" i="3" a="1"/>
  <c r="A27" i="3"/>
  <c r="D27" i="3" s="1"/>
  <c r="A26" i="3" a="1"/>
  <c r="A26" i="3" s="1"/>
  <c r="A25" i="3" a="1"/>
  <c r="A25" i="3" s="1"/>
  <c r="A24" i="3" a="1"/>
  <c r="A24" i="3" s="1"/>
  <c r="A23" i="3" a="1"/>
  <c r="A23" i="3" s="1"/>
  <c r="A22" i="3" a="1"/>
  <c r="A22" i="3" s="1"/>
  <c r="A21" i="3" a="1"/>
  <c r="A21" i="3" s="1"/>
  <c r="A20" i="3" a="1"/>
  <c r="A20" i="3" s="1"/>
  <c r="A19" i="3" a="1"/>
  <c r="A19" i="3" s="1"/>
  <c r="A18" i="3" a="1"/>
  <c r="A18" i="3" s="1"/>
  <c r="A17" i="3" a="1"/>
  <c r="A17" i="3"/>
  <c r="C17" i="3" s="1"/>
  <c r="A16" i="3" a="1"/>
  <c r="A16" i="3"/>
  <c r="C16" i="3" s="1"/>
  <c r="A15" i="3" a="1"/>
  <c r="A15" i="3" s="1"/>
  <c r="A14" i="3" a="1"/>
  <c r="A14" i="3" s="1"/>
  <c r="A13" i="3" a="1"/>
  <c r="A13" i="3" s="1"/>
  <c r="A12" i="3" a="1"/>
  <c r="A12" i="3" s="1"/>
  <c r="D12" i="3" s="1"/>
  <c r="A11" i="3" a="1"/>
  <c r="A11" i="3" s="1"/>
  <c r="A10" i="3" a="1"/>
  <c r="A10" i="3"/>
  <c r="D10" i="3" s="1"/>
  <c r="A9" i="3" a="1"/>
  <c r="A9" i="3"/>
  <c r="B9" i="3" s="1"/>
  <c r="A8" i="3" a="1"/>
  <c r="A8" i="3"/>
  <c r="A7" i="3" a="1"/>
  <c r="A7" i="3"/>
  <c r="D7" i="3" s="1"/>
  <c r="A6" i="3" a="1"/>
  <c r="A6" i="3"/>
  <c r="D6" i="3" s="1"/>
  <c r="A5" i="3" a="1"/>
  <c r="A5" i="3"/>
  <c r="D5" i="3" s="1"/>
  <c r="A4" i="3" a="1"/>
  <c r="A4" i="3"/>
  <c r="B4" i="3" s="1"/>
  <c r="A3" i="3" a="1"/>
  <c r="A3" i="3" s="1"/>
  <c r="A2" i="3" a="1"/>
  <c r="A2" i="3" s="1"/>
  <c r="D2" i="3" s="1"/>
  <c r="A1" i="3" a="1"/>
  <c r="A1" i="3"/>
  <c r="D1" i="3" s="1"/>
  <c r="I15" i="2"/>
  <c r="A14" i="2"/>
  <c r="A13" i="2"/>
  <c r="AL10" i="2"/>
  <c r="A8" i="2"/>
  <c r="A7" i="2"/>
  <c r="E3" i="2"/>
  <c r="C18" i="3" l="1"/>
  <c r="D18" i="3"/>
  <c r="B18" i="3"/>
  <c r="B36" i="3"/>
  <c r="D54" i="3"/>
  <c r="D58" i="3"/>
  <c r="D36" i="3"/>
  <c r="C58" i="3"/>
  <c r="B54" i="3"/>
  <c r="C7" i="3"/>
  <c r="D19" i="3"/>
  <c r="C19" i="3"/>
  <c r="B19" i="3"/>
  <c r="B29" i="3"/>
  <c r="C29" i="3"/>
  <c r="D29" i="3"/>
  <c r="D20" i="3"/>
  <c r="C20" i="3"/>
  <c r="B20" i="3"/>
  <c r="D21" i="3"/>
  <c r="C21" i="3"/>
  <c r="B21" i="3"/>
  <c r="D40" i="3"/>
  <c r="B40" i="3"/>
  <c r="C40" i="3"/>
  <c r="B65" i="3"/>
  <c r="C65" i="3"/>
  <c r="D65" i="3"/>
  <c r="B11" i="3"/>
  <c r="D11" i="3"/>
  <c r="D69" i="3"/>
  <c r="C69" i="3"/>
  <c r="B69" i="3"/>
  <c r="D13" i="3"/>
  <c r="C13" i="3"/>
  <c r="B13" i="3"/>
  <c r="C23" i="3"/>
  <c r="B23" i="3"/>
  <c r="D23" i="3"/>
  <c r="C14" i="3"/>
  <c r="B14" i="3"/>
  <c r="B24" i="3"/>
  <c r="D24" i="3"/>
  <c r="C24" i="3"/>
  <c r="D8" i="3"/>
  <c r="C8" i="3"/>
  <c r="B8" i="3"/>
  <c r="B47" i="3"/>
  <c r="C47" i="3"/>
  <c r="D47" i="3"/>
  <c r="D3" i="3"/>
  <c r="C3" i="3"/>
  <c r="B3" i="3"/>
  <c r="C11" i="3"/>
  <c r="D22" i="3"/>
  <c r="C22" i="3"/>
  <c r="C32" i="3"/>
  <c r="B32" i="3"/>
  <c r="D50" i="3"/>
  <c r="C50" i="3"/>
  <c r="B50" i="3"/>
  <c r="D68" i="3"/>
  <c r="C68" i="3"/>
  <c r="B68" i="3"/>
  <c r="D4" i="3"/>
  <c r="C4" i="3"/>
  <c r="D32" i="3"/>
  <c r="D51" i="3"/>
  <c r="C51" i="3"/>
  <c r="B51" i="3"/>
  <c r="B22" i="3"/>
  <c r="D33" i="3"/>
  <c r="C33" i="3"/>
  <c r="B33" i="3"/>
  <c r="D14" i="3"/>
  <c r="D25" i="3"/>
  <c r="B25" i="3"/>
  <c r="D43" i="3"/>
  <c r="B43" i="3"/>
  <c r="D60" i="3"/>
  <c r="C60" i="3"/>
  <c r="B60" i="3"/>
  <c r="C26" i="3"/>
  <c r="B26" i="3"/>
  <c r="D26" i="3"/>
  <c r="D15" i="3"/>
  <c r="C15" i="3"/>
  <c r="B15" i="3"/>
  <c r="C25" i="3"/>
  <c r="D61" i="3"/>
  <c r="C61" i="3"/>
  <c r="B61" i="3"/>
  <c r="D72" i="3"/>
  <c r="C72" i="3"/>
  <c r="B72" i="3"/>
  <c r="D16" i="3"/>
  <c r="C27" i="3"/>
  <c r="D34" i="3"/>
  <c r="B38" i="3"/>
  <c r="C45" i="3"/>
  <c r="D52" i="3"/>
  <c r="D70" i="3"/>
  <c r="C2" i="3"/>
  <c r="D9" i="3"/>
  <c r="D38" i="3"/>
  <c r="B42" i="3"/>
  <c r="C49" i="3"/>
  <c r="D56" i="3"/>
  <c r="C67" i="3"/>
  <c r="C6" i="3"/>
  <c r="B17" i="3"/>
  <c r="D31" i="3"/>
  <c r="B35" i="3"/>
  <c r="C42" i="3"/>
  <c r="D49" i="3"/>
  <c r="B53" i="3"/>
  <c r="D67" i="3"/>
  <c r="B71" i="3"/>
  <c r="B27" i="3"/>
  <c r="C34" i="3"/>
  <c r="D41" i="3"/>
  <c r="B45" i="3"/>
  <c r="C52" i="3"/>
  <c r="D59" i="3"/>
  <c r="B63" i="3"/>
  <c r="C70" i="3"/>
  <c r="B2" i="3"/>
  <c r="C9" i="3"/>
  <c r="B56" i="3"/>
  <c r="C63" i="3"/>
  <c r="B28" i="3"/>
  <c r="C35" i="3"/>
  <c r="B46" i="3"/>
  <c r="C53" i="3"/>
  <c r="B64" i="3"/>
  <c r="C71" i="3"/>
  <c r="B30" i="3"/>
  <c r="C37" i="3"/>
  <c r="B6" i="3"/>
  <c r="D17" i="3"/>
  <c r="C28" i="3"/>
  <c r="B39" i="3"/>
  <c r="C46" i="3"/>
  <c r="B57" i="3"/>
  <c r="C64" i="3"/>
  <c r="B31" i="3"/>
  <c r="B10" i="3"/>
  <c r="C10" i="3"/>
  <c r="B44" i="3"/>
  <c r="B62" i="3"/>
  <c r="B1" i="3"/>
  <c r="B37" i="3"/>
  <c r="C44" i="3"/>
  <c r="B55" i="3"/>
  <c r="C62" i="3"/>
  <c r="C1" i="3"/>
  <c r="B12" i="3"/>
  <c r="B48" i="3"/>
  <c r="C55" i="3"/>
  <c r="B66" i="3"/>
  <c r="B5" i="3"/>
  <c r="C12" i="3"/>
  <c r="C30" i="3"/>
  <c r="B41" i="3"/>
  <c r="C48" i="3"/>
  <c r="B59" i="3"/>
  <c r="C66" i="3"/>
  <c r="C5" i="3"/>
  <c r="B16" i="3"/>
  <c r="C39" i="3"/>
  <c r="C57" i="3"/>
  <c r="B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<sst xmlns="http://schemas.openxmlformats.org/spreadsheetml/2006/main" count="136" uniqueCount="112">
  <si>
    <t>1/6/2025</t>
  </si>
  <si>
    <t>2025-01-07</t>
  </si>
  <si>
    <t>abc</t>
  </si>
  <si>
    <t>45663</t>
  </si>
  <si>
    <t>Jan 8, 2025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</si>
  <si>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</si>
  <si>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</si>
  <si>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</si>
  <si>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</si>
  <si>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</si>
  <si>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</si>
  <si>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</si>
  <si>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</si>
  <si>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</si>
  <si>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</si>
  <si>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</si>
  <si>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</si>
  <si>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</si>
  <si>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</si>
  <si>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</si>
  <si>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</si>
  <si>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</si>
  <si>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</si>
  <si>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</si>
  <si>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</si>
  <si>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</si>
  <si>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</si>
  <si>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</si>
  <si>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</si>
  <si>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</si>
  <si>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</si>
  <si>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</si>
  <si>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</si>
  <si>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</si>
  <si>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</si>
  <si>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</si>
  <si>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</si>
  <si>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</si>
  <si>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</si>
  <si>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ACCRINT#1</t>
  </si>
  <si>
    <t>ACCRINT#2</t>
  </si>
  <si>
    <t>ACCRINT#3</t>
  </si>
  <si>
    <t>ACCRINT#4</t>
  </si>
  <si>
    <t>ACCRINT#5</t>
  </si>
  <si>
    <t>ACCRINT#6</t>
  </si>
  <si>
    <t>ACCRINT#7</t>
  </si>
  <si>
    <t>ACCRINT#8</t>
  </si>
  <si>
    <t>ACCRINT#9</t>
  </si>
  <si>
    <t>ACCRINT#10</t>
  </si>
  <si>
    <t>ACCRINT#11</t>
  </si>
  <si>
    <t>ACCRINT#12</t>
  </si>
  <si>
    <t>ACCRINT#13</t>
  </si>
  <si>
    <t>ACCRINT#14</t>
  </si>
  <si>
    <t>ACCRINT#15</t>
  </si>
  <si>
    <t>ACCRINT#16</t>
  </si>
  <si>
    <t>ACCRINTM#1</t>
  </si>
  <si>
    <t>PRICE#1</t>
  </si>
  <si>
    <t>PRICE#2</t>
  </si>
  <si>
    <t>PRICE#3</t>
  </si>
  <si>
    <t>PRICE#4</t>
  </si>
  <si>
    <t>PRICE#5</t>
  </si>
  <si>
    <t>COUPNUM#1</t>
  </si>
  <si>
    <t>DURATION#1</t>
  </si>
  <si>
    <t>MDURATION#1</t>
  </si>
  <si>
    <t>YIELD#1</t>
  </si>
  <si>
    <t>AMORDEGRC#1</t>
  </si>
  <si>
    <t>AMORDEGRC#2</t>
  </si>
  <si>
    <t>AMORDEGRC#3</t>
  </si>
  <si>
    <t>AMORDEGRC#4</t>
  </si>
  <si>
    <t>AMORDEGRC#5</t>
  </si>
  <si>
    <t>AMORDEGRC#6</t>
  </si>
  <si>
    <t>AMORLINC#1</t>
  </si>
  <si>
    <t>XNPV#1</t>
  </si>
  <si>
    <t>XNPV#2</t>
  </si>
  <si>
    <t>XNPV#3</t>
  </si>
  <si>
    <t>XNPV#4</t>
  </si>
  <si>
    <t>XIRR#1</t>
  </si>
  <si>
    <t>XIRR#2</t>
  </si>
  <si>
    <t>WORKDAY#1</t>
  </si>
  <si>
    <t>WORKDAY#2</t>
  </si>
  <si>
    <t>WORKDAY#3</t>
  </si>
  <si>
    <t>WORKDAY#4</t>
  </si>
  <si>
    <t>WORKDAY#5</t>
  </si>
  <si>
    <t>WORKDAY#6</t>
  </si>
  <si>
    <t>WORKDAY#7</t>
  </si>
  <si>
    <t>WORKDAY#8</t>
  </si>
  <si>
    <t>WORKDAY#9</t>
  </si>
  <si>
    <t>WORKDAY#10</t>
  </si>
  <si>
    <t>WORKDAY.INTL#1</t>
  </si>
  <si>
    <t>NETWORKDAYS#1</t>
  </si>
  <si>
    <t>NETWORKDAYS.INTL#1</t>
  </si>
  <si>
    <t>ACCRINT#17</t>
  </si>
  <si>
    <t>ACCRINT#18</t>
  </si>
  <si>
    <t>ACCRINT#19</t>
  </si>
  <si>
    <t>ACCRINT#20</t>
  </si>
  <si>
    <t>ACCRINT#21</t>
  </si>
  <si>
    <t>ACCRINT#22</t>
  </si>
  <si>
    <t>ACCRINT#23</t>
  </si>
  <si>
    <t>ACCRINT#24</t>
  </si>
  <si>
    <t>ACCRINT#25</t>
  </si>
  <si>
    <t>AMORDEGRC#7</t>
  </si>
  <si>
    <t>AMORDEGRC#8</t>
  </si>
  <si>
    <t>AMORDEGRC#9</t>
  </si>
  <si>
    <t>AMORDEGRC#10</t>
  </si>
  <si>
    <t>AMORDEGRC#11</t>
  </si>
  <si>
    <t>AMORDEGRC#12</t>
  </si>
  <si>
    <t>AMORDEGRC#13</t>
  </si>
  <si>
    <t>AMORLINC#2</t>
  </si>
  <si>
    <t>AMORLINC#3</t>
  </si>
  <si>
    <t>XNPV#5</t>
  </si>
  <si>
    <t>WORKDAY#11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</si>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</sst>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>
        <v>45665</v>
      </c>
    </row>
    <row r="4" spans="1:1" x14ac:dyDescent="0.2">
      <c r="A4" t="s">
        <v>2</v>
      </c>
    </row>
    <row r="5" spans="1:1" x14ac:dyDescent="0.2">
      <c r="A5" t="b">
        <v>1</v>
      </c>
    </row>
    <row r="7" spans="1:1" x14ac:dyDescent="0.2">
      <c r="A7" t="s">
        <v>3</v>
      </c>
    </row>
    <row r="8" spans="1:1" x14ac:dyDescent="0.2">
      <c r="A8" t="s">
        <v>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5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6</v>
      </c>
      <c r="N1">
        <v>10</v>
      </c>
      <c r="P1">
        <v>1</v>
      </c>
      <c r="Q1">
        <v>2</v>
      </c>
      <c r="R1">
        <v>5</v>
      </c>
      <c r="S1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AA1" t="s">
        <v>7</v>
      </c>
      <c r="AB1" t="s">
        <v>8</v>
      </c>
      <c r="AC1" t="s">
        <v>7</v>
      </c>
      <c r="AD1" t="s">
        <v>7</v>
      </c>
      <c r="AE1" t="s">
        <v>7</v>
      </c>
      <c r="AF1" t="s">
        <v>7</v>
      </c>
      <c r="AG1" t="s">
        <v>7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12</v>
      </c>
    </row>
    <row r="2" spans="1:60" x14ac:dyDescent="0.2">
      <c r="A2" t="s">
        <v>13</v>
      </c>
      <c r="B2">
        <v>8</v>
      </c>
      <c r="C2">
        <v>7</v>
      </c>
      <c r="D2" t="s">
        <v>13</v>
      </c>
      <c r="E2">
        <v>2</v>
      </c>
      <c r="F2" t="s">
        <v>14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15</v>
      </c>
      <c r="N2">
        <v>20</v>
      </c>
      <c r="P2">
        <v>3</v>
      </c>
      <c r="Q2">
        <v>4</v>
      </c>
      <c r="R2">
        <v>7</v>
      </c>
      <c r="S2">
        <v>8</v>
      </c>
      <c r="U2" t="s">
        <v>16</v>
      </c>
      <c r="V2">
        <v>18</v>
      </c>
      <c r="W2">
        <v>20</v>
      </c>
      <c r="X2">
        <v>14</v>
      </c>
      <c r="Y2">
        <v>105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2</v>
      </c>
      <c r="B3">
        <v>15</v>
      </c>
      <c r="C3">
        <v>11</v>
      </c>
      <c r="D3" t="s">
        <v>2</v>
      </c>
      <c r="E3" t="e">
        <f>1/0</f>
        <v>#DIV/0!</v>
      </c>
      <c r="F3" t="s">
        <v>22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23</v>
      </c>
      <c r="N3">
        <v>30</v>
      </c>
      <c r="U3" t="s">
        <v>18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2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24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25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26</v>
      </c>
      <c r="N4">
        <v>50</v>
      </c>
      <c r="P4">
        <v>1</v>
      </c>
      <c r="Q4">
        <v>2</v>
      </c>
      <c r="R4">
        <v>3</v>
      </c>
      <c r="U4" t="s">
        <v>20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12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27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28</v>
      </c>
      <c r="N5">
        <v>80</v>
      </c>
      <c r="P5">
        <v>4</v>
      </c>
      <c r="Q5">
        <v>5</v>
      </c>
      <c r="R5">
        <v>6</v>
      </c>
      <c r="U5" t="s">
        <v>16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29</v>
      </c>
      <c r="AP5" s="1">
        <v>39786</v>
      </c>
      <c r="AS5" t="s">
        <v>30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31</v>
      </c>
      <c r="G6">
        <v>32</v>
      </c>
      <c r="H6" s="1">
        <v>45473</v>
      </c>
      <c r="L6">
        <v>13</v>
      </c>
      <c r="M6" t="s">
        <v>32</v>
      </c>
      <c r="N6">
        <v>130</v>
      </c>
      <c r="U6" t="s">
        <v>18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33</v>
      </c>
      <c r="G7">
        <v>64</v>
      </c>
      <c r="H7" s="1">
        <v>46022</v>
      </c>
      <c r="I7">
        <v>-10000</v>
      </c>
      <c r="J7">
        <v>100</v>
      </c>
      <c r="U7" t="s">
        <v>16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34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35</v>
      </c>
      <c r="AU8" s="1">
        <v>39448</v>
      </c>
      <c r="BG8">
        <v>2</v>
      </c>
    </row>
    <row r="9" spans="1:60" x14ac:dyDescent="0.2">
      <c r="A9" t="s">
        <v>36</v>
      </c>
      <c r="I9">
        <v>4200</v>
      </c>
      <c r="J9">
        <v>300</v>
      </c>
      <c r="L9" t="s">
        <v>6</v>
      </c>
      <c r="M9" t="s">
        <v>15</v>
      </c>
      <c r="N9" t="s">
        <v>23</v>
      </c>
      <c r="O9" t="s">
        <v>26</v>
      </c>
      <c r="P9" t="s">
        <v>28</v>
      </c>
      <c r="Q9" t="s">
        <v>32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37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38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3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ACCRINT(DATE(2024,1,1),DATE(2024,7,1),DATE(2025,1,15),0.05,1000,2,1)</f>
        <v>51.92307692307692</v>
      </c>
      <c r="B1">
        <f t="shared" ref="B1:B32" si="0">IF(ISERROR(A1),ERROR.TYPE(A1),IF(ISNUMBER(A1),0,IF(ISLOGICAL(A1),IF(A1,-1,-2),IF(ISTEXT(A1),-3,-4))))</f>
        <v>0</v>
      </c>
      <c r="C1">
        <f t="shared" ref="C1:C32" si="1">IF(ISNUMBER(A1),A1,0)</f>
        <v>51.92307692307692</v>
      </c>
      <c r="D1" t="str">
        <f t="shared" ref="D1:D32" si="2">IF(ISTEXT(A1),A1,"")</f>
        <v/>
      </c>
      <c r="E1" t="s">
        <v>39</v>
      </c>
    </row>
    <row r="2" spans="1:5" x14ac:dyDescent="0.2">
      <c r="A2" cm="1">
        <f t="array" ref="A2">ACCRINT(DATE(2024,1,1),DATE(2024,7,1),DATE(2024,8,15),0.05,1000,2,1)</f>
        <v>31.181318681318682</v>
      </c>
      <c r="B2">
        <f t="shared" si="0"/>
        <v>0</v>
      </c>
      <c r="C2">
        <f t="shared" si="1"/>
        <v>31.181318681318682</v>
      </c>
      <c r="D2" t="str">
        <f t="shared" si="2"/>
        <v/>
      </c>
      <c r="E2" t="s">
        <v>40</v>
      </c>
    </row>
    <row r="3" spans="1:5" x14ac:dyDescent="0.2">
      <c r="A3" cm="1">
        <f t="array" ref="A3">ACCRINT(DATE(2023,1,1),DATE(2023,7,1),DATE(2024,1,15),0.05,1000,2,1)</f>
        <v>51.933701657458563</v>
      </c>
      <c r="B3">
        <f t="shared" si="0"/>
        <v>0</v>
      </c>
      <c r="C3">
        <f t="shared" si="1"/>
        <v>51.933701657458563</v>
      </c>
      <c r="D3" t="str">
        <f t="shared" si="2"/>
        <v/>
      </c>
      <c r="E3" t="s">
        <v>41</v>
      </c>
    </row>
    <row r="4" spans="1:5" x14ac:dyDescent="0.2">
      <c r="A4" cm="1">
        <f t="array" ref="A4">ACCRINT(DATE(2024,1,1),DATE(2024,7,1),DATE(2025,1,15),0.05,1000,2,1,FALSE)</f>
        <v>52.197802197802204</v>
      </c>
      <c r="B4">
        <f t="shared" si="0"/>
        <v>0</v>
      </c>
      <c r="C4">
        <f t="shared" si="1"/>
        <v>52.197802197802204</v>
      </c>
      <c r="D4" t="str">
        <f t="shared" si="2"/>
        <v/>
      </c>
      <c r="E4" t="s">
        <v>42</v>
      </c>
    </row>
    <row r="5" spans="1:5" x14ac:dyDescent="0.2">
      <c r="A5" cm="1">
        <f t="array" ref="A5">ACCRINT(DATE(2024,1,1),DATE(2024,4,1),DATE(2024,11,15),0.05,1000,4,1)</f>
        <v>43.681318681318679</v>
      </c>
      <c r="B5">
        <f t="shared" si="0"/>
        <v>0</v>
      </c>
      <c r="C5">
        <f t="shared" si="1"/>
        <v>43.681318681318679</v>
      </c>
      <c r="D5" t="str">
        <f t="shared" si="2"/>
        <v/>
      </c>
      <c r="E5" t="s">
        <v>43</v>
      </c>
    </row>
    <row r="6" spans="1:5" x14ac:dyDescent="0.2">
      <c r="A6" cm="1">
        <f t="array" ref="A6">ACCRINT(DATE(2023,3,1),DATE(2024,3,1),DATE(2025,6,1),0.05,1000,1,1)</f>
        <v>112.56830601092895</v>
      </c>
      <c r="B6">
        <f t="shared" si="0"/>
        <v>0</v>
      </c>
      <c r="C6">
        <f t="shared" si="1"/>
        <v>112.56830601092895</v>
      </c>
      <c r="D6" t="str">
        <f t="shared" si="2"/>
        <v/>
      </c>
      <c r="E6" t="s">
        <v>44</v>
      </c>
    </row>
    <row r="7" spans="1:5" x14ac:dyDescent="0.2">
      <c r="A7" cm="1">
        <f t="array" ref="A7">ACCRINT(DATE(2024,2,15),DATE(2024,7,1),DATE(2025,3,1),0.05,1000,2,1)</f>
        <v>51.92307692307692</v>
      </c>
      <c r="B7">
        <f t="shared" si="0"/>
        <v>0</v>
      </c>
      <c r="C7">
        <f t="shared" si="1"/>
        <v>51.92307692307692</v>
      </c>
      <c r="D7" t="str">
        <f t="shared" si="2"/>
        <v/>
      </c>
      <c r="E7" t="s">
        <v>45</v>
      </c>
    </row>
    <row r="8" spans="1:5" x14ac:dyDescent="0.2">
      <c r="A8" cm="1">
        <f t="array" ref="A8">ACCRINT(DATE(2024,1,1),DATE(2024,7,1),DATE(2025,9,15),0.05,1000,2,1)</f>
        <v>85.439560439560452</v>
      </c>
      <c r="B8">
        <f t="shared" si="0"/>
        <v>0</v>
      </c>
      <c r="C8">
        <f t="shared" si="1"/>
        <v>85.439560439560452</v>
      </c>
      <c r="D8" t="str">
        <f t="shared" si="2"/>
        <v/>
      </c>
      <c r="E8" t="s">
        <v>46</v>
      </c>
    </row>
    <row r="9" spans="1:5" x14ac:dyDescent="0.2">
      <c r="A9" cm="1">
        <f t="array" ref="A9">ACCRINT(DATE(2024,1,1),DATE(2024,7,1),DATE(2025,1,1),0.05,1000,2,1)</f>
        <v>50.27472527472527</v>
      </c>
      <c r="B9">
        <f t="shared" si="0"/>
        <v>0</v>
      </c>
      <c r="C9">
        <f t="shared" si="1"/>
        <v>50.27472527472527</v>
      </c>
      <c r="D9" t="str">
        <f t="shared" si="2"/>
        <v/>
      </c>
      <c r="E9" t="s">
        <v>47</v>
      </c>
    </row>
    <row r="10" spans="1:5" x14ac:dyDescent="0.2">
      <c r="A10" cm="1">
        <f t="array" ref="A10">ACCRINT(DATE(2024,2,29),DATE(2024,8,31),DATE(2025,3,15),0.05,1000,2,1)</f>
        <v>52.038043478260867</v>
      </c>
      <c r="B10">
        <f t="shared" si="0"/>
        <v>0</v>
      </c>
      <c r="C10">
        <f t="shared" si="1"/>
        <v>52.038043478260867</v>
      </c>
      <c r="D10" t="str">
        <f t="shared" si="2"/>
        <v/>
      </c>
      <c r="E10" t="s">
        <v>48</v>
      </c>
    </row>
    <row r="11" spans="1:5" x14ac:dyDescent="0.2">
      <c r="A11" cm="1">
        <f t="array" ref="A11">ACCRINT(DATE(2023,1,1),DATE(2023,7,1),DATE(2024,8,15),0.05,1000,2,1)</f>
        <v>81.215469613259671</v>
      </c>
      <c r="B11">
        <f t="shared" si="0"/>
        <v>0</v>
      </c>
      <c r="C11">
        <f t="shared" si="1"/>
        <v>81.215469613259671</v>
      </c>
      <c r="D11" t="str">
        <f t="shared" si="2"/>
        <v/>
      </c>
      <c r="E11" t="s">
        <v>49</v>
      </c>
    </row>
    <row r="12" spans="1:5" x14ac:dyDescent="0.2">
      <c r="A12" cm="1">
        <f t="array" ref="A12">ACCRINT(DATE(2024,1,1),DATE(2024,7,1),DATE(2025,1,15),0.05,1000,2,4)</f>
        <v>51.944444444444436</v>
      </c>
      <c r="B12">
        <f t="shared" si="0"/>
        <v>0</v>
      </c>
      <c r="C12">
        <f t="shared" si="1"/>
        <v>51.944444444444436</v>
      </c>
      <c r="D12" t="str">
        <f t="shared" si="2"/>
        <v/>
      </c>
      <c r="E12" t="s">
        <v>50</v>
      </c>
    </row>
    <row r="13" spans="1:5" x14ac:dyDescent="0.2">
      <c r="A13" cm="1">
        <f t="array" ref="A13">ACCRINT(1,39691,39569,0.1,1000,2,0)</f>
        <v>0</v>
      </c>
      <c r="B13">
        <f t="shared" si="0"/>
        <v>0</v>
      </c>
      <c r="C13">
        <f t="shared" si="1"/>
        <v>0</v>
      </c>
      <c r="D13" t="str">
        <f t="shared" si="2"/>
        <v/>
      </c>
      <c r="E13" t="s">
        <v>51</v>
      </c>
    </row>
    <row r="14" spans="1:5" x14ac:dyDescent="0.2">
      <c r="A14" cm="1">
        <f t="array" ref="A14">ACCRINT(100,39691,39569,0.1,1000,2,0)</f>
        <v>10806.388888888891</v>
      </c>
      <c r="B14">
        <f t="shared" si="0"/>
        <v>0</v>
      </c>
      <c r="C14">
        <f t="shared" si="1"/>
        <v>10806.388888888891</v>
      </c>
      <c r="D14" t="str">
        <f t="shared" si="2"/>
        <v/>
      </c>
      <c r="E14" t="s">
        <v>52</v>
      </c>
    </row>
    <row r="15" spans="1:5" x14ac:dyDescent="0.2">
      <c r="A15" cm="1">
        <f t="array" ref="A15">ACCRINT(39508,1,39569,0.1,1000,2,0)</f>
        <v>16.666666666666664</v>
      </c>
      <c r="B15">
        <f t="shared" si="0"/>
        <v>0</v>
      </c>
      <c r="C15">
        <f t="shared" si="1"/>
        <v>16.666666666666664</v>
      </c>
      <c r="D15" t="str">
        <f t="shared" si="2"/>
        <v/>
      </c>
      <c r="E15" t="s">
        <v>53</v>
      </c>
    </row>
    <row r="16" spans="1:5" x14ac:dyDescent="0.2">
      <c r="A16" cm="1">
        <f t="array" ref="A16">ACCRINT(39508,39400,39569,0.1,1000,2,0)</f>
        <v>16.666666666666664</v>
      </c>
      <c r="B16">
        <f t="shared" si="0"/>
        <v>0</v>
      </c>
      <c r="C16">
        <f t="shared" si="1"/>
        <v>16.666666666666664</v>
      </c>
      <c r="D16" t="str">
        <f t="shared" si="2"/>
        <v/>
      </c>
      <c r="E16" t="s">
        <v>54</v>
      </c>
    </row>
    <row r="17" spans="1:5" x14ac:dyDescent="0.2">
      <c r="A17" cm="1">
        <f t="array" ref="A17">ACCRINTM(1,DATE(2008,6,15),0.1,1000,3)</f>
        <v>10852.876712328767</v>
      </c>
      <c r="B17">
        <f t="shared" si="0"/>
        <v>0</v>
      </c>
      <c r="C17">
        <f t="shared" si="1"/>
        <v>10852.876712328767</v>
      </c>
      <c r="D17" t="str">
        <f t="shared" si="2"/>
        <v/>
      </c>
      <c r="E17" t="s">
        <v>55</v>
      </c>
    </row>
    <row r="18" spans="1:5" x14ac:dyDescent="0.2">
      <c r="A18" t="e" cm="1">
        <f t="array" ref="A18">PRICE(1,DATE(2017,11,15),0.0575,0.065,100,2,0)</f>
        <v>#NUM!</v>
      </c>
      <c r="B18">
        <f t="shared" si="0"/>
        <v>6</v>
      </c>
      <c r="C18">
        <f t="shared" si="1"/>
        <v>0</v>
      </c>
      <c r="D18" t="str">
        <f t="shared" si="2"/>
        <v/>
      </c>
      <c r="E18" t="s">
        <v>56</v>
      </c>
    </row>
    <row r="19" spans="1:5" x14ac:dyDescent="0.2">
      <c r="A19" t="e" cm="1">
        <f t="array" ref="A19">PRICE(135,DATE(2017,11,15),0.0575,0.065,100,2,0)</f>
        <v>#NUM!</v>
      </c>
      <c r="B19">
        <f t="shared" si="0"/>
        <v>6</v>
      </c>
      <c r="C19">
        <f t="shared" si="1"/>
        <v>0</v>
      </c>
      <c r="D19" t="str">
        <f t="shared" si="2"/>
        <v/>
      </c>
      <c r="E19" t="s">
        <v>57</v>
      </c>
    </row>
    <row r="20" spans="1:5" x14ac:dyDescent="0.2">
      <c r="A20" cm="1">
        <f t="array" ref="A20">PRICE(136,DATE(2017,11,15),0.0575,0.065,100,2,0)</f>
        <v>88.467818809834839</v>
      </c>
      <c r="B20">
        <f t="shared" si="0"/>
        <v>0</v>
      </c>
      <c r="C20">
        <f t="shared" si="1"/>
        <v>88.467818809834839</v>
      </c>
      <c r="D20" t="str">
        <f t="shared" si="2"/>
        <v/>
      </c>
      <c r="E20" t="s">
        <v>58</v>
      </c>
    </row>
    <row r="21" spans="1:5" x14ac:dyDescent="0.2">
      <c r="A21" cm="1">
        <f t="array" ref="A21">PRICE(137,DATE(2017,11,15),0.0575,0.065,100,2,0)</f>
        <v>88.467567263699394</v>
      </c>
      <c r="B21">
        <f t="shared" si="0"/>
        <v>0</v>
      </c>
      <c r="C21">
        <f t="shared" si="1"/>
        <v>88.467567263699394</v>
      </c>
      <c r="D21" t="str">
        <f t="shared" si="2"/>
        <v/>
      </c>
      <c r="E21" t="s">
        <v>59</v>
      </c>
    </row>
    <row r="22" spans="1:5" x14ac:dyDescent="0.2">
      <c r="A22" t="e" cm="1">
        <f t="array" ref="A22">PRICE(0,DATE(2017,11,15),0.0575,0.065,100,2,1)</f>
        <v>#NUM!</v>
      </c>
      <c r="B22">
        <f t="shared" si="0"/>
        <v>6</v>
      </c>
      <c r="C22">
        <f t="shared" si="1"/>
        <v>0</v>
      </c>
      <c r="D22" t="str">
        <f t="shared" si="2"/>
        <v/>
      </c>
      <c r="E22" t="s">
        <v>60</v>
      </c>
    </row>
    <row r="23" spans="1:5" x14ac:dyDescent="0.2">
      <c r="A23" t="e" cm="1">
        <f t="array" ref="A23">COUPNUM(135,DATE(2017,11,15),2,0)</f>
        <v>#NUM!</v>
      </c>
      <c r="B23">
        <f t="shared" si="0"/>
        <v>6</v>
      </c>
      <c r="C23">
        <f t="shared" si="1"/>
        <v>0</v>
      </c>
      <c r="D23" t="str">
        <f t="shared" si="2"/>
        <v/>
      </c>
      <c r="E23" t="s">
        <v>61</v>
      </c>
    </row>
    <row r="24" spans="1:5" x14ac:dyDescent="0.2">
      <c r="A24" cm="1">
        <f t="array" ref="A24">DURATION(1,DATE(2048,1,1),0.08,0.09,2,1)</f>
        <v>11.611123050364789</v>
      </c>
      <c r="B24">
        <f t="shared" si="0"/>
        <v>0</v>
      </c>
      <c r="C24">
        <f t="shared" si="1"/>
        <v>11.611123050364789</v>
      </c>
      <c r="D24" t="str">
        <f t="shared" si="2"/>
        <v/>
      </c>
      <c r="E24" t="s">
        <v>62</v>
      </c>
    </row>
    <row r="25" spans="1:5" x14ac:dyDescent="0.2">
      <c r="A25" t="e" cm="1">
        <f t="array" ref="A25">MDURATION(0,DATE(2048,1,1),0.08,0.09,2,1)</f>
        <v>#NUM!</v>
      </c>
      <c r="B25">
        <f t="shared" si="0"/>
        <v>6</v>
      </c>
      <c r="C25">
        <f t="shared" si="1"/>
        <v>0</v>
      </c>
      <c r="D25" t="str">
        <f t="shared" si="2"/>
        <v/>
      </c>
      <c r="E25" t="s">
        <v>63</v>
      </c>
    </row>
    <row r="26" spans="1:5" x14ac:dyDescent="0.2">
      <c r="A26" cm="1">
        <f t="array" ref="A26">YIELD(136,DATE(2017,11,15),0.0575,95,100,2,0)</f>
        <v>6.0529204087290379E-2</v>
      </c>
      <c r="B26">
        <f t="shared" si="0"/>
        <v>0</v>
      </c>
      <c r="C26">
        <f t="shared" si="1"/>
        <v>6.0529204087290379E-2</v>
      </c>
      <c r="D26" t="str">
        <f t="shared" si="2"/>
        <v/>
      </c>
      <c r="E26" t="s">
        <v>64</v>
      </c>
    </row>
    <row r="27" spans="1:5" x14ac:dyDescent="0.2">
      <c r="A27" cm="1">
        <f t="array" ref="A27">AMORDEGRC(2400,0,DATE(2008,12,31),300,0,0.15,1)</f>
        <v>2100</v>
      </c>
      <c r="B27">
        <f t="shared" si="0"/>
        <v>0</v>
      </c>
      <c r="C27">
        <f t="shared" si="1"/>
        <v>2100</v>
      </c>
      <c r="D27" t="str">
        <f t="shared" si="2"/>
        <v/>
      </c>
      <c r="E27" t="s">
        <v>65</v>
      </c>
    </row>
    <row r="28" spans="1:5" x14ac:dyDescent="0.2">
      <c r="A28" cm="1">
        <f t="array" ref="A28">AMORDEGRC(2400,0,DATE(2008,12,31),300,2,0.15,1)</f>
        <v>0</v>
      </c>
      <c r="B28">
        <f t="shared" si="0"/>
        <v>0</v>
      </c>
      <c r="C28">
        <f t="shared" si="1"/>
        <v>0</v>
      </c>
      <c r="D28" t="str">
        <f t="shared" si="2"/>
        <v/>
      </c>
      <c r="E28" t="s">
        <v>66</v>
      </c>
    </row>
    <row r="29" spans="1:5" x14ac:dyDescent="0.2">
      <c r="A29" cm="1">
        <f t="array" ref="A29">AMORDEGRC(2400,0,DATE(2008,12,31),300,1,0.15,0)</f>
        <v>113</v>
      </c>
      <c r="B29">
        <f t="shared" si="0"/>
        <v>0</v>
      </c>
      <c r="C29">
        <f t="shared" si="1"/>
        <v>113</v>
      </c>
      <c r="D29" t="str">
        <f t="shared" si="2"/>
        <v/>
      </c>
      <c r="E29" t="s">
        <v>67</v>
      </c>
    </row>
    <row r="30" spans="1:5" x14ac:dyDescent="0.2">
      <c r="A30" cm="1">
        <f t="array" ref="A30">AMORDEGRC(2400,1,DATE(2008,12,31),300,1,0.15,1)</f>
        <v>113</v>
      </c>
      <c r="B30">
        <f t="shared" si="0"/>
        <v>0</v>
      </c>
      <c r="C30">
        <f t="shared" si="1"/>
        <v>113</v>
      </c>
      <c r="D30" t="str">
        <f t="shared" si="2"/>
        <v/>
      </c>
      <c r="E30" t="s">
        <v>68</v>
      </c>
    </row>
    <row r="31" spans="1:5" x14ac:dyDescent="0.2">
      <c r="A31" cm="1">
        <f t="array" ref="A31">AMORDEGRC(2400,0,DATE(2008,12,31),300,3,0.15,1)</f>
        <v>0</v>
      </c>
      <c r="B31">
        <f t="shared" si="0"/>
        <v>0</v>
      </c>
      <c r="C31">
        <f t="shared" si="1"/>
        <v>0</v>
      </c>
      <c r="D31" t="str">
        <f t="shared" si="2"/>
        <v/>
      </c>
      <c r="E31" t="s">
        <v>69</v>
      </c>
    </row>
    <row r="32" spans="1:5" x14ac:dyDescent="0.2">
      <c r="A32" cm="1">
        <f t="array" ref="A32">AMORDEGRC(2400,DATE(2008,1,1),DATE(2008,12,31),300,1,0.15,1)</f>
        <v>563</v>
      </c>
      <c r="B32">
        <f t="shared" si="0"/>
        <v>0</v>
      </c>
      <c r="C32">
        <f t="shared" si="1"/>
        <v>563</v>
      </c>
      <c r="D32" t="str">
        <f t="shared" si="2"/>
        <v/>
      </c>
      <c r="E32" t="s">
        <v>70</v>
      </c>
    </row>
    <row r="33" spans="1:5" x14ac:dyDescent="0.2">
      <c r="A33" cm="1">
        <f t="array" ref="A33">AMORLINC(2400,0,DATE(2008,12,31),300,0,0.15,1)</f>
        <v>2100</v>
      </c>
      <c r="B33">
        <f t="shared" ref="B33:B64" si="3">IF(ISERROR(A33),ERROR.TYPE(A33),IF(ISNUMBER(A33),0,IF(ISLOGICAL(A33),IF(A33,-1,-2),IF(ISTEXT(A33),-3,-4))))</f>
        <v>0</v>
      </c>
      <c r="C33">
        <f t="shared" ref="C33:C64" si="4">IF(ISNUMBER(A33),A33,0)</f>
        <v>2100</v>
      </c>
      <c r="D33" t="str">
        <f t="shared" ref="D33:D64" si="5">IF(ISTEXT(A33),A33,"")</f>
        <v/>
      </c>
      <c r="E33" t="s">
        <v>71</v>
      </c>
    </row>
    <row r="34" spans="1:5" x14ac:dyDescent="0.2">
      <c r="A34" t="e" cm="1">
        <f t="array" ref="A34">XNPV(0.1,{-1000,600,600},{0,365,730})</f>
        <v>#NUM!</v>
      </c>
      <c r="B34">
        <f t="shared" si="3"/>
        <v>6</v>
      </c>
      <c r="C34">
        <f t="shared" si="4"/>
        <v>0</v>
      </c>
      <c r="D34" t="str">
        <f t="shared" si="5"/>
        <v/>
      </c>
      <c r="E34" t="s">
        <v>72</v>
      </c>
    </row>
    <row r="35" spans="1:5" x14ac:dyDescent="0.2">
      <c r="A35" cm="1">
        <f t="array" ref="A35">XNPV(0.1,{-1000,600,600},{1,366,731})</f>
        <v>41.322314049586623</v>
      </c>
      <c r="B35">
        <f t="shared" si="3"/>
        <v>0</v>
      </c>
      <c r="C35">
        <f t="shared" si="4"/>
        <v>41.322314049586623</v>
      </c>
      <c r="D35" t="str">
        <f t="shared" si="5"/>
        <v/>
      </c>
      <c r="E35" t="s">
        <v>73</v>
      </c>
    </row>
    <row r="36" spans="1:5" x14ac:dyDescent="0.2">
      <c r="A36" t="e" cm="1">
        <f t="array" ref="A36">XNPV(0.1,{-1000,600,600},{40000,0,40100})</f>
        <v>#NUM!</v>
      </c>
      <c r="B36">
        <f t="shared" si="3"/>
        <v>6</v>
      </c>
      <c r="C36">
        <f t="shared" si="4"/>
        <v>0</v>
      </c>
      <c r="D36" t="str">
        <f t="shared" si="5"/>
        <v/>
      </c>
      <c r="E36" t="s">
        <v>74</v>
      </c>
    </row>
    <row r="37" spans="1:5" x14ac:dyDescent="0.2">
      <c r="A37" t="e" cm="1">
        <f t="array" ref="A37">XNPV(0.1,{-1000,600},{0.5,365})</f>
        <v>#NUM!</v>
      </c>
      <c r="B37">
        <f t="shared" si="3"/>
        <v>6</v>
      </c>
      <c r="C37">
        <f t="shared" si="4"/>
        <v>0</v>
      </c>
      <c r="D37" t="str">
        <f t="shared" si="5"/>
        <v/>
      </c>
      <c r="E37" t="s">
        <v>75</v>
      </c>
    </row>
    <row r="38" spans="1:5" x14ac:dyDescent="0.2">
      <c r="A38" cm="1">
        <f t="array" ref="A38">XIRR({-1000,600,600},{0,365,730})</f>
        <v>0.13066238760948182</v>
      </c>
      <c r="B38">
        <f t="shared" si="3"/>
        <v>0</v>
      </c>
      <c r="C38">
        <f t="shared" si="4"/>
        <v>0.13066238760948182</v>
      </c>
      <c r="D38" t="str">
        <f t="shared" si="5"/>
        <v/>
      </c>
      <c r="E38" t="s">
        <v>76</v>
      </c>
    </row>
    <row r="39" spans="1:5" x14ac:dyDescent="0.2">
      <c r="A39" cm="1">
        <f t="array" ref="A39">XIRR({-1000,600,600},{1,366,731})</f>
        <v>0.13066238760948182</v>
      </c>
      <c r="B39">
        <f t="shared" si="3"/>
        <v>0</v>
      </c>
      <c r="C39">
        <f t="shared" si="4"/>
        <v>0.13066238760948182</v>
      </c>
      <c r="D39" t="str">
        <f t="shared" si="5"/>
        <v/>
      </c>
      <c r="E39" t="s">
        <v>77</v>
      </c>
    </row>
    <row r="40" spans="1:5" x14ac:dyDescent="0.2">
      <c r="A40" cm="1">
        <f t="array" ref="A40">WORKDAY(DATE(2025,1,1),5,H!A1)</f>
        <v>45666</v>
      </c>
      <c r="B40">
        <f t="shared" si="3"/>
        <v>0</v>
      </c>
      <c r="C40">
        <f t="shared" si="4"/>
        <v>45666</v>
      </c>
      <c r="D40" t="str">
        <f t="shared" si="5"/>
        <v/>
      </c>
      <c r="E40" t="s">
        <v>78</v>
      </c>
    </row>
    <row r="41" spans="1:5" x14ac:dyDescent="0.2">
      <c r="A41" cm="1">
        <f t="array" ref="A41">WORKDAY(DATE(2025,1,1),5,H!A1:A2)</f>
        <v>45667</v>
      </c>
      <c r="B41">
        <f t="shared" si="3"/>
        <v>0</v>
      </c>
      <c r="C41">
        <f t="shared" si="4"/>
        <v>45667</v>
      </c>
      <c r="D41" t="str">
        <f t="shared" si="5"/>
        <v/>
      </c>
      <c r="E41" t="s">
        <v>79</v>
      </c>
    </row>
    <row r="42" spans="1:5" x14ac:dyDescent="0.2">
      <c r="A42" cm="1">
        <f t="array" ref="A42">WORKDAY(DATE(2025,1,1),5,H!A1:A3)</f>
        <v>45670</v>
      </c>
      <c r="B42">
        <f t="shared" si="3"/>
        <v>0</v>
      </c>
      <c r="C42">
        <f t="shared" si="4"/>
        <v>45670</v>
      </c>
      <c r="D42" t="str">
        <f t="shared" si="5"/>
        <v/>
      </c>
      <c r="E42" t="s">
        <v>80</v>
      </c>
    </row>
    <row r="43" spans="1:5" x14ac:dyDescent="0.2">
      <c r="A43" t="e" cm="1">
        <f t="array" ref="A43">WORKDAY(DATE(2025,1,1),5,H!A4)</f>
        <v>#VALUE!</v>
      </c>
      <c r="B43">
        <f t="shared" si="3"/>
        <v>3</v>
      </c>
      <c r="C43">
        <f t="shared" si="4"/>
        <v>0</v>
      </c>
      <c r="D43" t="str">
        <f t="shared" si="5"/>
        <v/>
      </c>
      <c r="E43" t="s">
        <v>81</v>
      </c>
    </row>
    <row r="44" spans="1:5" x14ac:dyDescent="0.2">
      <c r="A44" t="e" cm="1">
        <f t="array" ref="A44">WORKDAY(DATE(2025,1,1),5,H!A1:A6)</f>
        <v>#VALUE!</v>
      </c>
      <c r="B44">
        <f t="shared" si="3"/>
        <v>3</v>
      </c>
      <c r="C44">
        <f t="shared" si="4"/>
        <v>0</v>
      </c>
      <c r="D44" t="str">
        <f t="shared" si="5"/>
        <v/>
      </c>
      <c r="E44" t="s">
        <v>82</v>
      </c>
    </row>
    <row r="45" spans="1:5" x14ac:dyDescent="0.2">
      <c r="A45" t="e" cm="1">
        <f t="array" ref="A45">WORKDAY(DATE(2025,1,1),5,H!A5)</f>
        <v>#VALUE!</v>
      </c>
      <c r="B45">
        <f t="shared" si="3"/>
        <v>3</v>
      </c>
      <c r="C45">
        <f t="shared" si="4"/>
        <v>0</v>
      </c>
      <c r="D45" t="str">
        <f t="shared" si="5"/>
        <v/>
      </c>
      <c r="E45" t="s">
        <v>83</v>
      </c>
    </row>
    <row r="46" spans="1:5" x14ac:dyDescent="0.2">
      <c r="A46" cm="1">
        <f t="array" ref="A46">WORKDAY(DATE(2025,1,1),5,H!A7)</f>
        <v>45666</v>
      </c>
      <c r="B46">
        <f t="shared" si="3"/>
        <v>0</v>
      </c>
      <c r="C46">
        <f t="shared" si="4"/>
        <v>45666</v>
      </c>
      <c r="D46" t="str">
        <f t="shared" si="5"/>
        <v/>
      </c>
      <c r="E46" t="s">
        <v>84</v>
      </c>
    </row>
    <row r="47" spans="1:5" x14ac:dyDescent="0.2">
      <c r="A47" cm="1">
        <f t="array" ref="A47">WORKDAY(DATE(2025,1,1),5,H!A8)</f>
        <v>45666</v>
      </c>
      <c r="B47">
        <f t="shared" si="3"/>
        <v>0</v>
      </c>
      <c r="C47">
        <f t="shared" si="4"/>
        <v>45666</v>
      </c>
      <c r="D47" t="str">
        <f t="shared" si="5"/>
        <v/>
      </c>
      <c r="E47" t="s">
        <v>85</v>
      </c>
    </row>
    <row r="48" spans="1:5" x14ac:dyDescent="0.2">
      <c r="A48" cm="1">
        <f t="array" ref="A48">WORKDAY(DATE(2025,1,1),5,"1/6/2025")</f>
        <v>45666</v>
      </c>
      <c r="B48">
        <f t="shared" si="3"/>
        <v>0</v>
      </c>
      <c r="C48">
        <f t="shared" si="4"/>
        <v>45666</v>
      </c>
      <c r="D48" t="str">
        <f t="shared" si="5"/>
        <v/>
      </c>
      <c r="E48" t="s">
        <v>86</v>
      </c>
    </row>
    <row r="49" spans="1:5" x14ac:dyDescent="0.2">
      <c r="A49" cm="1">
        <f t="array" ref="A49">WORKDAY(DATE(2025,1,1),5,{"1/6/2025"})</f>
        <v>45666</v>
      </c>
      <c r="B49">
        <f t="shared" si="3"/>
        <v>0</v>
      </c>
      <c r="C49">
        <f t="shared" si="4"/>
        <v>45666</v>
      </c>
      <c r="D49" t="str">
        <f t="shared" si="5"/>
        <v/>
      </c>
      <c r="E49" t="s">
        <v>87</v>
      </c>
    </row>
    <row r="50" spans="1:5" x14ac:dyDescent="0.2">
      <c r="A50" cm="1">
        <f t="array" ref="A50">WORKDAY.INTL(DATE(2025,1,1),5,1,H!A1)</f>
        <v>45666</v>
      </c>
      <c r="B50">
        <f t="shared" si="3"/>
        <v>0</v>
      </c>
      <c r="C50">
        <f t="shared" si="4"/>
        <v>45666</v>
      </c>
      <c r="D50" t="str">
        <f t="shared" si="5"/>
        <v/>
      </c>
      <c r="E50" t="s">
        <v>88</v>
      </c>
    </row>
    <row r="51" spans="1:5" x14ac:dyDescent="0.2">
      <c r="A51" cm="1">
        <f t="array" ref="A51">NETWORKDAYS(DATE(2025,1,1),DATE(2025,1,10),H!A1)</f>
        <v>7</v>
      </c>
      <c r="B51">
        <f t="shared" si="3"/>
        <v>0</v>
      </c>
      <c r="C51">
        <f t="shared" si="4"/>
        <v>7</v>
      </c>
      <c r="D51" t="str">
        <f t="shared" si="5"/>
        <v/>
      </c>
      <c r="E51" t="s">
        <v>89</v>
      </c>
    </row>
    <row r="52" spans="1:5" x14ac:dyDescent="0.2">
      <c r="A52" cm="1">
        <f t="array" ref="A52">NETWORKDAYS.INTL(DATE(2025,1,1),DATE(2025,1,10),1,H!A1:A2)</f>
        <v>6</v>
      </c>
      <c r="B52">
        <f t="shared" si="3"/>
        <v>0</v>
      </c>
      <c r="C52">
        <f t="shared" si="4"/>
        <v>6</v>
      </c>
      <c r="D52" t="str">
        <f t="shared" si="5"/>
        <v/>
      </c>
      <c r="E52" t="s">
        <v>90</v>
      </c>
    </row>
    <row r="53" spans="1:5" x14ac:dyDescent="0.2">
      <c r="A53" cm="1">
        <f t="array" ref="A53">ACCRINT(DATE(2024,1,1),DATE(2024,7,1),DATE(2025,1,1),0.05,1000,2,0)</f>
        <v>50</v>
      </c>
      <c r="B53">
        <f t="shared" si="3"/>
        <v>0</v>
      </c>
      <c r="C53">
        <f t="shared" si="4"/>
        <v>50</v>
      </c>
      <c r="D53" t="str">
        <f t="shared" si="5"/>
        <v/>
      </c>
      <c r="E53" t="s">
        <v>91</v>
      </c>
    </row>
    <row r="54" spans="1:5" x14ac:dyDescent="0.2">
      <c r="A54" cm="1">
        <f t="array" ref="A54">ACCRINT(DATE(2024,1,1),DATE(2024,7,1),DATE(2025,1,1),0.05,1000,2,2)</f>
        <v>50.555555555555557</v>
      </c>
      <c r="B54">
        <f t="shared" si="3"/>
        <v>0</v>
      </c>
      <c r="C54">
        <f t="shared" si="4"/>
        <v>50.555555555555557</v>
      </c>
      <c r="D54" t="str">
        <f t="shared" si="5"/>
        <v/>
      </c>
      <c r="E54" t="s">
        <v>92</v>
      </c>
    </row>
    <row r="55" spans="1:5" x14ac:dyDescent="0.2">
      <c r="A55" cm="1">
        <f t="array" ref="A55">ACCRINT(DATE(2024,1,1),DATE(2024,7,1),DATE(2025,1,1),0.05,1000,2,3)</f>
        <v>50.205479452054803</v>
      </c>
      <c r="B55">
        <f t="shared" si="3"/>
        <v>0</v>
      </c>
      <c r="C55">
        <f t="shared" si="4"/>
        <v>50.205479452054803</v>
      </c>
      <c r="D55" t="str">
        <f t="shared" si="5"/>
        <v/>
      </c>
      <c r="E55" t="s">
        <v>93</v>
      </c>
    </row>
    <row r="56" spans="1:5" x14ac:dyDescent="0.2">
      <c r="A56" cm="1">
        <f t="array" ref="A56">ACCRINT(DATE(2024,1,1),DATE(2024,7,1),DATE(2025,1,1),0.05,1000,2,4)</f>
        <v>50</v>
      </c>
      <c r="B56">
        <f t="shared" si="3"/>
        <v>0</v>
      </c>
      <c r="C56">
        <f t="shared" si="4"/>
        <v>50</v>
      </c>
      <c r="D56" t="str">
        <f t="shared" si="5"/>
        <v/>
      </c>
      <c r="E56" t="s">
        <v>94</v>
      </c>
    </row>
    <row r="57" spans="1:5" x14ac:dyDescent="0.2">
      <c r="A57" cm="1">
        <f t="array" ref="A57">ACCRINT(DATE(2024,1,1),DATE(2024,4,1),DATE(2024,10,1),0.05,1000,4,1)</f>
        <v>37.637362637362635</v>
      </c>
      <c r="B57">
        <f t="shared" si="3"/>
        <v>0</v>
      </c>
      <c r="C57">
        <f t="shared" si="4"/>
        <v>37.637362637362635</v>
      </c>
      <c r="D57" t="str">
        <f t="shared" si="5"/>
        <v/>
      </c>
      <c r="E57" t="s">
        <v>95</v>
      </c>
    </row>
    <row r="58" spans="1:5" x14ac:dyDescent="0.2">
      <c r="A58" cm="1">
        <f t="array" ref="A58">ACCRINT(DATE(2023,8,1),DATE(2024,7,1),DATE(2024,8,15),0.05,1000,2,1)</f>
        <v>51.969362159579546</v>
      </c>
      <c r="B58">
        <f t="shared" si="3"/>
        <v>0</v>
      </c>
      <c r="C58">
        <f t="shared" si="4"/>
        <v>51.969362159579546</v>
      </c>
      <c r="D58" t="str">
        <f t="shared" si="5"/>
        <v/>
      </c>
      <c r="E58" t="s">
        <v>96</v>
      </c>
    </row>
    <row r="59" spans="1:5" x14ac:dyDescent="0.2">
      <c r="A59" cm="1">
        <f t="array" ref="A59">ACCRINT(DATE(2023,8,1),DATE(2024,7,1),DATE(2024,3,15),0.05,1000,2,1)</f>
        <v>30.952878643096039</v>
      </c>
      <c r="B59">
        <f t="shared" si="3"/>
        <v>0</v>
      </c>
      <c r="C59">
        <f t="shared" si="4"/>
        <v>30.952878643096039</v>
      </c>
      <c r="D59" t="str">
        <f t="shared" si="5"/>
        <v/>
      </c>
      <c r="E59" t="s">
        <v>97</v>
      </c>
    </row>
    <row r="60" spans="1:5" x14ac:dyDescent="0.2">
      <c r="A60" cm="1">
        <f t="array" ref="A60">ACCRINT(58,39691,39569,0.1,1000,2,0)</f>
        <v>0</v>
      </c>
      <c r="B60">
        <f t="shared" si="3"/>
        <v>0</v>
      </c>
      <c r="C60">
        <f t="shared" si="4"/>
        <v>0</v>
      </c>
      <c r="D60" t="str">
        <f t="shared" si="5"/>
        <v/>
      </c>
      <c r="E60" t="s">
        <v>98</v>
      </c>
    </row>
    <row r="61" spans="1:5" x14ac:dyDescent="0.2">
      <c r="A61" cm="1">
        <f t="array" ref="A61">ACCRINT(60,39691,39569,0.1,1000,2,0)</f>
        <v>10817.500000000002</v>
      </c>
      <c r="B61">
        <f t="shared" si="3"/>
        <v>0</v>
      </c>
      <c r="C61">
        <f t="shared" si="4"/>
        <v>10817.500000000002</v>
      </c>
      <c r="D61" t="str">
        <f t="shared" si="5"/>
        <v/>
      </c>
      <c r="E61" t="s">
        <v>99</v>
      </c>
    </row>
    <row r="62" spans="1:5" x14ac:dyDescent="0.2">
      <c r="A62" cm="1">
        <f t="array" ref="A62">AMORDEGRC(2400,DATE(2008,8,19),DATE(2008,12,31),2000,1,0.15,1)</f>
        <v>776</v>
      </c>
      <c r="B62">
        <f t="shared" si="3"/>
        <v>0</v>
      </c>
      <c r="C62">
        <f t="shared" si="4"/>
        <v>776</v>
      </c>
      <c r="D62" t="str">
        <f t="shared" si="5"/>
        <v/>
      </c>
      <c r="E62" t="s">
        <v>100</v>
      </c>
    </row>
    <row r="63" spans="1:5" x14ac:dyDescent="0.2">
      <c r="A63" cm="1">
        <f t="array" ref="A63">AMORDEGRC(2400,DATE(2008,8,19),DATE(2008,12,31),2000,2,0.15,1)</f>
        <v>0</v>
      </c>
      <c r="B63">
        <f t="shared" si="3"/>
        <v>0</v>
      </c>
      <c r="C63">
        <f t="shared" si="4"/>
        <v>0</v>
      </c>
      <c r="D63" t="str">
        <f t="shared" si="5"/>
        <v/>
      </c>
      <c r="E63" t="s">
        <v>101</v>
      </c>
    </row>
    <row r="64" spans="1:5" x14ac:dyDescent="0.2">
      <c r="A64" cm="1">
        <f t="array" ref="A64">AMORDEGRC(2400,DATE(2008,8,19),DATE(2008,12,31),1500,1,0.15,1)</f>
        <v>776</v>
      </c>
      <c r="B64">
        <f t="shared" si="3"/>
        <v>0</v>
      </c>
      <c r="C64">
        <f t="shared" si="4"/>
        <v>776</v>
      </c>
      <c r="D64" t="str">
        <f t="shared" si="5"/>
        <v/>
      </c>
      <c r="E64" t="s">
        <v>102</v>
      </c>
    </row>
    <row r="65" spans="1:5" x14ac:dyDescent="0.2">
      <c r="A65" cm="1">
        <f t="array" ref="A65">AMORDEGRC(2400,DATE(2008,8,19),DATE(2008,12,31),300,5,0.15,1)</f>
        <v>158</v>
      </c>
      <c r="B65">
        <f t="shared" ref="B65:B96" si="6">IF(ISERROR(A65),ERROR.TYPE(A65),IF(ISNUMBER(A65),0,IF(ISLOGICAL(A65),IF(A65,-1,-2),IF(ISTEXT(A65),-3,-4))))</f>
        <v>0</v>
      </c>
      <c r="C65">
        <f t="shared" ref="C65:C72" si="7">IF(ISNUMBER(A65),A65,0)</f>
        <v>158</v>
      </c>
      <c r="D65" t="str">
        <f t="shared" ref="D65:D72" si="8">IF(ISTEXT(A65),A65,"")</f>
        <v/>
      </c>
      <c r="E65" t="s">
        <v>103</v>
      </c>
    </row>
    <row r="66" spans="1:5" x14ac:dyDescent="0.2">
      <c r="A66" cm="1">
        <f t="array" ref="A66">AMORDEGRC(2400,DATE(2008,8,19),DATE(2008,12,31),2300,0,0.15,1)</f>
        <v>100</v>
      </c>
      <c r="B66">
        <f t="shared" si="6"/>
        <v>0</v>
      </c>
      <c r="C66">
        <f t="shared" si="7"/>
        <v>100</v>
      </c>
      <c r="D66" t="str">
        <f t="shared" si="8"/>
        <v/>
      </c>
      <c r="E66" t="s">
        <v>104</v>
      </c>
    </row>
    <row r="67" spans="1:5" x14ac:dyDescent="0.2">
      <c r="A67" cm="1">
        <f t="array" ref="A67">AMORDEGRC(2400,DATE(1950,1,1),DATE(2008,12,31),300,0,0.15,1)</f>
        <v>2100</v>
      </c>
      <c r="B67">
        <f t="shared" si="6"/>
        <v>0</v>
      </c>
      <c r="C67">
        <f t="shared" si="7"/>
        <v>2100</v>
      </c>
      <c r="D67" t="str">
        <f t="shared" si="8"/>
        <v/>
      </c>
      <c r="E67" t="s">
        <v>105</v>
      </c>
    </row>
    <row r="68" spans="1:5" x14ac:dyDescent="0.2">
      <c r="A68" cm="1">
        <f t="array" ref="A68">AMORDEGRC(2400,DATE(1950,1,1),DATE(2008,12,31),300,1,0.15,1)</f>
        <v>113</v>
      </c>
      <c r="B68">
        <f t="shared" si="6"/>
        <v>0</v>
      </c>
      <c r="C68">
        <f t="shared" si="7"/>
        <v>113</v>
      </c>
      <c r="D68" t="str">
        <f t="shared" si="8"/>
        <v/>
      </c>
      <c r="E68" t="s">
        <v>106</v>
      </c>
    </row>
    <row r="69" spans="1:5" x14ac:dyDescent="0.2">
      <c r="A69" cm="1">
        <f t="array" ref="A69">AMORLINC(2400,DATE(1950,1,1),DATE(2008,12,31),300,0,0.15,1)</f>
        <v>2100</v>
      </c>
      <c r="B69">
        <f t="shared" si="6"/>
        <v>0</v>
      </c>
      <c r="C69">
        <f t="shared" si="7"/>
        <v>2100</v>
      </c>
      <c r="D69" t="str">
        <f t="shared" si="8"/>
        <v/>
      </c>
      <c r="E69" t="s">
        <v>107</v>
      </c>
    </row>
    <row r="70" spans="1:5" x14ac:dyDescent="0.2">
      <c r="A70" cm="1">
        <f t="array" ref="A70">AMORLINC(2400,DATE(1950,1,1),DATE(2008,12,31),300,1,0.15,1)</f>
        <v>0</v>
      </c>
      <c r="B70">
        <f t="shared" si="6"/>
        <v>0</v>
      </c>
      <c r="C70">
        <f t="shared" si="7"/>
        <v>0</v>
      </c>
      <c r="D70" t="str">
        <f t="shared" si="8"/>
        <v/>
      </c>
      <c r="E70" t="s">
        <v>108</v>
      </c>
    </row>
    <row r="71" spans="1:5" x14ac:dyDescent="0.2">
      <c r="A71" t="e" cm="1">
        <f t="array" ref="A71">XNPV(0.1,{-1000,600,600},{0,0,365})</f>
        <v>#NUM!</v>
      </c>
      <c r="B71">
        <f t="shared" si="6"/>
        <v>6</v>
      </c>
      <c r="C71">
        <f t="shared" si="7"/>
        <v>0</v>
      </c>
      <c r="D71" t="str">
        <f t="shared" si="8"/>
        <v/>
      </c>
      <c r="E71" t="s">
        <v>109</v>
      </c>
    </row>
    <row r="72" spans="1:5" x14ac:dyDescent="0.2">
      <c r="A72" t="e" cm="1">
        <f t="array" ref="A72">WORKDAY(DATE(2025,1,1),5,{"1/6/2025";"abc"})</f>
        <v>#VALUE!</v>
      </c>
      <c r="B72">
        <f t="shared" si="6"/>
        <v>3</v>
      </c>
      <c r="C72">
        <f t="shared" si="7"/>
        <v>0</v>
      </c>
      <c r="D72" t="str">
        <f t="shared" si="8"/>
        <v/>
      </c>
      <c r="E72" t="s">
        <v>110</v>
      </c>
    </row>
    <row r="73" spans="1:5" x14ac:dyDescent="0.2">
      <c r="A73" t="s">
        <v>111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2026-10-08T17:01:12Z</dcterms:created>
  <dcterms:modified xsi:type="dcterms:W3CDTF">2026-10-08T17:01:21Z</dcterms:modified>
  <cp:category/>
</cp:coreProperties>
</file>