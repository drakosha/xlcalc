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7CFBED8-1E53-1248-9CA7-60014F52EEA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D399" i="2" s="1"/>
  <c r="A398" i="2" a="1"/>
  <c r="A398" i="2" s="1"/>
  <c r="A397" i="2" a="1"/>
  <c r="A397" i="2" s="1"/>
  <c r="D397" i="2" s="1"/>
  <c r="A396" i="2" a="1"/>
  <c r="A396" i="2" s="1"/>
  <c r="A395" i="2" a="1"/>
  <c r="A395" i="2" s="1"/>
  <c r="A394" i="2" a="1"/>
  <c r="A394" i="2" s="1"/>
  <c r="D394" i="2" s="1"/>
  <c r="A393" i="2" a="1"/>
  <c r="A393" i="2"/>
  <c r="C393" i="2" s="1"/>
  <c r="A392" i="2" a="1"/>
  <c r="A392" i="2"/>
  <c r="A391" i="2" a="1"/>
  <c r="A391" i="2" s="1"/>
  <c r="D391" i="2" s="1"/>
  <c r="A390" i="2" a="1"/>
  <c r="A390" i="2" s="1"/>
  <c r="C390" i="2" s="1"/>
  <c r="A389" i="2" a="1"/>
  <c r="A389" i="2" s="1"/>
  <c r="D389" i="2" s="1"/>
  <c r="A388" i="2" a="1"/>
  <c r="A388" i="2" s="1"/>
  <c r="A387" i="2" a="1"/>
  <c r="A387" i="2" s="1"/>
  <c r="A386" i="2" a="1"/>
  <c r="A386" i="2" s="1"/>
  <c r="B386" i="2" s="1"/>
  <c r="A385" i="2" a="1"/>
  <c r="A385" i="2"/>
  <c r="A384" i="2" a="1"/>
  <c r="A384" i="2"/>
  <c r="C384" i="2" s="1"/>
  <c r="D383" i="2"/>
  <c r="A383" i="2" a="1"/>
  <c r="A383" i="2"/>
  <c r="C383" i="2" s="1"/>
  <c r="A382" i="2" a="1"/>
  <c r="A382" i="2" s="1"/>
  <c r="D382" i="2" s="1"/>
  <c r="A381" i="2" a="1"/>
  <c r="A381" i="2" s="1"/>
  <c r="D381" i="2" s="1"/>
  <c r="A380" i="2" a="1"/>
  <c r="A380" i="2" s="1"/>
  <c r="A379" i="2" a="1"/>
  <c r="A379" i="2" s="1"/>
  <c r="A378" i="2" a="1"/>
  <c r="A378" i="2"/>
  <c r="A377" i="2" a="1"/>
  <c r="A377" i="2" s="1"/>
  <c r="A376" i="2" a="1"/>
  <c r="A376" i="2"/>
  <c r="D376" i="2" s="1"/>
  <c r="A375" i="2" a="1"/>
  <c r="A375" i="2" s="1"/>
  <c r="A374" i="2" a="1"/>
  <c r="A374" i="2"/>
  <c r="A373" i="2" a="1"/>
  <c r="A373" i="2" s="1"/>
  <c r="D373" i="2" s="1"/>
  <c r="A372" i="2" a="1"/>
  <c r="A372" i="2" s="1"/>
  <c r="D372" i="2" s="1"/>
  <c r="A371" i="2" a="1"/>
  <c r="A371" i="2"/>
  <c r="D371" i="2" s="1"/>
  <c r="C370" i="2"/>
  <c r="A370" i="2" a="1"/>
  <c r="A370" i="2"/>
  <c r="B370" i="2" s="1"/>
  <c r="A369" i="2" a="1"/>
  <c r="A369" i="2"/>
  <c r="A368" i="2" a="1"/>
  <c r="A368" i="2"/>
  <c r="B368" i="2" s="1"/>
  <c r="A367" i="2" a="1"/>
  <c r="A367" i="2" s="1"/>
  <c r="A366" i="2" a="1"/>
  <c r="A366" i="2"/>
  <c r="C366" i="2" s="1"/>
  <c r="A365" i="2" a="1"/>
  <c r="A365" i="2" s="1"/>
  <c r="D365" i="2" s="1"/>
  <c r="A364" i="2" a="1"/>
  <c r="A364" i="2" s="1"/>
  <c r="D364" i="2" s="1"/>
  <c r="A363" i="2" a="1"/>
  <c r="A363" i="2" s="1"/>
  <c r="B363" i="2" s="1"/>
  <c r="A362" i="2" a="1"/>
  <c r="A362" i="2" s="1"/>
  <c r="A361" i="2" a="1"/>
  <c r="A361" i="2" s="1"/>
  <c r="B361" i="2" s="1"/>
  <c r="A360" i="2" a="1"/>
  <c r="A360" i="2" s="1"/>
  <c r="A359" i="2" a="1"/>
  <c r="A359" i="2"/>
  <c r="A358" i="2" a="1"/>
  <c r="A358" i="2" s="1"/>
  <c r="A357" i="2" a="1"/>
  <c r="A357" i="2" s="1"/>
  <c r="A356" i="2" a="1"/>
  <c r="A356" i="2"/>
  <c r="D356" i="2" s="1"/>
  <c r="A355" i="2" a="1"/>
  <c r="A355" i="2" s="1"/>
  <c r="B354" i="2"/>
  <c r="A354" i="2" a="1"/>
  <c r="A354" i="2" s="1"/>
  <c r="A353" i="2" a="1"/>
  <c r="A353" i="2" s="1"/>
  <c r="A352" i="2" a="1"/>
  <c r="A352" i="2"/>
  <c r="D352" i="2" s="1"/>
  <c r="A351" i="2" a="1"/>
  <c r="A351" i="2" s="1"/>
  <c r="A350" i="2" a="1"/>
  <c r="A350" i="2" s="1"/>
  <c r="B350" i="2" s="1"/>
  <c r="A349" i="2" a="1"/>
  <c r="A349" i="2"/>
  <c r="B349" i="2" s="1"/>
  <c r="A348" i="2" a="1"/>
  <c r="A348" i="2" s="1"/>
  <c r="A347" i="2" a="1"/>
  <c r="A347" i="2" s="1"/>
  <c r="D347" i="2" s="1"/>
  <c r="A346" i="2" a="1"/>
  <c r="A346" i="2" s="1"/>
  <c r="A345" i="2" a="1"/>
  <c r="A345" i="2" s="1"/>
  <c r="B345" i="2" s="1"/>
  <c r="A344" i="2" a="1"/>
  <c r="A344" i="2" s="1"/>
  <c r="D344" i="2" s="1"/>
  <c r="A343" i="2" a="1"/>
  <c r="A343" i="2" s="1"/>
  <c r="B343" i="2" s="1"/>
  <c r="A342" i="2" a="1"/>
  <c r="A342" i="2"/>
  <c r="A341" i="2" a="1"/>
  <c r="A341" i="2" s="1"/>
  <c r="B340" i="2"/>
  <c r="A340" i="2" a="1"/>
  <c r="A340" i="2"/>
  <c r="A339" i="2" a="1"/>
  <c r="A339" i="2" s="1"/>
  <c r="A338" i="2" a="1"/>
  <c r="A338" i="2"/>
  <c r="D338" i="2" s="1"/>
  <c r="A337" i="2" a="1"/>
  <c r="A337" i="2"/>
  <c r="B337" i="2" s="1"/>
  <c r="A336" i="2" a="1"/>
  <c r="A336" i="2" s="1"/>
  <c r="A335" i="2" a="1"/>
  <c r="A335" i="2" s="1"/>
  <c r="A334" i="2" a="1"/>
  <c r="A334" i="2" s="1"/>
  <c r="A333" i="2" a="1"/>
  <c r="A333" i="2" s="1"/>
  <c r="D332" i="2"/>
  <c r="C332" i="2"/>
  <c r="A332" i="2" a="1"/>
  <c r="A332" i="2" s="1"/>
  <c r="B332" i="2" s="1"/>
  <c r="A331" i="2" a="1"/>
  <c r="A331" i="2" s="1"/>
  <c r="A330" i="2" a="1"/>
  <c r="A330" i="2" s="1"/>
  <c r="A329" i="2" a="1"/>
  <c r="A329" i="2" s="1"/>
  <c r="D329" i="2" s="1"/>
  <c r="A328" i="2" a="1"/>
  <c r="A328" i="2"/>
  <c r="D327" i="2"/>
  <c r="A327" i="2" a="1"/>
  <c r="A327" i="2" s="1"/>
  <c r="B327" i="2" s="1"/>
  <c r="A326" i="2" a="1"/>
  <c r="A326" i="2" s="1"/>
  <c r="C326" i="2" s="1"/>
  <c r="D325" i="2"/>
  <c r="A325" i="2" a="1"/>
  <c r="A325" i="2" s="1"/>
  <c r="B325" i="2" s="1"/>
  <c r="A324" i="2" a="1"/>
  <c r="A324" i="2"/>
  <c r="A323" i="2" a="1"/>
  <c r="A323" i="2" s="1"/>
  <c r="C323" i="2" s="1"/>
  <c r="A322" i="2" a="1"/>
  <c r="A322" i="2" s="1"/>
  <c r="D321" i="2"/>
  <c r="A321" i="2" a="1"/>
  <c r="A321" i="2"/>
  <c r="B321" i="2" s="1"/>
  <c r="A320" i="2" a="1"/>
  <c r="A320" i="2"/>
  <c r="D320" i="2" s="1"/>
  <c r="A319" i="2" a="1"/>
  <c r="A319" i="2" s="1"/>
  <c r="A318" i="2" a="1"/>
  <c r="A318" i="2" s="1"/>
  <c r="B318" i="2" s="1"/>
  <c r="A317" i="2" a="1"/>
  <c r="A317" i="2" s="1"/>
  <c r="D316" i="2"/>
  <c r="A316" i="2" a="1"/>
  <c r="A316" i="2"/>
  <c r="C316" i="2" s="1"/>
  <c r="A315" i="2" a="1"/>
  <c r="A315" i="2" s="1"/>
  <c r="D314" i="2"/>
  <c r="C314" i="2"/>
  <c r="A314" i="2" a="1"/>
  <c r="A314" i="2" s="1"/>
  <c r="B314" i="2" s="1"/>
  <c r="A313" i="2" a="1"/>
  <c r="A313" i="2"/>
  <c r="A312" i="2" a="1"/>
  <c r="A312" i="2" s="1"/>
  <c r="A311" i="2" a="1"/>
  <c r="A311" i="2"/>
  <c r="D311" i="2" s="1"/>
  <c r="A310" i="2" a="1"/>
  <c r="A310" i="2"/>
  <c r="C309" i="2"/>
  <c r="A309" i="2" a="1"/>
  <c r="A309" i="2" s="1"/>
  <c r="B309" i="2" s="1"/>
  <c r="A308" i="2" a="1"/>
  <c r="A308" i="2" s="1"/>
  <c r="B308" i="2" s="1"/>
  <c r="A307" i="2" a="1"/>
  <c r="A307" i="2" s="1"/>
  <c r="B307" i="2" s="1"/>
  <c r="A306" i="2" a="1"/>
  <c r="A306" i="2" s="1"/>
  <c r="A305" i="2" a="1"/>
  <c r="A305" i="2"/>
  <c r="C305" i="2" s="1"/>
  <c r="A304" i="2" a="1"/>
  <c r="A304" i="2" s="1"/>
  <c r="A303" i="2" a="1"/>
  <c r="A303" i="2" s="1"/>
  <c r="A302" i="2" a="1"/>
  <c r="A302" i="2" s="1"/>
  <c r="B302" i="2" s="1"/>
  <c r="A301" i="2" a="1"/>
  <c r="A301" i="2"/>
  <c r="A300" i="2" a="1"/>
  <c r="A300" i="2" s="1"/>
  <c r="B300" i="2" s="1"/>
  <c r="A299" i="2" a="1"/>
  <c r="A299" i="2" s="1"/>
  <c r="A298" i="2" a="1"/>
  <c r="A298" i="2" s="1"/>
  <c r="D298" i="2" s="1"/>
  <c r="A297" i="2" a="1"/>
  <c r="A297" i="2"/>
  <c r="D297" i="2" s="1"/>
  <c r="A296" i="2" a="1"/>
  <c r="A296" i="2" s="1"/>
  <c r="C296" i="2" s="1"/>
  <c r="A295" i="2" a="1"/>
  <c r="A295" i="2"/>
  <c r="C295" i="2" s="1"/>
  <c r="A294" i="2" a="1"/>
  <c r="A294" i="2" s="1"/>
  <c r="D293" i="2"/>
  <c r="A293" i="2" a="1"/>
  <c r="A293" i="2" s="1"/>
  <c r="B293" i="2" s="1"/>
  <c r="A292" i="2" a="1"/>
  <c r="A292" i="2"/>
  <c r="A291" i="2" a="1"/>
  <c r="A291" i="2" s="1"/>
  <c r="D291" i="2" s="1"/>
  <c r="A290" i="2" a="1"/>
  <c r="A290" i="2" s="1"/>
  <c r="A289" i="2" a="1"/>
  <c r="A289" i="2" s="1"/>
  <c r="D289" i="2" s="1"/>
  <c r="A288" i="2" a="1"/>
  <c r="A288" i="2" s="1"/>
  <c r="A287" i="2" a="1"/>
  <c r="A287" i="2" s="1"/>
  <c r="A286" i="2" a="1"/>
  <c r="A286" i="2" s="1"/>
  <c r="A285" i="2" a="1"/>
  <c r="A285" i="2" s="1"/>
  <c r="A284" i="2" a="1"/>
  <c r="A284" i="2" s="1"/>
  <c r="B284" i="2" s="1"/>
  <c r="A283" i="2" a="1"/>
  <c r="A283" i="2"/>
  <c r="A282" i="2" a="1"/>
  <c r="A282" i="2" s="1"/>
  <c r="B282" i="2" s="1"/>
  <c r="A281" i="2" a="1"/>
  <c r="A281" i="2" s="1"/>
  <c r="A280" i="2" a="1"/>
  <c r="A280" i="2" s="1"/>
  <c r="A279" i="2" a="1"/>
  <c r="A279" i="2"/>
  <c r="D279" i="2" s="1"/>
  <c r="C278" i="2"/>
  <c r="A278" i="2" a="1"/>
  <c r="A278" i="2" s="1"/>
  <c r="A277" i="2" a="1"/>
  <c r="A277" i="2"/>
  <c r="A276" i="2" a="1"/>
  <c r="A276" i="2" s="1"/>
  <c r="C276" i="2" s="1"/>
  <c r="A275" i="2" a="1"/>
  <c r="A275" i="2" s="1"/>
  <c r="B275" i="2" s="1"/>
  <c r="A274" i="2" a="1"/>
  <c r="A274" i="2"/>
  <c r="A273" i="2" a="1"/>
  <c r="A273" i="2" s="1"/>
  <c r="D273" i="2" s="1"/>
  <c r="A272" i="2" a="1"/>
  <c r="A272" i="2"/>
  <c r="D272" i="2" s="1"/>
  <c r="A271" i="2" a="1"/>
  <c r="A271" i="2" s="1"/>
  <c r="B271" i="2" s="1"/>
  <c r="A270" i="2" a="1"/>
  <c r="A270" i="2" s="1"/>
  <c r="A269" i="2" a="1"/>
  <c r="A269" i="2"/>
  <c r="A268" i="2" a="1"/>
  <c r="A268" i="2"/>
  <c r="B268" i="2" s="1"/>
  <c r="D267" i="2"/>
  <c r="A267" i="2" a="1"/>
  <c r="A267" i="2"/>
  <c r="C267" i="2" s="1"/>
  <c r="A266" i="2" a="1"/>
  <c r="A266" i="2" s="1"/>
  <c r="A265" i="2" a="1"/>
  <c r="A265" i="2" s="1"/>
  <c r="A264" i="2" a="1"/>
  <c r="A264" i="2" s="1"/>
  <c r="C264" i="2" s="1"/>
  <c r="A263" i="2" a="1"/>
  <c r="A263" i="2" s="1"/>
  <c r="A262" i="2" a="1"/>
  <c r="A262" i="2" s="1"/>
  <c r="A261" i="2" a="1"/>
  <c r="A261" i="2"/>
  <c r="D261" i="2" s="1"/>
  <c r="D260" i="2"/>
  <c r="A260" i="2" a="1"/>
  <c r="A260" i="2" s="1"/>
  <c r="B260" i="2" s="1"/>
  <c r="A259" i="2" a="1"/>
  <c r="A259" i="2"/>
  <c r="B259" i="2" s="1"/>
  <c r="A258" i="2" a="1"/>
  <c r="A258" i="2" s="1"/>
  <c r="C258" i="2" s="1"/>
  <c r="A257" i="2" a="1"/>
  <c r="A257" i="2" s="1"/>
  <c r="A256" i="2" a="1"/>
  <c r="A256" i="2" s="1"/>
  <c r="B255" i="2"/>
  <c r="A255" i="2" a="1"/>
  <c r="A255" i="2" s="1"/>
  <c r="D255" i="2" s="1"/>
  <c r="A254" i="2" a="1"/>
  <c r="A254" i="2"/>
  <c r="D254" i="2" s="1"/>
  <c r="D253" i="2"/>
  <c r="A253" i="2" a="1"/>
  <c r="A253" i="2" s="1"/>
  <c r="C253" i="2" s="1"/>
  <c r="A252" i="2" a="1"/>
  <c r="A252" i="2"/>
  <c r="A251" i="2" a="1"/>
  <c r="A251" i="2" s="1"/>
  <c r="A250" i="2" a="1"/>
  <c r="A250" i="2" s="1"/>
  <c r="C250" i="2" s="1"/>
  <c r="D249" i="2"/>
  <c r="A249" i="2" a="1"/>
  <c r="A249" i="2" s="1"/>
  <c r="A248" i="2" a="1"/>
  <c r="A248" i="2" s="1"/>
  <c r="A247" i="2" a="1"/>
  <c r="A247" i="2"/>
  <c r="D247" i="2" s="1"/>
  <c r="A246" i="2" a="1"/>
  <c r="A246" i="2" s="1"/>
  <c r="D246" i="2" s="1"/>
  <c r="A245" i="2" a="1"/>
  <c r="A245" i="2" s="1"/>
  <c r="A244" i="2" a="1"/>
  <c r="A244" i="2" s="1"/>
  <c r="D243" i="2"/>
  <c r="A243" i="2" a="1"/>
  <c r="A243" i="2"/>
  <c r="C243" i="2" s="1"/>
  <c r="A242" i="2" a="1"/>
  <c r="A242" i="2" s="1"/>
  <c r="A241" i="2" a="1"/>
  <c r="A241" i="2" s="1"/>
  <c r="D241" i="2" s="1"/>
  <c r="A240" i="2" a="1"/>
  <c r="A240" i="2"/>
  <c r="C240" i="2" s="1"/>
  <c r="A239" i="2" a="1"/>
  <c r="A239" i="2"/>
  <c r="D239" i="2" s="1"/>
  <c r="A238" i="2" a="1"/>
  <c r="A238" i="2" s="1"/>
  <c r="A237" i="2" a="1"/>
  <c r="A237" i="2" s="1"/>
  <c r="B237" i="2" s="1"/>
  <c r="A236" i="2" a="1"/>
  <c r="A236" i="2"/>
  <c r="C236" i="2" s="1"/>
  <c r="A235" i="2" a="1"/>
  <c r="A235" i="2" s="1"/>
  <c r="C235" i="2" s="1"/>
  <c r="A234" i="2" a="1"/>
  <c r="A234" i="2" s="1"/>
  <c r="B234" i="2" s="1"/>
  <c r="A233" i="2" a="1"/>
  <c r="A233" i="2"/>
  <c r="B233" i="2" s="1"/>
  <c r="A232" i="2" a="1"/>
  <c r="A232" i="2" s="1"/>
  <c r="D232" i="2" s="1"/>
  <c r="A231" i="2" a="1"/>
  <c r="A231" i="2" s="1"/>
  <c r="A230" i="2" a="1"/>
  <c r="A230" i="2"/>
  <c r="D230" i="2" s="1"/>
  <c r="A229" i="2" a="1"/>
  <c r="A229" i="2"/>
  <c r="D229" i="2" s="1"/>
  <c r="A228" i="2" a="1"/>
  <c r="A228" i="2" s="1"/>
  <c r="A227" i="2" a="1"/>
  <c r="A227" i="2" s="1"/>
  <c r="A226" i="2" a="1"/>
  <c r="A226" i="2" s="1"/>
  <c r="D225" i="2"/>
  <c r="C225" i="2"/>
  <c r="A225" i="2" a="1"/>
  <c r="A225" i="2"/>
  <c r="B225" i="2" s="1"/>
  <c r="A224" i="2" a="1"/>
  <c r="A224" i="2" s="1"/>
  <c r="B224" i="2" s="1"/>
  <c r="A223" i="2" a="1"/>
  <c r="A223" i="2" s="1"/>
  <c r="A222" i="2" a="1"/>
  <c r="A222" i="2" s="1"/>
  <c r="A221" i="2" a="1"/>
  <c r="A221" i="2" s="1"/>
  <c r="A220" i="2" a="1"/>
  <c r="A220" i="2" s="1"/>
  <c r="A219" i="2" a="1"/>
  <c r="A219" i="2" s="1"/>
  <c r="D219" i="2" s="1"/>
  <c r="A218" i="2" a="1"/>
  <c r="A218" i="2" s="1"/>
  <c r="A217" i="2" a="1"/>
  <c r="A217" i="2" s="1"/>
  <c r="C217" i="2" s="1"/>
  <c r="A216" i="2" a="1"/>
  <c r="A216" i="2" s="1"/>
  <c r="A215" i="2" a="1"/>
  <c r="A215" i="2"/>
  <c r="B215" i="2" s="1"/>
  <c r="A214" i="2" a="1"/>
  <c r="A214" i="2"/>
  <c r="B214" i="2" s="1"/>
  <c r="A213" i="2" a="1"/>
  <c r="A213" i="2"/>
  <c r="B213" i="2" s="1"/>
  <c r="A212" i="2" a="1"/>
  <c r="A212" i="2"/>
  <c r="C212" i="2" s="1"/>
  <c r="A211" i="2" a="1"/>
  <c r="A211" i="2" s="1"/>
  <c r="D211" i="2" s="1"/>
  <c r="A210" i="2" a="1"/>
  <c r="A210" i="2" s="1"/>
  <c r="A209" i="2" a="1"/>
  <c r="A209" i="2" s="1"/>
  <c r="A208" i="2" a="1"/>
  <c r="A208" i="2" s="1"/>
  <c r="D208" i="2" s="1"/>
  <c r="A207" i="2" a="1"/>
  <c r="A207" i="2" s="1"/>
  <c r="D207" i="2" s="1"/>
  <c r="A206" i="2" a="1"/>
  <c r="A206" i="2" s="1"/>
  <c r="B206" i="2" s="1"/>
  <c r="A205" i="2" a="1"/>
  <c r="A205" i="2" s="1"/>
  <c r="B205" i="2" s="1"/>
  <c r="A204" i="2" a="1"/>
  <c r="A204" i="2"/>
  <c r="D203" i="2"/>
  <c r="A203" i="2" a="1"/>
  <c r="A203" i="2"/>
  <c r="B203" i="2" s="1"/>
  <c r="A202" i="2" a="1"/>
  <c r="A202" i="2" s="1"/>
  <c r="A201" i="2" a="1"/>
  <c r="A201" i="2" s="1"/>
  <c r="A200" i="2" a="1"/>
  <c r="A200" i="2" s="1"/>
  <c r="A199" i="2" a="1"/>
  <c r="A199" i="2" s="1"/>
  <c r="B199" i="2" s="1"/>
  <c r="A198" i="2" a="1"/>
  <c r="A198" i="2" s="1"/>
  <c r="A197" i="2" a="1"/>
  <c r="A197" i="2" s="1"/>
  <c r="B197" i="2" s="1"/>
  <c r="A196" i="2" a="1"/>
  <c r="A196" i="2" s="1"/>
  <c r="B196" i="2" s="1"/>
  <c r="A195" i="2" a="1"/>
  <c r="A195" i="2" s="1"/>
  <c r="D194" i="2"/>
  <c r="C194" i="2"/>
  <c r="A194" i="2" a="1"/>
  <c r="A194" i="2"/>
  <c r="B194" i="2" s="1"/>
  <c r="C193" i="2"/>
  <c r="B193" i="2"/>
  <c r="A193" i="2" a="1"/>
  <c r="A193" i="2" s="1"/>
  <c r="D193" i="2" s="1"/>
  <c r="A192" i="2" a="1"/>
  <c r="A192" i="2" s="1"/>
  <c r="D192" i="2" s="1"/>
  <c r="A191" i="2" a="1"/>
  <c r="A191" i="2" s="1"/>
  <c r="D190" i="2"/>
  <c r="A190" i="2" a="1"/>
  <c r="A190" i="2"/>
  <c r="C190" i="2" s="1"/>
  <c r="A189" i="2" a="1"/>
  <c r="A189" i="2"/>
  <c r="D189" i="2" s="1"/>
  <c r="A188" i="2" a="1"/>
  <c r="A188" i="2"/>
  <c r="B188" i="2" s="1"/>
  <c r="A187" i="2" a="1"/>
  <c r="A187" i="2" s="1"/>
  <c r="A186" i="2" a="1"/>
  <c r="A186" i="2"/>
  <c r="A185" i="2" a="1"/>
  <c r="A185" i="2"/>
  <c r="D185" i="2" s="1"/>
  <c r="A184" i="2" a="1"/>
  <c r="A184" i="2" s="1"/>
  <c r="A183" i="2" a="1"/>
  <c r="A183" i="2" s="1"/>
  <c r="D183" i="2" s="1"/>
  <c r="C182" i="2"/>
  <c r="B182" i="2"/>
  <c r="A182" i="2" a="1"/>
  <c r="A182" i="2" s="1"/>
  <c r="D182" i="2" s="1"/>
  <c r="B181" i="2"/>
  <c r="A181" i="2" a="1"/>
  <c r="A181" i="2" s="1"/>
  <c r="D181" i="2" s="1"/>
  <c r="A180" i="2" a="1"/>
  <c r="A180" i="2" s="1"/>
  <c r="B180" i="2" s="1"/>
  <c r="D179" i="2"/>
  <c r="A179" i="2" a="1"/>
  <c r="A179" i="2"/>
  <c r="B179" i="2" s="1"/>
  <c r="A178" i="2" a="1"/>
  <c r="A178" i="2"/>
  <c r="D177" i="2"/>
  <c r="A177" i="2" a="1"/>
  <c r="A177" i="2" s="1"/>
  <c r="A176" i="2" a="1"/>
  <c r="A176" i="2" s="1"/>
  <c r="A175" i="2" a="1"/>
  <c r="A175" i="2" s="1"/>
  <c r="D175" i="2" s="1"/>
  <c r="A174" i="2" a="1"/>
  <c r="A174" i="2" s="1"/>
  <c r="D174" i="2" s="1"/>
  <c r="A173" i="2" a="1"/>
  <c r="A173" i="2" s="1"/>
  <c r="D172" i="2"/>
  <c r="A172" i="2" a="1"/>
  <c r="A172" i="2"/>
  <c r="B172" i="2" s="1"/>
  <c r="A171" i="2" a="1"/>
  <c r="A171" i="2"/>
  <c r="B171" i="2" s="1"/>
  <c r="A170" i="2" a="1"/>
  <c r="A170" i="2"/>
  <c r="B170" i="2" s="1"/>
  <c r="A169" i="2" a="1"/>
  <c r="A169" i="2"/>
  <c r="A168" i="2" a="1"/>
  <c r="A168" i="2"/>
  <c r="C168" i="2" s="1"/>
  <c r="A167" i="2" a="1"/>
  <c r="A167" i="2"/>
  <c r="D167" i="2" s="1"/>
  <c r="A166" i="2" a="1"/>
  <c r="A166" i="2" s="1"/>
  <c r="A165" i="2" a="1"/>
  <c r="A165" i="2" s="1"/>
  <c r="D165" i="2" s="1"/>
  <c r="B164" i="2"/>
  <c r="A164" i="2" a="1"/>
  <c r="A164" i="2"/>
  <c r="A163" i="2" a="1"/>
  <c r="A163" i="2" s="1"/>
  <c r="D163" i="2" s="1"/>
  <c r="A162" i="2" a="1"/>
  <c r="A162" i="2" s="1"/>
  <c r="B162" i="2" s="1"/>
  <c r="D161" i="2"/>
  <c r="A161" i="2" a="1"/>
  <c r="A161" i="2" s="1"/>
  <c r="B161" i="2" s="1"/>
  <c r="A160" i="2" a="1"/>
  <c r="A160" i="2" s="1"/>
  <c r="A159" i="2" a="1"/>
  <c r="A159" i="2" s="1"/>
  <c r="A158" i="2" a="1"/>
  <c r="A158" i="2" s="1"/>
  <c r="A157" i="2" a="1"/>
  <c r="A157" i="2" s="1"/>
  <c r="A156" i="2" a="1"/>
  <c r="A156" i="2" s="1"/>
  <c r="D156" i="2" s="1"/>
  <c r="A155" i="2" a="1"/>
  <c r="A155" i="2" s="1"/>
  <c r="A154" i="2" a="1"/>
  <c r="A154" i="2" s="1"/>
  <c r="D154" i="2" s="1"/>
  <c r="A153" i="2" a="1"/>
  <c r="A153" i="2"/>
  <c r="C153" i="2" s="1"/>
  <c r="A152" i="2" a="1"/>
  <c r="A152" i="2" s="1"/>
  <c r="A151" i="2" a="1"/>
  <c r="A151" i="2" s="1"/>
  <c r="D151" i="2" s="1"/>
  <c r="A150" i="2" a="1"/>
  <c r="A150" i="2" s="1"/>
  <c r="C150" i="2" s="1"/>
  <c r="A149" i="2" a="1"/>
  <c r="A149" i="2"/>
  <c r="D149" i="2" s="1"/>
  <c r="A148" i="2" a="1"/>
  <c r="A148" i="2"/>
  <c r="D147" i="2"/>
  <c r="A147" i="2" a="1"/>
  <c r="A147" i="2" s="1"/>
  <c r="C147" i="2" s="1"/>
  <c r="A146" i="2" a="1"/>
  <c r="A146" i="2"/>
  <c r="A145" i="2" a="1"/>
  <c r="A145" i="2" s="1"/>
  <c r="C145" i="2" s="1"/>
  <c r="A144" i="2" a="1"/>
  <c r="A144" i="2"/>
  <c r="D143" i="2"/>
  <c r="A143" i="2" a="1"/>
  <c r="A143" i="2" s="1"/>
  <c r="B143" i="2" s="1"/>
  <c r="A142" i="2" a="1"/>
  <c r="A142" i="2"/>
  <c r="D142" i="2" s="1"/>
  <c r="A141" i="2" a="1"/>
  <c r="A141" i="2" s="1"/>
  <c r="D141" i="2" s="1"/>
  <c r="A140" i="2" a="1"/>
  <c r="A140" i="2" s="1"/>
  <c r="A139" i="2" a="1"/>
  <c r="A139" i="2" s="1"/>
  <c r="A138" i="2" a="1"/>
  <c r="A138" i="2" s="1"/>
  <c r="C138" i="2" s="1"/>
  <c r="A137" i="2" a="1"/>
  <c r="A137" i="2" s="1"/>
  <c r="D136" i="2"/>
  <c r="C136" i="2"/>
  <c r="B136" i="2"/>
  <c r="A136" i="2" a="1"/>
  <c r="A136" i="2"/>
  <c r="A135" i="2" a="1"/>
  <c r="A135" i="2" s="1"/>
  <c r="A134" i="2" a="1"/>
  <c r="A134" i="2" s="1"/>
  <c r="A133" i="2" a="1"/>
  <c r="A133" i="2" s="1"/>
  <c r="D133" i="2" s="1"/>
  <c r="A132" i="2" a="1"/>
  <c r="A132" i="2" s="1"/>
  <c r="A131" i="2" a="1"/>
  <c r="A131" i="2"/>
  <c r="D131" i="2" s="1"/>
  <c r="A130" i="2" a="1"/>
  <c r="A130" i="2"/>
  <c r="A129" i="2" a="1"/>
  <c r="A129" i="2" s="1"/>
  <c r="D129" i="2" s="1"/>
  <c r="A128" i="2" a="1"/>
  <c r="A128" i="2"/>
  <c r="A127" i="2" a="1"/>
  <c r="A127" i="2" s="1"/>
  <c r="B127" i="2" s="1"/>
  <c r="A126" i="2" a="1"/>
  <c r="A126" i="2" s="1"/>
  <c r="A125" i="2" a="1"/>
  <c r="A125" i="2" s="1"/>
  <c r="B125" i="2" s="1"/>
  <c r="A124" i="2" a="1"/>
  <c r="A124" i="2"/>
  <c r="D124" i="2" s="1"/>
  <c r="A123" i="2" a="1"/>
  <c r="A123" i="2" s="1"/>
  <c r="A122" i="2" a="1"/>
  <c r="A122" i="2" s="1"/>
  <c r="A121" i="2" a="1"/>
  <c r="A121" i="2"/>
  <c r="D121" i="2" s="1"/>
  <c r="C120" i="2"/>
  <c r="B120" i="2"/>
  <c r="A120" i="2" a="1"/>
  <c r="A120" i="2" s="1"/>
  <c r="D120" i="2" s="1"/>
  <c r="A119" i="2" a="1"/>
  <c r="A119" i="2"/>
  <c r="A118" i="2" a="1"/>
  <c r="A118" i="2"/>
  <c r="B118" i="2" s="1"/>
  <c r="A117" i="2" a="1"/>
  <c r="A117" i="2" s="1"/>
  <c r="A116" i="2" a="1"/>
  <c r="A116" i="2"/>
  <c r="B116" i="2" s="1"/>
  <c r="A115" i="2" a="1"/>
  <c r="A115" i="2"/>
  <c r="D115" i="2" s="1"/>
  <c r="A114" i="2" a="1"/>
  <c r="A114" i="2" s="1"/>
  <c r="B114" i="2" s="1"/>
  <c r="A113" i="2" a="1"/>
  <c r="A113" i="2" s="1"/>
  <c r="D113" i="2" s="1"/>
  <c r="A112" i="2" a="1"/>
  <c r="A112" i="2" s="1"/>
  <c r="A111" i="2" a="1"/>
  <c r="A111" i="2" s="1"/>
  <c r="A110" i="2" a="1"/>
  <c r="A110" i="2" s="1"/>
  <c r="A109" i="2" a="1"/>
  <c r="A109" i="2" s="1"/>
  <c r="C109" i="2" s="1"/>
  <c r="A108" i="2" a="1"/>
  <c r="A108" i="2" s="1"/>
  <c r="A107" i="2" a="1"/>
  <c r="A107" i="2" s="1"/>
  <c r="C107" i="2" s="1"/>
  <c r="A106" i="2" a="1"/>
  <c r="A106" i="2"/>
  <c r="A105" i="2" a="1"/>
  <c r="A105" i="2" s="1"/>
  <c r="A104" i="2" a="1"/>
  <c r="A104" i="2" s="1"/>
  <c r="A103" i="2" a="1"/>
  <c r="A103" i="2" s="1"/>
  <c r="D103" i="2" s="1"/>
  <c r="A102" i="2" a="1"/>
  <c r="A102" i="2" s="1"/>
  <c r="C102" i="2" s="1"/>
  <c r="A101" i="2" a="1"/>
  <c r="A101" i="2"/>
  <c r="A100" i="2" a="1"/>
  <c r="A100" i="2"/>
  <c r="C100" i="2" s="1"/>
  <c r="A99" i="2" a="1"/>
  <c r="A99" i="2" s="1"/>
  <c r="A98" i="2" a="1"/>
  <c r="A98" i="2" s="1"/>
  <c r="B98" i="2" s="1"/>
  <c r="A97" i="2" a="1"/>
  <c r="A97" i="2"/>
  <c r="A96" i="2" a="1"/>
  <c r="A96" i="2" s="1"/>
  <c r="A95" i="2" a="1"/>
  <c r="A95" i="2"/>
  <c r="C95" i="2" s="1"/>
  <c r="A94" i="2" a="1"/>
  <c r="A94" i="2"/>
  <c r="A93" i="2" a="1"/>
  <c r="A93" i="2"/>
  <c r="B93" i="2" s="1"/>
  <c r="A92" i="2" a="1"/>
  <c r="A92" i="2" s="1"/>
  <c r="C92" i="2" s="1"/>
  <c r="D91" i="2"/>
  <c r="A91" i="2" a="1"/>
  <c r="A91" i="2" s="1"/>
  <c r="C91" i="2" s="1"/>
  <c r="D90" i="2"/>
  <c r="A90" i="2" a="1"/>
  <c r="A90" i="2"/>
  <c r="C90" i="2" s="1"/>
  <c r="A89" i="2" a="1"/>
  <c r="A89" i="2"/>
  <c r="A88" i="2" a="1"/>
  <c r="A88" i="2" s="1"/>
  <c r="A87" i="2" a="1"/>
  <c r="A87" i="2" s="1"/>
  <c r="A86" i="2" a="1"/>
  <c r="A86" i="2" s="1"/>
  <c r="C86" i="2" s="1"/>
  <c r="A85" i="2" a="1"/>
  <c r="A85" i="2" s="1"/>
  <c r="A84" i="2" a="1"/>
  <c r="A84" i="2"/>
  <c r="B84" i="2" s="1"/>
  <c r="A83" i="2" a="1"/>
  <c r="A83" i="2"/>
  <c r="C82" i="2"/>
  <c r="A82" i="2" a="1"/>
  <c r="A82" i="2" s="1"/>
  <c r="D82" i="2" s="1"/>
  <c r="A81" i="2" a="1"/>
  <c r="A81" i="2" s="1"/>
  <c r="D80" i="2"/>
  <c r="A80" i="2" a="1"/>
  <c r="A80" i="2"/>
  <c r="B80" i="2" s="1"/>
  <c r="A79" i="2" a="1"/>
  <c r="A79" i="2" s="1"/>
  <c r="D79" i="2" s="1"/>
  <c r="A78" i="2" a="1"/>
  <c r="A78" i="2" s="1"/>
  <c r="A77" i="2" a="1"/>
  <c r="A77" i="2" s="1"/>
  <c r="A76" i="2" a="1"/>
  <c r="A76" i="2"/>
  <c r="D76" i="2" s="1"/>
  <c r="A75" i="2" a="1"/>
  <c r="A75" i="2"/>
  <c r="B75" i="2" s="1"/>
  <c r="A74" i="2" a="1"/>
  <c r="A74" i="2"/>
  <c r="C74" i="2" s="1"/>
  <c r="A73" i="2" a="1"/>
  <c r="A73" i="2" s="1"/>
  <c r="D73" i="2" s="1"/>
  <c r="A72" i="2" a="1"/>
  <c r="A72" i="2" s="1"/>
  <c r="D72" i="2" s="1"/>
  <c r="A71" i="2" a="1"/>
  <c r="A71" i="2" s="1"/>
  <c r="D71" i="2" s="1"/>
  <c r="A70" i="2" a="1"/>
  <c r="A70" i="2"/>
  <c r="C70" i="2" s="1"/>
  <c r="A69" i="2" a="1"/>
  <c r="A69" i="2" s="1"/>
  <c r="C69" i="2" s="1"/>
  <c r="A68" i="2" a="1"/>
  <c r="A68" i="2" s="1"/>
  <c r="B68" i="2" s="1"/>
  <c r="A67" i="2" a="1"/>
  <c r="A67" i="2" s="1"/>
  <c r="A66" i="2" a="1"/>
  <c r="A66" i="2" s="1"/>
  <c r="A65" i="2" a="1"/>
  <c r="A65" i="2" s="1"/>
  <c r="A64" i="2" a="1"/>
  <c r="A64" i="2" s="1"/>
  <c r="A63" i="2" a="1"/>
  <c r="A63" i="2"/>
  <c r="D63" i="2" s="1"/>
  <c r="A62" i="2" a="1"/>
  <c r="A62" i="2"/>
  <c r="C62" i="2" s="1"/>
  <c r="A61" i="2" a="1"/>
  <c r="A61" i="2" s="1"/>
  <c r="A60" i="2" a="1"/>
  <c r="A60" i="2" s="1"/>
  <c r="C60" i="2" s="1"/>
  <c r="A59" i="2" a="1"/>
  <c r="A59" i="2"/>
  <c r="D59" i="2" s="1"/>
  <c r="A58" i="2" a="1"/>
  <c r="A58" i="2"/>
  <c r="C58" i="2" s="1"/>
  <c r="A57" i="2" a="1"/>
  <c r="A57" i="2"/>
  <c r="D57" i="2" s="1"/>
  <c r="A56" i="2" a="1"/>
  <c r="A56" i="2" s="1"/>
  <c r="D55" i="2"/>
  <c r="C55" i="2"/>
  <c r="B55" i="2"/>
  <c r="A55" i="2" a="1"/>
  <c r="A55" i="2" s="1"/>
  <c r="A54" i="2" a="1"/>
  <c r="A54" i="2"/>
  <c r="C54" i="2" s="1"/>
  <c r="A53" i="2" a="1"/>
  <c r="A53" i="2"/>
  <c r="D53" i="2" s="1"/>
  <c r="A52" i="2" a="1"/>
  <c r="A52" i="2" s="1"/>
  <c r="A51" i="2" a="1"/>
  <c r="A51" i="2" s="1"/>
  <c r="B51" i="2" s="1"/>
  <c r="A50" i="2" a="1"/>
  <c r="A50" i="2"/>
  <c r="C50" i="2" s="1"/>
  <c r="A49" i="2" a="1"/>
  <c r="A49" i="2" s="1"/>
  <c r="A48" i="2" a="1"/>
  <c r="A48" i="2"/>
  <c r="D48" i="2" s="1"/>
  <c r="A47" i="2" a="1"/>
  <c r="A47" i="2" s="1"/>
  <c r="A46" i="2" a="1"/>
  <c r="A46" i="2"/>
  <c r="C46" i="2" s="1"/>
  <c r="A45" i="2" a="1"/>
  <c r="A45" i="2" s="1"/>
  <c r="D45" i="2" s="1"/>
  <c r="A44" i="2" a="1"/>
  <c r="A44" i="2" s="1"/>
  <c r="A43" i="2" a="1"/>
  <c r="A43" i="2" s="1"/>
  <c r="D43" i="2" s="1"/>
  <c r="A42" i="2" a="1"/>
  <c r="A42" i="2" s="1"/>
  <c r="D42" i="2" s="1"/>
  <c r="A41" i="2" a="1"/>
  <c r="A41" i="2" s="1"/>
  <c r="D41" i="2" s="1"/>
  <c r="A40" i="2" a="1"/>
  <c r="A40" i="2" s="1"/>
  <c r="C40" i="2" s="1"/>
  <c r="D39" i="2"/>
  <c r="A39" i="2" a="1"/>
  <c r="A39" i="2" s="1"/>
  <c r="C39" i="2" s="1"/>
  <c r="A38" i="2" a="1"/>
  <c r="A38" i="2"/>
  <c r="C37" i="2"/>
  <c r="A37" i="2" a="1"/>
  <c r="A37" i="2" s="1"/>
  <c r="D37" i="2" s="1"/>
  <c r="A36" i="2" a="1"/>
  <c r="A36" i="2"/>
  <c r="C36" i="2" s="1"/>
  <c r="A35" i="2" a="1"/>
  <c r="A35" i="2" s="1"/>
  <c r="D35" i="2" s="1"/>
  <c r="A34" i="2" a="1"/>
  <c r="A34" i="2" s="1"/>
  <c r="A33" i="2" a="1"/>
  <c r="A33" i="2" s="1"/>
  <c r="B33" i="2" s="1"/>
  <c r="A32" i="2" a="1"/>
  <c r="A32" i="2" s="1"/>
  <c r="D32" i="2" s="1"/>
  <c r="D31" i="2"/>
  <c r="C31" i="2"/>
  <c r="A31" i="2" a="1"/>
  <c r="A31" i="2" s="1"/>
  <c r="B31" i="2" s="1"/>
  <c r="A30" i="2" a="1"/>
  <c r="A30" i="2"/>
  <c r="A29" i="2" a="1"/>
  <c r="A29" i="2" s="1"/>
  <c r="C29" i="2" s="1"/>
  <c r="A28" i="2" a="1"/>
  <c r="A28" i="2" s="1"/>
  <c r="A27" i="2" a="1"/>
  <c r="A27" i="2" s="1"/>
  <c r="D27" i="2" s="1"/>
  <c r="A26" i="2" a="1"/>
  <c r="A26" i="2"/>
  <c r="A25" i="2" a="1"/>
  <c r="A25" i="2" s="1"/>
  <c r="D25" i="2" s="1"/>
  <c r="A24" i="2" a="1"/>
  <c r="A24" i="2" s="1"/>
  <c r="D24" i="2" s="1"/>
  <c r="D23" i="2"/>
  <c r="A23" i="2" a="1"/>
  <c r="A23" i="2" s="1"/>
  <c r="C23" i="2" s="1"/>
  <c r="A22" i="2" a="1"/>
  <c r="A22" i="2"/>
  <c r="A21" i="2" a="1"/>
  <c r="A21" i="2"/>
  <c r="D21" i="2" s="1"/>
  <c r="A20" i="2" a="1"/>
  <c r="A20" i="2" s="1"/>
  <c r="D19" i="2"/>
  <c r="B19" i="2"/>
  <c r="A19" i="2" a="1"/>
  <c r="A19" i="2" s="1"/>
  <c r="C19" i="2" s="1"/>
  <c r="A18" i="2" a="1"/>
  <c r="A18" i="2"/>
  <c r="A17" i="2" a="1"/>
  <c r="A17" i="2" s="1"/>
  <c r="B17" i="2" s="1"/>
  <c r="A16" i="2" a="1"/>
  <c r="A16" i="2" s="1"/>
  <c r="A15" i="2" a="1"/>
  <c r="A15" i="2" s="1"/>
  <c r="D15" i="2" s="1"/>
  <c r="A14" i="2" a="1"/>
  <c r="A14" i="2" s="1"/>
  <c r="A13" i="2" a="1"/>
  <c r="A13" i="2" s="1"/>
  <c r="B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C8" i="2" s="1"/>
  <c r="A7" i="2" a="1"/>
  <c r="A7" i="2"/>
  <c r="D7" i="2" s="1"/>
  <c r="A6" i="2" a="1"/>
  <c r="A6" i="2" s="1"/>
  <c r="A5" i="2" a="1"/>
  <c r="A5" i="2"/>
  <c r="D5" i="2" s="1"/>
  <c r="A4" i="2" a="1"/>
  <c r="A4" i="2"/>
  <c r="D4" i="2" s="1"/>
  <c r="A3" i="2" a="1"/>
  <c r="A3" i="2"/>
  <c r="A2" i="2" a="1"/>
  <c r="A2" i="2"/>
  <c r="D2" i="2" s="1"/>
  <c r="A1" i="2" a="1"/>
  <c r="A1" i="2" s="1"/>
  <c r="D1" i="2" s="1"/>
  <c r="I15" i="1"/>
  <c r="A14" i="1"/>
  <c r="A13" i="1"/>
  <c r="AL10" i="1"/>
  <c r="A8" i="1"/>
  <c r="A7" i="1"/>
  <c r="E3" i="1"/>
  <c r="B226" i="2" l="1"/>
  <c r="D226" i="2"/>
  <c r="C226" i="2"/>
  <c r="C375" i="2"/>
  <c r="D375" i="2"/>
  <c r="B11" i="2"/>
  <c r="D11" i="2"/>
  <c r="C96" i="2"/>
  <c r="D96" i="2"/>
  <c r="C280" i="2"/>
  <c r="D280" i="2"/>
  <c r="B280" i="2"/>
  <c r="C257" i="2"/>
  <c r="D257" i="2"/>
  <c r="D49" i="2"/>
  <c r="C49" i="2"/>
  <c r="B357" i="2"/>
  <c r="D357" i="2"/>
  <c r="C357" i="2"/>
  <c r="B395" i="2"/>
  <c r="D395" i="2"/>
  <c r="C395" i="2"/>
  <c r="D262" i="2"/>
  <c r="C262" i="2"/>
  <c r="B262" i="2"/>
  <c r="C266" i="2"/>
  <c r="D266" i="2"/>
  <c r="B339" i="2"/>
  <c r="D339" i="2"/>
  <c r="C339" i="2"/>
  <c r="D52" i="2"/>
  <c r="C52" i="2"/>
  <c r="B52" i="2"/>
  <c r="B64" i="2"/>
  <c r="D64" i="2"/>
  <c r="D44" i="2"/>
  <c r="C44" i="2"/>
  <c r="D117" i="2"/>
  <c r="B117" i="2"/>
  <c r="C117" i="2"/>
  <c r="D176" i="2"/>
  <c r="C176" i="2"/>
  <c r="B176" i="2"/>
  <c r="D388" i="2"/>
  <c r="C388" i="2"/>
  <c r="B388" i="2"/>
  <c r="D218" i="2"/>
  <c r="C218" i="2"/>
  <c r="B218" i="2"/>
  <c r="D244" i="2"/>
  <c r="C244" i="2"/>
  <c r="B244" i="2"/>
  <c r="B152" i="2"/>
  <c r="D152" i="2"/>
  <c r="C152" i="2"/>
  <c r="D248" i="2"/>
  <c r="C248" i="2"/>
  <c r="B248" i="2"/>
  <c r="D200" i="2"/>
  <c r="C200" i="2"/>
  <c r="B200" i="2"/>
  <c r="B134" i="2"/>
  <c r="D134" i="2"/>
  <c r="C134" i="2"/>
  <c r="B380" i="2"/>
  <c r="D380" i="2"/>
  <c r="C380" i="2"/>
  <c r="C221" i="2"/>
  <c r="D221" i="2"/>
  <c r="B221" i="2"/>
  <c r="B285" i="2"/>
  <c r="D285" i="2"/>
  <c r="C285" i="2"/>
  <c r="C312" i="2"/>
  <c r="B312" i="2"/>
  <c r="C334" i="2"/>
  <c r="D334" i="2"/>
  <c r="B334" i="2"/>
  <c r="B111" i="2"/>
  <c r="C111" i="2"/>
  <c r="D111" i="2"/>
  <c r="D28" i="2"/>
  <c r="C28" i="2"/>
  <c r="C99" i="2"/>
  <c r="D99" i="2"/>
  <c r="B99" i="2"/>
  <c r="B78" i="2"/>
  <c r="D78" i="2"/>
  <c r="C78" i="2"/>
  <c r="C66" i="2"/>
  <c r="D66" i="2"/>
  <c r="C348" i="2"/>
  <c r="B348" i="2"/>
  <c r="B103" i="2"/>
  <c r="B129" i="2"/>
  <c r="C307" i="2"/>
  <c r="C345" i="2"/>
  <c r="C103" i="2"/>
  <c r="C129" i="2"/>
  <c r="C188" i="2"/>
  <c r="B212" i="2"/>
  <c r="B240" i="2"/>
  <c r="D307" i="2"/>
  <c r="D345" i="2"/>
  <c r="B352" i="2"/>
  <c r="C368" i="2"/>
  <c r="D188" i="2"/>
  <c r="C203" i="2"/>
  <c r="D212" i="2"/>
  <c r="C268" i="2"/>
  <c r="C352" i="2"/>
  <c r="D368" i="2"/>
  <c r="D393" i="2"/>
  <c r="B25" i="2"/>
  <c r="B2" i="2"/>
  <c r="C25" i="2"/>
  <c r="B175" i="2"/>
  <c r="C181" i="2"/>
  <c r="C255" i="2"/>
  <c r="C361" i="2"/>
  <c r="C213" i="2"/>
  <c r="B235" i="2"/>
  <c r="C300" i="2"/>
  <c r="B316" i="2"/>
  <c r="D361" i="2"/>
  <c r="C41" i="2"/>
  <c r="C2" i="2"/>
  <c r="B57" i="2"/>
  <c r="D138" i="2"/>
  <c r="C175" i="2"/>
  <c r="D50" i="2"/>
  <c r="C57" i="2"/>
  <c r="D74" i="2"/>
  <c r="C80" i="2"/>
  <c r="D213" i="2"/>
  <c r="D235" i="2"/>
  <c r="D300" i="2"/>
  <c r="D309" i="2"/>
  <c r="C325" i="2"/>
  <c r="C199" i="2"/>
  <c r="C363" i="2"/>
  <c r="D370" i="2"/>
  <c r="D199" i="2"/>
  <c r="C75" i="2"/>
  <c r="D116" i="2"/>
  <c r="C272" i="2"/>
  <c r="B36" i="2"/>
  <c r="C116" i="2"/>
  <c r="B272" i="2"/>
  <c r="B4" i="2"/>
  <c r="B21" i="2"/>
  <c r="B37" i="2"/>
  <c r="D75" i="2"/>
  <c r="C170" i="2"/>
  <c r="B230" i="2"/>
  <c r="C327" i="2"/>
  <c r="C21" i="2"/>
  <c r="D170" i="2"/>
  <c r="C230" i="2"/>
  <c r="C4" i="2"/>
  <c r="C343" i="2"/>
  <c r="C350" i="2"/>
  <c r="D363" i="2"/>
  <c r="C163" i="2"/>
  <c r="D350" i="2"/>
  <c r="D390" i="2"/>
  <c r="B163" i="2"/>
  <c r="B217" i="2"/>
  <c r="B239" i="2"/>
  <c r="D217" i="2"/>
  <c r="C239" i="2"/>
  <c r="C246" i="2"/>
  <c r="B253" i="2"/>
  <c r="B267" i="2"/>
  <c r="D275" i="2"/>
  <c r="B383" i="2"/>
  <c r="B15" i="2"/>
  <c r="B246" i="2"/>
  <c r="D343" i="2"/>
  <c r="C15" i="2"/>
  <c r="D46" i="2"/>
  <c r="D70" i="2"/>
  <c r="D62" i="2"/>
  <c r="B145" i="2"/>
  <c r="C321" i="2"/>
  <c r="D322" i="2"/>
  <c r="C322" i="2"/>
  <c r="B322" i="2"/>
  <c r="C88" i="2"/>
  <c r="B88" i="2"/>
  <c r="D88" i="2"/>
  <c r="D299" i="2"/>
  <c r="C299" i="2"/>
  <c r="B299" i="2"/>
  <c r="D158" i="2"/>
  <c r="B158" i="2"/>
  <c r="C158" i="2"/>
  <c r="D387" i="2"/>
  <c r="B387" i="2"/>
  <c r="C387" i="2"/>
  <c r="D139" i="2"/>
  <c r="C139" i="2"/>
  <c r="B139" i="2"/>
  <c r="D198" i="2"/>
  <c r="C198" i="2"/>
  <c r="B198" i="2"/>
  <c r="D263" i="2"/>
  <c r="C263" i="2"/>
  <c r="B263" i="2"/>
  <c r="C362" i="2"/>
  <c r="B362" i="2"/>
  <c r="D362" i="2"/>
  <c r="D355" i="2"/>
  <c r="C355" i="2"/>
  <c r="B355" i="2"/>
  <c r="C12" i="2"/>
  <c r="D12" i="2"/>
  <c r="B12" i="2"/>
  <c r="C222" i="2"/>
  <c r="D222" i="2"/>
  <c r="B222" i="2"/>
  <c r="D304" i="2"/>
  <c r="C304" i="2"/>
  <c r="B304" i="2"/>
  <c r="D319" i="2"/>
  <c r="C319" i="2"/>
  <c r="B319" i="2"/>
  <c r="D331" i="2"/>
  <c r="C331" i="2"/>
  <c r="B331" i="2"/>
  <c r="C132" i="2"/>
  <c r="D132" i="2"/>
  <c r="B132" i="2"/>
  <c r="D281" i="2"/>
  <c r="C281" i="2"/>
  <c r="B281" i="2"/>
  <c r="D110" i="2"/>
  <c r="C110" i="2"/>
  <c r="B110" i="2"/>
  <c r="D223" i="2"/>
  <c r="C223" i="2"/>
  <c r="B223" i="2"/>
  <c r="D61" i="2"/>
  <c r="C61" i="2"/>
  <c r="B61" i="2"/>
  <c r="D126" i="2"/>
  <c r="C126" i="2"/>
  <c r="B126" i="2"/>
  <c r="C294" i="2"/>
  <c r="D294" i="2"/>
  <c r="B294" i="2"/>
  <c r="D104" i="2"/>
  <c r="C104" i="2"/>
  <c r="B104" i="2"/>
  <c r="C135" i="2"/>
  <c r="D135" i="2"/>
  <c r="B135" i="2"/>
  <c r="C16" i="2"/>
  <c r="B16" i="2"/>
  <c r="D16" i="2"/>
  <c r="D56" i="2"/>
  <c r="C56" i="2"/>
  <c r="B56" i="2"/>
  <c r="C9" i="2"/>
  <c r="D9" i="2"/>
  <c r="B9" i="2"/>
  <c r="C140" i="2"/>
  <c r="D140" i="2"/>
  <c r="B140" i="2"/>
  <c r="D14" i="2"/>
  <c r="B14" i="2"/>
  <c r="C14" i="2"/>
  <c r="D77" i="2"/>
  <c r="C77" i="2"/>
  <c r="B77" i="2"/>
  <c r="C330" i="2"/>
  <c r="D330" i="2"/>
  <c r="B330" i="2"/>
  <c r="B286" i="2"/>
  <c r="D286" i="2"/>
  <c r="C286" i="2"/>
  <c r="B377" i="2"/>
  <c r="D377" i="2"/>
  <c r="C377" i="2"/>
  <c r="D157" i="2"/>
  <c r="C157" i="2"/>
  <c r="B157" i="2"/>
  <c r="B122" i="2"/>
  <c r="C122" i="2"/>
  <c r="D122" i="2"/>
  <c r="D20" i="2"/>
  <c r="C20" i="2"/>
  <c r="B20" i="2"/>
  <c r="D317" i="2"/>
  <c r="C317" i="2"/>
  <c r="B317" i="2"/>
  <c r="B67" i="2"/>
  <c r="D67" i="2"/>
  <c r="C67" i="2"/>
  <c r="D245" i="2"/>
  <c r="C245" i="2"/>
  <c r="B245" i="2"/>
  <c r="D6" i="2"/>
  <c r="C6" i="2"/>
  <c r="B6" i="2"/>
  <c r="D47" i="2"/>
  <c r="B47" i="2"/>
  <c r="C47" i="2"/>
  <c r="D187" i="2"/>
  <c r="B187" i="2"/>
  <c r="C187" i="2"/>
  <c r="D367" i="2"/>
  <c r="C367" i="2"/>
  <c r="B367" i="2"/>
  <c r="B269" i="2"/>
  <c r="D269" i="2"/>
  <c r="C269" i="2"/>
  <c r="D313" i="2"/>
  <c r="C313" i="2"/>
  <c r="B153" i="2"/>
  <c r="B264" i="2"/>
  <c r="D178" i="2"/>
  <c r="C178" i="2"/>
  <c r="B178" i="2"/>
  <c r="D333" i="2"/>
  <c r="C333" i="2"/>
  <c r="B333" i="2"/>
  <c r="C13" i="2"/>
  <c r="C33" i="2"/>
  <c r="B254" i="2"/>
  <c r="C207" i="2"/>
  <c r="B344" i="2"/>
  <c r="C22" i="2"/>
  <c r="D22" i="2"/>
  <c r="B22" i="2"/>
  <c r="C68" i="2"/>
  <c r="D265" i="2"/>
  <c r="B265" i="2"/>
  <c r="C265" i="2"/>
  <c r="D101" i="2"/>
  <c r="B101" i="2"/>
  <c r="C101" i="2"/>
  <c r="D171" i="2"/>
  <c r="C271" i="2"/>
  <c r="D277" i="2"/>
  <c r="B277" i="2"/>
  <c r="C302" i="2"/>
  <c r="B59" i="2"/>
  <c r="B79" i="2"/>
  <c r="D84" i="2"/>
  <c r="D108" i="2"/>
  <c r="C108" i="2"/>
  <c r="C113" i="2"/>
  <c r="B131" i="2"/>
  <c r="B167" i="2"/>
  <c r="D271" i="2"/>
  <c r="B376" i="2"/>
  <c r="D13" i="2"/>
  <c r="B23" i="2"/>
  <c r="D33" i="2"/>
  <c r="B39" i="2"/>
  <c r="C59" i="2"/>
  <c r="C79" i="2"/>
  <c r="B85" i="2"/>
  <c r="D85" i="2"/>
  <c r="C85" i="2"/>
  <c r="B91" i="2"/>
  <c r="D114" i="2"/>
  <c r="C114" i="2"/>
  <c r="D125" i="2"/>
  <c r="C131" i="2"/>
  <c r="C149" i="2"/>
  <c r="B154" i="2"/>
  <c r="C167" i="2"/>
  <c r="B185" i="2"/>
  <c r="C208" i="2"/>
  <c r="B232" i="2"/>
  <c r="C254" i="2"/>
  <c r="C277" i="2"/>
  <c r="C284" i="2"/>
  <c r="C303" i="2"/>
  <c r="B303" i="2"/>
  <c r="D340" i="2"/>
  <c r="C340" i="2"/>
  <c r="C376" i="2"/>
  <c r="B241" i="2"/>
  <c r="C17" i="2"/>
  <c r="D100" i="2"/>
  <c r="C189" i="2"/>
  <c r="C84" i="2"/>
  <c r="D8" i="2"/>
  <c r="C18" i="2"/>
  <c r="D18" i="2"/>
  <c r="B18" i="2"/>
  <c r="B69" i="2"/>
  <c r="D69" i="2"/>
  <c r="C125" i="2"/>
  <c r="B149" i="2"/>
  <c r="B208" i="2"/>
  <c r="D290" i="2"/>
  <c r="C290" i="2"/>
  <c r="B296" i="2"/>
  <c r="D296" i="2"/>
  <c r="D302" i="2"/>
  <c r="D308" i="2"/>
  <c r="D315" i="2"/>
  <c r="C315" i="2"/>
  <c r="B315" i="2"/>
  <c r="D358" i="2"/>
  <c r="C358" i="2"/>
  <c r="B28" i="2"/>
  <c r="C34" i="2"/>
  <c r="D34" i="2"/>
  <c r="B34" i="2"/>
  <c r="B44" i="2"/>
  <c r="B49" i="2"/>
  <c r="C64" i="2"/>
  <c r="B96" i="2"/>
  <c r="B108" i="2"/>
  <c r="C143" i="2"/>
  <c r="C154" i="2"/>
  <c r="C161" i="2"/>
  <c r="C172" i="2"/>
  <c r="C185" i="2"/>
  <c r="B190" i="2"/>
  <c r="C232" i="2"/>
  <c r="C249" i="2"/>
  <c r="B249" i="2"/>
  <c r="C260" i="2"/>
  <c r="B278" i="2"/>
  <c r="D278" i="2"/>
  <c r="D284" i="2"/>
  <c r="B290" i="2"/>
  <c r="D303" i="2"/>
  <c r="D346" i="2"/>
  <c r="C346" i="2"/>
  <c r="B346" i="2"/>
  <c r="B358" i="2"/>
  <c r="D26" i="2"/>
  <c r="C26" i="2"/>
  <c r="B26" i="2"/>
  <c r="D83" i="2"/>
  <c r="B83" i="2"/>
  <c r="C83" i="2"/>
  <c r="B63" i="2"/>
  <c r="C73" i="2"/>
  <c r="C195" i="2"/>
  <c r="B195" i="2"/>
  <c r="D195" i="2"/>
  <c r="C241" i="2"/>
  <c r="D264" i="2"/>
  <c r="B289" i="2"/>
  <c r="B326" i="2"/>
  <c r="D153" i="2"/>
  <c r="D351" i="2"/>
  <c r="C351" i="2"/>
  <c r="B351" i="2"/>
  <c r="C48" i="2"/>
  <c r="B113" i="2"/>
  <c r="C237" i="2"/>
  <c r="D237" i="2"/>
  <c r="D326" i="2"/>
  <c r="D209" i="2"/>
  <c r="C209" i="2"/>
  <c r="B209" i="2"/>
  <c r="D328" i="2"/>
  <c r="C328" i="2"/>
  <c r="B328" i="2"/>
  <c r="B359" i="2"/>
  <c r="D359" i="2"/>
  <c r="D396" i="2"/>
  <c r="C396" i="2"/>
  <c r="B396" i="2"/>
  <c r="D112" i="2"/>
  <c r="C112" i="2"/>
  <c r="B112" i="2"/>
  <c r="B207" i="2"/>
  <c r="D301" i="2"/>
  <c r="C301" i="2"/>
  <c r="B301" i="2"/>
  <c r="B32" i="2"/>
  <c r="C159" i="2"/>
  <c r="B159" i="2"/>
  <c r="B236" i="2"/>
  <c r="D282" i="2"/>
  <c r="D38" i="2"/>
  <c r="C38" i="2"/>
  <c r="B38" i="2"/>
  <c r="C63" i="2"/>
  <c r="C171" i="2"/>
  <c r="C196" i="2"/>
  <c r="D196" i="2"/>
  <c r="D236" i="2"/>
  <c r="D259" i="2"/>
  <c r="C259" i="2"/>
  <c r="D283" i="2"/>
  <c r="C283" i="2"/>
  <c r="B283" i="2"/>
  <c r="D17" i="2"/>
  <c r="C53" i="2"/>
  <c r="D95" i="2"/>
  <c r="D107" i="2"/>
  <c r="C308" i="2"/>
  <c r="C210" i="2"/>
  <c r="D210" i="2"/>
  <c r="B291" i="2"/>
  <c r="D310" i="2"/>
  <c r="C310" i="2"/>
  <c r="B310" i="2"/>
  <c r="B341" i="2"/>
  <c r="D341" i="2"/>
  <c r="D118" i="2"/>
  <c r="C118" i="2"/>
  <c r="D130" i="2"/>
  <c r="C130" i="2"/>
  <c r="B130" i="2"/>
  <c r="D270" i="2"/>
  <c r="C270" i="2"/>
  <c r="B270" i="2"/>
  <c r="B3" i="2"/>
  <c r="D3" i="2"/>
  <c r="C3" i="2"/>
  <c r="B27" i="2"/>
  <c r="B100" i="2"/>
  <c r="B189" i="2"/>
  <c r="C231" i="2"/>
  <c r="B231" i="2"/>
  <c r="D258" i="2"/>
  <c r="B276" i="2"/>
  <c r="C344" i="2"/>
  <c r="C27" i="2"/>
  <c r="D231" i="2"/>
  <c r="D65" i="2"/>
  <c r="B65" i="2"/>
  <c r="C65" i="2"/>
  <c r="D216" i="2"/>
  <c r="C216" i="2"/>
  <c r="B168" i="2"/>
  <c r="C204" i="2"/>
  <c r="D204" i="2"/>
  <c r="C291" i="2"/>
  <c r="B106" i="2"/>
  <c r="D106" i="2"/>
  <c r="C106" i="2"/>
  <c r="C123" i="2"/>
  <c r="B123" i="2"/>
  <c r="D123" i="2"/>
  <c r="B381" i="2"/>
  <c r="B73" i="2"/>
  <c r="B258" i="2"/>
  <c r="B313" i="2"/>
  <c r="C381" i="2"/>
  <c r="B107" i="2"/>
  <c r="C141" i="2"/>
  <c r="B141" i="2"/>
  <c r="B201" i="2"/>
  <c r="D201" i="2"/>
  <c r="C201" i="2"/>
  <c r="C32" i="2"/>
  <c r="D159" i="2"/>
  <c r="D68" i="2"/>
  <c r="C214" i="2"/>
  <c r="D214" i="2"/>
  <c r="D97" i="2"/>
  <c r="B97" i="2"/>
  <c r="C97" i="2"/>
  <c r="D144" i="2"/>
  <c r="C144" i="2"/>
  <c r="D173" i="2"/>
  <c r="C173" i="2"/>
  <c r="B173" i="2"/>
  <c r="C186" i="2"/>
  <c r="B186" i="2"/>
  <c r="D10" i="2"/>
  <c r="C10" i="2"/>
  <c r="D227" i="2"/>
  <c r="C227" i="2"/>
  <c r="B227" i="2"/>
  <c r="C359" i="2"/>
  <c r="B5" i="2"/>
  <c r="B24" i="2"/>
  <c r="C35" i="2"/>
  <c r="B40" i="2"/>
  <c r="B45" i="2"/>
  <c r="D60" i="2"/>
  <c r="C76" i="2"/>
  <c r="B76" i="2"/>
  <c r="D81" i="2"/>
  <c r="C81" i="2"/>
  <c r="B81" i="2"/>
  <c r="D86" i="2"/>
  <c r="B92" i="2"/>
  <c r="C127" i="2"/>
  <c r="B144" i="2"/>
  <c r="D168" i="2"/>
  <c r="D186" i="2"/>
  <c r="B216" i="2"/>
  <c r="C228" i="2"/>
  <c r="D228" i="2"/>
  <c r="B250" i="2"/>
  <c r="B273" i="2"/>
  <c r="B298" i="2"/>
  <c r="B305" i="2"/>
  <c r="D305" i="2"/>
  <c r="D335" i="2"/>
  <c r="C335" i="2"/>
  <c r="B335" i="2"/>
  <c r="C341" i="2"/>
  <c r="B372" i="2"/>
  <c r="B397" i="2"/>
  <c r="C89" i="2"/>
  <c r="B89" i="2"/>
  <c r="D89" i="2"/>
  <c r="D288" i="2"/>
  <c r="C288" i="2"/>
  <c r="B288" i="2"/>
  <c r="D148" i="2"/>
  <c r="C148" i="2"/>
  <c r="B148" i="2"/>
  <c r="D166" i="2"/>
  <c r="C166" i="2"/>
  <c r="B166" i="2"/>
  <c r="C282" i="2"/>
  <c r="B95" i="2"/>
  <c r="D295" i="2"/>
  <c r="B295" i="2"/>
  <c r="B8" i="2"/>
  <c r="B53" i="2"/>
  <c r="B242" i="2"/>
  <c r="C242" i="2"/>
  <c r="D242" i="2"/>
  <c r="D276" i="2"/>
  <c r="C289" i="2"/>
  <c r="D160" i="2"/>
  <c r="C160" i="2"/>
  <c r="B160" i="2"/>
  <c r="D29" i="2"/>
  <c r="B29" i="2"/>
  <c r="B86" i="2"/>
  <c r="B109" i="2"/>
  <c r="B150" i="2"/>
  <c r="D162" i="2"/>
  <c r="C162" i="2"/>
  <c r="D180" i="2"/>
  <c r="C180" i="2"/>
  <c r="B35" i="2"/>
  <c r="D150" i="2"/>
  <c r="B210" i="2"/>
  <c r="D353" i="2"/>
  <c r="C353" i="2"/>
  <c r="B353" i="2"/>
  <c r="B1" i="2"/>
  <c r="C24" i="2"/>
  <c r="C30" i="2"/>
  <c r="D30" i="2"/>
  <c r="B30" i="2"/>
  <c r="D40" i="2"/>
  <c r="C45" i="2"/>
  <c r="B71" i="2"/>
  <c r="C87" i="2"/>
  <c r="B87" i="2"/>
  <c r="D92" i="2"/>
  <c r="B121" i="2"/>
  <c r="D127" i="2"/>
  <c r="D169" i="2"/>
  <c r="C169" i="2"/>
  <c r="B169" i="2"/>
  <c r="B204" i="2"/>
  <c r="B228" i="2"/>
  <c r="D250" i="2"/>
  <c r="C273" i="2"/>
  <c r="C298" i="2"/>
  <c r="D354" i="2"/>
  <c r="C354" i="2"/>
  <c r="B366" i="2"/>
  <c r="C372" i="2"/>
  <c r="D379" i="2"/>
  <c r="C379" i="2"/>
  <c r="B379" i="2"/>
  <c r="C397" i="2"/>
  <c r="D369" i="2"/>
  <c r="B369" i="2"/>
  <c r="C369" i="2"/>
  <c r="B43" i="2"/>
  <c r="C43" i="2"/>
  <c r="D191" i="2"/>
  <c r="C191" i="2"/>
  <c r="B191" i="2"/>
  <c r="B60" i="2"/>
  <c r="D109" i="2"/>
  <c r="B323" i="2"/>
  <c r="D323" i="2"/>
  <c r="D378" i="2"/>
  <c r="C378" i="2"/>
  <c r="B378" i="2"/>
  <c r="B10" i="2"/>
  <c r="C1" i="2"/>
  <c r="C51" i="2"/>
  <c r="C71" i="2"/>
  <c r="D87" i="2"/>
  <c r="D93" i="2"/>
  <c r="C93" i="2"/>
  <c r="C121" i="2"/>
  <c r="D128" i="2"/>
  <c r="B128" i="2"/>
  <c r="C128" i="2"/>
  <c r="D205" i="2"/>
  <c r="C205" i="2"/>
  <c r="B251" i="2"/>
  <c r="C251" i="2"/>
  <c r="D251" i="2"/>
  <c r="D336" i="2"/>
  <c r="C336" i="2"/>
  <c r="D366" i="2"/>
  <c r="B391" i="2"/>
  <c r="D398" i="2"/>
  <c r="C398" i="2"/>
  <c r="B398" i="2"/>
  <c r="C5" i="2"/>
  <c r="B41" i="2"/>
  <c r="D51" i="2"/>
  <c r="B82" i="2"/>
  <c r="D145" i="2"/>
  <c r="C293" i="2"/>
  <c r="D318" i="2"/>
  <c r="C318" i="2"/>
  <c r="B336" i="2"/>
  <c r="D348" i="2"/>
  <c r="B373" i="2"/>
  <c r="C386" i="2"/>
  <c r="C391" i="2"/>
  <c r="C373" i="2"/>
  <c r="D386" i="2"/>
  <c r="D392" i="2"/>
  <c r="C392" i="2"/>
  <c r="B392" i="2"/>
  <c r="B48" i="2"/>
  <c r="C72" i="2"/>
  <c r="B72" i="2"/>
  <c r="C105" i="2"/>
  <c r="B105" i="2"/>
  <c r="B146" i="2"/>
  <c r="D146" i="2"/>
  <c r="C146" i="2"/>
  <c r="C164" i="2"/>
  <c r="D164" i="2"/>
  <c r="D337" i="2"/>
  <c r="C337" i="2"/>
  <c r="D349" i="2"/>
  <c r="C349" i="2"/>
  <c r="D36" i="2"/>
  <c r="D105" i="2"/>
  <c r="D240" i="2"/>
  <c r="D268" i="2"/>
  <c r="C275" i="2"/>
  <c r="B287" i="2"/>
  <c r="D287" i="2"/>
  <c r="C287" i="2"/>
  <c r="D312" i="2"/>
  <c r="C177" i="2"/>
  <c r="B177" i="2"/>
  <c r="D137" i="2"/>
  <c r="C137" i="2"/>
  <c r="B137" i="2"/>
  <c r="B192" i="2"/>
  <c r="D274" i="2"/>
  <c r="C274" i="2"/>
  <c r="B274" i="2"/>
  <c r="D292" i="2"/>
  <c r="C292" i="2"/>
  <c r="B292" i="2"/>
  <c r="D306" i="2"/>
  <c r="C306" i="2"/>
  <c r="D324" i="2"/>
  <c r="C324" i="2"/>
  <c r="D342" i="2"/>
  <c r="C342" i="2"/>
  <c r="D360" i="2"/>
  <c r="C360" i="2"/>
  <c r="B394" i="2"/>
  <c r="D374" i="2"/>
  <c r="C374" i="2"/>
  <c r="B219" i="2"/>
  <c r="B102" i="2"/>
  <c r="D119" i="2"/>
  <c r="C119" i="2"/>
  <c r="B119" i="2"/>
  <c r="B142" i="2"/>
  <c r="B151" i="2"/>
  <c r="B174" i="2"/>
  <c r="B183" i="2"/>
  <c r="C192" i="2"/>
  <c r="C206" i="2"/>
  <c r="C219" i="2"/>
  <c r="C224" i="2"/>
  <c r="C233" i="2"/>
  <c r="D238" i="2"/>
  <c r="C238" i="2"/>
  <c r="B238" i="2"/>
  <c r="B247" i="2"/>
  <c r="D252" i="2"/>
  <c r="C252" i="2"/>
  <c r="B261" i="2"/>
  <c r="B374" i="2"/>
  <c r="B384" i="2"/>
  <c r="C394" i="2"/>
  <c r="B399" i="2"/>
  <c r="D94" i="2"/>
  <c r="C94" i="2"/>
  <c r="B124" i="2"/>
  <c r="B133" i="2"/>
  <c r="C142" i="2"/>
  <c r="C151" i="2"/>
  <c r="B156" i="2"/>
  <c r="B165" i="2"/>
  <c r="C174" i="2"/>
  <c r="C183" i="2"/>
  <c r="D206" i="2"/>
  <c r="D224" i="2"/>
  <c r="D233" i="2"/>
  <c r="C247" i="2"/>
  <c r="C261" i="2"/>
  <c r="B279" i="2"/>
  <c r="B297" i="2"/>
  <c r="B306" i="2"/>
  <c r="B311" i="2"/>
  <c r="B320" i="2"/>
  <c r="B324" i="2"/>
  <c r="B329" i="2"/>
  <c r="B338" i="2"/>
  <c r="B342" i="2"/>
  <c r="B347" i="2"/>
  <c r="B356" i="2"/>
  <c r="B360" i="2"/>
  <c r="B365" i="2"/>
  <c r="D384" i="2"/>
  <c r="C399" i="2"/>
  <c r="D155" i="2"/>
  <c r="C155" i="2"/>
  <c r="B155" i="2"/>
  <c r="B7" i="2"/>
  <c r="C42" i="2"/>
  <c r="B46" i="2"/>
  <c r="B50" i="2"/>
  <c r="B54" i="2"/>
  <c r="B58" i="2"/>
  <c r="B62" i="2"/>
  <c r="B66" i="2"/>
  <c r="B70" i="2"/>
  <c r="B74" i="2"/>
  <c r="C98" i="2"/>
  <c r="D102" i="2"/>
  <c r="B115" i="2"/>
  <c r="C124" i="2"/>
  <c r="C133" i="2"/>
  <c r="B138" i="2"/>
  <c r="B147" i="2"/>
  <c r="C156" i="2"/>
  <c r="C165" i="2"/>
  <c r="C197" i="2"/>
  <c r="D202" i="2"/>
  <c r="C202" i="2"/>
  <c r="B202" i="2"/>
  <c r="B211" i="2"/>
  <c r="C215" i="2"/>
  <c r="D220" i="2"/>
  <c r="C220" i="2"/>
  <c r="B220" i="2"/>
  <c r="B229" i="2"/>
  <c r="D234" i="2"/>
  <c r="C234" i="2"/>
  <c r="B243" i="2"/>
  <c r="B252" i="2"/>
  <c r="B257" i="2"/>
  <c r="B266" i="2"/>
  <c r="C279" i="2"/>
  <c r="C297" i="2"/>
  <c r="C311" i="2"/>
  <c r="C320" i="2"/>
  <c r="C329" i="2"/>
  <c r="C338" i="2"/>
  <c r="C347" i="2"/>
  <c r="C356" i="2"/>
  <c r="C365" i="2"/>
  <c r="D385" i="2"/>
  <c r="C385" i="2"/>
  <c r="B385" i="2"/>
  <c r="B390" i="2"/>
  <c r="D256" i="2"/>
  <c r="C256" i="2"/>
  <c r="B256" i="2"/>
  <c r="B42" i="2"/>
  <c r="C7" i="2"/>
  <c r="C11" i="2"/>
  <c r="D54" i="2"/>
  <c r="D58" i="2"/>
  <c r="B90" i="2"/>
  <c r="B94" i="2"/>
  <c r="D98" i="2"/>
  <c r="C115" i="2"/>
  <c r="C179" i="2"/>
  <c r="D184" i="2"/>
  <c r="C184" i="2"/>
  <c r="B184" i="2"/>
  <c r="D197" i="2"/>
  <c r="C211" i="2"/>
  <c r="D215" i="2"/>
  <c r="C229" i="2"/>
  <c r="B371" i="2"/>
  <c r="B389" i="2"/>
  <c r="B364" i="2"/>
  <c r="C371" i="2"/>
  <c r="B382" i="2"/>
  <c r="C389" i="2"/>
  <c r="B400" i="2"/>
  <c r="C364" i="2"/>
  <c r="B375" i="2"/>
  <c r="C382" i="2"/>
  <c r="B393" i="2"/>
  <c r="C40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<sst xmlns="http://schemas.openxmlformats.org/spreadsheetml/2006/main" count="459" uniqueCount="436">
  <si>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</si>
  <si>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</si>
  <si>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</si>
  <si>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</si>
  <si>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</si>
  <si>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</si>
  <si>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</si>
  <si>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</si>
  <si>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</si>
  <si>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</si>
  <si>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</si>
  <si>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</si>
  <si>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</si>
  <si>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</si>
  <si>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</si>
  <si>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</si>
  <si>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</si>
  <si>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</si>
  <si>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</si>
  <si>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</si>
  <si>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</si>
  <si>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</si>
  <si>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</si>
  <si>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</si>
  <si>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</si>
  <si>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</si>
  <si>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</si>
  <si>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</si>
  <si>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</si>
  <si>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</si>
  <si>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</si>
  <si>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</si>
  <si>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</si>
  <si>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</si>
  <si>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</si>
  <si>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all:SUMPRODUCT#11</t>
  </si>
  <si>
    <t>all:SUMPRODUCT#12</t>
  </si>
  <si>
    <t>all:SUMPRODUCT#13</t>
  </si>
  <si>
    <t>all:SUMSQ#1</t>
  </si>
  <si>
    <t>all:SUMSQ#2</t>
  </si>
  <si>
    <t>all:SUMSQ#3</t>
  </si>
  <si>
    <t>all:SUMSQ#4</t>
  </si>
  <si>
    <t>all:SUMSQ#5</t>
  </si>
  <si>
    <t>all:SUMSQ#6</t>
  </si>
  <si>
    <t>all:SUMSQ#7</t>
  </si>
  <si>
    <t>all:SUMSQ#8</t>
  </si>
  <si>
    <t>all:SUMSQ#9</t>
  </si>
  <si>
    <t>all:SUMSQ#10</t>
  </si>
  <si>
    <t>all:SUMSQ#11</t>
  </si>
  <si>
    <t>all:SUMSQ#12</t>
  </si>
  <si>
    <t>all:SUMSQ#13</t>
  </si>
  <si>
    <t>all:SUMX2MY2#1</t>
  </si>
  <si>
    <t>all:SUMX2MY2#2</t>
  </si>
  <si>
    <t>all:SUMX2MY2#3</t>
  </si>
  <si>
    <t>all:SUMX2MY2#4</t>
  </si>
  <si>
    <t>all:SUMX2MY2#5</t>
  </si>
  <si>
    <t>all:SUMX2MY2#6</t>
  </si>
  <si>
    <t>all:SUMX2MY2#7</t>
  </si>
  <si>
    <t>all:SUMX2MY2#8</t>
  </si>
  <si>
    <t>all:SUMX2PY2#1</t>
  </si>
  <si>
    <t>all:SUMX2PY2#2</t>
  </si>
  <si>
    <t>all:SUMX2PY2#3</t>
  </si>
  <si>
    <t>all:SUMX2PY2#4</t>
  </si>
  <si>
    <t>all:SUMX2PY2#5</t>
  </si>
  <si>
    <t>all:SUMX2PY2#6</t>
  </si>
  <si>
    <t>all:SUMX2PY2#7</t>
  </si>
  <si>
    <t>all:SUMX2PY2#8</t>
  </si>
  <si>
    <t>all:SUMXMY2#1</t>
  </si>
  <si>
    <t>all:SUMXMY2#2</t>
  </si>
  <si>
    <t>all:SUMXMY2#3</t>
  </si>
  <si>
    <t>all:SUMXMY2#4</t>
  </si>
  <si>
    <t>all:SUMXMY2#5</t>
  </si>
  <si>
    <t>all:SUMXMY2#6</t>
  </si>
  <si>
    <t>all:SUMXMY2#7</t>
  </si>
  <si>
    <t>all:SUMXMY2#8</t>
  </si>
  <si>
    <t>all:SWITCH#1</t>
  </si>
  <si>
    <t>all:SWITCH#2</t>
  </si>
  <si>
    <t>all:SWITCH#3</t>
  </si>
  <si>
    <t>all:SWITCH#4</t>
  </si>
  <si>
    <t>all:SWITCH#5</t>
  </si>
  <si>
    <t>all:SWITCH#6</t>
  </si>
  <si>
    <t>all:SWITCH#7</t>
  </si>
  <si>
    <t>all:SWITCH#8</t>
  </si>
  <si>
    <t>all:SWITCH#9</t>
  </si>
  <si>
    <t>all:SWITCH#10</t>
  </si>
  <si>
    <t>all:SWITCH#11</t>
  </si>
  <si>
    <t>all:SWITCH#12</t>
  </si>
  <si>
    <t>all:SWITCH#13</t>
  </si>
  <si>
    <t>all:SWITCH#14</t>
  </si>
  <si>
    <t>all:SWITCH#15</t>
  </si>
  <si>
    <t>all:SWITCH#16</t>
  </si>
  <si>
    <t>all:SWITCH#17</t>
  </si>
  <si>
    <t>all:SWITCH#18</t>
  </si>
  <si>
    <t>all:SWITCH#19</t>
  </si>
  <si>
    <t>all:SWITCH#20</t>
  </si>
  <si>
    <t>all:SWITCH#21</t>
  </si>
  <si>
    <t>all:SWITCH#22</t>
  </si>
  <si>
    <t>all:SWITCH#23</t>
  </si>
  <si>
    <t>all:SWITCH#24</t>
  </si>
  <si>
    <t>all:SWITCH#25</t>
  </si>
  <si>
    <t>all:SWITCH#26</t>
  </si>
  <si>
    <t>all:SWITCH#27</t>
  </si>
  <si>
    <t>all:SWITCH#28</t>
  </si>
  <si>
    <t>all:SWITCH#29</t>
  </si>
  <si>
    <t>all:SYD#1</t>
  </si>
  <si>
    <t>all:SYD#2</t>
  </si>
  <si>
    <t>all:SYD#3</t>
  </si>
  <si>
    <t>all:SYD#4</t>
  </si>
  <si>
    <t>all:SYD#5</t>
  </si>
  <si>
    <t>all:SYD#6</t>
  </si>
  <si>
    <t>all:SYD#7</t>
  </si>
  <si>
    <t>all:SYD#8</t>
  </si>
  <si>
    <t>all:SYD#9</t>
  </si>
  <si>
    <t>all:SYD#10</t>
  </si>
  <si>
    <t>all:SYD#11</t>
  </si>
  <si>
    <t>all:SYD#12</t>
  </si>
  <si>
    <t>all:SYD#13</t>
  </si>
  <si>
    <t>all:SYD#14</t>
  </si>
  <si>
    <t>all:SYD#15</t>
  </si>
  <si>
    <t>all:SYD#16</t>
  </si>
  <si>
    <t>all:T.DIST#1</t>
  </si>
  <si>
    <t>all:T.DIST#2</t>
  </si>
  <si>
    <t>all:T.DIST#3</t>
  </si>
  <si>
    <t>all:T.DIST#4</t>
  </si>
  <si>
    <t>all:T.DIST#5</t>
  </si>
  <si>
    <t>all:T.DIST#6</t>
  </si>
  <si>
    <t>all:T.DIST#7</t>
  </si>
  <si>
    <t>all:T.DIST#8</t>
  </si>
  <si>
    <t>all:T.DIST#9</t>
  </si>
  <si>
    <t>all:T.DIST#10</t>
  </si>
  <si>
    <t>all:T.DIST#11</t>
  </si>
  <si>
    <t>all:T.DIST#12</t>
  </si>
  <si>
    <t>all:T.DIST.2T#1</t>
  </si>
  <si>
    <t>all:T.DIST.2T#2</t>
  </si>
  <si>
    <t>all:T.DIST.2T#3</t>
  </si>
  <si>
    <t>all:T.DIST.2T#4</t>
  </si>
  <si>
    <t>all:T.DIST.2T#5</t>
  </si>
  <si>
    <t>all:T.DIST.2T#6</t>
  </si>
  <si>
    <t>all:T.DIST.2T#7</t>
  </si>
  <si>
    <t>all:T.DIST.2T#8</t>
  </si>
  <si>
    <t>all:T.DIST.RT#1</t>
  </si>
  <si>
    <t>all:T.DIST.RT#2</t>
  </si>
  <si>
    <t>all:T.DIST.RT#3</t>
  </si>
  <si>
    <t>all:T.DIST.RT#4</t>
  </si>
  <si>
    <t>all:T.DIST.RT#5</t>
  </si>
  <si>
    <t>all:T.DIST.RT#6</t>
  </si>
  <si>
    <t>all:T.DIST.RT#7</t>
  </si>
  <si>
    <t>all:T.DIST.RT#8</t>
  </si>
  <si>
    <t>all:T.INV#1</t>
  </si>
  <si>
    <t>all:T.INV#2</t>
  </si>
  <si>
    <t>all:T.INV#3</t>
  </si>
  <si>
    <t>all:T.INV#4</t>
  </si>
  <si>
    <t>all:T.INV#5</t>
  </si>
  <si>
    <t>all:T.INV#6</t>
  </si>
  <si>
    <t>all:T.INV#7</t>
  </si>
  <si>
    <t>all:T.INV#8</t>
  </si>
  <si>
    <t>all:T.INV.2T#1</t>
  </si>
  <si>
    <t>all:T.INV.2T#2</t>
  </si>
  <si>
    <t>all:T.INV.2T#3</t>
  </si>
  <si>
    <t>all:T.INV.2T#4</t>
  </si>
  <si>
    <t>all:T.INV.2T#5</t>
  </si>
  <si>
    <t>all:T.INV.2T#6</t>
  </si>
  <si>
    <t>all:T.INV.2T#7</t>
  </si>
  <si>
    <t>all:T.INV.2T#8</t>
  </si>
  <si>
    <t>all:T.TEST#1</t>
  </si>
  <si>
    <t>all:T.TEST#2</t>
  </si>
  <si>
    <t>all:T.TEST#3</t>
  </si>
  <si>
    <t>all:T.TEST#4</t>
  </si>
  <si>
    <t>all:T.TEST#5</t>
  </si>
  <si>
    <t>all:T.TEST#6</t>
  </si>
  <si>
    <t>all:T.TEST#7</t>
  </si>
  <si>
    <t>all:T.TEST#8</t>
  </si>
  <si>
    <t>all:T.TEST#9</t>
  </si>
  <si>
    <t>all:T.TEST#10</t>
  </si>
  <si>
    <t>all:T.TEST#11</t>
  </si>
  <si>
    <t>all:T.TEST#12</t>
  </si>
  <si>
    <t>all:T.TEST#13</t>
  </si>
  <si>
    <t>all:T.TEST#14</t>
  </si>
  <si>
    <t>all:T.TEST#15</t>
  </si>
  <si>
    <t>all:T.TEST#16</t>
  </si>
  <si>
    <t>all:TBILLEQ#1</t>
  </si>
  <si>
    <t>all:TBILLEQ#2</t>
  </si>
  <si>
    <t>all:TBILLEQ#3</t>
  </si>
  <si>
    <t>all:TBILLEQ#4</t>
  </si>
  <si>
    <t>all:TBILLEQ#5</t>
  </si>
  <si>
    <t>all:TBILLEQ#6</t>
  </si>
  <si>
    <t>all:TBILLEQ#7</t>
  </si>
  <si>
    <t>all:TBILLEQ#8</t>
  </si>
  <si>
    <t>all:TBILLEQ#9</t>
  </si>
  <si>
    <t>all:TBILLEQ#10</t>
  </si>
  <si>
    <t>all:TBILLEQ#11</t>
  </si>
  <si>
    <t>all:TBILLEQ#12</t>
  </si>
  <si>
    <t>all:TBILLPRICE#1</t>
  </si>
  <si>
    <t>all:TBILLPRICE#2</t>
  </si>
  <si>
    <t>all:TBILLPRICE#3</t>
  </si>
  <si>
    <t>all:TBILLPRICE#4</t>
  </si>
  <si>
    <t>all:TBILLPRICE#5</t>
  </si>
  <si>
    <t>all:TBILLPRICE#6</t>
  </si>
  <si>
    <t>all:TBILLPRICE#7</t>
  </si>
  <si>
    <t>all:TBILLPRICE#8</t>
  </si>
  <si>
    <t>all:TBILLPRICE#9</t>
  </si>
  <si>
    <t>all:TBILLPRICE#10</t>
  </si>
  <si>
    <t>all:TBILLPRICE#11</t>
  </si>
  <si>
    <t>all:TBILLPRICE#12</t>
  </si>
  <si>
    <t>all:TBILLYIELD#1</t>
  </si>
  <si>
    <t>all:TBILLYIELD#2</t>
  </si>
  <si>
    <t>all:TBILLYIELD#3</t>
  </si>
  <si>
    <t>all:TBILLYIELD#4</t>
  </si>
  <si>
    <t>all:TBILLYIELD#5</t>
  </si>
  <si>
    <t>all:TBILLYIELD#6</t>
  </si>
  <si>
    <t>all:TBILLYIELD#7</t>
  </si>
  <si>
    <t>all:TBILLYIELD#8</t>
  </si>
  <si>
    <t>all:TBILLYIELD#9</t>
  </si>
  <si>
    <t>all:TBILLYIELD#10</t>
  </si>
  <si>
    <t>all:TBILLYIELD#11</t>
  </si>
  <si>
    <t>all:TBILLYIELD#12</t>
  </si>
  <si>
    <t>all:TDIST#1</t>
  </si>
  <si>
    <t>all:TDIST#2</t>
  </si>
  <si>
    <t>all:TDIST#3</t>
  </si>
  <si>
    <t>all:TDIST#4</t>
  </si>
  <si>
    <t>all:TDIST#5</t>
  </si>
  <si>
    <t>all:TDIST#6</t>
  </si>
  <si>
    <t>all:TDIST#7</t>
  </si>
  <si>
    <t>all:TDIST#8</t>
  </si>
  <si>
    <t>all:TDIST#9</t>
  </si>
  <si>
    <t>all:TDIST#10</t>
  </si>
  <si>
    <t>all:TDIST#11</t>
  </si>
  <si>
    <t>all:TDIST#12</t>
  </si>
  <si>
    <t>all:TEXT#1</t>
  </si>
  <si>
    <t>all:TEXT#2</t>
  </si>
  <si>
    <t>all:TEXT#3</t>
  </si>
  <si>
    <t>all:TEXT#4</t>
  </si>
  <si>
    <t>all:TEXT#5</t>
  </si>
  <si>
    <t>all:TEXT#6</t>
  </si>
  <si>
    <t>all:TEXT#7</t>
  </si>
  <si>
    <t>all:TEXT#8</t>
  </si>
  <si>
    <t>all:TEXTAFTER#1</t>
  </si>
  <si>
    <t>all:TEXTAFTER#2</t>
  </si>
  <si>
    <t>all:TEXTAFTER#3</t>
  </si>
  <si>
    <t>all:TEXTAFTER#4</t>
  </si>
  <si>
    <t>all:TEXTAFTER#5</t>
  </si>
  <si>
    <t>all:TEXTAFTER#6</t>
  </si>
  <si>
    <t>all:TEXTAFTER#7</t>
  </si>
  <si>
    <t>all:TEXTAFTER#8</t>
  </si>
  <si>
    <t>all:TEXTAFTER#9</t>
  </si>
  <si>
    <t>all:TEXTAFTER#10</t>
  </si>
  <si>
    <t>all:TEXTAFTER#11</t>
  </si>
  <si>
    <t>all:TEXTAFTER#12</t>
  </si>
  <si>
    <t>all:TEXTAFTER#13</t>
  </si>
  <si>
    <t>all:TEXTBEFORE#1</t>
  </si>
  <si>
    <t>all:TEXTBEFORE#2</t>
  </si>
  <si>
    <t>all:TEXTBEFORE#3</t>
  </si>
  <si>
    <t>all:TEXTBEFORE#4</t>
  </si>
  <si>
    <t>all:TEXTBEFORE#5</t>
  </si>
  <si>
    <t>all:TEXTBEFORE#6</t>
  </si>
  <si>
    <t>all:TEXTBEFORE#7</t>
  </si>
  <si>
    <t>all:TEXTBEFORE#8</t>
  </si>
  <si>
    <t>all:TEXTBEFORE#9</t>
  </si>
  <si>
    <t>all:TEXTBEFORE#10</t>
  </si>
  <si>
    <t>all:TEXTBEFORE#11</t>
  </si>
  <si>
    <t>all:TEXTBEFORE#12</t>
  </si>
  <si>
    <t>all:TEXTBEFORE#13</t>
  </si>
  <si>
    <t>all:TEXTJOIN#1</t>
  </si>
  <si>
    <t>all:TEXTJOIN#2</t>
  </si>
  <si>
    <t>all:TEXTJOIN#3</t>
  </si>
  <si>
    <t>all:TEXTJOIN#4</t>
  </si>
  <si>
    <t>all:TEXTJOIN#5</t>
  </si>
  <si>
    <t>all:TEXTJOIN#6</t>
  </si>
  <si>
    <t>all:TEXTJOIN#7</t>
  </si>
  <si>
    <t>all:TEXTJOIN#8</t>
  </si>
  <si>
    <t>all:TEXTJOIN#9</t>
  </si>
  <si>
    <t>all:TEXTJOIN#10</t>
  </si>
  <si>
    <t>all:TEXTJOIN#11</t>
  </si>
  <si>
    <t>all:TEXTJOIN#12</t>
  </si>
  <si>
    <t>all:TEXTJOIN#13</t>
  </si>
  <si>
    <t>all:TEXTJOIN#14</t>
  </si>
  <si>
    <t>all:TEXTJOIN#15</t>
  </si>
  <si>
    <t>all:TEXTJOIN#16</t>
  </si>
  <si>
    <t>all:TEXTJOIN#17</t>
  </si>
  <si>
    <t>all:TEXTJOIN#18</t>
  </si>
  <si>
    <t>all:TEXTJOIN#19</t>
  </si>
  <si>
    <t>all:TEXTJOIN#20</t>
  </si>
  <si>
    <t>all:TEXTJOIN#21</t>
  </si>
  <si>
    <t>all:TEXTJOIN#22</t>
  </si>
  <si>
    <t>all:TEXTJOIN#23</t>
  </si>
  <si>
    <t>all:TEXTJOIN#24</t>
  </si>
  <si>
    <t>all:TEXTJOIN#25</t>
  </si>
  <si>
    <t>all:TIME#1</t>
  </si>
  <si>
    <t>all:TIME#2</t>
  </si>
  <si>
    <t>all:TIME#3</t>
  </si>
  <si>
    <t>all:TIME#4</t>
  </si>
  <si>
    <t>all:TIME#5</t>
  </si>
  <si>
    <t>all:TIME#6</t>
  </si>
  <si>
    <t>all:TIME#7</t>
  </si>
  <si>
    <t>all:TIME#8</t>
  </si>
  <si>
    <t>all:TIME#9</t>
  </si>
  <si>
    <t>all:TIME#10</t>
  </si>
  <si>
    <t>all:TIME#11</t>
  </si>
  <si>
    <t>all:TIME#12</t>
  </si>
  <si>
    <t>all:TINV#1</t>
  </si>
  <si>
    <t>all:TINV#2</t>
  </si>
  <si>
    <t>all:TINV#3</t>
  </si>
  <si>
    <t>all:TINV#4</t>
  </si>
  <si>
    <t>all:TINV#5</t>
  </si>
  <si>
    <t>all:TINV#6</t>
  </si>
  <si>
    <t>all:TINV#7</t>
  </si>
  <si>
    <t>all:TINV#8</t>
  </si>
  <si>
    <t>all:TRIMMEAN#1</t>
  </si>
  <si>
    <t>all:TRIMMEAN#2</t>
  </si>
  <si>
    <t>all:TRIMMEAN#3</t>
  </si>
  <si>
    <t>all:TRIMMEAN#4</t>
  </si>
  <si>
    <t>all:TRIMMEAN#5</t>
  </si>
  <si>
    <t>all:TRIMMEAN#6</t>
  </si>
  <si>
    <t>all:TRIMMEAN#7</t>
  </si>
  <si>
    <t>all:TRIMMEAN#8</t>
  </si>
  <si>
    <t>all:TRUNC#1</t>
  </si>
  <si>
    <t>all:TRUNC#2</t>
  </si>
  <si>
    <t>all:TRUNC#3</t>
  </si>
  <si>
    <t>all:TRUNC#4</t>
  </si>
  <si>
    <t>all:TRUNC#5</t>
  </si>
  <si>
    <t>all:TTEST#1</t>
  </si>
  <si>
    <t>all:TTEST#2</t>
  </si>
  <si>
    <t>all:TTEST#3</t>
  </si>
  <si>
    <t>all:TTEST#4</t>
  </si>
  <si>
    <t>all:TTEST#5</t>
  </si>
  <si>
    <t>all:TTEST#6</t>
  </si>
  <si>
    <t>all:TTEST#7</t>
  </si>
  <si>
    <t>all:TTEST#8</t>
  </si>
  <si>
    <t>all:TTEST#9</t>
  </si>
  <si>
    <t>all:TTEST#10</t>
  </si>
  <si>
    <t>all:TTEST#11</t>
  </si>
  <si>
    <t>all:TTEST#12</t>
  </si>
  <si>
    <t>all:TTEST#13</t>
  </si>
  <si>
    <t>all:TTEST#14</t>
  </si>
  <si>
    <t>all:TTEST#15</t>
  </si>
  <si>
    <t>all:TTEST#16</t>
  </si>
  <si>
    <t>all:VALUETOTEXT#1</t>
  </si>
  <si>
    <t>all:VALUETOTEXT#2</t>
  </si>
  <si>
    <t>all:VALUETOTEXT#3</t>
  </si>
  <si>
    <t>all:VALUETOTEXT#4</t>
  </si>
  <si>
    <t>all:VALUETOTEXT#5</t>
  </si>
  <si>
    <t>all:VALUETOTEXT#6</t>
  </si>
  <si>
    <t>all:VALUETOTEXT#7</t>
  </si>
  <si>
    <t>all:VALUETOTEXT#8</t>
  </si>
  <si>
    <t>all:VAR#1</t>
  </si>
  <si>
    <t>all:VAR#2</t>
  </si>
  <si>
    <t>all:VAR#3</t>
  </si>
  <si>
    <t>all:VAR#4</t>
  </si>
  <si>
    <t>all:VAR#5</t>
  </si>
  <si>
    <t>all:VAR#6</t>
  </si>
  <si>
    <t>all:VAR#7</t>
  </si>
  <si>
    <t>all:VAR#8</t>
  </si>
  <si>
    <t>all:VAR#9</t>
  </si>
  <si>
    <t>all:VAR#10</t>
  </si>
  <si>
    <t>all:VAR#11</t>
  </si>
  <si>
    <t>all:VAR#12</t>
  </si>
  <si>
    <t>all:VAR#13</t>
  </si>
  <si>
    <t>all:VAR#14</t>
  </si>
  <si>
    <t>all:VAR#15</t>
  </si>
  <si>
    <t>all:VAR#16</t>
  </si>
  <si>
    <t>all:VAR#17</t>
  </si>
  <si>
    <t>all:VAR.P#1</t>
  </si>
  <si>
    <t>all:VAR.P#2</t>
  </si>
  <si>
    <t>all:VAR.P#3</t>
  </si>
  <si>
    <t>all:VAR.P#4</t>
  </si>
  <si>
    <t>all:VAR.P#5</t>
  </si>
  <si>
    <t>all:VAR.S#1</t>
  </si>
  <si>
    <t>all:VAR.S#2</t>
  </si>
  <si>
    <t>all:VAR.S#3</t>
  </si>
  <si>
    <t>all:VAR.S#4</t>
  </si>
  <si>
    <t>all:VAR.S#5</t>
  </si>
  <si>
    <t>all:VARA#1</t>
  </si>
  <si>
    <t>all:VARA#2</t>
  </si>
  <si>
    <t>all:VARA#3</t>
  </si>
  <si>
    <t>all:VARA#4</t>
  </si>
  <si>
    <t>all:VARA#5</t>
  </si>
  <si>
    <t>all:VARP#1</t>
  </si>
  <si>
    <t>all:VARP#2</t>
  </si>
  <si>
    <t>all:VARP#3</t>
  </si>
  <si>
    <t>all:VARP#4</t>
  </si>
  <si>
    <t>all:VARP#5</t>
  </si>
  <si>
    <t>all:VARPA#1</t>
  </si>
  <si>
    <t>all:VARPA#2</t>
  </si>
  <si>
    <t>all:VARPA#3</t>
  </si>
  <si>
    <t>all:VARPA#4</t>
  </si>
  <si>
    <t>all:VARPA#5</t>
  </si>
  <si>
    <t>all:VLOOKUP#1</t>
  </si>
  <si>
    <t>all:VLOOKUP#2</t>
  </si>
  <si>
    <t>all:VLOOKUP#3</t>
  </si>
  <si>
    <t>all:VLOOKUP#4</t>
  </si>
  <si>
    <t>all:VLOOKUP#5</t>
  </si>
  <si>
    <t>all:VLOOKUP#6</t>
  </si>
  <si>
    <t>all:VLOOKUP#7</t>
  </si>
  <si>
    <t>all:VLOOKUP#8</t>
  </si>
  <si>
    <t>all:VLOOKUP#9</t>
  </si>
  <si>
    <t>all:VLOOKUP#10</t>
  </si>
  <si>
    <t>all:VLOOKUP#11</t>
  </si>
  <si>
    <t>all:VLOOKUP#12</t>
  </si>
  <si>
    <t>all:VLOOKUP#13</t>
  </si>
  <si>
    <t>all:VLOOKUP#14</t>
  </si>
  <si>
    <t>all:VLOOKUP#15</t>
  </si>
  <si>
    <t>all:VLOOKUP#16</t>
  </si>
  <si>
    <t>all:WEEKDAY#1</t>
  </si>
  <si>
    <t>all:WEEKDAY#2</t>
  </si>
  <si>
    <t>all:WEEKDAY#3</t>
  </si>
  <si>
    <t>all:WEEKDAY#4</t>
  </si>
  <si>
    <t>all:WEEKDAY#5</t>
  </si>
  <si>
    <t>all:WEEKNUM#1</t>
  </si>
  <si>
    <t>all:WEEKNUM#2</t>
  </si>
  <si>
    <t>all:WEEKNUM#3</t>
  </si>
  <si>
    <t>all:WEEKNUM#4</t>
  </si>
  <si>
    <t>all:WEEKNUM#5</t>
  </si>
  <si>
    <t>all:WEIBULL#1</t>
  </si>
  <si>
    <t>all:WEIBULL#2</t>
  </si>
  <si>
    <t>all:WEIBULL#3</t>
  </si>
  <si>
    <t>all:WEIBULL#4</t>
  </si>
  <si>
    <t>all:WEIBULL#5</t>
  </si>
  <si>
    <t>all:WEIBULL#6</t>
  </si>
  <si>
    <t>all:WEIBULL#7</t>
  </si>
  <si>
    <t>all:WEIBULL#8</t>
  </si>
  <si>
    <t>all:WEIBULL#9</t>
  </si>
  <si>
    <t>all:WEIBULL#10</t>
  </si>
  <si>
    <t>all:WEIBULL#11</t>
  </si>
  <si>
    <t>all:WEIBULL#12</t>
  </si>
  <si>
    <t>all:WEIBULL#13</t>
  </si>
  <si>
    <t>all:WEIBULL#14</t>
  </si>
  <si>
    <t>all:WEIBULL#15</t>
  </si>
  <si>
    <t>all:WEIBULL#16</t>
  </si>
  <si>
    <t>all:WEIBULL.DIST#1</t>
  </si>
  <si>
    <t>all:WEIBULL.DIST#2</t>
  </si>
  <si>
    <t>all:WEIBULL.DIST#3</t>
  </si>
  <si>
    <t>all:WEIBULL.DIST#4</t>
  </si>
  <si>
    <t>all:WEIBULL.DIST#5</t>
  </si>
  <si>
    <t>all:WEIBULL.DIST#6</t>
  </si>
  <si>
    <t>all:WEIBULL.DIST#7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</si>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</sst>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SUMPRODUCT(D!B1:B8,D!C1:C8,0)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SUMPRODUCT(D!B1:B8,D!C1:C8,"")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SUMPRODUCT(D!B1:B8,D!C1:C8,FALSE)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SUMSQ(,4)</f>
        <v>16</v>
      </c>
      <c r="B4">
        <f t="shared" si="0"/>
        <v>0</v>
      </c>
      <c r="C4">
        <f t="shared" si="1"/>
        <v>16</v>
      </c>
      <c r="D4" t="str">
        <f t="shared" si="2"/>
        <v/>
      </c>
      <c r="E4" t="s">
        <v>38</v>
      </c>
    </row>
    <row r="5" spans="1:5" x14ac:dyDescent="0.2">
      <c r="A5" cm="1">
        <f t="array" ref="A5">SUMSQ(0,4)</f>
        <v>16</v>
      </c>
      <c r="B5">
        <f t="shared" si="0"/>
        <v>0</v>
      </c>
      <c r="C5">
        <f t="shared" si="1"/>
        <v>16</v>
      </c>
      <c r="D5" t="str">
        <f t="shared" si="2"/>
        <v/>
      </c>
      <c r="E5" t="s">
        <v>39</v>
      </c>
    </row>
    <row r="6" spans="1:5" x14ac:dyDescent="0.2">
      <c r="A6" t="e" cm="1">
        <f t="array" ref="A6">SUMSQ("",4)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SUMSQ(FALSE,4)</f>
        <v>16</v>
      </c>
      <c r="B7">
        <f t="shared" si="0"/>
        <v>0</v>
      </c>
      <c r="C7">
        <f t="shared" si="1"/>
        <v>16</v>
      </c>
      <c r="D7" t="str">
        <f t="shared" si="2"/>
        <v/>
      </c>
      <c r="E7" t="s">
        <v>41</v>
      </c>
    </row>
    <row r="8" spans="1:5" x14ac:dyDescent="0.2">
      <c r="A8" cm="1">
        <f t="array" ref="A8">SUMSQ(3,)</f>
        <v>9</v>
      </c>
      <c r="B8">
        <f t="shared" si="0"/>
        <v>0</v>
      </c>
      <c r="C8">
        <f t="shared" si="1"/>
        <v>9</v>
      </c>
      <c r="D8" t="str">
        <f t="shared" si="2"/>
        <v/>
      </c>
      <c r="E8" t="s">
        <v>42</v>
      </c>
    </row>
    <row r="9" spans="1:5" x14ac:dyDescent="0.2">
      <c r="A9" cm="1">
        <f t="array" ref="A9">SUMSQ(3,0)</f>
        <v>9</v>
      </c>
      <c r="B9">
        <f t="shared" si="0"/>
        <v>0</v>
      </c>
      <c r="C9">
        <f t="shared" si="1"/>
        <v>9</v>
      </c>
      <c r="D9" t="str">
        <f t="shared" si="2"/>
        <v/>
      </c>
      <c r="E9" t="s">
        <v>43</v>
      </c>
    </row>
    <row r="10" spans="1:5" x14ac:dyDescent="0.2">
      <c r="A10" t="e" cm="1">
        <f t="array" ref="A10">SUMSQ(3,"")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SUMSQ(3,FALSE)</f>
        <v>9</v>
      </c>
      <c r="B11">
        <f t="shared" si="0"/>
        <v>0</v>
      </c>
      <c r="C11">
        <f t="shared" si="1"/>
        <v>9</v>
      </c>
      <c r="D11" t="str">
        <f t="shared" si="2"/>
        <v/>
      </c>
      <c r="E11" t="s">
        <v>45</v>
      </c>
    </row>
    <row r="12" spans="1:5" x14ac:dyDescent="0.2">
      <c r="A12" cm="1">
        <f t="array" ref="A12">SUMSQ(3,4)</f>
        <v>25</v>
      </c>
      <c r="B12">
        <f t="shared" si="0"/>
        <v>0</v>
      </c>
      <c r="C12">
        <f t="shared" si="1"/>
        <v>25</v>
      </c>
      <c r="D12" t="str">
        <f t="shared" si="2"/>
        <v/>
      </c>
      <c r="E12" t="s">
        <v>46</v>
      </c>
    </row>
    <row r="13" spans="1:5" x14ac:dyDescent="0.2">
      <c r="A13" cm="1">
        <f t="array" ref="A13">SUMSQ(3,4,)</f>
        <v>25</v>
      </c>
      <c r="B13">
        <f t="shared" si="0"/>
        <v>0</v>
      </c>
      <c r="C13">
        <f t="shared" si="1"/>
        <v>25</v>
      </c>
      <c r="D13" t="str">
        <f t="shared" si="2"/>
        <v/>
      </c>
      <c r="E13" t="s">
        <v>47</v>
      </c>
    </row>
    <row r="14" spans="1:5" x14ac:dyDescent="0.2">
      <c r="A14" cm="1">
        <f t="array" ref="A14">SUMSQ(3,4,0)</f>
        <v>25</v>
      </c>
      <c r="B14">
        <f t="shared" si="0"/>
        <v>0</v>
      </c>
      <c r="C14">
        <f t="shared" si="1"/>
        <v>25</v>
      </c>
      <c r="D14" t="str">
        <f t="shared" si="2"/>
        <v/>
      </c>
      <c r="E14" t="s">
        <v>48</v>
      </c>
    </row>
    <row r="15" spans="1:5" x14ac:dyDescent="0.2">
      <c r="A15" t="e" cm="1">
        <f t="array" ref="A15">SUMSQ(3,4,"")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SUMSQ(3,4,FALSE)</f>
        <v>25</v>
      </c>
      <c r="B16">
        <f t="shared" si="0"/>
        <v>0</v>
      </c>
      <c r="C16">
        <f t="shared" si="1"/>
        <v>25</v>
      </c>
      <c r="D16" t="str">
        <f t="shared" si="2"/>
        <v/>
      </c>
      <c r="E16" t="s">
        <v>50</v>
      </c>
    </row>
    <row r="17" spans="1:5" x14ac:dyDescent="0.2">
      <c r="A17" t="e" cm="1">
        <f t="array" ref="A17">SUMX2MY2(,D!C1:C8)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SUMX2MY2(0,D!C1:C8)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SUMX2MY2("",D!C1:C8)</f>
        <v>#N/A</v>
      </c>
      <c r="B19">
        <f t="shared" si="0"/>
        <v>7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SUMX2MY2(FALSE,D!C1:C8)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SUMX2MY2(D!B1:B8,)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SUMX2MY2(D!B1:B8,0)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SUMX2MY2(D!B1:B8,"")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SUMX2MY2(D!B1:B8,FALSE)</f>
        <v>#N/A</v>
      </c>
      <c r="B24">
        <f t="shared" si="0"/>
        <v>7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SUMX2PY2(,D!C1:C8)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SUMX2PY2(0,D!C1:C8)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SUMX2PY2("",D!C1:C8)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SUMX2PY2(FALSE,D!C1:C8)</f>
        <v>#N/A</v>
      </c>
      <c r="B28">
        <f t="shared" si="0"/>
        <v>7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SUMX2PY2(D!B1:B8,)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SUMX2PY2(D!B1:B8,0)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SUMX2PY2(D!B1:B8,"")</f>
        <v>#N/A</v>
      </c>
      <c r="B31">
        <f t="shared" si="0"/>
        <v>7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SUMX2PY2(D!B1:B8,FALSE)</f>
        <v>#N/A</v>
      </c>
      <c r="B32">
        <f t="shared" si="0"/>
        <v>7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SUMXMY2(,D!C1:C8)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SUMXMY2(0,D!C1:C8)</f>
        <v>#N/A</v>
      </c>
      <c r="B34">
        <f t="shared" si="0"/>
        <v>7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SUMXMY2("",D!C1:C8)</f>
        <v>#N/A</v>
      </c>
      <c r="B35">
        <f t="shared" si="0"/>
        <v>7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SUMXMY2(FALSE,D!C1:C8)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SUMXMY2(D!B1:B8,)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SUMXMY2(D!B1:B8,0)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SUMXMY2(D!B1:B8,"")</f>
        <v>#N/A</v>
      </c>
      <c r="B39">
        <f t="shared" si="0"/>
        <v>7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SUMXMY2(D!B1:B8,FALSE)</f>
        <v>#N/A</v>
      </c>
      <c r="B40">
        <f t="shared" si="0"/>
        <v>7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str" cm="1">
        <f t="array" ref="A41">_xlfn.SWITCH(,1,"one",2,"two","other")</f>
        <v>other</v>
      </c>
      <c r="B41">
        <f t="shared" si="0"/>
        <v>-3</v>
      </c>
      <c r="C41">
        <f t="shared" si="1"/>
        <v>0</v>
      </c>
      <c r="D41" t="str">
        <f t="shared" si="2"/>
        <v>other</v>
      </c>
      <c r="E41" t="s">
        <v>75</v>
      </c>
    </row>
    <row r="42" spans="1:5" x14ac:dyDescent="0.2">
      <c r="A42" t="str" cm="1">
        <f t="array" ref="A42">_xlfn.SWITCH(0,1,"one",2,"two","other")</f>
        <v>other</v>
      </c>
      <c r="B42">
        <f t="shared" si="0"/>
        <v>-3</v>
      </c>
      <c r="C42">
        <f t="shared" si="1"/>
        <v>0</v>
      </c>
      <c r="D42" t="str">
        <f t="shared" si="2"/>
        <v>other</v>
      </c>
      <c r="E42" t="s">
        <v>76</v>
      </c>
    </row>
    <row r="43" spans="1:5" x14ac:dyDescent="0.2">
      <c r="A43" t="str" cm="1">
        <f t="array" ref="A43">_xlfn.SWITCH("",1,"one",2,"two","other")</f>
        <v>other</v>
      </c>
      <c r="B43">
        <f t="shared" si="0"/>
        <v>-3</v>
      </c>
      <c r="C43">
        <f t="shared" si="1"/>
        <v>0</v>
      </c>
      <c r="D43" t="str">
        <f t="shared" si="2"/>
        <v>other</v>
      </c>
      <c r="E43" t="s">
        <v>77</v>
      </c>
    </row>
    <row r="44" spans="1:5" x14ac:dyDescent="0.2">
      <c r="A44" t="str" cm="1">
        <f t="array" ref="A44">_xlfn.SWITCH(FALSE,1,"one",2,"two","other")</f>
        <v>other</v>
      </c>
      <c r="B44">
        <f t="shared" si="0"/>
        <v>-3</v>
      </c>
      <c r="C44">
        <f t="shared" si="1"/>
        <v>0</v>
      </c>
      <c r="D44" t="str">
        <f t="shared" si="2"/>
        <v>other</v>
      </c>
      <c r="E44" t="s">
        <v>78</v>
      </c>
    </row>
    <row r="45" spans="1:5" x14ac:dyDescent="0.2">
      <c r="A45" t="str" cm="1">
        <f t="array" ref="A45">_xlfn.SWITCH(2,,"one",2,"two","other")</f>
        <v>two</v>
      </c>
      <c r="B45">
        <f t="shared" si="0"/>
        <v>-3</v>
      </c>
      <c r="C45">
        <f t="shared" si="1"/>
        <v>0</v>
      </c>
      <c r="D45" t="str">
        <f t="shared" si="2"/>
        <v>two</v>
      </c>
      <c r="E45" t="s">
        <v>79</v>
      </c>
    </row>
    <row r="46" spans="1:5" x14ac:dyDescent="0.2">
      <c r="A46" t="str" cm="1">
        <f t="array" ref="A46">_xlfn.SWITCH(2,0,"one",2,"two","other")</f>
        <v>two</v>
      </c>
      <c r="B46">
        <f t="shared" si="0"/>
        <v>-3</v>
      </c>
      <c r="C46">
        <f t="shared" si="1"/>
        <v>0</v>
      </c>
      <c r="D46" t="str">
        <f t="shared" si="2"/>
        <v>two</v>
      </c>
      <c r="E46" t="s">
        <v>80</v>
      </c>
    </row>
    <row r="47" spans="1:5" x14ac:dyDescent="0.2">
      <c r="A47" t="str" cm="1">
        <f t="array" ref="A47">_xlfn.SWITCH(2,"","one",2,"two","other")</f>
        <v>two</v>
      </c>
      <c r="B47">
        <f t="shared" si="0"/>
        <v>-3</v>
      </c>
      <c r="C47">
        <f t="shared" si="1"/>
        <v>0</v>
      </c>
      <c r="D47" t="str">
        <f t="shared" si="2"/>
        <v>two</v>
      </c>
      <c r="E47" t="s">
        <v>81</v>
      </c>
    </row>
    <row r="48" spans="1:5" x14ac:dyDescent="0.2">
      <c r="A48" t="str" cm="1">
        <f t="array" ref="A48">_xlfn.SWITCH(2,FALSE,"one",2,"two","other")</f>
        <v>two</v>
      </c>
      <c r="B48">
        <f t="shared" si="0"/>
        <v>-3</v>
      </c>
      <c r="C48">
        <f t="shared" si="1"/>
        <v>0</v>
      </c>
      <c r="D48" t="str">
        <f t="shared" si="2"/>
        <v>two</v>
      </c>
      <c r="E48" t="s">
        <v>82</v>
      </c>
    </row>
    <row r="49" spans="1:5" x14ac:dyDescent="0.2">
      <c r="A49" t="str" cm="1">
        <f t="array" ref="A49">_xlfn.SWITCH(2,1,,2,"two","other")</f>
        <v>two</v>
      </c>
      <c r="B49">
        <f t="shared" si="0"/>
        <v>-3</v>
      </c>
      <c r="C49">
        <f t="shared" si="1"/>
        <v>0</v>
      </c>
      <c r="D49" t="str">
        <f t="shared" si="2"/>
        <v>two</v>
      </c>
      <c r="E49" t="s">
        <v>83</v>
      </c>
    </row>
    <row r="50" spans="1:5" x14ac:dyDescent="0.2">
      <c r="A50" t="str" cm="1">
        <f t="array" ref="A50">_xlfn.SWITCH(2,1,0,2,"two","other")</f>
        <v>two</v>
      </c>
      <c r="B50">
        <f t="shared" si="0"/>
        <v>-3</v>
      </c>
      <c r="C50">
        <f t="shared" si="1"/>
        <v>0</v>
      </c>
      <c r="D50" t="str">
        <f t="shared" si="2"/>
        <v>two</v>
      </c>
      <c r="E50" t="s">
        <v>84</v>
      </c>
    </row>
    <row r="51" spans="1:5" x14ac:dyDescent="0.2">
      <c r="A51" t="str" cm="1">
        <f t="array" ref="A51">_xlfn.SWITCH(2,1,"",2,"two","other")</f>
        <v>two</v>
      </c>
      <c r="B51">
        <f t="shared" si="0"/>
        <v>-3</v>
      </c>
      <c r="C51">
        <f t="shared" si="1"/>
        <v>0</v>
      </c>
      <c r="D51" t="str">
        <f t="shared" si="2"/>
        <v>two</v>
      </c>
      <c r="E51" t="s">
        <v>85</v>
      </c>
    </row>
    <row r="52" spans="1:5" x14ac:dyDescent="0.2">
      <c r="A52" t="str" cm="1">
        <f t="array" ref="A52">_xlfn.SWITCH(2,1,FALSE,2,"two","other")</f>
        <v>two</v>
      </c>
      <c r="B52">
        <f t="shared" si="0"/>
        <v>-3</v>
      </c>
      <c r="C52">
        <f t="shared" si="1"/>
        <v>0</v>
      </c>
      <c r="D52" t="str">
        <f t="shared" si="2"/>
        <v>two</v>
      </c>
      <c r="E52" t="s">
        <v>86</v>
      </c>
    </row>
    <row r="53" spans="1:5" x14ac:dyDescent="0.2">
      <c r="A53" t="str" cm="1">
        <f t="array" ref="A53">_xlfn.SWITCH(2,1,"one",,"two","other")</f>
        <v>other</v>
      </c>
      <c r="B53">
        <f t="shared" si="0"/>
        <v>-3</v>
      </c>
      <c r="C53">
        <f t="shared" si="1"/>
        <v>0</v>
      </c>
      <c r="D53" t="str">
        <f t="shared" si="2"/>
        <v>other</v>
      </c>
      <c r="E53" t="s">
        <v>87</v>
      </c>
    </row>
    <row r="54" spans="1:5" x14ac:dyDescent="0.2">
      <c r="A54" t="str" cm="1">
        <f t="array" ref="A54">_xlfn.SWITCH(2,1,"one",0,"two","other")</f>
        <v>other</v>
      </c>
      <c r="B54">
        <f t="shared" si="0"/>
        <v>-3</v>
      </c>
      <c r="C54">
        <f t="shared" si="1"/>
        <v>0</v>
      </c>
      <c r="D54" t="str">
        <f t="shared" si="2"/>
        <v>other</v>
      </c>
      <c r="E54" t="s">
        <v>88</v>
      </c>
    </row>
    <row r="55" spans="1:5" x14ac:dyDescent="0.2">
      <c r="A55" t="str" cm="1">
        <f t="array" ref="A55">_xlfn.SWITCH(2,1,"one","","two","other")</f>
        <v>other</v>
      </c>
      <c r="B55">
        <f t="shared" si="0"/>
        <v>-3</v>
      </c>
      <c r="C55">
        <f t="shared" si="1"/>
        <v>0</v>
      </c>
      <c r="D55" t="str">
        <f t="shared" si="2"/>
        <v>other</v>
      </c>
      <c r="E55" t="s">
        <v>89</v>
      </c>
    </row>
    <row r="56" spans="1:5" x14ac:dyDescent="0.2">
      <c r="A56" t="str" cm="1">
        <f t="array" ref="A56">_xlfn.SWITCH(2,1,"one",FALSE,"two","other")</f>
        <v>other</v>
      </c>
      <c r="B56">
        <f t="shared" si="0"/>
        <v>-3</v>
      </c>
      <c r="C56">
        <f t="shared" si="1"/>
        <v>0</v>
      </c>
      <c r="D56" t="str">
        <f t="shared" si="2"/>
        <v>other</v>
      </c>
      <c r="E56" t="s">
        <v>90</v>
      </c>
    </row>
    <row r="57" spans="1:5" x14ac:dyDescent="0.2">
      <c r="A57" cm="1">
        <f t="array" ref="A57">_xlfn.SWITCH(2,1,"one",2,,"other")</f>
        <v>0</v>
      </c>
      <c r="B57">
        <f t="shared" si="0"/>
        <v>0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cm="1">
        <f t="array" ref="A58">_xlfn.SWITCH(2,1,"one",2,0,"other")</f>
        <v>0</v>
      </c>
      <c r="B58">
        <f t="shared" si="0"/>
        <v>0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str" cm="1">
        <f t="array" ref="A59">_xlfn.SWITCH(2,1,"one",2,"","other")</f>
        <v/>
      </c>
      <c r="B59">
        <f t="shared" si="0"/>
        <v>-3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b" cm="1">
        <f t="array" ref="A60">_xlfn.SWITCH(2,1,"one",2,FALSE,"other")</f>
        <v>0</v>
      </c>
      <c r="B60">
        <f t="shared" si="0"/>
        <v>-2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str" cm="1">
        <f t="array" ref="A61">_xlfn.SWITCH(2,1,"one",2,"two",)</f>
        <v>two</v>
      </c>
      <c r="B61">
        <f t="shared" si="0"/>
        <v>-3</v>
      </c>
      <c r="C61">
        <f t="shared" si="1"/>
        <v>0</v>
      </c>
      <c r="D61" t="str">
        <f t="shared" si="2"/>
        <v>two</v>
      </c>
      <c r="E61" t="s">
        <v>95</v>
      </c>
    </row>
    <row r="62" spans="1:5" x14ac:dyDescent="0.2">
      <c r="A62" t="str" cm="1">
        <f t="array" ref="A62">_xlfn.SWITCH(2,1,"one",2,"two",0)</f>
        <v>two</v>
      </c>
      <c r="B62">
        <f t="shared" si="0"/>
        <v>-3</v>
      </c>
      <c r="C62">
        <f t="shared" si="1"/>
        <v>0</v>
      </c>
      <c r="D62" t="str">
        <f t="shared" si="2"/>
        <v>two</v>
      </c>
      <c r="E62" t="s">
        <v>96</v>
      </c>
    </row>
    <row r="63" spans="1:5" x14ac:dyDescent="0.2">
      <c r="A63" t="str" cm="1">
        <f t="array" ref="A63">_xlfn.SWITCH(2,1,"one",2,"two","")</f>
        <v>two</v>
      </c>
      <c r="B63">
        <f t="shared" si="0"/>
        <v>-3</v>
      </c>
      <c r="C63">
        <f t="shared" si="1"/>
        <v>0</v>
      </c>
      <c r="D63" t="str">
        <f t="shared" si="2"/>
        <v>two</v>
      </c>
      <c r="E63" t="s">
        <v>97</v>
      </c>
    </row>
    <row r="64" spans="1:5" x14ac:dyDescent="0.2">
      <c r="A64" t="str" cm="1">
        <f t="array" ref="A64">_xlfn.SWITCH(2,1,"one",2,"two",FALSE)</f>
        <v>two</v>
      </c>
      <c r="B64">
        <f t="shared" si="0"/>
        <v>-3</v>
      </c>
      <c r="C64">
        <f t="shared" si="1"/>
        <v>0</v>
      </c>
      <c r="D64" t="str">
        <f t="shared" si="2"/>
        <v>two</v>
      </c>
      <c r="E64" t="s">
        <v>98</v>
      </c>
    </row>
    <row r="65" spans="1:5" x14ac:dyDescent="0.2">
      <c r="A65" t="str" cm="1">
        <f t="array" ref="A65">_xlfn.SWITCH(2,1,"one",2,"two","other")</f>
        <v>two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two</v>
      </c>
      <c r="E65" t="s">
        <v>99</v>
      </c>
    </row>
    <row r="66" spans="1:5" x14ac:dyDescent="0.2">
      <c r="A66" t="str" cm="1">
        <f t="array" ref="A66">_xlfn.SWITCH(2,1,"one",2,"two","other",)</f>
        <v>two</v>
      </c>
      <c r="B66">
        <f t="shared" si="3"/>
        <v>-3</v>
      </c>
      <c r="C66">
        <f t="shared" si="4"/>
        <v>0</v>
      </c>
      <c r="D66" t="str">
        <f t="shared" si="5"/>
        <v>two</v>
      </c>
      <c r="E66" t="s">
        <v>100</v>
      </c>
    </row>
    <row r="67" spans="1:5" x14ac:dyDescent="0.2">
      <c r="A67" t="str" cm="1">
        <f t="array" ref="A67">_xlfn.SWITCH(2,1,"one",2,"two","other",0)</f>
        <v>two</v>
      </c>
      <c r="B67">
        <f t="shared" si="3"/>
        <v>-3</v>
      </c>
      <c r="C67">
        <f t="shared" si="4"/>
        <v>0</v>
      </c>
      <c r="D67" t="str">
        <f t="shared" si="5"/>
        <v>two</v>
      </c>
      <c r="E67" t="s">
        <v>101</v>
      </c>
    </row>
    <row r="68" spans="1:5" x14ac:dyDescent="0.2">
      <c r="A68" t="str" cm="1">
        <f t="array" ref="A68">_xlfn.SWITCH(2,1,"one",2,"two","other","")</f>
        <v>two</v>
      </c>
      <c r="B68">
        <f t="shared" si="3"/>
        <v>-3</v>
      </c>
      <c r="C68">
        <f t="shared" si="4"/>
        <v>0</v>
      </c>
      <c r="D68" t="str">
        <f t="shared" si="5"/>
        <v>two</v>
      </c>
      <c r="E68" t="s">
        <v>102</v>
      </c>
    </row>
    <row r="69" spans="1:5" x14ac:dyDescent="0.2">
      <c r="A69" t="str" cm="1">
        <f t="array" ref="A69">_xlfn.SWITCH(2,1,"one",2,"two","other",FALSE)</f>
        <v>two</v>
      </c>
      <c r="B69">
        <f t="shared" si="3"/>
        <v>-3</v>
      </c>
      <c r="C69">
        <f t="shared" si="4"/>
        <v>0</v>
      </c>
      <c r="D69" t="str">
        <f t="shared" si="5"/>
        <v>two</v>
      </c>
      <c r="E69" t="s">
        <v>103</v>
      </c>
    </row>
    <row r="70" spans="1:5" x14ac:dyDescent="0.2">
      <c r="A70" cm="1">
        <f t="array" ref="A70">SYD(,7500,10,1)</f>
        <v>-1363.6363636363637</v>
      </c>
      <c r="B70">
        <f t="shared" si="3"/>
        <v>0</v>
      </c>
      <c r="C70">
        <f t="shared" si="4"/>
        <v>-1363.6363636363637</v>
      </c>
      <c r="D70" t="str">
        <f t="shared" si="5"/>
        <v/>
      </c>
      <c r="E70" t="s">
        <v>104</v>
      </c>
    </row>
    <row r="71" spans="1:5" x14ac:dyDescent="0.2">
      <c r="A71" cm="1">
        <f t="array" ref="A71">SYD(0,7500,10,1)</f>
        <v>-1363.6363636363637</v>
      </c>
      <c r="B71">
        <f t="shared" si="3"/>
        <v>0</v>
      </c>
      <c r="C71">
        <f t="shared" si="4"/>
        <v>-1363.6363636363637</v>
      </c>
      <c r="D71" t="str">
        <f t="shared" si="5"/>
        <v/>
      </c>
      <c r="E71" t="s">
        <v>105</v>
      </c>
    </row>
    <row r="72" spans="1:5" x14ac:dyDescent="0.2">
      <c r="A72" t="e" cm="1">
        <f t="array" ref="A72">SYD("",7500,10,1)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cm="1">
        <f t="array" ref="A73">SYD(FALSE,7500,10,1)</f>
        <v>-1363.6363636363637</v>
      </c>
      <c r="B73">
        <f t="shared" si="3"/>
        <v>0</v>
      </c>
      <c r="C73">
        <f t="shared" si="4"/>
        <v>-1363.6363636363637</v>
      </c>
      <c r="D73" t="str">
        <f t="shared" si="5"/>
        <v/>
      </c>
      <c r="E73" t="s">
        <v>107</v>
      </c>
    </row>
    <row r="74" spans="1:5" x14ac:dyDescent="0.2">
      <c r="A74" cm="1">
        <f t="array" ref="A74">SYD(30000,,10,1)</f>
        <v>5454.545454545455</v>
      </c>
      <c r="B74">
        <f t="shared" si="3"/>
        <v>0</v>
      </c>
      <c r="C74">
        <f t="shared" si="4"/>
        <v>5454.545454545455</v>
      </c>
      <c r="D74" t="str">
        <f t="shared" si="5"/>
        <v/>
      </c>
      <c r="E74" t="s">
        <v>108</v>
      </c>
    </row>
    <row r="75" spans="1:5" x14ac:dyDescent="0.2">
      <c r="A75" cm="1">
        <f t="array" ref="A75">SYD(30000,0,10,1)</f>
        <v>5454.545454545455</v>
      </c>
      <c r="B75">
        <f t="shared" si="3"/>
        <v>0</v>
      </c>
      <c r="C75">
        <f t="shared" si="4"/>
        <v>5454.545454545455</v>
      </c>
      <c r="D75" t="str">
        <f t="shared" si="5"/>
        <v/>
      </c>
      <c r="E75" t="s">
        <v>109</v>
      </c>
    </row>
    <row r="76" spans="1:5" x14ac:dyDescent="0.2">
      <c r="A76" t="e" cm="1">
        <f t="array" ref="A76">SYD(30000,"",10,1)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cm="1">
        <f t="array" ref="A77">SYD(30000,FALSE,10,1)</f>
        <v>5454.545454545455</v>
      </c>
      <c r="B77">
        <f t="shared" si="3"/>
        <v>0</v>
      </c>
      <c r="C77">
        <f t="shared" si="4"/>
        <v>5454.545454545455</v>
      </c>
      <c r="D77" t="str">
        <f t="shared" si="5"/>
        <v/>
      </c>
      <c r="E77" t="s">
        <v>111</v>
      </c>
    </row>
    <row r="78" spans="1:5" x14ac:dyDescent="0.2">
      <c r="A78" t="e" cm="1">
        <f t="array" ref="A78">SYD(30000,7500,,1)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SYD(30000,7500,0,1)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SYD(30000,7500,"",1)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SYD(30000,7500,FALSE,1)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SYD(30000,7500,10,)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SYD(30000,7500,10,0)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SYD(30000,7500,10,"")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SYD(30000,7500,10,FALSE)</f>
        <v>#NUM!</v>
      </c>
      <c r="B85">
        <f t="shared" si="3"/>
        <v>6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cm="1">
        <f t="array" ref="A86">_xlfn.T.DIST(,1,TRUE)</f>
        <v>0.5</v>
      </c>
      <c r="B86">
        <f t="shared" si="3"/>
        <v>0</v>
      </c>
      <c r="C86">
        <f t="shared" si="4"/>
        <v>0.5</v>
      </c>
      <c r="D86" t="str">
        <f t="shared" si="5"/>
        <v/>
      </c>
      <c r="E86" t="s">
        <v>120</v>
      </c>
    </row>
    <row r="87" spans="1:5" x14ac:dyDescent="0.2">
      <c r="A87" cm="1">
        <f t="array" ref="A87">_xlfn.T.DIST(0,1,TRUE)</f>
        <v>0.5</v>
      </c>
      <c r="B87">
        <f t="shared" si="3"/>
        <v>0</v>
      </c>
      <c r="C87">
        <f t="shared" si="4"/>
        <v>0.5</v>
      </c>
      <c r="D87" t="str">
        <f t="shared" si="5"/>
        <v/>
      </c>
      <c r="E87" t="s">
        <v>121</v>
      </c>
    </row>
    <row r="88" spans="1:5" x14ac:dyDescent="0.2">
      <c r="A88" t="e" cm="1">
        <f t="array" ref="A88">_xlfn.T.DIST("",1,TRUE)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cm="1">
        <f t="array" ref="A89">_xlfn.T.DIST(FALSE,1,TRUE)</f>
        <v>0.5</v>
      </c>
      <c r="B89">
        <f t="shared" si="3"/>
        <v>0</v>
      </c>
      <c r="C89">
        <f t="shared" si="4"/>
        <v>0.5</v>
      </c>
      <c r="D89" t="str">
        <f t="shared" si="5"/>
        <v/>
      </c>
      <c r="E89" t="s">
        <v>123</v>
      </c>
    </row>
    <row r="90" spans="1:5" x14ac:dyDescent="0.2">
      <c r="A90" t="e" cm="1">
        <f t="array" ref="A90">_xlfn.T.DIST(60,,TRUE)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_xlfn.T.DIST(60,0,TRUE)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_xlfn.T.DIST(60,"",TRUE)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_xlfn.T.DIST(60,FALSE,TRUE)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cm="1">
        <f t="array" ref="A94">_xlfn.T.DIST(60,1,)</f>
        <v>8.839485870141368E-5</v>
      </c>
      <c r="B94">
        <f t="shared" si="3"/>
        <v>0</v>
      </c>
      <c r="C94">
        <f t="shared" si="4"/>
        <v>8.839485870141368E-5</v>
      </c>
      <c r="D94" t="str">
        <f t="shared" si="5"/>
        <v/>
      </c>
      <c r="E94" t="s">
        <v>128</v>
      </c>
    </row>
    <row r="95" spans="1:5" x14ac:dyDescent="0.2">
      <c r="A95" cm="1">
        <f t="array" ref="A95">_xlfn.T.DIST(60,1,0)</f>
        <v>8.839485870141368E-5</v>
      </c>
      <c r="B95">
        <f t="shared" si="3"/>
        <v>0</v>
      </c>
      <c r="C95">
        <f t="shared" si="4"/>
        <v>8.839485870141368E-5</v>
      </c>
      <c r="D95" t="str">
        <f t="shared" si="5"/>
        <v/>
      </c>
      <c r="E95" t="s">
        <v>129</v>
      </c>
    </row>
    <row r="96" spans="1:5" x14ac:dyDescent="0.2">
      <c r="A96" t="e" cm="1">
        <f t="array" ref="A96">_xlfn.T.DIST(60,1,"")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cm="1">
        <f t="array" ref="A97">_xlfn.T.DIST(60,1,FALSE)</f>
        <v>8.839485870141368E-5</v>
      </c>
      <c r="B97">
        <f t="shared" si="3"/>
        <v>0</v>
      </c>
      <c r="C97">
        <f t="shared" si="4"/>
        <v>8.839485870141368E-5</v>
      </c>
      <c r="D97" t="str">
        <f t="shared" si="5"/>
        <v/>
      </c>
      <c r="E97" t="s">
        <v>131</v>
      </c>
    </row>
    <row r="98" spans="1:5" x14ac:dyDescent="0.2">
      <c r="A98" cm="1">
        <f t="array" ref="A98">_xlfn.T.DIST.2T(,60)</f>
        <v>1</v>
      </c>
      <c r="B98">
        <f t="shared" si="3"/>
        <v>0</v>
      </c>
      <c r="C98">
        <f t="shared" si="4"/>
        <v>1</v>
      </c>
      <c r="D98" t="str">
        <f t="shared" si="5"/>
        <v/>
      </c>
      <c r="E98" t="s">
        <v>132</v>
      </c>
    </row>
    <row r="99" spans="1:5" x14ac:dyDescent="0.2">
      <c r="A99" cm="1">
        <f t="array" ref="A99">_xlfn.T.DIST.2T(0,60)</f>
        <v>1</v>
      </c>
      <c r="B99">
        <f t="shared" si="3"/>
        <v>0</v>
      </c>
      <c r="C99">
        <f t="shared" si="4"/>
        <v>1</v>
      </c>
      <c r="D99" t="str">
        <f t="shared" si="5"/>
        <v/>
      </c>
      <c r="E99" t="s">
        <v>133</v>
      </c>
    </row>
    <row r="100" spans="1:5" x14ac:dyDescent="0.2">
      <c r="A100" t="e" cm="1">
        <f t="array" ref="A100">_xlfn.T.DIST.2T("",60)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cm="1">
        <f t="array" ref="A101">_xlfn.T.DIST.2T(FALSE,60)</f>
        <v>1</v>
      </c>
      <c r="B101">
        <f t="shared" si="3"/>
        <v>0</v>
      </c>
      <c r="C101">
        <f t="shared" si="4"/>
        <v>1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_xlfn.T.DIST.2T(1.959999998,)</f>
        <v>#NUM!</v>
      </c>
      <c r="B102">
        <f t="shared" si="3"/>
        <v>6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_xlfn.T.DIST.2T(1.959999998,0)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_xlfn.T.DIST.2T(1.959999998,"")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_xlfn.T.DIST.2T(1.959999998,FALSE)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_xlfn.T.DIST.RT(,60)</f>
        <v>0.5</v>
      </c>
      <c r="B106">
        <f t="shared" si="3"/>
        <v>0</v>
      </c>
      <c r="C106">
        <f t="shared" si="4"/>
        <v>0.5</v>
      </c>
      <c r="D106" t="str">
        <f t="shared" si="5"/>
        <v/>
      </c>
      <c r="E106" t="s">
        <v>140</v>
      </c>
    </row>
    <row r="107" spans="1:5" x14ac:dyDescent="0.2">
      <c r="A107" cm="1">
        <f t="array" ref="A107">_xlfn.T.DIST.RT(0,60)</f>
        <v>0.5</v>
      </c>
      <c r="B107">
        <f t="shared" si="3"/>
        <v>0</v>
      </c>
      <c r="C107">
        <f t="shared" si="4"/>
        <v>0.5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_xlfn.T.DIST.RT("",60)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cm="1">
        <f t="array" ref="A109">_xlfn.T.DIST.RT(FALSE,60)</f>
        <v>0.5</v>
      </c>
      <c r="B109">
        <f t="shared" si="3"/>
        <v>0</v>
      </c>
      <c r="C109">
        <f t="shared" si="4"/>
        <v>0.5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_xlfn.T.DIST.RT(1.959999998,)</f>
        <v>#NUM!</v>
      </c>
      <c r="B110">
        <f t="shared" si="3"/>
        <v>6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_xlfn.T.DIST.RT(1.959999998,0)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_xlfn.T.DIST.RT(1.959999998,"")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_xlfn.T.DIST.RT(1.959999998,FALSE)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_xlfn.T.INV(,2)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_xlfn.T.INV(0,2)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_xlfn.T.INV("",2)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_xlfn.T.INV(FALSE,2)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_xlfn.T.INV(0.75,)</f>
        <v>#NUM!</v>
      </c>
      <c r="B118">
        <f t="shared" si="3"/>
        <v>6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_xlfn.T.INV(0.75,0)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_xlfn.T.INV(0.75,"")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_xlfn.T.INV(0.75,FALSE)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_xlfn.T.INV.2T(,60)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_xlfn.T.INV.2T(0,60)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_xlfn.T.INV.2T("",60)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_xlfn.T.INV.2T(FALSE,60)</f>
        <v>#NUM!</v>
      </c>
      <c r="B125">
        <f t="shared" si="3"/>
        <v>6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_xlfn.T.INV.2T(0.546449,)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_xlfn.T.INV.2T(0.546449,0)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_xlfn.T.INV.2T(0.546449,"")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_xlfn.T.INV.2T(0.546449,FALSE)</f>
        <v>#NUM!</v>
      </c>
      <c r="B129">
        <f t="shared" ref="B129:B192" si="6">IF(ISERROR(A129),ERROR.TYPE(A129),IF(ISNUMBER(A129),0,IF(ISLOGICAL(A129),IF(A129,-1,-2),IF(ISTEXT(A129),-3,-4))))</f>
        <v>6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_xlfn.T.TEST(,D!C1:C8,2,1)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_xlfn.T.TEST(0,D!C1:C8,2,1)</f>
        <v>#N/A</v>
      </c>
      <c r="B131">
        <f t="shared" si="6"/>
        <v>7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_xlfn.T.TEST("",D!C1:C8,2,1)</f>
        <v>#N/A</v>
      </c>
      <c r="B132">
        <f t="shared" si="6"/>
        <v>7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_xlfn.T.TEST(FALSE,D!C1:C8,2,1)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_xlfn.T.TEST(D!B1:B8,,2,1)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_xlfn.T.TEST(D!B1:B8,0,2,1)</f>
        <v>#N/A</v>
      </c>
      <c r="B135">
        <f t="shared" si="6"/>
        <v>7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_xlfn.T.TEST(D!B1:B8,"",2,1)</f>
        <v>#N/A</v>
      </c>
      <c r="B136">
        <f t="shared" si="6"/>
        <v>7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_xlfn.T.TEST(D!B1:B8,FALSE,2,1)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_xlfn.T.TEST(D!B1:B8,D!C1:C8,,1)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_xlfn.T.TEST(D!B1:B8,D!C1:C8,0,1)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_xlfn.T.TEST(D!B1:B8,D!C1:C8,"",1)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_xlfn.T.TEST(D!B1:B8,D!C1:C8,FALSE,1)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_xlfn.T.TEST(D!B1:B8,D!C1:C8,2,)</f>
        <v>#NUM!</v>
      </c>
      <c r="B142">
        <f t="shared" si="6"/>
        <v>6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_xlfn.T.TEST(D!B1:B8,D!C1:C8,2,0)</f>
        <v>#NUM!</v>
      </c>
      <c r="B143">
        <f t="shared" si="6"/>
        <v>6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_xlfn.T.TEST(D!B1:B8,D!C1:C8,2,"")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_xlfn.T.TEST(D!B1:B8,D!C1:C8,2,FALSE)</f>
        <v>#NUM!</v>
      </c>
      <c r="B145">
        <f t="shared" si="6"/>
        <v>6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TBILLEQ(,39600,0.0914)</f>
        <v>#N/A</v>
      </c>
      <c r="B146">
        <f t="shared" si="6"/>
        <v>7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TBILLEQ(0,39600,0.0914)</f>
        <v>#NUM!</v>
      </c>
      <c r="B147">
        <f t="shared" si="6"/>
        <v>6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TBILLEQ("",39600,0.0914)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TBILLEQ(FALSE,39600,0.0914)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TBILLEQ(39538,,0.0914)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TBILLEQ(39538,0,0.0914)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TBILLEQ(39538,"",0.0914)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TBILLEQ(39538,FALSE,0.0914)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TBILLEQ(39538,39600,)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TBILLEQ(39538,39600,0)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TBILLEQ(39538,39600,"")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TBILLEQ(39538,39600,FALSE)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TBILLPRICE(,39600,0.09)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TBILLPRICE(0,39600,0.09)</f>
        <v>#NUM!</v>
      </c>
      <c r="B159">
        <f t="shared" si="6"/>
        <v>6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TBILLPRICE("",39600,0.09)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TBILLPRICE(FALSE,39600,0.09)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TBILLPRICE(39538,,0.09)</f>
        <v>#N/A</v>
      </c>
      <c r="B162">
        <f t="shared" si="6"/>
        <v>7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TBILLPRICE(39538,0,0.09)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TBILLPRICE(39538,"",0.09)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TBILLPRICE(39538,FALSE,0.09)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TBILLPRICE(39538,39600,)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TBILLPRICE(39538,39600,0)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TBILLPRICE(39538,39600,"")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TBILLPRICE(39538,39600,FALSE)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TBILLYIELD(,39600,98.45)</f>
        <v>#N/A</v>
      </c>
      <c r="B170">
        <f t="shared" si="6"/>
        <v>7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TBILLYIELD(0,39600,98.45)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TBILLYIELD("",39600,98.45)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TBILLYIELD(FALSE,39600,98.45)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TBILLYIELD(39538,,98.45)</f>
        <v>#N/A</v>
      </c>
      <c r="B174">
        <f t="shared" si="6"/>
        <v>7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TBILLYIELD(39538,0,98.45)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TBILLYIELD(39538,"",98.45)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TBILLYIELD(39538,FALSE,98.45)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TBILLYIELD(39538,39600,)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TBILLYIELD(39538,39600,0)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TBILLYIELD(39538,39600,"")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TBILLYIELD(39538,39600,FALSE)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cm="1">
        <f t="array" ref="A182">TDIST(,60,2)</f>
        <v>1</v>
      </c>
      <c r="B182">
        <f t="shared" si="6"/>
        <v>0</v>
      </c>
      <c r="C182">
        <f t="shared" si="7"/>
        <v>1</v>
      </c>
      <c r="D182" t="str">
        <f t="shared" si="8"/>
        <v/>
      </c>
      <c r="E182" t="s">
        <v>216</v>
      </c>
    </row>
    <row r="183" spans="1:5" x14ac:dyDescent="0.2">
      <c r="A183" cm="1">
        <f t="array" ref="A183">TDIST(0,60,2)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TDIST("",60,2)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cm="1">
        <f t="array" ref="A185">TDIST(FALSE,60,2)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TDIST(1.959999998,,2)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TDIST(1.959999998,0,2)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TDIST(1.959999998,"",2)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TDIST(1.959999998,FALSE,2)</f>
        <v>#NUM!</v>
      </c>
      <c r="B189">
        <f t="shared" si="6"/>
        <v>6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TDIST(1.959999998,60,)</f>
        <v>#NUM!</v>
      </c>
      <c r="B190">
        <f t="shared" si="6"/>
        <v>6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TDIST(1.959999998,60,0)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TDIST(1.959999998,60,"")</f>
        <v>#VALUE!</v>
      </c>
      <c r="B192">
        <f t="shared" si="6"/>
        <v>3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TDIST(1.959999998,60,FALSE)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str" cm="1">
        <f t="array" ref="A194">TEXT(,"$#,##0.00")</f>
        <v>$0.00</v>
      </c>
      <c r="B194">
        <f t="shared" si="9"/>
        <v>-3</v>
      </c>
      <c r="C194">
        <f t="shared" si="10"/>
        <v>0</v>
      </c>
      <c r="D194" t="str">
        <f t="shared" si="11"/>
        <v>$0.00</v>
      </c>
      <c r="E194" t="s">
        <v>228</v>
      </c>
    </row>
    <row r="195" spans="1:5" x14ac:dyDescent="0.2">
      <c r="A195" t="str" cm="1">
        <f t="array" ref="A195">TEXT(0,"$#,##0.00")</f>
        <v>$0.00</v>
      </c>
      <c r="B195">
        <f t="shared" si="9"/>
        <v>-3</v>
      </c>
      <c r="C195">
        <f t="shared" si="10"/>
        <v>0</v>
      </c>
      <c r="D195" t="str">
        <f t="shared" si="11"/>
        <v>$0.00</v>
      </c>
      <c r="E195" t="s">
        <v>229</v>
      </c>
    </row>
    <row r="196" spans="1:5" x14ac:dyDescent="0.2">
      <c r="A196" t="str" cm="1">
        <f t="array" ref="A196">TEXT("","$#,##0.00")</f>
        <v/>
      </c>
      <c r="B196">
        <f t="shared" si="9"/>
        <v>-3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str" cm="1">
        <f t="array" ref="A197">TEXT(FALSE,"$#,##0.00")</f>
        <v>FALSE</v>
      </c>
      <c r="B197">
        <f t="shared" si="9"/>
        <v>-3</v>
      </c>
      <c r="C197">
        <f t="shared" si="10"/>
        <v>0</v>
      </c>
      <c r="D197" t="str">
        <f t="shared" si="11"/>
        <v>FALSE</v>
      </c>
      <c r="E197" t="s">
        <v>231</v>
      </c>
    </row>
    <row r="198" spans="1:5" x14ac:dyDescent="0.2">
      <c r="A198" t="str" cm="1">
        <f t="array" ref="A198">TEXT(1234.567,)</f>
        <v/>
      </c>
      <c r="B198">
        <f t="shared" si="9"/>
        <v>-3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str" cm="1">
        <f t="array" ref="A199">TEXT(1234.567,0)</f>
        <v>1235</v>
      </c>
      <c r="B199">
        <f t="shared" si="9"/>
        <v>-3</v>
      </c>
      <c r="C199">
        <f t="shared" si="10"/>
        <v>0</v>
      </c>
      <c r="D199" t="str">
        <f t="shared" si="11"/>
        <v>1235</v>
      </c>
      <c r="E199" t="s">
        <v>233</v>
      </c>
    </row>
    <row r="200" spans="1:5" x14ac:dyDescent="0.2">
      <c r="A200" t="str" cm="1">
        <f t="array" ref="A200">TEXT(1234.567,"")</f>
        <v/>
      </c>
      <c r="B200">
        <f t="shared" si="9"/>
        <v>-3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TEXT(1234.567,FALSE)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_xlfn.TEXTAFTER(,"-")</f>
        <v>#N/A</v>
      </c>
      <c r="B202">
        <f t="shared" si="9"/>
        <v>7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_xlfn.TEXTAFTER(0,"-")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_xlfn.TEXTAFTER("","-")</f>
        <v>#N/A</v>
      </c>
      <c r="B204">
        <f t="shared" si="9"/>
        <v>7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_xlfn.TEXTAFTER(FALSE,"-")</f>
        <v>#N/A</v>
      </c>
      <c r="B205">
        <f t="shared" si="9"/>
        <v>7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str" cm="1">
        <f t="array" ref="A206">_xlfn.TEXTAFTER("a-b-c",)</f>
        <v>a-b-c</v>
      </c>
      <c r="B206">
        <f t="shared" si="9"/>
        <v>-3</v>
      </c>
      <c r="C206">
        <f t="shared" si="10"/>
        <v>0</v>
      </c>
      <c r="D206" t="str">
        <f t="shared" si="11"/>
        <v>a-b-c</v>
      </c>
      <c r="E206" t="s">
        <v>240</v>
      </c>
    </row>
    <row r="207" spans="1:5" x14ac:dyDescent="0.2">
      <c r="A207" t="e" cm="1">
        <f t="array" ref="A207">_xlfn.TEXTAFTER("a-b-c",0)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str" cm="1">
        <f t="array" ref="A208">_xlfn.TEXTAFTER("a-b-c","")</f>
        <v>a-b-c</v>
      </c>
      <c r="B208">
        <f t="shared" si="9"/>
        <v>-3</v>
      </c>
      <c r="C208">
        <f t="shared" si="10"/>
        <v>0</v>
      </c>
      <c r="D208" t="str">
        <f t="shared" si="11"/>
        <v>a-b-c</v>
      </c>
      <c r="E208" t="s">
        <v>242</v>
      </c>
    </row>
    <row r="209" spans="1:5" x14ac:dyDescent="0.2">
      <c r="A209" t="e" cm="1">
        <f t="array" ref="A209">_xlfn.TEXTAFTER("a-b-c",FALSE)</f>
        <v>#N/A</v>
      </c>
      <c r="B209">
        <f t="shared" si="9"/>
        <v>7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str" cm="1">
        <f t="array" ref="A210">_xlfn.TEXTAFTER("a-b-c","-")</f>
        <v>b-c</v>
      </c>
      <c r="B210">
        <f t="shared" si="9"/>
        <v>-3</v>
      </c>
      <c r="C210">
        <f t="shared" si="10"/>
        <v>0</v>
      </c>
      <c r="D210" t="str">
        <f t="shared" si="11"/>
        <v>b-c</v>
      </c>
      <c r="E210" t="s">
        <v>244</v>
      </c>
    </row>
    <row r="211" spans="1:5" x14ac:dyDescent="0.2">
      <c r="A211" t="str" cm="1">
        <f t="array" ref="A211">_xlfn.TEXTAFTER("a-b-c","-",)</f>
        <v>b-c</v>
      </c>
      <c r="B211">
        <f t="shared" si="9"/>
        <v>-3</v>
      </c>
      <c r="C211">
        <f t="shared" si="10"/>
        <v>0</v>
      </c>
      <c r="D211" t="str">
        <f t="shared" si="11"/>
        <v>b-c</v>
      </c>
      <c r="E211" t="s">
        <v>245</v>
      </c>
    </row>
    <row r="212" spans="1:5" x14ac:dyDescent="0.2">
      <c r="A212" t="e" cm="1">
        <f t="array" ref="A212">_xlfn.TEXTAFTER("a-b-c","-",0)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_xlfn.TEXTAFTER("a-b-c","-","")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_xlfn.TEXTAFTER("a-b-c","-",FALSE)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_xlfn.TEXTBEFORE(,"-")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_xlfn.TEXTBEFORE(0,"-")</f>
        <v>#N/A</v>
      </c>
      <c r="B216">
        <f t="shared" si="9"/>
        <v>7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_xlfn.TEXTBEFORE("","-")</f>
        <v>#N/A</v>
      </c>
      <c r="B217">
        <f t="shared" si="9"/>
        <v>7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_xlfn.TEXTBEFORE(FALSE,"-")</f>
        <v>#N/A</v>
      </c>
      <c r="B218">
        <f t="shared" si="9"/>
        <v>7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str" cm="1">
        <f t="array" ref="A219">_xlfn.TEXTBEFORE("a-b-c",)</f>
        <v/>
      </c>
      <c r="B219">
        <f t="shared" si="9"/>
        <v>-3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_xlfn.TEXTBEFORE("a-b-c",0)</f>
        <v>#N/A</v>
      </c>
      <c r="B220">
        <f t="shared" si="9"/>
        <v>7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str" cm="1">
        <f t="array" ref="A221">_xlfn.TEXTBEFORE("a-b-c","")</f>
        <v/>
      </c>
      <c r="B221">
        <f t="shared" si="9"/>
        <v>-3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_xlfn.TEXTBEFORE("a-b-c",FALSE)</f>
        <v>#N/A</v>
      </c>
      <c r="B222">
        <f t="shared" si="9"/>
        <v>7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str" cm="1">
        <f t="array" ref="A223">_xlfn.TEXTBEFORE("a-b-c","-")</f>
        <v>a</v>
      </c>
      <c r="B223">
        <f t="shared" si="9"/>
        <v>-3</v>
      </c>
      <c r="C223">
        <f t="shared" si="10"/>
        <v>0</v>
      </c>
      <c r="D223" t="str">
        <f t="shared" si="11"/>
        <v>a</v>
      </c>
      <c r="E223" t="s">
        <v>257</v>
      </c>
    </row>
    <row r="224" spans="1:5" x14ac:dyDescent="0.2">
      <c r="A224" t="str" cm="1">
        <f t="array" ref="A224">_xlfn.TEXTBEFORE("a-b-c","-",)</f>
        <v>a</v>
      </c>
      <c r="B224">
        <f t="shared" si="9"/>
        <v>-3</v>
      </c>
      <c r="C224">
        <f t="shared" si="10"/>
        <v>0</v>
      </c>
      <c r="D224" t="str">
        <f t="shared" si="11"/>
        <v>a</v>
      </c>
      <c r="E224" t="s">
        <v>258</v>
      </c>
    </row>
    <row r="225" spans="1:5" x14ac:dyDescent="0.2">
      <c r="A225" t="e" cm="1">
        <f t="array" ref="A225">_xlfn.TEXTBEFORE("a-b-c","-",0)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_xlfn.TEXTBEFORE("a-b-c","-","")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_xlfn.TEXTBEFORE("a-b-c","-",FALSE)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str" cm="1">
        <f t="array" ref="A228">_xlfn.TEXTJOIN(,TRUE,"a","","b")</f>
        <v>ab</v>
      </c>
      <c r="B228">
        <f t="shared" si="9"/>
        <v>-3</v>
      </c>
      <c r="C228">
        <f t="shared" si="10"/>
        <v>0</v>
      </c>
      <c r="D228" t="str">
        <f t="shared" si="11"/>
        <v>ab</v>
      </c>
      <c r="E228" t="s">
        <v>262</v>
      </c>
    </row>
    <row r="229" spans="1:5" x14ac:dyDescent="0.2">
      <c r="A229" t="str" cm="1">
        <f t="array" ref="A229">_xlfn.TEXTJOIN(0,TRUE,"a","","b")</f>
        <v>a0b</v>
      </c>
      <c r="B229">
        <f t="shared" si="9"/>
        <v>-3</v>
      </c>
      <c r="C229">
        <f t="shared" si="10"/>
        <v>0</v>
      </c>
      <c r="D229" t="str">
        <f t="shared" si="11"/>
        <v>a0b</v>
      </c>
      <c r="E229" t="s">
        <v>263</v>
      </c>
    </row>
    <row r="230" spans="1:5" x14ac:dyDescent="0.2">
      <c r="A230" t="str" cm="1">
        <f t="array" ref="A230">_xlfn.TEXTJOIN("",TRUE,"a","","b")</f>
        <v>ab</v>
      </c>
      <c r="B230">
        <f t="shared" si="9"/>
        <v>-3</v>
      </c>
      <c r="C230">
        <f t="shared" si="10"/>
        <v>0</v>
      </c>
      <c r="D230" t="str">
        <f t="shared" si="11"/>
        <v>ab</v>
      </c>
      <c r="E230" t="s">
        <v>264</v>
      </c>
    </row>
    <row r="231" spans="1:5" x14ac:dyDescent="0.2">
      <c r="A231" t="str" cm="1">
        <f t="array" ref="A231">_xlfn.TEXTJOIN(FALSE,TRUE,"a","","b")</f>
        <v>aFALSEb</v>
      </c>
      <c r="B231">
        <f t="shared" si="9"/>
        <v>-3</v>
      </c>
      <c r="C231">
        <f t="shared" si="10"/>
        <v>0</v>
      </c>
      <c r="D231" t="str">
        <f t="shared" si="11"/>
        <v>aFALSEb</v>
      </c>
      <c r="E231" t="s">
        <v>265</v>
      </c>
    </row>
    <row r="232" spans="1:5" x14ac:dyDescent="0.2">
      <c r="A232" t="str" cm="1">
        <f t="array" ref="A232">_xlfn.TEXTJOIN(", ",,"a","","b")</f>
        <v>a, b</v>
      </c>
      <c r="B232">
        <f t="shared" si="9"/>
        <v>-3</v>
      </c>
      <c r="C232">
        <f t="shared" si="10"/>
        <v>0</v>
      </c>
      <c r="D232" t="str">
        <f t="shared" si="11"/>
        <v>a, b</v>
      </c>
      <c r="E232" t="s">
        <v>266</v>
      </c>
    </row>
    <row r="233" spans="1:5" x14ac:dyDescent="0.2">
      <c r="A233" t="str" cm="1">
        <f t="array" ref="A233">_xlfn.TEXTJOIN(", ",0,"a","","b")</f>
        <v>a, , b</v>
      </c>
      <c r="B233">
        <f t="shared" si="9"/>
        <v>-3</v>
      </c>
      <c r="C233">
        <f t="shared" si="10"/>
        <v>0</v>
      </c>
      <c r="D233" t="str">
        <f t="shared" si="11"/>
        <v>a, , b</v>
      </c>
      <c r="E233" t="s">
        <v>267</v>
      </c>
    </row>
    <row r="234" spans="1:5" x14ac:dyDescent="0.2">
      <c r="A234" t="e" cm="1">
        <f t="array" ref="A234">_xlfn.TEXTJOIN(", ","","a","","b")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str" cm="1">
        <f t="array" ref="A235">_xlfn.TEXTJOIN(", ",FALSE,"a","","b")</f>
        <v>a, , b</v>
      </c>
      <c r="B235">
        <f t="shared" si="9"/>
        <v>-3</v>
      </c>
      <c r="C235">
        <f t="shared" si="10"/>
        <v>0</v>
      </c>
      <c r="D235" t="str">
        <f t="shared" si="11"/>
        <v>a, , b</v>
      </c>
      <c r="E235" t="s">
        <v>269</v>
      </c>
    </row>
    <row r="236" spans="1:5" x14ac:dyDescent="0.2">
      <c r="A236" t="str" cm="1">
        <f t="array" ref="A236">_xlfn.TEXTJOIN(", ",TRUE,,"","b")</f>
        <v>b</v>
      </c>
      <c r="B236">
        <f t="shared" si="9"/>
        <v>-3</v>
      </c>
      <c r="C236">
        <f t="shared" si="10"/>
        <v>0</v>
      </c>
      <c r="D236" t="str">
        <f t="shared" si="11"/>
        <v>b</v>
      </c>
      <c r="E236" t="s">
        <v>270</v>
      </c>
    </row>
    <row r="237" spans="1:5" x14ac:dyDescent="0.2">
      <c r="A237" t="str" cm="1">
        <f t="array" ref="A237">_xlfn.TEXTJOIN(", ",TRUE,0,"","b")</f>
        <v>0, b</v>
      </c>
      <c r="B237">
        <f t="shared" si="9"/>
        <v>-3</v>
      </c>
      <c r="C237">
        <f t="shared" si="10"/>
        <v>0</v>
      </c>
      <c r="D237" t="str">
        <f t="shared" si="11"/>
        <v>0, b</v>
      </c>
      <c r="E237" t="s">
        <v>271</v>
      </c>
    </row>
    <row r="238" spans="1:5" x14ac:dyDescent="0.2">
      <c r="A238" t="str" cm="1">
        <f t="array" ref="A238">_xlfn.TEXTJOIN(", ",TRUE,"","","b")</f>
        <v>b</v>
      </c>
      <c r="B238">
        <f t="shared" si="9"/>
        <v>-3</v>
      </c>
      <c r="C238">
        <f t="shared" si="10"/>
        <v>0</v>
      </c>
      <c r="D238" t="str">
        <f t="shared" si="11"/>
        <v>b</v>
      </c>
      <c r="E238" t="s">
        <v>272</v>
      </c>
    </row>
    <row r="239" spans="1:5" x14ac:dyDescent="0.2">
      <c r="A239" t="str" cm="1">
        <f t="array" ref="A239">_xlfn.TEXTJOIN(", ",TRUE,FALSE,"","b")</f>
        <v>FALSE, b</v>
      </c>
      <c r="B239">
        <f t="shared" si="9"/>
        <v>-3</v>
      </c>
      <c r="C239">
        <f t="shared" si="10"/>
        <v>0</v>
      </c>
      <c r="D239" t="str">
        <f t="shared" si="11"/>
        <v>FALSE, b</v>
      </c>
      <c r="E239" t="s">
        <v>273</v>
      </c>
    </row>
    <row r="240" spans="1:5" x14ac:dyDescent="0.2">
      <c r="A240" t="str" cm="1">
        <f t="array" ref="A240">_xlfn.TEXTJOIN(", ",TRUE,"a",,"b")</f>
        <v>a, b</v>
      </c>
      <c r="B240">
        <f t="shared" si="9"/>
        <v>-3</v>
      </c>
      <c r="C240">
        <f t="shared" si="10"/>
        <v>0</v>
      </c>
      <c r="D240" t="str">
        <f t="shared" si="11"/>
        <v>a, b</v>
      </c>
      <c r="E240" t="s">
        <v>274</v>
      </c>
    </row>
    <row r="241" spans="1:5" x14ac:dyDescent="0.2">
      <c r="A241" t="str" cm="1">
        <f t="array" ref="A241">_xlfn.TEXTJOIN(", ",TRUE,"a",0,"b")</f>
        <v>a, 0, b</v>
      </c>
      <c r="B241">
        <f t="shared" si="9"/>
        <v>-3</v>
      </c>
      <c r="C241">
        <f t="shared" si="10"/>
        <v>0</v>
      </c>
      <c r="D241" t="str">
        <f t="shared" si="11"/>
        <v>a, 0, b</v>
      </c>
      <c r="E241" t="s">
        <v>275</v>
      </c>
    </row>
    <row r="242" spans="1:5" x14ac:dyDescent="0.2">
      <c r="A242" t="str" cm="1">
        <f t="array" ref="A242">_xlfn.TEXTJOIN(", ",TRUE,"a","","b")</f>
        <v>a, b</v>
      </c>
      <c r="B242">
        <f t="shared" si="9"/>
        <v>-3</v>
      </c>
      <c r="C242">
        <f t="shared" si="10"/>
        <v>0</v>
      </c>
      <c r="D242" t="str">
        <f t="shared" si="11"/>
        <v>a, b</v>
      </c>
      <c r="E242" t="s">
        <v>276</v>
      </c>
    </row>
    <row r="243" spans="1:5" x14ac:dyDescent="0.2">
      <c r="A243" t="str" cm="1">
        <f t="array" ref="A243">_xlfn.TEXTJOIN(", ",TRUE,"a",FALSE,"b")</f>
        <v>a, FALSE, b</v>
      </c>
      <c r="B243">
        <f t="shared" si="9"/>
        <v>-3</v>
      </c>
      <c r="C243">
        <f t="shared" si="10"/>
        <v>0</v>
      </c>
      <c r="D243" t="str">
        <f t="shared" si="11"/>
        <v>a, FALSE, b</v>
      </c>
      <c r="E243" t="s">
        <v>277</v>
      </c>
    </row>
    <row r="244" spans="1:5" x14ac:dyDescent="0.2">
      <c r="A244" t="str" cm="1">
        <f t="array" ref="A244">_xlfn.TEXTJOIN(", ",TRUE,"a","",)</f>
        <v>a</v>
      </c>
      <c r="B244">
        <f t="shared" si="9"/>
        <v>-3</v>
      </c>
      <c r="C244">
        <f t="shared" si="10"/>
        <v>0</v>
      </c>
      <c r="D244" t="str">
        <f t="shared" si="11"/>
        <v>a</v>
      </c>
      <c r="E244" t="s">
        <v>278</v>
      </c>
    </row>
    <row r="245" spans="1:5" x14ac:dyDescent="0.2">
      <c r="A245" t="str" cm="1">
        <f t="array" ref="A245">_xlfn.TEXTJOIN(", ",TRUE,"a","",0)</f>
        <v>a, 0</v>
      </c>
      <c r="B245">
        <f t="shared" si="9"/>
        <v>-3</v>
      </c>
      <c r="C245">
        <f t="shared" si="10"/>
        <v>0</v>
      </c>
      <c r="D245" t="str">
        <f t="shared" si="11"/>
        <v>a, 0</v>
      </c>
      <c r="E245" t="s">
        <v>279</v>
      </c>
    </row>
    <row r="246" spans="1:5" x14ac:dyDescent="0.2">
      <c r="A246" t="str" cm="1">
        <f t="array" ref="A246">_xlfn.TEXTJOIN(", ",TRUE,"a","","")</f>
        <v>a</v>
      </c>
      <c r="B246">
        <f t="shared" si="9"/>
        <v>-3</v>
      </c>
      <c r="C246">
        <f t="shared" si="10"/>
        <v>0</v>
      </c>
      <c r="D246" t="str">
        <f t="shared" si="11"/>
        <v>a</v>
      </c>
      <c r="E246" t="s">
        <v>280</v>
      </c>
    </row>
    <row r="247" spans="1:5" x14ac:dyDescent="0.2">
      <c r="A247" t="str" cm="1">
        <f t="array" ref="A247">_xlfn.TEXTJOIN(", ",TRUE,"a","",FALSE)</f>
        <v>a, FALSE</v>
      </c>
      <c r="B247">
        <f t="shared" si="9"/>
        <v>-3</v>
      </c>
      <c r="C247">
        <f t="shared" si="10"/>
        <v>0</v>
      </c>
      <c r="D247" t="str">
        <f t="shared" si="11"/>
        <v>a, FALSE</v>
      </c>
      <c r="E247" t="s">
        <v>281</v>
      </c>
    </row>
    <row r="248" spans="1:5" x14ac:dyDescent="0.2">
      <c r="A248" t="str" cm="1">
        <f t="array" ref="A248">_xlfn.TEXTJOIN(", ",TRUE,"a","","b")</f>
        <v>a, b</v>
      </c>
      <c r="B248">
        <f t="shared" si="9"/>
        <v>-3</v>
      </c>
      <c r="C248">
        <f t="shared" si="10"/>
        <v>0</v>
      </c>
      <c r="D248" t="str">
        <f t="shared" si="11"/>
        <v>a, b</v>
      </c>
      <c r="E248" t="s">
        <v>282</v>
      </c>
    </row>
    <row r="249" spans="1:5" x14ac:dyDescent="0.2">
      <c r="A249" t="str" cm="1">
        <f t="array" ref="A249">_xlfn.TEXTJOIN(", ",TRUE,"a","","b",)</f>
        <v>a, b</v>
      </c>
      <c r="B249">
        <f t="shared" si="9"/>
        <v>-3</v>
      </c>
      <c r="C249">
        <f t="shared" si="10"/>
        <v>0</v>
      </c>
      <c r="D249" t="str">
        <f t="shared" si="11"/>
        <v>a, b</v>
      </c>
      <c r="E249" t="s">
        <v>283</v>
      </c>
    </row>
    <row r="250" spans="1:5" x14ac:dyDescent="0.2">
      <c r="A250" t="str" cm="1">
        <f t="array" ref="A250">_xlfn.TEXTJOIN(", ",TRUE,"a","","b",0)</f>
        <v>a, b, 0</v>
      </c>
      <c r="B250">
        <f t="shared" si="9"/>
        <v>-3</v>
      </c>
      <c r="C250">
        <f t="shared" si="10"/>
        <v>0</v>
      </c>
      <c r="D250" t="str">
        <f t="shared" si="11"/>
        <v>a, b, 0</v>
      </c>
      <c r="E250" t="s">
        <v>284</v>
      </c>
    </row>
    <row r="251" spans="1:5" x14ac:dyDescent="0.2">
      <c r="A251" t="str" cm="1">
        <f t="array" ref="A251">_xlfn.TEXTJOIN(", ",TRUE,"a","","b","")</f>
        <v>a, b</v>
      </c>
      <c r="B251">
        <f t="shared" si="9"/>
        <v>-3</v>
      </c>
      <c r="C251">
        <f t="shared" si="10"/>
        <v>0</v>
      </c>
      <c r="D251" t="str">
        <f t="shared" si="11"/>
        <v>a, b</v>
      </c>
      <c r="E251" t="s">
        <v>285</v>
      </c>
    </row>
    <row r="252" spans="1:5" x14ac:dyDescent="0.2">
      <c r="A252" t="str" cm="1">
        <f t="array" ref="A252">_xlfn.TEXTJOIN(", ",TRUE,"a","","b",FALSE)</f>
        <v>a, b, FALSE</v>
      </c>
      <c r="B252">
        <f t="shared" si="9"/>
        <v>-3</v>
      </c>
      <c r="C252">
        <f t="shared" si="10"/>
        <v>0</v>
      </c>
      <c r="D252" t="str">
        <f t="shared" si="11"/>
        <v>a, b, FALSE</v>
      </c>
      <c r="E252" t="s">
        <v>286</v>
      </c>
    </row>
    <row r="253" spans="1:5" x14ac:dyDescent="0.2">
      <c r="A253" cm="1">
        <f t="array" ref="A253">TIME(,0,0)</f>
        <v>0</v>
      </c>
      <c r="B253">
        <f t="shared" si="9"/>
        <v>0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TIME(0,0,0)</f>
        <v>0</v>
      </c>
      <c r="B254">
        <f t="shared" si="9"/>
        <v>0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TIME("",0,0)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cm="1">
        <f t="array" ref="A256">TIME(FALSE,0,0)</f>
        <v>0</v>
      </c>
      <c r="B256">
        <f t="shared" si="9"/>
        <v>0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TIME(12,,0)</f>
        <v>0.5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0.5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TIME(12,0,0)</f>
        <v>0.5</v>
      </c>
      <c r="B258">
        <f t="shared" si="12"/>
        <v>0</v>
      </c>
      <c r="C258">
        <f t="shared" si="13"/>
        <v>0.5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TIME(12,"",0)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TIME(12,FALSE,0)</f>
        <v>0.5</v>
      </c>
      <c r="B260">
        <f t="shared" si="12"/>
        <v>0</v>
      </c>
      <c r="C260">
        <f t="shared" si="13"/>
        <v>0.5</v>
      </c>
      <c r="D260" t="str">
        <f t="shared" si="14"/>
        <v/>
      </c>
      <c r="E260" t="s">
        <v>294</v>
      </c>
    </row>
    <row r="261" spans="1:5" x14ac:dyDescent="0.2">
      <c r="A261" cm="1">
        <f t="array" ref="A261">TIME(12,0,)</f>
        <v>0.5</v>
      </c>
      <c r="B261">
        <f t="shared" si="12"/>
        <v>0</v>
      </c>
      <c r="C261">
        <f t="shared" si="13"/>
        <v>0.5</v>
      </c>
      <c r="D261" t="str">
        <f t="shared" si="14"/>
        <v/>
      </c>
      <c r="E261" t="s">
        <v>295</v>
      </c>
    </row>
    <row r="262" spans="1:5" x14ac:dyDescent="0.2">
      <c r="A262" cm="1">
        <f t="array" ref="A262">TIME(12,0,0)</f>
        <v>0.5</v>
      </c>
      <c r="B262">
        <f t="shared" si="12"/>
        <v>0</v>
      </c>
      <c r="C262">
        <f t="shared" si="13"/>
        <v>0.5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TIME(12,0,"")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cm="1">
        <f t="array" ref="A264">TIME(12,0,FALSE)</f>
        <v>0.5</v>
      </c>
      <c r="B264">
        <f t="shared" si="12"/>
        <v>0</v>
      </c>
      <c r="C264">
        <f t="shared" si="13"/>
        <v>0.5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TINV(,60)</f>
        <v>#NUM!</v>
      </c>
      <c r="B265">
        <f t="shared" si="12"/>
        <v>6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TINV(0,60)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TINV("",60)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TINV(FALSE,60)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TINV(0.05464493,)</f>
        <v>#NUM!</v>
      </c>
      <c r="B269">
        <f t="shared" si="12"/>
        <v>6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TINV(0.05464493,0)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TINV(0.05464493,"")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TINV(0.05464493,FALSE)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TRIMMEAN(,0.2)</f>
        <v>0</v>
      </c>
      <c r="B273">
        <f t="shared" si="12"/>
        <v>0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TRIMMEAN(0,0.2)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TRIMMEAN("",0.2)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TRIMMEAN(FALSE,0.2)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TRIMMEAN(D!B1:B8,)</f>
        <v>14.34375</v>
      </c>
      <c r="B277">
        <f t="shared" si="12"/>
        <v>0</v>
      </c>
      <c r="C277">
        <f t="shared" si="13"/>
        <v>14.34375</v>
      </c>
      <c r="D277" t="str">
        <f t="shared" si="14"/>
        <v/>
      </c>
      <c r="E277" t="s">
        <v>311</v>
      </c>
    </row>
    <row r="278" spans="1:5" x14ac:dyDescent="0.2">
      <c r="A278" cm="1">
        <f t="array" ref="A278">TRIMMEAN(D!B1:B8,0)</f>
        <v>14.34375</v>
      </c>
      <c r="B278">
        <f t="shared" si="12"/>
        <v>0</v>
      </c>
      <c r="C278">
        <f t="shared" si="13"/>
        <v>14.34375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TRIMMEAN(D!B1:B8,"")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TRIMMEAN(D!B1:B8,FALSE)</f>
        <v>14.34375</v>
      </c>
      <c r="B280">
        <f t="shared" si="12"/>
        <v>0</v>
      </c>
      <c r="C280">
        <f t="shared" si="13"/>
        <v>14.34375</v>
      </c>
      <c r="D280" t="str">
        <f t="shared" si="14"/>
        <v/>
      </c>
      <c r="E280" t="s">
        <v>314</v>
      </c>
    </row>
    <row r="281" spans="1:5" x14ac:dyDescent="0.2">
      <c r="A281" cm="1">
        <f t="array" ref="A281">TRUNC(8.9)</f>
        <v>8</v>
      </c>
      <c r="B281">
        <f t="shared" si="12"/>
        <v>0</v>
      </c>
      <c r="C281">
        <f t="shared" si="13"/>
        <v>8</v>
      </c>
      <c r="D281" t="str">
        <f t="shared" si="14"/>
        <v/>
      </c>
      <c r="E281" t="s">
        <v>315</v>
      </c>
    </row>
    <row r="282" spans="1:5" x14ac:dyDescent="0.2">
      <c r="A282" cm="1">
        <f t="array" ref="A282">TRUNC(8.9,)</f>
        <v>8</v>
      </c>
      <c r="B282">
        <f t="shared" si="12"/>
        <v>0</v>
      </c>
      <c r="C282">
        <f t="shared" si="13"/>
        <v>8</v>
      </c>
      <c r="D282" t="str">
        <f t="shared" si="14"/>
        <v/>
      </c>
      <c r="E282" t="s">
        <v>316</v>
      </c>
    </row>
    <row r="283" spans="1:5" x14ac:dyDescent="0.2">
      <c r="A283" cm="1">
        <f t="array" ref="A283">TRUNC(8.9,0)</f>
        <v>8</v>
      </c>
      <c r="B283">
        <f t="shared" si="12"/>
        <v>0</v>
      </c>
      <c r="C283">
        <f t="shared" si="13"/>
        <v>8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TRUNC(8.9,"")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TRUNC(8.9,FALSE)</f>
        <v>8</v>
      </c>
      <c r="B285">
        <f t="shared" si="12"/>
        <v>0</v>
      </c>
      <c r="C285">
        <f t="shared" si="13"/>
        <v>8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TTEST(,D!C1:C8,2,1)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TTEST(0,D!C1:C8,2,1)</f>
        <v>#N/A</v>
      </c>
      <c r="B287">
        <f t="shared" si="12"/>
        <v>7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TTEST("",D!C1:C8,2,1)</f>
        <v>#N/A</v>
      </c>
      <c r="B288">
        <f t="shared" si="12"/>
        <v>7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TTEST(FALSE,D!C1:C8,2,1)</f>
        <v>#N/A</v>
      </c>
      <c r="B289">
        <f t="shared" si="12"/>
        <v>7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TTEST(D!B1:B8,,2,1)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TTEST(D!B1:B8,0,2,1)</f>
        <v>#N/A</v>
      </c>
      <c r="B291">
        <f t="shared" si="12"/>
        <v>7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TTEST(D!B1:B8,"",2,1)</f>
        <v>#N/A</v>
      </c>
      <c r="B292">
        <f t="shared" si="12"/>
        <v>7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TTEST(D!B1:B8,FALSE,2,1)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TTEST(D!B1:B8,D!C1:C8,,1)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TTEST(D!B1:B8,D!C1:C8,0,1)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TTEST(D!B1:B8,D!C1:C8,"",1)</f>
        <v>#VALUE!</v>
      </c>
      <c r="B296">
        <f t="shared" si="12"/>
        <v>3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TTEST(D!B1:B8,D!C1:C8,FALSE,1)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TTEST(D!B1:B8,D!C1:C8,2,)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TTEST(D!B1:B8,D!C1:C8,2,0)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TTEST(D!B1:B8,D!C1:C8,2,"")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TTEST(D!B1:B8,D!C1:C8,2,FALSE)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str" cm="1">
        <f t="array" ref="A302">_xlfn.VALUETOTEXT(,0)</f>
        <v/>
      </c>
      <c r="B302">
        <f t="shared" si="12"/>
        <v>-3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str" cm="1">
        <f t="array" ref="A303">_xlfn.VALUETOTEXT(0,0)</f>
        <v>0</v>
      </c>
      <c r="B303">
        <f t="shared" si="12"/>
        <v>-3</v>
      </c>
      <c r="C303">
        <f t="shared" si="13"/>
        <v>0</v>
      </c>
      <c r="D303" t="str">
        <f t="shared" si="14"/>
        <v>0</v>
      </c>
      <c r="E303" t="s">
        <v>337</v>
      </c>
    </row>
    <row r="304" spans="1:5" x14ac:dyDescent="0.2">
      <c r="A304" t="str" cm="1">
        <f t="array" ref="A304">_xlfn.VALUETOTEXT("",0)</f>
        <v/>
      </c>
      <c r="B304">
        <f t="shared" si="12"/>
        <v>-3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str" cm="1">
        <f t="array" ref="A305">_xlfn.VALUETOTEXT(FALSE,0)</f>
        <v>FALSE</v>
      </c>
      <c r="B305">
        <f t="shared" si="12"/>
        <v>-3</v>
      </c>
      <c r="C305">
        <f t="shared" si="13"/>
        <v>0</v>
      </c>
      <c r="D305" t="str">
        <f t="shared" si="14"/>
        <v>FALSE</v>
      </c>
      <c r="E305" t="s">
        <v>339</v>
      </c>
    </row>
    <row r="306" spans="1:5" x14ac:dyDescent="0.2">
      <c r="A306" t="str" cm="1">
        <f t="array" ref="A306">_xlfn.VALUETOTEXT(1.5,)</f>
        <v>1.5</v>
      </c>
      <c r="B306">
        <f t="shared" si="12"/>
        <v>-3</v>
      </c>
      <c r="C306">
        <f t="shared" si="13"/>
        <v>0</v>
      </c>
      <c r="D306" t="str">
        <f t="shared" si="14"/>
        <v>1.5</v>
      </c>
      <c r="E306" t="s">
        <v>340</v>
      </c>
    </row>
    <row r="307" spans="1:5" x14ac:dyDescent="0.2">
      <c r="A307" t="str" cm="1">
        <f t="array" ref="A307">_xlfn.VALUETOTEXT(1.5,0)</f>
        <v>1.5</v>
      </c>
      <c r="B307">
        <f t="shared" si="12"/>
        <v>-3</v>
      </c>
      <c r="C307">
        <f t="shared" si="13"/>
        <v>0</v>
      </c>
      <c r="D307" t="str">
        <f t="shared" si="14"/>
        <v>1.5</v>
      </c>
      <c r="E307" t="s">
        <v>341</v>
      </c>
    </row>
    <row r="308" spans="1:5" x14ac:dyDescent="0.2">
      <c r="A308" t="e" cm="1">
        <f t="array" ref="A308">_xlfn.VALUETOTEXT(1.5,"")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str" cm="1">
        <f t="array" ref="A309">_xlfn.VALUETOTEXT(1.5,FALSE)</f>
        <v>1.5</v>
      </c>
      <c r="B309">
        <f t="shared" si="12"/>
        <v>-3</v>
      </c>
      <c r="C309">
        <f t="shared" si="13"/>
        <v>0</v>
      </c>
      <c r="D309" t="str">
        <f t="shared" si="14"/>
        <v>1.5</v>
      </c>
      <c r="E309" t="s">
        <v>343</v>
      </c>
    </row>
    <row r="310" spans="1:5" x14ac:dyDescent="0.2">
      <c r="A310" cm="1">
        <f t="array" ref="A310">VAR(,2,4)</f>
        <v>4</v>
      </c>
      <c r="B310">
        <f t="shared" si="12"/>
        <v>0</v>
      </c>
      <c r="C310">
        <f t="shared" si="13"/>
        <v>4</v>
      </c>
      <c r="D310" t="str">
        <f t="shared" si="14"/>
        <v/>
      </c>
      <c r="E310" t="s">
        <v>344</v>
      </c>
    </row>
    <row r="311" spans="1:5" x14ac:dyDescent="0.2">
      <c r="A311" cm="1">
        <f t="array" ref="A311">VAR(0,2,4)</f>
        <v>4</v>
      </c>
      <c r="B311">
        <f t="shared" si="12"/>
        <v>0</v>
      </c>
      <c r="C311">
        <f t="shared" si="13"/>
        <v>4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VAR("",2,4)</f>
        <v>#VALUE!</v>
      </c>
      <c r="B312">
        <f t="shared" si="12"/>
        <v>3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VAR(FALSE,2,4)</f>
        <v>4</v>
      </c>
      <c r="B313">
        <f t="shared" si="12"/>
        <v>0</v>
      </c>
      <c r="C313">
        <f t="shared" si="13"/>
        <v>4</v>
      </c>
      <c r="D313" t="str">
        <f t="shared" si="14"/>
        <v/>
      </c>
      <c r="E313" t="s">
        <v>347</v>
      </c>
    </row>
    <row r="314" spans="1:5" x14ac:dyDescent="0.2">
      <c r="A314" cm="1">
        <f t="array" ref="A314">VAR(1,,4)</f>
        <v>4.333333333333333</v>
      </c>
      <c r="B314">
        <f t="shared" si="12"/>
        <v>0</v>
      </c>
      <c r="C314">
        <f t="shared" si="13"/>
        <v>4.333333333333333</v>
      </c>
      <c r="D314" t="str">
        <f t="shared" si="14"/>
        <v/>
      </c>
      <c r="E314" t="s">
        <v>348</v>
      </c>
    </row>
    <row r="315" spans="1:5" x14ac:dyDescent="0.2">
      <c r="A315" cm="1">
        <f t="array" ref="A315">VAR(1,0,4)</f>
        <v>4.333333333333333</v>
      </c>
      <c r="B315">
        <f t="shared" si="12"/>
        <v>0</v>
      </c>
      <c r="C315">
        <f t="shared" si="13"/>
        <v>4.333333333333333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VAR(1,"",4)</f>
        <v>#VALUE!</v>
      </c>
      <c r="B316">
        <f t="shared" si="12"/>
        <v>3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cm="1">
        <f t="array" ref="A317">VAR(1,FALSE,4)</f>
        <v>4.333333333333333</v>
      </c>
      <c r="B317">
        <f t="shared" si="12"/>
        <v>0</v>
      </c>
      <c r="C317">
        <f t="shared" si="13"/>
        <v>4.333333333333333</v>
      </c>
      <c r="D317" t="str">
        <f t="shared" si="14"/>
        <v/>
      </c>
      <c r="E317" t="s">
        <v>351</v>
      </c>
    </row>
    <row r="318" spans="1:5" x14ac:dyDescent="0.2">
      <c r="A318" cm="1">
        <f t="array" ref="A318">VAR(1,2,)</f>
        <v>1</v>
      </c>
      <c r="B318">
        <f t="shared" si="12"/>
        <v>0</v>
      </c>
      <c r="C318">
        <f t="shared" si="13"/>
        <v>1</v>
      </c>
      <c r="D318" t="str">
        <f t="shared" si="14"/>
        <v/>
      </c>
      <c r="E318" t="s">
        <v>352</v>
      </c>
    </row>
    <row r="319" spans="1:5" x14ac:dyDescent="0.2">
      <c r="A319" cm="1">
        <f t="array" ref="A319">VAR(1,2,0)</f>
        <v>1</v>
      </c>
      <c r="B319">
        <f t="shared" si="12"/>
        <v>0</v>
      </c>
      <c r="C319">
        <f t="shared" si="13"/>
        <v>1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VAR(1,2,"")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cm="1">
        <f t="array" ref="A321">VAR(1,2,FALSE)</f>
        <v>1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VAR(1,2,4)</f>
        <v>2.3333333333333339</v>
      </c>
      <c r="B322">
        <f t="shared" si="15"/>
        <v>0</v>
      </c>
      <c r="C322">
        <f t="shared" si="16"/>
        <v>2.3333333333333339</v>
      </c>
      <c r="D322" t="str">
        <f t="shared" si="17"/>
        <v/>
      </c>
      <c r="E322" t="s">
        <v>356</v>
      </c>
    </row>
    <row r="323" spans="1:5" x14ac:dyDescent="0.2">
      <c r="A323" cm="1">
        <f t="array" ref="A323">VAR(1,2,4,)</f>
        <v>2.9166666666666665</v>
      </c>
      <c r="B323">
        <f t="shared" si="15"/>
        <v>0</v>
      </c>
      <c r="C323">
        <f t="shared" si="16"/>
        <v>2.9166666666666665</v>
      </c>
      <c r="D323" t="str">
        <f t="shared" si="17"/>
        <v/>
      </c>
      <c r="E323" t="s">
        <v>357</v>
      </c>
    </row>
    <row r="324" spans="1:5" x14ac:dyDescent="0.2">
      <c r="A324" cm="1">
        <f t="array" ref="A324">VAR(1,2,4,0)</f>
        <v>2.9166666666666665</v>
      </c>
      <c r="B324">
        <f t="shared" si="15"/>
        <v>0</v>
      </c>
      <c r="C324">
        <f t="shared" si="16"/>
        <v>2.9166666666666665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VAR(1,2,4,"")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cm="1">
        <f t="array" ref="A326">VAR(1,2,4,FALSE)</f>
        <v>2.9166666666666665</v>
      </c>
      <c r="B326">
        <f t="shared" si="15"/>
        <v>0</v>
      </c>
      <c r="C326">
        <f t="shared" si="16"/>
        <v>2.9166666666666665</v>
      </c>
      <c r="D326" t="str">
        <f t="shared" si="17"/>
        <v/>
      </c>
      <c r="E326" t="s">
        <v>360</v>
      </c>
    </row>
    <row r="327" spans="1:5" x14ac:dyDescent="0.2">
      <c r="A327" cm="1">
        <f t="array" ref="A327">_xlfn.VAR.P(D!B1:B8)</f>
        <v>165.6708984375</v>
      </c>
      <c r="B327">
        <f t="shared" si="15"/>
        <v>0</v>
      </c>
      <c r="C327">
        <f t="shared" si="16"/>
        <v>165.6708984375</v>
      </c>
      <c r="D327" t="str">
        <f t="shared" si="17"/>
        <v/>
      </c>
      <c r="E327" t="s">
        <v>361</v>
      </c>
    </row>
    <row r="328" spans="1:5" x14ac:dyDescent="0.2">
      <c r="A328" cm="1">
        <f t="array" ref="A328">_xlfn.VAR.P(D!B1:B8,)</f>
        <v>167.58333333333334</v>
      </c>
      <c r="B328">
        <f t="shared" si="15"/>
        <v>0</v>
      </c>
      <c r="C328">
        <f t="shared" si="16"/>
        <v>167.58333333333334</v>
      </c>
      <c r="D328" t="str">
        <f t="shared" si="17"/>
        <v/>
      </c>
      <c r="E328" t="s">
        <v>362</v>
      </c>
    </row>
    <row r="329" spans="1:5" x14ac:dyDescent="0.2">
      <c r="A329" cm="1">
        <f t="array" ref="A329">_xlfn.VAR.P(D!B1:B8,0)</f>
        <v>167.58333333333334</v>
      </c>
      <c r="B329">
        <f t="shared" si="15"/>
        <v>0</v>
      </c>
      <c r="C329">
        <f t="shared" si="16"/>
        <v>167.58333333333334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_xlfn.VAR.P(D!B1:B8,"")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cm="1">
        <f t="array" ref="A331">_xlfn.VAR.P(D!B1:B8,FALSE)</f>
        <v>167.58333333333334</v>
      </c>
      <c r="B331">
        <f t="shared" si="15"/>
        <v>0</v>
      </c>
      <c r="C331">
        <f t="shared" si="16"/>
        <v>167.58333333333334</v>
      </c>
      <c r="D331" t="str">
        <f t="shared" si="17"/>
        <v/>
      </c>
      <c r="E331" t="s">
        <v>365</v>
      </c>
    </row>
    <row r="332" spans="1:5" x14ac:dyDescent="0.2">
      <c r="A332" cm="1">
        <f t="array" ref="A332">_xlfn.VAR.S(D!B1:B8)</f>
        <v>189.33816964285714</v>
      </c>
      <c r="B332">
        <f t="shared" si="15"/>
        <v>0</v>
      </c>
      <c r="C332">
        <f t="shared" si="16"/>
        <v>189.33816964285714</v>
      </c>
      <c r="D332" t="str">
        <f t="shared" si="17"/>
        <v/>
      </c>
      <c r="E332" t="s">
        <v>366</v>
      </c>
    </row>
    <row r="333" spans="1:5" x14ac:dyDescent="0.2">
      <c r="A333" cm="1">
        <f t="array" ref="A333">_xlfn.VAR.S(D!B1:B8,)</f>
        <v>188.53125</v>
      </c>
      <c r="B333">
        <f t="shared" si="15"/>
        <v>0</v>
      </c>
      <c r="C333">
        <f t="shared" si="16"/>
        <v>188.53125</v>
      </c>
      <c r="D333" t="str">
        <f t="shared" si="17"/>
        <v/>
      </c>
      <c r="E333" t="s">
        <v>367</v>
      </c>
    </row>
    <row r="334" spans="1:5" x14ac:dyDescent="0.2">
      <c r="A334" cm="1">
        <f t="array" ref="A334">_xlfn.VAR.S(D!B1:B8,0)</f>
        <v>188.53125</v>
      </c>
      <c r="B334">
        <f t="shared" si="15"/>
        <v>0</v>
      </c>
      <c r="C334">
        <f t="shared" si="16"/>
        <v>188.53125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_xlfn.VAR.S(D!B1:B8,"")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cm="1">
        <f t="array" ref="A336">_xlfn.VAR.S(D!B1:B8,FALSE)</f>
        <v>188.53125</v>
      </c>
      <c r="B336">
        <f t="shared" si="15"/>
        <v>0</v>
      </c>
      <c r="C336">
        <f t="shared" si="16"/>
        <v>188.53125</v>
      </c>
      <c r="D336" t="str">
        <f t="shared" si="17"/>
        <v/>
      </c>
      <c r="E336" t="s">
        <v>370</v>
      </c>
    </row>
    <row r="337" spans="1:5" x14ac:dyDescent="0.2">
      <c r="A337" cm="1">
        <f t="array" ref="A337">VARA(D!B1:B8)</f>
        <v>189.33816964285714</v>
      </c>
      <c r="B337">
        <f t="shared" si="15"/>
        <v>0</v>
      </c>
      <c r="C337">
        <f t="shared" si="16"/>
        <v>189.33816964285714</v>
      </c>
      <c r="D337" t="str">
        <f t="shared" si="17"/>
        <v/>
      </c>
      <c r="E337" t="s">
        <v>371</v>
      </c>
    </row>
    <row r="338" spans="1:5" x14ac:dyDescent="0.2">
      <c r="A338" cm="1">
        <f t="array" ref="A338">VARA(D!B1:B8,)</f>
        <v>188.53125</v>
      </c>
      <c r="B338">
        <f t="shared" si="15"/>
        <v>0</v>
      </c>
      <c r="C338">
        <f t="shared" si="16"/>
        <v>188.53125</v>
      </c>
      <c r="D338" t="str">
        <f t="shared" si="17"/>
        <v/>
      </c>
      <c r="E338" t="s">
        <v>372</v>
      </c>
    </row>
    <row r="339" spans="1:5" x14ac:dyDescent="0.2">
      <c r="A339" cm="1">
        <f t="array" ref="A339">VARA(D!B1:B8,0)</f>
        <v>188.53125</v>
      </c>
      <c r="B339">
        <f t="shared" si="15"/>
        <v>0</v>
      </c>
      <c r="C339">
        <f t="shared" si="16"/>
        <v>188.53125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VARA(D!B1:B8,"")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cm="1">
        <f t="array" ref="A341">VARA(D!B1:B8,FALSE)</f>
        <v>188.53125</v>
      </c>
      <c r="B341">
        <f t="shared" si="15"/>
        <v>0</v>
      </c>
      <c r="C341">
        <f t="shared" si="16"/>
        <v>188.53125</v>
      </c>
      <c r="D341" t="str">
        <f t="shared" si="17"/>
        <v/>
      </c>
      <c r="E341" t="s">
        <v>375</v>
      </c>
    </row>
    <row r="342" spans="1:5" x14ac:dyDescent="0.2">
      <c r="A342" cm="1">
        <f t="array" ref="A342">VARP(D!B1:B8)</f>
        <v>165.6708984375</v>
      </c>
      <c r="B342">
        <f t="shared" si="15"/>
        <v>0</v>
      </c>
      <c r="C342">
        <f t="shared" si="16"/>
        <v>165.6708984375</v>
      </c>
      <c r="D342" t="str">
        <f t="shared" si="17"/>
        <v/>
      </c>
      <c r="E342" t="s">
        <v>376</v>
      </c>
    </row>
    <row r="343" spans="1:5" x14ac:dyDescent="0.2">
      <c r="A343" cm="1">
        <f t="array" ref="A343">VARP(D!B1:B8,)</f>
        <v>167.58333333333334</v>
      </c>
      <c r="B343">
        <f t="shared" si="15"/>
        <v>0</v>
      </c>
      <c r="C343">
        <f t="shared" si="16"/>
        <v>167.58333333333334</v>
      </c>
      <c r="D343" t="str">
        <f t="shared" si="17"/>
        <v/>
      </c>
      <c r="E343" t="s">
        <v>377</v>
      </c>
    </row>
    <row r="344" spans="1:5" x14ac:dyDescent="0.2">
      <c r="A344" cm="1">
        <f t="array" ref="A344">VARP(D!B1:B8,0)</f>
        <v>167.58333333333334</v>
      </c>
      <c r="B344">
        <f t="shared" si="15"/>
        <v>0</v>
      </c>
      <c r="C344">
        <f t="shared" si="16"/>
        <v>167.58333333333334</v>
      </c>
      <c r="D344" t="str">
        <f t="shared" si="17"/>
        <v/>
      </c>
      <c r="E344" t="s">
        <v>378</v>
      </c>
    </row>
    <row r="345" spans="1:5" x14ac:dyDescent="0.2">
      <c r="A345" t="e" cm="1">
        <f t="array" ref="A345">VARP(D!B1:B8,"")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cm="1">
        <f t="array" ref="A346">VARP(D!B1:B8,FALSE)</f>
        <v>167.58333333333334</v>
      </c>
      <c r="B346">
        <f t="shared" si="15"/>
        <v>0</v>
      </c>
      <c r="C346">
        <f t="shared" si="16"/>
        <v>167.58333333333334</v>
      </c>
      <c r="D346" t="str">
        <f t="shared" si="17"/>
        <v/>
      </c>
      <c r="E346" t="s">
        <v>380</v>
      </c>
    </row>
    <row r="347" spans="1:5" x14ac:dyDescent="0.2">
      <c r="A347" cm="1">
        <f t="array" ref="A347">VARPA(D!B1:B8)</f>
        <v>165.6708984375</v>
      </c>
      <c r="B347">
        <f t="shared" si="15"/>
        <v>0</v>
      </c>
      <c r="C347">
        <f t="shared" si="16"/>
        <v>165.6708984375</v>
      </c>
      <c r="D347" t="str">
        <f t="shared" si="17"/>
        <v/>
      </c>
      <c r="E347" t="s">
        <v>381</v>
      </c>
    </row>
    <row r="348" spans="1:5" x14ac:dyDescent="0.2">
      <c r="A348" cm="1">
        <f t="array" ref="A348">VARPA(D!B1:B8,)</f>
        <v>167.58333333333334</v>
      </c>
      <c r="B348">
        <f t="shared" si="15"/>
        <v>0</v>
      </c>
      <c r="C348">
        <f t="shared" si="16"/>
        <v>167.58333333333334</v>
      </c>
      <c r="D348" t="str">
        <f t="shared" si="17"/>
        <v/>
      </c>
      <c r="E348" t="s">
        <v>382</v>
      </c>
    </row>
    <row r="349" spans="1:5" x14ac:dyDescent="0.2">
      <c r="A349" cm="1">
        <f t="array" ref="A349">VARPA(D!B1:B8,0)</f>
        <v>167.58333333333334</v>
      </c>
      <c r="B349">
        <f t="shared" si="15"/>
        <v>0</v>
      </c>
      <c r="C349">
        <f t="shared" si="16"/>
        <v>167.58333333333334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VARPA(D!B1:B8,"")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cm="1">
        <f t="array" ref="A351">VARPA(D!B1:B8,FALSE)</f>
        <v>167.58333333333334</v>
      </c>
      <c r="B351">
        <f t="shared" si="15"/>
        <v>0</v>
      </c>
      <c r="C351">
        <f t="shared" si="16"/>
        <v>167.58333333333334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VLOOKUP(,D!L1:N6,2,FALSE)</f>
        <v>#N/A</v>
      </c>
      <c r="B352">
        <f t="shared" si="15"/>
        <v>7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VLOOKUP(0,D!L1:N6,2,FALSE)</f>
        <v>#N/A</v>
      </c>
      <c r="B353">
        <f t="shared" si="15"/>
        <v>7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VLOOKUP("",D!L1:N6,2,FALSE)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VLOOKUP(FALSE,D!L1:N6,2,FALSE)</f>
        <v>#N/A</v>
      </c>
      <c r="B355">
        <f t="shared" si="15"/>
        <v>7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VLOOKUP(5,,2,FALSE)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VLOOKUP(5,0,2,FALSE)</f>
        <v>#N/A</v>
      </c>
      <c r="B357">
        <f t="shared" si="15"/>
        <v>7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VLOOKUP(5,"",2,FALSE)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VLOOKUP(5,FALSE,2,FALSE)</f>
        <v>#N/A</v>
      </c>
      <c r="B359">
        <f t="shared" si="15"/>
        <v>7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 vm="1">
        <f t="array" ref="A360">VLOOKUP(5,D!L1:N6,,FALSE)</f>
        <v>#VALUE!</v>
      </c>
      <c r="B360">
        <f t="shared" si="15"/>
        <v>3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 vm="1">
        <f t="array" ref="A361">VLOOKUP(5,D!L1:N6,0,FALSE)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VLOOKUP(5,D!L1:N6,"",FALSE)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 vm="1">
        <f t="array" ref="A363">VLOOKUP(5,D!L1:N6,FALSE,FALSE)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str" cm="1">
        <f t="array" ref="A364">VLOOKUP(5,D!L1:N6,2,)</f>
        <v>five</v>
      </c>
      <c r="B364">
        <f t="shared" si="15"/>
        <v>-3</v>
      </c>
      <c r="C364">
        <f t="shared" si="16"/>
        <v>0</v>
      </c>
      <c r="D364" t="str">
        <f t="shared" si="17"/>
        <v>five</v>
      </c>
      <c r="E364" t="s">
        <v>398</v>
      </c>
    </row>
    <row r="365" spans="1:5" x14ac:dyDescent="0.2">
      <c r="A365" t="str" cm="1">
        <f t="array" ref="A365">VLOOKUP(5,D!L1:N6,2,0)</f>
        <v>five</v>
      </c>
      <c r="B365">
        <f t="shared" si="15"/>
        <v>-3</v>
      </c>
      <c r="C365">
        <f t="shared" si="16"/>
        <v>0</v>
      </c>
      <c r="D365" t="str">
        <f t="shared" si="17"/>
        <v>five</v>
      </c>
      <c r="E365" t="s">
        <v>399</v>
      </c>
    </row>
    <row r="366" spans="1:5" x14ac:dyDescent="0.2">
      <c r="A366" t="e" cm="1">
        <f t="array" ref="A366">VLOOKUP(5,D!L1:N6,2,"")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str" cm="1">
        <f t="array" ref="A367">VLOOKUP(5,D!L1:N6,2,FALSE)</f>
        <v>five</v>
      </c>
      <c r="B367">
        <f t="shared" si="15"/>
        <v>-3</v>
      </c>
      <c r="C367">
        <f t="shared" si="16"/>
        <v>0</v>
      </c>
      <c r="D367" t="str">
        <f t="shared" si="17"/>
        <v>five</v>
      </c>
      <c r="E367" t="s">
        <v>401</v>
      </c>
    </row>
    <row r="368" spans="1:5" x14ac:dyDescent="0.2">
      <c r="A368" cm="1">
        <f t="array" ref="A368">WEEKDAY(39492)</f>
        <v>5</v>
      </c>
      <c r="B368">
        <f t="shared" si="15"/>
        <v>0</v>
      </c>
      <c r="C368">
        <f t="shared" si="16"/>
        <v>5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WEEKDAY(39492,)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WEEKDAY(39492,0)</f>
        <v>#NUM!</v>
      </c>
      <c r="B370">
        <f t="shared" si="15"/>
        <v>6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WEEKDAY(39492,"")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WEEKDAY(39492,FALSE)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WEEKNUM(40977)</f>
        <v>10</v>
      </c>
      <c r="B373">
        <f t="shared" si="15"/>
        <v>0</v>
      </c>
      <c r="C373">
        <f t="shared" si="16"/>
        <v>10</v>
      </c>
      <c r="D373" t="str">
        <f t="shared" si="17"/>
        <v/>
      </c>
      <c r="E373" t="s">
        <v>407</v>
      </c>
    </row>
    <row r="374" spans="1:5" x14ac:dyDescent="0.2">
      <c r="A374" cm="1">
        <f t="array" ref="A374">WEEKNUM(40977,)</f>
        <v>10</v>
      </c>
      <c r="B374">
        <f t="shared" si="15"/>
        <v>0</v>
      </c>
      <c r="C374">
        <f t="shared" si="16"/>
        <v>10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WEEKNUM(40977,0)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WEEKNUM(40977,"")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WEEKNUM(40977,FALSE)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WEIBULL(,20,100,TRUE)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WEIBULL(0,20,100,TRUE)</f>
        <v>0</v>
      </c>
      <c r="B379">
        <f t="shared" si="15"/>
        <v>0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WEIBULL("",20,100,TRUE)</f>
        <v>#VALUE!</v>
      </c>
      <c r="B380">
        <f t="shared" si="15"/>
        <v>3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cm="1">
        <f t="array" ref="A381">WEIBULL(FALSE,20,100,TRUE)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WEIBULL(105,,100,TRUE)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e" cm="1">
        <f t="array" ref="A383">WEIBULL(105,0,100,TRUE)</f>
        <v>#NUM!</v>
      </c>
      <c r="B383">
        <f t="shared" si="15"/>
        <v>6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e" cm="1">
        <f t="array" ref="A384">WEIBULL(105,"",100,TRUE)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WEIBULL(105,FALSE,100,TRUE)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WEIBULL(105,20,,TRUE)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WEIBULL(105,20,0,TRUE)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WEIBULL(105,20,"",TRUE)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WEIBULL(105,20,FALSE,TRUE)</f>
        <v>#NUM!</v>
      </c>
      <c r="B389">
        <f t="shared" si="18"/>
        <v>6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WEIBULL(105,20,100,)</f>
        <v>3.5588864024503564E-2</v>
      </c>
      <c r="B390">
        <f t="shared" si="18"/>
        <v>0</v>
      </c>
      <c r="C390">
        <f t="shared" si="19"/>
        <v>3.5588864024503564E-2</v>
      </c>
      <c r="D390" t="str">
        <f t="shared" si="20"/>
        <v/>
      </c>
      <c r="E390" t="s">
        <v>424</v>
      </c>
    </row>
    <row r="391" spans="1:5" x14ac:dyDescent="0.2">
      <c r="A391" cm="1">
        <f t="array" ref="A391">WEIBULL(105,20,100,0)</f>
        <v>3.5588864024503564E-2</v>
      </c>
      <c r="B391">
        <f t="shared" si="18"/>
        <v>0</v>
      </c>
      <c r="C391">
        <f t="shared" si="19"/>
        <v>3.5588864024503564E-2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WEIBULL(105,20,100,"")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WEIBULL(105,20,100,FALSE)</f>
        <v>3.5588864024503564E-2</v>
      </c>
      <c r="B393">
        <f t="shared" si="18"/>
        <v>0</v>
      </c>
      <c r="C393">
        <f t="shared" si="19"/>
        <v>3.5588864024503564E-2</v>
      </c>
      <c r="D393" t="str">
        <f t="shared" si="20"/>
        <v/>
      </c>
      <c r="E393" t="s">
        <v>427</v>
      </c>
    </row>
    <row r="394" spans="1:5" x14ac:dyDescent="0.2">
      <c r="A394" cm="1">
        <f t="array" ref="A394">_xlfn.WEIBULL.DIST(,20,100,TRUE)</f>
        <v>0</v>
      </c>
      <c r="B394">
        <f t="shared" si="18"/>
        <v>0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_xlfn.WEIBULL.DIST(0,20,100,TRUE)</f>
        <v>0</v>
      </c>
      <c r="B395">
        <f t="shared" si="18"/>
        <v>0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_xlfn.WEIBULL.DIST("",20,100,TRUE)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_xlfn.WEIBULL.DIST(FALSE,20,100,TRUE)</f>
        <v>0</v>
      </c>
      <c r="B397">
        <f t="shared" si="18"/>
        <v>0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_xlfn.WEIBULL.DIST(105,,100,TRUE)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_xlfn.WEIBULL.DIST(105,0,100,TRUE)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_xlfn.WEIBULL.DIST(105,"",100,TRUE)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2026-10-07T05:16:22Z</dcterms:created>
  <dcterms:modified xsi:type="dcterms:W3CDTF">2026-10-07T05:16:22Z</dcterms:modified>
  <cp:category/>
</cp:coreProperties>
</file>