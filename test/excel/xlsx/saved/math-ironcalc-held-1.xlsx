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92F549C8-4531-FD4D-99FB-6143CFC007F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t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3" l="1" a="1"/>
  <c r="A30" i="3" s="1"/>
  <c r="A29" i="3" a="1"/>
  <c r="A29" i="3" s="1"/>
  <c r="A28" i="3" a="1"/>
  <c r="A28" i="3" s="1"/>
  <c r="A27" i="3" a="1"/>
  <c r="A27" i="3" s="1"/>
  <c r="A26" i="3" a="1"/>
  <c r="A26" i="3" s="1"/>
  <c r="A25" i="3" a="1"/>
  <c r="A25" i="3"/>
  <c r="D25" i="3" s="1"/>
  <c r="A24" i="3" a="1"/>
  <c r="A24" i="3" s="1"/>
  <c r="A23" i="3" a="1"/>
  <c r="A23" i="3" s="1"/>
  <c r="A22" i="3" a="1"/>
  <c r="A22" i="3" s="1"/>
  <c r="C22" i="3" s="1"/>
  <c r="A21" i="3" a="1"/>
  <c r="A21" i="3" s="1"/>
  <c r="B21" i="3" s="1"/>
  <c r="A20" i="3" a="1"/>
  <c r="A20" i="3" s="1"/>
  <c r="A19" i="3" a="1"/>
  <c r="A19" i="3" s="1"/>
  <c r="A18" i="3" a="1"/>
  <c r="A18" i="3" s="1"/>
  <c r="C18" i="3" s="1"/>
  <c r="A17" i="3" a="1"/>
  <c r="A17" i="3" s="1"/>
  <c r="C16" i="3"/>
  <c r="A16" i="3" a="1"/>
  <c r="A16" i="3"/>
  <c r="D16" i="3" s="1"/>
  <c r="A15" i="3" a="1"/>
  <c r="A15" i="3" s="1"/>
  <c r="A14" i="3" a="1"/>
  <c r="A14" i="3" s="1"/>
  <c r="A13" i="3" a="1"/>
  <c r="A13" i="3" s="1"/>
  <c r="C13" i="3" s="1"/>
  <c r="A12" i="3" a="1"/>
  <c r="A12" i="3" s="1"/>
  <c r="A11" i="3" a="1"/>
  <c r="A11" i="3" s="1"/>
  <c r="A10" i="3" a="1"/>
  <c r="A10" i="3"/>
  <c r="B10" i="3" s="1"/>
  <c r="A9" i="3" a="1"/>
  <c r="A9" i="3" s="1"/>
  <c r="A8" i="3" a="1"/>
  <c r="A8" i="3"/>
  <c r="C8" i="3" s="1"/>
  <c r="A7" i="3" a="1"/>
  <c r="A7" i="3" s="1"/>
  <c r="A6" i="3" a="1"/>
  <c r="A6" i="3" s="1"/>
  <c r="A5" i="3" a="1"/>
  <c r="A5" i="3" s="1"/>
  <c r="A4" i="3" a="1"/>
  <c r="A4" i="3" s="1"/>
  <c r="D4" i="3" s="1"/>
  <c r="A3" i="3" a="1"/>
  <c r="A3" i="3"/>
  <c r="B3" i="3" s="1"/>
  <c r="A2" i="3" a="1"/>
  <c r="A2" i="3" s="1"/>
  <c r="A1" i="3" a="1"/>
  <c r="A1" i="3"/>
  <c r="D1" i="3" s="1"/>
  <c r="I15" i="2"/>
  <c r="A14" i="2"/>
  <c r="A13" i="2"/>
  <c r="AL10" i="2"/>
  <c r="A8" i="2"/>
  <c r="A7" i="2"/>
  <c r="E3" i="2"/>
  <c r="C23" i="3" l="1"/>
  <c r="D23" i="3"/>
  <c r="B16" i="3"/>
  <c r="B27" i="3"/>
  <c r="D27" i="3"/>
  <c r="C27" i="3"/>
  <c r="C5" i="3"/>
  <c r="B5" i="3"/>
  <c r="D5" i="3"/>
  <c r="D28" i="3"/>
  <c r="B28" i="3"/>
  <c r="C28" i="3"/>
  <c r="D19" i="3"/>
  <c r="C19" i="3"/>
  <c r="B19" i="3"/>
  <c r="C9" i="3"/>
  <c r="D9" i="3"/>
  <c r="B9" i="3"/>
  <c r="C20" i="3"/>
  <c r="D20" i="3"/>
  <c r="B20" i="3"/>
  <c r="D14" i="3"/>
  <c r="B14" i="3"/>
  <c r="C14" i="3"/>
  <c r="D6" i="3"/>
  <c r="B6" i="3"/>
  <c r="C6" i="3"/>
  <c r="C17" i="3"/>
  <c r="B17" i="3"/>
  <c r="D17" i="3"/>
  <c r="B29" i="3"/>
  <c r="D29" i="3"/>
  <c r="C29" i="3"/>
  <c r="B11" i="3"/>
  <c r="D11" i="3"/>
  <c r="C11" i="3"/>
  <c r="D12" i="3"/>
  <c r="C12" i="3"/>
  <c r="B12" i="3"/>
  <c r="D2" i="3"/>
  <c r="B2" i="3"/>
  <c r="C2" i="3"/>
  <c r="C15" i="3"/>
  <c r="B15" i="3"/>
  <c r="D15" i="3"/>
  <c r="D24" i="3"/>
  <c r="C24" i="3"/>
  <c r="B24" i="3"/>
  <c r="D26" i="3"/>
  <c r="C26" i="3"/>
  <c r="B26" i="3"/>
  <c r="D7" i="3"/>
  <c r="C7" i="3"/>
  <c r="B7" i="3"/>
  <c r="D30" i="3"/>
  <c r="C30" i="3"/>
  <c r="B30" i="3"/>
  <c r="C10" i="3"/>
  <c r="D3" i="3"/>
  <c r="D21" i="3"/>
  <c r="B25" i="3"/>
  <c r="D18" i="3"/>
  <c r="B22" i="3"/>
  <c r="D22" i="3"/>
  <c r="C3" i="3"/>
  <c r="B4" i="3"/>
  <c r="D13" i="3"/>
  <c r="B18" i="3"/>
  <c r="C25" i="3"/>
  <c r="D8" i="3"/>
  <c r="B13" i="3"/>
  <c r="D10" i="3"/>
  <c r="C21" i="3"/>
  <c r="C4" i="3"/>
  <c r="B8" i="3"/>
  <c r="B1" i="3"/>
  <c r="C1" i="3"/>
  <c r="B2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<sst xmlns="http://schemas.openxmlformats.org/spreadsheetml/2006/main" count="96" uniqueCount="70">
  <si>
    <t>Hi</t>
  </si>
  <si>
    <t>hi</t>
  </si>
  <si>
    <t>a</t>
  </si>
  <si>
    <t>ho</t>
  </si>
  <si>
    <t>b</t>
  </si>
  <si>
    <t>x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</si>
  <si>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</si>
  <si>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</si>
  <si>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</si>
  <si>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</si>
  <si>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</si>
  <si>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</si>
  <si>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</si>
  <si>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</si>
  <si>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</si>
  <si>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</si>
  <si>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</si>
  <si>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</si>
  <si>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</si>
  <si>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</si>
  <si>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</si>
  <si>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</si>
  <si>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</si>
  <si>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</si>
  <si>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</si>
  <si>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</si>
  <si>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</si>
  <si>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</si>
  <si>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</si>
  <si>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</si>
  <si>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</si>
  <si>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</si>
  <si>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</si>
  <si>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</si>
  <si>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</si>
  <si>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</si>
  <si>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</si>
  <si>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</si>
  <si>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</si>
  <si>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GCD#1</t>
  </si>
  <si>
    <t>LCM#1</t>
  </si>
  <si>
    <t>CSCH#1</t>
  </si>
  <si>
    <t>CSCH#2</t>
  </si>
  <si>
    <t>IMREAL#1</t>
  </si>
  <si>
    <t>IMAGINARY#1</t>
  </si>
  <si>
    <t>LOGNORM.INV#1</t>
  </si>
  <si>
    <t>POISSON.DIST#1</t>
  </si>
  <si>
    <t>PROB#1</t>
  </si>
  <si>
    <t>GCD#2</t>
  </si>
  <si>
    <t>GCD#3</t>
  </si>
  <si>
    <t>LCM#2</t>
  </si>
  <si>
    <t>GCD#4</t>
  </si>
  <si>
    <t>GCD#5</t>
  </si>
  <si>
    <t>CSCH#3</t>
  </si>
  <si>
    <t>CSCH#4</t>
  </si>
  <si>
    <t>IMCSCH#1</t>
  </si>
  <si>
    <t>IMAGINARY#2</t>
  </si>
  <si>
    <t>IMCSCH#2</t>
  </si>
  <si>
    <t>IMCSCH#3</t>
  </si>
  <si>
    <t>LOGNORM.INV#2</t>
  </si>
  <si>
    <t>NORM.S.DIST#1</t>
  </si>
  <si>
    <t>NORM.S.DIST#2</t>
  </si>
  <si>
    <t>NORM.S.INV#1</t>
  </si>
  <si>
    <t>POISSON.DIST#2</t>
  </si>
  <si>
    <t>POISSON.DIST#3</t>
  </si>
  <si>
    <t>POISSON.DIST#4</t>
  </si>
  <si>
    <t>PROB#2</t>
  </si>
  <si>
    <t>PROB#3</t>
  </si>
  <si>
    <t>PROB#4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</si>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</sst>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H3"/>
  <sheetViews>
    <sheetView tabSelected="1" workbookViewId="0"/>
  </sheetViews>
  <sheetFormatPr baseColWidth="10" defaultColWidth="8.83203125" defaultRowHeight="15" x14ac:dyDescent="0.2"/>
  <sheetData>
    <row r="1" spans="4:8" x14ac:dyDescent="0.2">
      <c r="D1" t="s">
        <v>0</v>
      </c>
      <c r="E1" t="s">
        <v>1</v>
      </c>
      <c r="F1" t="s">
        <v>2</v>
      </c>
      <c r="G1">
        <v>1</v>
      </c>
      <c r="H1">
        <v>0.5</v>
      </c>
    </row>
    <row r="2" spans="4:8" x14ac:dyDescent="0.2">
      <c r="D2" t="s">
        <v>3</v>
      </c>
      <c r="E2" t="s">
        <v>3</v>
      </c>
      <c r="F2" t="s">
        <v>4</v>
      </c>
      <c r="G2" t="s">
        <v>5</v>
      </c>
      <c r="H2">
        <v>0.2</v>
      </c>
    </row>
    <row r="3" spans="4:8" x14ac:dyDescent="0.2">
      <c r="G3">
        <v>2</v>
      </c>
      <c r="H3">
        <v>0.5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7</v>
      </c>
      <c r="N1">
        <v>10</v>
      </c>
      <c r="P1">
        <v>1</v>
      </c>
      <c r="Q1">
        <v>2</v>
      </c>
      <c r="R1">
        <v>5</v>
      </c>
      <c r="S1">
        <v>6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AA1" t="s">
        <v>8</v>
      </c>
      <c r="AB1" t="s">
        <v>9</v>
      </c>
      <c r="AC1" t="s">
        <v>8</v>
      </c>
      <c r="AD1" t="s">
        <v>8</v>
      </c>
      <c r="AE1" t="s">
        <v>8</v>
      </c>
      <c r="AF1" t="s">
        <v>8</v>
      </c>
      <c r="AG1" t="s">
        <v>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2</v>
      </c>
    </row>
    <row r="2" spans="1:60" x14ac:dyDescent="0.2">
      <c r="A2" t="s">
        <v>13</v>
      </c>
      <c r="B2">
        <v>8</v>
      </c>
      <c r="C2">
        <v>7</v>
      </c>
      <c r="D2" t="s">
        <v>13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22</v>
      </c>
      <c r="B3">
        <v>15</v>
      </c>
      <c r="C3">
        <v>11</v>
      </c>
      <c r="D3" t="s">
        <v>22</v>
      </c>
      <c r="E3" t="e">
        <f>1/0</f>
        <v>#DIV/0!</v>
      </c>
      <c r="F3" t="s">
        <v>23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24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22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25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26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27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2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28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29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30</v>
      </c>
      <c r="AP5" s="1">
        <v>39786</v>
      </c>
      <c r="AS5" t="s">
        <v>31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32</v>
      </c>
      <c r="G6">
        <v>32</v>
      </c>
      <c r="H6" s="1">
        <v>45473</v>
      </c>
      <c r="L6">
        <v>13</v>
      </c>
      <c r="M6" t="s">
        <v>33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34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4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7</v>
      </c>
      <c r="M9" t="s">
        <v>15</v>
      </c>
      <c r="N9" t="s">
        <v>24</v>
      </c>
      <c r="O9" t="s">
        <v>27</v>
      </c>
      <c r="P9" t="s">
        <v>29</v>
      </c>
      <c r="Q9" t="s">
        <v>33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GCD(Mt!A1,Mt!B1,Mt!C1)</f>
        <v>#VALUE!</v>
      </c>
      <c r="B1">
        <f t="shared" ref="B1:B30" si="0">IF(ISERROR(A1),ERROR.TYPE(A1),IF(ISNUMBER(A1),0,IF(ISLOGICAL(A1),IF(A1,-1,-2),IF(ISTEXT(A1),-3,-4))))</f>
        <v>3</v>
      </c>
      <c r="C1">
        <f t="shared" ref="C1:C30" si="1">IF(ISNUMBER(A1),A1,0)</f>
        <v>0</v>
      </c>
      <c r="D1" t="str">
        <f t="shared" ref="D1:D30" si="2">IF(ISTEXT(A1),A1,"")</f>
        <v/>
      </c>
      <c r="E1" t="s">
        <v>39</v>
      </c>
    </row>
    <row r="2" spans="1:5" x14ac:dyDescent="0.2">
      <c r="A2" t="e" cm="1">
        <f t="array" ref="A2">LCM(Mt!A1,Mt!B1,Mt!C1)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40</v>
      </c>
    </row>
    <row r="3" spans="1:5" x14ac:dyDescent="0.2">
      <c r="A3" cm="1">
        <f t="array" ref="A3">_xlfn.CSCH(0.000000000001)</f>
        <v>1000000000000</v>
      </c>
      <c r="B3">
        <f t="shared" si="0"/>
        <v>0</v>
      </c>
      <c r="C3">
        <f t="shared" si="1"/>
        <v>1000000000000</v>
      </c>
      <c r="D3" t="str">
        <f t="shared" si="2"/>
        <v/>
      </c>
      <c r="E3" t="s">
        <v>41</v>
      </c>
    </row>
    <row r="4" spans="1:5" x14ac:dyDescent="0.2">
      <c r="A4" cm="1">
        <f t="array" ref="A4">_xlfn.CSCH(-0.000000000001)</f>
        <v>-1000000000000</v>
      </c>
      <c r="B4">
        <f t="shared" si="0"/>
        <v>0</v>
      </c>
      <c r="C4">
        <f t="shared" si="1"/>
        <v>-1000000000000</v>
      </c>
      <c r="D4" t="str">
        <f t="shared" si="2"/>
        <v/>
      </c>
      <c r="E4" t="s">
        <v>42</v>
      </c>
    </row>
    <row r="5" spans="1:5" x14ac:dyDescent="0.2">
      <c r="A5" cm="1">
        <f t="array" ref="A5">IMREAL(_xlfn.IMCSCH(COMPLEX(0.0000000000000001,0)))</f>
        <v>1E+16</v>
      </c>
      <c r="B5">
        <f t="shared" si="0"/>
        <v>0</v>
      </c>
      <c r="C5">
        <f t="shared" si="1"/>
        <v>1E+16</v>
      </c>
      <c r="D5" t="str">
        <f t="shared" si="2"/>
        <v/>
      </c>
      <c r="E5" t="s">
        <v>43</v>
      </c>
    </row>
    <row r="6" spans="1:5" x14ac:dyDescent="0.2">
      <c r="A6" cm="1">
        <f t="array" ref="A6">IMAGINARY(_xlfn.IMCSCH(COMPLEX(1E-20,0)))</f>
        <v>0</v>
      </c>
      <c r="B6">
        <f t="shared" si="0"/>
        <v>0</v>
      </c>
      <c r="C6">
        <f t="shared" si="1"/>
        <v>0</v>
      </c>
      <c r="D6" t="str">
        <f t="shared" si="2"/>
        <v/>
      </c>
      <c r="E6" t="s">
        <v>44</v>
      </c>
    </row>
    <row r="7" spans="1:5" x14ac:dyDescent="0.2">
      <c r="A7" cm="1">
        <f t="array" ref="A7">_xlfn.LOGNORM.INV(_xlfn.LOGNORM.DIST(4,3.5,1000000000000,TRUE),3.5,1000000000000)</f>
        <v>3.9997658809344081</v>
      </c>
      <c r="B7">
        <f t="shared" si="0"/>
        <v>0</v>
      </c>
      <c r="C7">
        <f t="shared" si="1"/>
        <v>3.9997658809344081</v>
      </c>
      <c r="D7" t="str">
        <f t="shared" si="2"/>
        <v/>
      </c>
      <c r="E7" t="s">
        <v>45</v>
      </c>
    </row>
    <row r="8" spans="1:5" x14ac:dyDescent="0.2">
      <c r="A8" t="e" cm="1">
        <f t="array" ref="A8">_xlfn.POISSON.DIST(-0.000001,5,TRUE)</f>
        <v>#NUM!</v>
      </c>
      <c r="B8">
        <f t="shared" si="0"/>
        <v>6</v>
      </c>
      <c r="C8">
        <f t="shared" si="1"/>
        <v>0</v>
      </c>
      <c r="D8" t="str">
        <f t="shared" si="2"/>
        <v/>
      </c>
      <c r="E8" t="s">
        <v>46</v>
      </c>
    </row>
    <row r="9" spans="1:5" x14ac:dyDescent="0.2">
      <c r="A9" t="e" cm="1">
        <f t="array" ref="A9">PROB(Mt!D1:D2,Mt!E1:E2,1)</f>
        <v>#DIV/0!</v>
      </c>
      <c r="B9">
        <f t="shared" si="0"/>
        <v>2</v>
      </c>
      <c r="C9">
        <f t="shared" si="1"/>
        <v>0</v>
      </c>
      <c r="D9" t="str">
        <f t="shared" si="2"/>
        <v/>
      </c>
      <c r="E9" t="s">
        <v>47</v>
      </c>
    </row>
    <row r="10" spans="1:5" x14ac:dyDescent="0.2">
      <c r="A10" t="e" cm="1">
        <f t="array" ref="A10">GCD(Mt!A1)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48</v>
      </c>
    </row>
    <row r="11" spans="1:5" x14ac:dyDescent="0.2">
      <c r="A11" cm="1">
        <f t="array" ref="A11">GCD(Mt!A1,6)</f>
        <v>6</v>
      </c>
      <c r="B11">
        <f t="shared" si="0"/>
        <v>0</v>
      </c>
      <c r="C11">
        <f t="shared" si="1"/>
        <v>6</v>
      </c>
      <c r="D11" t="str">
        <f t="shared" si="2"/>
        <v/>
      </c>
      <c r="E11" t="s">
        <v>49</v>
      </c>
    </row>
    <row r="12" spans="1:5" x14ac:dyDescent="0.2">
      <c r="A12" cm="1">
        <f t="array" ref="A12">LCM(Mt!A1,4)</f>
        <v>4</v>
      </c>
      <c r="B12">
        <f t="shared" si="0"/>
        <v>0</v>
      </c>
      <c r="C12">
        <f t="shared" si="1"/>
        <v>4</v>
      </c>
      <c r="D12" t="str">
        <f t="shared" si="2"/>
        <v/>
      </c>
      <c r="E12" t="s">
        <v>50</v>
      </c>
    </row>
    <row r="13" spans="1:5" x14ac:dyDescent="0.2">
      <c r="A13" cm="1">
        <f t="array" ref="A13">GCD(Mt!A1:A2)</f>
        <v>0</v>
      </c>
      <c r="B13">
        <f t="shared" si="0"/>
        <v>0</v>
      </c>
      <c r="C13">
        <f t="shared" si="1"/>
        <v>0</v>
      </c>
      <c r="D13" t="str">
        <f t="shared" si="2"/>
        <v/>
      </c>
      <c r="E13" t="s">
        <v>51</v>
      </c>
    </row>
    <row r="14" spans="1:5" x14ac:dyDescent="0.2">
      <c r="A14" t="e" cm="1">
        <f t="array" ref="A14">GCD(Mt!F1:F2)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52</v>
      </c>
    </row>
    <row r="15" spans="1:5" x14ac:dyDescent="0.2">
      <c r="A15" cm="1">
        <f t="array" ref="A15">_xlfn.CSCH(1E-300)</f>
        <v>9.999999999999999E+299</v>
      </c>
      <c r="B15">
        <f t="shared" si="0"/>
        <v>0</v>
      </c>
      <c r="C15">
        <f t="shared" si="1"/>
        <v>9.999999999999999E+299</v>
      </c>
      <c r="D15" t="str">
        <f t="shared" si="2"/>
        <v/>
      </c>
      <c r="E15" t="s">
        <v>53</v>
      </c>
    </row>
    <row r="16" spans="1:5" x14ac:dyDescent="0.2">
      <c r="A16" cm="1">
        <f t="array" ref="A16">_xlfn.CSCH(0.5)</f>
        <v>1.9190347513349437</v>
      </c>
      <c r="B16">
        <f t="shared" si="0"/>
        <v>0</v>
      </c>
      <c r="C16">
        <f t="shared" si="1"/>
        <v>1.9190347513349437</v>
      </c>
      <c r="D16" t="str">
        <f t="shared" si="2"/>
        <v/>
      </c>
      <c r="E16" t="s">
        <v>54</v>
      </c>
    </row>
    <row r="17" spans="1:5" x14ac:dyDescent="0.2">
      <c r="A17" t="str" cm="1">
        <f t="array" ref="A17">_xlfn.IMCSCH("1E-300")</f>
        <v>1E+300</v>
      </c>
      <c r="B17">
        <f t="shared" si="0"/>
        <v>-3</v>
      </c>
      <c r="C17">
        <f t="shared" si="1"/>
        <v>0</v>
      </c>
      <c r="D17" t="str">
        <f t="shared" si="2"/>
        <v>1E+300</v>
      </c>
      <c r="E17" t="s">
        <v>55</v>
      </c>
    </row>
    <row r="18" spans="1:5" x14ac:dyDescent="0.2">
      <c r="A18" cm="1">
        <f t="array" ref="A18">IMAGINARY(_xlfn.IMCSCH(COMPLEX(0,0.0000000000000001)))</f>
        <v>-1E+16</v>
      </c>
      <c r="B18">
        <f t="shared" si="0"/>
        <v>0</v>
      </c>
      <c r="C18">
        <f t="shared" si="1"/>
        <v>-1E+16</v>
      </c>
      <c r="D18" t="str">
        <f t="shared" si="2"/>
        <v/>
      </c>
      <c r="E18" t="s">
        <v>56</v>
      </c>
    </row>
    <row r="19" spans="1:5" x14ac:dyDescent="0.2">
      <c r="A19" t="str" cm="1">
        <f t="array" ref="A19">_xlfn.IMCSCH("0.5+0.5i")</f>
        <v>0.912074264038811-1.07822969465402i</v>
      </c>
      <c r="B19">
        <f t="shared" si="0"/>
        <v>-3</v>
      </c>
      <c r="C19">
        <f t="shared" si="1"/>
        <v>0</v>
      </c>
      <c r="D19" t="str">
        <f t="shared" si="2"/>
        <v>0.912074264038811-1.07822969465402i</v>
      </c>
      <c r="E19" t="s">
        <v>57</v>
      </c>
    </row>
    <row r="20" spans="1:5" x14ac:dyDescent="0.2">
      <c r="A20" t="e" cm="1">
        <f t="array" ref="A20">_xlfn.IMCSCH(0)</f>
        <v>#NUM!</v>
      </c>
      <c r="B20">
        <f t="shared" si="0"/>
        <v>6</v>
      </c>
      <c r="C20">
        <f t="shared" si="1"/>
        <v>0</v>
      </c>
      <c r="D20" t="str">
        <f t="shared" si="2"/>
        <v/>
      </c>
      <c r="E20" t="s">
        <v>58</v>
      </c>
    </row>
    <row r="21" spans="1:5" x14ac:dyDescent="0.2">
      <c r="A21" cm="1">
        <f t="array" ref="A21">_xlfn.LOGNORM.INV(_xlfn.LOGNORM.DIST(4,3.5,100000000,TRUE),3.5,100000000)</f>
        <v>3.9999999730123177</v>
      </c>
      <c r="B21">
        <f t="shared" si="0"/>
        <v>0</v>
      </c>
      <c r="C21">
        <f t="shared" si="1"/>
        <v>3.9999999730123177</v>
      </c>
      <c r="D21" t="str">
        <f t="shared" si="2"/>
        <v/>
      </c>
      <c r="E21" t="s">
        <v>59</v>
      </c>
    </row>
    <row r="22" spans="1:5" x14ac:dyDescent="0.2">
      <c r="A22" cm="1">
        <f t="array" ref="A22">_xlfn.NORM.S.DIST(0.0000000000001,TRUE)-0.5</f>
        <v>3.9968028886505635E-14</v>
      </c>
      <c r="B22">
        <f t="shared" si="0"/>
        <v>0</v>
      </c>
      <c r="C22">
        <f t="shared" si="1"/>
        <v>3.9968028886505635E-14</v>
      </c>
      <c r="D22" t="str">
        <f t="shared" si="2"/>
        <v/>
      </c>
      <c r="E22" t="s">
        <v>60</v>
      </c>
    </row>
    <row r="23" spans="1:5" x14ac:dyDescent="0.2">
      <c r="A23" cm="1">
        <f t="array" ref="A23">_xlfn.NORM.S.DIST(0.2,TRUE)</f>
        <v>0.57925970943910299</v>
      </c>
      <c r="B23">
        <f t="shared" si="0"/>
        <v>0</v>
      </c>
      <c r="C23">
        <f t="shared" si="1"/>
        <v>0.57925970943910299</v>
      </c>
      <c r="D23" t="str">
        <f t="shared" si="2"/>
        <v/>
      </c>
      <c r="E23" t="s">
        <v>61</v>
      </c>
    </row>
    <row r="24" spans="1:5" x14ac:dyDescent="0.2">
      <c r="A24" cm="1">
        <f t="array" ref="A24">_xlfn.NORM.S.INV(0.5-2^-40)</f>
        <v>-2.2797651350911116E-12</v>
      </c>
      <c r="B24">
        <f t="shared" si="0"/>
        <v>0</v>
      </c>
      <c r="C24">
        <f t="shared" si="1"/>
        <v>-2.2797651350911116E-12</v>
      </c>
      <c r="D24" t="str">
        <f t="shared" si="2"/>
        <v/>
      </c>
      <c r="E24" t="s">
        <v>62</v>
      </c>
    </row>
    <row r="25" spans="1:5" x14ac:dyDescent="0.2">
      <c r="A25" cm="1">
        <f t="array" ref="A25">_xlfn.POISSON.DIST(0,5,TRUE)</f>
        <v>6.737946999085467E-3</v>
      </c>
      <c r="B25">
        <f t="shared" si="0"/>
        <v>0</v>
      </c>
      <c r="C25">
        <f t="shared" si="1"/>
        <v>6.737946999085467E-3</v>
      </c>
      <c r="D25" t="str">
        <f t="shared" si="2"/>
        <v/>
      </c>
      <c r="E25" t="s">
        <v>63</v>
      </c>
    </row>
    <row r="26" spans="1:5" x14ac:dyDescent="0.2">
      <c r="A26" cm="1">
        <f t="array" ref="A26">_xlfn.POISSON.DIST(0.9,5,FALSE)</f>
        <v>6.737946999085467E-3</v>
      </c>
      <c r="B26">
        <f t="shared" si="0"/>
        <v>0</v>
      </c>
      <c r="C26">
        <f t="shared" si="1"/>
        <v>6.737946999085467E-3</v>
      </c>
      <c r="D26" t="str">
        <f t="shared" si="2"/>
        <v/>
      </c>
      <c r="E26" t="s">
        <v>64</v>
      </c>
    </row>
    <row r="27" spans="1:5" x14ac:dyDescent="0.2">
      <c r="A27" t="e" cm="1">
        <f t="array" ref="A27">_xlfn.POISSON.DIST(-1E-300,5,TRUE)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65</v>
      </c>
    </row>
    <row r="28" spans="1:5" x14ac:dyDescent="0.2">
      <c r="A28" cm="1">
        <f t="array" ref="A28">PROB(Mt!G1:G3,Mt!H1:H3,1)</f>
        <v>0.5</v>
      </c>
      <c r="B28">
        <f t="shared" si="0"/>
        <v>0</v>
      </c>
      <c r="C28">
        <f t="shared" si="1"/>
        <v>0.5</v>
      </c>
      <c r="D28" t="str">
        <f t="shared" si="2"/>
        <v/>
      </c>
      <c r="E28" t="s">
        <v>66</v>
      </c>
    </row>
    <row r="29" spans="1:5" x14ac:dyDescent="0.2">
      <c r="A29" t="e" cm="1">
        <f t="array" ref="A29">PROB({"a","b"},{0.5,0.5},1)</f>
        <v>#DIV/0!</v>
      </c>
      <c r="B29">
        <f t="shared" si="0"/>
        <v>2</v>
      </c>
      <c r="C29">
        <f t="shared" si="1"/>
        <v>0</v>
      </c>
      <c r="D29" t="str">
        <f t="shared" si="2"/>
        <v/>
      </c>
      <c r="E29" t="s">
        <v>67</v>
      </c>
    </row>
    <row r="30" spans="1:5" x14ac:dyDescent="0.2">
      <c r="A30" cm="1">
        <f t="array" ref="A30">PROB({TRUE,1},{0.5,1},1)</f>
        <v>1</v>
      </c>
      <c r="B30">
        <f t="shared" si="0"/>
        <v>0</v>
      </c>
      <c r="C30">
        <f t="shared" si="1"/>
        <v>1</v>
      </c>
      <c r="D30" t="str">
        <f t="shared" si="2"/>
        <v/>
      </c>
      <c r="E30" t="s">
        <v>68</v>
      </c>
    </row>
    <row r="31" spans="1:5" x14ac:dyDescent="0.2">
      <c r="A31" t="s">
        <v>69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2026-10-17T14:51:49Z</dcterms:created>
  <dcterms:modified xsi:type="dcterms:W3CDTF">2026-10-17T14:51:49Z</dcterms:modified>
  <cp:category/>
</cp:coreProperties>
</file>