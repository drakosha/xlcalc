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2FF3205C-09B2-964F-8394-9DC99D3E5DD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x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 a="1"/>
  <c r="A22" i="3" s="1"/>
  <c r="A21" i="3" a="1"/>
  <c r="A21" i="3" s="1"/>
  <c r="A20" i="3" a="1"/>
  <c r="A20" i="3" s="1"/>
  <c r="A19" i="3" a="1"/>
  <c r="A19" i="3" s="1"/>
  <c r="A18" i="3" a="1"/>
  <c r="A18" i="3"/>
  <c r="C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B8" i="3" l="1"/>
  <c r="D8" i="3"/>
  <c r="C8" i="3"/>
  <c r="D18" i="3"/>
  <c r="C9" i="3"/>
  <c r="D9" i="3"/>
  <c r="B9" i="3"/>
  <c r="D11" i="3"/>
  <c r="C11" i="3"/>
  <c r="B11" i="3"/>
  <c r="D13" i="3"/>
  <c r="C13" i="3"/>
  <c r="B13" i="3"/>
  <c r="C15" i="3"/>
  <c r="B15" i="3"/>
  <c r="D15" i="3"/>
  <c r="D1" i="3"/>
  <c r="C1" i="3"/>
  <c r="B1" i="3"/>
  <c r="B2" i="3"/>
  <c r="D2" i="3"/>
  <c r="C2" i="3"/>
  <c r="B3" i="3"/>
  <c r="C3" i="3"/>
  <c r="D3" i="3"/>
  <c r="D20" i="3"/>
  <c r="C20" i="3"/>
  <c r="B20" i="3"/>
  <c r="C19" i="3"/>
  <c r="B19" i="3"/>
  <c r="D19" i="3"/>
  <c r="C10" i="3"/>
  <c r="D10" i="3"/>
  <c r="B10" i="3"/>
  <c r="D12" i="3"/>
  <c r="C12" i="3"/>
  <c r="B12" i="3"/>
  <c r="D14" i="3"/>
  <c r="C14" i="3"/>
  <c r="B14" i="3"/>
  <c r="D16" i="3"/>
  <c r="C16" i="3"/>
  <c r="B16" i="3"/>
  <c r="B17" i="3"/>
  <c r="D17" i="3"/>
  <c r="C17" i="3"/>
  <c r="D4" i="3"/>
  <c r="C4" i="3"/>
  <c r="B4" i="3"/>
  <c r="D5" i="3"/>
  <c r="B5" i="3"/>
  <c r="C5" i="3"/>
  <c r="C6" i="3"/>
  <c r="B6" i="3"/>
  <c r="D6" i="3"/>
  <c r="D7" i="3"/>
  <c r="C7" i="3"/>
  <c r="B7" i="3"/>
  <c r="B21" i="3"/>
  <c r="D21" i="3"/>
  <c r="C21" i="3"/>
  <c r="D22" i="3"/>
  <c r="C22" i="3"/>
  <c r="B22" i="3"/>
  <c r="B1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<sst xmlns="http://schemas.openxmlformats.org/spreadsheetml/2006/main" count="91" uniqueCount="68">
  <si>
    <t>Albania</t>
  </si>
  <si>
    <t>Indonesia</t>
  </si>
  <si>
    <t>India</t>
  </si>
  <si>
    <t>Germany</t>
  </si>
  <si>
    <t>Spain</t>
  </si>
  <si>
    <t>Venezuela</t>
  </si>
  <si>
    <t>Italy</t>
  </si>
  <si>
    <t>Francialy</t>
  </si>
  <si>
    <t>x42</t>
  </si>
  <si>
    <t>GERMANY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</si>
  <si>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</si>
  <si>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</si>
  <si>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</si>
  <si>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</si>
  <si>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</si>
  <si>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</si>
  <si>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</si>
  <si>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</si>
  <si>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</si>
  <si>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</si>
  <si>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</si>
  <si>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</si>
  <si>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</si>
  <si>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</si>
  <si>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</si>
  <si>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</si>
  <si>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</si>
  <si>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</si>
  <si>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</si>
  <si>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</si>
  <si>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</si>
  <si>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</si>
  <si>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</si>
  <si>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</si>
  <si>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</si>
  <si>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</si>
  <si>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</si>
  <si>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</si>
  <si>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</si>
  <si>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</si>
  <si>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</si>
  <si>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</si>
  <si>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</si>
  <si>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</si>
  <si>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</si>
  <si>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XMATCH#1</t>
  </si>
  <si>
    <t>XMATCH#2</t>
  </si>
  <si>
    <t>INDEX#1</t>
  </si>
  <si>
    <t>XMATCH#3</t>
  </si>
  <si>
    <t>XMATCH#4</t>
  </si>
  <si>
    <t>XMATCH#5</t>
  </si>
  <si>
    <t>XMATCH#6</t>
  </si>
  <si>
    <t>XMATCH#7</t>
  </si>
  <si>
    <t>XMATCH#8</t>
  </si>
  <si>
    <t>XMATCH#9</t>
  </si>
  <si>
    <t>XMATCH#10</t>
  </si>
  <si>
    <t>XMATCH#11</t>
  </si>
  <si>
    <t>XMATCH#12</t>
  </si>
  <si>
    <t>XMATCH#13</t>
  </si>
  <si>
    <t>XMATCH#14</t>
  </si>
  <si>
    <t>XMATCH#15</t>
  </si>
  <si>
    <t>XMATCH#16</t>
  </si>
  <si>
    <t>XMATCH#17</t>
  </si>
  <si>
    <t>XLOOKUP#1</t>
  </si>
  <si>
    <t>XLOOKUP#2</t>
  </si>
  <si>
    <t>XLOOKUP#3</t>
  </si>
  <si>
    <t>XLOOKUP#4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</si>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</sst>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56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3</v>
      </c>
    </row>
    <row r="4" spans="1:2" x14ac:dyDescent="0.2">
      <c r="A4" t="s">
        <v>3</v>
      </c>
      <c r="B4">
        <v>4</v>
      </c>
    </row>
    <row r="5" spans="1:2" x14ac:dyDescent="0.2">
      <c r="A5" t="s">
        <v>4</v>
      </c>
      <c r="B5">
        <v>5</v>
      </c>
    </row>
    <row r="6" spans="1:2" x14ac:dyDescent="0.2">
      <c r="A6" t="s">
        <v>5</v>
      </c>
      <c r="B6">
        <v>6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8</v>
      </c>
    </row>
    <row r="10" spans="1:2" x14ac:dyDescent="0.2">
      <c r="A10">
        <v>42</v>
      </c>
    </row>
    <row r="11" spans="1:2" x14ac:dyDescent="0.2">
      <c r="A11" t="s">
        <v>8</v>
      </c>
    </row>
    <row r="12" spans="1:2" x14ac:dyDescent="0.2">
      <c r="A1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11</v>
      </c>
      <c r="N1">
        <v>10</v>
      </c>
      <c r="P1">
        <v>1</v>
      </c>
      <c r="Q1">
        <v>2</v>
      </c>
      <c r="R1">
        <v>5</v>
      </c>
      <c r="S1">
        <v>6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AA1" t="s">
        <v>12</v>
      </c>
      <c r="AB1" t="s">
        <v>13</v>
      </c>
      <c r="AC1" t="s">
        <v>12</v>
      </c>
      <c r="AD1" t="s">
        <v>12</v>
      </c>
      <c r="AE1" t="s">
        <v>12</v>
      </c>
      <c r="AF1" t="s">
        <v>12</v>
      </c>
      <c r="AG1" t="s">
        <v>12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17</v>
      </c>
    </row>
    <row r="2" spans="1:60" x14ac:dyDescent="0.2">
      <c r="A2" t="s">
        <v>18</v>
      </c>
      <c r="B2">
        <v>8</v>
      </c>
      <c r="C2">
        <v>7</v>
      </c>
      <c r="D2" t="s">
        <v>18</v>
      </c>
      <c r="E2">
        <v>2</v>
      </c>
      <c r="F2" t="s">
        <v>19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20</v>
      </c>
      <c r="N2">
        <v>20</v>
      </c>
      <c r="P2">
        <v>3</v>
      </c>
      <c r="Q2">
        <v>4</v>
      </c>
      <c r="R2">
        <v>7</v>
      </c>
      <c r="S2">
        <v>8</v>
      </c>
      <c r="U2" t="s">
        <v>21</v>
      </c>
      <c r="V2">
        <v>18</v>
      </c>
      <c r="W2">
        <v>20</v>
      </c>
      <c r="X2">
        <v>14</v>
      </c>
      <c r="Y2">
        <v>105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27</v>
      </c>
      <c r="B3">
        <v>15</v>
      </c>
      <c r="C3">
        <v>11</v>
      </c>
      <c r="D3" t="s">
        <v>27</v>
      </c>
      <c r="E3" t="e">
        <f>1/0</f>
        <v>#DIV/0!</v>
      </c>
      <c r="F3" t="s">
        <v>28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29</v>
      </c>
      <c r="N3">
        <v>30</v>
      </c>
      <c r="U3" t="s">
        <v>23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32</v>
      </c>
      <c r="N4">
        <v>50</v>
      </c>
      <c r="P4">
        <v>1</v>
      </c>
      <c r="Q4">
        <v>2</v>
      </c>
      <c r="R4">
        <v>3</v>
      </c>
      <c r="U4" t="s">
        <v>25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34</v>
      </c>
      <c r="N5">
        <v>80</v>
      </c>
      <c r="P5">
        <v>4</v>
      </c>
      <c r="Q5">
        <v>5</v>
      </c>
      <c r="R5">
        <v>6</v>
      </c>
      <c r="U5" t="s">
        <v>21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35</v>
      </c>
      <c r="AP5" s="1">
        <v>39786</v>
      </c>
      <c r="AS5" t="s">
        <v>36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37</v>
      </c>
      <c r="G6">
        <v>32</v>
      </c>
      <c r="H6" s="1">
        <v>45473</v>
      </c>
      <c r="L6">
        <v>13</v>
      </c>
      <c r="M6" t="s">
        <v>38</v>
      </c>
      <c r="N6">
        <v>130</v>
      </c>
      <c r="U6" t="s">
        <v>23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39</v>
      </c>
      <c r="G7">
        <v>64</v>
      </c>
      <c r="H7" s="1">
        <v>46022</v>
      </c>
      <c r="I7">
        <v>-10000</v>
      </c>
      <c r="J7">
        <v>100</v>
      </c>
      <c r="U7" t="s">
        <v>21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41</v>
      </c>
      <c r="AU8" s="1">
        <v>39448</v>
      </c>
      <c r="BG8">
        <v>2</v>
      </c>
    </row>
    <row r="9" spans="1:60" x14ac:dyDescent="0.2">
      <c r="A9" t="s">
        <v>42</v>
      </c>
      <c r="I9">
        <v>4200</v>
      </c>
      <c r="J9">
        <v>300</v>
      </c>
      <c r="L9" t="s">
        <v>11</v>
      </c>
      <c r="M9" t="s">
        <v>20</v>
      </c>
      <c r="N9" t="s">
        <v>29</v>
      </c>
      <c r="O9" t="s">
        <v>32</v>
      </c>
      <c r="P9" t="s">
        <v>34</v>
      </c>
      <c r="Q9" t="s">
        <v>38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_xlfn.XMATCH("[A-Z][a-z]+y",Rx!A1:A8,3,1)</f>
        <v>4</v>
      </c>
      <c r="B1">
        <f t="shared" ref="B1:B22" si="0">IF(ISERROR(A1),ERROR.TYPE(A1),IF(ISNUMBER(A1),0,IF(ISLOGICAL(A1),IF(A1,-1,-2),IF(ISTEXT(A1),-3,-4))))</f>
        <v>0</v>
      </c>
      <c r="C1">
        <f t="shared" ref="C1:C22" si="1">IF(ISNUMBER(A1),A1,0)</f>
        <v>4</v>
      </c>
      <c r="D1" t="str">
        <f t="shared" ref="D1:D22" si="2">IF(ISTEXT(A1),A1,"")</f>
        <v/>
      </c>
      <c r="E1" t="s">
        <v>45</v>
      </c>
    </row>
    <row r="2" spans="1:5" x14ac:dyDescent="0.2">
      <c r="A2" cm="1">
        <f t="array" ref="A2">_xlfn.XMATCH("[A-Z][a-z]+y",Rx!A1:A8,3,-1)</f>
        <v>8</v>
      </c>
      <c r="B2">
        <f t="shared" si="0"/>
        <v>0</v>
      </c>
      <c r="C2">
        <f t="shared" si="1"/>
        <v>8</v>
      </c>
      <c r="D2" t="str">
        <f t="shared" si="2"/>
        <v/>
      </c>
      <c r="E2" t="s">
        <v>46</v>
      </c>
    </row>
    <row r="3" spans="1:5" x14ac:dyDescent="0.2">
      <c r="A3" t="str" cm="1">
        <f t="array" ref="A3">INDEX(Rx!A1:A8,_xlfn.XMATCH("[A-Z][a-z]+y",Rx!A1:A8,3,1))</f>
        <v>Germany</v>
      </c>
      <c r="B3">
        <f t="shared" si="0"/>
        <v>-3</v>
      </c>
      <c r="C3">
        <f t="shared" si="1"/>
        <v>0</v>
      </c>
      <c r="D3" t="str">
        <f t="shared" si="2"/>
        <v>Germany</v>
      </c>
      <c r="E3" t="s">
        <v>47</v>
      </c>
    </row>
    <row r="4" spans="1:5" x14ac:dyDescent="0.2">
      <c r="A4" t="e" cm="1">
        <f t="array" ref="A4">_xlfn.XMATCH(42,Rx!A1:A8,3)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48</v>
      </c>
    </row>
    <row r="5" spans="1:5" x14ac:dyDescent="0.2">
      <c r="A5" cm="1">
        <f t="array" ref="A5">_xlfn.XMATCH("an",Rx!A1:A8,3)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49</v>
      </c>
    </row>
    <row r="6" spans="1:5" x14ac:dyDescent="0.2">
      <c r="A6" cm="1">
        <f t="array" ref="A6">_xlfn.XMATCH("^In",Rx!A1:A8,3)</f>
        <v>2</v>
      </c>
      <c r="B6">
        <f t="shared" si="0"/>
        <v>0</v>
      </c>
      <c r="C6">
        <f t="shared" si="1"/>
        <v>2</v>
      </c>
      <c r="D6" t="str">
        <f t="shared" si="2"/>
        <v/>
      </c>
      <c r="E6" t="s">
        <v>50</v>
      </c>
    </row>
    <row r="7" spans="1:5" x14ac:dyDescent="0.2">
      <c r="A7" cm="1">
        <f t="array" ref="A7">_xlfn.XMATCH("ia$",Rx!A1:A8,3,-1)</f>
        <v>3</v>
      </c>
      <c r="B7">
        <f t="shared" si="0"/>
        <v>0</v>
      </c>
      <c r="C7">
        <f t="shared" si="1"/>
        <v>3</v>
      </c>
      <c r="D7" t="str">
        <f t="shared" si="2"/>
        <v/>
      </c>
      <c r="E7" t="s">
        <v>51</v>
      </c>
    </row>
    <row r="8" spans="1:5" x14ac:dyDescent="0.2">
      <c r="A8" cm="1">
        <f t="array" ref="A8">_xlfn.XMATCH("y$",Rx!A1:A8,3)</f>
        <v>4</v>
      </c>
      <c r="B8">
        <f t="shared" si="0"/>
        <v>0</v>
      </c>
      <c r="C8">
        <f t="shared" si="1"/>
        <v>4</v>
      </c>
      <c r="D8" t="str">
        <f t="shared" si="2"/>
        <v/>
      </c>
      <c r="E8" t="s">
        <v>52</v>
      </c>
    </row>
    <row r="9" spans="1:5" x14ac:dyDescent="0.2">
      <c r="A9" cm="1">
        <f t="array" ref="A9">_xlfn.XMATCH("I.a",Rx!A1:A8,3)</f>
        <v>7</v>
      </c>
      <c r="B9">
        <f t="shared" si="0"/>
        <v>0</v>
      </c>
      <c r="C9">
        <f t="shared" si="1"/>
        <v>7</v>
      </c>
      <c r="D9" t="str">
        <f t="shared" si="2"/>
        <v/>
      </c>
      <c r="E9" t="s">
        <v>53</v>
      </c>
    </row>
    <row r="10" spans="1:5" x14ac:dyDescent="0.2">
      <c r="A10" cm="1">
        <f t="array" ref="A10">_xlfn.XMATCH("Ind*",Rx!A1:A8,3)</f>
        <v>2</v>
      </c>
      <c r="B10">
        <f t="shared" si="0"/>
        <v>0</v>
      </c>
      <c r="C10">
        <f t="shared" si="1"/>
        <v>2</v>
      </c>
      <c r="D10" t="str">
        <f t="shared" si="2"/>
        <v/>
      </c>
      <c r="E10" t="s">
        <v>54</v>
      </c>
    </row>
    <row r="11" spans="1:5" x14ac:dyDescent="0.2">
      <c r="A11" cm="1">
        <f t="array" ref="A11">_xlfn.XMATCH("",Rx!A1:A8,3)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55</v>
      </c>
    </row>
    <row r="12" spans="1:5" x14ac:dyDescent="0.2">
      <c r="A12" t="e" cm="1">
        <f t="array" ref="A12">_xlfn.XMATCH("germany",Rx!A1:A12,3)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56</v>
      </c>
    </row>
    <row r="13" spans="1:5" x14ac:dyDescent="0.2">
      <c r="A13" cm="1">
        <f t="array" ref="A13">_xlfn.XMATCH("(?i)germany",Rx!A1:A12,3)</f>
        <v>4</v>
      </c>
      <c r="B13">
        <f t="shared" si="0"/>
        <v>0</v>
      </c>
      <c r="C13">
        <f t="shared" si="1"/>
        <v>4</v>
      </c>
      <c r="D13" t="str">
        <f t="shared" si="2"/>
        <v/>
      </c>
      <c r="E13" t="s">
        <v>57</v>
      </c>
    </row>
    <row r="14" spans="1:5" x14ac:dyDescent="0.2">
      <c r="A14" cm="1">
        <f t="array" ref="A14">_xlfn.XMATCH("GERMANY",Rx!A1:A12,3)</f>
        <v>12</v>
      </c>
      <c r="B14">
        <f t="shared" si="0"/>
        <v>0</v>
      </c>
      <c r="C14">
        <f t="shared" si="1"/>
        <v>12</v>
      </c>
      <c r="D14" t="str">
        <f t="shared" si="2"/>
        <v/>
      </c>
      <c r="E14" t="s">
        <v>58</v>
      </c>
    </row>
    <row r="15" spans="1:5" x14ac:dyDescent="0.2">
      <c r="A15" t="e" cm="1" vm="1">
        <f t="array" ref="A15">_xlfn.XMATCH("[",Rx!A1:A8,3)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59</v>
      </c>
    </row>
    <row r="16" spans="1:5" x14ac:dyDescent="0.2">
      <c r="A16" cm="1">
        <f t="array" ref="A16">_xlfn.XMATCH(42,Rx!A10:A11,3)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60</v>
      </c>
    </row>
    <row r="17" spans="1:5" x14ac:dyDescent="0.2">
      <c r="A17" cm="1">
        <f t="array" ref="A17">_xlfn.XMATCH("\d",Rx!A10:A12,3)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61</v>
      </c>
    </row>
    <row r="18" spans="1:5" x14ac:dyDescent="0.2">
      <c r="A18" t="e" cm="1">
        <f t="array" ref="A18">_xlfn.XMATCH("Ind.*",Rx!A1:A8,3,2)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62</v>
      </c>
    </row>
    <row r="19" spans="1:5" x14ac:dyDescent="0.2">
      <c r="A19" cm="1">
        <f t="array" ref="A19">_xlfn.XLOOKUP("^Sp",Rx!A1:A8,Rx!B1:B8,,3)</f>
        <v>5</v>
      </c>
      <c r="B19">
        <f t="shared" si="0"/>
        <v>0</v>
      </c>
      <c r="C19">
        <f t="shared" si="1"/>
        <v>5</v>
      </c>
      <c r="D19" t="str">
        <f t="shared" si="2"/>
        <v/>
      </c>
      <c r="E19" t="s">
        <v>63</v>
      </c>
    </row>
    <row r="20" spans="1:5" x14ac:dyDescent="0.2">
      <c r="A20" t="str" cm="1">
        <f t="array" ref="A20">_xlfn.XLOOKUP("zzz",Rx!A1:A8,Rx!B1:B8,"none",3)</f>
        <v>none</v>
      </c>
      <c r="B20">
        <f t="shared" si="0"/>
        <v>-3</v>
      </c>
      <c r="C20">
        <f t="shared" si="1"/>
        <v>0</v>
      </c>
      <c r="D20" t="str">
        <f t="shared" si="2"/>
        <v>none</v>
      </c>
      <c r="E20" t="s">
        <v>64</v>
      </c>
    </row>
    <row r="21" spans="1:5" x14ac:dyDescent="0.2">
      <c r="A21" cm="1">
        <f t="array" ref="A21">_xlfn.XLOOKUP("a$",Rx!A1:A8,Rx!B1:B8,,3,-1)</f>
        <v>6</v>
      </c>
      <c r="B21">
        <f t="shared" si="0"/>
        <v>0</v>
      </c>
      <c r="C21">
        <f t="shared" si="1"/>
        <v>6</v>
      </c>
      <c r="D21" t="str">
        <f t="shared" si="2"/>
        <v/>
      </c>
      <c r="E21" t="s">
        <v>65</v>
      </c>
    </row>
    <row r="22" spans="1:5" x14ac:dyDescent="0.2">
      <c r="A22" t="e" cm="1">
        <f t="array" ref="A22">_xlfn.XLOOKUP("a",Rx!A1:A8,Rx!B1:B8,,3,-2)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66</v>
      </c>
    </row>
    <row r="23" spans="1:5" x14ac:dyDescent="0.2">
      <c r="A23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Rx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2026-10-17T16:02:32Z</dcterms:created>
  <dcterms:modified xsi:type="dcterms:W3CDTF">2026-10-17T16:02:33Z</dcterms:modified>
  <cp:category/>
</cp:coreProperties>
</file>