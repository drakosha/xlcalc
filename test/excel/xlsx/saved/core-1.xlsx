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ACE311DC-0886-BF4D-A39C-BB244DE7515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8" i="2" l="1" a="1"/>
  <c r="A258" i="2" s="1"/>
  <c r="D258" i="2" s="1"/>
  <c r="A257" i="2" a="1"/>
  <c r="A257" i="2" s="1"/>
  <c r="A256" i="2" a="1"/>
  <c r="A256" i="2" s="1"/>
  <c r="A255" i="2" a="1"/>
  <c r="A255" i="2" s="1"/>
  <c r="D255" i="2" s="1"/>
  <c r="A254" i="2" a="1"/>
  <c r="A254" i="2"/>
  <c r="D254" i="2" s="1"/>
  <c r="A253" i="2" a="1"/>
  <c r="A253" i="2" s="1"/>
  <c r="C253" i="2" s="1"/>
  <c r="A252" i="2" a="1"/>
  <c r="A252" i="2" s="1"/>
  <c r="A251" i="2" a="1"/>
  <c r="A251" i="2" s="1"/>
  <c r="B251" i="2" s="1"/>
  <c r="A250" i="2" a="1"/>
  <c r="A250" i="2" s="1"/>
  <c r="A249" i="2" a="1"/>
  <c r="A249" i="2" s="1"/>
  <c r="D249" i="2" s="1"/>
  <c r="A248" i="2" a="1"/>
  <c r="A248" i="2"/>
  <c r="B248" i="2" s="1"/>
  <c r="A247" i="2" a="1"/>
  <c r="A247" i="2" s="1"/>
  <c r="A246" i="2" a="1"/>
  <c r="A246" i="2"/>
  <c r="D246" i="2" s="1"/>
  <c r="A245" i="2" a="1"/>
  <c r="A245" i="2" s="1"/>
  <c r="A244" i="2" a="1"/>
  <c r="A244" i="2" s="1"/>
  <c r="A243" i="2" a="1"/>
  <c r="A243" i="2"/>
  <c r="C243" i="2" s="1"/>
  <c r="A242" i="2" a="1"/>
  <c r="A242" i="2" s="1"/>
  <c r="A241" i="2" a="1"/>
  <c r="A241" i="2" s="1"/>
  <c r="A239" i="2" a="1"/>
  <c r="A239" i="2" s="1"/>
  <c r="A238" i="2" a="1"/>
  <c r="A238" i="2" s="1"/>
  <c r="A237" i="2" a="1"/>
  <c r="A237" i="2" s="1"/>
  <c r="C237" i="2" s="1"/>
  <c r="A236" i="2" a="1"/>
  <c r="A236" i="2" s="1"/>
  <c r="A235" i="2" a="1"/>
  <c r="A235" i="2"/>
  <c r="D235" i="2" s="1"/>
  <c r="A234" i="2" a="1"/>
  <c r="A234" i="2" s="1"/>
  <c r="B234" i="2" s="1"/>
  <c r="A229" i="2" a="1"/>
  <c r="A229" i="2" s="1"/>
  <c r="A228" i="2" a="1"/>
  <c r="A228" i="2" s="1"/>
  <c r="A227" i="2" a="1"/>
  <c r="A227" i="2" s="1"/>
  <c r="D226" i="2"/>
  <c r="C226" i="2"/>
  <c r="A226" i="2" a="1"/>
  <c r="A226" i="2"/>
  <c r="B226" i="2" s="1"/>
  <c r="A225" i="2" a="1"/>
  <c r="A225" i="2" s="1"/>
  <c r="C225" i="2" s="1"/>
  <c r="A224" i="2" a="1"/>
  <c r="A224" i="2" s="1"/>
  <c r="A223" i="2" a="1"/>
  <c r="A223" i="2" s="1"/>
  <c r="A222" i="2" a="1"/>
  <c r="A222" i="2"/>
  <c r="D222" i="2" s="1"/>
  <c r="A221" i="2" a="1"/>
  <c r="A221" i="2" s="1"/>
  <c r="A220" i="2" a="1"/>
  <c r="A220" i="2"/>
  <c r="B220" i="2" s="1"/>
  <c r="C219" i="2"/>
  <c r="A219" i="2" a="1"/>
  <c r="A219" i="2" s="1"/>
  <c r="D219" i="2" s="1"/>
  <c r="A218" i="2" a="1"/>
  <c r="A218" i="2"/>
  <c r="D218" i="2" s="1"/>
  <c r="A217" i="2" a="1"/>
  <c r="A217" i="2" s="1"/>
  <c r="D217" i="2" s="1"/>
  <c r="A216" i="2" a="1"/>
  <c r="A216" i="2"/>
  <c r="B216" i="2" s="1"/>
  <c r="D215" i="2"/>
  <c r="A215" i="2" a="1"/>
  <c r="A215" i="2" s="1"/>
  <c r="B215" i="2" s="1"/>
  <c r="A214" i="2" a="1"/>
  <c r="A214" i="2" s="1"/>
  <c r="A213" i="2" a="1"/>
  <c r="A213" i="2" s="1"/>
  <c r="A212" i="2" a="1"/>
  <c r="A212" i="2" s="1"/>
  <c r="D212" i="2" s="1"/>
  <c r="A211" i="2" a="1"/>
  <c r="A211" i="2" s="1"/>
  <c r="A210" i="2" a="1"/>
  <c r="A210" i="2" s="1"/>
  <c r="A209" i="2" a="1"/>
  <c r="A209" i="2" s="1"/>
  <c r="D208" i="2"/>
  <c r="C208" i="2"/>
  <c r="B208" i="2"/>
  <c r="A208" i="2" a="1"/>
  <c r="A208" i="2"/>
  <c r="A207" i="2" a="1"/>
  <c r="A207" i="2" s="1"/>
  <c r="C207" i="2" s="1"/>
  <c r="A206" i="2" a="1"/>
  <c r="A206" i="2" s="1"/>
  <c r="A205" i="2" a="1"/>
  <c r="A205" i="2" s="1"/>
  <c r="A204" i="2" a="1"/>
  <c r="A204" i="2"/>
  <c r="D204" i="2" s="1"/>
  <c r="A203" i="2" a="1"/>
  <c r="A203" i="2" s="1"/>
  <c r="A202" i="2" a="1"/>
  <c r="A202" i="2"/>
  <c r="C202" i="2" s="1"/>
  <c r="A200" i="2" a="1"/>
  <c r="A200" i="2" s="1"/>
  <c r="A199" i="2" a="1"/>
  <c r="A199" i="2"/>
  <c r="D199" i="2" s="1"/>
  <c r="A192" i="2" a="1"/>
  <c r="A192" i="2" s="1"/>
  <c r="A187" i="2" a="1"/>
  <c r="A187" i="2" s="1"/>
  <c r="A186" i="2" a="1"/>
  <c r="A186" i="2"/>
  <c r="A185" i="2" a="1"/>
  <c r="A185" i="2" s="1"/>
  <c r="A184" i="2" a="1"/>
  <c r="A184" i="2" s="1"/>
  <c r="D184" i="2" s="1"/>
  <c r="A183" i="2" a="1"/>
  <c r="A183" i="2" s="1"/>
  <c r="C183" i="2" s="1"/>
  <c r="A182" i="2" a="1"/>
  <c r="A182" i="2" s="1"/>
  <c r="A181" i="2" a="1"/>
  <c r="A181" i="2"/>
  <c r="D181" i="2" s="1"/>
  <c r="A180" i="2" a="1"/>
  <c r="A180" i="2" s="1"/>
  <c r="A179" i="2" a="1"/>
  <c r="A179" i="2" s="1"/>
  <c r="B179" i="2" s="1"/>
  <c r="A178" i="2" a="1"/>
  <c r="A178" i="2" s="1"/>
  <c r="A177" i="2" a="1"/>
  <c r="A177" i="2" s="1"/>
  <c r="D177" i="2" s="1"/>
  <c r="A176" i="2" a="1"/>
  <c r="A176" i="2"/>
  <c r="D176" i="2" s="1"/>
  <c r="A175" i="2" a="1"/>
  <c r="A175" i="2" s="1"/>
  <c r="A174" i="2" a="1"/>
  <c r="A174" i="2" s="1"/>
  <c r="D174" i="2" s="1"/>
  <c r="A173" i="2" a="1"/>
  <c r="A173" i="2" s="1"/>
  <c r="D172" i="2"/>
  <c r="C172" i="2"/>
  <c r="A172" i="2" a="1"/>
  <c r="A172" i="2"/>
  <c r="B172" i="2" s="1"/>
  <c r="A171" i="2" a="1"/>
  <c r="A171" i="2" s="1"/>
  <c r="A170" i="2" a="1"/>
  <c r="A170" i="2"/>
  <c r="D170" i="2" s="1"/>
  <c r="A169" i="2" a="1"/>
  <c r="A169" i="2" s="1"/>
  <c r="A168" i="2" a="1"/>
  <c r="A168" i="2" s="1"/>
  <c r="A167" i="2" a="1"/>
  <c r="A167" i="2" s="1"/>
  <c r="A166" i="2" a="1"/>
  <c r="A166" i="2" s="1"/>
  <c r="A165" i="2" a="1"/>
  <c r="A165" i="2" s="1"/>
  <c r="B165" i="2" s="1"/>
  <c r="A164" i="2" a="1"/>
  <c r="A164" i="2"/>
  <c r="D164" i="2" s="1"/>
  <c r="A163" i="2" a="1"/>
  <c r="A163" i="2" s="1"/>
  <c r="A162" i="2" a="1"/>
  <c r="A162" i="2" s="1"/>
  <c r="A161" i="2" a="1"/>
  <c r="A161" i="2" s="1"/>
  <c r="B161" i="2" s="1"/>
  <c r="A160" i="2" a="1"/>
  <c r="A160" i="2" s="1"/>
  <c r="A159" i="2" a="1"/>
  <c r="A159" i="2" s="1"/>
  <c r="D159" i="2" s="1"/>
  <c r="A158" i="2" a="1"/>
  <c r="A158" i="2" s="1"/>
  <c r="A157" i="2" a="1"/>
  <c r="A157" i="2" s="1"/>
  <c r="A156" i="2" a="1"/>
  <c r="A156" i="2" s="1"/>
  <c r="D156" i="2" s="1"/>
  <c r="A155" i="2" a="1"/>
  <c r="A155" i="2" s="1"/>
  <c r="A154" i="2" a="1"/>
  <c r="A154" i="2"/>
  <c r="D154" i="2" s="1"/>
  <c r="A153" i="2" a="1"/>
  <c r="A153" i="2"/>
  <c r="A152" i="2" a="1"/>
  <c r="A152" i="2"/>
  <c r="D152" i="2" s="1"/>
  <c r="A151" i="2" a="1"/>
  <c r="A151" i="2" s="1"/>
  <c r="A150" i="2" a="1"/>
  <c r="A150" i="2" s="1"/>
  <c r="D150" i="2" s="1"/>
  <c r="A149" i="2" a="1"/>
  <c r="A149" i="2" s="1"/>
  <c r="A148" i="2" a="1"/>
  <c r="A148" i="2" s="1"/>
  <c r="A147" i="2" a="1"/>
  <c r="A147" i="2" s="1"/>
  <c r="D147" i="2" s="1"/>
  <c r="B146" i="2"/>
  <c r="A146" i="2" a="1"/>
  <c r="A146" i="2"/>
  <c r="D146" i="2" s="1"/>
  <c r="A145" i="2" a="1"/>
  <c r="A145" i="2" s="1"/>
  <c r="A144" i="2" a="1"/>
  <c r="A144" i="2" s="1"/>
  <c r="A143" i="2" a="1"/>
  <c r="A143" i="2" s="1"/>
  <c r="B143" i="2" s="1"/>
  <c r="A142" i="2" a="1"/>
  <c r="A142" i="2" s="1"/>
  <c r="A141" i="2" a="1"/>
  <c r="A141" i="2" s="1"/>
  <c r="D141" i="2" s="1"/>
  <c r="A140" i="2" a="1"/>
  <c r="A140" i="2" s="1"/>
  <c r="A139" i="2" a="1"/>
  <c r="A139" i="2" s="1"/>
  <c r="A138" i="2" a="1"/>
  <c r="A138" i="2" s="1"/>
  <c r="D138" i="2" s="1"/>
  <c r="A137" i="2" a="1"/>
  <c r="A137" i="2" s="1"/>
  <c r="D136" i="2"/>
  <c r="C136" i="2"/>
  <c r="B136" i="2"/>
  <c r="A136" i="2" a="1"/>
  <c r="A136" i="2"/>
  <c r="A135" i="2" a="1"/>
  <c r="A135" i="2"/>
  <c r="A134" i="2" a="1"/>
  <c r="A134" i="2" s="1"/>
  <c r="D134" i="2" s="1"/>
  <c r="A133" i="2" a="1"/>
  <c r="A133" i="2" s="1"/>
  <c r="A132" i="2" a="1"/>
  <c r="A132" i="2"/>
  <c r="A131" i="2" a="1"/>
  <c r="A131" i="2" s="1"/>
  <c r="A130" i="2" a="1"/>
  <c r="A130" i="2" s="1"/>
  <c r="A129" i="2" a="1"/>
  <c r="A129" i="2" s="1"/>
  <c r="B129" i="2" s="1"/>
  <c r="A128" i="2" a="1"/>
  <c r="A128" i="2" s="1"/>
  <c r="A127" i="2" a="1"/>
  <c r="A127" i="2"/>
  <c r="D127" i="2" s="1"/>
  <c r="A126" i="2" a="1"/>
  <c r="A126" i="2"/>
  <c r="D126" i="2" s="1"/>
  <c r="A125" i="2" a="1"/>
  <c r="A125" i="2" s="1"/>
  <c r="B125" i="2" s="1"/>
  <c r="A124" i="2" a="1"/>
  <c r="A124" i="2" s="1"/>
  <c r="A123" i="2" a="1"/>
  <c r="A123" i="2" s="1"/>
  <c r="D123" i="2" s="1"/>
  <c r="A122" i="2" a="1"/>
  <c r="A122" i="2" s="1"/>
  <c r="A121" i="2" a="1"/>
  <c r="A121" i="2" s="1"/>
  <c r="A120" i="2" a="1"/>
  <c r="A120" i="2" s="1"/>
  <c r="B120" i="2" s="1"/>
  <c r="A119" i="2" a="1"/>
  <c r="A119" i="2" s="1"/>
  <c r="A118" i="2" a="1"/>
  <c r="A118" i="2" s="1"/>
  <c r="A117" i="2" a="1"/>
  <c r="A117" i="2"/>
  <c r="A116" i="2" a="1"/>
  <c r="A116" i="2" s="1"/>
  <c r="B116" i="2" s="1"/>
  <c r="A115" i="2" a="1"/>
  <c r="A115" i="2"/>
  <c r="C115" i="2" s="1"/>
  <c r="A114" i="2" a="1"/>
  <c r="A114" i="2"/>
  <c r="A113" i="2" a="1"/>
  <c r="A113" i="2" s="1"/>
  <c r="A112" i="2" a="1"/>
  <c r="A112" i="2" s="1"/>
  <c r="D112" i="2" s="1"/>
  <c r="A111" i="2" a="1"/>
  <c r="A111" i="2" s="1"/>
  <c r="B111" i="2" s="1"/>
  <c r="A110" i="2" a="1"/>
  <c r="A110" i="2" s="1"/>
  <c r="A109" i="2" a="1"/>
  <c r="A109" i="2" s="1"/>
  <c r="A108" i="2" a="1"/>
  <c r="A108" i="2"/>
  <c r="C108" i="2" s="1"/>
  <c r="A107" i="2" a="1"/>
  <c r="A107" i="2" s="1"/>
  <c r="B107" i="2" s="1"/>
  <c r="A106" i="2" a="1"/>
  <c r="A106" i="2" s="1"/>
  <c r="A105" i="2" a="1"/>
  <c r="A105" i="2" s="1"/>
  <c r="A104" i="2" a="1"/>
  <c r="A104" i="2" s="1"/>
  <c r="A103" i="2" a="1"/>
  <c r="A103" i="2" s="1"/>
  <c r="A102" i="2" a="1"/>
  <c r="A102" i="2" s="1"/>
  <c r="A101" i="2" a="1"/>
  <c r="A101" i="2" s="1"/>
  <c r="A100" i="2" a="1"/>
  <c r="A100" i="2"/>
  <c r="D100" i="2" s="1"/>
  <c r="A99" i="2" a="1"/>
  <c r="A99" i="2"/>
  <c r="C99" i="2" s="1"/>
  <c r="A98" i="2" a="1"/>
  <c r="A98" i="2" s="1"/>
  <c r="A97" i="2" a="1"/>
  <c r="A97" i="2" s="1"/>
  <c r="A96" i="2" a="1"/>
  <c r="A96" i="2"/>
  <c r="D96" i="2" s="1"/>
  <c r="A95" i="2" a="1"/>
  <c r="A95" i="2" s="1"/>
  <c r="A94" i="2" a="1"/>
  <c r="A94" i="2" s="1"/>
  <c r="B93" i="2"/>
  <c r="A93" i="2" a="1"/>
  <c r="A93" i="2" s="1"/>
  <c r="C93" i="2" s="1"/>
  <c r="A92" i="2" a="1"/>
  <c r="A92" i="2"/>
  <c r="B92" i="2" s="1"/>
  <c r="A91" i="2" a="1"/>
  <c r="A91" i="2" s="1"/>
  <c r="D91" i="2" s="1"/>
  <c r="A90" i="2" a="1"/>
  <c r="A90" i="2"/>
  <c r="C90" i="2" s="1"/>
  <c r="C89" i="2"/>
  <c r="A89" i="2" a="1"/>
  <c r="A89" i="2" s="1"/>
  <c r="B89" i="2" s="1"/>
  <c r="A88" i="2" a="1"/>
  <c r="A88" i="2" s="1"/>
  <c r="A87" i="2" a="1"/>
  <c r="A87" i="2"/>
  <c r="D87" i="2" s="1"/>
  <c r="A86" i="2" a="1"/>
  <c r="A86" i="2" s="1"/>
  <c r="D86" i="2" s="1"/>
  <c r="A85" i="2" a="1"/>
  <c r="A85" i="2" s="1"/>
  <c r="A84" i="2" a="1"/>
  <c r="A84" i="2" s="1"/>
  <c r="A83" i="2" a="1"/>
  <c r="A83" i="2" s="1"/>
  <c r="A82" i="2" a="1"/>
  <c r="A82" i="2"/>
  <c r="D82" i="2" s="1"/>
  <c r="A81" i="2" a="1"/>
  <c r="A81" i="2" s="1"/>
  <c r="A80" i="2" a="1"/>
  <c r="A80" i="2" s="1"/>
  <c r="A79" i="2" a="1"/>
  <c r="A79" i="2" s="1"/>
  <c r="A76" i="2" a="1"/>
  <c r="A76" i="2" s="1"/>
  <c r="A75" i="2" a="1"/>
  <c r="A75" i="2" s="1"/>
  <c r="D75" i="2" s="1"/>
  <c r="A74" i="2" a="1"/>
  <c r="A74" i="2"/>
  <c r="B74" i="2" s="1"/>
  <c r="A73" i="2" a="1"/>
  <c r="A73" i="2" s="1"/>
  <c r="D73" i="2" s="1"/>
  <c r="A72" i="2" a="1"/>
  <c r="A72" i="2" s="1"/>
  <c r="A71" i="2" a="1"/>
  <c r="A71" i="2" s="1"/>
  <c r="B71" i="2" s="1"/>
  <c r="A68" i="2" a="1"/>
  <c r="A68" i="2" s="1"/>
  <c r="A67" i="2" a="1"/>
  <c r="A67" i="2" s="1"/>
  <c r="A66" i="2" a="1"/>
  <c r="A66" i="2" s="1"/>
  <c r="A65" i="2" a="1"/>
  <c r="A65" i="2"/>
  <c r="D65" i="2" s="1"/>
  <c r="A64" i="2" a="1"/>
  <c r="A64" i="2"/>
  <c r="D64" i="2" s="1"/>
  <c r="A63" i="2" a="1"/>
  <c r="A63" i="2"/>
  <c r="C63" i="2" s="1"/>
  <c r="A60" i="2" a="1"/>
  <c r="A60" i="2"/>
  <c r="D60" i="2" s="1"/>
  <c r="A59" i="2" a="1"/>
  <c r="A59" i="2" s="1"/>
  <c r="A58" i="2" a="1"/>
  <c r="A58" i="2"/>
  <c r="D58" i="2" s="1"/>
  <c r="C57" i="2"/>
  <c r="B57" i="2"/>
  <c r="A57" i="2" a="1"/>
  <c r="A57" i="2" s="1"/>
  <c r="D57" i="2" s="1"/>
  <c r="A56" i="2" a="1"/>
  <c r="A56" i="2"/>
  <c r="A55" i="2" a="1"/>
  <c r="A55" i="2" s="1"/>
  <c r="B55" i="2" s="1"/>
  <c r="A52" i="2" a="1"/>
  <c r="A52" i="2" s="1"/>
  <c r="A51" i="2" a="1"/>
  <c r="A51" i="2"/>
  <c r="D51" i="2" s="1"/>
  <c r="A50" i="2" a="1"/>
  <c r="A50" i="2" s="1"/>
  <c r="A49" i="2" a="1"/>
  <c r="A49" i="2" s="1"/>
  <c r="A48" i="2" a="1"/>
  <c r="A48" i="2" s="1"/>
  <c r="A47" i="2" a="1"/>
  <c r="A47" i="2" s="1"/>
  <c r="A44" i="2" a="1"/>
  <c r="A44" i="2" s="1"/>
  <c r="A43" i="2" a="1"/>
  <c r="A43" i="2" s="1"/>
  <c r="D43" i="2" s="1"/>
  <c r="A42" i="2" a="1"/>
  <c r="A42" i="2"/>
  <c r="C42" i="2" s="1"/>
  <c r="C41" i="2"/>
  <c r="A41" i="2" a="1"/>
  <c r="A41" i="2"/>
  <c r="D41" i="2" s="1"/>
  <c r="A40" i="2" a="1"/>
  <c r="A40" i="2" s="1"/>
  <c r="A39" i="2" a="1"/>
  <c r="A39" i="2" s="1"/>
  <c r="C39" i="2" s="1"/>
  <c r="A36" i="2" a="1"/>
  <c r="A36" i="2" s="1"/>
  <c r="A35" i="2" a="1"/>
  <c r="A35" i="2" s="1"/>
  <c r="B35" i="2" s="1"/>
  <c r="A34" i="2" a="1"/>
  <c r="A34" i="2"/>
  <c r="C34" i="2" s="1"/>
  <c r="A33" i="2" a="1"/>
  <c r="A33" i="2" s="1"/>
  <c r="D33" i="2" s="1"/>
  <c r="A32" i="2" a="1"/>
  <c r="A32" i="2" s="1"/>
  <c r="A31" i="2" a="1"/>
  <c r="A31" i="2" s="1"/>
  <c r="C31" i="2" s="1"/>
  <c r="D28" i="2"/>
  <c r="C28" i="2"/>
  <c r="A28" i="2" a="1"/>
  <c r="A28" i="2"/>
  <c r="B28" i="2" s="1"/>
  <c r="A27" i="2" a="1"/>
  <c r="A27" i="2"/>
  <c r="C27" i="2" s="1"/>
  <c r="A26" i="2" a="1"/>
  <c r="A26" i="2"/>
  <c r="D26" i="2" s="1"/>
  <c r="A25" i="2" a="1"/>
  <c r="A25" i="2"/>
  <c r="D25" i="2" s="1"/>
  <c r="A24" i="2" a="1"/>
  <c r="A24" i="2"/>
  <c r="C24" i="2" s="1"/>
  <c r="A23" i="2" a="1"/>
  <c r="A23" i="2" s="1"/>
  <c r="D23" i="2" s="1"/>
  <c r="A20" i="2" a="1"/>
  <c r="A20" i="2" s="1"/>
  <c r="A19" i="2" a="1"/>
  <c r="A19" i="2"/>
  <c r="D19" i="2" s="1"/>
  <c r="A18" i="2" a="1"/>
  <c r="A18" i="2" s="1"/>
  <c r="C17" i="2"/>
  <c r="A17" i="2" a="1"/>
  <c r="A17" i="2" s="1"/>
  <c r="B17" i="2" s="1"/>
  <c r="A16" i="2" a="1"/>
  <c r="A16" i="2"/>
  <c r="C16" i="2" s="1"/>
  <c r="A15" i="2" a="1"/>
  <c r="A15" i="2" s="1"/>
  <c r="A12" i="2" a="1"/>
  <c r="A12" i="2" s="1"/>
  <c r="B12" i="2" s="1"/>
  <c r="A11" i="2" a="1"/>
  <c r="A11" i="2" s="1"/>
  <c r="A10" i="2" a="1"/>
  <c r="A10" i="2" s="1"/>
  <c r="A9" i="2" a="1"/>
  <c r="A9" i="2"/>
  <c r="C9" i="2" s="1"/>
  <c r="A8" i="2" a="1"/>
  <c r="A8" i="2" s="1"/>
  <c r="B8" i="2" s="1"/>
  <c r="A7" i="2" a="1"/>
  <c r="A7" i="2"/>
  <c r="C7" i="2" s="1"/>
  <c r="A4" i="2" a="1"/>
  <c r="A4" i="2" s="1"/>
  <c r="C4" i="2" s="1"/>
  <c r="A3" i="2" a="1"/>
  <c r="A3" i="2" s="1"/>
  <c r="B3" i="2" s="1"/>
  <c r="A2" i="2" a="1"/>
  <c r="A2" i="2"/>
  <c r="C2" i="2" s="1"/>
  <c r="A1" i="2" a="1"/>
  <c r="A1" i="2" s="1"/>
  <c r="I15" i="1"/>
  <c r="A14" i="1"/>
  <c r="A13" i="1"/>
  <c r="AL10" i="1"/>
  <c r="A8" i="1"/>
  <c r="A69" i="2" s="1" a="1"/>
  <c r="A69" i="2" s="1"/>
  <c r="A7" i="1"/>
  <c r="A231" i="2" s="1" a="1"/>
  <c r="A231" i="2" s="1"/>
  <c r="E3" i="1"/>
  <c r="A201" i="2" s="1" a="1"/>
  <c r="A201" i="2" s="1"/>
  <c r="C109" i="2" l="1"/>
  <c r="D109" i="2"/>
  <c r="B109" i="2"/>
  <c r="D244" i="2"/>
  <c r="C244" i="2"/>
  <c r="B244" i="2"/>
  <c r="D228" i="2"/>
  <c r="C228" i="2"/>
  <c r="B228" i="2"/>
  <c r="D98" i="2"/>
  <c r="C98" i="2"/>
  <c r="B98" i="2"/>
  <c r="D102" i="2"/>
  <c r="C102" i="2"/>
  <c r="B102" i="2"/>
  <c r="B10" i="2"/>
  <c r="D10" i="2"/>
  <c r="C10" i="2"/>
  <c r="D145" i="2"/>
  <c r="B145" i="2"/>
  <c r="C32" i="2"/>
  <c r="D32" i="2"/>
  <c r="B32" i="2"/>
  <c r="C20" i="2"/>
  <c r="D20" i="2"/>
  <c r="B20" i="2"/>
  <c r="D206" i="2"/>
  <c r="C206" i="2"/>
  <c r="B206" i="2"/>
  <c r="B72" i="2"/>
  <c r="C72" i="2"/>
  <c r="D72" i="2"/>
  <c r="C119" i="2"/>
  <c r="D119" i="2"/>
  <c r="B119" i="2"/>
  <c r="D210" i="2"/>
  <c r="B210" i="2"/>
  <c r="C210" i="2"/>
  <c r="D128" i="2"/>
  <c r="B128" i="2"/>
  <c r="C106" i="2"/>
  <c r="B106" i="2"/>
  <c r="C242" i="2"/>
  <c r="D242" i="2"/>
  <c r="B242" i="2"/>
  <c r="D182" i="2"/>
  <c r="B182" i="2"/>
  <c r="C11" i="2"/>
  <c r="D11" i="2"/>
  <c r="B11" i="2"/>
  <c r="D118" i="2"/>
  <c r="C118" i="2"/>
  <c r="B118" i="2"/>
  <c r="D224" i="2"/>
  <c r="C224" i="2"/>
  <c r="B224" i="2"/>
  <c r="D236" i="2"/>
  <c r="B236" i="2"/>
  <c r="D163" i="2"/>
  <c r="B163" i="2"/>
  <c r="D200" i="2"/>
  <c r="B200" i="2"/>
  <c r="D7" i="2"/>
  <c r="D35" i="2"/>
  <c r="C82" i="2"/>
  <c r="D115" i="2"/>
  <c r="B82" i="2"/>
  <c r="B100" i="2"/>
  <c r="B154" i="2"/>
  <c r="B164" i="2"/>
  <c r="C100" i="2"/>
  <c r="C154" i="2"/>
  <c r="C3" i="2"/>
  <c r="B7" i="2"/>
  <c r="B115" i="2"/>
  <c r="A37" i="2" a="1"/>
  <c r="A37" i="2" s="1"/>
  <c r="C37" i="2" s="1"/>
  <c r="D93" i="2"/>
  <c r="B64" i="2"/>
  <c r="D39" i="2"/>
  <c r="C64" i="2"/>
  <c r="C176" i="2"/>
  <c r="C26" i="2"/>
  <c r="B75" i="2"/>
  <c r="C75" i="2"/>
  <c r="C111" i="2"/>
  <c r="B127" i="2"/>
  <c r="B41" i="2"/>
  <c r="D111" i="2"/>
  <c r="B24" i="2"/>
  <c r="C71" i="2"/>
  <c r="B181" i="2"/>
  <c r="B218" i="2"/>
  <c r="B237" i="2"/>
  <c r="D3" i="2"/>
  <c r="D24" i="2"/>
  <c r="D237" i="2"/>
  <c r="B246" i="2"/>
  <c r="D122" i="2"/>
  <c r="C122" i="2"/>
  <c r="B122" i="2"/>
  <c r="D18" i="2"/>
  <c r="C18" i="2"/>
  <c r="B18" i="2"/>
  <c r="D101" i="2"/>
  <c r="C101" i="2"/>
  <c r="B101" i="2"/>
  <c r="D223" i="2"/>
  <c r="C223" i="2"/>
  <c r="B223" i="2"/>
  <c r="D239" i="2"/>
  <c r="C239" i="2"/>
  <c r="B239" i="2"/>
  <c r="D213" i="2"/>
  <c r="C213" i="2"/>
  <c r="B213" i="2"/>
  <c r="C52" i="2"/>
  <c r="D52" i="2"/>
  <c r="B52" i="2"/>
  <c r="B187" i="2"/>
  <c r="C187" i="2"/>
  <c r="D187" i="2"/>
  <c r="B252" i="2"/>
  <c r="D252" i="2"/>
  <c r="C252" i="2"/>
  <c r="D144" i="2"/>
  <c r="C144" i="2"/>
  <c r="B144" i="2"/>
  <c r="D192" i="2"/>
  <c r="C192" i="2"/>
  <c r="B192" i="2"/>
  <c r="C48" i="2"/>
  <c r="D48" i="2"/>
  <c r="B48" i="2"/>
  <c r="B173" i="2"/>
  <c r="D173" i="2"/>
  <c r="C173" i="2"/>
  <c r="D83" i="2"/>
  <c r="C83" i="2"/>
  <c r="B83" i="2"/>
  <c r="B133" i="2"/>
  <c r="C133" i="2"/>
  <c r="D133" i="2"/>
  <c r="D221" i="2"/>
  <c r="C221" i="2"/>
  <c r="B221" i="2"/>
  <c r="B155" i="2"/>
  <c r="D155" i="2"/>
  <c r="C155" i="2"/>
  <c r="D40" i="2"/>
  <c r="C40" i="2"/>
  <c r="B40" i="2"/>
  <c r="B148" i="2"/>
  <c r="D148" i="2"/>
  <c r="C148" i="2"/>
  <c r="D158" i="2"/>
  <c r="C158" i="2"/>
  <c r="B158" i="2"/>
  <c r="C178" i="2"/>
  <c r="B178" i="2"/>
  <c r="D178" i="2"/>
  <c r="D66" i="2"/>
  <c r="C66" i="2"/>
  <c r="B66" i="2"/>
  <c r="C88" i="2"/>
  <c r="D88" i="2"/>
  <c r="B88" i="2"/>
  <c r="D97" i="2"/>
  <c r="C97" i="2"/>
  <c r="B97" i="2"/>
  <c r="B137" i="2"/>
  <c r="C137" i="2"/>
  <c r="D137" i="2"/>
  <c r="D149" i="2"/>
  <c r="C149" i="2"/>
  <c r="B149" i="2"/>
  <c r="D44" i="2"/>
  <c r="C44" i="2"/>
  <c r="B44" i="2"/>
  <c r="C142" i="2"/>
  <c r="B142" i="2"/>
  <c r="D142" i="2"/>
  <c r="D205" i="2"/>
  <c r="C205" i="2"/>
  <c r="B205" i="2"/>
  <c r="B50" i="2"/>
  <c r="D50" i="2"/>
  <c r="C50" i="2"/>
  <c r="D201" i="2"/>
  <c r="C201" i="2"/>
  <c r="B201" i="2"/>
  <c r="B94" i="2"/>
  <c r="D94" i="2"/>
  <c r="C94" i="2"/>
  <c r="D167" i="2"/>
  <c r="C167" i="2"/>
  <c r="B167" i="2"/>
  <c r="D95" i="2"/>
  <c r="B95" i="2"/>
  <c r="C95" i="2"/>
  <c r="D1" i="2"/>
  <c r="C1" i="2"/>
  <c r="B1" i="2"/>
  <c r="C160" i="2"/>
  <c r="B160" i="2"/>
  <c r="D160" i="2"/>
  <c r="C245" i="2"/>
  <c r="D245" i="2"/>
  <c r="B245" i="2"/>
  <c r="D256" i="2"/>
  <c r="C256" i="2"/>
  <c r="B256" i="2"/>
  <c r="D15" i="2"/>
  <c r="C15" i="2"/>
  <c r="B15" i="2"/>
  <c r="C238" i="2"/>
  <c r="D238" i="2"/>
  <c r="B238" i="2"/>
  <c r="D227" i="2"/>
  <c r="C227" i="2"/>
  <c r="B227" i="2"/>
  <c r="D231" i="2"/>
  <c r="C231" i="2"/>
  <c r="B231" i="2"/>
  <c r="D36" i="2"/>
  <c r="C36" i="2"/>
  <c r="B36" i="2"/>
  <c r="C124" i="2"/>
  <c r="B124" i="2"/>
  <c r="D124" i="2"/>
  <c r="B169" i="2"/>
  <c r="D169" i="2"/>
  <c r="C169" i="2"/>
  <c r="C68" i="2"/>
  <c r="B68" i="2"/>
  <c r="D68" i="2"/>
  <c r="B104" i="2"/>
  <c r="D104" i="2"/>
  <c r="C104" i="2"/>
  <c r="D80" i="2"/>
  <c r="C80" i="2"/>
  <c r="B80" i="2"/>
  <c r="C105" i="2"/>
  <c r="D105" i="2"/>
  <c r="B105" i="2"/>
  <c r="D113" i="2"/>
  <c r="C113" i="2"/>
  <c r="B113" i="2"/>
  <c r="B151" i="2"/>
  <c r="C151" i="2"/>
  <c r="D151" i="2"/>
  <c r="D47" i="2"/>
  <c r="C47" i="2"/>
  <c r="B47" i="2"/>
  <c r="C241" i="2"/>
  <c r="D241" i="2"/>
  <c r="B241" i="2"/>
  <c r="B69" i="2"/>
  <c r="D69" i="2"/>
  <c r="C69" i="2"/>
  <c r="D185" i="2"/>
  <c r="C185" i="2"/>
  <c r="B185" i="2"/>
  <c r="C214" i="2"/>
  <c r="B214" i="2"/>
  <c r="D214" i="2"/>
  <c r="B130" i="2"/>
  <c r="D130" i="2"/>
  <c r="C130" i="2"/>
  <c r="D140" i="2"/>
  <c r="C140" i="2"/>
  <c r="B140" i="2"/>
  <c r="D162" i="2"/>
  <c r="C162" i="2"/>
  <c r="B162" i="2"/>
  <c r="D209" i="2"/>
  <c r="C209" i="2"/>
  <c r="B209" i="2"/>
  <c r="D84" i="2"/>
  <c r="C84" i="2"/>
  <c r="B84" i="2"/>
  <c r="D166" i="2"/>
  <c r="C166" i="2"/>
  <c r="B166" i="2"/>
  <c r="B76" i="2"/>
  <c r="C76" i="2"/>
  <c r="D76" i="2"/>
  <c r="D180" i="2"/>
  <c r="C180" i="2"/>
  <c r="B180" i="2"/>
  <c r="D79" i="2"/>
  <c r="C79" i="2"/>
  <c r="B79" i="2"/>
  <c r="D59" i="2"/>
  <c r="B59" i="2"/>
  <c r="C59" i="2"/>
  <c r="D131" i="2"/>
  <c r="C131" i="2"/>
  <c r="B131" i="2"/>
  <c r="D203" i="2"/>
  <c r="C203" i="2"/>
  <c r="B203" i="2"/>
  <c r="C147" i="2"/>
  <c r="B202" i="2"/>
  <c r="B4" i="2"/>
  <c r="C8" i="2"/>
  <c r="C12" i="2"/>
  <c r="B25" i="2"/>
  <c r="C33" i="2"/>
  <c r="D37" i="2"/>
  <c r="B42" i="2"/>
  <c r="B51" i="2"/>
  <c r="D55" i="2"/>
  <c r="C86" i="2"/>
  <c r="D90" i="2"/>
  <c r="B112" i="2"/>
  <c r="C116" i="2"/>
  <c r="C120" i="2"/>
  <c r="D125" i="2"/>
  <c r="B134" i="2"/>
  <c r="B138" i="2"/>
  <c r="D143" i="2"/>
  <c r="B152" i="2"/>
  <c r="B156" i="2"/>
  <c r="D161" i="2"/>
  <c r="B170" i="2"/>
  <c r="B174" i="2"/>
  <c r="D179" i="2"/>
  <c r="D202" i="2"/>
  <c r="C216" i="2"/>
  <c r="D220" i="2"/>
  <c r="A230" i="2" a="1"/>
  <c r="A230" i="2" s="1"/>
  <c r="D234" i="2"/>
  <c r="C248" i="2"/>
  <c r="C165" i="2"/>
  <c r="D103" i="2"/>
  <c r="C103" i="2"/>
  <c r="B103" i="2"/>
  <c r="D183" i="2"/>
  <c r="D56" i="2"/>
  <c r="C56" i="2"/>
  <c r="B73" i="2"/>
  <c r="B108" i="2"/>
  <c r="C112" i="2"/>
  <c r="D116" i="2"/>
  <c r="D120" i="2"/>
  <c r="C134" i="2"/>
  <c r="C138" i="2"/>
  <c r="C152" i="2"/>
  <c r="C156" i="2"/>
  <c r="C170" i="2"/>
  <c r="C174" i="2"/>
  <c r="A194" i="2" a="1"/>
  <c r="A194" i="2" s="1"/>
  <c r="B212" i="2"/>
  <c r="D216" i="2"/>
  <c r="D248" i="2"/>
  <c r="A46" i="2" a="1"/>
  <c r="A46" i="2" s="1"/>
  <c r="A53" i="2" a="1"/>
  <c r="A53" i="2" s="1"/>
  <c r="A78" i="2" a="1"/>
  <c r="A78" i="2" s="1"/>
  <c r="A6" i="2" a="1"/>
  <c r="A6" i="2" s="1"/>
  <c r="A38" i="2" a="1"/>
  <c r="A38" i="2" s="1"/>
  <c r="A198" i="2" a="1"/>
  <c r="A198" i="2" s="1"/>
  <c r="C55" i="2"/>
  <c r="C220" i="2"/>
  <c r="D12" i="2"/>
  <c r="C25" i="2"/>
  <c r="C51" i="2"/>
  <c r="D157" i="2"/>
  <c r="C157" i="2"/>
  <c r="B157" i="2"/>
  <c r="B184" i="2"/>
  <c r="C212" i="2"/>
  <c r="C107" i="2"/>
  <c r="B147" i="2"/>
  <c r="B37" i="2"/>
  <c r="A29" i="2" a="1"/>
  <c r="A29" i="2" s="1"/>
  <c r="D165" i="2"/>
  <c r="D4" i="2"/>
  <c r="C73" i="2"/>
  <c r="D117" i="2"/>
  <c r="B117" i="2"/>
  <c r="D139" i="2"/>
  <c r="C139" i="2"/>
  <c r="B139" i="2"/>
  <c r="B56" i="2"/>
  <c r="A61" i="2" a="1"/>
  <c r="A61" i="2" s="1"/>
  <c r="B91" i="2"/>
  <c r="D108" i="2"/>
  <c r="B126" i="2"/>
  <c r="D135" i="2"/>
  <c r="B135" i="2"/>
  <c r="D153" i="2"/>
  <c r="B153" i="2"/>
  <c r="D171" i="2"/>
  <c r="B171" i="2"/>
  <c r="C184" i="2"/>
  <c r="B235" i="2"/>
  <c r="D85" i="2"/>
  <c r="C85" i="2"/>
  <c r="B85" i="2"/>
  <c r="D107" i="2"/>
  <c r="D211" i="2"/>
  <c r="C211" i="2"/>
  <c r="B211" i="2"/>
  <c r="A21" i="2" a="1"/>
  <c r="A21" i="2" s="1"/>
  <c r="D99" i="2"/>
  <c r="B99" i="2"/>
  <c r="C161" i="2"/>
  <c r="A188" i="2" a="1"/>
  <c r="A188" i="2" s="1"/>
  <c r="D8" i="2"/>
  <c r="D42" i="2"/>
  <c r="D17" i="2"/>
  <c r="D121" i="2"/>
  <c r="C121" i="2"/>
  <c r="B121" i="2"/>
  <c r="D175" i="2"/>
  <c r="C175" i="2"/>
  <c r="B175" i="2"/>
  <c r="A5" i="2" a="1"/>
  <c r="A5" i="2" s="1"/>
  <c r="A22" i="2" a="1"/>
  <c r="A22" i="2" s="1"/>
  <c r="A30" i="2" a="1"/>
  <c r="A30" i="2" s="1"/>
  <c r="B34" i="2"/>
  <c r="B39" i="2"/>
  <c r="B43" i="2"/>
  <c r="B65" i="2"/>
  <c r="D74" i="2"/>
  <c r="C74" i="2"/>
  <c r="B87" i="2"/>
  <c r="C91" i="2"/>
  <c r="C96" i="2"/>
  <c r="B96" i="2"/>
  <c r="C117" i="2"/>
  <c r="C126" i="2"/>
  <c r="B199" i="2"/>
  <c r="C204" i="2"/>
  <c r="B204" i="2"/>
  <c r="B217" i="2"/>
  <c r="C222" i="2"/>
  <c r="B222" i="2"/>
  <c r="C235" i="2"/>
  <c r="B249" i="2"/>
  <c r="B255" i="2"/>
  <c r="B183" i="2"/>
  <c r="D253" i="2"/>
  <c r="B253" i="2"/>
  <c r="B33" i="2"/>
  <c r="C60" i="2"/>
  <c r="B60" i="2"/>
  <c r="C234" i="2"/>
  <c r="A14" i="2" a="1"/>
  <c r="A14" i="2" s="1"/>
  <c r="B26" i="2"/>
  <c r="D34" i="2"/>
  <c r="C43" i="2"/>
  <c r="C65" i="2"/>
  <c r="C87" i="2"/>
  <c r="C135" i="2"/>
  <c r="C153" i="2"/>
  <c r="C171" i="2"/>
  <c r="B176" i="2"/>
  <c r="C199" i="2"/>
  <c r="C217" i="2"/>
  <c r="C249" i="2"/>
  <c r="C255" i="2"/>
  <c r="A190" i="2" a="1"/>
  <c r="A190" i="2" s="1"/>
  <c r="A233" i="2" a="1"/>
  <c r="A233" i="2" s="1"/>
  <c r="A197" i="2" a="1"/>
  <c r="A197" i="2" s="1"/>
  <c r="A240" i="2" a="1"/>
  <c r="A240" i="2" s="1"/>
  <c r="A189" i="2" a="1"/>
  <c r="A189" i="2" s="1"/>
  <c r="D243" i="2"/>
  <c r="B243" i="2"/>
  <c r="C129" i="2"/>
  <c r="A77" i="2" a="1"/>
  <c r="A77" i="2" s="1"/>
  <c r="D129" i="2"/>
  <c r="C179" i="2"/>
  <c r="D9" i="2"/>
  <c r="B9" i="2"/>
  <c r="D92" i="2"/>
  <c r="C92" i="2"/>
  <c r="A195" i="2" a="1"/>
  <c r="A195" i="2" s="1"/>
  <c r="D250" i="2"/>
  <c r="C250" i="2"/>
  <c r="B250" i="2"/>
  <c r="D247" i="2"/>
  <c r="C247" i="2"/>
  <c r="B247" i="2"/>
  <c r="B90" i="2"/>
  <c r="D16" i="2"/>
  <c r="B86" i="2"/>
  <c r="C125" i="2"/>
  <c r="C143" i="2"/>
  <c r="A193" i="2" a="1"/>
  <c r="A193" i="2" s="1"/>
  <c r="D207" i="2"/>
  <c r="B207" i="2"/>
  <c r="D225" i="2"/>
  <c r="B225" i="2"/>
  <c r="A13" i="2" a="1"/>
  <c r="A13" i="2" s="1"/>
  <c r="A70" i="2" a="1"/>
  <c r="A70" i="2" s="1"/>
  <c r="C35" i="2"/>
  <c r="C114" i="2"/>
  <c r="B114" i="2"/>
  <c r="D81" i="2"/>
  <c r="B81" i="2"/>
  <c r="B16" i="2"/>
  <c r="C81" i="2"/>
  <c r="A62" i="2" a="1"/>
  <c r="A62" i="2" s="1"/>
  <c r="C132" i="2"/>
  <c r="B132" i="2"/>
  <c r="D110" i="2"/>
  <c r="C110" i="2"/>
  <c r="D114" i="2"/>
  <c r="C127" i="2"/>
  <c r="C145" i="2"/>
  <c r="C163" i="2"/>
  <c r="C181" i="2"/>
  <c r="A191" i="2" a="1"/>
  <c r="A191" i="2" s="1"/>
  <c r="C251" i="2"/>
  <c r="C168" i="2"/>
  <c r="B168" i="2"/>
  <c r="C186" i="2"/>
  <c r="B186" i="2"/>
  <c r="B19" i="2"/>
  <c r="D49" i="2"/>
  <c r="C49" i="2"/>
  <c r="B49" i="2"/>
  <c r="B58" i="2"/>
  <c r="B159" i="2"/>
  <c r="B177" i="2"/>
  <c r="D186" i="2"/>
  <c r="A232" i="2" a="1"/>
  <c r="A232" i="2" s="1"/>
  <c r="D251" i="2"/>
  <c r="D31" i="2"/>
  <c r="B31" i="2"/>
  <c r="B2" i="2"/>
  <c r="B23" i="2"/>
  <c r="A54" i="2" a="1"/>
  <c r="A54" i="2" s="1"/>
  <c r="B123" i="2"/>
  <c r="D132" i="2"/>
  <c r="B141" i="2"/>
  <c r="D168" i="2"/>
  <c r="D2" i="2"/>
  <c r="C19" i="2"/>
  <c r="C23" i="2"/>
  <c r="C58" i="2"/>
  <c r="D71" i="2"/>
  <c r="B110" i="2"/>
  <c r="C123" i="2"/>
  <c r="C141" i="2"/>
  <c r="C159" i="2"/>
  <c r="C177" i="2"/>
  <c r="A196" i="2" a="1"/>
  <c r="A196" i="2" s="1"/>
  <c r="B219" i="2"/>
  <c r="D257" i="2"/>
  <c r="C257" i="2"/>
  <c r="B257" i="2"/>
  <c r="D229" i="2"/>
  <c r="C229" i="2"/>
  <c r="B229" i="2"/>
  <c r="D27" i="2"/>
  <c r="B27" i="2"/>
  <c r="C150" i="2"/>
  <c r="B150" i="2"/>
  <c r="D63" i="2"/>
  <c r="B63" i="2"/>
  <c r="D67" i="2"/>
  <c r="C67" i="2"/>
  <c r="B67" i="2"/>
  <c r="A45" i="2" a="1"/>
  <c r="A45" i="2" s="1"/>
  <c r="D89" i="2"/>
  <c r="D106" i="2"/>
  <c r="C215" i="2"/>
  <c r="C246" i="2"/>
  <c r="B254" i="2"/>
  <c r="C128" i="2"/>
  <c r="C146" i="2"/>
  <c r="C164" i="2"/>
  <c r="C182" i="2"/>
  <c r="C200" i="2"/>
  <c r="C218" i="2"/>
  <c r="C236" i="2"/>
  <c r="C254" i="2"/>
  <c r="B258" i="2"/>
  <c r="C258" i="2"/>
  <c r="D77" i="2" l="1"/>
  <c r="C77" i="2"/>
  <c r="B77" i="2"/>
  <c r="C232" i="2"/>
  <c r="B232" i="2"/>
  <c r="D232" i="2"/>
  <c r="D193" i="2"/>
  <c r="C193" i="2"/>
  <c r="B193" i="2"/>
  <c r="D61" i="2"/>
  <c r="C61" i="2"/>
  <c r="B61" i="2"/>
  <c r="B198" i="2"/>
  <c r="D198" i="2"/>
  <c r="C198" i="2"/>
  <c r="D38" i="2"/>
  <c r="C38" i="2"/>
  <c r="B38" i="2"/>
  <c r="C6" i="2"/>
  <c r="D6" i="2"/>
  <c r="B6" i="2"/>
  <c r="D230" i="2"/>
  <c r="C230" i="2"/>
  <c r="B230" i="2"/>
  <c r="C240" i="2"/>
  <c r="B240" i="2"/>
  <c r="D240" i="2"/>
  <c r="C78" i="2"/>
  <c r="B78" i="2"/>
  <c r="D78" i="2"/>
  <c r="D22" i="2"/>
  <c r="C22" i="2"/>
  <c r="B22" i="2"/>
  <c r="D62" i="2"/>
  <c r="C62" i="2"/>
  <c r="B62" i="2"/>
  <c r="D29" i="2"/>
  <c r="C29" i="2"/>
  <c r="B29" i="2"/>
  <c r="B53" i="2"/>
  <c r="D53" i="2"/>
  <c r="C53" i="2"/>
  <c r="B46" i="2"/>
  <c r="C46" i="2"/>
  <c r="D46" i="2"/>
  <c r="B233" i="2"/>
  <c r="D233" i="2"/>
  <c r="C233" i="2"/>
  <c r="D190" i="2"/>
  <c r="C190" i="2"/>
  <c r="B190" i="2"/>
  <c r="D5" i="2"/>
  <c r="C5" i="2"/>
  <c r="B5" i="2"/>
  <c r="D30" i="2"/>
  <c r="C30" i="2"/>
  <c r="B30" i="2"/>
  <c r="B197" i="2"/>
  <c r="C197" i="2"/>
  <c r="D197" i="2"/>
  <c r="D189" i="2"/>
  <c r="B189" i="2"/>
  <c r="C189" i="2"/>
  <c r="D191" i="2"/>
  <c r="C191" i="2"/>
  <c r="B191" i="2"/>
  <c r="C70" i="2"/>
  <c r="D70" i="2"/>
  <c r="B70" i="2"/>
  <c r="D195" i="2"/>
  <c r="C195" i="2"/>
  <c r="B195" i="2"/>
  <c r="D194" i="2"/>
  <c r="C194" i="2"/>
  <c r="B194" i="2"/>
  <c r="D14" i="2"/>
  <c r="C14" i="2"/>
  <c r="B14" i="2"/>
  <c r="D188" i="2"/>
  <c r="C188" i="2"/>
  <c r="B188" i="2"/>
  <c r="C196" i="2"/>
  <c r="B196" i="2"/>
  <c r="D196" i="2"/>
  <c r="D13" i="2"/>
  <c r="B13" i="2"/>
  <c r="C13" i="2"/>
  <c r="D54" i="2"/>
  <c r="C54" i="2"/>
  <c r="B54" i="2"/>
  <c r="D45" i="2"/>
  <c r="B45" i="2"/>
  <c r="C45" i="2"/>
  <c r="D21" i="2"/>
  <c r="C21" i="2"/>
  <c r="B2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<sst xmlns="http://schemas.openxmlformats.org/spreadsheetml/2006/main" count="317" uniqueCount="294">
  <si>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</si>
  <si>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</si>
  <si>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</si>
  <si>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</si>
  <si>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</si>
  <si>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</si>
  <si>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</si>
  <si>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</si>
  <si>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</si>
  <si>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</si>
  <si>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</si>
  <si>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</si>
  <si>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</si>
  <si>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</si>
  <si>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</si>
  <si>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</si>
  <si>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</si>
  <si>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</si>
  <si>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</si>
  <si>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</si>
  <si>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</si>
  <si>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</si>
  <si>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</si>
  <si>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</si>
  <si>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</si>
  <si>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</si>
  <si>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</si>
  <si>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</si>
  <si>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</si>
  <si>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</si>
  <si>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</si>
  <si>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</si>
  <si>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</si>
  <si>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</si>
  <si>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</si>
  <si>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op:+#1</t>
  </si>
  <si>
    <t>op:+#2</t>
  </si>
  <si>
    <t>op:+#3</t>
  </si>
  <si>
    <t>op:+#4</t>
  </si>
  <si>
    <t>op:+#5</t>
  </si>
  <si>
    <t>op:+#6</t>
  </si>
  <si>
    <t>op:+#7</t>
  </si>
  <si>
    <t>op:+#8</t>
  </si>
  <si>
    <t>op:-#1</t>
  </si>
  <si>
    <t>op:-#2</t>
  </si>
  <si>
    <t>op:-#3</t>
  </si>
  <si>
    <t>op:-#4</t>
  </si>
  <si>
    <t>op:-#5</t>
  </si>
  <si>
    <t>op:-#6</t>
  </si>
  <si>
    <t>op:-#7</t>
  </si>
  <si>
    <t>op:-#8</t>
  </si>
  <si>
    <t>op:*#1</t>
  </si>
  <si>
    <t>op:*#2</t>
  </si>
  <si>
    <t>op:*#3</t>
  </si>
  <si>
    <t>op:*#4</t>
  </si>
  <si>
    <t>op:*#5</t>
  </si>
  <si>
    <t>op:*#6</t>
  </si>
  <si>
    <t>op:*#7</t>
  </si>
  <si>
    <t>op:*#8</t>
  </si>
  <si>
    <t>op:/#1</t>
  </si>
  <si>
    <t>op:/#2</t>
  </si>
  <si>
    <t>op:/#3</t>
  </si>
  <si>
    <t>op:/#4</t>
  </si>
  <si>
    <t>op:/#5</t>
  </si>
  <si>
    <t>op:/#6</t>
  </si>
  <si>
    <t>op:/#7</t>
  </si>
  <si>
    <t>op:/#8</t>
  </si>
  <si>
    <t>op:^#1</t>
  </si>
  <si>
    <t>op:^#2</t>
  </si>
  <si>
    <t>op:^#3</t>
  </si>
  <si>
    <t>op:^#4</t>
  </si>
  <si>
    <t>op:^#5</t>
  </si>
  <si>
    <t>op:^#6</t>
  </si>
  <si>
    <t>op:^#7</t>
  </si>
  <si>
    <t>op:^#8</t>
  </si>
  <si>
    <t>op:&amp;#1</t>
  </si>
  <si>
    <t>op:&amp;#2</t>
  </si>
  <si>
    <t>op:&amp;#3</t>
  </si>
  <si>
    <t>op:&amp;#4</t>
  </si>
  <si>
    <t>op:&amp;#5</t>
  </si>
  <si>
    <t>op:&amp;#6</t>
  </si>
  <si>
    <t>op:&amp;#7</t>
  </si>
  <si>
    <t>op:&amp;#8</t>
  </si>
  <si>
    <t>op:=#1</t>
  </si>
  <si>
    <t>op:=#2</t>
  </si>
  <si>
    <t>op:=#3</t>
  </si>
  <si>
    <t>op:=#4</t>
  </si>
  <si>
    <t>op:=#5</t>
  </si>
  <si>
    <t>op:=#6</t>
  </si>
  <si>
    <t>op:=#7</t>
  </si>
  <si>
    <t>op:=#8</t>
  </si>
  <si>
    <t>op:&lt;#1</t>
  </si>
  <si>
    <t>op:&lt;#2</t>
  </si>
  <si>
    <t>op:&lt;#3</t>
  </si>
  <si>
    <t>op:&lt;#4</t>
  </si>
  <si>
    <t>op:&lt;#5</t>
  </si>
  <si>
    <t>op:&lt;#6</t>
  </si>
  <si>
    <t>op:&lt;#7</t>
  </si>
  <si>
    <t>op:&lt;#8</t>
  </si>
  <si>
    <t>op:&gt;=#1</t>
  </si>
  <si>
    <t>op:&gt;=#2</t>
  </si>
  <si>
    <t>op:&gt;=#3</t>
  </si>
  <si>
    <t>op:&gt;=#4</t>
  </si>
  <si>
    <t>op:&gt;=#5</t>
  </si>
  <si>
    <t>op:&gt;=#6</t>
  </si>
  <si>
    <t>op:&gt;=#7</t>
  </si>
  <si>
    <t>op:&gt;=#8</t>
  </si>
  <si>
    <t>op:&lt;&gt;#1</t>
  </si>
  <si>
    <t>op:&lt;&gt;#2</t>
  </si>
  <si>
    <t>op:&lt;&gt;#3</t>
  </si>
  <si>
    <t>op:&lt;&gt;#4</t>
  </si>
  <si>
    <t>op:&lt;&gt;#5</t>
  </si>
  <si>
    <t>op:&lt;&gt;#6</t>
  </si>
  <si>
    <t>op:&lt;&gt;#7</t>
  </si>
  <si>
    <t>op:&lt;&gt;#8</t>
  </si>
  <si>
    <t>op:/#9</t>
  </si>
  <si>
    <t>op:/#10</t>
  </si>
  <si>
    <t>op:/#11</t>
  </si>
  <si>
    <t>unary#1</t>
  </si>
  <si>
    <t>unary#2</t>
  </si>
  <si>
    <t>unary#3</t>
  </si>
  <si>
    <t>unary#4</t>
  </si>
  <si>
    <t>unary#5</t>
  </si>
  <si>
    <t>unary#6</t>
  </si>
  <si>
    <t>unary#7</t>
  </si>
  <si>
    <t>unary#8</t>
  </si>
  <si>
    <t>op:lift#1</t>
  </si>
  <si>
    <t>op:lift#2</t>
  </si>
  <si>
    <t>op:lift#3</t>
  </si>
  <si>
    <t>op:lift#4</t>
  </si>
  <si>
    <t>op:lift#5</t>
  </si>
  <si>
    <t>op:lift#6</t>
  </si>
  <si>
    <t>op:lift#7</t>
  </si>
  <si>
    <t>op:lift#8</t>
  </si>
  <si>
    <t>op:lift#9</t>
  </si>
  <si>
    <t>op:lift#10</t>
  </si>
  <si>
    <t>op:lift#11</t>
  </si>
  <si>
    <t>op:lift#12</t>
  </si>
  <si>
    <t>op:lift#13</t>
  </si>
  <si>
    <t>op:lift#14</t>
  </si>
  <si>
    <t>1x1:op#1</t>
  </si>
  <si>
    <t>1x1:op#2</t>
  </si>
  <si>
    <t>1x1:op#3</t>
  </si>
  <si>
    <t>1x1:op#4</t>
  </si>
  <si>
    <t>1x1:op#5</t>
  </si>
  <si>
    <t>1x1:op#6</t>
  </si>
  <si>
    <t>1x1:op#7</t>
  </si>
  <si>
    <t>1x1:op#8</t>
  </si>
  <si>
    <t>1x1:op#9</t>
  </si>
  <si>
    <t>1x1:op#10</t>
  </si>
  <si>
    <t>1x1:op#11</t>
  </si>
  <si>
    <t>1x1:op#12</t>
  </si>
  <si>
    <t>1x1:op#13</t>
  </si>
  <si>
    <t>1x1:op#14</t>
  </si>
  <si>
    <t>1x1:op#15</t>
  </si>
  <si>
    <t>1x1:op#16</t>
  </si>
  <si>
    <t>1x1:list#1</t>
  </si>
  <si>
    <t>1x1:list#2</t>
  </si>
  <si>
    <t>1x1:list#3</t>
  </si>
  <si>
    <t>1x1:list#4</t>
  </si>
  <si>
    <t>1x1:list#5</t>
  </si>
  <si>
    <t>1x1:list#6</t>
  </si>
  <si>
    <t>1x1:list#7</t>
  </si>
  <si>
    <t>1x1:list#8</t>
  </si>
  <si>
    <t>1x1:call#1</t>
  </si>
  <si>
    <t>1x1:call#2</t>
  </si>
  <si>
    <t>1x1:call#3</t>
  </si>
  <si>
    <t>1x1:call#4</t>
  </si>
  <si>
    <t>1x1:call#5</t>
  </si>
  <si>
    <t>1x1:call#6</t>
  </si>
  <si>
    <t>1x1:call#7</t>
  </si>
  <si>
    <t>1x1:call#8</t>
  </si>
  <si>
    <t>1x1:call#9</t>
  </si>
  <si>
    <t>1x1:call#10</t>
  </si>
  <si>
    <t>1x1:call#11</t>
  </si>
  <si>
    <t>1x1:call#12</t>
  </si>
  <si>
    <t>1x1:call#13</t>
  </si>
  <si>
    <t>1x1:call#14</t>
  </si>
  <si>
    <t>1x1:lazy#1</t>
  </si>
  <si>
    <t>1x1:lazy#2</t>
  </si>
  <si>
    <t>1x1:lazy#3</t>
  </si>
  <si>
    <t>1x1:lazy#4</t>
  </si>
  <si>
    <t>1x1:lazy#5</t>
  </si>
  <si>
    <t>1x1:lazy#6</t>
  </si>
  <si>
    <t>1x1:lazy#7</t>
  </si>
  <si>
    <t>1x1:lazy#8</t>
  </si>
  <si>
    <t>1x1:lazy#9</t>
  </si>
  <si>
    <t>1x1:fn#1</t>
  </si>
  <si>
    <t>1x1:fn#2</t>
  </si>
  <si>
    <t>1x1:fn#3</t>
  </si>
  <si>
    <t>1x1:fn#4</t>
  </si>
  <si>
    <t>1x1:fn#5</t>
  </si>
  <si>
    <t>1x1:fn#6</t>
  </si>
  <si>
    <t>1x1:fn#7</t>
  </si>
  <si>
    <t>1x1:fn#8</t>
  </si>
  <si>
    <t>1x1:fn#9</t>
  </si>
  <si>
    <t>1x1:fn#10</t>
  </si>
  <si>
    <t>1x1:fn#11</t>
  </si>
  <si>
    <t>1x1:fn#12</t>
  </si>
  <si>
    <t>1x1:fn#13</t>
  </si>
  <si>
    <t>1x1:fn#14</t>
  </si>
  <si>
    <t>1x1:fn#15</t>
  </si>
  <si>
    <t>1x1:fn#16</t>
  </si>
  <si>
    <t>1x1:fn#17</t>
  </si>
  <si>
    <t>1x1:fn#18</t>
  </si>
  <si>
    <t>1x1:fn#19</t>
  </si>
  <si>
    <t>1x1:fn#20</t>
  </si>
  <si>
    <t>1x1:fn#21</t>
  </si>
  <si>
    <t>1x1:fn#22</t>
  </si>
  <si>
    <t>1x1:fn#23</t>
  </si>
  <si>
    <t>1x1:fn#24</t>
  </si>
  <si>
    <t>1x1:fn#25</t>
  </si>
  <si>
    <t>1x1:lookup#1</t>
  </si>
  <si>
    <t>1x1:lookup#2</t>
  </si>
  <si>
    <t>1x1:lookup#3</t>
  </si>
  <si>
    <t>stack#1</t>
  </si>
  <si>
    <t>stack#2</t>
  </si>
  <si>
    <t>stack#3</t>
  </si>
  <si>
    <t>stack#4</t>
  </si>
  <si>
    <t>stack#5</t>
  </si>
  <si>
    <t>stack#6</t>
  </si>
  <si>
    <t>stack#7</t>
  </si>
  <si>
    <t>stack#8</t>
  </si>
  <si>
    <t>stack#9</t>
  </si>
  <si>
    <t>stack#10</t>
  </si>
  <si>
    <t>stack#11</t>
  </si>
  <si>
    <t>stack#12</t>
  </si>
  <si>
    <t>stack#13</t>
  </si>
  <si>
    <t>stack#14</t>
  </si>
  <si>
    <t>stack#15</t>
  </si>
  <si>
    <t>stack#16</t>
  </si>
  <si>
    <t>stack#17</t>
  </si>
  <si>
    <t>stack#18</t>
  </si>
  <si>
    <t>stack#19</t>
  </si>
  <si>
    <t>stack#20</t>
  </si>
  <si>
    <t>stack#21</t>
  </si>
  <si>
    <t>stack#22</t>
  </si>
  <si>
    <t>ref#1</t>
  </si>
  <si>
    <t>ref#2</t>
  </si>
  <si>
    <t>ref#3</t>
  </si>
  <si>
    <t>ref#4</t>
  </si>
  <si>
    <t>ref#5</t>
  </si>
  <si>
    <t>ref#6</t>
  </si>
  <si>
    <t>ref#7</t>
  </si>
  <si>
    <t>ref#8</t>
  </si>
  <si>
    <t>ref#9</t>
  </si>
  <si>
    <t>ref#10</t>
  </si>
  <si>
    <t>ref#11</t>
  </si>
  <si>
    <t>ref#12</t>
  </si>
  <si>
    <t>ref#13</t>
  </si>
  <si>
    <t>ref#14</t>
  </si>
  <si>
    <t>ref#15</t>
  </si>
  <si>
    <t>ref#16</t>
  </si>
  <si>
    <t>ref#17</t>
  </si>
  <si>
    <t>ref#18</t>
  </si>
  <si>
    <t>ref#19</t>
  </si>
  <si>
    <t>ref#20</t>
  </si>
  <si>
    <t>ref#21</t>
  </si>
  <si>
    <t>ref#22</t>
  </si>
  <si>
    <t>ref#23</t>
  </si>
  <si>
    <t>ref#24</t>
  </si>
  <si>
    <t>ref#25</t>
  </si>
  <si>
    <t>ref#26</t>
  </si>
  <si>
    <t>ref#27</t>
  </si>
  <si>
    <t>ref#28</t>
  </si>
  <si>
    <t>ref#29</t>
  </si>
  <si>
    <t>ref#30</t>
  </si>
  <si>
    <t>ref#31</t>
  </si>
  <si>
    <t>ref#32</t>
  </si>
  <si>
    <t>ref#33</t>
  </si>
  <si>
    <t>lookup#1</t>
  </si>
  <si>
    <t>lookup#2</t>
  </si>
  <si>
    <t>lookup#3</t>
  </si>
  <si>
    <t>lookup#4</t>
  </si>
  <si>
    <t>lookup#5</t>
  </si>
  <si>
    <t>lookup#6</t>
  </si>
  <si>
    <t>lookup#7</t>
  </si>
  <si>
    <t>lookup#8</t>
  </si>
  <si>
    <t>lookup#9</t>
  </si>
  <si>
    <t>lookup#10</t>
  </si>
  <si>
    <t>lookup#11</t>
  </si>
  <si>
    <t>lookup#12</t>
  </si>
  <si>
    <t>lookup#13</t>
  </si>
  <si>
    <t>lookup#14</t>
  </si>
  <si>
    <t>lookup#15</t>
  </si>
  <si>
    <t>lookup#16</t>
  </si>
  <si>
    <t>lookup#17</t>
  </si>
  <si>
    <t>lookup#18</t>
  </si>
  <si>
    <t>lookup#19</t>
  </si>
  <si>
    <t>arity#1</t>
  </si>
  <si>
    <t>arity#2</t>
  </si>
  <si>
    <t>arity#3</t>
  </si>
  <si>
    <t>arity#4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</si>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</sst>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9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"abc"+NA()</f>
        <v>#VALUE!</v>
      </c>
      <c r="B1">
        <f t="shared" ref="B1:B64" si="0">IF(ISERROR(A1),ERROR.TYPE(A1),IF(ISNUMBER(A1),0,IF(ISLOGICAL(A1),IF(A1,-1,-2),IF(ISTEXT(A1),-3,-4))))</f>
        <v>3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t="e" cm="1">
        <f t="array" ref="A2">NA()+"abc"</f>
        <v>#N/A</v>
      </c>
      <c r="B2">
        <f t="shared" si="0"/>
        <v>7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1/0+NA()</f>
        <v>#DIV/0!</v>
      </c>
      <c r="B3">
        <f t="shared" si="0"/>
        <v>2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NA()+1/0</f>
        <v>#N/A</v>
      </c>
      <c r="B4">
        <f t="shared" si="0"/>
        <v>7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D!A3+D!A8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D!A8+D!A3</f>
        <v>#N/A</v>
      </c>
      <c r="B6">
        <f t="shared" si="0"/>
        <v>7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""+NA()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"abc"+1/0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"abc"-NA()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e" cm="1">
        <f t="array" ref="A10">NA()-"abc"</f>
        <v>#N/A</v>
      </c>
      <c r="B10">
        <f t="shared" si="0"/>
        <v>7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1/0-NA()</f>
        <v>#DIV/0!</v>
      </c>
      <c r="B11">
        <f t="shared" si="0"/>
        <v>2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NA()-1/0</f>
        <v>#N/A</v>
      </c>
      <c r="B12">
        <f t="shared" si="0"/>
        <v>7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e" cm="1">
        <f t="array" ref="A13">D!A3-D!A8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D!A8-D!A3</f>
        <v>#N/A</v>
      </c>
      <c r="B14">
        <f t="shared" si="0"/>
        <v>7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t="e" cm="1">
        <f t="array" ref="A15">""-NA()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t="e" cm="1">
        <f t="array" ref="A16">"abc"-1/0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e" cm="1">
        <f t="array" ref="A17">"abc"*NA()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e" cm="1">
        <f t="array" ref="A18">NA()*"abc"</f>
        <v>#N/A</v>
      </c>
      <c r="B18">
        <f t="shared" si="0"/>
        <v>7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e" cm="1">
        <f t="array" ref="A19">1/0*NA()</f>
        <v>#DIV/0!</v>
      </c>
      <c r="B19">
        <f t="shared" si="0"/>
        <v>2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NA()*1/0</f>
        <v>#N/A</v>
      </c>
      <c r="B20">
        <f t="shared" si="0"/>
        <v>7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e" cm="1">
        <f t="array" ref="A21">D!A3*D!A8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e" cm="1">
        <f t="array" ref="A22">D!A8*D!A3</f>
        <v>#N/A</v>
      </c>
      <c r="B22">
        <f t="shared" si="0"/>
        <v>7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""*NA()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e" cm="1">
        <f t="array" ref="A24">"abc"*1/0</f>
        <v>#VALUE!</v>
      </c>
      <c r="B24">
        <f t="shared" si="0"/>
        <v>3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t="e" cm="1">
        <f t="array" ref="A25">"abc"/NA()</f>
        <v>#VALUE!</v>
      </c>
      <c r="B25">
        <f t="shared" si="0"/>
        <v>3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>
        <f t="array" ref="A26">NA()/"abc"</f>
        <v>#N/A</v>
      </c>
      <c r="B26">
        <f t="shared" si="0"/>
        <v>7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e" cm="1">
        <f t="array" ref="A27">1/0/NA()</f>
        <v>#DIV/0!</v>
      </c>
      <c r="B27">
        <f t="shared" si="0"/>
        <v>2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e" cm="1">
        <f t="array" ref="A28">NA()/1/0</f>
        <v>#N/A</v>
      </c>
      <c r="B28">
        <f t="shared" si="0"/>
        <v>7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t="e" cm="1">
        <f t="array" ref="A29">D!A3/D!A8</f>
        <v>#VALUE!</v>
      </c>
      <c r="B29">
        <f t="shared" si="0"/>
        <v>3</v>
      </c>
      <c r="C29">
        <f t="shared" si="1"/>
        <v>0</v>
      </c>
      <c r="D29" t="str">
        <f t="shared" si="2"/>
        <v/>
      </c>
      <c r="E29" t="s">
        <v>63</v>
      </c>
    </row>
    <row r="30" spans="1:5" x14ac:dyDescent="0.2">
      <c r="A30" t="e" cm="1">
        <f t="array" ref="A30">D!A8/D!A3</f>
        <v>#N/A</v>
      </c>
      <c r="B30">
        <f t="shared" si="0"/>
        <v>7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t="e" cm="1">
        <f t="array" ref="A31">""/NA()</f>
        <v>#VALUE!</v>
      </c>
      <c r="B31">
        <f t="shared" si="0"/>
        <v>3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t="e" cm="1">
        <f t="array" ref="A32">"abc"/1/0</f>
        <v>#VALUE!</v>
      </c>
      <c r="B32">
        <f t="shared" si="0"/>
        <v>3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t="e" cm="1">
        <f t="array" ref="A33">"abc"^NA()</f>
        <v>#VALUE!</v>
      </c>
      <c r="B33">
        <f t="shared" si="0"/>
        <v>3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t="e" cm="1">
        <f t="array" ref="A34">NA()^"abc"</f>
        <v>#N/A</v>
      </c>
      <c r="B34">
        <f t="shared" si="0"/>
        <v>7</v>
      </c>
      <c r="C34">
        <f t="shared" si="1"/>
        <v>0</v>
      </c>
      <c r="D34" t="str">
        <f t="shared" si="2"/>
        <v/>
      </c>
      <c r="E34" t="s">
        <v>68</v>
      </c>
    </row>
    <row r="35" spans="1:5" x14ac:dyDescent="0.2">
      <c r="A35" t="e" cm="1">
        <f t="array" ref="A35">1/0^NA()</f>
        <v>#N/A</v>
      </c>
      <c r="B35">
        <f t="shared" si="0"/>
        <v>7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t="e" cm="1">
        <f t="array" ref="A36">NA()^1/0</f>
        <v>#N/A</v>
      </c>
      <c r="B36">
        <f t="shared" si="0"/>
        <v>7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t="e" cm="1">
        <f t="array" ref="A37">D!A3^D!A8</f>
        <v>#VALUE!</v>
      </c>
      <c r="B37">
        <f t="shared" si="0"/>
        <v>3</v>
      </c>
      <c r="C37">
        <f t="shared" si="1"/>
        <v>0</v>
      </c>
      <c r="D37" t="str">
        <f t="shared" si="2"/>
        <v/>
      </c>
      <c r="E37" t="s">
        <v>71</v>
      </c>
    </row>
    <row r="38" spans="1:5" x14ac:dyDescent="0.2">
      <c r="A38" t="e" cm="1">
        <f t="array" ref="A38">D!A8^D!A3</f>
        <v>#N/A</v>
      </c>
      <c r="B38">
        <f t="shared" si="0"/>
        <v>7</v>
      </c>
      <c r="C38">
        <f t="shared" si="1"/>
        <v>0</v>
      </c>
      <c r="D38" t="str">
        <f t="shared" si="2"/>
        <v/>
      </c>
      <c r="E38" t="s">
        <v>72</v>
      </c>
    </row>
    <row r="39" spans="1:5" x14ac:dyDescent="0.2">
      <c r="A39" t="e" cm="1">
        <f t="array" ref="A39">""^NA()</f>
        <v>#VALUE!</v>
      </c>
      <c r="B39">
        <f t="shared" si="0"/>
        <v>3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t="e" cm="1">
        <f t="array" ref="A40">"abc"^1/0</f>
        <v>#VALUE!</v>
      </c>
      <c r="B40">
        <f t="shared" si="0"/>
        <v>3</v>
      </c>
      <c r="C40">
        <f t="shared" si="1"/>
        <v>0</v>
      </c>
      <c r="D40" t="str">
        <f t="shared" si="2"/>
        <v/>
      </c>
      <c r="E40" t="s">
        <v>74</v>
      </c>
    </row>
    <row r="41" spans="1:5" x14ac:dyDescent="0.2">
      <c r="A41" t="e" cm="1">
        <f t="array" ref="A41">"abc"&amp;NA()</f>
        <v>#N/A</v>
      </c>
      <c r="B41">
        <f t="shared" si="0"/>
        <v>7</v>
      </c>
      <c r="C41">
        <f t="shared" si="1"/>
        <v>0</v>
      </c>
      <c r="D41" t="str">
        <f t="shared" si="2"/>
        <v/>
      </c>
      <c r="E41" t="s">
        <v>75</v>
      </c>
    </row>
    <row r="42" spans="1:5" x14ac:dyDescent="0.2">
      <c r="A42" t="e" cm="1">
        <f t="array" ref="A42">NA()&amp;"abc"</f>
        <v>#N/A</v>
      </c>
      <c r="B42">
        <f t="shared" si="0"/>
        <v>7</v>
      </c>
      <c r="C42">
        <f t="shared" si="1"/>
        <v>0</v>
      </c>
      <c r="D42" t="str">
        <f t="shared" si="2"/>
        <v/>
      </c>
      <c r="E42" t="s">
        <v>76</v>
      </c>
    </row>
    <row r="43" spans="1:5" x14ac:dyDescent="0.2">
      <c r="A43" t="e" cm="1">
        <f t="array" ref="A43">1/0&amp;NA()</f>
        <v>#DIV/0!</v>
      </c>
      <c r="B43">
        <f t="shared" si="0"/>
        <v>2</v>
      </c>
      <c r="C43">
        <f t="shared" si="1"/>
        <v>0</v>
      </c>
      <c r="D43" t="str">
        <f t="shared" si="2"/>
        <v/>
      </c>
      <c r="E43" t="s">
        <v>77</v>
      </c>
    </row>
    <row r="44" spans="1:5" x14ac:dyDescent="0.2">
      <c r="A44" t="e" cm="1">
        <f t="array" ref="A44">NA()&amp;1/0</f>
        <v>#N/A</v>
      </c>
      <c r="B44">
        <f t="shared" si="0"/>
        <v>7</v>
      </c>
      <c r="C44">
        <f t="shared" si="1"/>
        <v>0</v>
      </c>
      <c r="D44" t="str">
        <f t="shared" si="2"/>
        <v/>
      </c>
      <c r="E44" t="s">
        <v>78</v>
      </c>
    </row>
    <row r="45" spans="1:5" x14ac:dyDescent="0.2">
      <c r="A45" t="e" cm="1">
        <f t="array" ref="A45">D!A3&amp;D!A8</f>
        <v>#N/A</v>
      </c>
      <c r="B45">
        <f t="shared" si="0"/>
        <v>7</v>
      </c>
      <c r="C45">
        <f t="shared" si="1"/>
        <v>0</v>
      </c>
      <c r="D45" t="str">
        <f t="shared" si="2"/>
        <v/>
      </c>
      <c r="E45" t="s">
        <v>79</v>
      </c>
    </row>
    <row r="46" spans="1:5" x14ac:dyDescent="0.2">
      <c r="A46" t="e" cm="1">
        <f t="array" ref="A46">D!A8&amp;D!A3</f>
        <v>#N/A</v>
      </c>
      <c r="B46">
        <f t="shared" si="0"/>
        <v>7</v>
      </c>
      <c r="C46">
        <f t="shared" si="1"/>
        <v>0</v>
      </c>
      <c r="D46" t="str">
        <f t="shared" si="2"/>
        <v/>
      </c>
      <c r="E46" t="s">
        <v>80</v>
      </c>
    </row>
    <row r="47" spans="1:5" x14ac:dyDescent="0.2">
      <c r="A47" t="e" cm="1">
        <f t="array" ref="A47">""&amp;NA()</f>
        <v>#N/A</v>
      </c>
      <c r="B47">
        <f t="shared" si="0"/>
        <v>7</v>
      </c>
      <c r="C47">
        <f t="shared" si="1"/>
        <v>0</v>
      </c>
      <c r="D47" t="str">
        <f t="shared" si="2"/>
        <v/>
      </c>
      <c r="E47" t="s">
        <v>81</v>
      </c>
    </row>
    <row r="48" spans="1:5" x14ac:dyDescent="0.2">
      <c r="A48" t="e" cm="1">
        <f t="array" ref="A48">"abc"&amp;1/0</f>
        <v>#DIV/0!</v>
      </c>
      <c r="B48">
        <f t="shared" si="0"/>
        <v>2</v>
      </c>
      <c r="C48">
        <f t="shared" si="1"/>
        <v>0</v>
      </c>
      <c r="D48" t="str">
        <f t="shared" si="2"/>
        <v/>
      </c>
      <c r="E48" t="s">
        <v>82</v>
      </c>
    </row>
    <row r="49" spans="1:5" x14ac:dyDescent="0.2">
      <c r="A49" t="e" cm="1">
        <f t="array" ref="A49">"abc"=NA()</f>
        <v>#N/A</v>
      </c>
      <c r="B49">
        <f t="shared" si="0"/>
        <v>7</v>
      </c>
      <c r="C49">
        <f t="shared" si="1"/>
        <v>0</v>
      </c>
      <c r="D49" t="str">
        <f t="shared" si="2"/>
        <v/>
      </c>
      <c r="E49" t="s">
        <v>83</v>
      </c>
    </row>
    <row r="50" spans="1:5" x14ac:dyDescent="0.2">
      <c r="A50" t="e" cm="1">
        <f t="array" ref="A50">NA()="abc"</f>
        <v>#N/A</v>
      </c>
      <c r="B50">
        <f t="shared" si="0"/>
        <v>7</v>
      </c>
      <c r="C50">
        <f t="shared" si="1"/>
        <v>0</v>
      </c>
      <c r="D50" t="str">
        <f t="shared" si="2"/>
        <v/>
      </c>
      <c r="E50" t="s">
        <v>84</v>
      </c>
    </row>
    <row r="51" spans="1:5" x14ac:dyDescent="0.2">
      <c r="A51" t="e" cm="1">
        <f t="array" ref="A51">1/0=NA()</f>
        <v>#DIV/0!</v>
      </c>
      <c r="B51">
        <f t="shared" si="0"/>
        <v>2</v>
      </c>
      <c r="C51">
        <f t="shared" si="1"/>
        <v>0</v>
      </c>
      <c r="D51" t="str">
        <f t="shared" si="2"/>
        <v/>
      </c>
      <c r="E51" t="s">
        <v>85</v>
      </c>
    </row>
    <row r="52" spans="1:5" x14ac:dyDescent="0.2">
      <c r="A52" t="e" cm="1">
        <f t="array" ref="A52">NA()=1/0</f>
        <v>#N/A</v>
      </c>
      <c r="B52">
        <f t="shared" si="0"/>
        <v>7</v>
      </c>
      <c r="C52">
        <f t="shared" si="1"/>
        <v>0</v>
      </c>
      <c r="D52" t="str">
        <f t="shared" si="2"/>
        <v/>
      </c>
      <c r="E52" t="s">
        <v>86</v>
      </c>
    </row>
    <row r="53" spans="1:5" x14ac:dyDescent="0.2">
      <c r="A53" t="e" cm="1">
        <f t="array" ref="A53">D!A3=D!A8</f>
        <v>#N/A</v>
      </c>
      <c r="B53">
        <f t="shared" si="0"/>
        <v>7</v>
      </c>
      <c r="C53">
        <f t="shared" si="1"/>
        <v>0</v>
      </c>
      <c r="D53" t="str">
        <f t="shared" si="2"/>
        <v/>
      </c>
      <c r="E53" t="s">
        <v>87</v>
      </c>
    </row>
    <row r="54" spans="1:5" x14ac:dyDescent="0.2">
      <c r="A54" t="e" cm="1">
        <f t="array" ref="A54">D!A8=D!A3</f>
        <v>#N/A</v>
      </c>
      <c r="B54">
        <f t="shared" si="0"/>
        <v>7</v>
      </c>
      <c r="C54">
        <f t="shared" si="1"/>
        <v>0</v>
      </c>
      <c r="D54" t="str">
        <f t="shared" si="2"/>
        <v/>
      </c>
      <c r="E54" t="s">
        <v>88</v>
      </c>
    </row>
    <row r="55" spans="1:5" x14ac:dyDescent="0.2">
      <c r="A55" t="e" cm="1">
        <f t="array" ref="A55">""=NA()</f>
        <v>#N/A</v>
      </c>
      <c r="B55">
        <f t="shared" si="0"/>
        <v>7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t="e" cm="1">
        <f t="array" ref="A56">"abc"=1/0</f>
        <v>#DIV/0!</v>
      </c>
      <c r="B56">
        <f t="shared" si="0"/>
        <v>2</v>
      </c>
      <c r="C56">
        <f t="shared" si="1"/>
        <v>0</v>
      </c>
      <c r="D56" t="str">
        <f t="shared" si="2"/>
        <v/>
      </c>
      <c r="E56" t="s">
        <v>90</v>
      </c>
    </row>
    <row r="57" spans="1:5" x14ac:dyDescent="0.2">
      <c r="A57" t="e" cm="1">
        <f t="array" ref="A57">"abc"&lt;NA()</f>
        <v>#N/A</v>
      </c>
      <c r="B57">
        <f t="shared" si="0"/>
        <v>7</v>
      </c>
      <c r="C57">
        <f t="shared" si="1"/>
        <v>0</v>
      </c>
      <c r="D57" t="str">
        <f t="shared" si="2"/>
        <v/>
      </c>
      <c r="E57" t="s">
        <v>91</v>
      </c>
    </row>
    <row r="58" spans="1:5" x14ac:dyDescent="0.2">
      <c r="A58" t="e" cm="1">
        <f t="array" ref="A58">NA()&lt;"abc"</f>
        <v>#N/A</v>
      </c>
      <c r="B58">
        <f t="shared" si="0"/>
        <v>7</v>
      </c>
      <c r="C58">
        <f t="shared" si="1"/>
        <v>0</v>
      </c>
      <c r="D58" t="str">
        <f t="shared" si="2"/>
        <v/>
      </c>
      <c r="E58" t="s">
        <v>92</v>
      </c>
    </row>
    <row r="59" spans="1:5" x14ac:dyDescent="0.2">
      <c r="A59" t="e" cm="1">
        <f t="array" ref="A59">1/0&lt;NA()</f>
        <v>#DIV/0!</v>
      </c>
      <c r="B59">
        <f t="shared" si="0"/>
        <v>2</v>
      </c>
      <c r="C59">
        <f t="shared" si="1"/>
        <v>0</v>
      </c>
      <c r="D59" t="str">
        <f t="shared" si="2"/>
        <v/>
      </c>
      <c r="E59" t="s">
        <v>93</v>
      </c>
    </row>
    <row r="60" spans="1:5" x14ac:dyDescent="0.2">
      <c r="A60" t="e" cm="1">
        <f t="array" ref="A60">NA()&lt;1/0</f>
        <v>#N/A</v>
      </c>
      <c r="B60">
        <f t="shared" si="0"/>
        <v>7</v>
      </c>
      <c r="C60">
        <f t="shared" si="1"/>
        <v>0</v>
      </c>
      <c r="D60" t="str">
        <f t="shared" si="2"/>
        <v/>
      </c>
      <c r="E60" t="s">
        <v>94</v>
      </c>
    </row>
    <row r="61" spans="1:5" x14ac:dyDescent="0.2">
      <c r="A61" t="e" cm="1">
        <f t="array" ref="A61">D!A3&lt;D!A8</f>
        <v>#N/A</v>
      </c>
      <c r="B61">
        <f t="shared" si="0"/>
        <v>7</v>
      </c>
      <c r="C61">
        <f t="shared" si="1"/>
        <v>0</v>
      </c>
      <c r="D61" t="str">
        <f t="shared" si="2"/>
        <v/>
      </c>
      <c r="E61" t="s">
        <v>95</v>
      </c>
    </row>
    <row r="62" spans="1:5" x14ac:dyDescent="0.2">
      <c r="A62" t="e" cm="1">
        <f t="array" ref="A62">D!A8&lt;D!A3</f>
        <v>#N/A</v>
      </c>
      <c r="B62">
        <f t="shared" si="0"/>
        <v>7</v>
      </c>
      <c r="C62">
        <f t="shared" si="1"/>
        <v>0</v>
      </c>
      <c r="D62" t="str">
        <f t="shared" si="2"/>
        <v/>
      </c>
      <c r="E62" t="s">
        <v>96</v>
      </c>
    </row>
    <row r="63" spans="1:5" x14ac:dyDescent="0.2">
      <c r="A63" t="e" cm="1">
        <f t="array" ref="A63">""&lt;NA()</f>
        <v>#N/A</v>
      </c>
      <c r="B63">
        <f t="shared" si="0"/>
        <v>7</v>
      </c>
      <c r="C63">
        <f t="shared" si="1"/>
        <v>0</v>
      </c>
      <c r="D63" t="str">
        <f t="shared" si="2"/>
        <v/>
      </c>
      <c r="E63" t="s">
        <v>97</v>
      </c>
    </row>
    <row r="64" spans="1:5" x14ac:dyDescent="0.2">
      <c r="A64" t="e" cm="1">
        <f t="array" ref="A64">"abc"&lt;1/0</f>
        <v>#DIV/0!</v>
      </c>
      <c r="B64">
        <f t="shared" si="0"/>
        <v>2</v>
      </c>
      <c r="C64">
        <f t="shared" si="1"/>
        <v>0</v>
      </c>
      <c r="D64" t="str">
        <f t="shared" si="2"/>
        <v/>
      </c>
      <c r="E64" t="s">
        <v>98</v>
      </c>
    </row>
    <row r="65" spans="1:5" x14ac:dyDescent="0.2">
      <c r="A65" t="e" cm="1">
        <f t="array" ref="A65">"abc"&gt;=NA()</f>
        <v>#N/A</v>
      </c>
      <c r="B65">
        <f t="shared" ref="B65:B128" si="3">IF(ISERROR(A65),ERROR.TYPE(A65),IF(ISNUMBER(A65),0,IF(ISLOGICAL(A65),IF(A65,-1,-2),IF(ISTEXT(A65),-3,-4))))</f>
        <v>7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99</v>
      </c>
    </row>
    <row r="66" spans="1:5" x14ac:dyDescent="0.2">
      <c r="A66" t="e" cm="1">
        <f t="array" ref="A66">NA()&gt;="abc"</f>
        <v>#N/A</v>
      </c>
      <c r="B66">
        <f t="shared" si="3"/>
        <v>7</v>
      </c>
      <c r="C66">
        <f t="shared" si="4"/>
        <v>0</v>
      </c>
      <c r="D66" t="str">
        <f t="shared" si="5"/>
        <v/>
      </c>
      <c r="E66" t="s">
        <v>100</v>
      </c>
    </row>
    <row r="67" spans="1:5" x14ac:dyDescent="0.2">
      <c r="A67" t="e" cm="1">
        <f t="array" ref="A67">1/0&gt;=NA()</f>
        <v>#DIV/0!</v>
      </c>
      <c r="B67">
        <f t="shared" si="3"/>
        <v>2</v>
      </c>
      <c r="C67">
        <f t="shared" si="4"/>
        <v>0</v>
      </c>
      <c r="D67" t="str">
        <f t="shared" si="5"/>
        <v/>
      </c>
      <c r="E67" t="s">
        <v>101</v>
      </c>
    </row>
    <row r="68" spans="1:5" x14ac:dyDescent="0.2">
      <c r="A68" t="e" cm="1">
        <f t="array" ref="A68">NA()&gt;=1/0</f>
        <v>#N/A</v>
      </c>
      <c r="B68">
        <f t="shared" si="3"/>
        <v>7</v>
      </c>
      <c r="C68">
        <f t="shared" si="4"/>
        <v>0</v>
      </c>
      <c r="D68" t="str">
        <f t="shared" si="5"/>
        <v/>
      </c>
      <c r="E68" t="s">
        <v>102</v>
      </c>
    </row>
    <row r="69" spans="1:5" x14ac:dyDescent="0.2">
      <c r="A69" t="e" cm="1">
        <f t="array" ref="A69">D!A3&gt;=D!A8</f>
        <v>#N/A</v>
      </c>
      <c r="B69">
        <f t="shared" si="3"/>
        <v>7</v>
      </c>
      <c r="C69">
        <f t="shared" si="4"/>
        <v>0</v>
      </c>
      <c r="D69" t="str">
        <f t="shared" si="5"/>
        <v/>
      </c>
      <c r="E69" t="s">
        <v>103</v>
      </c>
    </row>
    <row r="70" spans="1:5" x14ac:dyDescent="0.2">
      <c r="A70" t="e" cm="1">
        <f t="array" ref="A70">D!A8&gt;=D!A3</f>
        <v>#N/A</v>
      </c>
      <c r="B70">
        <f t="shared" si="3"/>
        <v>7</v>
      </c>
      <c r="C70">
        <f t="shared" si="4"/>
        <v>0</v>
      </c>
      <c r="D70" t="str">
        <f t="shared" si="5"/>
        <v/>
      </c>
      <c r="E70" t="s">
        <v>104</v>
      </c>
    </row>
    <row r="71" spans="1:5" x14ac:dyDescent="0.2">
      <c r="A71" t="e" cm="1">
        <f t="array" ref="A71">""&gt;=NA()</f>
        <v>#N/A</v>
      </c>
      <c r="B71">
        <f t="shared" si="3"/>
        <v>7</v>
      </c>
      <c r="C71">
        <f t="shared" si="4"/>
        <v>0</v>
      </c>
      <c r="D71" t="str">
        <f t="shared" si="5"/>
        <v/>
      </c>
      <c r="E71" t="s">
        <v>105</v>
      </c>
    </row>
    <row r="72" spans="1:5" x14ac:dyDescent="0.2">
      <c r="A72" t="e" cm="1">
        <f t="array" ref="A72">"abc"&gt;=1/0</f>
        <v>#DIV/0!</v>
      </c>
      <c r="B72">
        <f t="shared" si="3"/>
        <v>2</v>
      </c>
      <c r="C72">
        <f t="shared" si="4"/>
        <v>0</v>
      </c>
      <c r="D72" t="str">
        <f t="shared" si="5"/>
        <v/>
      </c>
      <c r="E72" t="s">
        <v>106</v>
      </c>
    </row>
    <row r="73" spans="1:5" x14ac:dyDescent="0.2">
      <c r="A73" t="e" cm="1">
        <f t="array" ref="A73">"abc"&lt;&gt;NA()</f>
        <v>#N/A</v>
      </c>
      <c r="B73">
        <f t="shared" si="3"/>
        <v>7</v>
      </c>
      <c r="C73">
        <f t="shared" si="4"/>
        <v>0</v>
      </c>
      <c r="D73" t="str">
        <f t="shared" si="5"/>
        <v/>
      </c>
      <c r="E73" t="s">
        <v>107</v>
      </c>
    </row>
    <row r="74" spans="1:5" x14ac:dyDescent="0.2">
      <c r="A74" t="e" cm="1">
        <f t="array" ref="A74">NA()&lt;&gt;"abc"</f>
        <v>#N/A</v>
      </c>
      <c r="B74">
        <f t="shared" si="3"/>
        <v>7</v>
      </c>
      <c r="C74">
        <f t="shared" si="4"/>
        <v>0</v>
      </c>
      <c r="D74" t="str">
        <f t="shared" si="5"/>
        <v/>
      </c>
      <c r="E74" t="s">
        <v>108</v>
      </c>
    </row>
    <row r="75" spans="1:5" x14ac:dyDescent="0.2">
      <c r="A75" t="e" cm="1">
        <f t="array" ref="A75">1/0&lt;&gt;NA()</f>
        <v>#DIV/0!</v>
      </c>
      <c r="B75">
        <f t="shared" si="3"/>
        <v>2</v>
      </c>
      <c r="C75">
        <f t="shared" si="4"/>
        <v>0</v>
      </c>
      <c r="D75" t="str">
        <f t="shared" si="5"/>
        <v/>
      </c>
      <c r="E75" t="s">
        <v>109</v>
      </c>
    </row>
    <row r="76" spans="1:5" x14ac:dyDescent="0.2">
      <c r="A76" t="e" cm="1">
        <f t="array" ref="A76">NA()&lt;&gt;1/0</f>
        <v>#N/A</v>
      </c>
      <c r="B76">
        <f t="shared" si="3"/>
        <v>7</v>
      </c>
      <c r="C76">
        <f t="shared" si="4"/>
        <v>0</v>
      </c>
      <c r="D76" t="str">
        <f t="shared" si="5"/>
        <v/>
      </c>
      <c r="E76" t="s">
        <v>110</v>
      </c>
    </row>
    <row r="77" spans="1:5" x14ac:dyDescent="0.2">
      <c r="A77" t="e" cm="1">
        <f t="array" ref="A77">D!A3&lt;&gt;D!A8</f>
        <v>#N/A</v>
      </c>
      <c r="B77">
        <f t="shared" si="3"/>
        <v>7</v>
      </c>
      <c r="C77">
        <f t="shared" si="4"/>
        <v>0</v>
      </c>
      <c r="D77" t="str">
        <f t="shared" si="5"/>
        <v/>
      </c>
      <c r="E77" t="s">
        <v>111</v>
      </c>
    </row>
    <row r="78" spans="1:5" x14ac:dyDescent="0.2">
      <c r="A78" t="e" cm="1">
        <f t="array" ref="A78">D!A8&lt;&gt;D!A3</f>
        <v>#N/A</v>
      </c>
      <c r="B78">
        <f t="shared" si="3"/>
        <v>7</v>
      </c>
      <c r="C78">
        <f t="shared" si="4"/>
        <v>0</v>
      </c>
      <c r="D78" t="str">
        <f t="shared" si="5"/>
        <v/>
      </c>
      <c r="E78" t="s">
        <v>112</v>
      </c>
    </row>
    <row r="79" spans="1:5" x14ac:dyDescent="0.2">
      <c r="A79" t="e" cm="1">
        <f t="array" ref="A79">""&lt;&gt;NA()</f>
        <v>#N/A</v>
      </c>
      <c r="B79">
        <f t="shared" si="3"/>
        <v>7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t="e" cm="1">
        <f t="array" ref="A80">"abc"&lt;&gt;1/0</f>
        <v>#DIV/0!</v>
      </c>
      <c r="B80">
        <f t="shared" si="3"/>
        <v>2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t="e" cm="1">
        <f t="array" ref="A81">"abc"/0</f>
        <v>#VALUE!</v>
      </c>
      <c r="B81">
        <f t="shared" si="3"/>
        <v>3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t="e" cm="1">
        <f t="array" ref="A82">NA()/0</f>
        <v>#N/A</v>
      </c>
      <c r="B82">
        <f t="shared" si="3"/>
        <v>7</v>
      </c>
      <c r="C82">
        <f t="shared" si="4"/>
        <v>0</v>
      </c>
      <c r="D82" t="str">
        <f t="shared" si="5"/>
        <v/>
      </c>
      <c r="E82" t="s">
        <v>116</v>
      </c>
    </row>
    <row r="83" spans="1:5" x14ac:dyDescent="0.2">
      <c r="A83" t="e" cm="1">
        <f t="array" ref="A83">1/"abc"</f>
        <v>#VALUE!</v>
      </c>
      <c r="B83">
        <f t="shared" si="3"/>
        <v>3</v>
      </c>
      <c r="C83">
        <f t="shared" si="4"/>
        <v>0</v>
      </c>
      <c r="D83" t="str">
        <f t="shared" si="5"/>
        <v/>
      </c>
      <c r="E83" t="s">
        <v>117</v>
      </c>
    </row>
    <row r="84" spans="1:5" x14ac:dyDescent="0.2">
      <c r="A84" t="e" cm="1">
        <f t="array" ref="A84">-"abc"</f>
        <v>#VALUE!</v>
      </c>
      <c r="B84">
        <f t="shared" si="3"/>
        <v>3</v>
      </c>
      <c r="C84">
        <f t="shared" si="4"/>
        <v>0</v>
      </c>
      <c r="D84" t="str">
        <f t="shared" si="5"/>
        <v/>
      </c>
      <c r="E84" t="s">
        <v>118</v>
      </c>
    </row>
    <row r="85" spans="1:5" x14ac:dyDescent="0.2">
      <c r="A85" t="e" cm="1">
        <f t="array" ref="A85">-NA()</f>
        <v>#N/A</v>
      </c>
      <c r="B85">
        <f t="shared" si="3"/>
        <v>7</v>
      </c>
      <c r="C85">
        <f t="shared" si="4"/>
        <v>0</v>
      </c>
      <c r="D85" t="str">
        <f t="shared" si="5"/>
        <v/>
      </c>
      <c r="E85" t="s">
        <v>119</v>
      </c>
    </row>
    <row r="86" spans="1:5" x14ac:dyDescent="0.2">
      <c r="A86" t="e" cm="1">
        <f t="array" ref="A86">"abc"%</f>
        <v>#VALUE!</v>
      </c>
      <c r="B86">
        <f t="shared" si="3"/>
        <v>3</v>
      </c>
      <c r="C86">
        <f t="shared" si="4"/>
        <v>0</v>
      </c>
      <c r="D86" t="str">
        <f t="shared" si="5"/>
        <v/>
      </c>
      <c r="E86" t="s">
        <v>120</v>
      </c>
    </row>
    <row r="87" spans="1:5" x14ac:dyDescent="0.2">
      <c r="A87" t="e" cm="1">
        <f t="array" ref="A87">NA()%</f>
        <v>#N/A</v>
      </c>
      <c r="B87">
        <f t="shared" si="3"/>
        <v>7</v>
      </c>
      <c r="C87">
        <f t="shared" si="4"/>
        <v>0</v>
      </c>
      <c r="D87" t="str">
        <f t="shared" si="5"/>
        <v/>
      </c>
      <c r="E87" t="s">
        <v>121</v>
      </c>
    </row>
    <row r="88" spans="1:5" x14ac:dyDescent="0.2">
      <c r="A88" t="e" cm="1">
        <f t="array" ref="A88">-D!A3</f>
        <v>#VALUE!</v>
      </c>
      <c r="B88">
        <f t="shared" si="3"/>
        <v>3</v>
      </c>
      <c r="C88">
        <f t="shared" si="4"/>
        <v>0</v>
      </c>
      <c r="D88" t="str">
        <f t="shared" si="5"/>
        <v/>
      </c>
      <c r="E88" t="s">
        <v>122</v>
      </c>
    </row>
    <row r="89" spans="1:5" x14ac:dyDescent="0.2">
      <c r="A89" t="e" cm="1">
        <f t="array" ref="A89">D!A3%</f>
        <v>#VALUE!</v>
      </c>
      <c r="B89">
        <f t="shared" si="3"/>
        <v>3</v>
      </c>
      <c r="C89">
        <f t="shared" si="4"/>
        <v>0</v>
      </c>
      <c r="D89" t="str">
        <f t="shared" si="5"/>
        <v/>
      </c>
      <c r="E89" t="s">
        <v>123</v>
      </c>
    </row>
    <row r="90" spans="1:5" x14ac:dyDescent="0.2">
      <c r="A90" cm="1">
        <f t="array" ref="A90">TYPE(+"abc")</f>
        <v>2</v>
      </c>
      <c r="B90">
        <f t="shared" si="3"/>
        <v>0</v>
      </c>
      <c r="C90">
        <f t="shared" si="4"/>
        <v>2</v>
      </c>
      <c r="D90" t="str">
        <f t="shared" si="5"/>
        <v/>
      </c>
      <c r="E90" t="s">
        <v>124</v>
      </c>
    </row>
    <row r="91" spans="1:5" x14ac:dyDescent="0.2">
      <c r="A91" t="e" cm="1">
        <f t="array" ref="A91">-1/0</f>
        <v>#DIV/0!</v>
      </c>
      <c r="B91">
        <f t="shared" si="3"/>
        <v>2</v>
      </c>
      <c r="C91">
        <f t="shared" si="4"/>
        <v>0</v>
      </c>
      <c r="D91" t="str">
        <f t="shared" si="5"/>
        <v/>
      </c>
      <c r="E91" t="s">
        <v>125</v>
      </c>
    </row>
    <row r="92" spans="1:5" x14ac:dyDescent="0.2">
      <c r="A92" t="e" cm="1">
        <f t="array" ref="A92">INDEX({"a",1}-NA(),1,1)</f>
        <v>#VALUE!</v>
      </c>
      <c r="B92">
        <f t="shared" si="3"/>
        <v>3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t="e" cm="1">
        <f t="array" ref="A93">INDEX({"a",1}-NA(),1,2)</f>
        <v>#N/A</v>
      </c>
      <c r="B93">
        <f t="shared" si="3"/>
        <v>7</v>
      </c>
      <c r="C93">
        <f t="shared" si="4"/>
        <v>0</v>
      </c>
      <c r="D93" t="str">
        <f t="shared" si="5"/>
        <v/>
      </c>
      <c r="E93" t="s">
        <v>127</v>
      </c>
    </row>
    <row r="94" spans="1:5" x14ac:dyDescent="0.2">
      <c r="A94" t="e" cm="1">
        <f t="array" ref="A94">INDEX(NA()-{"a",1},1,1)</f>
        <v>#N/A</v>
      </c>
      <c r="B94">
        <f t="shared" si="3"/>
        <v>7</v>
      </c>
      <c r="C94">
        <f t="shared" si="4"/>
        <v>0</v>
      </c>
      <c r="D94" t="str">
        <f t="shared" si="5"/>
        <v/>
      </c>
      <c r="E94" t="s">
        <v>128</v>
      </c>
    </row>
    <row r="95" spans="1:5" x14ac:dyDescent="0.2">
      <c r="A95" t="e" cm="1">
        <f t="array" ref="A95">INDEX({"a";1}-{#N/A;#N/A},1)</f>
        <v>#VALUE!</v>
      </c>
      <c r="B95">
        <f t="shared" si="3"/>
        <v>3</v>
      </c>
      <c r="C95">
        <f t="shared" si="4"/>
        <v>0</v>
      </c>
      <c r="D95" t="str">
        <f t="shared" si="5"/>
        <v/>
      </c>
      <c r="E95" t="s">
        <v>129</v>
      </c>
    </row>
    <row r="96" spans="1:5" x14ac:dyDescent="0.2">
      <c r="A96" t="e" cm="1">
        <f t="array" ref="A96">INDEX({#N/A;1}-{"a";"b"},1)</f>
        <v>#N/A</v>
      </c>
      <c r="B96">
        <f t="shared" si="3"/>
        <v>7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t="e" cm="1">
        <f t="array" ref="A97">INDEX({"a","b","c"}+{1,2},1,3)</f>
        <v>#N/A</v>
      </c>
      <c r="B97">
        <f t="shared" si="3"/>
        <v>7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t="e" cm="1">
        <f t="array" ref="A98">INDEX({1,2}+{"a","b","c"},1,3)</f>
        <v>#N/A</v>
      </c>
      <c r="B98">
        <f t="shared" si="3"/>
        <v>7</v>
      </c>
      <c r="C98">
        <f t="shared" si="4"/>
        <v>0</v>
      </c>
      <c r="D98" t="str">
        <f t="shared" si="5"/>
        <v/>
      </c>
      <c r="E98" t="s">
        <v>132</v>
      </c>
    </row>
    <row r="99" spans="1:5" x14ac:dyDescent="0.2">
      <c r="A99" t="e" cm="1">
        <f t="array" ref="A99">INDEX({"a","b","c"}&amp;{1,2},1,3)</f>
        <v>#N/A</v>
      </c>
      <c r="B99">
        <f t="shared" si="3"/>
        <v>7</v>
      </c>
      <c r="C99">
        <f t="shared" si="4"/>
        <v>0</v>
      </c>
      <c r="D99" t="str">
        <f t="shared" si="5"/>
        <v/>
      </c>
      <c r="E99" t="s">
        <v>133</v>
      </c>
    </row>
    <row r="100" spans="1:5" x14ac:dyDescent="0.2">
      <c r="A100" t="e" cm="1">
        <f t="array" ref="A100">INDEX({1,2,#DIV/0!}-{#N/A,2},1,3)</f>
        <v>#N/A</v>
      </c>
      <c r="B100">
        <f t="shared" si="3"/>
        <v>7</v>
      </c>
      <c r="C100">
        <f t="shared" si="4"/>
        <v>0</v>
      </c>
      <c r="D100" t="str">
        <f t="shared" si="5"/>
        <v/>
      </c>
      <c r="E100" t="s">
        <v>134</v>
      </c>
    </row>
    <row r="101" spans="1:5" x14ac:dyDescent="0.2">
      <c r="A101" t="e" cm="1">
        <f t="array" ref="A101">INDEX(D!A3:A4-NA(),1)</f>
        <v>#VALUE!</v>
      </c>
      <c r="B101">
        <f t="shared" si="3"/>
        <v>3</v>
      </c>
      <c r="C101">
        <f t="shared" si="4"/>
        <v>0</v>
      </c>
      <c r="D101" t="str">
        <f t="shared" si="5"/>
        <v/>
      </c>
      <c r="E101" t="s">
        <v>135</v>
      </c>
    </row>
    <row r="102" spans="1:5" x14ac:dyDescent="0.2">
      <c r="A102" t="e" cm="1">
        <f t="array" ref="A102">INDEX(D!A3:A4^NA(),2)</f>
        <v>#N/A</v>
      </c>
      <c r="B102">
        <f t="shared" si="3"/>
        <v>7</v>
      </c>
      <c r="C102">
        <f t="shared" si="4"/>
        <v>0</v>
      </c>
      <c r="D102" t="str">
        <f t="shared" si="5"/>
        <v/>
      </c>
      <c r="E102" t="s">
        <v>136</v>
      </c>
    </row>
    <row r="103" spans="1:5" x14ac:dyDescent="0.2">
      <c r="A103" t="e" cm="1">
        <f t="array" ref="A103">INDEX({"a",1}^{#N/A,2},1,1)</f>
        <v>#VALUE!</v>
      </c>
      <c r="B103">
        <f t="shared" si="3"/>
        <v>3</v>
      </c>
      <c r="C103">
        <f t="shared" si="4"/>
        <v>0</v>
      </c>
      <c r="D103" t="str">
        <f t="shared" si="5"/>
        <v/>
      </c>
      <c r="E103" t="s">
        <v>137</v>
      </c>
    </row>
    <row r="104" spans="1:5" x14ac:dyDescent="0.2">
      <c r="A104" t="e" cm="1">
        <f t="array" ref="A104">INDEX(-{"a",#N/A},1,1)</f>
        <v>#VALUE!</v>
      </c>
      <c r="B104">
        <f t="shared" si="3"/>
        <v>3</v>
      </c>
      <c r="C104">
        <f t="shared" si="4"/>
        <v>0</v>
      </c>
      <c r="D104" t="str">
        <f t="shared" si="5"/>
        <v/>
      </c>
      <c r="E104" t="s">
        <v>138</v>
      </c>
    </row>
    <row r="105" spans="1:5" x14ac:dyDescent="0.2">
      <c r="A105" t="e" cm="1">
        <f t="array" ref="A105">INDEX({"a";2}={#N/A;2},1)</f>
        <v>#N/A</v>
      </c>
      <c r="B105">
        <f t="shared" si="3"/>
        <v>7</v>
      </c>
      <c r="C105">
        <f t="shared" si="4"/>
        <v>0</v>
      </c>
      <c r="D105" t="str">
        <f t="shared" si="5"/>
        <v/>
      </c>
      <c r="E105" t="s">
        <v>139</v>
      </c>
    </row>
    <row r="106" spans="1:5" x14ac:dyDescent="0.2">
      <c r="A106" cm="1">
        <f t="array" ref="A106">TYPE({1}+0)</f>
        <v>64</v>
      </c>
      <c r="B106">
        <f t="shared" si="3"/>
        <v>0</v>
      </c>
      <c r="C106">
        <f t="shared" si="4"/>
        <v>64</v>
      </c>
      <c r="D106" t="str">
        <f t="shared" si="5"/>
        <v/>
      </c>
      <c r="E106" t="s">
        <v>140</v>
      </c>
    </row>
    <row r="107" spans="1:5" x14ac:dyDescent="0.2">
      <c r="A107" cm="1">
        <f t="array" ref="A107">TYPE(0+{1})</f>
        <v>64</v>
      </c>
      <c r="B107">
        <f t="shared" si="3"/>
        <v>0</v>
      </c>
      <c r="C107">
        <f t="shared" si="4"/>
        <v>64</v>
      </c>
      <c r="D107" t="str">
        <f t="shared" si="5"/>
        <v/>
      </c>
      <c r="E107" t="s">
        <v>141</v>
      </c>
    </row>
    <row r="108" spans="1:5" x14ac:dyDescent="0.2">
      <c r="A108" cm="1">
        <f t="array" ref="A108">TYPE(-{1})</f>
        <v>64</v>
      </c>
      <c r="B108">
        <f t="shared" si="3"/>
        <v>0</v>
      </c>
      <c r="C108">
        <f t="shared" si="4"/>
        <v>64</v>
      </c>
      <c r="D108" t="str">
        <f t="shared" si="5"/>
        <v/>
      </c>
      <c r="E108" t="s">
        <v>142</v>
      </c>
    </row>
    <row r="109" spans="1:5" x14ac:dyDescent="0.2">
      <c r="A109" cm="1">
        <f t="array" ref="A109">TYPE({1}%)</f>
        <v>64</v>
      </c>
      <c r="B109">
        <f t="shared" si="3"/>
        <v>0</v>
      </c>
      <c r="C109">
        <f t="shared" si="4"/>
        <v>64</v>
      </c>
      <c r="D109" t="str">
        <f t="shared" si="5"/>
        <v/>
      </c>
      <c r="E109" t="s">
        <v>143</v>
      </c>
    </row>
    <row r="110" spans="1:5" x14ac:dyDescent="0.2">
      <c r="A110" cm="1">
        <f t="array" ref="A110">TYPE({1}&amp;"")</f>
        <v>64</v>
      </c>
      <c r="B110">
        <f t="shared" si="3"/>
        <v>0</v>
      </c>
      <c r="C110">
        <f t="shared" si="4"/>
        <v>64</v>
      </c>
      <c r="D110" t="str">
        <f t="shared" si="5"/>
        <v/>
      </c>
      <c r="E110" t="s">
        <v>144</v>
      </c>
    </row>
    <row r="111" spans="1:5" x14ac:dyDescent="0.2">
      <c r="A111" cm="1">
        <f t="array" ref="A111">TYPE({1}={1})</f>
        <v>64</v>
      </c>
      <c r="B111">
        <f t="shared" si="3"/>
        <v>0</v>
      </c>
      <c r="C111">
        <f t="shared" si="4"/>
        <v>64</v>
      </c>
      <c r="D111" t="str">
        <f t="shared" si="5"/>
        <v/>
      </c>
      <c r="E111" t="s">
        <v>145</v>
      </c>
    </row>
    <row r="112" spans="1:5" x14ac:dyDescent="0.2">
      <c r="A112" cm="1">
        <f t="array" ref="A112">TYPE({1}&gt;=TRUE)</f>
        <v>64</v>
      </c>
      <c r="B112">
        <f t="shared" si="3"/>
        <v>0</v>
      </c>
      <c r="C112">
        <f t="shared" si="4"/>
        <v>64</v>
      </c>
      <c r="D112" t="str">
        <f t="shared" si="5"/>
        <v/>
      </c>
      <c r="E112" t="s">
        <v>146</v>
      </c>
    </row>
    <row r="113" spans="1:5" x14ac:dyDescent="0.2">
      <c r="A113" cm="1">
        <f t="array" ref="A113">TYPE({1}+D!B1)</f>
        <v>64</v>
      </c>
      <c r="B113">
        <f t="shared" si="3"/>
        <v>0</v>
      </c>
      <c r="C113">
        <f t="shared" si="4"/>
        <v>64</v>
      </c>
      <c r="D113" t="str">
        <f t="shared" si="5"/>
        <v/>
      </c>
      <c r="E113" t="s">
        <v>147</v>
      </c>
    </row>
    <row r="114" spans="1:5" x14ac:dyDescent="0.2">
      <c r="A114" cm="1">
        <f t="array" ref="A114">TYPE(+{1})</f>
        <v>64</v>
      </c>
      <c r="B114">
        <f t="shared" si="3"/>
        <v>0</v>
      </c>
      <c r="C114">
        <f t="shared" si="4"/>
        <v>64</v>
      </c>
      <c r="D114" t="str">
        <f t="shared" si="5"/>
        <v/>
      </c>
      <c r="E114" t="s">
        <v>148</v>
      </c>
    </row>
    <row r="115" spans="1:5" x14ac:dyDescent="0.2">
      <c r="A115" cm="1">
        <f t="array" ref="A115">TYPE(D!B1:B1+0)</f>
        <v>1</v>
      </c>
      <c r="B115">
        <f t="shared" si="3"/>
        <v>0</v>
      </c>
      <c r="C115">
        <f t="shared" si="4"/>
        <v>1</v>
      </c>
      <c r="D115" t="str">
        <f t="shared" si="5"/>
        <v/>
      </c>
      <c r="E115" t="s">
        <v>149</v>
      </c>
    </row>
    <row r="116" spans="1:5" x14ac:dyDescent="0.2">
      <c r="A116" cm="1">
        <f t="array" ref="A116">TYPE(D!B1+0)</f>
        <v>1</v>
      </c>
      <c r="B116">
        <f t="shared" si="3"/>
        <v>0</v>
      </c>
      <c r="C116">
        <f t="shared" si="4"/>
        <v>1</v>
      </c>
      <c r="D116" t="str">
        <f t="shared" si="5"/>
        <v/>
      </c>
      <c r="E116" t="s">
        <v>150</v>
      </c>
    </row>
    <row r="117" spans="1:5" x14ac:dyDescent="0.2">
      <c r="A117" cm="1">
        <f t="array" ref="A117">TYPE(INDEX(D!B1:B8,1)+0)</f>
        <v>1</v>
      </c>
      <c r="B117">
        <f t="shared" si="3"/>
        <v>0</v>
      </c>
      <c r="C117">
        <f t="shared" si="4"/>
        <v>1</v>
      </c>
      <c r="D117" t="str">
        <f t="shared" si="5"/>
        <v/>
      </c>
      <c r="E117" t="s">
        <v>151</v>
      </c>
    </row>
    <row r="118" spans="1:5" x14ac:dyDescent="0.2">
      <c r="A118" cm="1">
        <f t="array" ref="A118">TYPE(_xlfn.TAKE(D!B1:B8,1)+0)</f>
        <v>1</v>
      </c>
      <c r="B118">
        <f t="shared" si="3"/>
        <v>0</v>
      </c>
      <c r="C118">
        <f t="shared" si="4"/>
        <v>1</v>
      </c>
      <c r="D118" t="str">
        <f t="shared" si="5"/>
        <v/>
      </c>
      <c r="E118" t="s">
        <v>152</v>
      </c>
    </row>
    <row r="119" spans="1:5" x14ac:dyDescent="0.2">
      <c r="A119" cm="1">
        <f t="array" ref="A119">TYPE(INDEX({1;2},1,0)+0)</f>
        <v>64</v>
      </c>
      <c r="B119">
        <f t="shared" si="3"/>
        <v>0</v>
      </c>
      <c r="C119">
        <f t="shared" si="4"/>
        <v>64</v>
      </c>
      <c r="D119" t="str">
        <f t="shared" si="5"/>
        <v/>
      </c>
      <c r="E119" t="s">
        <v>153</v>
      </c>
    </row>
    <row r="120" spans="1:5" x14ac:dyDescent="0.2">
      <c r="A120" cm="1">
        <f t="array" ref="A120">TYPE(_xlfn.SEQUENCE(1)+0)</f>
        <v>64</v>
      </c>
      <c r="B120">
        <f t="shared" si="3"/>
        <v>0</v>
      </c>
      <c r="C120">
        <f t="shared" si="4"/>
        <v>64</v>
      </c>
      <c r="D120" t="str">
        <f t="shared" si="5"/>
        <v/>
      </c>
      <c r="E120" t="s">
        <v>154</v>
      </c>
    </row>
    <row r="121" spans="1:5" x14ac:dyDescent="0.2">
      <c r="A121" cm="1">
        <f t="array" ref="A121">TYPE(TRANSPOSE({1})*1)</f>
        <v>64</v>
      </c>
      <c r="B121">
        <f t="shared" si="3"/>
        <v>0</v>
      </c>
      <c r="C121">
        <f t="shared" si="4"/>
        <v>64</v>
      </c>
      <c r="D121" t="str">
        <f t="shared" si="5"/>
        <v/>
      </c>
      <c r="E121" t="s">
        <v>155</v>
      </c>
    </row>
    <row r="122" spans="1:5" x14ac:dyDescent="0.2">
      <c r="A122" t="e" cm="1">
        <f t="array" ref="A122">DEVSQ({1}&gt;=TRUE)</f>
        <v>#NUM!</v>
      </c>
      <c r="B122">
        <f t="shared" si="3"/>
        <v>6</v>
      </c>
      <c r="C122">
        <f t="shared" si="4"/>
        <v>0</v>
      </c>
      <c r="D122" t="str">
        <f t="shared" si="5"/>
        <v/>
      </c>
      <c r="E122" t="s">
        <v>156</v>
      </c>
    </row>
    <row r="123" spans="1:5" x14ac:dyDescent="0.2">
      <c r="A123" cm="1">
        <f t="array" ref="A123">COUNT({"2"}&amp;"")</f>
        <v>0</v>
      </c>
      <c r="B123">
        <f t="shared" si="3"/>
        <v>0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cm="1">
        <f t="array" ref="A124">COUNT("2"&amp;"")</f>
        <v>1</v>
      </c>
      <c r="B124">
        <f t="shared" si="3"/>
        <v>0</v>
      </c>
      <c r="C124">
        <f t="shared" si="4"/>
        <v>1</v>
      </c>
      <c r="D124" t="str">
        <f t="shared" si="5"/>
        <v/>
      </c>
      <c r="E124" t="s">
        <v>158</v>
      </c>
    </row>
    <row r="125" spans="1:5" x14ac:dyDescent="0.2">
      <c r="A125" cm="1">
        <f t="array" ref="A125">SUM({TRUE}=TRUE)</f>
        <v>0</v>
      </c>
      <c r="B125">
        <f t="shared" si="3"/>
        <v>0</v>
      </c>
      <c r="C125">
        <f t="shared" si="4"/>
        <v>0</v>
      </c>
      <c r="D125" t="str">
        <f t="shared" si="5"/>
        <v/>
      </c>
      <c r="E125" t="s">
        <v>159</v>
      </c>
    </row>
    <row r="126" spans="1:5" x14ac:dyDescent="0.2">
      <c r="A126" cm="1">
        <f t="array" ref="A126">SUM(TRUE=TRUE)</f>
        <v>1</v>
      </c>
      <c r="B126">
        <f t="shared" si="3"/>
        <v>0</v>
      </c>
      <c r="C126">
        <f t="shared" si="4"/>
        <v>1</v>
      </c>
      <c r="D126" t="str">
        <f t="shared" si="5"/>
        <v/>
      </c>
      <c r="E126" t="s">
        <v>160</v>
      </c>
    </row>
    <row r="127" spans="1:5" x14ac:dyDescent="0.2">
      <c r="A127" t="e" cm="1">
        <f t="array" ref="A127">AVERAGE({TRUE}=TRUE)</f>
        <v>#DIV/0!</v>
      </c>
      <c r="B127">
        <f t="shared" si="3"/>
        <v>2</v>
      </c>
      <c r="C127">
        <f t="shared" si="4"/>
        <v>0</v>
      </c>
      <c r="D127" t="str">
        <f t="shared" si="5"/>
        <v/>
      </c>
      <c r="E127" t="s">
        <v>161</v>
      </c>
    </row>
    <row r="128" spans="1:5" x14ac:dyDescent="0.2">
      <c r="A128" cm="1">
        <f t="array" ref="A128">MAXA({"x"}&amp;"")</f>
        <v>0</v>
      </c>
      <c r="B128">
        <f t="shared" si="3"/>
        <v>0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cm="1">
        <f t="array" ref="A129">SUM({1}+0)</f>
        <v>1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1</v>
      </c>
      <c r="D129" t="str">
        <f t="shared" ref="D129:D192" si="8">IF(ISTEXT(A129),A129,"")</f>
        <v/>
      </c>
      <c r="E129" t="s">
        <v>163</v>
      </c>
    </row>
    <row r="130" spans="1:5" x14ac:dyDescent="0.2">
      <c r="A130" cm="1">
        <f t="array" ref="A130">TYPE(ABS({-1}))</f>
        <v>64</v>
      </c>
      <c r="B130">
        <f t="shared" si="6"/>
        <v>0</v>
      </c>
      <c r="C130">
        <f t="shared" si="7"/>
        <v>64</v>
      </c>
      <c r="D130" t="str">
        <f t="shared" si="8"/>
        <v/>
      </c>
      <c r="E130" t="s">
        <v>164</v>
      </c>
    </row>
    <row r="131" spans="1:5" x14ac:dyDescent="0.2">
      <c r="A131" cm="1">
        <f t="array" ref="A131">TYPE(LEN({"ab"}))</f>
        <v>64</v>
      </c>
      <c r="B131">
        <f t="shared" si="6"/>
        <v>0</v>
      </c>
      <c r="C131">
        <f t="shared" si="7"/>
        <v>64</v>
      </c>
      <c r="D131" t="str">
        <f t="shared" si="8"/>
        <v/>
      </c>
      <c r="E131" t="s">
        <v>165</v>
      </c>
    </row>
    <row r="132" spans="1:5" x14ac:dyDescent="0.2">
      <c r="A132" cm="1">
        <f t="array" ref="A132">TYPE(ROUND({1.5},0))</f>
        <v>64</v>
      </c>
      <c r="B132">
        <f t="shared" si="6"/>
        <v>0</v>
      </c>
      <c r="C132">
        <f t="shared" si="7"/>
        <v>64</v>
      </c>
      <c r="D132" t="str">
        <f t="shared" si="8"/>
        <v/>
      </c>
      <c r="E132" t="s">
        <v>166</v>
      </c>
    </row>
    <row r="133" spans="1:5" x14ac:dyDescent="0.2">
      <c r="A133" cm="1">
        <f t="array" ref="A133">TYPE(DATE({2025},1,1))</f>
        <v>64</v>
      </c>
      <c r="B133">
        <f t="shared" si="6"/>
        <v>0</v>
      </c>
      <c r="C133">
        <f t="shared" si="7"/>
        <v>64</v>
      </c>
      <c r="D133" t="str">
        <f t="shared" si="8"/>
        <v/>
      </c>
      <c r="E133" t="s">
        <v>167</v>
      </c>
    </row>
    <row r="134" spans="1:5" x14ac:dyDescent="0.2">
      <c r="A134" cm="1">
        <f t="array" ref="A134">TYPE(INDEX({10,20},1,{2}))</f>
        <v>64</v>
      </c>
      <c r="B134">
        <f t="shared" si="6"/>
        <v>0</v>
      </c>
      <c r="C134">
        <f t="shared" si="7"/>
        <v>64</v>
      </c>
      <c r="D134" t="str">
        <f t="shared" si="8"/>
        <v/>
      </c>
      <c r="E134" t="s">
        <v>168</v>
      </c>
    </row>
    <row r="135" spans="1:5" x14ac:dyDescent="0.2">
      <c r="A135" cm="1">
        <f t="array" ref="A135">TYPE(MATCH(5,D!L1:L6,{0}))</f>
        <v>64</v>
      </c>
      <c r="B135">
        <f t="shared" si="6"/>
        <v>0</v>
      </c>
      <c r="C135">
        <f t="shared" si="7"/>
        <v>64</v>
      </c>
      <c r="D135" t="str">
        <f t="shared" si="8"/>
        <v/>
      </c>
      <c r="E135" t="s">
        <v>169</v>
      </c>
    </row>
    <row r="136" spans="1:5" x14ac:dyDescent="0.2">
      <c r="A136" cm="1">
        <f t="array" ref="A136">TYPE(COUNTIF(D!B1:B8,{4}))</f>
        <v>64</v>
      </c>
      <c r="B136">
        <f t="shared" si="6"/>
        <v>0</v>
      </c>
      <c r="C136">
        <f t="shared" si="7"/>
        <v>64</v>
      </c>
      <c r="D136" t="str">
        <f t="shared" si="8"/>
        <v/>
      </c>
      <c r="E136" t="s">
        <v>170</v>
      </c>
    </row>
    <row r="137" spans="1:5" x14ac:dyDescent="0.2">
      <c r="A137" cm="1">
        <f t="array" ref="A137">TYPE(N({1}))</f>
        <v>64</v>
      </c>
      <c r="B137">
        <f t="shared" si="6"/>
        <v>0</v>
      </c>
      <c r="C137">
        <f t="shared" si="7"/>
        <v>64</v>
      </c>
      <c r="D137" t="str">
        <f t="shared" si="8"/>
        <v/>
      </c>
      <c r="E137" t="s">
        <v>171</v>
      </c>
    </row>
    <row r="138" spans="1:5" x14ac:dyDescent="0.2">
      <c r="A138" cm="1">
        <f t="array" ref="A138">TYPE(T({"a"}))</f>
        <v>64</v>
      </c>
      <c r="B138">
        <f t="shared" si="6"/>
        <v>0</v>
      </c>
      <c r="C138">
        <f t="shared" si="7"/>
        <v>64</v>
      </c>
      <c r="D138" t="str">
        <f t="shared" si="8"/>
        <v/>
      </c>
      <c r="E138" t="s">
        <v>172</v>
      </c>
    </row>
    <row r="139" spans="1:5" x14ac:dyDescent="0.2">
      <c r="A139" cm="1">
        <f t="array" ref="A139">TYPE(ISNUMBER({1}))</f>
        <v>64</v>
      </c>
      <c r="B139">
        <f t="shared" si="6"/>
        <v>0</v>
      </c>
      <c r="C139">
        <f t="shared" si="7"/>
        <v>64</v>
      </c>
      <c r="D139" t="str">
        <f t="shared" si="8"/>
        <v/>
      </c>
      <c r="E139" t="s">
        <v>173</v>
      </c>
    </row>
    <row r="140" spans="1:5" x14ac:dyDescent="0.2">
      <c r="A140" cm="1">
        <f t="array" ref="A140">TYPE(MID({"abc"},1,1))</f>
        <v>64</v>
      </c>
      <c r="B140">
        <f t="shared" si="6"/>
        <v>0</v>
      </c>
      <c r="C140">
        <f t="shared" si="7"/>
        <v>64</v>
      </c>
      <c r="D140" t="str">
        <f t="shared" si="8"/>
        <v/>
      </c>
      <c r="E140" t="s">
        <v>174</v>
      </c>
    </row>
    <row r="141" spans="1:5" x14ac:dyDescent="0.2">
      <c r="A141" cm="1">
        <f t="array" ref="A141">TYPE(SUM({1}))</f>
        <v>1</v>
      </c>
      <c r="B141">
        <f t="shared" si="6"/>
        <v>0</v>
      </c>
      <c r="C141">
        <f t="shared" si="7"/>
        <v>1</v>
      </c>
      <c r="D141" t="str">
        <f t="shared" si="8"/>
        <v/>
      </c>
      <c r="E141" t="s">
        <v>175</v>
      </c>
    </row>
    <row r="142" spans="1:5" x14ac:dyDescent="0.2">
      <c r="A142" cm="1">
        <f t="array" ref="A142">TYPE(SUMPRODUCT({1}+0))</f>
        <v>1</v>
      </c>
      <c r="B142">
        <f t="shared" si="6"/>
        <v>0</v>
      </c>
      <c r="C142">
        <f t="shared" si="7"/>
        <v>1</v>
      </c>
      <c r="D142" t="str">
        <f t="shared" si="8"/>
        <v/>
      </c>
      <c r="E142" t="s">
        <v>176</v>
      </c>
    </row>
    <row r="143" spans="1:5" x14ac:dyDescent="0.2">
      <c r="A143" cm="1">
        <f t="array" ref="A143">TYPE(_xlfn.XLOOKUP(5,D!L1:L6,D!M1:M6)&amp;"")</f>
        <v>2</v>
      </c>
      <c r="B143">
        <f t="shared" si="6"/>
        <v>0</v>
      </c>
      <c r="C143">
        <f t="shared" si="7"/>
        <v>2</v>
      </c>
      <c r="D143" t="str">
        <f t="shared" si="8"/>
        <v/>
      </c>
      <c r="E143" t="s">
        <v>177</v>
      </c>
    </row>
    <row r="144" spans="1:5" x14ac:dyDescent="0.2">
      <c r="A144" cm="1">
        <f t="array" ref="A144">TYPE(IF({TRUE},1,2))</f>
        <v>64</v>
      </c>
      <c r="B144">
        <f t="shared" si="6"/>
        <v>0</v>
      </c>
      <c r="C144">
        <f t="shared" si="7"/>
        <v>64</v>
      </c>
      <c r="D144" t="str">
        <f t="shared" si="8"/>
        <v/>
      </c>
      <c r="E144" t="s">
        <v>178</v>
      </c>
    </row>
    <row r="145" spans="1:5" x14ac:dyDescent="0.2">
      <c r="A145" cm="1">
        <f t="array" ref="A145">TYPE(IF(TRUE,{1},2))</f>
        <v>64</v>
      </c>
      <c r="B145">
        <f t="shared" si="6"/>
        <v>0</v>
      </c>
      <c r="C145">
        <f t="shared" si="7"/>
        <v>64</v>
      </c>
      <c r="D145" t="str">
        <f t="shared" si="8"/>
        <v/>
      </c>
      <c r="E145" t="s">
        <v>179</v>
      </c>
    </row>
    <row r="146" spans="1:5" x14ac:dyDescent="0.2">
      <c r="A146" cm="1">
        <f t="array" ref="A146">TYPE(IF(TRUE,{1},2)+0)</f>
        <v>64</v>
      </c>
      <c r="B146">
        <f t="shared" si="6"/>
        <v>0</v>
      </c>
      <c r="C146">
        <f t="shared" si="7"/>
        <v>64</v>
      </c>
      <c r="D146" t="str">
        <f t="shared" si="8"/>
        <v/>
      </c>
      <c r="E146" t="s">
        <v>180</v>
      </c>
    </row>
    <row r="147" spans="1:5" x14ac:dyDescent="0.2">
      <c r="A147" cm="1">
        <f t="array" ref="A147">TYPE(IFERROR({1},0))</f>
        <v>64</v>
      </c>
      <c r="B147">
        <f t="shared" si="6"/>
        <v>0</v>
      </c>
      <c r="C147">
        <f t="shared" si="7"/>
        <v>64</v>
      </c>
      <c r="D147" t="str">
        <f t="shared" si="8"/>
        <v/>
      </c>
      <c r="E147" t="s">
        <v>181</v>
      </c>
    </row>
    <row r="148" spans="1:5" x14ac:dyDescent="0.2">
      <c r="A148" cm="1">
        <f t="array" ref="A148">TYPE(IFERROR({1}/0,0))</f>
        <v>64</v>
      </c>
      <c r="B148">
        <f t="shared" si="6"/>
        <v>0</v>
      </c>
      <c r="C148">
        <f t="shared" si="7"/>
        <v>64</v>
      </c>
      <c r="D148" t="str">
        <f t="shared" si="8"/>
        <v/>
      </c>
      <c r="E148" t="s">
        <v>182</v>
      </c>
    </row>
    <row r="149" spans="1:5" x14ac:dyDescent="0.2">
      <c r="A149" cm="1">
        <f t="array" ref="A149">TYPE(CHOOSE({1},1,2))</f>
        <v>64</v>
      </c>
      <c r="B149">
        <f t="shared" si="6"/>
        <v>0</v>
      </c>
      <c r="C149">
        <f t="shared" si="7"/>
        <v>64</v>
      </c>
      <c r="D149" t="str">
        <f t="shared" si="8"/>
        <v/>
      </c>
      <c r="E149" t="s">
        <v>183</v>
      </c>
    </row>
    <row r="150" spans="1:5" x14ac:dyDescent="0.2">
      <c r="A150" cm="1">
        <f t="array" ref="A150">TYPE(CHOOSE(1,{1},2)+0)</f>
        <v>64</v>
      </c>
      <c r="B150">
        <f t="shared" si="6"/>
        <v>0</v>
      </c>
      <c r="C150">
        <f t="shared" si="7"/>
        <v>64</v>
      </c>
      <c r="D150" t="str">
        <f t="shared" si="8"/>
        <v/>
      </c>
      <c r="E150" t="s">
        <v>184</v>
      </c>
    </row>
    <row r="151" spans="1:5" x14ac:dyDescent="0.2">
      <c r="A151" cm="1">
        <f t="array" ref="A151">TYPE(_xlfn.SWITCH({1},1,"a"))</f>
        <v>64</v>
      </c>
      <c r="B151">
        <f t="shared" si="6"/>
        <v>0</v>
      </c>
      <c r="C151">
        <f t="shared" si="7"/>
        <v>64</v>
      </c>
      <c r="D151" t="str">
        <f t="shared" si="8"/>
        <v/>
      </c>
      <c r="E151" t="s">
        <v>185</v>
      </c>
    </row>
    <row r="152" spans="1:5" x14ac:dyDescent="0.2">
      <c r="A152" cm="1">
        <f t="array" ref="A152">TYPE(_xlfn.IFS({TRUE},1))</f>
        <v>64</v>
      </c>
      <c r="B152">
        <f t="shared" si="6"/>
        <v>0</v>
      </c>
      <c r="C152">
        <f t="shared" si="7"/>
        <v>64</v>
      </c>
      <c r="D152" t="str">
        <f t="shared" si="8"/>
        <v/>
      </c>
      <c r="E152" t="s">
        <v>186</v>
      </c>
    </row>
    <row r="153" spans="1:5" x14ac:dyDescent="0.2">
      <c r="A153" cm="1">
        <f t="array" ref="A153">TYPE(TRANSPOSE(5))</f>
        <v>1</v>
      </c>
      <c r="B153">
        <f t="shared" si="6"/>
        <v>0</v>
      </c>
      <c r="C153">
        <f t="shared" si="7"/>
        <v>1</v>
      </c>
      <c r="D153" t="str">
        <f t="shared" si="8"/>
        <v/>
      </c>
      <c r="E153" t="s">
        <v>187</v>
      </c>
    </row>
    <row r="154" spans="1:5" x14ac:dyDescent="0.2">
      <c r="A154" cm="1">
        <f t="array" ref="A154">TYPE(_xlfn._xlws.SORT(5))</f>
        <v>64</v>
      </c>
      <c r="B154">
        <f t="shared" si="6"/>
        <v>0</v>
      </c>
      <c r="C154">
        <f t="shared" si="7"/>
        <v>64</v>
      </c>
      <c r="D154" t="str">
        <f t="shared" si="8"/>
        <v/>
      </c>
      <c r="E154" t="s">
        <v>188</v>
      </c>
    </row>
    <row r="155" spans="1:5" x14ac:dyDescent="0.2">
      <c r="A155" cm="1">
        <f t="array" ref="A155">TYPE(_xlfn.UNIQUE(5))</f>
        <v>64</v>
      </c>
      <c r="B155">
        <f t="shared" si="6"/>
        <v>0</v>
      </c>
      <c r="C155">
        <f t="shared" si="7"/>
        <v>64</v>
      </c>
      <c r="D155" t="str">
        <f t="shared" si="8"/>
        <v/>
      </c>
      <c r="E155" t="s">
        <v>189</v>
      </c>
    </row>
    <row r="156" spans="1:5" x14ac:dyDescent="0.2">
      <c r="A156" cm="1">
        <f t="array" ref="A156">TYPE(MMULT(2,3))</f>
        <v>64</v>
      </c>
      <c r="B156">
        <f t="shared" si="6"/>
        <v>0</v>
      </c>
      <c r="C156">
        <f t="shared" si="7"/>
        <v>64</v>
      </c>
      <c r="D156" t="str">
        <f t="shared" si="8"/>
        <v/>
      </c>
      <c r="E156" t="s">
        <v>190</v>
      </c>
    </row>
    <row r="157" spans="1:5" x14ac:dyDescent="0.2">
      <c r="A157" cm="1">
        <f t="array" ref="A157">TYPE(_xlfn.VSTACK(5))</f>
        <v>64</v>
      </c>
      <c r="B157">
        <f t="shared" si="6"/>
        <v>0</v>
      </c>
      <c r="C157">
        <f t="shared" si="7"/>
        <v>64</v>
      </c>
      <c r="D157" t="str">
        <f t="shared" si="8"/>
        <v/>
      </c>
      <c r="E157" t="s">
        <v>191</v>
      </c>
    </row>
    <row r="158" spans="1:5" x14ac:dyDescent="0.2">
      <c r="A158" cm="1">
        <f t="array" ref="A158">TYPE(_xlfn.TAKE({1,2},1,1))</f>
        <v>64</v>
      </c>
      <c r="B158">
        <f t="shared" si="6"/>
        <v>0</v>
      </c>
      <c r="C158">
        <f t="shared" si="7"/>
        <v>64</v>
      </c>
      <c r="D158" t="str">
        <f t="shared" si="8"/>
        <v/>
      </c>
      <c r="E158" t="s">
        <v>192</v>
      </c>
    </row>
    <row r="159" spans="1:5" x14ac:dyDescent="0.2">
      <c r="A159" cm="1">
        <f t="array" ref="A159">TYPE(_xlfn._xlws.FILTER({1,2},{1,0}))</f>
        <v>64</v>
      </c>
      <c r="B159">
        <f t="shared" si="6"/>
        <v>0</v>
      </c>
      <c r="C159">
        <f t="shared" si="7"/>
        <v>64</v>
      </c>
      <c r="D159" t="str">
        <f t="shared" si="8"/>
        <v/>
      </c>
      <c r="E159" t="s">
        <v>193</v>
      </c>
    </row>
    <row r="160" spans="1:5" x14ac:dyDescent="0.2">
      <c r="A160" cm="1">
        <f t="array" ref="A160">TYPE(TRANSPOSE(D!B1))</f>
        <v>1</v>
      </c>
      <c r="B160">
        <f t="shared" si="6"/>
        <v>0</v>
      </c>
      <c r="C160">
        <f t="shared" si="7"/>
        <v>1</v>
      </c>
      <c r="D160" t="str">
        <f t="shared" si="8"/>
        <v/>
      </c>
      <c r="E160" t="s">
        <v>194</v>
      </c>
    </row>
    <row r="161" spans="1:5" x14ac:dyDescent="0.2">
      <c r="A161" cm="1">
        <f t="array" ref="A161">TYPE(TRANSPOSE("a"))</f>
        <v>2</v>
      </c>
      <c r="B161">
        <f t="shared" si="6"/>
        <v>0</v>
      </c>
      <c r="C161">
        <f t="shared" si="7"/>
        <v>2</v>
      </c>
      <c r="D161" t="str">
        <f t="shared" si="8"/>
        <v/>
      </c>
      <c r="E161" t="s">
        <v>195</v>
      </c>
    </row>
    <row r="162" spans="1:5" x14ac:dyDescent="0.2">
      <c r="A162" cm="1">
        <f t="array" ref="A162">TYPE(TRANSPOSE({5}))</f>
        <v>64</v>
      </c>
      <c r="B162">
        <f t="shared" si="6"/>
        <v>0</v>
      </c>
      <c r="C162">
        <f t="shared" si="7"/>
        <v>64</v>
      </c>
      <c r="D162" t="str">
        <f t="shared" si="8"/>
        <v/>
      </c>
      <c r="E162" t="s">
        <v>196</v>
      </c>
    </row>
    <row r="163" spans="1:5" x14ac:dyDescent="0.2">
      <c r="A163" cm="1">
        <f t="array" ref="A163">TYPE(_xlfn.TOCOL(5))</f>
        <v>64</v>
      </c>
      <c r="B163">
        <f t="shared" si="6"/>
        <v>0</v>
      </c>
      <c r="C163">
        <f t="shared" si="7"/>
        <v>64</v>
      </c>
      <c r="D163" t="str">
        <f t="shared" si="8"/>
        <v/>
      </c>
      <c r="E163" t="s">
        <v>197</v>
      </c>
    </row>
    <row r="164" spans="1:5" x14ac:dyDescent="0.2">
      <c r="A164" cm="1">
        <f t="array" ref="A164">TYPE(_xlfn.EXPAND(5,1))</f>
        <v>64</v>
      </c>
      <c r="B164">
        <f t="shared" si="6"/>
        <v>0</v>
      </c>
      <c r="C164">
        <f t="shared" si="7"/>
        <v>64</v>
      </c>
      <c r="D164" t="str">
        <f t="shared" si="8"/>
        <v/>
      </c>
      <c r="E164" t="s">
        <v>198</v>
      </c>
    </row>
    <row r="165" spans="1:5" x14ac:dyDescent="0.2">
      <c r="A165" cm="1">
        <f t="array" ref="A165">TYPE(_xlfn._xlws.SORT(D!B1))</f>
        <v>64</v>
      </c>
      <c r="B165">
        <f t="shared" si="6"/>
        <v>0</v>
      </c>
      <c r="C165">
        <f t="shared" si="7"/>
        <v>64</v>
      </c>
      <c r="D165" t="str">
        <f t="shared" si="8"/>
        <v/>
      </c>
      <c r="E165" t="s">
        <v>199</v>
      </c>
    </row>
    <row r="166" spans="1:5" x14ac:dyDescent="0.2">
      <c r="A166" cm="1">
        <f t="array" ref="A166">TYPE(_xlfn.UNIQUE(D!B1))</f>
        <v>64</v>
      </c>
      <c r="B166">
        <f t="shared" si="6"/>
        <v>0</v>
      </c>
      <c r="C166">
        <f t="shared" si="7"/>
        <v>64</v>
      </c>
      <c r="D166" t="str">
        <f t="shared" si="8"/>
        <v/>
      </c>
      <c r="E166" t="s">
        <v>200</v>
      </c>
    </row>
    <row r="167" spans="1:5" x14ac:dyDescent="0.2">
      <c r="A167" cm="1">
        <f t="array" ref="A167">TYPE(MMULT(D!B1,D!C1))</f>
        <v>64</v>
      </c>
      <c r="B167">
        <f t="shared" si="6"/>
        <v>0</v>
      </c>
      <c r="C167">
        <f t="shared" si="7"/>
        <v>64</v>
      </c>
      <c r="D167" t="str">
        <f t="shared" si="8"/>
        <v/>
      </c>
      <c r="E167" t="s">
        <v>201</v>
      </c>
    </row>
    <row r="168" spans="1:5" x14ac:dyDescent="0.2">
      <c r="A168" cm="1">
        <f t="array" ref="A168">TYPE(_xlfn.CHOOSECOLS(5,1))</f>
        <v>64</v>
      </c>
      <c r="B168">
        <f t="shared" si="6"/>
        <v>0</v>
      </c>
      <c r="C168">
        <f t="shared" si="7"/>
        <v>64</v>
      </c>
      <c r="D168" t="str">
        <f t="shared" si="8"/>
        <v/>
      </c>
      <c r="E168" t="s">
        <v>202</v>
      </c>
    </row>
    <row r="169" spans="1:5" x14ac:dyDescent="0.2">
      <c r="A169" cm="1">
        <f t="array" ref="A169">TYPE(_xlfn.WRAPROWS(5,1))</f>
        <v>64</v>
      </c>
      <c r="B169">
        <f t="shared" si="6"/>
        <v>0</v>
      </c>
      <c r="C169">
        <f t="shared" si="7"/>
        <v>64</v>
      </c>
      <c r="D169" t="str">
        <f t="shared" si="8"/>
        <v/>
      </c>
      <c r="E169" t="s">
        <v>203</v>
      </c>
    </row>
    <row r="170" spans="1:5" x14ac:dyDescent="0.2">
      <c r="A170" cm="1">
        <f t="array" ref="A170">TYPE(MINVERSE(2))</f>
        <v>64</v>
      </c>
      <c r="B170">
        <f t="shared" si="6"/>
        <v>0</v>
      </c>
      <c r="C170">
        <f t="shared" si="7"/>
        <v>64</v>
      </c>
      <c r="D170" t="str">
        <f t="shared" si="8"/>
        <v/>
      </c>
      <c r="E170" t="s">
        <v>204</v>
      </c>
    </row>
    <row r="171" spans="1:5" x14ac:dyDescent="0.2">
      <c r="A171" cm="1">
        <f t="array" ref="A171">TYPE(_xlfn.MUNIT(1))</f>
        <v>64</v>
      </c>
      <c r="B171">
        <f t="shared" si="6"/>
        <v>0</v>
      </c>
      <c r="C171">
        <f t="shared" si="7"/>
        <v>64</v>
      </c>
      <c r="D171" t="str">
        <f t="shared" si="8"/>
        <v/>
      </c>
      <c r="E171" t="s">
        <v>205</v>
      </c>
    </row>
    <row r="172" spans="1:5" x14ac:dyDescent="0.2">
      <c r="A172" cm="1">
        <f t="array" ref="A172">TYPE(_xlfn.SEQUENCE(1,1))</f>
        <v>64</v>
      </c>
      <c r="B172">
        <f t="shared" si="6"/>
        <v>0</v>
      </c>
      <c r="C172">
        <f t="shared" si="7"/>
        <v>64</v>
      </c>
      <c r="D172" t="str">
        <f t="shared" si="8"/>
        <v/>
      </c>
      <c r="E172" t="s">
        <v>206</v>
      </c>
    </row>
    <row r="173" spans="1:5" x14ac:dyDescent="0.2">
      <c r="A173" cm="1">
        <f t="array" ref="A173">TYPE(_xlfn.TEXTSPLIT("a",","))</f>
        <v>64</v>
      </c>
      <c r="B173">
        <f t="shared" si="6"/>
        <v>0</v>
      </c>
      <c r="C173">
        <f t="shared" si="7"/>
        <v>64</v>
      </c>
      <c r="D173" t="str">
        <f t="shared" si="8"/>
        <v/>
      </c>
      <c r="E173" t="s">
        <v>207</v>
      </c>
    </row>
    <row r="174" spans="1:5" x14ac:dyDescent="0.2">
      <c r="A174" cm="1">
        <f t="array" ref="A174">TYPE(_xlfn.MODE.MULT(1))</f>
        <v>16</v>
      </c>
      <c r="B174">
        <f t="shared" si="6"/>
        <v>0</v>
      </c>
      <c r="C174">
        <f t="shared" si="7"/>
        <v>16</v>
      </c>
      <c r="D174" t="str">
        <f t="shared" si="8"/>
        <v/>
      </c>
      <c r="E174" t="s">
        <v>208</v>
      </c>
    </row>
    <row r="175" spans="1:5" x14ac:dyDescent="0.2">
      <c r="A175" cm="1">
        <f t="array" ref="A175">TYPE(INDEX({5},1,1))</f>
        <v>1</v>
      </c>
      <c r="B175">
        <f t="shared" si="6"/>
        <v>0</v>
      </c>
      <c r="C175">
        <f t="shared" si="7"/>
        <v>1</v>
      </c>
      <c r="D175" t="str">
        <f t="shared" si="8"/>
        <v/>
      </c>
      <c r="E175" t="s">
        <v>209</v>
      </c>
    </row>
    <row r="176" spans="1:5" x14ac:dyDescent="0.2">
      <c r="A176" cm="1">
        <f t="array" ref="A176">TYPE(_xlfn.XLOOKUP({5},D!L1:L6,D!M1:M6))</f>
        <v>64</v>
      </c>
      <c r="B176">
        <f t="shared" si="6"/>
        <v>0</v>
      </c>
      <c r="C176">
        <f t="shared" si="7"/>
        <v>64</v>
      </c>
      <c r="D176" t="str">
        <f t="shared" si="8"/>
        <v/>
      </c>
      <c r="E176" t="s">
        <v>210</v>
      </c>
    </row>
    <row r="177" spans="1:5" x14ac:dyDescent="0.2">
      <c r="A177" cm="1">
        <f t="array" ref="A177">TYPE(TRANSPOSE(5)+0)</f>
        <v>1</v>
      </c>
      <c r="B177">
        <f t="shared" si="6"/>
        <v>0</v>
      </c>
      <c r="C177">
        <f t="shared" si="7"/>
        <v>1</v>
      </c>
      <c r="D177" t="str">
        <f t="shared" si="8"/>
        <v/>
      </c>
      <c r="E177" t="s">
        <v>211</v>
      </c>
    </row>
    <row r="178" spans="1:5" x14ac:dyDescent="0.2">
      <c r="A178" cm="1">
        <f t="array" ref="A178">TYPE(VLOOKUP({5},D!L1:N6,2,FALSE))</f>
        <v>64</v>
      </c>
      <c r="B178">
        <f t="shared" si="6"/>
        <v>0</v>
      </c>
      <c r="C178">
        <f t="shared" si="7"/>
        <v>64</v>
      </c>
      <c r="D178" t="str">
        <f t="shared" si="8"/>
        <v/>
      </c>
      <c r="E178" t="s">
        <v>212</v>
      </c>
    </row>
    <row r="179" spans="1:5" x14ac:dyDescent="0.2">
      <c r="A179" t="str" cm="1">
        <f t="array" ref="A179">VLOOKUP({5},D!L1:N6,{2;4},FALSE)</f>
        <v>five</v>
      </c>
      <c r="B179">
        <f t="shared" si="6"/>
        <v>-3</v>
      </c>
      <c r="C179">
        <f t="shared" si="7"/>
        <v>0</v>
      </c>
      <c r="D179" t="str">
        <f t="shared" si="8"/>
        <v>five</v>
      </c>
      <c r="E179" t="s">
        <v>213</v>
      </c>
    </row>
    <row r="180" spans="1:5" x14ac:dyDescent="0.2">
      <c r="A180" cm="1">
        <f t="array" ref="A180">ROWS(VLOOKUP({5},D!L1:N6,{2;3},FALSE))</f>
        <v>1</v>
      </c>
      <c r="B180">
        <f t="shared" si="6"/>
        <v>0</v>
      </c>
      <c r="C180">
        <f t="shared" si="7"/>
        <v>1</v>
      </c>
      <c r="D180" t="str">
        <f t="shared" si="8"/>
        <v/>
      </c>
      <c r="E180" t="s">
        <v>214</v>
      </c>
    </row>
    <row r="181" spans="1:5" x14ac:dyDescent="0.2">
      <c r="A181" t="e" cm="1">
        <f t="array" ref="A181">ROWS(_xlfn.VSTACK(1,1/0,2))</f>
        <v>#DIV/0!</v>
      </c>
      <c r="B181">
        <f t="shared" si="6"/>
        <v>2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t="e" cm="1">
        <f t="array" ref="A182">INDEX(_xlfn.VSTACK(1,1/0,2),1)</f>
        <v>#DIV/0!</v>
      </c>
      <c r="B182">
        <f t="shared" si="6"/>
        <v>2</v>
      </c>
      <c r="C182">
        <f t="shared" si="7"/>
        <v>0</v>
      </c>
      <c r="D182" t="str">
        <f t="shared" si="8"/>
        <v/>
      </c>
      <c r="E182" t="s">
        <v>216</v>
      </c>
    </row>
    <row r="183" spans="1:5" x14ac:dyDescent="0.2">
      <c r="A183" cm="1">
        <f t="array" ref="A183">ROWS(_xlfn.VSTACK(1,D!A7,2))</f>
        <v>3</v>
      </c>
      <c r="B183">
        <f t="shared" si="6"/>
        <v>0</v>
      </c>
      <c r="C183">
        <f t="shared" si="7"/>
        <v>3</v>
      </c>
      <c r="D183" t="str">
        <f t="shared" si="8"/>
        <v/>
      </c>
      <c r="E183" t="s">
        <v>217</v>
      </c>
    </row>
    <row r="184" spans="1:5" x14ac:dyDescent="0.2">
      <c r="A184" t="e" cm="1">
        <f t="array" ref="A184">ROWS(_xlfn.VSTACK(1/0,NA()))</f>
        <v>#DIV/0!</v>
      </c>
      <c r="B184">
        <f t="shared" si="6"/>
        <v>2</v>
      </c>
      <c r="C184">
        <f t="shared" si="7"/>
        <v>0</v>
      </c>
      <c r="D184" t="str">
        <f t="shared" si="8"/>
        <v/>
      </c>
      <c r="E184" t="s">
        <v>218</v>
      </c>
    </row>
    <row r="185" spans="1:5" x14ac:dyDescent="0.2">
      <c r="A185" t="e" cm="1">
        <f t="array" ref="A185">ROWS(_xlfn.VSTACK(D!A7,NA()))</f>
        <v>#N/A</v>
      </c>
      <c r="B185">
        <f t="shared" si="6"/>
        <v>7</v>
      </c>
      <c r="C185">
        <f t="shared" si="7"/>
        <v>0</v>
      </c>
      <c r="D185" t="str">
        <f t="shared" si="8"/>
        <v/>
      </c>
      <c r="E185" t="s">
        <v>219</v>
      </c>
    </row>
    <row r="186" spans="1:5" x14ac:dyDescent="0.2">
      <c r="A186" cm="1">
        <f t="array" ref="A186">ROWS(_xlfn.VSTACK(1,{1,#N/A}))</f>
        <v>2</v>
      </c>
      <c r="B186">
        <f t="shared" si="6"/>
        <v>0</v>
      </c>
      <c r="C186">
        <f t="shared" si="7"/>
        <v>2</v>
      </c>
      <c r="D186" t="str">
        <f t="shared" si="8"/>
        <v/>
      </c>
      <c r="E186" t="s">
        <v>220</v>
      </c>
    </row>
    <row r="187" spans="1:5" x14ac:dyDescent="0.2">
      <c r="A187" t="e" cm="1">
        <f t="array" ref="A187">ROWS(_xlfn.VSTACK(NA()))</f>
        <v>#N/A</v>
      </c>
      <c r="B187">
        <f t="shared" si="6"/>
        <v>7</v>
      </c>
      <c r="C187">
        <f t="shared" si="7"/>
        <v>0</v>
      </c>
      <c r="D187" t="str">
        <f t="shared" si="8"/>
        <v/>
      </c>
      <c r="E187" t="s">
        <v>221</v>
      </c>
    </row>
    <row r="188" spans="1:5" x14ac:dyDescent="0.2">
      <c r="A188" cm="1">
        <f t="array" ref="A188">ROWS(_xlfn.VSTACK(1,INDEX(D!E1:E8,3)))</f>
        <v>2</v>
      </c>
      <c r="B188">
        <f t="shared" si="6"/>
        <v>0</v>
      </c>
      <c r="C188">
        <f t="shared" si="7"/>
        <v>2</v>
      </c>
      <c r="D188" t="str">
        <f t="shared" si="8"/>
        <v/>
      </c>
      <c r="E188" t="s">
        <v>222</v>
      </c>
    </row>
    <row r="189" spans="1:5" x14ac:dyDescent="0.2">
      <c r="A189" cm="1">
        <f t="array" ref="A189">ROWS(_xlfn.VSTACK(1,(D!A7)))</f>
        <v>2</v>
      </c>
      <c r="B189">
        <f t="shared" si="6"/>
        <v>0</v>
      </c>
      <c r="C189">
        <f t="shared" si="7"/>
        <v>2</v>
      </c>
      <c r="D189" t="str">
        <f t="shared" si="8"/>
        <v/>
      </c>
      <c r="E189" t="s">
        <v>223</v>
      </c>
    </row>
    <row r="190" spans="1:5" x14ac:dyDescent="0.2">
      <c r="A190" t="e" cm="1">
        <f t="array" ref="A190">ROWS(_xlfn.VSTACK(1,+D!A7))</f>
        <v>#DIV/0!</v>
      </c>
      <c r="B190">
        <f t="shared" si="6"/>
        <v>2</v>
      </c>
      <c r="C190">
        <f t="shared" si="7"/>
        <v>0</v>
      </c>
      <c r="D190" t="str">
        <f t="shared" si="8"/>
        <v/>
      </c>
      <c r="E190" t="s">
        <v>224</v>
      </c>
    </row>
    <row r="191" spans="1:5" x14ac:dyDescent="0.2">
      <c r="A191" t="e" cm="1">
        <f t="array" ref="A191">ROWS(_xlfn.VSTACK(1,D!A7+0))</f>
        <v>#DIV/0!</v>
      </c>
      <c r="B191">
        <f t="shared" si="6"/>
        <v>2</v>
      </c>
      <c r="C191">
        <f t="shared" si="7"/>
        <v>0</v>
      </c>
      <c r="D191" t="str">
        <f t="shared" si="8"/>
        <v/>
      </c>
      <c r="E191" t="s">
        <v>225</v>
      </c>
    </row>
    <row r="192" spans="1:5" x14ac:dyDescent="0.2">
      <c r="A192" t="e" cm="1">
        <f t="array" ref="A192">ROWS(_xlfn.VSTACK(1,IFERROR(1/0,NA())))</f>
        <v>#N/A</v>
      </c>
      <c r="B192">
        <f t="shared" si="6"/>
        <v>7</v>
      </c>
      <c r="C192">
        <f t="shared" si="7"/>
        <v>0</v>
      </c>
      <c r="D192" t="str">
        <f t="shared" si="8"/>
        <v/>
      </c>
      <c r="E192" t="s">
        <v>226</v>
      </c>
    </row>
    <row r="193" spans="1:5" x14ac:dyDescent="0.2">
      <c r="A193" cm="1">
        <f t="array" ref="A193">ROWS(_xlfn.VSTACK(1,_xlfn.XLOOKUP("abc",D!A3,D!A7)))</f>
        <v>2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8" si="10">IF(ISNUMBER(A193),A193,0)</f>
        <v>2</v>
      </c>
      <c r="D193" t="str">
        <f t="shared" ref="D193:D258" si="11">IF(ISTEXT(A193),A193,"")</f>
        <v/>
      </c>
      <c r="E193" t="s">
        <v>227</v>
      </c>
    </row>
    <row r="194" spans="1:5" x14ac:dyDescent="0.2">
      <c r="A194" cm="1">
        <f t="array" ref="A194">ROWS(_xlfn.VSTACK(1,IF(TRUE,D!A7)))</f>
        <v>2</v>
      </c>
      <c r="B194">
        <f t="shared" si="9"/>
        <v>0</v>
      </c>
      <c r="C194">
        <f t="shared" si="10"/>
        <v>2</v>
      </c>
      <c r="D194" t="str">
        <f t="shared" si="11"/>
        <v/>
      </c>
      <c r="E194" t="s">
        <v>228</v>
      </c>
    </row>
    <row r="195" spans="1:5" x14ac:dyDescent="0.2">
      <c r="A195" cm="1">
        <f t="array" ref="A195">ROWS(_xlfn.VSTACK(1,CHOOSE(1,D!A7)))</f>
        <v>2</v>
      </c>
      <c r="B195">
        <f t="shared" si="9"/>
        <v>0</v>
      </c>
      <c r="C195">
        <f t="shared" si="10"/>
        <v>2</v>
      </c>
      <c r="D195" t="str">
        <f t="shared" si="11"/>
        <v/>
      </c>
      <c r="E195" t="s">
        <v>229</v>
      </c>
    </row>
    <row r="196" spans="1:5" x14ac:dyDescent="0.2">
      <c r="A196" cm="1">
        <f t="array" ref="A196">ROWS(_xlfn.VSTACK(1,_xlfn.IFS(TRUE,D!A7)))</f>
        <v>2</v>
      </c>
      <c r="B196">
        <f t="shared" si="9"/>
        <v>0</v>
      </c>
      <c r="C196">
        <f t="shared" si="10"/>
        <v>2</v>
      </c>
      <c r="D196" t="str">
        <f t="shared" si="11"/>
        <v/>
      </c>
      <c r="E196" t="s">
        <v>230</v>
      </c>
    </row>
    <row r="197" spans="1:5" x14ac:dyDescent="0.2">
      <c r="A197" cm="1">
        <f t="array" ref="A197">ROWS(_xlfn.VSTACK(1,_xlfn.SWITCH(1,1,D!A7)))</f>
        <v>2</v>
      </c>
      <c r="B197">
        <f t="shared" si="9"/>
        <v>0</v>
      </c>
      <c r="C197">
        <f t="shared" si="10"/>
        <v>2</v>
      </c>
      <c r="D197" t="str">
        <f t="shared" si="11"/>
        <v/>
      </c>
      <c r="E197" t="s">
        <v>231</v>
      </c>
    </row>
    <row r="198" spans="1:5" x14ac:dyDescent="0.2">
      <c r="A198" cm="1">
        <f t="array" ref="A198">COLUMNS(_xlfn.HSTACK(D!B1:B2,D!E3))</f>
        <v>2</v>
      </c>
      <c r="B198">
        <f t="shared" si="9"/>
        <v>0</v>
      </c>
      <c r="C198">
        <f t="shared" si="10"/>
        <v>2</v>
      </c>
      <c r="D198" t="str">
        <f t="shared" si="11"/>
        <v/>
      </c>
      <c r="E198" t="s">
        <v>232</v>
      </c>
    </row>
    <row r="199" spans="1:5" x14ac:dyDescent="0.2">
      <c r="A199" t="e" cm="1">
        <f t="array" ref="A199">COLUMNS(_xlfn.HSTACK(D!B1:B2,1/0))</f>
        <v>#DIV/0!</v>
      </c>
      <c r="B199">
        <f t="shared" si="9"/>
        <v>2</v>
      </c>
      <c r="C199">
        <f t="shared" si="10"/>
        <v>0</v>
      </c>
      <c r="D199" t="str">
        <f t="shared" si="11"/>
        <v/>
      </c>
      <c r="E199" t="s">
        <v>233</v>
      </c>
    </row>
    <row r="200" spans="1:5" x14ac:dyDescent="0.2">
      <c r="A200" t="e" cm="1">
        <f t="array" ref="A200">COLUMNS(_xlfn.HSTACK(1/0))</f>
        <v>#DIV/0!</v>
      </c>
      <c r="B200">
        <f t="shared" si="9"/>
        <v>2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t="e" cm="1">
        <f t="array" ref="A201">INDEX(_xlfn.HSTACK(D!B1:B2,D!E3),1,2)</f>
        <v>#DIV/0!</v>
      </c>
      <c r="B201">
        <f t="shared" si="9"/>
        <v>2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t="e" cm="1">
        <f t="array" ref="A202">COLUMNS(_xlfn.HSTACK(D!B1,NA(),1/0))</f>
        <v>#N/A</v>
      </c>
      <c r="B202">
        <f t="shared" si="9"/>
        <v>7</v>
      </c>
      <c r="C202">
        <f t="shared" si="10"/>
        <v>0</v>
      </c>
      <c r="D202" t="str">
        <f t="shared" si="11"/>
        <v/>
      </c>
      <c r="E202" t="s">
        <v>236</v>
      </c>
    </row>
    <row r="203" spans="1:5" x14ac:dyDescent="0.2">
      <c r="A203" cm="1">
        <f t="array" ref="A203">SUM(CHOOSE(1,D!A2))</f>
        <v>0</v>
      </c>
      <c r="B203">
        <f t="shared" si="9"/>
        <v>0</v>
      </c>
      <c r="C203">
        <f t="shared" si="10"/>
        <v>0</v>
      </c>
      <c r="D203" t="str">
        <f t="shared" si="11"/>
        <v/>
      </c>
      <c r="E203" t="s">
        <v>237</v>
      </c>
    </row>
    <row r="204" spans="1:5" x14ac:dyDescent="0.2">
      <c r="A204" cm="1">
        <f t="array" ref="A204">SUM(IF(TRUE,D!A2))</f>
        <v>0</v>
      </c>
      <c r="B204">
        <f t="shared" si="9"/>
        <v>0</v>
      </c>
      <c r="C204">
        <f t="shared" si="10"/>
        <v>0</v>
      </c>
      <c r="D204" t="str">
        <f t="shared" si="11"/>
        <v/>
      </c>
      <c r="E204" t="s">
        <v>238</v>
      </c>
    </row>
    <row r="205" spans="1:5" x14ac:dyDescent="0.2">
      <c r="A205" cm="1">
        <f t="array" ref="A205">SUM(_xlfn.IFS(TRUE,D!A2))</f>
        <v>0</v>
      </c>
      <c r="B205">
        <f t="shared" si="9"/>
        <v>0</v>
      </c>
      <c r="C205">
        <f t="shared" si="10"/>
        <v>0</v>
      </c>
      <c r="D205" t="str">
        <f t="shared" si="11"/>
        <v/>
      </c>
      <c r="E205" t="s">
        <v>239</v>
      </c>
    </row>
    <row r="206" spans="1:5" x14ac:dyDescent="0.2">
      <c r="A206" cm="1">
        <f t="array" ref="A206">SUM(_xlfn.SWITCH(1,1,D!A2))</f>
        <v>0</v>
      </c>
      <c r="B206">
        <f t="shared" si="9"/>
        <v>0</v>
      </c>
      <c r="C206">
        <f t="shared" si="10"/>
        <v>0</v>
      </c>
      <c r="D206" t="str">
        <f t="shared" si="11"/>
        <v/>
      </c>
      <c r="E206" t="s">
        <v>240</v>
      </c>
    </row>
    <row r="207" spans="1:5" x14ac:dyDescent="0.2">
      <c r="A207" cm="1">
        <f t="array" ref="A207">SUM(IFERROR(D!A2,0))</f>
        <v>2</v>
      </c>
      <c r="B207">
        <f t="shared" si="9"/>
        <v>0</v>
      </c>
      <c r="C207">
        <f t="shared" si="10"/>
        <v>2</v>
      </c>
      <c r="D207" t="str">
        <f t="shared" si="11"/>
        <v/>
      </c>
      <c r="E207" t="s">
        <v>241</v>
      </c>
    </row>
    <row r="208" spans="1:5" x14ac:dyDescent="0.2">
      <c r="A208" cm="1">
        <f t="array" ref="A208">SUM(_xlfn.IFNA(D!A2,0))</f>
        <v>2</v>
      </c>
      <c r="B208">
        <f t="shared" si="9"/>
        <v>0</v>
      </c>
      <c r="C208">
        <f t="shared" si="10"/>
        <v>2</v>
      </c>
      <c r="D208" t="str">
        <f t="shared" si="11"/>
        <v/>
      </c>
      <c r="E208" t="s">
        <v>242</v>
      </c>
    </row>
    <row r="209" spans="1:5" x14ac:dyDescent="0.2">
      <c r="A209" cm="1">
        <f t="array" ref="A209">SUM(_xlfn.XLOOKUP(1,D!L1:L6,D!A2:A7))</f>
        <v>0</v>
      </c>
      <c r="B209">
        <f t="shared" si="9"/>
        <v>0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cm="1">
        <f t="array" ref="A210">SUM(INDEX(D!A2:A3,1))</f>
        <v>0</v>
      </c>
      <c r="B210">
        <f t="shared" si="9"/>
        <v>0</v>
      </c>
      <c r="C210">
        <f t="shared" si="10"/>
        <v>0</v>
      </c>
      <c r="D210" t="str">
        <f t="shared" si="11"/>
        <v/>
      </c>
      <c r="E210" t="s">
        <v>244</v>
      </c>
    </row>
    <row r="211" spans="1:5" x14ac:dyDescent="0.2">
      <c r="A211" cm="1">
        <f t="array" ref="A211">COUNT(CHOOSE(1,D!A2))</f>
        <v>0</v>
      </c>
      <c r="B211">
        <f t="shared" si="9"/>
        <v>0</v>
      </c>
      <c r="C211">
        <f t="shared" si="10"/>
        <v>0</v>
      </c>
      <c r="D211" t="str">
        <f t="shared" si="11"/>
        <v/>
      </c>
      <c r="E211" t="s">
        <v>245</v>
      </c>
    </row>
    <row r="212" spans="1:5" x14ac:dyDescent="0.2">
      <c r="A212" cm="1">
        <f t="array" ref="A212">SUM(IFERROR(1/0,D!A2))</f>
        <v>2</v>
      </c>
      <c r="B212">
        <f t="shared" si="9"/>
        <v>0</v>
      </c>
      <c r="C212">
        <f t="shared" si="10"/>
        <v>2</v>
      </c>
      <c r="D212" t="str">
        <f t="shared" si="11"/>
        <v/>
      </c>
      <c r="E212" t="s">
        <v>246</v>
      </c>
    </row>
    <row r="213" spans="1:5" x14ac:dyDescent="0.2">
      <c r="A213" cm="1">
        <f t="array" ref="A213">SUM(_xlfn.IFNA(NA(),D!A2))</f>
        <v>2</v>
      </c>
      <c r="B213">
        <f t="shared" si="9"/>
        <v>0</v>
      </c>
      <c r="C213">
        <f t="shared" si="10"/>
        <v>2</v>
      </c>
      <c r="D213" t="str">
        <f t="shared" si="11"/>
        <v/>
      </c>
      <c r="E213" t="s">
        <v>247</v>
      </c>
    </row>
    <row r="214" spans="1:5" x14ac:dyDescent="0.2">
      <c r="A214" cm="1">
        <f t="array" ref="A214">SUM(_xlfn.XLOOKUP(99,D!L1:L6,D!A2:A7,D!A2))</f>
        <v>0</v>
      </c>
      <c r="B214">
        <f t="shared" si="9"/>
        <v>0</v>
      </c>
      <c r="C214">
        <f t="shared" si="10"/>
        <v>0</v>
      </c>
      <c r="D214" t="str">
        <f t="shared" si="11"/>
        <v/>
      </c>
      <c r="E214" t="s">
        <v>248</v>
      </c>
    </row>
    <row r="215" spans="1:5" x14ac:dyDescent="0.2">
      <c r="A215" cm="1">
        <f t="array" ref="A215">SUM(_xlfn._xlws.FILTER(D!B1:B2,{0;0},D!A2))</f>
        <v>2</v>
      </c>
      <c r="B215">
        <f t="shared" si="9"/>
        <v>0</v>
      </c>
      <c r="C215">
        <f t="shared" si="10"/>
        <v>2</v>
      </c>
      <c r="D215" t="str">
        <f t="shared" si="11"/>
        <v/>
      </c>
      <c r="E215" t="s">
        <v>249</v>
      </c>
    </row>
    <row r="216" spans="1:5" x14ac:dyDescent="0.2">
      <c r="A216" cm="1">
        <f t="array" ref="A216">SUM(_xlfn.SWITCH(9,1,1,D!A2))</f>
        <v>0</v>
      </c>
      <c r="B216">
        <f t="shared" si="9"/>
        <v>0</v>
      </c>
      <c r="C216">
        <f t="shared" si="10"/>
        <v>0</v>
      </c>
      <c r="D216" t="str">
        <f t="shared" si="11"/>
        <v/>
      </c>
      <c r="E216" t="s">
        <v>250</v>
      </c>
    </row>
    <row r="217" spans="1:5" x14ac:dyDescent="0.2">
      <c r="A217" cm="1">
        <f t="array" ref="A217">SUM(IF(FALSE,1,D!A2))</f>
        <v>0</v>
      </c>
      <c r="B217">
        <f t="shared" si="9"/>
        <v>0</v>
      </c>
      <c r="C217">
        <f t="shared" si="10"/>
        <v>0</v>
      </c>
      <c r="D217" t="str">
        <f t="shared" si="11"/>
        <v/>
      </c>
      <c r="E217" t="s">
        <v>251</v>
      </c>
    </row>
    <row r="218" spans="1:5" x14ac:dyDescent="0.2">
      <c r="A218" cm="1">
        <f t="array" ref="A218">SUM(_xlfn.IFS(FALSE,1,TRUE,D!A2))</f>
        <v>0</v>
      </c>
      <c r="B218">
        <f t="shared" si="9"/>
        <v>0</v>
      </c>
      <c r="C218">
        <f t="shared" si="10"/>
        <v>0</v>
      </c>
      <c r="D218" t="str">
        <f t="shared" si="11"/>
        <v/>
      </c>
      <c r="E218" t="s">
        <v>252</v>
      </c>
    </row>
    <row r="219" spans="1:5" x14ac:dyDescent="0.2">
      <c r="A219" cm="1">
        <f t="array" ref="A219">SUM(CHOOSE(2,1,D!A2))</f>
        <v>0</v>
      </c>
      <c r="B219">
        <f t="shared" si="9"/>
        <v>0</v>
      </c>
      <c r="C219">
        <f t="shared" si="10"/>
        <v>0</v>
      </c>
      <c r="D219" t="str">
        <f t="shared" si="11"/>
        <v/>
      </c>
      <c r="E219" t="s">
        <v>253</v>
      </c>
    </row>
    <row r="220" spans="1:5" x14ac:dyDescent="0.2">
      <c r="A220" cm="1">
        <f t="array" ref="A220">COUNTA(IF(TRUE,D!K1))</f>
        <v>0</v>
      </c>
      <c r="B220">
        <f t="shared" si="9"/>
        <v>0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cm="1">
        <f t="array" ref="A221">COUNTA(CHOOSE(1,D!K1))</f>
        <v>0</v>
      </c>
      <c r="B221">
        <f t="shared" si="9"/>
        <v>0</v>
      </c>
      <c r="C221">
        <f t="shared" si="10"/>
        <v>0</v>
      </c>
      <c r="D221" t="str">
        <f t="shared" si="11"/>
        <v/>
      </c>
      <c r="E221" t="s">
        <v>255</v>
      </c>
    </row>
    <row r="222" spans="1:5" x14ac:dyDescent="0.2">
      <c r="A222" cm="1">
        <f t="array" ref="A222">COUNTBLANK(IF(TRUE,D!K1))</f>
        <v>1</v>
      </c>
      <c r="B222">
        <f t="shared" si="9"/>
        <v>0</v>
      </c>
      <c r="C222">
        <f t="shared" si="10"/>
        <v>1</v>
      </c>
      <c r="D222" t="str">
        <f t="shared" si="11"/>
        <v/>
      </c>
      <c r="E222" t="s">
        <v>256</v>
      </c>
    </row>
    <row r="223" spans="1:5" x14ac:dyDescent="0.2">
      <c r="A223" cm="1">
        <f t="array" ref="A223">COLUMN(CHOOSE(1,D!C1))</f>
        <v>3</v>
      </c>
      <c r="B223">
        <f t="shared" si="9"/>
        <v>0</v>
      </c>
      <c r="C223">
        <f t="shared" si="10"/>
        <v>3</v>
      </c>
      <c r="D223" t="str">
        <f t="shared" si="11"/>
        <v/>
      </c>
      <c r="E223" t="s">
        <v>257</v>
      </c>
    </row>
    <row r="224" spans="1:5" x14ac:dyDescent="0.2">
      <c r="A224" cm="1">
        <f t="array" ref="A224">COLUMN(IF(TRUE,D!C1))</f>
        <v>3</v>
      </c>
      <c r="B224">
        <f t="shared" si="9"/>
        <v>0</v>
      </c>
      <c r="C224">
        <f t="shared" si="10"/>
        <v>3</v>
      </c>
      <c r="D224" t="str">
        <f t="shared" si="11"/>
        <v/>
      </c>
      <c r="E224" t="s">
        <v>258</v>
      </c>
    </row>
    <row r="225" spans="1:5" x14ac:dyDescent="0.2">
      <c r="A225" cm="1">
        <f t="array" ref="A225">ROW(_xlfn.IFS(TRUE,D!B3))</f>
        <v>3</v>
      </c>
      <c r="B225">
        <f t="shared" si="9"/>
        <v>0</v>
      </c>
      <c r="C225">
        <f t="shared" si="10"/>
        <v>3</v>
      </c>
      <c r="D225" t="str">
        <f t="shared" si="11"/>
        <v/>
      </c>
      <c r="E225" t="s">
        <v>259</v>
      </c>
    </row>
    <row r="226" spans="1:5" x14ac:dyDescent="0.2">
      <c r="A226" cm="1">
        <f t="array" ref="A226">SUM(+D!A2)</f>
        <v>2</v>
      </c>
      <c r="B226">
        <f t="shared" si="9"/>
        <v>0</v>
      </c>
      <c r="C226">
        <f t="shared" si="10"/>
        <v>2</v>
      </c>
      <c r="D226" t="str">
        <f t="shared" si="11"/>
        <v/>
      </c>
      <c r="E226" t="s">
        <v>260</v>
      </c>
    </row>
    <row r="227" spans="1:5" x14ac:dyDescent="0.2">
      <c r="A227" cm="1">
        <f t="array" ref="A227">SUM((D!A2))</f>
        <v>0</v>
      </c>
      <c r="B227">
        <f t="shared" si="9"/>
        <v>0</v>
      </c>
      <c r="C227">
        <f t="shared" si="10"/>
        <v>0</v>
      </c>
      <c r="D227" t="str">
        <f t="shared" si="11"/>
        <v/>
      </c>
      <c r="E227" t="s">
        <v>261</v>
      </c>
    </row>
    <row r="228" spans="1:5" x14ac:dyDescent="0.2">
      <c r="A228" cm="1">
        <f t="array" ref="A228">COUNT(IF(TRUE,D!A2))</f>
        <v>0</v>
      </c>
      <c r="B228">
        <f t="shared" si="9"/>
        <v>0</v>
      </c>
      <c r="C228">
        <f t="shared" si="10"/>
        <v>0</v>
      </c>
      <c r="D228" t="str">
        <f t="shared" si="11"/>
        <v/>
      </c>
      <c r="E228" t="s">
        <v>262</v>
      </c>
    </row>
    <row r="229" spans="1:5" x14ac:dyDescent="0.2">
      <c r="A229" cm="1">
        <f t="array" ref="A229">SUMIF(IF(TRUE,D!L1),"&gt;0")</f>
        <v>1</v>
      </c>
      <c r="B229">
        <f t="shared" si="9"/>
        <v>0</v>
      </c>
      <c r="C229">
        <f t="shared" si="10"/>
        <v>1</v>
      </c>
      <c r="D229" t="str">
        <f t="shared" si="11"/>
        <v/>
      </c>
      <c r="E229" t="s">
        <v>263</v>
      </c>
    </row>
    <row r="230" spans="1:5" x14ac:dyDescent="0.2">
      <c r="A230" t="e" cm="1">
        <f t="array" ref="A230">ROWS(_xlfn.VSTACK(1,IFERROR(1/0,D!A7)))</f>
        <v>#DIV/0!</v>
      </c>
      <c r="B230">
        <f t="shared" si="9"/>
        <v>2</v>
      </c>
      <c r="C230">
        <f t="shared" si="10"/>
        <v>0</v>
      </c>
      <c r="D230" t="str">
        <f t="shared" si="11"/>
        <v/>
      </c>
      <c r="E230" t="s">
        <v>264</v>
      </c>
    </row>
    <row r="231" spans="1:5" x14ac:dyDescent="0.2">
      <c r="A231" t="e" cm="1">
        <f t="array" ref="A231">ROWS(_xlfn.VSTACK(1,_xlfn.IFNA(NA(),D!A7)))</f>
        <v>#DIV/0!</v>
      </c>
      <c r="B231">
        <f t="shared" si="9"/>
        <v>2</v>
      </c>
      <c r="C231">
        <f t="shared" si="10"/>
        <v>0</v>
      </c>
      <c r="D231" t="str">
        <f t="shared" si="11"/>
        <v/>
      </c>
      <c r="E231" t="s">
        <v>265</v>
      </c>
    </row>
    <row r="232" spans="1:5" x14ac:dyDescent="0.2">
      <c r="A232" cm="1">
        <f t="array" ref="A232">ROWS(_xlfn.VSTACK(1,_xlfn.XLOOKUP(99,D!L1:L6,D!A2:A7,D!A7)))</f>
        <v>2</v>
      </c>
      <c r="B232">
        <f t="shared" si="9"/>
        <v>0</v>
      </c>
      <c r="C232">
        <f t="shared" si="10"/>
        <v>2</v>
      </c>
      <c r="D232" t="str">
        <f t="shared" si="11"/>
        <v/>
      </c>
      <c r="E232" t="s">
        <v>266</v>
      </c>
    </row>
    <row r="233" spans="1:5" x14ac:dyDescent="0.2">
      <c r="A233" t="e" cm="1">
        <f t="array" ref="A233">ROWS(_xlfn.VSTACK(1,_xlfn._xlws.FILTER(D!B1:B2,{0;0},D!A7)))</f>
        <v>#DIV/0!</v>
      </c>
      <c r="B233">
        <f t="shared" si="9"/>
        <v>2</v>
      </c>
      <c r="C233">
        <f t="shared" si="10"/>
        <v>0</v>
      </c>
      <c r="D233" t="str">
        <f t="shared" si="11"/>
        <v/>
      </c>
      <c r="E233" t="s">
        <v>267</v>
      </c>
    </row>
    <row r="234" spans="1:5" x14ac:dyDescent="0.2">
      <c r="A234" cm="1">
        <f t="array" ref="A234">SUM(IF(TRUE,D!A2)+0)</f>
        <v>2</v>
      </c>
      <c r="B234">
        <f t="shared" si="9"/>
        <v>0</v>
      </c>
      <c r="C234">
        <f t="shared" si="10"/>
        <v>2</v>
      </c>
      <c r="D234" t="str">
        <f t="shared" si="11"/>
        <v/>
      </c>
      <c r="E234" t="s">
        <v>268</v>
      </c>
    </row>
    <row r="235" spans="1:5" x14ac:dyDescent="0.2">
      <c r="A235" cm="1">
        <f t="array" ref="A235">SUM(IF({TRUE},D!A2))</f>
        <v>0</v>
      </c>
      <c r="B235">
        <f t="shared" si="9"/>
        <v>0</v>
      </c>
      <c r="C235">
        <f t="shared" si="10"/>
        <v>0</v>
      </c>
      <c r="D235" t="str">
        <f t="shared" si="11"/>
        <v/>
      </c>
      <c r="E235" t="s">
        <v>269</v>
      </c>
    </row>
    <row r="236" spans="1:5" x14ac:dyDescent="0.2">
      <c r="A236" t="e" cm="1">
        <f t="array" ref="A236">INDEX(VLOOKUP({5;8},D!L1:N6,{"x";2},FALSE),1)</f>
        <v>#REF!</v>
      </c>
      <c r="B236">
        <f t="shared" si="9"/>
        <v>4</v>
      </c>
      <c r="C236">
        <f t="shared" si="10"/>
        <v>0</v>
      </c>
      <c r="D236" t="str">
        <f t="shared" si="11"/>
        <v/>
      </c>
      <c r="E236" t="s">
        <v>270</v>
      </c>
    </row>
    <row r="237" spans="1:5" x14ac:dyDescent="0.2">
      <c r="A237" t="e" cm="1">
        <f t="array" ref="A237">INDEX(VLOOKUP({5;8},D!L1:N6,{#N/A;2},FALSE),1)</f>
        <v>#REF!</v>
      </c>
      <c r="B237">
        <f t="shared" si="9"/>
        <v>4</v>
      </c>
      <c r="C237">
        <f t="shared" si="10"/>
        <v>0</v>
      </c>
      <c r="D237" t="str">
        <f t="shared" si="11"/>
        <v/>
      </c>
      <c r="E237" t="s">
        <v>271</v>
      </c>
    </row>
    <row r="238" spans="1:5" x14ac:dyDescent="0.2">
      <c r="A238" cm="1">
        <f t="array" ref="A238">INDEX(VLOOKUP({5;8},D!L1:N6,{"3";2},FALSE),2)</f>
        <v>80</v>
      </c>
      <c r="B238">
        <f t="shared" si="9"/>
        <v>0</v>
      </c>
      <c r="C238">
        <f t="shared" si="10"/>
        <v>80</v>
      </c>
      <c r="D238" t="str">
        <f t="shared" si="11"/>
        <v/>
      </c>
      <c r="E238" t="s">
        <v>272</v>
      </c>
    </row>
    <row r="239" spans="1:5" x14ac:dyDescent="0.2">
      <c r="A239" t="str" cm="1">
        <f t="array" ref="A239">INDEX(VLOOKUP({5;8},D!L1:N6,{2.9;9},FALSE),2)</f>
        <v>eight</v>
      </c>
      <c r="B239">
        <f t="shared" si="9"/>
        <v>-3</v>
      </c>
      <c r="C239">
        <f t="shared" si="10"/>
        <v>0</v>
      </c>
      <c r="D239" t="str">
        <f t="shared" si="11"/>
        <v>eight</v>
      </c>
      <c r="E239" t="s">
        <v>273</v>
      </c>
    </row>
    <row r="240" spans="1:5" x14ac:dyDescent="0.2">
      <c r="A240" t="e" cm="1">
        <f t="array" ref="A240">INDEX(VLOOKUP({5;8},D!L1:N6,D!A7:A8,FALSE),1)</f>
        <v>#REF!</v>
      </c>
      <c r="B240">
        <f t="shared" si="9"/>
        <v>4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t="str" cm="1">
        <f t="array" ref="A241">INDEX(VLOOKUP({5;8},D!L1:N6,D!A2:A3,FALSE),1)</f>
        <v>five</v>
      </c>
      <c r="B241">
        <f t="shared" si="9"/>
        <v>-3</v>
      </c>
      <c r="C241">
        <f t="shared" si="10"/>
        <v>0</v>
      </c>
      <c r="D241" t="str">
        <f t="shared" si="11"/>
        <v>five</v>
      </c>
      <c r="E241" t="s">
        <v>275</v>
      </c>
    </row>
    <row r="242" spans="1:5" x14ac:dyDescent="0.2">
      <c r="A242" t="str" cm="1">
        <f t="array" ref="A242">INDEX(VLOOKUP({5;8},D!L1:N6,D!AH3:AH5,FALSE),2)</f>
        <v>eight</v>
      </c>
      <c r="B242">
        <f t="shared" si="9"/>
        <v>-3</v>
      </c>
      <c r="C242">
        <f t="shared" si="10"/>
        <v>0</v>
      </c>
      <c r="D242" t="str">
        <f t="shared" si="11"/>
        <v>eight</v>
      </c>
      <c r="E242" t="s">
        <v>276</v>
      </c>
    </row>
    <row r="243" spans="1:5" x14ac:dyDescent="0.2">
      <c r="A243" cm="1">
        <f t="array" ref="A243">INDEX(VLOOKUP({5;8},D!L1:N6,{3,9;9,9},FALSE),2)</f>
        <v>80</v>
      </c>
      <c r="B243">
        <f t="shared" si="9"/>
        <v>0</v>
      </c>
      <c r="C243">
        <f t="shared" si="10"/>
        <v>80</v>
      </c>
      <c r="D243" t="str">
        <f t="shared" si="11"/>
        <v/>
      </c>
      <c r="E243" t="s">
        <v>277</v>
      </c>
    </row>
    <row r="244" spans="1:5" x14ac:dyDescent="0.2">
      <c r="A244" cm="1">
        <f t="array" ref="A244">INDEX(VLOOKUP({5;8},D!L1:N6,{TRUE;2},FALSE),1)</f>
        <v>5</v>
      </c>
      <c r="B244">
        <f t="shared" si="9"/>
        <v>0</v>
      </c>
      <c r="C244">
        <f t="shared" si="10"/>
        <v>5</v>
      </c>
      <c r="D244" t="str">
        <f t="shared" si="11"/>
        <v/>
      </c>
      <c r="E244" t="s">
        <v>278</v>
      </c>
    </row>
    <row r="245" spans="1:5" x14ac:dyDescent="0.2">
      <c r="A245" cm="1">
        <f t="array" ref="A245">INDEX(VLOOKUP(D!L4:L5,D!L1:N6,{3;0},FALSE),2)</f>
        <v>80</v>
      </c>
      <c r="B245">
        <f t="shared" si="9"/>
        <v>0</v>
      </c>
      <c r="C245">
        <f t="shared" si="10"/>
        <v>80</v>
      </c>
      <c r="D245" t="str">
        <f t="shared" si="11"/>
        <v/>
      </c>
      <c r="E245" t="s">
        <v>279</v>
      </c>
    </row>
    <row r="246" spans="1:5" x14ac:dyDescent="0.2">
      <c r="A246" t="e" cm="1" vm="1">
        <f t="array" ref="A246">INDEX(VLOOKUP({5;8},D!L1:N6,D!A1:A2,FALSE),1)</f>
        <v>#VALUE!</v>
      </c>
      <c r="B246">
        <f t="shared" si="9"/>
        <v>3</v>
      </c>
      <c r="C246">
        <f t="shared" si="10"/>
        <v>0</v>
      </c>
      <c r="D246" t="str">
        <f t="shared" si="11"/>
        <v/>
      </c>
      <c r="E246" t="s">
        <v>280</v>
      </c>
    </row>
    <row r="247" spans="1:5" x14ac:dyDescent="0.2">
      <c r="A247" t="e" cm="1" vm="1">
        <f t="array" ref="A247">INDEX(VLOOKUP({5;8},D!L1:N6,{0;2},TRUE),2)</f>
        <v>#VALUE!</v>
      </c>
      <c r="B247">
        <f t="shared" si="9"/>
        <v>3</v>
      </c>
      <c r="C247">
        <f t="shared" si="10"/>
        <v>0</v>
      </c>
      <c r="D247" t="str">
        <f t="shared" si="11"/>
        <v/>
      </c>
      <c r="E247" t="s">
        <v>281</v>
      </c>
    </row>
    <row r="248" spans="1:5" x14ac:dyDescent="0.2">
      <c r="A248" t="str" cm="1">
        <f t="array" ref="A248">INDEX(HLOOKUP({5,8},D!L8:Q10,{2;4},FALSE),1,1)</f>
        <v>five</v>
      </c>
      <c r="B248">
        <f t="shared" si="9"/>
        <v>-3</v>
      </c>
      <c r="C248">
        <f t="shared" si="10"/>
        <v>0</v>
      </c>
      <c r="D248" t="str">
        <f t="shared" si="11"/>
        <v>five</v>
      </c>
      <c r="E248" t="s">
        <v>282</v>
      </c>
    </row>
    <row r="249" spans="1:5" x14ac:dyDescent="0.2">
      <c r="A249" t="e" cm="1">
        <f t="array" ref="A249">INDEX(HLOOKUP({5,8},D!L8:Q10,{4;2},FALSE),1,2)</f>
        <v>#REF!</v>
      </c>
      <c r="B249">
        <f t="shared" si="9"/>
        <v>4</v>
      </c>
      <c r="C249">
        <f t="shared" si="10"/>
        <v>0</v>
      </c>
      <c r="D249" t="str">
        <f t="shared" si="11"/>
        <v/>
      </c>
      <c r="E249" t="s">
        <v>283</v>
      </c>
    </row>
    <row r="250" spans="1:5" x14ac:dyDescent="0.2">
      <c r="A250" t="str" cm="1">
        <f t="array" ref="A250">INDEX(HLOOKUP({5,8},D!L8:Q10,D!AH3:AH4,FALSE),1,2)</f>
        <v>eight</v>
      </c>
      <c r="B250">
        <f t="shared" si="9"/>
        <v>-3</v>
      </c>
      <c r="C250">
        <f t="shared" si="10"/>
        <v>0</v>
      </c>
      <c r="D250" t="str">
        <f t="shared" si="11"/>
        <v>eight</v>
      </c>
      <c r="E250" t="s">
        <v>284</v>
      </c>
    </row>
    <row r="251" spans="1:5" x14ac:dyDescent="0.2">
      <c r="A251" cm="1">
        <f t="array" ref="A251">INDEX(HLOOKUP(5,D!L8:Q10,{3;9},{FALSE,TRUE}),1,2)</f>
        <v>50</v>
      </c>
      <c r="B251">
        <f t="shared" si="9"/>
        <v>0</v>
      </c>
      <c r="C251">
        <f t="shared" si="10"/>
        <v>50</v>
      </c>
      <c r="D251" t="str">
        <f t="shared" si="11"/>
        <v/>
      </c>
      <c r="E251" t="s">
        <v>285</v>
      </c>
    </row>
    <row r="252" spans="1:5" x14ac:dyDescent="0.2">
      <c r="A252" cm="1">
        <f t="array" ref="A252">COLUMNS(HLOOKUP({5,8},D!L8:Q10,{2;4},FALSE))</f>
        <v>2</v>
      </c>
      <c r="B252">
        <f t="shared" si="9"/>
        <v>0</v>
      </c>
      <c r="C252">
        <f t="shared" si="10"/>
        <v>2</v>
      </c>
      <c r="D252" t="str">
        <f t="shared" si="11"/>
        <v/>
      </c>
      <c r="E252" t="s">
        <v>286</v>
      </c>
    </row>
    <row r="253" spans="1:5" x14ac:dyDescent="0.2">
      <c r="A253" cm="1">
        <f t="array" ref="A253">ROWS(HLOOKUP({5,8},D!L8:Q10,{2;4},FALSE))</f>
        <v>1</v>
      </c>
      <c r="B253">
        <f t="shared" si="9"/>
        <v>0</v>
      </c>
      <c r="C253">
        <f t="shared" si="10"/>
        <v>1</v>
      </c>
      <c r="D253" t="str">
        <f t="shared" si="11"/>
        <v/>
      </c>
      <c r="E253" t="s">
        <v>287</v>
      </c>
    </row>
    <row r="254" spans="1:5" x14ac:dyDescent="0.2">
      <c r="A254" t="e" cm="1">
        <f t="array" ref="A254">INDEX(HLOOKUP({5,8},D!L8:Q10,{"x";2},FALSE),1,1)</f>
        <v>#REF!</v>
      </c>
      <c r="B254">
        <f t="shared" si="9"/>
        <v>4</v>
      </c>
      <c r="C254">
        <f t="shared" si="10"/>
        <v>0</v>
      </c>
      <c r="D254" t="str">
        <f t="shared" si="11"/>
        <v/>
      </c>
      <c r="E254" t="s">
        <v>288</v>
      </c>
    </row>
    <row r="255" spans="1:5" x14ac:dyDescent="0.2">
      <c r="A255" cm="1">
        <f t="array" ref="A255">ROWS(_xlfn.SORTBY(D!B1:B8,D!C1:C8))</f>
        <v>8</v>
      </c>
      <c r="B255">
        <f t="shared" si="9"/>
        <v>0</v>
      </c>
      <c r="C255">
        <f t="shared" si="10"/>
        <v>8</v>
      </c>
      <c r="D255" t="str">
        <f t="shared" si="11"/>
        <v/>
      </c>
      <c r="E255" t="s">
        <v>289</v>
      </c>
    </row>
    <row r="256" spans="1:5" x14ac:dyDescent="0.2">
      <c r="A256" cm="1">
        <f t="array" ref="A256">ROWS(_xlfn.SORTBY(D!B1:B8,D!C1:C8,-1))</f>
        <v>8</v>
      </c>
      <c r="B256">
        <f t="shared" si="9"/>
        <v>0</v>
      </c>
      <c r="C256">
        <f t="shared" si="10"/>
        <v>8</v>
      </c>
      <c r="D256" t="str">
        <f t="shared" si="11"/>
        <v/>
      </c>
      <c r="E256" t="s">
        <v>290</v>
      </c>
    </row>
    <row r="257" spans="1:5" x14ac:dyDescent="0.2">
      <c r="A257" cm="1">
        <f t="array" ref="A257">ROWS(_xlfn.SORTBY(D!B1:B8,D!C1:C8,-1,D!E1:E8,1))</f>
        <v>8</v>
      </c>
      <c r="B257">
        <f t="shared" ref="B257:B320" si="12">IF(ISERROR(A257),ERROR.TYPE(A257),IF(ISNUMBER(A257),0,IF(ISLOGICAL(A257),IF(A257,-1,-2),IF(ISTEXT(A257),-3,-4))))</f>
        <v>0</v>
      </c>
      <c r="C257">
        <f t="shared" si="10"/>
        <v>8</v>
      </c>
      <c r="D257" t="str">
        <f t="shared" si="11"/>
        <v/>
      </c>
      <c r="E257" t="s">
        <v>291</v>
      </c>
    </row>
    <row r="258" spans="1:5" x14ac:dyDescent="0.2">
      <c r="A258" cm="1">
        <f t="array" ref="A258">_xlfn.SWITCH(1,1,1,2,2,3,3,4,4,5,5,6,6,7,7,8,8,9,9,10,10,11,11,12,12,13,13,14,14,15,15,16,16,17,17,18,18,19,19,20,20,21,21,22,22,23,23,24,24,25,25,26,26,27,27,28,28,29,29,30,30,31,31,32,32,33,33,34,34,35,35,36,36,37,37,38,38,39,39,40,40,41,41,42,42,43,43,44,44,45,45,46,46,47,47,48,48,49,49,50,50,51,51,52,52,53,53,54,54,55,55,56,56,57,57,58,58,59,59,60,60,61,61,62,62,63,63,64,64,65,65,66,66,67,67,68,68,69,69,70,70,71,71,72,72,73,73,74,74,75,75,76,76,77,77,78,78,79,79,80,80,81,81,82,82,83,83,84,84,85,85,86,86,87,87,88,88,89,89,90,90,91,91,92,92,93,93,94,94,95,95,96,96,97,97,98,98,99,99,100,100,101,101,102,102,103,103,104,104,105,105,106,106,107,107,108,108,109,109,110,110,111,111,112,112,113,113,114,114,115,115,116,116,117,117,118,118,119,119,120,120,121,121,122,122,123,123,124,124,125,125,126,126,0)</f>
        <v>1</v>
      </c>
      <c r="B258">
        <f t="shared" si="12"/>
        <v>0</v>
      </c>
      <c r="C258">
        <f t="shared" si="10"/>
        <v>1</v>
      </c>
      <c r="D258" t="str">
        <f t="shared" si="11"/>
        <v/>
      </c>
      <c r="E258" t="s">
        <v>292</v>
      </c>
    </row>
    <row r="259" spans="1:5" x14ac:dyDescent="0.2">
      <c r="A259" t="s">
        <v>293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2026-10-07T05:15:24Z</dcterms:created>
  <dcterms:modified xsi:type="dcterms:W3CDTF">2026-10-07T05:15:25Z</dcterms:modified>
  <cp:category/>
</cp:coreProperties>
</file>