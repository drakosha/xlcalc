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39743C29-DE8C-4F40-AACA-6E3187B3C9E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P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1" i="3" l="1" a="1"/>
  <c r="A181" i="3" s="1"/>
  <c r="B181" i="3" s="1"/>
  <c r="C175" i="3"/>
  <c r="A173" i="3" a="1"/>
  <c r="A173" i="3" s="1"/>
  <c r="A172" i="3" a="1"/>
  <c r="A172" i="3"/>
  <c r="C172" i="3" s="1"/>
  <c r="A163" i="3" a="1"/>
  <c r="A163" i="3" s="1"/>
  <c r="D163" i="3" s="1"/>
  <c r="B155" i="3"/>
  <c r="A155" i="3" a="1"/>
  <c r="A155" i="3" s="1"/>
  <c r="A154" i="3" a="1"/>
  <c r="A154" i="3" s="1"/>
  <c r="C154" i="3" s="1"/>
  <c r="A145" i="3" a="1"/>
  <c r="A145" i="3" s="1"/>
  <c r="C145" i="3" s="1"/>
  <c r="B137" i="3"/>
  <c r="A137" i="3" a="1"/>
  <c r="A137" i="3" s="1"/>
  <c r="D137" i="3" s="1"/>
  <c r="D136" i="3"/>
  <c r="A133" i="3" a="1"/>
  <c r="A133" i="3" s="1"/>
  <c r="B133" i="3" s="1"/>
  <c r="A127" i="3" a="1"/>
  <c r="A127" i="3" s="1"/>
  <c r="D127" i="3" s="1"/>
  <c r="A119" i="3" a="1"/>
  <c r="A119" i="3" s="1"/>
  <c r="D119" i="3" s="1"/>
  <c r="A115" i="3" a="1"/>
  <c r="A115" i="3" s="1"/>
  <c r="B115" i="3" s="1"/>
  <c r="A102" i="3" a="1"/>
  <c r="A102" i="3" s="1"/>
  <c r="D102" i="3" s="1"/>
  <c r="A101" i="3" a="1"/>
  <c r="A101" i="3" s="1"/>
  <c r="A100" i="3" a="1"/>
  <c r="A100" i="3" s="1"/>
  <c r="A97" i="3" a="1"/>
  <c r="A97" i="3" s="1"/>
  <c r="B97" i="3" s="1"/>
  <c r="A95" i="3" a="1"/>
  <c r="A95" i="3"/>
  <c r="A94" i="3" a="1"/>
  <c r="A94" i="3" s="1"/>
  <c r="B83" i="3"/>
  <c r="A82" i="3" a="1"/>
  <c r="A82" i="3"/>
  <c r="B82" i="3" s="1"/>
  <c r="A81" i="3" a="1"/>
  <c r="A81" i="3"/>
  <c r="C79" i="3"/>
  <c r="A79" i="3" a="1"/>
  <c r="A79" i="3" s="1"/>
  <c r="B79" i="3" s="1"/>
  <c r="A77" i="3" a="1"/>
  <c r="A77" i="3" s="1"/>
  <c r="A71" i="3" a="1"/>
  <c r="A71" i="3" s="1"/>
  <c r="D71" i="3" s="1"/>
  <c r="A62" i="3" a="1"/>
  <c r="A62" i="3" s="1"/>
  <c r="A52" i="3" a="1"/>
  <c r="A52" i="3"/>
  <c r="B51" i="3"/>
  <c r="D43" i="3"/>
  <c r="C43" i="3"/>
  <c r="A40" i="3" a="1"/>
  <c r="A40" i="3"/>
  <c r="A39" i="3" a="1"/>
  <c r="A39" i="3" s="1"/>
  <c r="A35" i="3" a="1"/>
  <c r="A35" i="3" s="1"/>
  <c r="A34" i="3" a="1"/>
  <c r="A34" i="3" s="1"/>
  <c r="A33" i="3" a="1"/>
  <c r="A33" i="3"/>
  <c r="D33" i="3" s="1"/>
  <c r="A32" i="3" a="1"/>
  <c r="A32" i="3"/>
  <c r="C32" i="3" s="1"/>
  <c r="A31" i="3" a="1"/>
  <c r="A31" i="3" s="1"/>
  <c r="A30" i="3" a="1"/>
  <c r="A30" i="3" s="1"/>
  <c r="A29" i="3" a="1"/>
  <c r="A29" i="3" s="1"/>
  <c r="D29" i="3" s="1"/>
  <c r="A28" i="3" a="1"/>
  <c r="A28" i="3"/>
  <c r="A27" i="3" a="1"/>
  <c r="A27" i="3"/>
  <c r="A26" i="3" a="1"/>
  <c r="A26" i="3" s="1"/>
  <c r="A25" i="3" a="1"/>
  <c r="A25" i="3" s="1"/>
  <c r="B25" i="3" s="1"/>
  <c r="A24" i="3" a="1"/>
  <c r="A24" i="3"/>
  <c r="C24" i="3" s="1"/>
  <c r="A23" i="3" a="1"/>
  <c r="A23" i="3"/>
  <c r="D23" i="3" s="1"/>
  <c r="D22" i="3"/>
  <c r="A22" i="3" a="1"/>
  <c r="A22" i="3"/>
  <c r="C22" i="3" s="1"/>
  <c r="A21" i="3" a="1"/>
  <c r="A21" i="3" s="1"/>
  <c r="A20" i="3" a="1"/>
  <c r="A20" i="3"/>
  <c r="A19" i="3" a="1"/>
  <c r="A19" i="3" s="1"/>
  <c r="A18" i="3" a="1"/>
  <c r="A18" i="3"/>
  <c r="D18" i="3" s="1"/>
  <c r="A17" i="3" a="1"/>
  <c r="A17" i="3" s="1"/>
  <c r="A16" i="3" a="1"/>
  <c r="A16" i="3"/>
  <c r="A15" i="3" a="1"/>
  <c r="A15" i="3" s="1"/>
  <c r="A14" i="3" a="1"/>
  <c r="A14" i="3"/>
  <c r="C14" i="3" s="1"/>
  <c r="A13" i="3" a="1"/>
  <c r="A13" i="3" s="1"/>
  <c r="A12" i="3" a="1"/>
  <c r="A12" i="3"/>
  <c r="D12" i="3" s="1"/>
  <c r="A11" i="3" a="1"/>
  <c r="A11" i="3" s="1"/>
  <c r="B11" i="3" s="1"/>
  <c r="A10" i="3" a="1"/>
  <c r="A10" i="3"/>
  <c r="A9" i="3" a="1"/>
  <c r="A9" i="3" s="1"/>
  <c r="A8" i="3" a="1"/>
  <c r="A8" i="3"/>
  <c r="A7" i="3" a="1"/>
  <c r="A7" i="3" s="1"/>
  <c r="B7" i="3" s="1"/>
  <c r="A6" i="3" a="1"/>
  <c r="A6" i="3" s="1"/>
  <c r="A5" i="3" a="1"/>
  <c r="A5" i="3" s="1"/>
  <c r="A4" i="3" a="1"/>
  <c r="A4" i="3"/>
  <c r="C4" i="3" s="1"/>
  <c r="A3" i="3" a="1"/>
  <c r="A3" i="3" s="1"/>
  <c r="A2" i="3" a="1"/>
  <c r="A2" i="3" s="1"/>
  <c r="D2" i="3" s="1"/>
  <c r="A1" i="3" a="1"/>
  <c r="A1" i="3"/>
  <c r="I15" i="2"/>
  <c r="A14" i="2"/>
  <c r="A13" i="2"/>
  <c r="AL10" i="2"/>
  <c r="A8" i="2"/>
  <c r="A7" i="2"/>
  <c r="E3" i="2"/>
  <c r="A151" i="1"/>
  <c r="A189" i="3" s="1" a="1"/>
  <c r="A189" i="3" s="1"/>
  <c r="A150" i="1"/>
  <c r="A188" i="3" s="1" a="1"/>
  <c r="A188" i="3" s="1"/>
  <c r="A149" i="1"/>
  <c r="A187" i="3" s="1" a="1"/>
  <c r="A187" i="3" s="1"/>
  <c r="B187" i="3" s="1"/>
  <c r="A148" i="1"/>
  <c r="A186" i="3" s="1" a="1"/>
  <c r="A186" i="3" s="1"/>
  <c r="D186" i="3" s="1"/>
  <c r="A147" i="1"/>
  <c r="A185" i="3" s="1" a="1"/>
  <c r="A185" i="3" s="1"/>
  <c r="A146" i="1"/>
  <c r="A184" i="3" s="1" a="1"/>
  <c r="A184" i="3" s="1"/>
  <c r="A145" i="1"/>
  <c r="A183" i="3" s="1" a="1"/>
  <c r="A183" i="3" s="1"/>
  <c r="A144" i="1"/>
  <c r="A182" i="3" s="1" a="1"/>
  <c r="A182" i="3" s="1"/>
  <c r="A143" i="1"/>
  <c r="A142" i="1"/>
  <c r="A180" i="3" s="1" a="1"/>
  <c r="A180" i="3" s="1"/>
  <c r="A141" i="1"/>
  <c r="A179" i="3" s="1" a="1"/>
  <c r="A179" i="3" s="1"/>
  <c r="A140" i="1"/>
  <c r="A178" i="3" s="1" a="1"/>
  <c r="A178" i="3" s="1"/>
  <c r="A139" i="1"/>
  <c r="A177" i="3" s="1" a="1"/>
  <c r="A177" i="3" s="1"/>
  <c r="B177" i="3" s="1"/>
  <c r="A138" i="1"/>
  <c r="A176" i="3" s="1" a="1"/>
  <c r="A176" i="3" s="1"/>
  <c r="A137" i="1"/>
  <c r="A175" i="3" s="1" a="1"/>
  <c r="A175" i="3" s="1"/>
  <c r="B175" i="3" s="1"/>
  <c r="A136" i="1"/>
  <c r="A174" i="3" s="1" a="1"/>
  <c r="A174" i="3" s="1"/>
  <c r="D174" i="3" s="1"/>
  <c r="A135" i="1"/>
  <c r="A134" i="1"/>
  <c r="A133" i="1"/>
  <c r="A171" i="3" s="1" a="1"/>
  <c r="A171" i="3" s="1"/>
  <c r="A132" i="1"/>
  <c r="A170" i="3" s="1" a="1"/>
  <c r="A170" i="3" s="1"/>
  <c r="A131" i="1"/>
  <c r="A169" i="3" s="1" a="1"/>
  <c r="A169" i="3" s="1"/>
  <c r="A130" i="1"/>
  <c r="A168" i="3" s="1" a="1"/>
  <c r="A168" i="3" s="1"/>
  <c r="D168" i="3" s="1"/>
  <c r="A129" i="1"/>
  <c r="A167" i="3" s="1" a="1"/>
  <c r="A167" i="3" s="1"/>
  <c r="A128" i="1"/>
  <c r="A166" i="3" s="1" a="1"/>
  <c r="A166" i="3" s="1"/>
  <c r="A127" i="1"/>
  <c r="A165" i="3" s="1" a="1"/>
  <c r="A165" i="3" s="1"/>
  <c r="A126" i="1"/>
  <c r="A164" i="3" s="1" a="1"/>
  <c r="A164" i="3" s="1"/>
  <c r="D164" i="3" s="1"/>
  <c r="A125" i="1"/>
  <c r="A124" i="1"/>
  <c r="A162" i="3" s="1" a="1"/>
  <c r="A162" i="3" s="1"/>
  <c r="D162" i="3" s="1"/>
  <c r="A123" i="1"/>
  <c r="A161" i="3" s="1" a="1"/>
  <c r="A161" i="3" s="1"/>
  <c r="A122" i="1"/>
  <c r="A160" i="3" s="1" a="1"/>
  <c r="A160" i="3" s="1"/>
  <c r="A121" i="1"/>
  <c r="A159" i="3" s="1" a="1"/>
  <c r="A159" i="3" s="1"/>
  <c r="A120" i="1"/>
  <c r="A158" i="3" s="1" a="1"/>
  <c r="A158" i="3" s="1"/>
  <c r="A119" i="1"/>
  <c r="A157" i="3" s="1" a="1"/>
  <c r="A157" i="3" s="1"/>
  <c r="B157" i="3" s="1"/>
  <c r="A118" i="1"/>
  <c r="A156" i="3" s="1" a="1"/>
  <c r="A156" i="3" s="1"/>
  <c r="A117" i="1"/>
  <c r="A116" i="1"/>
  <c r="A115" i="1"/>
  <c r="A153" i="3" s="1" a="1"/>
  <c r="A153" i="3" s="1"/>
  <c r="A114" i="1"/>
  <c r="A152" i="3" s="1" a="1"/>
  <c r="A152" i="3" s="1"/>
  <c r="A113" i="1"/>
  <c r="A151" i="3" s="1" a="1"/>
  <c r="A151" i="3" s="1"/>
  <c r="A112" i="1"/>
  <c r="A150" i="3" s="1" a="1"/>
  <c r="A150" i="3" s="1"/>
  <c r="B150" i="3" s="1"/>
  <c r="A111" i="1"/>
  <c r="A149" i="3" s="1" a="1"/>
  <c r="A149" i="3" s="1"/>
  <c r="A110" i="1"/>
  <c r="A148" i="3" s="1" a="1"/>
  <c r="A148" i="3" s="1"/>
  <c r="C148" i="3" s="1"/>
  <c r="A109" i="1"/>
  <c r="A147" i="3" s="1" a="1"/>
  <c r="A147" i="3" s="1"/>
  <c r="A108" i="1"/>
  <c r="A146" i="3" s="1" a="1"/>
  <c r="A146" i="3" s="1"/>
  <c r="D146" i="3" s="1"/>
  <c r="A107" i="1"/>
  <c r="A106" i="1"/>
  <c r="A144" i="3" s="1" a="1"/>
  <c r="A144" i="3" s="1"/>
  <c r="B144" i="3" s="1"/>
  <c r="A105" i="1"/>
  <c r="A143" i="3" s="1" a="1"/>
  <c r="A143" i="3" s="1"/>
  <c r="D143" i="3" s="1"/>
  <c r="A104" i="1"/>
  <c r="A142" i="3" s="1" a="1"/>
  <c r="A142" i="3" s="1"/>
  <c r="A103" i="1"/>
  <c r="A141" i="3" s="1" a="1"/>
  <c r="A141" i="3" s="1"/>
  <c r="A102" i="1"/>
  <c r="A140" i="3" s="1" a="1"/>
  <c r="A140" i="3" s="1"/>
  <c r="A101" i="1"/>
  <c r="A139" i="3" s="1" a="1"/>
  <c r="A139" i="3" s="1"/>
  <c r="B139" i="3" s="1"/>
  <c r="A100" i="1"/>
  <c r="A138" i="3" s="1" a="1"/>
  <c r="A138" i="3" s="1"/>
  <c r="D138" i="3" s="1"/>
  <c r="A99" i="1"/>
  <c r="A98" i="1"/>
  <c r="A136" i="3" s="1" a="1"/>
  <c r="A136" i="3" s="1"/>
  <c r="C136" i="3" s="1"/>
  <c r="A97" i="1"/>
  <c r="A135" i="3" s="1" a="1"/>
  <c r="A135" i="3" s="1"/>
  <c r="A96" i="1"/>
  <c r="A134" i="3" s="1" a="1"/>
  <c r="A134" i="3" s="1"/>
  <c r="A95" i="1"/>
  <c r="A94" i="1"/>
  <c r="A132" i="3" s="1" a="1"/>
  <c r="A132" i="3" s="1"/>
  <c r="D132" i="3" s="1"/>
  <c r="A93" i="1"/>
  <c r="A131" i="3" s="1" a="1"/>
  <c r="A131" i="3" s="1"/>
  <c r="B131" i="3" s="1"/>
  <c r="A92" i="1"/>
  <c r="A130" i="3" s="1" a="1"/>
  <c r="A130" i="3" s="1"/>
  <c r="C130" i="3" s="1"/>
  <c r="A91" i="1"/>
  <c r="A129" i="3" s="1" a="1"/>
  <c r="A129" i="3" s="1"/>
  <c r="A90" i="1"/>
  <c r="A128" i="3" s="1" a="1"/>
  <c r="A128" i="3" s="1"/>
  <c r="D128" i="3" s="1"/>
  <c r="A89" i="1"/>
  <c r="A88" i="1"/>
  <c r="A126" i="3" s="1" a="1"/>
  <c r="A126" i="3" s="1"/>
  <c r="A87" i="1"/>
  <c r="A125" i="3" s="1" a="1"/>
  <c r="A125" i="3" s="1"/>
  <c r="A86" i="1"/>
  <c r="A124" i="3" s="1" a="1"/>
  <c r="A124" i="3" s="1"/>
  <c r="A85" i="1"/>
  <c r="A123" i="3" s="1" a="1"/>
  <c r="A123" i="3" s="1"/>
  <c r="A84" i="1"/>
  <c r="A122" i="3" s="1" a="1"/>
  <c r="A122" i="3" s="1"/>
  <c r="A83" i="1"/>
  <c r="A121" i="3" s="1" a="1"/>
  <c r="A121" i="3" s="1"/>
  <c r="B121" i="3" s="1"/>
  <c r="A82" i="1"/>
  <c r="A120" i="3" s="1" a="1"/>
  <c r="A120" i="3" s="1"/>
  <c r="A81" i="1"/>
  <c r="A80" i="1"/>
  <c r="A118" i="3" s="1" a="1"/>
  <c r="A118" i="3" s="1"/>
  <c r="A79" i="1"/>
  <c r="A117" i="3" s="1" a="1"/>
  <c r="A117" i="3" s="1"/>
  <c r="A78" i="1"/>
  <c r="A116" i="3" s="1" a="1"/>
  <c r="A116" i="3" s="1"/>
  <c r="A77" i="1"/>
  <c r="A76" i="1"/>
  <c r="A114" i="3" s="1" a="1"/>
  <c r="A114" i="3" s="1"/>
  <c r="B114" i="3" s="1"/>
  <c r="A75" i="1"/>
  <c r="A113" i="3" s="1" a="1"/>
  <c r="A113" i="3" s="1"/>
  <c r="A74" i="1"/>
  <c r="A112" i="3" s="1" a="1"/>
  <c r="A112" i="3" s="1"/>
  <c r="D112" i="3" s="1"/>
  <c r="A73" i="1"/>
  <c r="A111" i="3" s="1" a="1"/>
  <c r="A111" i="3" s="1"/>
  <c r="A72" i="1"/>
  <c r="A110" i="3" s="1" a="1"/>
  <c r="A110" i="3" s="1"/>
  <c r="D110" i="3" s="1"/>
  <c r="A71" i="1"/>
  <c r="A109" i="3" s="1" a="1"/>
  <c r="A109" i="3" s="1"/>
  <c r="D109" i="3" s="1"/>
  <c r="A70" i="1"/>
  <c r="A108" i="3" s="1" a="1"/>
  <c r="A108" i="3" s="1"/>
  <c r="A69" i="1"/>
  <c r="A107" i="3" s="1" a="1"/>
  <c r="A107" i="3" s="1"/>
  <c r="A68" i="1"/>
  <c r="A106" i="3" s="1" a="1"/>
  <c r="A106" i="3" s="1"/>
  <c r="A67" i="1"/>
  <c r="A105" i="3" s="1" a="1"/>
  <c r="A105" i="3" s="1"/>
  <c r="A66" i="1"/>
  <c r="A104" i="3" s="1" a="1"/>
  <c r="A104" i="3" s="1"/>
  <c r="A65" i="1"/>
  <c r="A103" i="3" s="1" a="1"/>
  <c r="A103" i="3" s="1"/>
  <c r="B103" i="3" s="1"/>
  <c r="A64" i="1"/>
  <c r="A63" i="1"/>
  <c r="A62" i="1"/>
  <c r="A61" i="1"/>
  <c r="A99" i="3" s="1" a="1"/>
  <c r="A99" i="3" s="1"/>
  <c r="A60" i="1"/>
  <c r="A98" i="3" s="1" a="1"/>
  <c r="A98" i="3" s="1"/>
  <c r="A59" i="1"/>
  <c r="A58" i="1"/>
  <c r="A96" i="3" s="1" a="1"/>
  <c r="A96" i="3" s="1"/>
  <c r="A57" i="1"/>
  <c r="A56" i="1"/>
  <c r="A55" i="1"/>
  <c r="A93" i="3" s="1" a="1"/>
  <c r="A93" i="3" s="1"/>
  <c r="A54" i="1"/>
  <c r="A92" i="3" s="1" a="1"/>
  <c r="A92" i="3" s="1"/>
  <c r="D92" i="3" s="1"/>
  <c r="A53" i="1"/>
  <c r="A91" i="3" s="1" a="1"/>
  <c r="A91" i="3" s="1"/>
  <c r="D91" i="3" s="1"/>
  <c r="A52" i="1"/>
  <c r="A90" i="3" s="1" a="1"/>
  <c r="A90" i="3" s="1"/>
  <c r="A51" i="1"/>
  <c r="A89" i="3" s="1" a="1"/>
  <c r="A89" i="3" s="1"/>
  <c r="A50" i="1"/>
  <c r="A88" i="3" s="1" a="1"/>
  <c r="A88" i="3" s="1"/>
  <c r="A49" i="1"/>
  <c r="A87" i="3" s="1" a="1"/>
  <c r="A87" i="3" s="1"/>
  <c r="A48" i="1"/>
  <c r="A86" i="3" s="1" a="1"/>
  <c r="A86" i="3" s="1"/>
  <c r="C86" i="3" s="1"/>
  <c r="A47" i="1"/>
  <c r="A85" i="3" s="1" a="1"/>
  <c r="A85" i="3" s="1"/>
  <c r="B85" i="3" s="1"/>
  <c r="A46" i="1"/>
  <c r="A84" i="3" s="1" a="1"/>
  <c r="A84" i="3" s="1"/>
  <c r="A45" i="1"/>
  <c r="A83" i="3" s="1" a="1"/>
  <c r="A83" i="3" s="1"/>
  <c r="D83" i="3" s="1"/>
  <c r="A44" i="1"/>
  <c r="A43" i="1"/>
  <c r="A42" i="1"/>
  <c r="A80" i="3" s="1" a="1"/>
  <c r="A80" i="3" s="1"/>
  <c r="A41" i="1"/>
  <c r="A40" i="1"/>
  <c r="A78" i="3" s="1" a="1"/>
  <c r="A78" i="3" s="1"/>
  <c r="D78" i="3" s="1"/>
  <c r="A39" i="1"/>
  <c r="A38" i="1"/>
  <c r="A76" i="3" s="1" a="1"/>
  <c r="A76" i="3" s="1"/>
  <c r="D76" i="3" s="1"/>
  <c r="A37" i="1"/>
  <c r="A75" i="3" s="1" a="1"/>
  <c r="A75" i="3" s="1"/>
  <c r="A36" i="1"/>
  <c r="A74" i="3" s="1" a="1"/>
  <c r="A74" i="3" s="1"/>
  <c r="D74" i="3" s="1"/>
  <c r="A35" i="1"/>
  <c r="A73" i="3" s="1" a="1"/>
  <c r="A73" i="3" s="1"/>
  <c r="C73" i="3" s="1"/>
  <c r="A34" i="1"/>
  <c r="A69" i="3" s="1" a="1"/>
  <c r="A69" i="3" s="1"/>
  <c r="A33" i="1"/>
  <c r="A68" i="3" s="1" a="1"/>
  <c r="A68" i="3" s="1"/>
  <c r="C68" i="3" s="1"/>
  <c r="A32" i="1"/>
  <c r="A67" i="3" s="1" a="1"/>
  <c r="A67" i="3" s="1"/>
  <c r="A31" i="1"/>
  <c r="A66" i="3" s="1" a="1"/>
  <c r="A66" i="3" s="1"/>
  <c r="D66" i="3" s="1"/>
  <c r="A30" i="1"/>
  <c r="A65" i="3" s="1" a="1"/>
  <c r="A65" i="3" s="1"/>
  <c r="A29" i="1"/>
  <c r="A64" i="3" s="1" a="1"/>
  <c r="A64" i="3" s="1"/>
  <c r="A28" i="1"/>
  <c r="A63" i="3" s="1" a="1"/>
  <c r="A63" i="3" s="1"/>
  <c r="A27" i="1"/>
  <c r="A26" i="1"/>
  <c r="A61" i="3" s="1" a="1"/>
  <c r="A61" i="3" s="1"/>
  <c r="B61" i="3" s="1"/>
  <c r="A25" i="1"/>
  <c r="A60" i="3" s="1" a="1"/>
  <c r="A60" i="3" s="1"/>
  <c r="A24" i="1"/>
  <c r="A59" i="3" s="1" a="1"/>
  <c r="A59" i="3" s="1"/>
  <c r="A23" i="1"/>
  <c r="A58" i="3" s="1" a="1"/>
  <c r="A58" i="3" s="1"/>
  <c r="A22" i="1"/>
  <c r="A57" i="3" s="1" a="1"/>
  <c r="A57" i="3" s="1"/>
  <c r="A21" i="1"/>
  <c r="A56" i="3" s="1" a="1"/>
  <c r="A56" i="3" s="1"/>
  <c r="A20" i="1"/>
  <c r="A55" i="3" s="1" a="1"/>
  <c r="A55" i="3" s="1"/>
  <c r="A19" i="1"/>
  <c r="A54" i="3" s="1" a="1"/>
  <c r="A54" i="3" s="1"/>
  <c r="D54" i="3" s="1"/>
  <c r="A18" i="1"/>
  <c r="A53" i="3" s="1" a="1"/>
  <c r="A53" i="3" s="1"/>
  <c r="D53" i="3" s="1"/>
  <c r="A17" i="1"/>
  <c r="A16" i="1"/>
  <c r="A51" i="3" s="1" a="1"/>
  <c r="A51" i="3" s="1"/>
  <c r="D51" i="3" s="1"/>
  <c r="A15" i="1"/>
  <c r="A50" i="3" s="1" a="1"/>
  <c r="A50" i="3" s="1"/>
  <c r="A14" i="1"/>
  <c r="A49" i="3" s="1" a="1"/>
  <c r="A49" i="3" s="1"/>
  <c r="B49" i="3" s="1"/>
  <c r="A13" i="1"/>
  <c r="A48" i="3" s="1" a="1"/>
  <c r="A48" i="3" s="1"/>
  <c r="A12" i="1"/>
  <c r="A47" i="3" s="1" a="1"/>
  <c r="A47" i="3" s="1"/>
  <c r="A11" i="1"/>
  <c r="A46" i="3" s="1" a="1"/>
  <c r="A46" i="3" s="1"/>
  <c r="A10" i="1"/>
  <c r="A45" i="3" s="1" a="1"/>
  <c r="A45" i="3" s="1"/>
  <c r="A9" i="1"/>
  <c r="A44" i="3" s="1" a="1"/>
  <c r="A44" i="3" s="1"/>
  <c r="A8" i="1"/>
  <c r="A43" i="3" s="1" a="1"/>
  <c r="A43" i="3" s="1"/>
  <c r="B43" i="3" s="1"/>
  <c r="A7" i="1"/>
  <c r="A42" i="3" s="1" a="1"/>
  <c r="A42" i="3" s="1"/>
  <c r="D42" i="3" s="1"/>
  <c r="A6" i="1"/>
  <c r="A41" i="3" s="1" a="1"/>
  <c r="A41" i="3" s="1"/>
  <c r="A5" i="1"/>
  <c r="A4" i="1"/>
  <c r="D3" i="1" a="1"/>
  <c r="D3" i="1"/>
  <c r="A72" i="3" s="1" a="1"/>
  <c r="A72" i="3" s="1"/>
  <c r="A3" i="1"/>
  <c r="A38" i="3" s="1" a="1"/>
  <c r="A38" i="3" s="1"/>
  <c r="D38" i="3" s="1"/>
  <c r="A2" i="1"/>
  <c r="A37" i="3" s="1" a="1"/>
  <c r="A37" i="3" s="1"/>
  <c r="B37" i="3" s="1"/>
  <c r="D1" i="1" a="1"/>
  <c r="D1" i="1"/>
  <c r="A70" i="3" s="1" a="1"/>
  <c r="A70" i="3" s="1"/>
  <c r="A1" i="1"/>
  <c r="A36" i="3" s="1" a="1"/>
  <c r="A36" i="3" s="1"/>
  <c r="B36" i="3" s="1"/>
  <c r="B151" i="3" l="1"/>
  <c r="D151" i="3"/>
  <c r="C151" i="3"/>
  <c r="C64" i="3"/>
  <c r="D64" i="3"/>
  <c r="B169" i="3"/>
  <c r="D169" i="3"/>
  <c r="C169" i="3"/>
  <c r="B94" i="3"/>
  <c r="D94" i="3"/>
  <c r="C94" i="3"/>
  <c r="B13" i="3"/>
  <c r="D13" i="3"/>
  <c r="C13" i="3"/>
  <c r="D72" i="3"/>
  <c r="C72" i="3"/>
  <c r="B72" i="3"/>
  <c r="B58" i="3"/>
  <c r="D58" i="3"/>
  <c r="C58" i="3"/>
  <c r="D15" i="3"/>
  <c r="C15" i="3"/>
  <c r="B15" i="3"/>
  <c r="C6" i="3"/>
  <c r="B6" i="3"/>
  <c r="D6" i="3"/>
  <c r="B31" i="3"/>
  <c r="C31" i="3"/>
  <c r="D31" i="3"/>
  <c r="B44" i="3"/>
  <c r="D44" i="3"/>
  <c r="C44" i="3"/>
  <c r="D156" i="3"/>
  <c r="C156" i="3"/>
  <c r="C46" i="3"/>
  <c r="D46" i="3"/>
  <c r="B46" i="3"/>
  <c r="C157" i="3"/>
  <c r="B78" i="3"/>
  <c r="C133" i="3"/>
  <c r="B14" i="3"/>
  <c r="C78" i="3"/>
  <c r="B119" i="3"/>
  <c r="D133" i="3"/>
  <c r="D14" i="3"/>
  <c r="B29" i="3"/>
  <c r="C119" i="3"/>
  <c r="D154" i="3"/>
  <c r="C29" i="3"/>
  <c r="D172" i="3"/>
  <c r="D79" i="3"/>
  <c r="C51" i="3"/>
  <c r="C121" i="3"/>
  <c r="C139" i="3"/>
  <c r="D121" i="3"/>
  <c r="D139" i="3"/>
  <c r="B127" i="3"/>
  <c r="D4" i="3"/>
  <c r="D24" i="3"/>
  <c r="D145" i="3"/>
  <c r="C163" i="3"/>
  <c r="C11" i="3"/>
  <c r="B24" i="3"/>
  <c r="B53" i="3"/>
  <c r="B71" i="3"/>
  <c r="C103" i="3"/>
  <c r="C127" i="3"/>
  <c r="B145" i="3"/>
  <c r="C53" i="3"/>
  <c r="D103" i="3"/>
  <c r="B18" i="3"/>
  <c r="C85" i="3"/>
  <c r="B130" i="3"/>
  <c r="C18" i="3"/>
  <c r="B33" i="3"/>
  <c r="D130" i="3"/>
  <c r="B186" i="3"/>
  <c r="D11" i="3"/>
  <c r="C71" i="3"/>
  <c r="B163" i="3"/>
  <c r="C33" i="3"/>
  <c r="C186" i="3"/>
  <c r="C102" i="3"/>
  <c r="D157" i="3"/>
  <c r="D175" i="3"/>
  <c r="D47" i="3"/>
  <c r="C47" i="3"/>
  <c r="B47" i="3"/>
  <c r="C122" i="3"/>
  <c r="B122" i="3"/>
  <c r="D122" i="3"/>
  <c r="D105" i="3"/>
  <c r="C105" i="3"/>
  <c r="B105" i="3"/>
  <c r="C178" i="3"/>
  <c r="B178" i="3"/>
  <c r="D178" i="3"/>
  <c r="C50" i="3"/>
  <c r="D50" i="3"/>
  <c r="B50" i="3"/>
  <c r="D89" i="3"/>
  <c r="B89" i="3"/>
  <c r="C89" i="3"/>
  <c r="D125" i="3"/>
  <c r="B125" i="3"/>
  <c r="C125" i="3"/>
  <c r="D161" i="3"/>
  <c r="C161" i="3"/>
  <c r="B161" i="3"/>
  <c r="D179" i="3"/>
  <c r="C179" i="3"/>
  <c r="B179" i="3"/>
  <c r="D77" i="3"/>
  <c r="C77" i="3"/>
  <c r="B77" i="3"/>
  <c r="C65" i="3"/>
  <c r="D65" i="3"/>
  <c r="B65" i="3"/>
  <c r="B48" i="3"/>
  <c r="D48" i="3"/>
  <c r="C48" i="3"/>
  <c r="D88" i="3"/>
  <c r="C88" i="3"/>
  <c r="B88" i="3"/>
  <c r="B124" i="3"/>
  <c r="D124" i="3"/>
  <c r="C124" i="3"/>
  <c r="C56" i="3"/>
  <c r="B56" i="3"/>
  <c r="D56" i="3"/>
  <c r="C166" i="3"/>
  <c r="D166" i="3"/>
  <c r="B166" i="3"/>
  <c r="C140" i="3"/>
  <c r="D140" i="3"/>
  <c r="B140" i="3"/>
  <c r="D21" i="3"/>
  <c r="B21" i="3"/>
  <c r="C21" i="3"/>
  <c r="C106" i="3"/>
  <c r="D106" i="3"/>
  <c r="B106" i="3"/>
  <c r="C69" i="3"/>
  <c r="B69" i="3"/>
  <c r="D69" i="3"/>
  <c r="D30" i="3"/>
  <c r="C30" i="3"/>
  <c r="B30" i="3"/>
  <c r="D3" i="3"/>
  <c r="B3" i="3"/>
  <c r="C3" i="3"/>
  <c r="D84" i="3"/>
  <c r="B84" i="3"/>
  <c r="C84" i="3"/>
  <c r="C98" i="3"/>
  <c r="B98" i="3"/>
  <c r="D98" i="3"/>
  <c r="D134" i="3"/>
  <c r="C134" i="3"/>
  <c r="B134" i="3"/>
  <c r="D99" i="3"/>
  <c r="B99" i="3"/>
  <c r="C99" i="3"/>
  <c r="C34" i="3"/>
  <c r="D34" i="3"/>
  <c r="B34" i="3"/>
  <c r="C158" i="3"/>
  <c r="D158" i="3"/>
  <c r="B158" i="3"/>
  <c r="D87" i="3"/>
  <c r="C87" i="3"/>
  <c r="B87" i="3"/>
  <c r="B160" i="3"/>
  <c r="D160" i="3"/>
  <c r="C160" i="3"/>
  <c r="D90" i="3"/>
  <c r="C90" i="3"/>
  <c r="B90" i="3"/>
  <c r="C126" i="3"/>
  <c r="B126" i="3"/>
  <c r="D126" i="3"/>
  <c r="C100" i="3"/>
  <c r="D100" i="3"/>
  <c r="B100" i="3"/>
  <c r="D41" i="3"/>
  <c r="C41" i="3"/>
  <c r="B41" i="3"/>
  <c r="D62" i="3"/>
  <c r="C62" i="3"/>
  <c r="B62" i="3"/>
  <c r="B123" i="3"/>
  <c r="D123" i="3"/>
  <c r="C123" i="3"/>
  <c r="B142" i="3"/>
  <c r="D142" i="3"/>
  <c r="C142" i="3"/>
  <c r="B108" i="3"/>
  <c r="D108" i="3"/>
  <c r="C108" i="3"/>
  <c r="D180" i="3"/>
  <c r="C180" i="3"/>
  <c r="B180" i="3"/>
  <c r="D55" i="3"/>
  <c r="C55" i="3"/>
  <c r="B55" i="3"/>
  <c r="C184" i="3"/>
  <c r="D184" i="3"/>
  <c r="B184" i="3"/>
  <c r="D5" i="3"/>
  <c r="C5" i="3"/>
  <c r="B5" i="3"/>
  <c r="D111" i="3"/>
  <c r="B111" i="3"/>
  <c r="C111" i="3"/>
  <c r="D59" i="3"/>
  <c r="C59" i="3"/>
  <c r="B59" i="3"/>
  <c r="D116" i="3"/>
  <c r="C116" i="3"/>
  <c r="B116" i="3"/>
  <c r="D152" i="3"/>
  <c r="C152" i="3"/>
  <c r="B152" i="3"/>
  <c r="C19" i="3"/>
  <c r="B19" i="3"/>
  <c r="D19" i="3"/>
  <c r="D9" i="3"/>
  <c r="C9" i="3"/>
  <c r="B9" i="3"/>
  <c r="D63" i="3"/>
  <c r="B63" i="3"/>
  <c r="C63" i="3"/>
  <c r="C104" i="3"/>
  <c r="B104" i="3"/>
  <c r="D57" i="3"/>
  <c r="B57" i="3"/>
  <c r="D120" i="3"/>
  <c r="B120" i="3"/>
  <c r="D170" i="3"/>
  <c r="C170" i="3"/>
  <c r="B170" i="3"/>
  <c r="B188" i="3"/>
  <c r="D188" i="3"/>
  <c r="C188" i="3"/>
  <c r="C36" i="3"/>
  <c r="D93" i="3"/>
  <c r="B93" i="3"/>
  <c r="C93" i="3"/>
  <c r="B143" i="3"/>
  <c r="B162" i="3"/>
  <c r="D95" i="3"/>
  <c r="C95" i="3"/>
  <c r="B95" i="3"/>
  <c r="D35" i="3"/>
  <c r="C35" i="3"/>
  <c r="B35" i="3"/>
  <c r="C60" i="3"/>
  <c r="D60" i="3"/>
  <c r="B60" i="3"/>
  <c r="D117" i="3"/>
  <c r="C117" i="3"/>
  <c r="B117" i="3"/>
  <c r="D135" i="3"/>
  <c r="B135" i="3"/>
  <c r="C135" i="3"/>
  <c r="D153" i="3"/>
  <c r="C153" i="3"/>
  <c r="B153" i="3"/>
  <c r="D171" i="3"/>
  <c r="C171" i="3"/>
  <c r="B171" i="3"/>
  <c r="D189" i="3"/>
  <c r="C189" i="3"/>
  <c r="B189" i="3"/>
  <c r="C10" i="3"/>
  <c r="D10" i="3"/>
  <c r="C20" i="3"/>
  <c r="B20" i="3"/>
  <c r="D36" i="3"/>
  <c r="C49" i="3"/>
  <c r="C101" i="3"/>
  <c r="D101" i="3"/>
  <c r="B101" i="3"/>
  <c r="B109" i="3"/>
  <c r="C143" i="3"/>
  <c r="C162" i="3"/>
  <c r="C118" i="3"/>
  <c r="B118" i="3"/>
  <c r="C25" i="3"/>
  <c r="D37" i="3"/>
  <c r="C37" i="3"/>
  <c r="D49" i="3"/>
  <c r="C57" i="3"/>
  <c r="B86" i="3"/>
  <c r="C109" i="3"/>
  <c r="D118" i="3"/>
  <c r="C144" i="3"/>
  <c r="B10" i="3"/>
  <c r="D20" i="3"/>
  <c r="D25" i="3"/>
  <c r="B64" i="3"/>
  <c r="D86" i="3"/>
  <c r="B102" i="3"/>
  <c r="B136" i="3"/>
  <c r="D144" i="3"/>
  <c r="B154" i="3"/>
  <c r="B172" i="3"/>
  <c r="D181" i="3"/>
  <c r="C181" i="3"/>
  <c r="D26" i="3"/>
  <c r="C26" i="3"/>
  <c r="B26" i="3"/>
  <c r="C38" i="3"/>
  <c r="B38" i="3"/>
  <c r="D155" i="3"/>
  <c r="C155" i="3"/>
  <c r="D173" i="3"/>
  <c r="C173" i="3"/>
  <c r="B173" i="3"/>
  <c r="D16" i="3"/>
  <c r="C16" i="3"/>
  <c r="B32" i="3"/>
  <c r="D39" i="3"/>
  <c r="B39" i="3"/>
  <c r="C52" i="3"/>
  <c r="D52" i="3"/>
  <c r="B52" i="3"/>
  <c r="B66" i="3"/>
  <c r="D81" i="3"/>
  <c r="C81" i="3"/>
  <c r="B81" i="3"/>
  <c r="D104" i="3"/>
  <c r="C137" i="3"/>
  <c r="B141" i="3"/>
  <c r="D141" i="3"/>
  <c r="C141" i="3"/>
  <c r="B156" i="3"/>
  <c r="B174" i="3"/>
  <c r="D27" i="3"/>
  <c r="B27" i="3"/>
  <c r="C27" i="3"/>
  <c r="D80" i="3"/>
  <c r="C80" i="3"/>
  <c r="B80" i="3"/>
  <c r="B67" i="3"/>
  <c r="D67" i="3"/>
  <c r="C1" i="3"/>
  <c r="B1" i="3"/>
  <c r="D70" i="3"/>
  <c r="C70" i="3"/>
  <c r="B70" i="3"/>
  <c r="C176" i="3"/>
  <c r="D176" i="3"/>
  <c r="B176" i="3"/>
  <c r="B159" i="3"/>
  <c r="C159" i="3"/>
  <c r="B73" i="3"/>
  <c r="D32" i="3"/>
  <c r="C66" i="3"/>
  <c r="B138" i="3"/>
  <c r="D107" i="3"/>
  <c r="B107" i="3"/>
  <c r="B16" i="3"/>
  <c r="D73" i="3"/>
  <c r="D113" i="3"/>
  <c r="C113" i="3"/>
  <c r="C138" i="3"/>
  <c r="C174" i="3"/>
  <c r="C67" i="3"/>
  <c r="B113" i="3"/>
  <c r="D183" i="3"/>
  <c r="C183" i="3"/>
  <c r="B183" i="3"/>
  <c r="C7" i="3"/>
  <c r="C23" i="3"/>
  <c r="C54" i="3"/>
  <c r="D61" i="3"/>
  <c r="B76" i="3"/>
  <c r="C83" i="3"/>
  <c r="D159" i="3"/>
  <c r="B168" i="3"/>
  <c r="D177" i="3"/>
  <c r="C12" i="3"/>
  <c r="B68" i="3"/>
  <c r="B23" i="3"/>
  <c r="B54" i="3"/>
  <c r="C61" i="3"/>
  <c r="D75" i="3"/>
  <c r="B75" i="3"/>
  <c r="C75" i="3"/>
  <c r="D147" i="3"/>
  <c r="B147" i="3"/>
  <c r="C147" i="3"/>
  <c r="C112" i="3"/>
  <c r="B112" i="3"/>
  <c r="D7" i="3"/>
  <c r="C76" i="3"/>
  <c r="B91" i="3"/>
  <c r="C107" i="3"/>
  <c r="C115" i="3"/>
  <c r="C150" i="3"/>
  <c r="C168" i="3"/>
  <c r="C28" i="3"/>
  <c r="D28" i="3"/>
  <c r="D129" i="3"/>
  <c r="B129" i="3"/>
  <c r="C129" i="3"/>
  <c r="C39" i="3"/>
  <c r="C82" i="3"/>
  <c r="D82" i="3"/>
  <c r="C97" i="3"/>
  <c r="B12" i="3"/>
  <c r="B28" i="3"/>
  <c r="D40" i="3"/>
  <c r="C40" i="3"/>
  <c r="B40" i="3"/>
  <c r="D1" i="3"/>
  <c r="C131" i="3"/>
  <c r="D131" i="3"/>
  <c r="D148" i="3"/>
  <c r="C177" i="3"/>
  <c r="D8" i="3"/>
  <c r="B8" i="3"/>
  <c r="C8" i="3"/>
  <c r="B42" i="3"/>
  <c r="C91" i="3"/>
  <c r="D115" i="3"/>
  <c r="D150" i="3"/>
  <c r="C187" i="3"/>
  <c r="C120" i="3"/>
  <c r="D17" i="3"/>
  <c r="C17" i="3"/>
  <c r="B17" i="3"/>
  <c r="C74" i="3"/>
  <c r="B74" i="3"/>
  <c r="D97" i="3"/>
  <c r="B148" i="3"/>
  <c r="C167" i="3"/>
  <c r="D167" i="3"/>
  <c r="B167" i="3"/>
  <c r="C2" i="3"/>
  <c r="B2" i="3"/>
  <c r="D68" i="3"/>
  <c r="C149" i="3"/>
  <c r="D149" i="3"/>
  <c r="B149" i="3"/>
  <c r="D165" i="3"/>
  <c r="B165" i="3"/>
  <c r="C165" i="3"/>
  <c r="D96" i="3"/>
  <c r="C96" i="3"/>
  <c r="B96" i="3"/>
  <c r="D114" i="3"/>
  <c r="C114" i="3"/>
  <c r="C132" i="3"/>
  <c r="B132" i="3"/>
  <c r="C42" i="3"/>
  <c r="D187" i="3"/>
  <c r="C185" i="3"/>
  <c r="D185" i="3"/>
  <c r="C92" i="3"/>
  <c r="B92" i="3"/>
  <c r="C110" i="3"/>
  <c r="B110" i="3"/>
  <c r="C128" i="3"/>
  <c r="B128" i="3"/>
  <c r="C146" i="3"/>
  <c r="B146" i="3"/>
  <c r="C164" i="3"/>
  <c r="B164" i="3"/>
  <c r="C182" i="3"/>
  <c r="B182" i="3"/>
  <c r="B185" i="3"/>
  <c r="D45" i="3"/>
  <c r="C45" i="3"/>
  <c r="B45" i="3"/>
  <c r="B4" i="3"/>
  <c r="B22" i="3"/>
  <c r="D85" i="3"/>
  <c r="D18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<sst xmlns="http://schemas.openxmlformats.org/spreadsheetml/2006/main" count="248" uniqueCount="225">
  <si>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</si>
  <si>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</si>
  <si>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</si>
  <si>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</si>
  <si>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</si>
  <si>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</si>
  <si>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</si>
  <si>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</si>
  <si>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</si>
  <si>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</si>
  <si>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</si>
  <si>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</si>
  <si>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</si>
  <si>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</si>
  <si>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</si>
  <si>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</si>
  <si>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</si>
  <si>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</si>
  <si>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</si>
  <si>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</si>
  <si>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</si>
  <si>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</si>
  <si>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</si>
  <si>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</si>
  <si>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</si>
  <si>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</si>
  <si>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</si>
  <si>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</si>
  <si>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</si>
  <si>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</si>
  <si>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</si>
  <si>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</si>
  <si>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</si>
  <si>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</si>
  <si>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</si>
  <si>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last#1</t>
  </si>
  <si>
    <t>last#2</t>
  </si>
  <si>
    <t>last#3</t>
  </si>
  <si>
    <t>last#4</t>
  </si>
  <si>
    <t>last#5</t>
  </si>
  <si>
    <t>last#6</t>
  </si>
  <si>
    <t>last#7</t>
  </si>
  <si>
    <t>last#8</t>
  </si>
  <si>
    <t>last#9</t>
  </si>
  <si>
    <t>last#10</t>
  </si>
  <si>
    <t>last#11</t>
  </si>
  <si>
    <t>last#12</t>
  </si>
  <si>
    <t>last#13</t>
  </si>
  <si>
    <t>last#14</t>
  </si>
  <si>
    <t>last#15</t>
  </si>
  <si>
    <t>last#16</t>
  </si>
  <si>
    <t>last#17</t>
  </si>
  <si>
    <t>last#18</t>
  </si>
  <si>
    <t>last#19</t>
  </si>
  <si>
    <t>last#20</t>
  </si>
  <si>
    <t>last#21</t>
  </si>
  <si>
    <t>last#22</t>
  </si>
  <si>
    <t>last#23</t>
  </si>
  <si>
    <t>last#24</t>
  </si>
  <si>
    <t>last#25</t>
  </si>
  <si>
    <t>last#26</t>
  </si>
  <si>
    <t>last#27</t>
  </si>
  <si>
    <t>last#28</t>
  </si>
  <si>
    <t>last#29</t>
  </si>
  <si>
    <t>last#30</t>
  </si>
  <si>
    <t>last#31</t>
  </si>
  <si>
    <t>last#32</t>
  </si>
  <si>
    <t>last#33</t>
  </si>
  <si>
    <t>last#34</t>
  </si>
  <si>
    <t>last#35</t>
  </si>
  <si>
    <t>stored#1</t>
  </si>
  <si>
    <t>stored#2</t>
  </si>
  <si>
    <t>stored#3</t>
  </si>
  <si>
    <t>stored#4</t>
  </si>
  <si>
    <t>stored#5</t>
  </si>
  <si>
    <t>stored#6</t>
  </si>
  <si>
    <t>stored#7</t>
  </si>
  <si>
    <t>stored#8</t>
  </si>
  <si>
    <t>stored#9</t>
  </si>
  <si>
    <t>stored#10</t>
  </si>
  <si>
    <t>stored#11</t>
  </si>
  <si>
    <t>stored#12</t>
  </si>
  <si>
    <t>stored#13</t>
  </si>
  <si>
    <t>stored#14</t>
  </si>
  <si>
    <t>stored#15</t>
  </si>
  <si>
    <t>stored#16</t>
  </si>
  <si>
    <t>stored#17</t>
  </si>
  <si>
    <t>stored#18</t>
  </si>
  <si>
    <t>stored#19</t>
  </si>
  <si>
    <t>stored#20</t>
  </si>
  <si>
    <t>stored#21</t>
  </si>
  <si>
    <t>stored#22</t>
  </si>
  <si>
    <t>stored#23</t>
  </si>
  <si>
    <t>stored#24</t>
  </si>
  <si>
    <t>stored#25</t>
  </si>
  <si>
    <t>stored#26</t>
  </si>
  <si>
    <t>stored#27</t>
  </si>
  <si>
    <t>stored#28</t>
  </si>
  <si>
    <t>stored#29</t>
  </si>
  <si>
    <t>stored#30</t>
  </si>
  <si>
    <t>stored#31</t>
  </si>
  <si>
    <t>stored#32</t>
  </si>
  <si>
    <t>stored#33</t>
  </si>
  <si>
    <t>stored#34</t>
  </si>
  <si>
    <t>array#1</t>
  </si>
  <si>
    <t>array#2</t>
  </si>
  <si>
    <t>array#3</t>
  </si>
  <si>
    <t>sweep:1#1</t>
  </si>
  <si>
    <t>sweep:1#2</t>
  </si>
  <si>
    <t>sweep:1#3</t>
  </si>
  <si>
    <t>sweep:1#4</t>
  </si>
  <si>
    <t>sweep:1#5</t>
  </si>
  <si>
    <t>sweep:1#6</t>
  </si>
  <si>
    <t>sweep:1#7</t>
  </si>
  <si>
    <t>sweep:1#8</t>
  </si>
  <si>
    <t>sweep:1#9</t>
  </si>
  <si>
    <t>sweep:1#10</t>
  </si>
  <si>
    <t>sweep:1#11</t>
  </si>
  <si>
    <t>sweep:1#12</t>
  </si>
  <si>
    <t>sweep:1#13</t>
  </si>
  <si>
    <t>sweep:1#14</t>
  </si>
  <si>
    <t>sweep:1#15</t>
  </si>
  <si>
    <t>sweep:1#16</t>
  </si>
  <si>
    <t>sweep:1#17</t>
  </si>
  <si>
    <t>sweep:1#18</t>
  </si>
  <si>
    <t>sweep:1#19</t>
  </si>
  <si>
    <t>sweep:1#20</t>
  </si>
  <si>
    <t>sweep:1.9#1</t>
  </si>
  <si>
    <t>sweep:1.9#2</t>
  </si>
  <si>
    <t>sweep:1.9#3</t>
  </si>
  <si>
    <t>sweep:1.9#4</t>
  </si>
  <si>
    <t>sweep:1.9#5</t>
  </si>
  <si>
    <t>sweep:1.9#6</t>
  </si>
  <si>
    <t>sweep:1.9#7</t>
  </si>
  <si>
    <t>sweep:1.9#8</t>
  </si>
  <si>
    <t>sweep:1.9#9</t>
  </si>
  <si>
    <t>sweep:1.9#10</t>
  </si>
  <si>
    <t>sweep:1.9#11</t>
  </si>
  <si>
    <t>sweep:1.9#12</t>
  </si>
  <si>
    <t>sweep:1.9#13</t>
  </si>
  <si>
    <t>sweep:1.9#14</t>
  </si>
  <si>
    <t>sweep:1.9#15</t>
  </si>
  <si>
    <t>sweep:1.9#16</t>
  </si>
  <si>
    <t>sweep:1.9#17</t>
  </si>
  <si>
    <t>sweep:1.9#18</t>
  </si>
  <si>
    <t>sweep:1.9#19</t>
  </si>
  <si>
    <t>sweep:1.9#20</t>
  </si>
  <si>
    <t>sweep:9.5#1</t>
  </si>
  <si>
    <t>sweep:9.5#2</t>
  </si>
  <si>
    <t>sweep:9.5#3</t>
  </si>
  <si>
    <t>sweep:9.5#4</t>
  </si>
  <si>
    <t>sweep:9.5#5</t>
  </si>
  <si>
    <t>sweep:9.5#6</t>
  </si>
  <si>
    <t>sweep:9.5#7</t>
  </si>
  <si>
    <t>sweep:9.5#8</t>
  </si>
  <si>
    <t>sweep:9.5#9</t>
  </si>
  <si>
    <t>sweep:9.5#10</t>
  </si>
  <si>
    <t>sweep:9.5#11</t>
  </si>
  <si>
    <t>sweep:9.5#12</t>
  </si>
  <si>
    <t>sweep:9.5#13</t>
  </si>
  <si>
    <t>sweep:9.5#14</t>
  </si>
  <si>
    <t>sweep:9.5#15</t>
  </si>
  <si>
    <t>sweep:9.5#16</t>
  </si>
  <si>
    <t>sweep:9.5#17</t>
  </si>
  <si>
    <t>sweep:9.5#18</t>
  </si>
  <si>
    <t>sweep:9.5#19</t>
  </si>
  <si>
    <t>sweep:9.5#20</t>
  </si>
  <si>
    <t>sweep:1E+15#1</t>
  </si>
  <si>
    <t>sweep:1E+15#2</t>
  </si>
  <si>
    <t>sweep:1E+15#3</t>
  </si>
  <si>
    <t>sweep:1E+15#4</t>
  </si>
  <si>
    <t>sweep:1E+15#5</t>
  </si>
  <si>
    <t>sweep:1E+15#6</t>
  </si>
  <si>
    <t>sweep:1E+15#7</t>
  </si>
  <si>
    <t>sweep:1E+15#8</t>
  </si>
  <si>
    <t>sweep:1E+15#9</t>
  </si>
  <si>
    <t>sweep:1E+15#10</t>
  </si>
  <si>
    <t>sweep:1E+15#11</t>
  </si>
  <si>
    <t>sweep:1E+15#12</t>
  </si>
  <si>
    <t>sweep:1E+15#13</t>
  </si>
  <si>
    <t>sweep:1E+15#14</t>
  </si>
  <si>
    <t>sweep:1E+15#15</t>
  </si>
  <si>
    <t>sweep:1E+15#16</t>
  </si>
  <si>
    <t>sweep:1E+15#17</t>
  </si>
  <si>
    <t>sweep:1E+15#18</t>
  </si>
  <si>
    <t>sweep:1E+15#19</t>
  </si>
  <si>
    <t>sweep:1E+15#20</t>
  </si>
  <si>
    <t>sweep:1E-200#1</t>
  </si>
  <si>
    <t>sweep:1E-200#2</t>
  </si>
  <si>
    <t>sweep:1E-200#3</t>
  </si>
  <si>
    <t>sweep:1E-200#4</t>
  </si>
  <si>
    <t>sweep:1E-200#5</t>
  </si>
  <si>
    <t>sweep:1E-200#6</t>
  </si>
  <si>
    <t>sweep:1E-200#7</t>
  </si>
  <si>
    <t>sweep:1E-200#8</t>
  </si>
  <si>
    <t>sweep:1E-200#9</t>
  </si>
  <si>
    <t>sweep:1E-200#10</t>
  </si>
  <si>
    <t>sweep:1E-200#11</t>
  </si>
  <si>
    <t>sweep:1E-200#12</t>
  </si>
  <si>
    <t>sweep:1E-200#13</t>
  </si>
  <si>
    <t>sweep:1E-200#14</t>
  </si>
  <si>
    <t>sweep:1E-200#15</t>
  </si>
  <si>
    <t>sweep:1E-200#16</t>
  </si>
  <si>
    <t>sweep:1E-200#17</t>
  </si>
  <si>
    <t>sweep:1E-200#18</t>
  </si>
  <si>
    <t>sweep:1E-200#19</t>
  </si>
  <si>
    <t>sweep:1E-200#20</t>
  </si>
  <si>
    <t>sweep:k#1</t>
  </si>
  <si>
    <t>sweep:k#2</t>
  </si>
  <si>
    <t>sweep:k#3</t>
  </si>
  <si>
    <t>sweep:k#4</t>
  </si>
  <si>
    <t>sweep:k#5</t>
  </si>
  <si>
    <t>sweep:k#6</t>
  </si>
  <si>
    <t>sweep:k#7</t>
  </si>
  <si>
    <t>sweep:k#8</t>
  </si>
  <si>
    <t>sweep:k#9</t>
  </si>
  <si>
    <t>sweep:back#1</t>
  </si>
  <si>
    <t>sweep:back#2</t>
  </si>
  <si>
    <t>sweep:back#3</t>
  </si>
  <si>
    <t>sweep:back#4</t>
  </si>
  <si>
    <t>sweep:back#5</t>
  </si>
  <si>
    <t>sweep:back#6</t>
  </si>
  <si>
    <t>sweep:back#7</t>
  </si>
  <si>
    <t>sweep:back#8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</si>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</sst>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f>0.5-0.4-0.1</f>
        <v>0</v>
      </c>
      <c r="B1">
        <v>0.3</v>
      </c>
      <c r="D1" cm="1">
        <f t="array" ref="D1:E1">{0.1,0.5}+0.2-0.3</f>
        <v>0</v>
      </c>
      <c r="E1">
        <v>0.39999999999999997</v>
      </c>
    </row>
    <row r="2" spans="1:5" x14ac:dyDescent="0.2">
      <c r="A2">
        <f>1*(0.5-0.4-0.1)</f>
        <v>-2.7755575615628914E-17</v>
      </c>
      <c r="B2">
        <v>0.1</v>
      </c>
    </row>
    <row r="3" spans="1:5" x14ac:dyDescent="0.2">
      <c r="A3">
        <f>(0.5-0.4-0.1)</f>
        <v>-2.7755575615628914E-17</v>
      </c>
      <c r="D3" cm="1">
        <f t="array" ref="D3">0.5-0.4-0.1</f>
        <v>0</v>
      </c>
    </row>
    <row r="4" spans="1:5" x14ac:dyDescent="0.2">
      <c r="A4">
        <f>0.1+0.2-B1</f>
        <v>0</v>
      </c>
    </row>
    <row r="5" spans="1:5" x14ac:dyDescent="0.2">
      <c r="A5">
        <f>SUM(0.1,0.2)-B1</f>
        <v>0</v>
      </c>
    </row>
    <row r="6" spans="1:5" x14ac:dyDescent="0.2">
      <c r="A6">
        <f>-0.1-0.2+B1</f>
        <v>0</v>
      </c>
    </row>
    <row r="7" spans="1:5" x14ac:dyDescent="0.2">
      <c r="A7">
        <f>(0.1+0.2-B1)/1</f>
        <v>5.5511151231257827E-17</v>
      </c>
    </row>
    <row r="8" spans="1:5" x14ac:dyDescent="0.2">
      <c r="A8">
        <f>0.1+0.2-B1+0</f>
        <v>5.5511151231257827E-17</v>
      </c>
    </row>
    <row r="9" spans="1:5" x14ac:dyDescent="0.2">
      <c r="A9">
        <f>0+0.1+0.2-0.3</f>
        <v>0</v>
      </c>
    </row>
    <row r="10" spans="1:5" x14ac:dyDescent="0.2">
      <c r="A10">
        <f>0.1+0.2-0.3*1</f>
        <v>0</v>
      </c>
    </row>
    <row r="11" spans="1:5" x14ac:dyDescent="0.2">
      <c r="A11">
        <f>0.1+0.2-(0.3)</f>
        <v>0</v>
      </c>
    </row>
    <row r="12" spans="1:5" x14ac:dyDescent="0.2">
      <c r="A12">
        <f>(0.1+0.2)-0.3</f>
        <v>0</v>
      </c>
    </row>
    <row r="13" spans="1:5" x14ac:dyDescent="0.2">
      <c r="A13">
        <f>0.1-(0.3-0.2)</f>
        <v>0</v>
      </c>
    </row>
    <row r="14" spans="1:5" x14ac:dyDescent="0.2">
      <c r="A14">
        <f>B2+0.2-B1</f>
        <v>0</v>
      </c>
    </row>
    <row r="15" spans="1:5" x14ac:dyDescent="0.2">
      <c r="A15">
        <f>1-0.9-0.1</f>
        <v>0</v>
      </c>
    </row>
    <row r="16" spans="1:5" x14ac:dyDescent="0.2">
      <c r="A16">
        <f>0.3-0.2-0.1</f>
        <v>0</v>
      </c>
    </row>
    <row r="17" spans="1:1" x14ac:dyDescent="0.2">
      <c r="A17">
        <f>-0.3+0.1+0.2</f>
        <v>0</v>
      </c>
    </row>
    <row r="18" spans="1:1" x14ac:dyDescent="0.2">
      <c r="A18">
        <f>0.1*3-0.3</f>
        <v>0</v>
      </c>
    </row>
    <row r="19" spans="1:1" x14ac:dyDescent="0.2">
      <c r="A19">
        <f>TRUE-0.9-0.1</f>
        <v>0</v>
      </c>
    </row>
    <row r="20" spans="1:1" x14ac:dyDescent="0.2">
      <c r="A20">
        <f>"0.1"+0.2-0.3</f>
        <v>0</v>
      </c>
    </row>
    <row r="21" spans="1:1" x14ac:dyDescent="0.2">
      <c r="A21">
        <f>50%-0.4-0.1</f>
        <v>0</v>
      </c>
    </row>
    <row r="22" spans="1:1" x14ac:dyDescent="0.2">
      <c r="A22">
        <f>-(0.1+0.2-0.3)</f>
        <v>-5.5511151231257827E-17</v>
      </c>
    </row>
    <row r="23" spans="1:1" x14ac:dyDescent="0.2">
      <c r="A23">
        <f>0.1+0.2-0.3</f>
        <v>0</v>
      </c>
    </row>
    <row r="24" spans="1:1" x14ac:dyDescent="0.2">
      <c r="A24">
        <f>+(0.1+0.2-0.3)</f>
        <v>5.5511151231257827E-17</v>
      </c>
    </row>
    <row r="25" spans="1:1" x14ac:dyDescent="0.2">
      <c r="A25">
        <f>(0.1+0.2-0.3)+0</f>
        <v>5.5511151231257827E-17</v>
      </c>
    </row>
    <row r="26" spans="1:1" x14ac:dyDescent="0.2">
      <c r="A26">
        <f>0-(0.1+0.2-0.3)</f>
        <v>-5.5511151231257827E-17</v>
      </c>
    </row>
    <row r="27" spans="1:1" x14ac:dyDescent="0.2">
      <c r="A27">
        <f>0.00000000000000002-0.00000000000000001</f>
        <v>1.0000000000000001E-17</v>
      </c>
    </row>
    <row r="28" spans="1:1" x14ac:dyDescent="0.2">
      <c r="A28">
        <f>1000000000000000+0.3-1000000000000000</f>
        <v>0</v>
      </c>
    </row>
    <row r="29" spans="1:1" x14ac:dyDescent="0.2">
      <c r="A29">
        <f>SUM(0.1,0.2,-0.3)</f>
        <v>0</v>
      </c>
    </row>
    <row r="30" spans="1:1" x14ac:dyDescent="0.2">
      <c r="A30">
        <f>SUM(0.1,0.2)-0.3</f>
        <v>0</v>
      </c>
    </row>
    <row r="31" spans="1:1" x14ac:dyDescent="0.2">
      <c r="A31">
        <f>ROUND(0.1+0.2-0.3,30)</f>
        <v>5.5511151231258E-17</v>
      </c>
    </row>
    <row r="32" spans="1:1" x14ac:dyDescent="0.2">
      <c r="A32">
        <f>ABS(0.1+0.2-0.3)</f>
        <v>5.5511151231257827E-17</v>
      </c>
    </row>
    <row r="33" spans="1:1" x14ac:dyDescent="0.2">
      <c r="A33">
        <f>IF(TRUE,0.1+0.2-0.3)</f>
        <v>5.5511151231257827E-17</v>
      </c>
    </row>
    <row r="34" spans="1:1" x14ac:dyDescent="0.2">
      <c r="A34">
        <f>_xlfn.LET(_xlpm.x,0.1,_xlpm.x+0.2-0.3)</f>
        <v>5.5511151231257827E-17</v>
      </c>
    </row>
    <row r="35" spans="1:1" x14ac:dyDescent="0.2">
      <c r="A35">
        <f>1+1*2^-52-1</f>
        <v>0</v>
      </c>
    </row>
    <row r="36" spans="1:1" x14ac:dyDescent="0.2">
      <c r="A36">
        <f>1+2*2^-52-1</f>
        <v>0</v>
      </c>
    </row>
    <row r="37" spans="1:1" x14ac:dyDescent="0.2">
      <c r="A37">
        <f>1+3*2^-52-1</f>
        <v>0</v>
      </c>
    </row>
    <row r="38" spans="1:1" x14ac:dyDescent="0.2">
      <c r="A38">
        <f>1+4*2^-52-1</f>
        <v>0</v>
      </c>
    </row>
    <row r="39" spans="1:1" x14ac:dyDescent="0.2">
      <c r="A39">
        <f>1+5*2^-52-1</f>
        <v>0</v>
      </c>
    </row>
    <row r="40" spans="1:1" x14ac:dyDescent="0.2">
      <c r="A40">
        <f>1+6*2^-52-1</f>
        <v>0</v>
      </c>
    </row>
    <row r="41" spans="1:1" x14ac:dyDescent="0.2">
      <c r="A41">
        <f>1+7*2^-52-1</f>
        <v>0</v>
      </c>
    </row>
    <row r="42" spans="1:1" x14ac:dyDescent="0.2">
      <c r="A42">
        <f>1+8*2^-52-1</f>
        <v>1.7763568394002505E-15</v>
      </c>
    </row>
    <row r="43" spans="1:1" x14ac:dyDescent="0.2">
      <c r="A43">
        <f>1+9*2^-52-1</f>
        <v>1.9984014443252818E-15</v>
      </c>
    </row>
    <row r="44" spans="1:1" x14ac:dyDescent="0.2">
      <c r="A44">
        <f>1+10*2^-52-1</f>
        <v>2.2204460492503131E-15</v>
      </c>
    </row>
    <row r="45" spans="1:1" x14ac:dyDescent="0.2">
      <c r="A45">
        <f>1+11*2^-52-1</f>
        <v>2.4424906541753444E-15</v>
      </c>
    </row>
    <row r="46" spans="1:1" x14ac:dyDescent="0.2">
      <c r="A46">
        <f>1+12*2^-52-1</f>
        <v>2.6645352591003757E-15</v>
      </c>
    </row>
    <row r="47" spans="1:1" x14ac:dyDescent="0.2">
      <c r="A47">
        <f>1+13*2^-52-1</f>
        <v>2.886579864025407E-15</v>
      </c>
    </row>
    <row r="48" spans="1:1" x14ac:dyDescent="0.2">
      <c r="A48">
        <f>1+14*2^-52-1</f>
        <v>3.1086244689504383E-15</v>
      </c>
    </row>
    <row r="49" spans="1:1" x14ac:dyDescent="0.2">
      <c r="A49">
        <f>1+15*2^-52-1</f>
        <v>3.3306690738754696E-15</v>
      </c>
    </row>
    <row r="50" spans="1:1" x14ac:dyDescent="0.2">
      <c r="A50">
        <f>1+16*2^-52-1</f>
        <v>3.5527136788005009E-15</v>
      </c>
    </row>
    <row r="51" spans="1:1" x14ac:dyDescent="0.2">
      <c r="A51">
        <f>1+17*2^-52-1</f>
        <v>3.7747582837255322E-15</v>
      </c>
    </row>
    <row r="52" spans="1:1" x14ac:dyDescent="0.2">
      <c r="A52">
        <f>1+18*2^-52-1</f>
        <v>3.9968028886505635E-15</v>
      </c>
    </row>
    <row r="53" spans="1:1" x14ac:dyDescent="0.2">
      <c r="A53">
        <f>1+19*2^-52-1</f>
        <v>4.2188474935755949E-15</v>
      </c>
    </row>
    <row r="54" spans="1:1" x14ac:dyDescent="0.2">
      <c r="A54">
        <f>1+20*2^-52-1</f>
        <v>4.4408920985006262E-15</v>
      </c>
    </row>
    <row r="55" spans="1:1" x14ac:dyDescent="0.2">
      <c r="A55">
        <f>1.9+1*2^-52-1.9</f>
        <v>0</v>
      </c>
    </row>
    <row r="56" spans="1:1" x14ac:dyDescent="0.2">
      <c r="A56">
        <f>1.9+2*2^-52-1.9</f>
        <v>0</v>
      </c>
    </row>
    <row r="57" spans="1:1" x14ac:dyDescent="0.2">
      <c r="A57">
        <f>1.9+3*2^-52-1.9</f>
        <v>0</v>
      </c>
    </row>
    <row r="58" spans="1:1" x14ac:dyDescent="0.2">
      <c r="A58">
        <f>1.9+4*2^-52-1.9</f>
        <v>0</v>
      </c>
    </row>
    <row r="59" spans="1:1" x14ac:dyDescent="0.2">
      <c r="A59">
        <f>1.9+5*2^-52-1.9</f>
        <v>0</v>
      </c>
    </row>
    <row r="60" spans="1:1" x14ac:dyDescent="0.2">
      <c r="A60">
        <f>1.9+6*2^-52-1.9</f>
        <v>0</v>
      </c>
    </row>
    <row r="61" spans="1:1" x14ac:dyDescent="0.2">
      <c r="A61">
        <f>1.9+7*2^-52-1.9</f>
        <v>0</v>
      </c>
    </row>
    <row r="62" spans="1:1" x14ac:dyDescent="0.2">
      <c r="A62">
        <f>1.9+8*2^-52-1.9</f>
        <v>1.7763568394002505E-15</v>
      </c>
    </row>
    <row r="63" spans="1:1" x14ac:dyDescent="0.2">
      <c r="A63">
        <f>1.9+9*2^-52-1.9</f>
        <v>1.9984014443252818E-15</v>
      </c>
    </row>
    <row r="64" spans="1:1" x14ac:dyDescent="0.2">
      <c r="A64">
        <f>1.9+10*2^-52-1.9</f>
        <v>2.2204460492503131E-15</v>
      </c>
    </row>
    <row r="65" spans="1:1" x14ac:dyDescent="0.2">
      <c r="A65">
        <f>1.9+11*2^-52-1.9</f>
        <v>2.4424906541753444E-15</v>
      </c>
    </row>
    <row r="66" spans="1:1" x14ac:dyDescent="0.2">
      <c r="A66">
        <f>1.9+12*2^-52-1.9</f>
        <v>2.6645352591003757E-15</v>
      </c>
    </row>
    <row r="67" spans="1:1" x14ac:dyDescent="0.2">
      <c r="A67">
        <f>1.9+13*2^-52-1.9</f>
        <v>2.886579864025407E-15</v>
      </c>
    </row>
    <row r="68" spans="1:1" x14ac:dyDescent="0.2">
      <c r="A68">
        <f>1.9+14*2^-52-1.9</f>
        <v>3.1086244689504383E-15</v>
      </c>
    </row>
    <row r="69" spans="1:1" x14ac:dyDescent="0.2">
      <c r="A69">
        <f>1.9+15*2^-52-1.9</f>
        <v>3.3306690738754696E-15</v>
      </c>
    </row>
    <row r="70" spans="1:1" x14ac:dyDescent="0.2">
      <c r="A70">
        <f>1.9+16*2^-52-1.9</f>
        <v>3.5527136788005009E-15</v>
      </c>
    </row>
    <row r="71" spans="1:1" x14ac:dyDescent="0.2">
      <c r="A71">
        <f>1.9+17*2^-52-1.9</f>
        <v>3.7747582837255322E-15</v>
      </c>
    </row>
    <row r="72" spans="1:1" x14ac:dyDescent="0.2">
      <c r="A72">
        <f>1.9+18*2^-52-1.9</f>
        <v>3.9968028886505635E-15</v>
      </c>
    </row>
    <row r="73" spans="1:1" x14ac:dyDescent="0.2">
      <c r="A73">
        <f>1.9+19*2^-52-1.9</f>
        <v>4.2188474935755949E-15</v>
      </c>
    </row>
    <row r="74" spans="1:1" x14ac:dyDescent="0.2">
      <c r="A74">
        <f>1.9+20*2^-52-1.9</f>
        <v>4.4408920985006262E-15</v>
      </c>
    </row>
    <row r="75" spans="1:1" x14ac:dyDescent="0.2">
      <c r="A75">
        <f>9.5+1*2^-49-9.5</f>
        <v>0</v>
      </c>
    </row>
    <row r="76" spans="1:1" x14ac:dyDescent="0.2">
      <c r="A76">
        <f>9.5+2*2^-49-9.5</f>
        <v>0</v>
      </c>
    </row>
    <row r="77" spans="1:1" x14ac:dyDescent="0.2">
      <c r="A77">
        <f>9.5+3*2^-49-9.5</f>
        <v>0</v>
      </c>
    </row>
    <row r="78" spans="1:1" x14ac:dyDescent="0.2">
      <c r="A78">
        <f>9.5+4*2^-49-9.5</f>
        <v>0</v>
      </c>
    </row>
    <row r="79" spans="1:1" x14ac:dyDescent="0.2">
      <c r="A79">
        <f>9.5+5*2^-49-9.5</f>
        <v>0</v>
      </c>
    </row>
    <row r="80" spans="1:1" x14ac:dyDescent="0.2">
      <c r="A80">
        <f>9.5+6*2^-49-9.5</f>
        <v>0</v>
      </c>
    </row>
    <row r="81" spans="1:1" x14ac:dyDescent="0.2">
      <c r="A81">
        <f>9.5+7*2^-49-9.5</f>
        <v>0</v>
      </c>
    </row>
    <row r="82" spans="1:1" x14ac:dyDescent="0.2">
      <c r="A82">
        <f>9.5+8*2^-49-9.5</f>
        <v>1.4210854715202004E-14</v>
      </c>
    </row>
    <row r="83" spans="1:1" x14ac:dyDescent="0.2">
      <c r="A83">
        <f>9.5+9*2^-49-9.5</f>
        <v>1.5987211554602254E-14</v>
      </c>
    </row>
    <row r="84" spans="1:1" x14ac:dyDescent="0.2">
      <c r="A84">
        <f>9.5+10*2^-49-9.5</f>
        <v>1.7763568394002505E-14</v>
      </c>
    </row>
    <row r="85" spans="1:1" x14ac:dyDescent="0.2">
      <c r="A85">
        <f>9.5+11*2^-49-9.5</f>
        <v>1.9539925233402755E-14</v>
      </c>
    </row>
    <row r="86" spans="1:1" x14ac:dyDescent="0.2">
      <c r="A86">
        <f>9.5+12*2^-49-9.5</f>
        <v>2.1316282072803006E-14</v>
      </c>
    </row>
    <row r="87" spans="1:1" x14ac:dyDescent="0.2">
      <c r="A87">
        <f>9.5+13*2^-49-9.5</f>
        <v>2.3092638912203256E-14</v>
      </c>
    </row>
    <row r="88" spans="1:1" x14ac:dyDescent="0.2">
      <c r="A88">
        <f>9.5+14*2^-49-9.5</f>
        <v>2.4868995751603507E-14</v>
      </c>
    </row>
    <row r="89" spans="1:1" x14ac:dyDescent="0.2">
      <c r="A89">
        <f>9.5+15*2^-49-9.5</f>
        <v>2.6645352591003757E-14</v>
      </c>
    </row>
    <row r="90" spans="1:1" x14ac:dyDescent="0.2">
      <c r="A90">
        <f>9.5+16*2^-49-9.5</f>
        <v>2.8421709430404007E-14</v>
      </c>
    </row>
    <row r="91" spans="1:1" x14ac:dyDescent="0.2">
      <c r="A91">
        <f>9.5+17*2^-49-9.5</f>
        <v>3.0198066269804258E-14</v>
      </c>
    </row>
    <row r="92" spans="1:1" x14ac:dyDescent="0.2">
      <c r="A92">
        <f>9.5+18*2^-49-9.5</f>
        <v>3.1974423109204508E-14</v>
      </c>
    </row>
    <row r="93" spans="1:1" x14ac:dyDescent="0.2">
      <c r="A93">
        <f>9.5+19*2^-49-9.5</f>
        <v>3.3750779948604759E-14</v>
      </c>
    </row>
    <row r="94" spans="1:1" x14ac:dyDescent="0.2">
      <c r="A94">
        <f>9.5+20*2^-49-9.5</f>
        <v>3.5527136788005009E-14</v>
      </c>
    </row>
    <row r="95" spans="1:1" x14ac:dyDescent="0.2">
      <c r="A95">
        <f>1000000000000000+1*0.125-1000000000000000</f>
        <v>0</v>
      </c>
    </row>
    <row r="96" spans="1:1" x14ac:dyDescent="0.2">
      <c r="A96">
        <f>1000000000000000+2*0.125-1000000000000000</f>
        <v>0</v>
      </c>
    </row>
    <row r="97" spans="1:1" x14ac:dyDescent="0.2">
      <c r="A97">
        <f>1000000000000000+3*0.125-1000000000000000</f>
        <v>0</v>
      </c>
    </row>
    <row r="98" spans="1:1" x14ac:dyDescent="0.2">
      <c r="A98">
        <f>1000000000000000+4*0.125-1000000000000000</f>
        <v>0</v>
      </c>
    </row>
    <row r="99" spans="1:1" x14ac:dyDescent="0.2">
      <c r="A99">
        <f>1000000000000000+5*0.125-1000000000000000</f>
        <v>0</v>
      </c>
    </row>
    <row r="100" spans="1:1" x14ac:dyDescent="0.2">
      <c r="A100">
        <f>1000000000000000+6*0.125-1000000000000000</f>
        <v>0</v>
      </c>
    </row>
    <row r="101" spans="1:1" x14ac:dyDescent="0.2">
      <c r="A101">
        <f>1000000000000000+7*0.125-1000000000000000</f>
        <v>0</v>
      </c>
    </row>
    <row r="102" spans="1:1" x14ac:dyDescent="0.2">
      <c r="A102">
        <f>1000000000000000+8*0.125-1000000000000000</f>
        <v>1</v>
      </c>
    </row>
    <row r="103" spans="1:1" x14ac:dyDescent="0.2">
      <c r="A103">
        <f>1000000000000000+9*0.125-1000000000000000</f>
        <v>1.125</v>
      </c>
    </row>
    <row r="104" spans="1:1" x14ac:dyDescent="0.2">
      <c r="A104">
        <f>1000000000000000+10*0.125-1000000000000000</f>
        <v>1.25</v>
      </c>
    </row>
    <row r="105" spans="1:1" x14ac:dyDescent="0.2">
      <c r="A105">
        <f>1000000000000000+11*0.125-1000000000000000</f>
        <v>1.375</v>
      </c>
    </row>
    <row r="106" spans="1:1" x14ac:dyDescent="0.2">
      <c r="A106">
        <f>1000000000000000+12*0.125-1000000000000000</f>
        <v>1.5</v>
      </c>
    </row>
    <row r="107" spans="1:1" x14ac:dyDescent="0.2">
      <c r="A107">
        <f>1000000000000000+13*0.125-1000000000000000</f>
        <v>1.625</v>
      </c>
    </row>
    <row r="108" spans="1:1" x14ac:dyDescent="0.2">
      <c r="A108">
        <f>1000000000000000+14*0.125-1000000000000000</f>
        <v>1.75</v>
      </c>
    </row>
    <row r="109" spans="1:1" x14ac:dyDescent="0.2">
      <c r="A109">
        <f>1000000000000000+15*0.125-1000000000000000</f>
        <v>1.875</v>
      </c>
    </row>
    <row r="110" spans="1:1" x14ac:dyDescent="0.2">
      <c r="A110">
        <f>1000000000000000+16*0.125-1000000000000000</f>
        <v>2</v>
      </c>
    </row>
    <row r="111" spans="1:1" x14ac:dyDescent="0.2">
      <c r="A111">
        <f>1000000000000000+17*0.125-1000000000000000</f>
        <v>2.125</v>
      </c>
    </row>
    <row r="112" spans="1:1" x14ac:dyDescent="0.2">
      <c r="A112">
        <f>1000000000000000+18*0.125-1000000000000000</f>
        <v>2.25</v>
      </c>
    </row>
    <row r="113" spans="1:1" x14ac:dyDescent="0.2">
      <c r="A113">
        <f>1000000000000000+19*0.125-1000000000000000</f>
        <v>2.375</v>
      </c>
    </row>
    <row r="114" spans="1:1" x14ac:dyDescent="0.2">
      <c r="A114">
        <f>1000000000000000+20*0.125-1000000000000000</f>
        <v>2.5</v>
      </c>
    </row>
    <row r="115" spans="1:1" x14ac:dyDescent="0.2">
      <c r="A115">
        <f>1E-200+1*2^-717-1E-200</f>
        <v>0</v>
      </c>
    </row>
    <row r="116" spans="1:1" x14ac:dyDescent="0.2">
      <c r="A116">
        <f>1E-200+2*2^-717-1E-200</f>
        <v>0</v>
      </c>
    </row>
    <row r="117" spans="1:1" x14ac:dyDescent="0.2">
      <c r="A117">
        <f>1E-200+3*2^-717-1E-200</f>
        <v>0</v>
      </c>
    </row>
    <row r="118" spans="1:1" x14ac:dyDescent="0.2">
      <c r="A118">
        <f>1E-200+4*2^-717-1E-200</f>
        <v>0</v>
      </c>
    </row>
    <row r="119" spans="1:1" x14ac:dyDescent="0.2">
      <c r="A119">
        <f>1E-200+5*2^-717-1E-200</f>
        <v>0</v>
      </c>
    </row>
    <row r="120" spans="1:1" x14ac:dyDescent="0.2">
      <c r="A120">
        <f>1E-200+6*2^-717-1E-200</f>
        <v>0</v>
      </c>
    </row>
    <row r="121" spans="1:1" x14ac:dyDescent="0.2">
      <c r="A121">
        <f>1E-200+7*2^-717-1E-200</f>
        <v>0</v>
      </c>
    </row>
    <row r="122" spans="1:1" x14ac:dyDescent="0.2">
      <c r="A122">
        <f>1E-200+8*2^-717-1E-200</f>
        <v>1.1603342079438231E-215</v>
      </c>
    </row>
    <row r="123" spans="1:1" x14ac:dyDescent="0.2">
      <c r="A123">
        <f>1E-200+9*2^-717-1E-200</f>
        <v>1.305375983936801E-215</v>
      </c>
    </row>
    <row r="124" spans="1:1" x14ac:dyDescent="0.2">
      <c r="A124">
        <f>1E-200+10*2^-717-1E-200</f>
        <v>1.4504177599297789E-215</v>
      </c>
    </row>
    <row r="125" spans="1:1" x14ac:dyDescent="0.2">
      <c r="A125">
        <f>1E-200+11*2^-717-1E-200</f>
        <v>1.5954595359227568E-215</v>
      </c>
    </row>
    <row r="126" spans="1:1" x14ac:dyDescent="0.2">
      <c r="A126">
        <f>1E-200+12*2^-717-1E-200</f>
        <v>1.7405013119157347E-215</v>
      </c>
    </row>
    <row r="127" spans="1:1" x14ac:dyDescent="0.2">
      <c r="A127">
        <f>1E-200+13*2^-717-1E-200</f>
        <v>1.8855430879087126E-215</v>
      </c>
    </row>
    <row r="128" spans="1:1" x14ac:dyDescent="0.2">
      <c r="A128">
        <f>1E-200+14*2^-717-1E-200</f>
        <v>2.0305848639016905E-215</v>
      </c>
    </row>
    <row r="129" spans="1:1" x14ac:dyDescent="0.2">
      <c r="A129">
        <f>1E-200+15*2^-717-1E-200</f>
        <v>2.1756266398946684E-215</v>
      </c>
    </row>
    <row r="130" spans="1:1" x14ac:dyDescent="0.2">
      <c r="A130">
        <f>1E-200+16*2^-717-1E-200</f>
        <v>2.3206684158876463E-215</v>
      </c>
    </row>
    <row r="131" spans="1:1" x14ac:dyDescent="0.2">
      <c r="A131">
        <f>1E-200+17*2^-717-1E-200</f>
        <v>2.4657101918806242E-215</v>
      </c>
    </row>
    <row r="132" spans="1:1" x14ac:dyDescent="0.2">
      <c r="A132">
        <f>1E-200+18*2^-717-1E-200</f>
        <v>2.6107519678736021E-215</v>
      </c>
    </row>
    <row r="133" spans="1:1" x14ac:dyDescent="0.2">
      <c r="A133">
        <f>1E-200+19*2^-717-1E-200</f>
        <v>2.7557937438665799E-215</v>
      </c>
    </row>
    <row r="134" spans="1:1" x14ac:dyDescent="0.2">
      <c r="A134">
        <f>1E-200+20*2^-717-1E-200</f>
        <v>2.9008355198595578E-215</v>
      </c>
    </row>
    <row r="135" spans="1:1" x14ac:dyDescent="0.2">
      <c r="A135">
        <f>1+2^-40-1</f>
        <v>9.0949470177292824E-13</v>
      </c>
    </row>
    <row r="136" spans="1:1" x14ac:dyDescent="0.2">
      <c r="A136">
        <f>1+2^-41-1</f>
        <v>4.5474735088646412E-13</v>
      </c>
    </row>
    <row r="137" spans="1:1" x14ac:dyDescent="0.2">
      <c r="A137">
        <f>1+2^-42-1</f>
        <v>2.2737367544323206E-13</v>
      </c>
    </row>
    <row r="138" spans="1:1" x14ac:dyDescent="0.2">
      <c r="A138">
        <f>1+2^-43-1</f>
        <v>1.1368683772161603E-13</v>
      </c>
    </row>
    <row r="139" spans="1:1" x14ac:dyDescent="0.2">
      <c r="A139">
        <f>1+2^-44-1</f>
        <v>5.6843418860808015E-14</v>
      </c>
    </row>
    <row r="140" spans="1:1" x14ac:dyDescent="0.2">
      <c r="A140">
        <f>1+2^-45-1</f>
        <v>2.8421709430404007E-14</v>
      </c>
    </row>
    <row r="141" spans="1:1" x14ac:dyDescent="0.2">
      <c r="A141">
        <f>1+2^-46-1</f>
        <v>1.4210854715202004E-14</v>
      </c>
    </row>
    <row r="142" spans="1:1" x14ac:dyDescent="0.2">
      <c r="A142">
        <f>1+2^-47-1</f>
        <v>7.1054273576010019E-15</v>
      </c>
    </row>
    <row r="143" spans="1:1" x14ac:dyDescent="0.2">
      <c r="A143">
        <f>1+2^-48-1</f>
        <v>3.5527136788005009E-15</v>
      </c>
    </row>
    <row r="144" spans="1:1" x14ac:dyDescent="0.2">
      <c r="A144">
        <f>1-(1+4*2^-52)</f>
        <v>0</v>
      </c>
    </row>
    <row r="145" spans="1:1" x14ac:dyDescent="0.2">
      <c r="A145">
        <f>1-(1+8*2^-52)</f>
        <v>-1.7763568394002505E-15</v>
      </c>
    </row>
    <row r="146" spans="1:1" x14ac:dyDescent="0.2">
      <c r="A146">
        <f>1-(1+9*2^-52)</f>
        <v>-1.9984014443252818E-15</v>
      </c>
    </row>
    <row r="147" spans="1:1" x14ac:dyDescent="0.2">
      <c r="A147">
        <f>1-(1+16*2^-52)</f>
        <v>-3.5527136788005009E-15</v>
      </c>
    </row>
    <row r="148" spans="1:1" x14ac:dyDescent="0.2">
      <c r="A148">
        <f>-1+(1+4*2^-52)</f>
        <v>0</v>
      </c>
    </row>
    <row r="149" spans="1:1" x14ac:dyDescent="0.2">
      <c r="A149">
        <f>-1+(1+8*2^-52)</f>
        <v>1.7763568394002505E-15</v>
      </c>
    </row>
    <row r="150" spans="1:1" x14ac:dyDescent="0.2">
      <c r="A150">
        <f>-1+(1+9*2^-52)</f>
        <v>1.9984014443252818E-15</v>
      </c>
    </row>
    <row r="151" spans="1:1" x14ac:dyDescent="0.2">
      <c r="A151">
        <f>-1+(1+16*2^-52)</f>
        <v>3.5527136788005009E-15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0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0.5-0.4-0.1</f>
        <v>0</v>
      </c>
      <c r="B1">
        <f t="shared" ref="B1:B32" si="0">IF(ISERROR(A1),ERROR.TYPE(A1),IF(ISNUMBER(A1),0,IF(ISLOGICAL(A1),IF(A1,-1,-2),IF(ISTEXT(A1),-3,-4))))</f>
        <v>0</v>
      </c>
      <c r="C1">
        <f t="shared" ref="C1:C32" si="1">IF(ISNUMBER(A1),A1,0)</f>
        <v>0</v>
      </c>
      <c r="D1" t="str">
        <f t="shared" ref="D1:D32" si="2">IF(ISTEXT(A1),A1,"")</f>
        <v/>
      </c>
      <c r="E1" t="s">
        <v>35</v>
      </c>
    </row>
    <row r="2" spans="1:5" x14ac:dyDescent="0.2">
      <c r="A2" cm="1">
        <f t="array" ref="A2">1*(0.5-0.4-0.1)</f>
        <v>-2.7755575615628914E-17</v>
      </c>
      <c r="B2">
        <f t="shared" si="0"/>
        <v>0</v>
      </c>
      <c r="C2">
        <f t="shared" si="1"/>
        <v>-2.7755575615628914E-17</v>
      </c>
      <c r="D2" t="str">
        <f t="shared" si="2"/>
        <v/>
      </c>
      <c r="E2" t="s">
        <v>36</v>
      </c>
    </row>
    <row r="3" spans="1:5" x14ac:dyDescent="0.2">
      <c r="A3" cm="1">
        <f t="array" ref="A3">(0.5-0.4-0.1)</f>
        <v>-2.7755575615628914E-17</v>
      </c>
      <c r="B3">
        <f t="shared" si="0"/>
        <v>0</v>
      </c>
      <c r="C3">
        <f t="shared" si="1"/>
        <v>-2.7755575615628914E-17</v>
      </c>
      <c r="D3" t="str">
        <f t="shared" si="2"/>
        <v/>
      </c>
      <c r="E3" t="s">
        <v>37</v>
      </c>
    </row>
    <row r="4" spans="1:5" x14ac:dyDescent="0.2">
      <c r="A4" cm="1">
        <f t="array" ref="A4">0.1+0.2-P!B1</f>
        <v>0</v>
      </c>
      <c r="B4">
        <f t="shared" si="0"/>
        <v>0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cm="1">
        <f t="array" ref="A5">SUM(0.1,0.2)-P!B1</f>
        <v>0</v>
      </c>
      <c r="B5">
        <f t="shared" si="0"/>
        <v>0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cm="1">
        <f t="array" ref="A6">-0.1-0.2+P!B1</f>
        <v>0</v>
      </c>
      <c r="B6">
        <f t="shared" si="0"/>
        <v>0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cm="1">
        <f t="array" ref="A7">(0.1+0.2-P!B1)/1</f>
        <v>5.5511151231257827E-17</v>
      </c>
      <c r="B7">
        <f t="shared" si="0"/>
        <v>0</v>
      </c>
      <c r="C7">
        <f t="shared" si="1"/>
        <v>5.5511151231257827E-17</v>
      </c>
      <c r="D7" t="str">
        <f t="shared" si="2"/>
        <v/>
      </c>
      <c r="E7" t="s">
        <v>41</v>
      </c>
    </row>
    <row r="8" spans="1:5" x14ac:dyDescent="0.2">
      <c r="A8" cm="1">
        <f t="array" ref="A8">0.1+0.2-P!B1+0</f>
        <v>5.5511151231257827E-17</v>
      </c>
      <c r="B8">
        <f t="shared" si="0"/>
        <v>0</v>
      </c>
      <c r="C8">
        <f t="shared" si="1"/>
        <v>5.5511151231257827E-17</v>
      </c>
      <c r="D8" t="str">
        <f t="shared" si="2"/>
        <v/>
      </c>
      <c r="E8" t="s">
        <v>42</v>
      </c>
    </row>
    <row r="9" spans="1:5" x14ac:dyDescent="0.2">
      <c r="A9" cm="1">
        <f t="array" ref="A9">0+0.1+0.2-0.3</f>
        <v>0</v>
      </c>
      <c r="B9">
        <f t="shared" si="0"/>
        <v>0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cm="1">
        <f t="array" ref="A10">0.1+0.2-0.3*1</f>
        <v>0</v>
      </c>
      <c r="B10">
        <f t="shared" si="0"/>
        <v>0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cm="1">
        <f t="array" ref="A11">0.1+0.2-(0.3)</f>
        <v>0</v>
      </c>
      <c r="B11">
        <f t="shared" si="0"/>
        <v>0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cm="1">
        <f t="array" ref="A12">(0.1+0.2)-0.3</f>
        <v>0</v>
      </c>
      <c r="B12">
        <f t="shared" si="0"/>
        <v>0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cm="1">
        <f t="array" ref="A13">0.1-(0.3-0.2)</f>
        <v>0</v>
      </c>
      <c r="B13">
        <f t="shared" si="0"/>
        <v>0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cm="1">
        <f t="array" ref="A14">P!B2+0.2-P!B1</f>
        <v>0</v>
      </c>
      <c r="B14">
        <f t="shared" si="0"/>
        <v>0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cm="1">
        <f t="array" ref="A15">1-0.9-0.1</f>
        <v>0</v>
      </c>
      <c r="B15">
        <f t="shared" si="0"/>
        <v>0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cm="1">
        <f t="array" ref="A16">0.3-0.2-0.1</f>
        <v>0</v>
      </c>
      <c r="B16">
        <f t="shared" si="0"/>
        <v>0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cm="1">
        <f t="array" ref="A17">-0.3+0.1+0.2</f>
        <v>0</v>
      </c>
      <c r="B17">
        <f t="shared" si="0"/>
        <v>0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cm="1">
        <f t="array" ref="A18">0.1*3-0.3</f>
        <v>0</v>
      </c>
      <c r="B18">
        <f t="shared" si="0"/>
        <v>0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cm="1">
        <f t="array" ref="A19">TRUE-0.9-0.1</f>
        <v>0</v>
      </c>
      <c r="B19">
        <f t="shared" si="0"/>
        <v>0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cm="1">
        <f t="array" ref="A20">"0.1"+0.2-0.3</f>
        <v>0</v>
      </c>
      <c r="B20">
        <f t="shared" si="0"/>
        <v>0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cm="1">
        <f t="array" ref="A21">50%-0.4-0.1</f>
        <v>0</v>
      </c>
      <c r="B21">
        <f t="shared" si="0"/>
        <v>0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cm="1">
        <f t="array" ref="A22">-(0.1+0.2-0.3)</f>
        <v>-5.5511151231257827E-17</v>
      </c>
      <c r="B22">
        <f t="shared" si="0"/>
        <v>0</v>
      </c>
      <c r="C22">
        <f t="shared" si="1"/>
        <v>-5.5511151231257827E-17</v>
      </c>
      <c r="D22" t="str">
        <f t="shared" si="2"/>
        <v/>
      </c>
      <c r="E22" t="s">
        <v>56</v>
      </c>
    </row>
    <row r="23" spans="1:5" x14ac:dyDescent="0.2">
      <c r="A23" cm="1">
        <f t="array" ref="A23">0.1+0.2-0.3</f>
        <v>0</v>
      </c>
      <c r="B23">
        <f t="shared" si="0"/>
        <v>0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cm="1">
        <f t="array" ref="A24">+(0.1+0.2-0.3)</f>
        <v>5.5511151231257827E-17</v>
      </c>
      <c r="B24">
        <f t="shared" si="0"/>
        <v>0</v>
      </c>
      <c r="C24">
        <f t="shared" si="1"/>
        <v>5.5511151231257827E-17</v>
      </c>
      <c r="D24" t="str">
        <f t="shared" si="2"/>
        <v/>
      </c>
      <c r="E24" t="s">
        <v>58</v>
      </c>
    </row>
    <row r="25" spans="1:5" x14ac:dyDescent="0.2">
      <c r="A25" cm="1">
        <f t="array" ref="A25">(0.1+0.2-0.3)+0</f>
        <v>5.5511151231257827E-17</v>
      </c>
      <c r="B25">
        <f t="shared" si="0"/>
        <v>0</v>
      </c>
      <c r="C25">
        <f t="shared" si="1"/>
        <v>5.5511151231257827E-17</v>
      </c>
      <c r="D25" t="str">
        <f t="shared" si="2"/>
        <v/>
      </c>
      <c r="E25" t="s">
        <v>59</v>
      </c>
    </row>
    <row r="26" spans="1:5" x14ac:dyDescent="0.2">
      <c r="A26" cm="1">
        <f t="array" ref="A26">0-(0.1+0.2-0.3)</f>
        <v>-5.5511151231257827E-17</v>
      </c>
      <c r="B26">
        <f t="shared" si="0"/>
        <v>0</v>
      </c>
      <c r="C26">
        <f t="shared" si="1"/>
        <v>-5.5511151231257827E-17</v>
      </c>
      <c r="D26" t="str">
        <f t="shared" si="2"/>
        <v/>
      </c>
      <c r="E26" t="s">
        <v>60</v>
      </c>
    </row>
    <row r="27" spans="1:5" x14ac:dyDescent="0.2">
      <c r="A27" cm="1">
        <f t="array" ref="A27">0.00000000000000002-0.00000000000000001</f>
        <v>1.0000000000000001E-17</v>
      </c>
      <c r="B27">
        <f t="shared" si="0"/>
        <v>0</v>
      </c>
      <c r="C27">
        <f t="shared" si="1"/>
        <v>1.0000000000000001E-17</v>
      </c>
      <c r="D27" t="str">
        <f t="shared" si="2"/>
        <v/>
      </c>
      <c r="E27" t="s">
        <v>61</v>
      </c>
    </row>
    <row r="28" spans="1:5" x14ac:dyDescent="0.2">
      <c r="A28" cm="1">
        <f t="array" ref="A28">1000000000000000+0.3-1000000000000000</f>
        <v>0</v>
      </c>
      <c r="B28">
        <f t="shared" si="0"/>
        <v>0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cm="1">
        <f t="array" ref="A29">SUM(0.1,0.2,-0.3)</f>
        <v>0</v>
      </c>
      <c r="B29">
        <f t="shared" si="0"/>
        <v>0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cm="1">
        <f t="array" ref="A30">SUM(0.1,0.2)-0.3</f>
        <v>0</v>
      </c>
      <c r="B30">
        <f t="shared" si="0"/>
        <v>0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cm="1">
        <f t="array" ref="A31">ROUND(0.1+0.2-0.3,30)</f>
        <v>5.5511151231258E-17</v>
      </c>
      <c r="B31">
        <f t="shared" si="0"/>
        <v>0</v>
      </c>
      <c r="C31">
        <f t="shared" si="1"/>
        <v>5.5511151231258E-17</v>
      </c>
      <c r="D31" t="str">
        <f t="shared" si="2"/>
        <v/>
      </c>
      <c r="E31" t="s">
        <v>65</v>
      </c>
    </row>
    <row r="32" spans="1:5" x14ac:dyDescent="0.2">
      <c r="A32" cm="1">
        <f t="array" ref="A32">ABS(0.1+0.2-0.3)</f>
        <v>5.5511151231257827E-17</v>
      </c>
      <c r="B32">
        <f t="shared" si="0"/>
        <v>0</v>
      </c>
      <c r="C32">
        <f t="shared" si="1"/>
        <v>5.5511151231257827E-17</v>
      </c>
      <c r="D32" t="str">
        <f t="shared" si="2"/>
        <v/>
      </c>
      <c r="E32" t="s">
        <v>66</v>
      </c>
    </row>
    <row r="33" spans="1:5" x14ac:dyDescent="0.2">
      <c r="A33" cm="1">
        <f t="array" ref="A33">IF(TRUE,0.1+0.2-0.3)</f>
        <v>5.5511151231257827E-17</v>
      </c>
      <c r="B33">
        <f t="shared" ref="B33:B64" si="3">IF(ISERROR(A33),ERROR.TYPE(A33),IF(ISNUMBER(A33),0,IF(ISLOGICAL(A33),IF(A33,-1,-2),IF(ISTEXT(A33),-3,-4))))</f>
        <v>0</v>
      </c>
      <c r="C33">
        <f t="shared" ref="C33:C64" si="4">IF(ISNUMBER(A33),A33,0)</f>
        <v>5.5511151231257827E-17</v>
      </c>
      <c r="D33" t="str">
        <f t="shared" ref="D33:D64" si="5">IF(ISTEXT(A33),A33,"")</f>
        <v/>
      </c>
      <c r="E33" t="s">
        <v>67</v>
      </c>
    </row>
    <row r="34" spans="1:5" x14ac:dyDescent="0.2">
      <c r="A34" cm="1">
        <f t="array" ref="A34">_xlfn.LET(_xlpm.x,0.1,_xlpm.x+0.2-0.3)</f>
        <v>5.5511151231257827E-17</v>
      </c>
      <c r="B34">
        <f t="shared" si="3"/>
        <v>0</v>
      </c>
      <c r="C34">
        <f t="shared" si="4"/>
        <v>5.5511151231257827E-17</v>
      </c>
      <c r="D34" t="str">
        <f t="shared" si="5"/>
        <v/>
      </c>
      <c r="E34" t="s">
        <v>68</v>
      </c>
    </row>
    <row r="35" spans="1:5" x14ac:dyDescent="0.2">
      <c r="A35" t="str" cm="1">
        <f t="array" ref="A35">0.1+0.2-0.3&amp;""</f>
        <v>5.55111512312578E-17</v>
      </c>
      <c r="B35">
        <f t="shared" si="3"/>
        <v>-3</v>
      </c>
      <c r="C35">
        <f t="shared" si="4"/>
        <v>0</v>
      </c>
      <c r="D35" t="str">
        <f t="shared" si="5"/>
        <v>5.55111512312578E-17</v>
      </c>
      <c r="E35" t="s">
        <v>69</v>
      </c>
    </row>
    <row r="36" spans="1:5" x14ac:dyDescent="0.2">
      <c r="A36" cm="1">
        <f t="array" ref="A36">P!A1*2^60</f>
        <v>0</v>
      </c>
      <c r="B36">
        <f t="shared" si="3"/>
        <v>0</v>
      </c>
      <c r="C36">
        <f t="shared" si="4"/>
        <v>0</v>
      </c>
      <c r="D36" t="str">
        <f t="shared" si="5"/>
        <v/>
      </c>
      <c r="E36" t="s">
        <v>70</v>
      </c>
    </row>
    <row r="37" spans="1:5" x14ac:dyDescent="0.2">
      <c r="A37" cm="1">
        <f t="array" ref="A37">P!A2*2^60</f>
        <v>-32</v>
      </c>
      <c r="B37">
        <f t="shared" si="3"/>
        <v>0</v>
      </c>
      <c r="C37">
        <f t="shared" si="4"/>
        <v>-32</v>
      </c>
      <c r="D37" t="str">
        <f t="shared" si="5"/>
        <v/>
      </c>
      <c r="E37" t="s">
        <v>71</v>
      </c>
    </row>
    <row r="38" spans="1:5" x14ac:dyDescent="0.2">
      <c r="A38" cm="1">
        <f t="array" ref="A38">P!A3*2^60</f>
        <v>-32</v>
      </c>
      <c r="B38">
        <f t="shared" si="3"/>
        <v>0</v>
      </c>
      <c r="C38">
        <f t="shared" si="4"/>
        <v>-32</v>
      </c>
      <c r="D38" t="str">
        <f t="shared" si="5"/>
        <v/>
      </c>
      <c r="E38" t="s">
        <v>72</v>
      </c>
    </row>
    <row r="39" spans="1:5" x14ac:dyDescent="0.2">
      <c r="A39" cm="1">
        <f t="array" ref="A39">P!A4*2^60</f>
        <v>0</v>
      </c>
      <c r="B39">
        <f t="shared" si="3"/>
        <v>0</v>
      </c>
      <c r="C39">
        <f t="shared" si="4"/>
        <v>0</v>
      </c>
      <c r="D39" t="str">
        <f t="shared" si="5"/>
        <v/>
      </c>
      <c r="E39" t="s">
        <v>73</v>
      </c>
    </row>
    <row r="40" spans="1:5" x14ac:dyDescent="0.2">
      <c r="A40" cm="1">
        <f t="array" ref="A40">P!A5*2^60</f>
        <v>0</v>
      </c>
      <c r="B40">
        <f t="shared" si="3"/>
        <v>0</v>
      </c>
      <c r="C40">
        <f t="shared" si="4"/>
        <v>0</v>
      </c>
      <c r="D40" t="str">
        <f t="shared" si="5"/>
        <v/>
      </c>
      <c r="E40" t="s">
        <v>74</v>
      </c>
    </row>
    <row r="41" spans="1:5" x14ac:dyDescent="0.2">
      <c r="A41" cm="1">
        <f t="array" ref="A41">P!A6*2^60</f>
        <v>0</v>
      </c>
      <c r="B41">
        <f t="shared" si="3"/>
        <v>0</v>
      </c>
      <c r="C41">
        <f t="shared" si="4"/>
        <v>0</v>
      </c>
      <c r="D41" t="str">
        <f t="shared" si="5"/>
        <v/>
      </c>
      <c r="E41" t="s">
        <v>75</v>
      </c>
    </row>
    <row r="42" spans="1:5" x14ac:dyDescent="0.2">
      <c r="A42" cm="1">
        <f t="array" ref="A42">P!A7*2^60</f>
        <v>64</v>
      </c>
      <c r="B42">
        <f t="shared" si="3"/>
        <v>0</v>
      </c>
      <c r="C42">
        <f t="shared" si="4"/>
        <v>64</v>
      </c>
      <c r="D42" t="str">
        <f t="shared" si="5"/>
        <v/>
      </c>
      <c r="E42" t="s">
        <v>76</v>
      </c>
    </row>
    <row r="43" spans="1:5" x14ac:dyDescent="0.2">
      <c r="A43" cm="1">
        <f t="array" ref="A43">P!A8*2^60</f>
        <v>64</v>
      </c>
      <c r="B43">
        <f t="shared" si="3"/>
        <v>0</v>
      </c>
      <c r="C43">
        <f t="shared" si="4"/>
        <v>64</v>
      </c>
      <c r="D43" t="str">
        <f t="shared" si="5"/>
        <v/>
      </c>
      <c r="E43" t="s">
        <v>77</v>
      </c>
    </row>
    <row r="44" spans="1:5" x14ac:dyDescent="0.2">
      <c r="A44" cm="1">
        <f t="array" ref="A44">P!A9*2^60</f>
        <v>0</v>
      </c>
      <c r="B44">
        <f t="shared" si="3"/>
        <v>0</v>
      </c>
      <c r="C44">
        <f t="shared" si="4"/>
        <v>0</v>
      </c>
      <c r="D44" t="str">
        <f t="shared" si="5"/>
        <v/>
      </c>
      <c r="E44" t="s">
        <v>78</v>
      </c>
    </row>
    <row r="45" spans="1:5" x14ac:dyDescent="0.2">
      <c r="A45" cm="1">
        <f t="array" ref="A45">P!A10*2^60</f>
        <v>0</v>
      </c>
      <c r="B45">
        <f t="shared" si="3"/>
        <v>0</v>
      </c>
      <c r="C45">
        <f t="shared" si="4"/>
        <v>0</v>
      </c>
      <c r="D45" t="str">
        <f t="shared" si="5"/>
        <v/>
      </c>
      <c r="E45" t="s">
        <v>79</v>
      </c>
    </row>
    <row r="46" spans="1:5" x14ac:dyDescent="0.2">
      <c r="A46" cm="1">
        <f t="array" ref="A46">P!A11*2^60</f>
        <v>0</v>
      </c>
      <c r="B46">
        <f t="shared" si="3"/>
        <v>0</v>
      </c>
      <c r="C46">
        <f t="shared" si="4"/>
        <v>0</v>
      </c>
      <c r="D46" t="str">
        <f t="shared" si="5"/>
        <v/>
      </c>
      <c r="E46" t="s">
        <v>80</v>
      </c>
    </row>
    <row r="47" spans="1:5" x14ac:dyDescent="0.2">
      <c r="A47" cm="1">
        <f t="array" ref="A47">P!A12*2^60</f>
        <v>0</v>
      </c>
      <c r="B47">
        <f t="shared" si="3"/>
        <v>0</v>
      </c>
      <c r="C47">
        <f t="shared" si="4"/>
        <v>0</v>
      </c>
      <c r="D47" t="str">
        <f t="shared" si="5"/>
        <v/>
      </c>
      <c r="E47" t="s">
        <v>81</v>
      </c>
    </row>
    <row r="48" spans="1:5" x14ac:dyDescent="0.2">
      <c r="A48" cm="1">
        <f t="array" ref="A48">P!A13*2^60</f>
        <v>0</v>
      </c>
      <c r="B48">
        <f t="shared" si="3"/>
        <v>0</v>
      </c>
      <c r="C48">
        <f t="shared" si="4"/>
        <v>0</v>
      </c>
      <c r="D48" t="str">
        <f t="shared" si="5"/>
        <v/>
      </c>
      <c r="E48" t="s">
        <v>82</v>
      </c>
    </row>
    <row r="49" spans="1:5" x14ac:dyDescent="0.2">
      <c r="A49" cm="1">
        <f t="array" ref="A49">P!A14*2^60</f>
        <v>0</v>
      </c>
      <c r="B49">
        <f t="shared" si="3"/>
        <v>0</v>
      </c>
      <c r="C49">
        <f t="shared" si="4"/>
        <v>0</v>
      </c>
      <c r="D49" t="str">
        <f t="shared" si="5"/>
        <v/>
      </c>
      <c r="E49" t="s">
        <v>83</v>
      </c>
    </row>
    <row r="50" spans="1:5" x14ac:dyDescent="0.2">
      <c r="A50" cm="1">
        <f t="array" ref="A50">P!A15*2^60</f>
        <v>0</v>
      </c>
      <c r="B50">
        <f t="shared" si="3"/>
        <v>0</v>
      </c>
      <c r="C50">
        <f t="shared" si="4"/>
        <v>0</v>
      </c>
      <c r="D50" t="str">
        <f t="shared" si="5"/>
        <v/>
      </c>
      <c r="E50" t="s">
        <v>84</v>
      </c>
    </row>
    <row r="51" spans="1:5" x14ac:dyDescent="0.2">
      <c r="A51" cm="1">
        <f t="array" ref="A51">P!A16*2^60</f>
        <v>0</v>
      </c>
      <c r="B51">
        <f t="shared" si="3"/>
        <v>0</v>
      </c>
      <c r="C51">
        <f t="shared" si="4"/>
        <v>0</v>
      </c>
      <c r="D51" t="str">
        <f t="shared" si="5"/>
        <v/>
      </c>
      <c r="E51" t="s">
        <v>85</v>
      </c>
    </row>
    <row r="52" spans="1:5" x14ac:dyDescent="0.2">
      <c r="A52" cm="1">
        <f t="array" ref="A52">P!A17*2^60</f>
        <v>0</v>
      </c>
      <c r="B52">
        <f t="shared" si="3"/>
        <v>0</v>
      </c>
      <c r="C52">
        <f t="shared" si="4"/>
        <v>0</v>
      </c>
      <c r="D52" t="str">
        <f t="shared" si="5"/>
        <v/>
      </c>
      <c r="E52" t="s">
        <v>86</v>
      </c>
    </row>
    <row r="53" spans="1:5" x14ac:dyDescent="0.2">
      <c r="A53" cm="1">
        <f t="array" ref="A53">P!A18*2^60</f>
        <v>0</v>
      </c>
      <c r="B53">
        <f t="shared" si="3"/>
        <v>0</v>
      </c>
      <c r="C53">
        <f t="shared" si="4"/>
        <v>0</v>
      </c>
      <c r="D53" t="str">
        <f t="shared" si="5"/>
        <v/>
      </c>
      <c r="E53" t="s">
        <v>87</v>
      </c>
    </row>
    <row r="54" spans="1:5" x14ac:dyDescent="0.2">
      <c r="A54" cm="1">
        <f t="array" ref="A54">P!A19*2^60</f>
        <v>0</v>
      </c>
      <c r="B54">
        <f t="shared" si="3"/>
        <v>0</v>
      </c>
      <c r="C54">
        <f t="shared" si="4"/>
        <v>0</v>
      </c>
      <c r="D54" t="str">
        <f t="shared" si="5"/>
        <v/>
      </c>
      <c r="E54" t="s">
        <v>88</v>
      </c>
    </row>
    <row r="55" spans="1:5" x14ac:dyDescent="0.2">
      <c r="A55" cm="1">
        <f t="array" ref="A55">P!A20*2^60</f>
        <v>0</v>
      </c>
      <c r="B55">
        <f t="shared" si="3"/>
        <v>0</v>
      </c>
      <c r="C55">
        <f t="shared" si="4"/>
        <v>0</v>
      </c>
      <c r="D55" t="str">
        <f t="shared" si="5"/>
        <v/>
      </c>
      <c r="E55" t="s">
        <v>89</v>
      </c>
    </row>
    <row r="56" spans="1:5" x14ac:dyDescent="0.2">
      <c r="A56" cm="1">
        <f t="array" ref="A56">P!A21*2^60</f>
        <v>0</v>
      </c>
      <c r="B56">
        <f t="shared" si="3"/>
        <v>0</v>
      </c>
      <c r="C56">
        <f t="shared" si="4"/>
        <v>0</v>
      </c>
      <c r="D56" t="str">
        <f t="shared" si="5"/>
        <v/>
      </c>
      <c r="E56" t="s">
        <v>90</v>
      </c>
    </row>
    <row r="57" spans="1:5" x14ac:dyDescent="0.2">
      <c r="A57" cm="1">
        <f t="array" ref="A57">P!A22*2^60</f>
        <v>-64</v>
      </c>
      <c r="B57">
        <f t="shared" si="3"/>
        <v>0</v>
      </c>
      <c r="C57">
        <f t="shared" si="4"/>
        <v>-64</v>
      </c>
      <c r="D57" t="str">
        <f t="shared" si="5"/>
        <v/>
      </c>
      <c r="E57" t="s">
        <v>91</v>
      </c>
    </row>
    <row r="58" spans="1:5" x14ac:dyDescent="0.2">
      <c r="A58" cm="1">
        <f t="array" ref="A58">P!A23*2^60</f>
        <v>0</v>
      </c>
      <c r="B58">
        <f t="shared" si="3"/>
        <v>0</v>
      </c>
      <c r="C58">
        <f t="shared" si="4"/>
        <v>0</v>
      </c>
      <c r="D58" t="str">
        <f t="shared" si="5"/>
        <v/>
      </c>
      <c r="E58" t="s">
        <v>92</v>
      </c>
    </row>
    <row r="59" spans="1:5" x14ac:dyDescent="0.2">
      <c r="A59" cm="1">
        <f t="array" ref="A59">P!A24*2^60</f>
        <v>64</v>
      </c>
      <c r="B59">
        <f t="shared" si="3"/>
        <v>0</v>
      </c>
      <c r="C59">
        <f t="shared" si="4"/>
        <v>64</v>
      </c>
      <c r="D59" t="str">
        <f t="shared" si="5"/>
        <v/>
      </c>
      <c r="E59" t="s">
        <v>93</v>
      </c>
    </row>
    <row r="60" spans="1:5" x14ac:dyDescent="0.2">
      <c r="A60" cm="1">
        <f t="array" ref="A60">P!A25*2^60</f>
        <v>64</v>
      </c>
      <c r="B60">
        <f t="shared" si="3"/>
        <v>0</v>
      </c>
      <c r="C60">
        <f t="shared" si="4"/>
        <v>64</v>
      </c>
      <c r="D60" t="str">
        <f t="shared" si="5"/>
        <v/>
      </c>
      <c r="E60" t="s">
        <v>94</v>
      </c>
    </row>
    <row r="61" spans="1:5" x14ac:dyDescent="0.2">
      <c r="A61" cm="1">
        <f t="array" ref="A61">P!A26*2^60</f>
        <v>-64</v>
      </c>
      <c r="B61">
        <f t="shared" si="3"/>
        <v>0</v>
      </c>
      <c r="C61">
        <f t="shared" si="4"/>
        <v>-64</v>
      </c>
      <c r="D61" t="str">
        <f t="shared" si="5"/>
        <v/>
      </c>
      <c r="E61" t="s">
        <v>95</v>
      </c>
    </row>
    <row r="62" spans="1:5" x14ac:dyDescent="0.2">
      <c r="A62" cm="1">
        <f t="array" ref="A62">P!A27*2^60</f>
        <v>11.529215046068471</v>
      </c>
      <c r="B62">
        <f t="shared" si="3"/>
        <v>0</v>
      </c>
      <c r="C62">
        <f t="shared" si="4"/>
        <v>11.529215046068471</v>
      </c>
      <c r="D62" t="str">
        <f t="shared" si="5"/>
        <v/>
      </c>
      <c r="E62" t="s">
        <v>96</v>
      </c>
    </row>
    <row r="63" spans="1:5" x14ac:dyDescent="0.2">
      <c r="A63" cm="1">
        <f t="array" ref="A63">P!A28*2^60</f>
        <v>0</v>
      </c>
      <c r="B63">
        <f t="shared" si="3"/>
        <v>0</v>
      </c>
      <c r="C63">
        <f t="shared" si="4"/>
        <v>0</v>
      </c>
      <c r="D63" t="str">
        <f t="shared" si="5"/>
        <v/>
      </c>
      <c r="E63" t="s">
        <v>97</v>
      </c>
    </row>
    <row r="64" spans="1:5" x14ac:dyDescent="0.2">
      <c r="A64" cm="1">
        <f t="array" ref="A64">P!A29*2^60</f>
        <v>0</v>
      </c>
      <c r="B64">
        <f t="shared" si="3"/>
        <v>0</v>
      </c>
      <c r="C64">
        <f t="shared" si="4"/>
        <v>0</v>
      </c>
      <c r="D64" t="str">
        <f t="shared" si="5"/>
        <v/>
      </c>
      <c r="E64" t="s">
        <v>98</v>
      </c>
    </row>
    <row r="65" spans="1:5" x14ac:dyDescent="0.2">
      <c r="A65" cm="1">
        <f t="array" ref="A65">P!A30*2^60</f>
        <v>0</v>
      </c>
      <c r="B65">
        <f t="shared" ref="B65:B96" si="6">IF(ISERROR(A65),ERROR.TYPE(A65),IF(ISNUMBER(A65),0,IF(ISLOGICAL(A65),IF(A65,-1,-2),IF(ISTEXT(A65),-3,-4))))</f>
        <v>0</v>
      </c>
      <c r="C65">
        <f t="shared" ref="C65:C96" si="7">IF(ISNUMBER(A65),A65,0)</f>
        <v>0</v>
      </c>
      <c r="D65" t="str">
        <f t="shared" ref="D65:D96" si="8">IF(ISTEXT(A65),A65,"")</f>
        <v/>
      </c>
      <c r="E65" t="s">
        <v>99</v>
      </c>
    </row>
    <row r="66" spans="1:5" x14ac:dyDescent="0.2">
      <c r="A66" cm="1">
        <f t="array" ref="A66">P!A31*2^60</f>
        <v>64.000000000000199</v>
      </c>
      <c r="B66">
        <f t="shared" si="6"/>
        <v>0</v>
      </c>
      <c r="C66">
        <f t="shared" si="7"/>
        <v>64.000000000000199</v>
      </c>
      <c r="D66" t="str">
        <f t="shared" si="8"/>
        <v/>
      </c>
      <c r="E66" t="s">
        <v>100</v>
      </c>
    </row>
    <row r="67" spans="1:5" x14ac:dyDescent="0.2">
      <c r="A67" cm="1">
        <f t="array" ref="A67">P!A32*2^60</f>
        <v>64</v>
      </c>
      <c r="B67">
        <f t="shared" si="6"/>
        <v>0</v>
      </c>
      <c r="C67">
        <f t="shared" si="7"/>
        <v>64</v>
      </c>
      <c r="D67" t="str">
        <f t="shared" si="8"/>
        <v/>
      </c>
      <c r="E67" t="s">
        <v>101</v>
      </c>
    </row>
    <row r="68" spans="1:5" x14ac:dyDescent="0.2">
      <c r="A68" cm="1">
        <f t="array" ref="A68">P!A33*2^60</f>
        <v>64</v>
      </c>
      <c r="B68">
        <f t="shared" si="6"/>
        <v>0</v>
      </c>
      <c r="C68">
        <f t="shared" si="7"/>
        <v>64</v>
      </c>
      <c r="D68" t="str">
        <f t="shared" si="8"/>
        <v/>
      </c>
      <c r="E68" t="s">
        <v>102</v>
      </c>
    </row>
    <row r="69" spans="1:5" x14ac:dyDescent="0.2">
      <c r="A69" cm="1">
        <f t="array" ref="A69">P!A34*2^60</f>
        <v>64</v>
      </c>
      <c r="B69">
        <f t="shared" si="6"/>
        <v>0</v>
      </c>
      <c r="C69">
        <f t="shared" si="7"/>
        <v>64</v>
      </c>
      <c r="D69" t="str">
        <f t="shared" si="8"/>
        <v/>
      </c>
      <c r="E69" t="s">
        <v>103</v>
      </c>
    </row>
    <row r="70" spans="1:5" x14ac:dyDescent="0.2">
      <c r="A70" cm="1">
        <f t="array" ref="A70">P!D1*2^60</f>
        <v>0</v>
      </c>
      <c r="B70">
        <f t="shared" si="6"/>
        <v>0</v>
      </c>
      <c r="C70">
        <f t="shared" si="7"/>
        <v>0</v>
      </c>
      <c r="D70" t="str">
        <f t="shared" si="8"/>
        <v/>
      </c>
      <c r="E70" t="s">
        <v>104</v>
      </c>
    </row>
    <row r="71" spans="1:5" x14ac:dyDescent="0.2">
      <c r="A71" cm="1">
        <f t="array" ref="A71">P!E1*2^60</f>
        <v>4.6116860184273875E+17</v>
      </c>
      <c r="B71">
        <f t="shared" si="6"/>
        <v>0</v>
      </c>
      <c r="C71">
        <f t="shared" si="7"/>
        <v>4.6116860184273875E+17</v>
      </c>
      <c r="D71" t="str">
        <f t="shared" si="8"/>
        <v/>
      </c>
      <c r="E71" t="s">
        <v>105</v>
      </c>
    </row>
    <row r="72" spans="1:5" x14ac:dyDescent="0.2">
      <c r="A72" cm="1">
        <f t="array" ref="A72">P!D3*2^60</f>
        <v>0</v>
      </c>
      <c r="B72">
        <f t="shared" si="6"/>
        <v>0</v>
      </c>
      <c r="C72">
        <f t="shared" si="7"/>
        <v>0</v>
      </c>
      <c r="D72" t="str">
        <f t="shared" si="8"/>
        <v/>
      </c>
      <c r="E72" t="s">
        <v>106</v>
      </c>
    </row>
    <row r="73" spans="1:5" x14ac:dyDescent="0.2">
      <c r="A73" cm="1">
        <f t="array" ref="A73">P!A35/2^-52</f>
        <v>0</v>
      </c>
      <c r="B73">
        <f t="shared" si="6"/>
        <v>0</v>
      </c>
      <c r="C73">
        <f t="shared" si="7"/>
        <v>0</v>
      </c>
      <c r="D73" t="str">
        <f t="shared" si="8"/>
        <v/>
      </c>
      <c r="E73" t="s">
        <v>107</v>
      </c>
    </row>
    <row r="74" spans="1:5" x14ac:dyDescent="0.2">
      <c r="A74" cm="1">
        <f t="array" ref="A74">P!A36/2^-52</f>
        <v>0</v>
      </c>
      <c r="B74">
        <f t="shared" si="6"/>
        <v>0</v>
      </c>
      <c r="C74">
        <f t="shared" si="7"/>
        <v>0</v>
      </c>
      <c r="D74" t="str">
        <f t="shared" si="8"/>
        <v/>
      </c>
      <c r="E74" t="s">
        <v>108</v>
      </c>
    </row>
    <row r="75" spans="1:5" x14ac:dyDescent="0.2">
      <c r="A75" cm="1">
        <f t="array" ref="A75">P!A37/2^-52</f>
        <v>0</v>
      </c>
      <c r="B75">
        <f t="shared" si="6"/>
        <v>0</v>
      </c>
      <c r="C75">
        <f t="shared" si="7"/>
        <v>0</v>
      </c>
      <c r="D75" t="str">
        <f t="shared" si="8"/>
        <v/>
      </c>
      <c r="E75" t="s">
        <v>109</v>
      </c>
    </row>
    <row r="76" spans="1:5" x14ac:dyDescent="0.2">
      <c r="A76" cm="1">
        <f t="array" ref="A76">P!A38/2^-52</f>
        <v>0</v>
      </c>
      <c r="B76">
        <f t="shared" si="6"/>
        <v>0</v>
      </c>
      <c r="C76">
        <f t="shared" si="7"/>
        <v>0</v>
      </c>
      <c r="D76" t="str">
        <f t="shared" si="8"/>
        <v/>
      </c>
      <c r="E76" t="s">
        <v>110</v>
      </c>
    </row>
    <row r="77" spans="1:5" x14ac:dyDescent="0.2">
      <c r="A77" cm="1">
        <f t="array" ref="A77">P!A39/2^-52</f>
        <v>0</v>
      </c>
      <c r="B77">
        <f t="shared" si="6"/>
        <v>0</v>
      </c>
      <c r="C77">
        <f t="shared" si="7"/>
        <v>0</v>
      </c>
      <c r="D77" t="str">
        <f t="shared" si="8"/>
        <v/>
      </c>
      <c r="E77" t="s">
        <v>111</v>
      </c>
    </row>
    <row r="78" spans="1:5" x14ac:dyDescent="0.2">
      <c r="A78" cm="1">
        <f t="array" ref="A78">P!A40/2^-52</f>
        <v>0</v>
      </c>
      <c r="B78">
        <f t="shared" si="6"/>
        <v>0</v>
      </c>
      <c r="C78">
        <f t="shared" si="7"/>
        <v>0</v>
      </c>
      <c r="D78" t="str">
        <f t="shared" si="8"/>
        <v/>
      </c>
      <c r="E78" t="s">
        <v>112</v>
      </c>
    </row>
    <row r="79" spans="1:5" x14ac:dyDescent="0.2">
      <c r="A79" cm="1">
        <f t="array" ref="A79">P!A41/2^-52</f>
        <v>0</v>
      </c>
      <c r="B79">
        <f t="shared" si="6"/>
        <v>0</v>
      </c>
      <c r="C79">
        <f t="shared" si="7"/>
        <v>0</v>
      </c>
      <c r="D79" t="str">
        <f t="shared" si="8"/>
        <v/>
      </c>
      <c r="E79" t="s">
        <v>113</v>
      </c>
    </row>
    <row r="80" spans="1:5" x14ac:dyDescent="0.2">
      <c r="A80" cm="1">
        <f t="array" ref="A80">P!A42/2^-52</f>
        <v>8</v>
      </c>
      <c r="B80">
        <f t="shared" si="6"/>
        <v>0</v>
      </c>
      <c r="C80">
        <f t="shared" si="7"/>
        <v>8</v>
      </c>
      <c r="D80" t="str">
        <f t="shared" si="8"/>
        <v/>
      </c>
      <c r="E80" t="s">
        <v>114</v>
      </c>
    </row>
    <row r="81" spans="1:5" x14ac:dyDescent="0.2">
      <c r="A81" cm="1">
        <f t="array" ref="A81">P!A43/2^-52</f>
        <v>9</v>
      </c>
      <c r="B81">
        <f t="shared" si="6"/>
        <v>0</v>
      </c>
      <c r="C81">
        <f t="shared" si="7"/>
        <v>9</v>
      </c>
      <c r="D81" t="str">
        <f t="shared" si="8"/>
        <v/>
      </c>
      <c r="E81" t="s">
        <v>115</v>
      </c>
    </row>
    <row r="82" spans="1:5" x14ac:dyDescent="0.2">
      <c r="A82" cm="1">
        <f t="array" ref="A82">P!A44/2^-52</f>
        <v>10</v>
      </c>
      <c r="B82">
        <f t="shared" si="6"/>
        <v>0</v>
      </c>
      <c r="C82">
        <f t="shared" si="7"/>
        <v>10</v>
      </c>
      <c r="D82" t="str">
        <f t="shared" si="8"/>
        <v/>
      </c>
      <c r="E82" t="s">
        <v>116</v>
      </c>
    </row>
    <row r="83" spans="1:5" x14ac:dyDescent="0.2">
      <c r="A83" cm="1">
        <f t="array" ref="A83">P!A45/2^-52</f>
        <v>11</v>
      </c>
      <c r="B83">
        <f t="shared" si="6"/>
        <v>0</v>
      </c>
      <c r="C83">
        <f t="shared" si="7"/>
        <v>11</v>
      </c>
      <c r="D83" t="str">
        <f t="shared" si="8"/>
        <v/>
      </c>
      <c r="E83" t="s">
        <v>117</v>
      </c>
    </row>
    <row r="84" spans="1:5" x14ac:dyDescent="0.2">
      <c r="A84" cm="1">
        <f t="array" ref="A84">P!A46/2^-52</f>
        <v>12</v>
      </c>
      <c r="B84">
        <f t="shared" si="6"/>
        <v>0</v>
      </c>
      <c r="C84">
        <f t="shared" si="7"/>
        <v>12</v>
      </c>
      <c r="D84" t="str">
        <f t="shared" si="8"/>
        <v/>
      </c>
      <c r="E84" t="s">
        <v>118</v>
      </c>
    </row>
    <row r="85" spans="1:5" x14ac:dyDescent="0.2">
      <c r="A85" cm="1">
        <f t="array" ref="A85">P!A47/2^-52</f>
        <v>13</v>
      </c>
      <c r="B85">
        <f t="shared" si="6"/>
        <v>0</v>
      </c>
      <c r="C85">
        <f t="shared" si="7"/>
        <v>13</v>
      </c>
      <c r="D85" t="str">
        <f t="shared" si="8"/>
        <v/>
      </c>
      <c r="E85" t="s">
        <v>119</v>
      </c>
    </row>
    <row r="86" spans="1:5" x14ac:dyDescent="0.2">
      <c r="A86" cm="1">
        <f t="array" ref="A86">P!A48/2^-52</f>
        <v>14</v>
      </c>
      <c r="B86">
        <f t="shared" si="6"/>
        <v>0</v>
      </c>
      <c r="C86">
        <f t="shared" si="7"/>
        <v>14</v>
      </c>
      <c r="D86" t="str">
        <f t="shared" si="8"/>
        <v/>
      </c>
      <c r="E86" t="s">
        <v>120</v>
      </c>
    </row>
    <row r="87" spans="1:5" x14ac:dyDescent="0.2">
      <c r="A87" cm="1">
        <f t="array" ref="A87">P!A49/2^-52</f>
        <v>15</v>
      </c>
      <c r="B87">
        <f t="shared" si="6"/>
        <v>0</v>
      </c>
      <c r="C87">
        <f t="shared" si="7"/>
        <v>15</v>
      </c>
      <c r="D87" t="str">
        <f t="shared" si="8"/>
        <v/>
      </c>
      <c r="E87" t="s">
        <v>121</v>
      </c>
    </row>
    <row r="88" spans="1:5" x14ac:dyDescent="0.2">
      <c r="A88" cm="1">
        <f t="array" ref="A88">P!A50/2^-52</f>
        <v>16</v>
      </c>
      <c r="B88">
        <f t="shared" si="6"/>
        <v>0</v>
      </c>
      <c r="C88">
        <f t="shared" si="7"/>
        <v>16</v>
      </c>
      <c r="D88" t="str">
        <f t="shared" si="8"/>
        <v/>
      </c>
      <c r="E88" t="s">
        <v>122</v>
      </c>
    </row>
    <row r="89" spans="1:5" x14ac:dyDescent="0.2">
      <c r="A89" cm="1">
        <f t="array" ref="A89">P!A51/2^-52</f>
        <v>17</v>
      </c>
      <c r="B89">
        <f t="shared" si="6"/>
        <v>0</v>
      </c>
      <c r="C89">
        <f t="shared" si="7"/>
        <v>17</v>
      </c>
      <c r="D89" t="str">
        <f t="shared" si="8"/>
        <v/>
      </c>
      <c r="E89" t="s">
        <v>123</v>
      </c>
    </row>
    <row r="90" spans="1:5" x14ac:dyDescent="0.2">
      <c r="A90" cm="1">
        <f t="array" ref="A90">P!A52/2^-52</f>
        <v>18</v>
      </c>
      <c r="B90">
        <f t="shared" si="6"/>
        <v>0</v>
      </c>
      <c r="C90">
        <f t="shared" si="7"/>
        <v>18</v>
      </c>
      <c r="D90" t="str">
        <f t="shared" si="8"/>
        <v/>
      </c>
      <c r="E90" t="s">
        <v>124</v>
      </c>
    </row>
    <row r="91" spans="1:5" x14ac:dyDescent="0.2">
      <c r="A91" cm="1">
        <f t="array" ref="A91">P!A53/2^-52</f>
        <v>19</v>
      </c>
      <c r="B91">
        <f t="shared" si="6"/>
        <v>0</v>
      </c>
      <c r="C91">
        <f t="shared" si="7"/>
        <v>19</v>
      </c>
      <c r="D91" t="str">
        <f t="shared" si="8"/>
        <v/>
      </c>
      <c r="E91" t="s">
        <v>125</v>
      </c>
    </row>
    <row r="92" spans="1:5" x14ac:dyDescent="0.2">
      <c r="A92" cm="1">
        <f t="array" ref="A92">P!A54/2^-52</f>
        <v>20</v>
      </c>
      <c r="B92">
        <f t="shared" si="6"/>
        <v>0</v>
      </c>
      <c r="C92">
        <f t="shared" si="7"/>
        <v>20</v>
      </c>
      <c r="D92" t="str">
        <f t="shared" si="8"/>
        <v/>
      </c>
      <c r="E92" t="s">
        <v>126</v>
      </c>
    </row>
    <row r="93" spans="1:5" x14ac:dyDescent="0.2">
      <c r="A93" cm="1">
        <f t="array" ref="A93">P!A55/2^-52</f>
        <v>0</v>
      </c>
      <c r="B93">
        <f t="shared" si="6"/>
        <v>0</v>
      </c>
      <c r="C93">
        <f t="shared" si="7"/>
        <v>0</v>
      </c>
      <c r="D93" t="str">
        <f t="shared" si="8"/>
        <v/>
      </c>
      <c r="E93" t="s">
        <v>127</v>
      </c>
    </row>
    <row r="94" spans="1:5" x14ac:dyDescent="0.2">
      <c r="A94" cm="1">
        <f t="array" ref="A94">P!A56/2^-52</f>
        <v>0</v>
      </c>
      <c r="B94">
        <f t="shared" si="6"/>
        <v>0</v>
      </c>
      <c r="C94">
        <f t="shared" si="7"/>
        <v>0</v>
      </c>
      <c r="D94" t="str">
        <f t="shared" si="8"/>
        <v/>
      </c>
      <c r="E94" t="s">
        <v>128</v>
      </c>
    </row>
    <row r="95" spans="1:5" x14ac:dyDescent="0.2">
      <c r="A95" cm="1">
        <f t="array" ref="A95">P!A57/2^-52</f>
        <v>0</v>
      </c>
      <c r="B95">
        <f t="shared" si="6"/>
        <v>0</v>
      </c>
      <c r="C95">
        <f t="shared" si="7"/>
        <v>0</v>
      </c>
      <c r="D95" t="str">
        <f t="shared" si="8"/>
        <v/>
      </c>
      <c r="E95" t="s">
        <v>129</v>
      </c>
    </row>
    <row r="96" spans="1:5" x14ac:dyDescent="0.2">
      <c r="A96" cm="1">
        <f t="array" ref="A96">P!A58/2^-52</f>
        <v>0</v>
      </c>
      <c r="B96">
        <f t="shared" si="6"/>
        <v>0</v>
      </c>
      <c r="C96">
        <f t="shared" si="7"/>
        <v>0</v>
      </c>
      <c r="D96" t="str">
        <f t="shared" si="8"/>
        <v/>
      </c>
      <c r="E96" t="s">
        <v>130</v>
      </c>
    </row>
    <row r="97" spans="1:5" x14ac:dyDescent="0.2">
      <c r="A97" cm="1">
        <f t="array" ref="A97">P!A59/2^-52</f>
        <v>0</v>
      </c>
      <c r="B97">
        <f t="shared" ref="B97:B128" si="9">IF(ISERROR(A97),ERROR.TYPE(A97),IF(ISNUMBER(A97),0,IF(ISLOGICAL(A97),IF(A97,-1,-2),IF(ISTEXT(A97),-3,-4))))</f>
        <v>0</v>
      </c>
      <c r="C97">
        <f t="shared" ref="C97:C128" si="10">IF(ISNUMBER(A97),A97,0)</f>
        <v>0</v>
      </c>
      <c r="D97" t="str">
        <f t="shared" ref="D97:D128" si="11">IF(ISTEXT(A97),A97,"")</f>
        <v/>
      </c>
      <c r="E97" t="s">
        <v>131</v>
      </c>
    </row>
    <row r="98" spans="1:5" x14ac:dyDescent="0.2">
      <c r="A98" cm="1">
        <f t="array" ref="A98">P!A60/2^-52</f>
        <v>0</v>
      </c>
      <c r="B98">
        <f t="shared" si="9"/>
        <v>0</v>
      </c>
      <c r="C98">
        <f t="shared" si="10"/>
        <v>0</v>
      </c>
      <c r="D98" t="str">
        <f t="shared" si="11"/>
        <v/>
      </c>
      <c r="E98" t="s">
        <v>132</v>
      </c>
    </row>
    <row r="99" spans="1:5" x14ac:dyDescent="0.2">
      <c r="A99" cm="1">
        <f t="array" ref="A99">P!A61/2^-52</f>
        <v>0</v>
      </c>
      <c r="B99">
        <f t="shared" si="9"/>
        <v>0</v>
      </c>
      <c r="C99">
        <f t="shared" si="10"/>
        <v>0</v>
      </c>
      <c r="D99" t="str">
        <f t="shared" si="11"/>
        <v/>
      </c>
      <c r="E99" t="s">
        <v>133</v>
      </c>
    </row>
    <row r="100" spans="1:5" x14ac:dyDescent="0.2">
      <c r="A100" cm="1">
        <f t="array" ref="A100">P!A62/2^-52</f>
        <v>8</v>
      </c>
      <c r="B100">
        <f t="shared" si="9"/>
        <v>0</v>
      </c>
      <c r="C100">
        <f t="shared" si="10"/>
        <v>8</v>
      </c>
      <c r="D100" t="str">
        <f t="shared" si="11"/>
        <v/>
      </c>
      <c r="E100" t="s">
        <v>134</v>
      </c>
    </row>
    <row r="101" spans="1:5" x14ac:dyDescent="0.2">
      <c r="A101" cm="1">
        <f t="array" ref="A101">P!A63/2^-52</f>
        <v>9</v>
      </c>
      <c r="B101">
        <f t="shared" si="9"/>
        <v>0</v>
      </c>
      <c r="C101">
        <f t="shared" si="10"/>
        <v>9</v>
      </c>
      <c r="D101" t="str">
        <f t="shared" si="11"/>
        <v/>
      </c>
      <c r="E101" t="s">
        <v>135</v>
      </c>
    </row>
    <row r="102" spans="1:5" x14ac:dyDescent="0.2">
      <c r="A102" cm="1">
        <f t="array" ref="A102">P!A64/2^-52</f>
        <v>10</v>
      </c>
      <c r="B102">
        <f t="shared" si="9"/>
        <v>0</v>
      </c>
      <c r="C102">
        <f t="shared" si="10"/>
        <v>10</v>
      </c>
      <c r="D102" t="str">
        <f t="shared" si="11"/>
        <v/>
      </c>
      <c r="E102" t="s">
        <v>136</v>
      </c>
    </row>
    <row r="103" spans="1:5" x14ac:dyDescent="0.2">
      <c r="A103" cm="1">
        <f t="array" ref="A103">P!A65/2^-52</f>
        <v>11</v>
      </c>
      <c r="B103">
        <f t="shared" si="9"/>
        <v>0</v>
      </c>
      <c r="C103">
        <f t="shared" si="10"/>
        <v>11</v>
      </c>
      <c r="D103" t="str">
        <f t="shared" si="11"/>
        <v/>
      </c>
      <c r="E103" t="s">
        <v>137</v>
      </c>
    </row>
    <row r="104" spans="1:5" x14ac:dyDescent="0.2">
      <c r="A104" cm="1">
        <f t="array" ref="A104">P!A66/2^-52</f>
        <v>12</v>
      </c>
      <c r="B104">
        <f t="shared" si="9"/>
        <v>0</v>
      </c>
      <c r="C104">
        <f t="shared" si="10"/>
        <v>12</v>
      </c>
      <c r="D104" t="str">
        <f t="shared" si="11"/>
        <v/>
      </c>
      <c r="E104" t="s">
        <v>138</v>
      </c>
    </row>
    <row r="105" spans="1:5" x14ac:dyDescent="0.2">
      <c r="A105" cm="1">
        <f t="array" ref="A105">P!A67/2^-52</f>
        <v>13</v>
      </c>
      <c r="B105">
        <f t="shared" si="9"/>
        <v>0</v>
      </c>
      <c r="C105">
        <f t="shared" si="10"/>
        <v>13</v>
      </c>
      <c r="D105" t="str">
        <f t="shared" si="11"/>
        <v/>
      </c>
      <c r="E105" t="s">
        <v>139</v>
      </c>
    </row>
    <row r="106" spans="1:5" x14ac:dyDescent="0.2">
      <c r="A106" cm="1">
        <f t="array" ref="A106">P!A68/2^-52</f>
        <v>14</v>
      </c>
      <c r="B106">
        <f t="shared" si="9"/>
        <v>0</v>
      </c>
      <c r="C106">
        <f t="shared" si="10"/>
        <v>14</v>
      </c>
      <c r="D106" t="str">
        <f t="shared" si="11"/>
        <v/>
      </c>
      <c r="E106" t="s">
        <v>140</v>
      </c>
    </row>
    <row r="107" spans="1:5" x14ac:dyDescent="0.2">
      <c r="A107" cm="1">
        <f t="array" ref="A107">P!A69/2^-52</f>
        <v>15</v>
      </c>
      <c r="B107">
        <f t="shared" si="9"/>
        <v>0</v>
      </c>
      <c r="C107">
        <f t="shared" si="10"/>
        <v>15</v>
      </c>
      <c r="D107" t="str">
        <f t="shared" si="11"/>
        <v/>
      </c>
      <c r="E107" t="s">
        <v>141</v>
      </c>
    </row>
    <row r="108" spans="1:5" x14ac:dyDescent="0.2">
      <c r="A108" cm="1">
        <f t="array" ref="A108">P!A70/2^-52</f>
        <v>16</v>
      </c>
      <c r="B108">
        <f t="shared" si="9"/>
        <v>0</v>
      </c>
      <c r="C108">
        <f t="shared" si="10"/>
        <v>16</v>
      </c>
      <c r="D108" t="str">
        <f t="shared" si="11"/>
        <v/>
      </c>
      <c r="E108" t="s">
        <v>142</v>
      </c>
    </row>
    <row r="109" spans="1:5" x14ac:dyDescent="0.2">
      <c r="A109" cm="1">
        <f t="array" ref="A109">P!A71/2^-52</f>
        <v>17</v>
      </c>
      <c r="B109">
        <f t="shared" si="9"/>
        <v>0</v>
      </c>
      <c r="C109">
        <f t="shared" si="10"/>
        <v>17</v>
      </c>
      <c r="D109" t="str">
        <f t="shared" si="11"/>
        <v/>
      </c>
      <c r="E109" t="s">
        <v>143</v>
      </c>
    </row>
    <row r="110" spans="1:5" x14ac:dyDescent="0.2">
      <c r="A110" cm="1">
        <f t="array" ref="A110">P!A72/2^-52</f>
        <v>18</v>
      </c>
      <c r="B110">
        <f t="shared" si="9"/>
        <v>0</v>
      </c>
      <c r="C110">
        <f t="shared" si="10"/>
        <v>18</v>
      </c>
      <c r="D110" t="str">
        <f t="shared" si="11"/>
        <v/>
      </c>
      <c r="E110" t="s">
        <v>144</v>
      </c>
    </row>
    <row r="111" spans="1:5" x14ac:dyDescent="0.2">
      <c r="A111" cm="1">
        <f t="array" ref="A111">P!A73/2^-52</f>
        <v>19</v>
      </c>
      <c r="B111">
        <f t="shared" si="9"/>
        <v>0</v>
      </c>
      <c r="C111">
        <f t="shared" si="10"/>
        <v>19</v>
      </c>
      <c r="D111" t="str">
        <f t="shared" si="11"/>
        <v/>
      </c>
      <c r="E111" t="s">
        <v>145</v>
      </c>
    </row>
    <row r="112" spans="1:5" x14ac:dyDescent="0.2">
      <c r="A112" cm="1">
        <f t="array" ref="A112">P!A74/2^-52</f>
        <v>20</v>
      </c>
      <c r="B112">
        <f t="shared" si="9"/>
        <v>0</v>
      </c>
      <c r="C112">
        <f t="shared" si="10"/>
        <v>20</v>
      </c>
      <c r="D112" t="str">
        <f t="shared" si="11"/>
        <v/>
      </c>
      <c r="E112" t="s">
        <v>146</v>
      </c>
    </row>
    <row r="113" spans="1:5" x14ac:dyDescent="0.2">
      <c r="A113" cm="1">
        <f t="array" ref="A113">P!A75/2^-49</f>
        <v>0</v>
      </c>
      <c r="B113">
        <f t="shared" si="9"/>
        <v>0</v>
      </c>
      <c r="C113">
        <f t="shared" si="10"/>
        <v>0</v>
      </c>
      <c r="D113" t="str">
        <f t="shared" si="11"/>
        <v/>
      </c>
      <c r="E113" t="s">
        <v>147</v>
      </c>
    </row>
    <row r="114" spans="1:5" x14ac:dyDescent="0.2">
      <c r="A114" cm="1">
        <f t="array" ref="A114">P!A76/2^-49</f>
        <v>0</v>
      </c>
      <c r="B114">
        <f t="shared" si="9"/>
        <v>0</v>
      </c>
      <c r="C114">
        <f t="shared" si="10"/>
        <v>0</v>
      </c>
      <c r="D114" t="str">
        <f t="shared" si="11"/>
        <v/>
      </c>
      <c r="E114" t="s">
        <v>148</v>
      </c>
    </row>
    <row r="115" spans="1:5" x14ac:dyDescent="0.2">
      <c r="A115" cm="1">
        <f t="array" ref="A115">P!A77/2^-49</f>
        <v>0</v>
      </c>
      <c r="B115">
        <f t="shared" si="9"/>
        <v>0</v>
      </c>
      <c r="C115">
        <f t="shared" si="10"/>
        <v>0</v>
      </c>
      <c r="D115" t="str">
        <f t="shared" si="11"/>
        <v/>
      </c>
      <c r="E115" t="s">
        <v>149</v>
      </c>
    </row>
    <row r="116" spans="1:5" x14ac:dyDescent="0.2">
      <c r="A116" cm="1">
        <f t="array" ref="A116">P!A78/2^-49</f>
        <v>0</v>
      </c>
      <c r="B116">
        <f t="shared" si="9"/>
        <v>0</v>
      </c>
      <c r="C116">
        <f t="shared" si="10"/>
        <v>0</v>
      </c>
      <c r="D116" t="str">
        <f t="shared" si="11"/>
        <v/>
      </c>
      <c r="E116" t="s">
        <v>150</v>
      </c>
    </row>
    <row r="117" spans="1:5" x14ac:dyDescent="0.2">
      <c r="A117" cm="1">
        <f t="array" ref="A117">P!A79/2^-49</f>
        <v>0</v>
      </c>
      <c r="B117">
        <f t="shared" si="9"/>
        <v>0</v>
      </c>
      <c r="C117">
        <f t="shared" si="10"/>
        <v>0</v>
      </c>
      <c r="D117" t="str">
        <f t="shared" si="11"/>
        <v/>
      </c>
      <c r="E117" t="s">
        <v>151</v>
      </c>
    </row>
    <row r="118" spans="1:5" x14ac:dyDescent="0.2">
      <c r="A118" cm="1">
        <f t="array" ref="A118">P!A80/2^-49</f>
        <v>0</v>
      </c>
      <c r="B118">
        <f t="shared" si="9"/>
        <v>0</v>
      </c>
      <c r="C118">
        <f t="shared" si="10"/>
        <v>0</v>
      </c>
      <c r="D118" t="str">
        <f t="shared" si="11"/>
        <v/>
      </c>
      <c r="E118" t="s">
        <v>152</v>
      </c>
    </row>
    <row r="119" spans="1:5" x14ac:dyDescent="0.2">
      <c r="A119" cm="1">
        <f t="array" ref="A119">P!A81/2^-49</f>
        <v>0</v>
      </c>
      <c r="B119">
        <f t="shared" si="9"/>
        <v>0</v>
      </c>
      <c r="C119">
        <f t="shared" si="10"/>
        <v>0</v>
      </c>
      <c r="D119" t="str">
        <f t="shared" si="11"/>
        <v/>
      </c>
      <c r="E119" t="s">
        <v>153</v>
      </c>
    </row>
    <row r="120" spans="1:5" x14ac:dyDescent="0.2">
      <c r="A120" cm="1">
        <f t="array" ref="A120">P!A82/2^-49</f>
        <v>8</v>
      </c>
      <c r="B120">
        <f t="shared" si="9"/>
        <v>0</v>
      </c>
      <c r="C120">
        <f t="shared" si="10"/>
        <v>8</v>
      </c>
      <c r="D120" t="str">
        <f t="shared" si="11"/>
        <v/>
      </c>
      <c r="E120" t="s">
        <v>154</v>
      </c>
    </row>
    <row r="121" spans="1:5" x14ac:dyDescent="0.2">
      <c r="A121" cm="1">
        <f t="array" ref="A121">P!A83/2^-49</f>
        <v>9</v>
      </c>
      <c r="B121">
        <f t="shared" si="9"/>
        <v>0</v>
      </c>
      <c r="C121">
        <f t="shared" si="10"/>
        <v>9</v>
      </c>
      <c r="D121" t="str">
        <f t="shared" si="11"/>
        <v/>
      </c>
      <c r="E121" t="s">
        <v>155</v>
      </c>
    </row>
    <row r="122" spans="1:5" x14ac:dyDescent="0.2">
      <c r="A122" cm="1">
        <f t="array" ref="A122">P!A84/2^-49</f>
        <v>10</v>
      </c>
      <c r="B122">
        <f t="shared" si="9"/>
        <v>0</v>
      </c>
      <c r="C122">
        <f t="shared" si="10"/>
        <v>10</v>
      </c>
      <c r="D122" t="str">
        <f t="shared" si="11"/>
        <v/>
      </c>
      <c r="E122" t="s">
        <v>156</v>
      </c>
    </row>
    <row r="123" spans="1:5" x14ac:dyDescent="0.2">
      <c r="A123" cm="1">
        <f t="array" ref="A123">P!A85/2^-49</f>
        <v>11</v>
      </c>
      <c r="B123">
        <f t="shared" si="9"/>
        <v>0</v>
      </c>
      <c r="C123">
        <f t="shared" si="10"/>
        <v>11</v>
      </c>
      <c r="D123" t="str">
        <f t="shared" si="11"/>
        <v/>
      </c>
      <c r="E123" t="s">
        <v>157</v>
      </c>
    </row>
    <row r="124" spans="1:5" x14ac:dyDescent="0.2">
      <c r="A124" cm="1">
        <f t="array" ref="A124">P!A86/2^-49</f>
        <v>12</v>
      </c>
      <c r="B124">
        <f t="shared" si="9"/>
        <v>0</v>
      </c>
      <c r="C124">
        <f t="shared" si="10"/>
        <v>12</v>
      </c>
      <c r="D124" t="str">
        <f t="shared" si="11"/>
        <v/>
      </c>
      <c r="E124" t="s">
        <v>158</v>
      </c>
    </row>
    <row r="125" spans="1:5" x14ac:dyDescent="0.2">
      <c r="A125" cm="1">
        <f t="array" ref="A125">P!A87/2^-49</f>
        <v>13</v>
      </c>
      <c r="B125">
        <f t="shared" si="9"/>
        <v>0</v>
      </c>
      <c r="C125">
        <f t="shared" si="10"/>
        <v>13</v>
      </c>
      <c r="D125" t="str">
        <f t="shared" si="11"/>
        <v/>
      </c>
      <c r="E125" t="s">
        <v>159</v>
      </c>
    </row>
    <row r="126" spans="1:5" x14ac:dyDescent="0.2">
      <c r="A126" cm="1">
        <f t="array" ref="A126">P!A88/2^-49</f>
        <v>14</v>
      </c>
      <c r="B126">
        <f t="shared" si="9"/>
        <v>0</v>
      </c>
      <c r="C126">
        <f t="shared" si="10"/>
        <v>14</v>
      </c>
      <c r="D126" t="str">
        <f t="shared" si="11"/>
        <v/>
      </c>
      <c r="E126" t="s">
        <v>160</v>
      </c>
    </row>
    <row r="127" spans="1:5" x14ac:dyDescent="0.2">
      <c r="A127" cm="1">
        <f t="array" ref="A127">P!A89/2^-49</f>
        <v>15</v>
      </c>
      <c r="B127">
        <f t="shared" si="9"/>
        <v>0</v>
      </c>
      <c r="C127">
        <f t="shared" si="10"/>
        <v>15</v>
      </c>
      <c r="D127" t="str">
        <f t="shared" si="11"/>
        <v/>
      </c>
      <c r="E127" t="s">
        <v>161</v>
      </c>
    </row>
    <row r="128" spans="1:5" x14ac:dyDescent="0.2">
      <c r="A128" cm="1">
        <f t="array" ref="A128">P!A90/2^-49</f>
        <v>16</v>
      </c>
      <c r="B128">
        <f t="shared" si="9"/>
        <v>0</v>
      </c>
      <c r="C128">
        <f t="shared" si="10"/>
        <v>16</v>
      </c>
      <c r="D128" t="str">
        <f t="shared" si="11"/>
        <v/>
      </c>
      <c r="E128" t="s">
        <v>162</v>
      </c>
    </row>
    <row r="129" spans="1:5" x14ac:dyDescent="0.2">
      <c r="A129" cm="1">
        <f t="array" ref="A129">P!A91/2^-49</f>
        <v>17</v>
      </c>
      <c r="B129">
        <f t="shared" ref="B129:B160" si="12">IF(ISERROR(A129),ERROR.TYPE(A129),IF(ISNUMBER(A129),0,IF(ISLOGICAL(A129),IF(A129,-1,-2),IF(ISTEXT(A129),-3,-4))))</f>
        <v>0</v>
      </c>
      <c r="C129">
        <f t="shared" ref="C129:C160" si="13">IF(ISNUMBER(A129),A129,0)</f>
        <v>17</v>
      </c>
      <c r="D129" t="str">
        <f t="shared" ref="D129:D160" si="14">IF(ISTEXT(A129),A129,"")</f>
        <v/>
      </c>
      <c r="E129" t="s">
        <v>163</v>
      </c>
    </row>
    <row r="130" spans="1:5" x14ac:dyDescent="0.2">
      <c r="A130" cm="1">
        <f t="array" ref="A130">P!A92/2^-49</f>
        <v>18</v>
      </c>
      <c r="B130">
        <f t="shared" si="12"/>
        <v>0</v>
      </c>
      <c r="C130">
        <f t="shared" si="13"/>
        <v>18</v>
      </c>
      <c r="D130" t="str">
        <f t="shared" si="14"/>
        <v/>
      </c>
      <c r="E130" t="s">
        <v>164</v>
      </c>
    </row>
    <row r="131" spans="1:5" x14ac:dyDescent="0.2">
      <c r="A131" cm="1">
        <f t="array" ref="A131">P!A93/2^-49</f>
        <v>19</v>
      </c>
      <c r="B131">
        <f t="shared" si="12"/>
        <v>0</v>
      </c>
      <c r="C131">
        <f t="shared" si="13"/>
        <v>19</v>
      </c>
      <c r="D131" t="str">
        <f t="shared" si="14"/>
        <v/>
      </c>
      <c r="E131" t="s">
        <v>165</v>
      </c>
    </row>
    <row r="132" spans="1:5" x14ac:dyDescent="0.2">
      <c r="A132" cm="1">
        <f t="array" ref="A132">P!A94/2^-49</f>
        <v>20</v>
      </c>
      <c r="B132">
        <f t="shared" si="12"/>
        <v>0</v>
      </c>
      <c r="C132">
        <f t="shared" si="13"/>
        <v>20</v>
      </c>
      <c r="D132" t="str">
        <f t="shared" si="14"/>
        <v/>
      </c>
      <c r="E132" t="s">
        <v>166</v>
      </c>
    </row>
    <row r="133" spans="1:5" x14ac:dyDescent="0.2">
      <c r="A133" cm="1">
        <f t="array" ref="A133">P!A95/0.125</f>
        <v>0</v>
      </c>
      <c r="B133">
        <f t="shared" si="12"/>
        <v>0</v>
      </c>
      <c r="C133">
        <f t="shared" si="13"/>
        <v>0</v>
      </c>
      <c r="D133" t="str">
        <f t="shared" si="14"/>
        <v/>
      </c>
      <c r="E133" t="s">
        <v>167</v>
      </c>
    </row>
    <row r="134" spans="1:5" x14ac:dyDescent="0.2">
      <c r="A134" cm="1">
        <f t="array" ref="A134">P!A96/0.125</f>
        <v>0</v>
      </c>
      <c r="B134">
        <f t="shared" si="12"/>
        <v>0</v>
      </c>
      <c r="C134">
        <f t="shared" si="13"/>
        <v>0</v>
      </c>
      <c r="D134" t="str">
        <f t="shared" si="14"/>
        <v/>
      </c>
      <c r="E134" t="s">
        <v>168</v>
      </c>
    </row>
    <row r="135" spans="1:5" x14ac:dyDescent="0.2">
      <c r="A135" cm="1">
        <f t="array" ref="A135">P!A97/0.125</f>
        <v>0</v>
      </c>
      <c r="B135">
        <f t="shared" si="12"/>
        <v>0</v>
      </c>
      <c r="C135">
        <f t="shared" si="13"/>
        <v>0</v>
      </c>
      <c r="D135" t="str">
        <f t="shared" si="14"/>
        <v/>
      </c>
      <c r="E135" t="s">
        <v>169</v>
      </c>
    </row>
    <row r="136" spans="1:5" x14ac:dyDescent="0.2">
      <c r="A136" cm="1">
        <f t="array" ref="A136">P!A98/0.125</f>
        <v>0</v>
      </c>
      <c r="B136">
        <f t="shared" si="12"/>
        <v>0</v>
      </c>
      <c r="C136">
        <f t="shared" si="13"/>
        <v>0</v>
      </c>
      <c r="D136" t="str">
        <f t="shared" si="14"/>
        <v/>
      </c>
      <c r="E136" t="s">
        <v>170</v>
      </c>
    </row>
    <row r="137" spans="1:5" x14ac:dyDescent="0.2">
      <c r="A137" cm="1">
        <f t="array" ref="A137">P!A99/0.125</f>
        <v>0</v>
      </c>
      <c r="B137">
        <f t="shared" si="12"/>
        <v>0</v>
      </c>
      <c r="C137">
        <f t="shared" si="13"/>
        <v>0</v>
      </c>
      <c r="D137" t="str">
        <f t="shared" si="14"/>
        <v/>
      </c>
      <c r="E137" t="s">
        <v>171</v>
      </c>
    </row>
    <row r="138" spans="1:5" x14ac:dyDescent="0.2">
      <c r="A138" cm="1">
        <f t="array" ref="A138">P!A100/0.125</f>
        <v>0</v>
      </c>
      <c r="B138">
        <f t="shared" si="12"/>
        <v>0</v>
      </c>
      <c r="C138">
        <f t="shared" si="13"/>
        <v>0</v>
      </c>
      <c r="D138" t="str">
        <f t="shared" si="14"/>
        <v/>
      </c>
      <c r="E138" t="s">
        <v>172</v>
      </c>
    </row>
    <row r="139" spans="1:5" x14ac:dyDescent="0.2">
      <c r="A139" cm="1">
        <f t="array" ref="A139">P!A101/0.125</f>
        <v>0</v>
      </c>
      <c r="B139">
        <f t="shared" si="12"/>
        <v>0</v>
      </c>
      <c r="C139">
        <f t="shared" si="13"/>
        <v>0</v>
      </c>
      <c r="D139" t="str">
        <f t="shared" si="14"/>
        <v/>
      </c>
      <c r="E139" t="s">
        <v>173</v>
      </c>
    </row>
    <row r="140" spans="1:5" x14ac:dyDescent="0.2">
      <c r="A140" cm="1">
        <f t="array" ref="A140">P!A102/0.125</f>
        <v>8</v>
      </c>
      <c r="B140">
        <f t="shared" si="12"/>
        <v>0</v>
      </c>
      <c r="C140">
        <f t="shared" si="13"/>
        <v>8</v>
      </c>
      <c r="D140" t="str">
        <f t="shared" si="14"/>
        <v/>
      </c>
      <c r="E140" t="s">
        <v>174</v>
      </c>
    </row>
    <row r="141" spans="1:5" x14ac:dyDescent="0.2">
      <c r="A141" cm="1">
        <f t="array" ref="A141">P!A103/0.125</f>
        <v>9</v>
      </c>
      <c r="B141">
        <f t="shared" si="12"/>
        <v>0</v>
      </c>
      <c r="C141">
        <f t="shared" si="13"/>
        <v>9</v>
      </c>
      <c r="D141" t="str">
        <f t="shared" si="14"/>
        <v/>
      </c>
      <c r="E141" t="s">
        <v>175</v>
      </c>
    </row>
    <row r="142" spans="1:5" x14ac:dyDescent="0.2">
      <c r="A142" cm="1">
        <f t="array" ref="A142">P!A104/0.125</f>
        <v>10</v>
      </c>
      <c r="B142">
        <f t="shared" si="12"/>
        <v>0</v>
      </c>
      <c r="C142">
        <f t="shared" si="13"/>
        <v>10</v>
      </c>
      <c r="D142" t="str">
        <f t="shared" si="14"/>
        <v/>
      </c>
      <c r="E142" t="s">
        <v>176</v>
      </c>
    </row>
    <row r="143" spans="1:5" x14ac:dyDescent="0.2">
      <c r="A143" cm="1">
        <f t="array" ref="A143">P!A105/0.125</f>
        <v>11</v>
      </c>
      <c r="B143">
        <f t="shared" si="12"/>
        <v>0</v>
      </c>
      <c r="C143">
        <f t="shared" si="13"/>
        <v>11</v>
      </c>
      <c r="D143" t="str">
        <f t="shared" si="14"/>
        <v/>
      </c>
      <c r="E143" t="s">
        <v>177</v>
      </c>
    </row>
    <row r="144" spans="1:5" x14ac:dyDescent="0.2">
      <c r="A144" cm="1">
        <f t="array" ref="A144">P!A106/0.125</f>
        <v>12</v>
      </c>
      <c r="B144">
        <f t="shared" si="12"/>
        <v>0</v>
      </c>
      <c r="C144">
        <f t="shared" si="13"/>
        <v>12</v>
      </c>
      <c r="D144" t="str">
        <f t="shared" si="14"/>
        <v/>
      </c>
      <c r="E144" t="s">
        <v>178</v>
      </c>
    </row>
    <row r="145" spans="1:5" x14ac:dyDescent="0.2">
      <c r="A145" cm="1">
        <f t="array" ref="A145">P!A107/0.125</f>
        <v>13</v>
      </c>
      <c r="B145">
        <f t="shared" si="12"/>
        <v>0</v>
      </c>
      <c r="C145">
        <f t="shared" si="13"/>
        <v>13</v>
      </c>
      <c r="D145" t="str">
        <f t="shared" si="14"/>
        <v/>
      </c>
      <c r="E145" t="s">
        <v>179</v>
      </c>
    </row>
    <row r="146" spans="1:5" x14ac:dyDescent="0.2">
      <c r="A146" cm="1">
        <f t="array" ref="A146">P!A108/0.125</f>
        <v>14</v>
      </c>
      <c r="B146">
        <f t="shared" si="12"/>
        <v>0</v>
      </c>
      <c r="C146">
        <f t="shared" si="13"/>
        <v>14</v>
      </c>
      <c r="D146" t="str">
        <f t="shared" si="14"/>
        <v/>
      </c>
      <c r="E146" t="s">
        <v>180</v>
      </c>
    </row>
    <row r="147" spans="1:5" x14ac:dyDescent="0.2">
      <c r="A147" cm="1">
        <f t="array" ref="A147">P!A109/0.125</f>
        <v>15</v>
      </c>
      <c r="B147">
        <f t="shared" si="12"/>
        <v>0</v>
      </c>
      <c r="C147">
        <f t="shared" si="13"/>
        <v>15</v>
      </c>
      <c r="D147" t="str">
        <f t="shared" si="14"/>
        <v/>
      </c>
      <c r="E147" t="s">
        <v>181</v>
      </c>
    </row>
    <row r="148" spans="1:5" x14ac:dyDescent="0.2">
      <c r="A148" cm="1">
        <f t="array" ref="A148">P!A110/0.125</f>
        <v>16</v>
      </c>
      <c r="B148">
        <f t="shared" si="12"/>
        <v>0</v>
      </c>
      <c r="C148">
        <f t="shared" si="13"/>
        <v>16</v>
      </c>
      <c r="D148" t="str">
        <f t="shared" si="14"/>
        <v/>
      </c>
      <c r="E148" t="s">
        <v>182</v>
      </c>
    </row>
    <row r="149" spans="1:5" x14ac:dyDescent="0.2">
      <c r="A149" cm="1">
        <f t="array" ref="A149">P!A111/0.125</f>
        <v>17</v>
      </c>
      <c r="B149">
        <f t="shared" si="12"/>
        <v>0</v>
      </c>
      <c r="C149">
        <f t="shared" si="13"/>
        <v>17</v>
      </c>
      <c r="D149" t="str">
        <f t="shared" si="14"/>
        <v/>
      </c>
      <c r="E149" t="s">
        <v>183</v>
      </c>
    </row>
    <row r="150" spans="1:5" x14ac:dyDescent="0.2">
      <c r="A150" cm="1">
        <f t="array" ref="A150">P!A112/0.125</f>
        <v>18</v>
      </c>
      <c r="B150">
        <f t="shared" si="12"/>
        <v>0</v>
      </c>
      <c r="C150">
        <f t="shared" si="13"/>
        <v>18</v>
      </c>
      <c r="D150" t="str">
        <f t="shared" si="14"/>
        <v/>
      </c>
      <c r="E150" t="s">
        <v>184</v>
      </c>
    </row>
    <row r="151" spans="1:5" x14ac:dyDescent="0.2">
      <c r="A151" cm="1">
        <f t="array" ref="A151">P!A113/0.125</f>
        <v>19</v>
      </c>
      <c r="B151">
        <f t="shared" si="12"/>
        <v>0</v>
      </c>
      <c r="C151">
        <f t="shared" si="13"/>
        <v>19</v>
      </c>
      <c r="D151" t="str">
        <f t="shared" si="14"/>
        <v/>
      </c>
      <c r="E151" t="s">
        <v>185</v>
      </c>
    </row>
    <row r="152" spans="1:5" x14ac:dyDescent="0.2">
      <c r="A152" cm="1">
        <f t="array" ref="A152">P!A114/0.125</f>
        <v>20</v>
      </c>
      <c r="B152">
        <f t="shared" si="12"/>
        <v>0</v>
      </c>
      <c r="C152">
        <f t="shared" si="13"/>
        <v>20</v>
      </c>
      <c r="D152" t="str">
        <f t="shared" si="14"/>
        <v/>
      </c>
      <c r="E152" t="s">
        <v>186</v>
      </c>
    </row>
    <row r="153" spans="1:5" x14ac:dyDescent="0.2">
      <c r="A153" cm="1">
        <f t="array" ref="A153">P!A115/2^-717</f>
        <v>0</v>
      </c>
      <c r="B153">
        <f t="shared" si="12"/>
        <v>0</v>
      </c>
      <c r="C153">
        <f t="shared" si="13"/>
        <v>0</v>
      </c>
      <c r="D153" t="str">
        <f t="shared" si="14"/>
        <v/>
      </c>
      <c r="E153" t="s">
        <v>187</v>
      </c>
    </row>
    <row r="154" spans="1:5" x14ac:dyDescent="0.2">
      <c r="A154" cm="1">
        <f t="array" ref="A154">P!A116/2^-717</f>
        <v>0</v>
      </c>
      <c r="B154">
        <f t="shared" si="12"/>
        <v>0</v>
      </c>
      <c r="C154">
        <f t="shared" si="13"/>
        <v>0</v>
      </c>
      <c r="D154" t="str">
        <f t="shared" si="14"/>
        <v/>
      </c>
      <c r="E154" t="s">
        <v>188</v>
      </c>
    </row>
    <row r="155" spans="1:5" x14ac:dyDescent="0.2">
      <c r="A155" cm="1">
        <f t="array" ref="A155">P!A117/2^-717</f>
        <v>0</v>
      </c>
      <c r="B155">
        <f t="shared" si="12"/>
        <v>0</v>
      </c>
      <c r="C155">
        <f t="shared" si="13"/>
        <v>0</v>
      </c>
      <c r="D155" t="str">
        <f t="shared" si="14"/>
        <v/>
      </c>
      <c r="E155" t="s">
        <v>189</v>
      </c>
    </row>
    <row r="156" spans="1:5" x14ac:dyDescent="0.2">
      <c r="A156" cm="1">
        <f t="array" ref="A156">P!A118/2^-717</f>
        <v>0</v>
      </c>
      <c r="B156">
        <f t="shared" si="12"/>
        <v>0</v>
      </c>
      <c r="C156">
        <f t="shared" si="13"/>
        <v>0</v>
      </c>
      <c r="D156" t="str">
        <f t="shared" si="14"/>
        <v/>
      </c>
      <c r="E156" t="s">
        <v>190</v>
      </c>
    </row>
    <row r="157" spans="1:5" x14ac:dyDescent="0.2">
      <c r="A157" cm="1">
        <f t="array" ref="A157">P!A119/2^-717</f>
        <v>0</v>
      </c>
      <c r="B157">
        <f t="shared" si="12"/>
        <v>0</v>
      </c>
      <c r="C157">
        <f t="shared" si="13"/>
        <v>0</v>
      </c>
      <c r="D157" t="str">
        <f t="shared" si="14"/>
        <v/>
      </c>
      <c r="E157" t="s">
        <v>191</v>
      </c>
    </row>
    <row r="158" spans="1:5" x14ac:dyDescent="0.2">
      <c r="A158" cm="1">
        <f t="array" ref="A158">P!A120/2^-717</f>
        <v>0</v>
      </c>
      <c r="B158">
        <f t="shared" si="12"/>
        <v>0</v>
      </c>
      <c r="C158">
        <f t="shared" si="13"/>
        <v>0</v>
      </c>
      <c r="D158" t="str">
        <f t="shared" si="14"/>
        <v/>
      </c>
      <c r="E158" t="s">
        <v>192</v>
      </c>
    </row>
    <row r="159" spans="1:5" x14ac:dyDescent="0.2">
      <c r="A159" cm="1">
        <f t="array" ref="A159">P!A121/2^-717</f>
        <v>0</v>
      </c>
      <c r="B159">
        <f t="shared" si="12"/>
        <v>0</v>
      </c>
      <c r="C159">
        <f t="shared" si="13"/>
        <v>0</v>
      </c>
      <c r="D159" t="str">
        <f t="shared" si="14"/>
        <v/>
      </c>
      <c r="E159" t="s">
        <v>193</v>
      </c>
    </row>
    <row r="160" spans="1:5" x14ac:dyDescent="0.2">
      <c r="A160" cm="1">
        <f t="array" ref="A160">P!A122/2^-717</f>
        <v>8</v>
      </c>
      <c r="B160">
        <f t="shared" si="12"/>
        <v>0</v>
      </c>
      <c r="C160">
        <f t="shared" si="13"/>
        <v>8</v>
      </c>
      <c r="D160" t="str">
        <f t="shared" si="14"/>
        <v/>
      </c>
      <c r="E160" t="s">
        <v>194</v>
      </c>
    </row>
    <row r="161" spans="1:5" x14ac:dyDescent="0.2">
      <c r="A161" cm="1">
        <f t="array" ref="A161">P!A123/2^-717</f>
        <v>9</v>
      </c>
      <c r="B161">
        <f t="shared" ref="B161:B192" si="15">IF(ISERROR(A161),ERROR.TYPE(A161),IF(ISNUMBER(A161),0,IF(ISLOGICAL(A161),IF(A161,-1,-2),IF(ISTEXT(A161),-3,-4))))</f>
        <v>0</v>
      </c>
      <c r="C161">
        <f t="shared" ref="C161:C189" si="16">IF(ISNUMBER(A161),A161,0)</f>
        <v>9</v>
      </c>
      <c r="D161" t="str">
        <f t="shared" ref="D161:D189" si="17">IF(ISTEXT(A161),A161,"")</f>
        <v/>
      </c>
      <c r="E161" t="s">
        <v>195</v>
      </c>
    </row>
    <row r="162" spans="1:5" x14ac:dyDescent="0.2">
      <c r="A162" cm="1">
        <f t="array" ref="A162">P!A124/2^-717</f>
        <v>10</v>
      </c>
      <c r="B162">
        <f t="shared" si="15"/>
        <v>0</v>
      </c>
      <c r="C162">
        <f t="shared" si="16"/>
        <v>10</v>
      </c>
      <c r="D162" t="str">
        <f t="shared" si="17"/>
        <v/>
      </c>
      <c r="E162" t="s">
        <v>196</v>
      </c>
    </row>
    <row r="163" spans="1:5" x14ac:dyDescent="0.2">
      <c r="A163" cm="1">
        <f t="array" ref="A163">P!A125/2^-717</f>
        <v>11</v>
      </c>
      <c r="B163">
        <f t="shared" si="15"/>
        <v>0</v>
      </c>
      <c r="C163">
        <f t="shared" si="16"/>
        <v>11</v>
      </c>
      <c r="D163" t="str">
        <f t="shared" si="17"/>
        <v/>
      </c>
      <c r="E163" t="s">
        <v>197</v>
      </c>
    </row>
    <row r="164" spans="1:5" x14ac:dyDescent="0.2">
      <c r="A164" cm="1">
        <f t="array" ref="A164">P!A126/2^-717</f>
        <v>12</v>
      </c>
      <c r="B164">
        <f t="shared" si="15"/>
        <v>0</v>
      </c>
      <c r="C164">
        <f t="shared" si="16"/>
        <v>12</v>
      </c>
      <c r="D164" t="str">
        <f t="shared" si="17"/>
        <v/>
      </c>
      <c r="E164" t="s">
        <v>198</v>
      </c>
    </row>
    <row r="165" spans="1:5" x14ac:dyDescent="0.2">
      <c r="A165" cm="1">
        <f t="array" ref="A165">P!A127/2^-717</f>
        <v>13</v>
      </c>
      <c r="B165">
        <f t="shared" si="15"/>
        <v>0</v>
      </c>
      <c r="C165">
        <f t="shared" si="16"/>
        <v>13</v>
      </c>
      <c r="D165" t="str">
        <f t="shared" si="17"/>
        <v/>
      </c>
      <c r="E165" t="s">
        <v>199</v>
      </c>
    </row>
    <row r="166" spans="1:5" x14ac:dyDescent="0.2">
      <c r="A166" cm="1">
        <f t="array" ref="A166">P!A128/2^-717</f>
        <v>14</v>
      </c>
      <c r="B166">
        <f t="shared" si="15"/>
        <v>0</v>
      </c>
      <c r="C166">
        <f t="shared" si="16"/>
        <v>14</v>
      </c>
      <c r="D166" t="str">
        <f t="shared" si="17"/>
        <v/>
      </c>
      <c r="E166" t="s">
        <v>200</v>
      </c>
    </row>
    <row r="167" spans="1:5" x14ac:dyDescent="0.2">
      <c r="A167" cm="1">
        <f t="array" ref="A167">P!A129/2^-717</f>
        <v>15</v>
      </c>
      <c r="B167">
        <f t="shared" si="15"/>
        <v>0</v>
      </c>
      <c r="C167">
        <f t="shared" si="16"/>
        <v>15</v>
      </c>
      <c r="D167" t="str">
        <f t="shared" si="17"/>
        <v/>
      </c>
      <c r="E167" t="s">
        <v>201</v>
      </c>
    </row>
    <row r="168" spans="1:5" x14ac:dyDescent="0.2">
      <c r="A168" cm="1">
        <f t="array" ref="A168">P!A130/2^-717</f>
        <v>16</v>
      </c>
      <c r="B168">
        <f t="shared" si="15"/>
        <v>0</v>
      </c>
      <c r="C168">
        <f t="shared" si="16"/>
        <v>16</v>
      </c>
      <c r="D168" t="str">
        <f t="shared" si="17"/>
        <v/>
      </c>
      <c r="E168" t="s">
        <v>202</v>
      </c>
    </row>
    <row r="169" spans="1:5" x14ac:dyDescent="0.2">
      <c r="A169" cm="1">
        <f t="array" ref="A169">P!A131/2^-717</f>
        <v>17</v>
      </c>
      <c r="B169">
        <f t="shared" si="15"/>
        <v>0</v>
      </c>
      <c r="C169">
        <f t="shared" si="16"/>
        <v>17</v>
      </c>
      <c r="D169" t="str">
        <f t="shared" si="17"/>
        <v/>
      </c>
      <c r="E169" t="s">
        <v>203</v>
      </c>
    </row>
    <row r="170" spans="1:5" x14ac:dyDescent="0.2">
      <c r="A170" cm="1">
        <f t="array" ref="A170">P!A132/2^-717</f>
        <v>18</v>
      </c>
      <c r="B170">
        <f t="shared" si="15"/>
        <v>0</v>
      </c>
      <c r="C170">
        <f t="shared" si="16"/>
        <v>18</v>
      </c>
      <c r="D170" t="str">
        <f t="shared" si="17"/>
        <v/>
      </c>
      <c r="E170" t="s">
        <v>204</v>
      </c>
    </row>
    <row r="171" spans="1:5" x14ac:dyDescent="0.2">
      <c r="A171" cm="1">
        <f t="array" ref="A171">P!A133/2^-717</f>
        <v>19</v>
      </c>
      <c r="B171">
        <f t="shared" si="15"/>
        <v>0</v>
      </c>
      <c r="C171">
        <f t="shared" si="16"/>
        <v>19</v>
      </c>
      <c r="D171" t="str">
        <f t="shared" si="17"/>
        <v/>
      </c>
      <c r="E171" t="s">
        <v>205</v>
      </c>
    </row>
    <row r="172" spans="1:5" x14ac:dyDescent="0.2">
      <c r="A172" cm="1">
        <f t="array" ref="A172">P!A134/2^-717</f>
        <v>20</v>
      </c>
      <c r="B172">
        <f t="shared" si="15"/>
        <v>0</v>
      </c>
      <c r="C172">
        <f t="shared" si="16"/>
        <v>20</v>
      </c>
      <c r="D172" t="str">
        <f t="shared" si="17"/>
        <v/>
      </c>
      <c r="E172" t="s">
        <v>206</v>
      </c>
    </row>
    <row r="173" spans="1:5" x14ac:dyDescent="0.2">
      <c r="A173" cm="1">
        <f t="array" ref="A173">P!A135/2^-40</f>
        <v>1</v>
      </c>
      <c r="B173">
        <f t="shared" si="15"/>
        <v>0</v>
      </c>
      <c r="C173">
        <f t="shared" si="16"/>
        <v>1</v>
      </c>
      <c r="D173" t="str">
        <f t="shared" si="17"/>
        <v/>
      </c>
      <c r="E173" t="s">
        <v>207</v>
      </c>
    </row>
    <row r="174" spans="1:5" x14ac:dyDescent="0.2">
      <c r="A174" cm="1">
        <f t="array" ref="A174">P!A136/2^-41</f>
        <v>1</v>
      </c>
      <c r="B174">
        <f t="shared" si="15"/>
        <v>0</v>
      </c>
      <c r="C174">
        <f t="shared" si="16"/>
        <v>1</v>
      </c>
      <c r="D174" t="str">
        <f t="shared" si="17"/>
        <v/>
      </c>
      <c r="E174" t="s">
        <v>208</v>
      </c>
    </row>
    <row r="175" spans="1:5" x14ac:dyDescent="0.2">
      <c r="A175" cm="1">
        <f t="array" ref="A175">P!A137/2^-42</f>
        <v>1</v>
      </c>
      <c r="B175">
        <f t="shared" si="15"/>
        <v>0</v>
      </c>
      <c r="C175">
        <f t="shared" si="16"/>
        <v>1</v>
      </c>
      <c r="D175" t="str">
        <f t="shared" si="17"/>
        <v/>
      </c>
      <c r="E175" t="s">
        <v>209</v>
      </c>
    </row>
    <row r="176" spans="1:5" x14ac:dyDescent="0.2">
      <c r="A176" cm="1">
        <f t="array" ref="A176">P!A138/2^-43</f>
        <v>1</v>
      </c>
      <c r="B176">
        <f t="shared" si="15"/>
        <v>0</v>
      </c>
      <c r="C176">
        <f t="shared" si="16"/>
        <v>1</v>
      </c>
      <c r="D176" t="str">
        <f t="shared" si="17"/>
        <v/>
      </c>
      <c r="E176" t="s">
        <v>210</v>
      </c>
    </row>
    <row r="177" spans="1:5" x14ac:dyDescent="0.2">
      <c r="A177" cm="1">
        <f t="array" ref="A177">P!A139/2^-44</f>
        <v>1</v>
      </c>
      <c r="B177">
        <f t="shared" si="15"/>
        <v>0</v>
      </c>
      <c r="C177">
        <f t="shared" si="16"/>
        <v>1</v>
      </c>
      <c r="D177" t="str">
        <f t="shared" si="17"/>
        <v/>
      </c>
      <c r="E177" t="s">
        <v>211</v>
      </c>
    </row>
    <row r="178" spans="1:5" x14ac:dyDescent="0.2">
      <c r="A178" cm="1">
        <f t="array" ref="A178">P!A140/2^-45</f>
        <v>1</v>
      </c>
      <c r="B178">
        <f t="shared" si="15"/>
        <v>0</v>
      </c>
      <c r="C178">
        <f t="shared" si="16"/>
        <v>1</v>
      </c>
      <c r="D178" t="str">
        <f t="shared" si="17"/>
        <v/>
      </c>
      <c r="E178" t="s">
        <v>212</v>
      </c>
    </row>
    <row r="179" spans="1:5" x14ac:dyDescent="0.2">
      <c r="A179" cm="1">
        <f t="array" ref="A179">P!A141/2^-46</f>
        <v>1</v>
      </c>
      <c r="B179">
        <f t="shared" si="15"/>
        <v>0</v>
      </c>
      <c r="C179">
        <f t="shared" si="16"/>
        <v>1</v>
      </c>
      <c r="D179" t="str">
        <f t="shared" si="17"/>
        <v/>
      </c>
      <c r="E179" t="s">
        <v>213</v>
      </c>
    </row>
    <row r="180" spans="1:5" x14ac:dyDescent="0.2">
      <c r="A180" cm="1">
        <f t="array" ref="A180">P!A142/2^-47</f>
        <v>1</v>
      </c>
      <c r="B180">
        <f t="shared" si="15"/>
        <v>0</v>
      </c>
      <c r="C180">
        <f t="shared" si="16"/>
        <v>1</v>
      </c>
      <c r="D180" t="str">
        <f t="shared" si="17"/>
        <v/>
      </c>
      <c r="E180" t="s">
        <v>214</v>
      </c>
    </row>
    <row r="181" spans="1:5" x14ac:dyDescent="0.2">
      <c r="A181" cm="1">
        <f t="array" ref="A181">P!A143/2^-48</f>
        <v>1</v>
      </c>
      <c r="B181">
        <f t="shared" si="15"/>
        <v>0</v>
      </c>
      <c r="C181">
        <f t="shared" si="16"/>
        <v>1</v>
      </c>
      <c r="D181" t="str">
        <f t="shared" si="17"/>
        <v/>
      </c>
      <c r="E181" t="s">
        <v>215</v>
      </c>
    </row>
    <row r="182" spans="1:5" x14ac:dyDescent="0.2">
      <c r="A182" cm="1">
        <f t="array" ref="A182">P!A144/2^-52</f>
        <v>0</v>
      </c>
      <c r="B182">
        <f t="shared" si="15"/>
        <v>0</v>
      </c>
      <c r="C182">
        <f t="shared" si="16"/>
        <v>0</v>
      </c>
      <c r="D182" t="str">
        <f t="shared" si="17"/>
        <v/>
      </c>
      <c r="E182" t="s">
        <v>216</v>
      </c>
    </row>
    <row r="183" spans="1:5" x14ac:dyDescent="0.2">
      <c r="A183" cm="1">
        <f t="array" ref="A183">P!A145/2^-52</f>
        <v>-8</v>
      </c>
      <c r="B183">
        <f t="shared" si="15"/>
        <v>0</v>
      </c>
      <c r="C183">
        <f t="shared" si="16"/>
        <v>-8</v>
      </c>
      <c r="D183" t="str">
        <f t="shared" si="17"/>
        <v/>
      </c>
      <c r="E183" t="s">
        <v>217</v>
      </c>
    </row>
    <row r="184" spans="1:5" x14ac:dyDescent="0.2">
      <c r="A184" cm="1">
        <f t="array" ref="A184">P!A146/2^-52</f>
        <v>-9</v>
      </c>
      <c r="B184">
        <f t="shared" si="15"/>
        <v>0</v>
      </c>
      <c r="C184">
        <f t="shared" si="16"/>
        <v>-9</v>
      </c>
      <c r="D184" t="str">
        <f t="shared" si="17"/>
        <v/>
      </c>
      <c r="E184" t="s">
        <v>218</v>
      </c>
    </row>
    <row r="185" spans="1:5" x14ac:dyDescent="0.2">
      <c r="A185" cm="1">
        <f t="array" ref="A185">P!A147/2^-52</f>
        <v>-16</v>
      </c>
      <c r="B185">
        <f t="shared" si="15"/>
        <v>0</v>
      </c>
      <c r="C185">
        <f t="shared" si="16"/>
        <v>-16</v>
      </c>
      <c r="D185" t="str">
        <f t="shared" si="17"/>
        <v/>
      </c>
      <c r="E185" t="s">
        <v>219</v>
      </c>
    </row>
    <row r="186" spans="1:5" x14ac:dyDescent="0.2">
      <c r="A186" cm="1">
        <f t="array" ref="A186">P!A148/2^-52</f>
        <v>0</v>
      </c>
      <c r="B186">
        <f t="shared" si="15"/>
        <v>0</v>
      </c>
      <c r="C186">
        <f t="shared" si="16"/>
        <v>0</v>
      </c>
      <c r="D186" t="str">
        <f t="shared" si="17"/>
        <v/>
      </c>
      <c r="E186" t="s">
        <v>220</v>
      </c>
    </row>
    <row r="187" spans="1:5" x14ac:dyDescent="0.2">
      <c r="A187" cm="1">
        <f t="array" ref="A187">P!A149/2^-52</f>
        <v>8</v>
      </c>
      <c r="B187">
        <f t="shared" si="15"/>
        <v>0</v>
      </c>
      <c r="C187">
        <f t="shared" si="16"/>
        <v>8</v>
      </c>
      <c r="D187" t="str">
        <f t="shared" si="17"/>
        <v/>
      </c>
      <c r="E187" t="s">
        <v>221</v>
      </c>
    </row>
    <row r="188" spans="1:5" x14ac:dyDescent="0.2">
      <c r="A188" cm="1">
        <f t="array" ref="A188">P!A150/2^-52</f>
        <v>9</v>
      </c>
      <c r="B188">
        <f t="shared" si="15"/>
        <v>0</v>
      </c>
      <c r="C188">
        <f t="shared" si="16"/>
        <v>9</v>
      </c>
      <c r="D188" t="str">
        <f t="shared" si="17"/>
        <v/>
      </c>
      <c r="E188" t="s">
        <v>222</v>
      </c>
    </row>
    <row r="189" spans="1:5" x14ac:dyDescent="0.2">
      <c r="A189" cm="1">
        <f t="array" ref="A189">P!A151/2^-52</f>
        <v>16</v>
      </c>
      <c r="B189">
        <f t="shared" si="15"/>
        <v>0</v>
      </c>
      <c r="C189">
        <f t="shared" si="16"/>
        <v>16</v>
      </c>
      <c r="D189" t="str">
        <f t="shared" si="17"/>
        <v/>
      </c>
      <c r="E189" t="s">
        <v>223</v>
      </c>
    </row>
    <row r="190" spans="1:5" x14ac:dyDescent="0.2">
      <c r="A190" t="s">
        <v>224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2026-10-12T19:27:44Z</dcterms:created>
  <dcterms:modified xsi:type="dcterms:W3CDTF">2026-10-12T19:27:44Z</dcterms:modified>
  <cp:category/>
</cp:coreProperties>
</file>