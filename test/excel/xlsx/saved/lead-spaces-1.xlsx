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D922724-ABF5-BD44-AE26-4E3965DA999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3" l="1" a="1"/>
  <c r="A91" i="3" s="1"/>
  <c r="A90" i="3" a="1"/>
  <c r="A90" i="3" s="1"/>
  <c r="D90" i="3" s="1"/>
  <c r="A89" i="3" a="1"/>
  <c r="A89" i="3"/>
  <c r="C89" i="3" s="1"/>
  <c r="A88" i="3" a="1"/>
  <c r="A88" i="3" s="1"/>
  <c r="A87" i="3" a="1"/>
  <c r="A87" i="3" s="1"/>
  <c r="A86" i="3" a="1"/>
  <c r="A86" i="3" s="1"/>
  <c r="B86" i="3" s="1"/>
  <c r="A85" i="3" a="1"/>
  <c r="A85" i="3" s="1"/>
  <c r="A84" i="3" a="1"/>
  <c r="A84" i="3" s="1"/>
  <c r="A83" i="3" a="1"/>
  <c r="A83" i="3" s="1"/>
  <c r="D83" i="3" s="1"/>
  <c r="A82" i="3" a="1"/>
  <c r="A82" i="3"/>
  <c r="C82" i="3" s="1"/>
  <c r="A81" i="3" a="1"/>
  <c r="A81" i="3" s="1"/>
  <c r="A80" i="3" a="1"/>
  <c r="A80" i="3" s="1"/>
  <c r="A79" i="3" a="1"/>
  <c r="A79" i="3" s="1"/>
  <c r="D79" i="3" s="1"/>
  <c r="A78" i="3" a="1"/>
  <c r="A78" i="3"/>
  <c r="D78" i="3" s="1"/>
  <c r="A77" i="3" a="1"/>
  <c r="A77" i="3" s="1"/>
  <c r="A76" i="3" a="1"/>
  <c r="A76" i="3" s="1"/>
  <c r="D76" i="3" s="1"/>
  <c r="A75" i="3" a="1"/>
  <c r="A75" i="3" s="1"/>
  <c r="C75" i="3" s="1"/>
  <c r="A74" i="3" a="1"/>
  <c r="A74" i="3"/>
  <c r="D74" i="3" s="1"/>
  <c r="A73" i="3" a="1"/>
  <c r="A73" i="3" s="1"/>
  <c r="A72" i="3" a="1"/>
  <c r="A72" i="3"/>
  <c r="D72" i="3" s="1"/>
  <c r="A71" i="3" a="1"/>
  <c r="A71" i="3"/>
  <c r="D71" i="3" s="1"/>
  <c r="A70" i="3" a="1"/>
  <c r="A70" i="3" s="1"/>
  <c r="A69" i="3" a="1"/>
  <c r="A69" i="3" s="1"/>
  <c r="A68" i="3" a="1"/>
  <c r="A68" i="3" s="1"/>
  <c r="B68" i="3" s="1"/>
  <c r="A67" i="3" a="1"/>
  <c r="A67" i="3" s="1"/>
  <c r="C67" i="3" s="1"/>
  <c r="A66" i="3" a="1"/>
  <c r="A66" i="3" s="1"/>
  <c r="A65" i="3" a="1"/>
  <c r="A65" i="3" s="1"/>
  <c r="A64" i="3" a="1"/>
  <c r="A64" i="3" s="1"/>
  <c r="C64" i="3" s="1"/>
  <c r="A63" i="3" a="1"/>
  <c r="A63" i="3" s="1"/>
  <c r="A62" i="3" a="1"/>
  <c r="A62" i="3" s="1"/>
  <c r="A61" i="3" a="1"/>
  <c r="A61" i="3"/>
  <c r="C61" i="3" s="1"/>
  <c r="A60" i="3" a="1"/>
  <c r="A60" i="3"/>
  <c r="C60" i="3" s="1"/>
  <c r="A59" i="3" a="1"/>
  <c r="A59" i="3" s="1"/>
  <c r="A58" i="3" a="1"/>
  <c r="A58" i="3" s="1"/>
  <c r="D58" i="3" s="1"/>
  <c r="A57" i="3" a="1"/>
  <c r="A57" i="3" s="1"/>
  <c r="A56" i="3" a="1"/>
  <c r="A56" i="3" s="1"/>
  <c r="D56" i="3" s="1"/>
  <c r="A55" i="3" a="1"/>
  <c r="A55" i="3" s="1"/>
  <c r="D55" i="3" s="1"/>
  <c r="A54" i="3" a="1"/>
  <c r="A54" i="3"/>
  <c r="D54" i="3" s="1"/>
  <c r="A53" i="3" a="1"/>
  <c r="A53" i="3"/>
  <c r="D53" i="3" s="1"/>
  <c r="A52" i="3" a="1"/>
  <c r="A52" i="3" s="1"/>
  <c r="A51" i="3" a="1"/>
  <c r="A51" i="3" s="1"/>
  <c r="A50" i="3" a="1"/>
  <c r="A50" i="3"/>
  <c r="D50" i="3" s="1"/>
  <c r="A49" i="3" a="1"/>
  <c r="A49" i="3"/>
  <c r="B49" i="3" s="1"/>
  <c r="A48" i="3" a="1"/>
  <c r="A48" i="3" s="1"/>
  <c r="A47" i="3" a="1"/>
  <c r="A47" i="3" s="1"/>
  <c r="A46" i="3" a="1"/>
  <c r="A46" i="3" s="1"/>
  <c r="D46" i="3" s="1"/>
  <c r="A45" i="3" a="1"/>
  <c r="A45" i="3" s="1"/>
  <c r="A44" i="3" a="1"/>
  <c r="A44" i="3" s="1"/>
  <c r="A43" i="3" a="1"/>
  <c r="A43" i="3"/>
  <c r="C43" i="3" s="1"/>
  <c r="A42" i="3" a="1"/>
  <c r="A42" i="3"/>
  <c r="B42" i="3" s="1"/>
  <c r="D41" i="3"/>
  <c r="C41" i="3"/>
  <c r="A41" i="3" a="1"/>
  <c r="A41" i="3"/>
  <c r="B41" i="3" s="1"/>
  <c r="A40" i="3" a="1"/>
  <c r="A40" i="3"/>
  <c r="C40" i="3" s="1"/>
  <c r="A39" i="3" a="1"/>
  <c r="A39" i="3"/>
  <c r="B39" i="3" s="1"/>
  <c r="A38" i="3" a="1"/>
  <c r="A38" i="3"/>
  <c r="B38" i="3" s="1"/>
  <c r="A37" i="3" a="1"/>
  <c r="A37" i="3" s="1"/>
  <c r="D37" i="3" s="1"/>
  <c r="A36" i="3" a="1"/>
  <c r="A36" i="3" s="1"/>
  <c r="B36" i="3" s="1"/>
  <c r="A35" i="3" a="1"/>
  <c r="A35" i="3"/>
  <c r="D35" i="3" s="1"/>
  <c r="A34" i="3" a="1"/>
  <c r="A34" i="3" s="1"/>
  <c r="A33" i="3" a="1"/>
  <c r="A33" i="3" s="1"/>
  <c r="A32" i="3" a="1"/>
  <c r="A32" i="3" s="1"/>
  <c r="D32" i="3" s="1"/>
  <c r="A31" i="3" a="1"/>
  <c r="A31" i="3" s="1"/>
  <c r="D31" i="3" s="1"/>
  <c r="A30" i="3" a="1"/>
  <c r="A30" i="3"/>
  <c r="C30" i="3" s="1"/>
  <c r="A29" i="3" a="1"/>
  <c r="A29" i="3" s="1"/>
  <c r="D29" i="3" s="1"/>
  <c r="A28" i="3" a="1"/>
  <c r="A28" i="3"/>
  <c r="C28" i="3" s="1"/>
  <c r="A27" i="3" a="1"/>
  <c r="A27" i="3" s="1"/>
  <c r="A26" i="3" a="1"/>
  <c r="A26" i="3" s="1"/>
  <c r="A25" i="3" a="1"/>
  <c r="A25" i="3" s="1"/>
  <c r="C25" i="3" s="1"/>
  <c r="A24" i="3" a="1"/>
  <c r="A24" i="3"/>
  <c r="D24" i="3" s="1"/>
  <c r="A23" i="3" a="1"/>
  <c r="A23" i="3" s="1"/>
  <c r="A22" i="3" a="1"/>
  <c r="A22" i="3"/>
  <c r="D22" i="3" s="1"/>
  <c r="A21" i="3" a="1"/>
  <c r="A21" i="3"/>
  <c r="D21" i="3" s="1"/>
  <c r="A20" i="3" a="1"/>
  <c r="A20" i="3" s="1"/>
  <c r="D20" i="3" s="1"/>
  <c r="A19" i="3" a="1"/>
  <c r="A19" i="3"/>
  <c r="D19" i="3" s="1"/>
  <c r="A18" i="3" a="1"/>
  <c r="A18" i="3"/>
  <c r="D18" i="3" s="1"/>
  <c r="A17" i="3" a="1"/>
  <c r="A17" i="3" s="1"/>
  <c r="B17" i="3" s="1"/>
  <c r="A16" i="3" a="1"/>
  <c r="A16" i="3" s="1"/>
  <c r="A15" i="3" a="1"/>
  <c r="A15" i="3"/>
  <c r="D15" i="3" s="1"/>
  <c r="A14" i="3" a="1"/>
  <c r="A14" i="3" s="1"/>
  <c r="D14" i="3" s="1"/>
  <c r="A13" i="3" a="1"/>
  <c r="A13" i="3"/>
  <c r="B13" i="3" s="1"/>
  <c r="A12" i="3" a="1"/>
  <c r="A12" i="3"/>
  <c r="C12" i="3" s="1"/>
  <c r="A11" i="3" a="1"/>
  <c r="A11" i="3" s="1"/>
  <c r="A10" i="3" a="1"/>
  <c r="A10" i="3"/>
  <c r="C10" i="3" s="1"/>
  <c r="A9" i="3" a="1"/>
  <c r="A9" i="3" s="1"/>
  <c r="A8" i="3" a="1"/>
  <c r="A8" i="3" s="1"/>
  <c r="A7" i="3" a="1"/>
  <c r="A7" i="3" s="1"/>
  <c r="D7" i="3" s="1"/>
  <c r="A6" i="3" a="1"/>
  <c r="A6" i="3"/>
  <c r="B6" i="3" s="1"/>
  <c r="A5" i="3" a="1"/>
  <c r="A5" i="3" s="1"/>
  <c r="A4" i="3" a="1"/>
  <c r="A4" i="3"/>
  <c r="D4" i="3" s="1"/>
  <c r="A3" i="3" a="1"/>
  <c r="A3" i="3"/>
  <c r="B3" i="3" s="1"/>
  <c r="A2" i="3" a="1"/>
  <c r="A2" i="3" s="1"/>
  <c r="D2" i="3" s="1"/>
  <c r="A1" i="3" a="1"/>
  <c r="A1" i="3" s="1"/>
  <c r="D1" i="3" s="1"/>
  <c r="I15" i="2"/>
  <c r="A14" i="2"/>
  <c r="A13" i="2"/>
  <c r="AL10" i="2"/>
  <c r="A8" i="2"/>
  <c r="A7" i="2"/>
  <c r="E3" i="2"/>
  <c r="B77" i="3" l="1"/>
  <c r="D77" i="3"/>
  <c r="C77" i="3"/>
  <c r="B5" i="3"/>
  <c r="C5" i="3"/>
  <c r="D5" i="3"/>
  <c r="B59" i="3"/>
  <c r="D59" i="3"/>
  <c r="C59" i="3"/>
  <c r="D80" i="3"/>
  <c r="B80" i="3"/>
  <c r="B23" i="3"/>
  <c r="D23" i="3"/>
  <c r="C23" i="3"/>
  <c r="C48" i="3"/>
  <c r="D48" i="3"/>
  <c r="C66" i="3"/>
  <c r="D66" i="3"/>
  <c r="D30" i="3"/>
  <c r="D12" i="3"/>
  <c r="C52" i="3"/>
  <c r="D52" i="3"/>
  <c r="B52" i="3"/>
  <c r="C33" i="3"/>
  <c r="D33" i="3"/>
  <c r="B33" i="3"/>
  <c r="B62" i="3"/>
  <c r="D62" i="3"/>
  <c r="C62" i="3"/>
  <c r="B16" i="3"/>
  <c r="D16" i="3"/>
  <c r="C16" i="3"/>
  <c r="D63" i="3"/>
  <c r="C63" i="3"/>
  <c r="B63" i="3"/>
  <c r="B45" i="3"/>
  <c r="C45" i="3"/>
  <c r="D45" i="3"/>
  <c r="B57" i="3"/>
  <c r="C57" i="3"/>
  <c r="D57" i="3"/>
  <c r="D11" i="3"/>
  <c r="C11" i="3"/>
  <c r="B11" i="3"/>
  <c r="B34" i="3"/>
  <c r="C34" i="3"/>
  <c r="D34" i="3"/>
  <c r="D26" i="3"/>
  <c r="C26" i="3"/>
  <c r="B26" i="3"/>
  <c r="D65" i="3"/>
  <c r="C65" i="3"/>
  <c r="B65" i="3"/>
  <c r="C9" i="3"/>
  <c r="B9" i="3"/>
  <c r="D9" i="3"/>
  <c r="C87" i="3"/>
  <c r="D87" i="3"/>
  <c r="B87" i="3"/>
  <c r="D73" i="3"/>
  <c r="C73" i="3"/>
  <c r="B73" i="3"/>
  <c r="D44" i="3"/>
  <c r="C44" i="3"/>
  <c r="B44" i="3"/>
  <c r="D8" i="3"/>
  <c r="C8" i="3"/>
  <c r="B8" i="3"/>
  <c r="C27" i="3"/>
  <c r="B27" i="3"/>
  <c r="D27" i="3"/>
  <c r="C88" i="3"/>
  <c r="B88" i="3"/>
  <c r="D88" i="3"/>
  <c r="C70" i="3"/>
  <c r="B70" i="3"/>
  <c r="D70" i="3"/>
  <c r="C81" i="3"/>
  <c r="D81" i="3"/>
  <c r="B81" i="3"/>
  <c r="C84" i="3"/>
  <c r="B84" i="3"/>
  <c r="D84" i="3"/>
  <c r="D85" i="3"/>
  <c r="B85" i="3"/>
  <c r="C85" i="3"/>
  <c r="D47" i="3"/>
  <c r="C47" i="3"/>
  <c r="B47" i="3"/>
  <c r="C69" i="3"/>
  <c r="D69" i="3"/>
  <c r="B69" i="3"/>
  <c r="D51" i="3"/>
  <c r="C51" i="3"/>
  <c r="B51" i="3"/>
  <c r="D91" i="3"/>
  <c r="C91" i="3"/>
  <c r="B91" i="3"/>
  <c r="B56" i="3"/>
  <c r="B60" i="3"/>
  <c r="B35" i="3"/>
  <c r="D67" i="3"/>
  <c r="C35" i="3"/>
  <c r="D64" i="3"/>
  <c r="B7" i="3"/>
  <c r="C14" i="3"/>
  <c r="B25" i="3"/>
  <c r="C32" i="3"/>
  <c r="D39" i="3"/>
  <c r="B43" i="3"/>
  <c r="C50" i="3"/>
  <c r="B61" i="3"/>
  <c r="C68" i="3"/>
  <c r="D75" i="3"/>
  <c r="B79" i="3"/>
  <c r="C86" i="3"/>
  <c r="C56" i="3"/>
  <c r="C49" i="3"/>
  <c r="B78" i="3"/>
  <c r="D60" i="3"/>
  <c r="C71" i="3"/>
  <c r="B82" i="3"/>
  <c r="B21" i="3"/>
  <c r="C46" i="3"/>
  <c r="C39" i="3"/>
  <c r="B50" i="3"/>
  <c r="B18" i="3"/>
  <c r="D68" i="3"/>
  <c r="B72" i="3"/>
  <c r="C79" i="3"/>
  <c r="D86" i="3"/>
  <c r="B90" i="3"/>
  <c r="C2" i="3"/>
  <c r="C20" i="3"/>
  <c r="C13" i="3"/>
  <c r="B46" i="3"/>
  <c r="B64" i="3"/>
  <c r="D28" i="3"/>
  <c r="D3" i="3"/>
  <c r="C7" i="3"/>
  <c r="C18" i="3"/>
  <c r="D25" i="3"/>
  <c r="B29" i="3"/>
  <c r="C36" i="3"/>
  <c r="D43" i="3"/>
  <c r="C54" i="3"/>
  <c r="D61" i="3"/>
  <c r="C72" i="3"/>
  <c r="B83" i="3"/>
  <c r="C90" i="3"/>
  <c r="D6" i="3"/>
  <c r="C17" i="3"/>
  <c r="B28" i="3"/>
  <c r="C53" i="3"/>
  <c r="D17" i="3"/>
  <c r="B75" i="3"/>
  <c r="D82" i="3"/>
  <c r="B54" i="3"/>
  <c r="B22" i="3"/>
  <c r="C29" i="3"/>
  <c r="D36" i="3"/>
  <c r="B40" i="3"/>
  <c r="B58" i="3"/>
  <c r="B76" i="3"/>
  <c r="C83" i="3"/>
  <c r="C74" i="3"/>
  <c r="D13" i="3"/>
  <c r="C24" i="3"/>
  <c r="B53" i="3"/>
  <c r="B71" i="3"/>
  <c r="D89" i="3"/>
  <c r="B14" i="3"/>
  <c r="B32" i="3"/>
  <c r="C76" i="3"/>
  <c r="B20" i="3"/>
  <c r="C6" i="3"/>
  <c r="C42" i="3"/>
  <c r="C3" i="3"/>
  <c r="C21" i="3"/>
  <c r="B4" i="3"/>
  <c r="C4" i="3"/>
  <c r="B15" i="3"/>
  <c r="C22" i="3"/>
  <c r="C15" i="3"/>
  <c r="B74" i="3"/>
  <c r="C38" i="3"/>
  <c r="B67" i="3"/>
  <c r="B24" i="3"/>
  <c r="D38" i="3"/>
  <c r="D49" i="3"/>
  <c r="C78" i="3"/>
  <c r="D42" i="3"/>
  <c r="D10" i="3"/>
  <c r="B2" i="3"/>
  <c r="B31" i="3"/>
  <c r="C31" i="3"/>
  <c r="B89" i="3"/>
  <c r="C58" i="3"/>
  <c r="D40" i="3"/>
  <c r="B1" i="3"/>
  <c r="B19" i="3"/>
  <c r="B37" i="3"/>
  <c r="B55" i="3"/>
  <c r="C80" i="3"/>
  <c r="C1" i="3"/>
  <c r="B12" i="3"/>
  <c r="C19" i="3"/>
  <c r="B30" i="3"/>
  <c r="C37" i="3"/>
  <c r="B48" i="3"/>
  <c r="C55" i="3"/>
  <c r="B66" i="3"/>
  <c r="B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<sst xmlns="http://schemas.openxmlformats.org/spreadsheetml/2006/main" count="154" uniqueCount="131">
  <si>
    <t xml:space="preserve"> 2025-01-31</t>
  </si>
  <si>
    <t xml:space="preserve"> 5</t>
  </si>
  <si>
    <t xml:space="preserve"> 6:30</t>
  </si>
  <si>
    <t xml:space="preserve">2025-01-31 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</si>
  <si>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</si>
  <si>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</si>
  <si>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</si>
  <si>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</si>
  <si>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</si>
  <si>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</si>
  <si>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</si>
  <si>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</si>
  <si>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</si>
  <si>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</si>
  <si>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</si>
  <si>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</si>
  <si>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</si>
  <si>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</si>
  <si>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</si>
  <si>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</si>
  <si>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</si>
  <si>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</si>
  <si>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</si>
  <si>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</si>
  <si>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</si>
  <si>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</si>
  <si>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</si>
  <si>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</si>
  <si>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</si>
  <si>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</si>
  <si>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</si>
  <si>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</si>
  <si>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</si>
  <si>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</si>
  <si>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</si>
  <si>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</si>
  <si>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</si>
  <si>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</si>
  <si>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</si>
  <si>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DAY#1</t>
  </si>
  <si>
    <t>DAY#2</t>
  </si>
  <si>
    <t>DAY#3</t>
  </si>
  <si>
    <t>MONTH#1</t>
  </si>
  <si>
    <t>MONTH#2</t>
  </si>
  <si>
    <t>MONTH#3</t>
  </si>
  <si>
    <t>YEAR#1</t>
  </si>
  <si>
    <t>YEAR#2</t>
  </si>
  <si>
    <t>YEAR#3</t>
  </si>
  <si>
    <t>WEEKDAY#1</t>
  </si>
  <si>
    <t>WEEKDAY#2</t>
  </si>
  <si>
    <t>WEEKDAY#3</t>
  </si>
  <si>
    <t>ISOWEEKNUM#1</t>
  </si>
  <si>
    <t>ISOWEEKNUM#2</t>
  </si>
  <si>
    <t>ISOWEEKNUM#3</t>
  </si>
  <si>
    <t>WEEKNUM#1</t>
  </si>
  <si>
    <t>WEEKNUM#2</t>
  </si>
  <si>
    <t>WEEKNUM#3</t>
  </si>
  <si>
    <t>DATEVALUE#1</t>
  </si>
  <si>
    <t>DATEVALUE#2</t>
  </si>
  <si>
    <t>DATEVALUE#3</t>
  </si>
  <si>
    <t>VALUE#1</t>
  </si>
  <si>
    <t>VALUE#2</t>
  </si>
  <si>
    <t>VALUE#3</t>
  </si>
  <si>
    <t>ABS#1</t>
  </si>
  <si>
    <t>ABS#2</t>
  </si>
  <si>
    <t>ABS#3</t>
  </si>
  <si>
    <t>N#1</t>
  </si>
  <si>
    <t>N#2</t>
  </si>
  <si>
    <t>N#3</t>
  </si>
  <si>
    <t>INT#1</t>
  </si>
  <si>
    <t>INT#2</t>
  </si>
  <si>
    <t>INT#3</t>
  </si>
  <si>
    <t>HOUR#1</t>
  </si>
  <si>
    <t>HOUR#2</t>
  </si>
  <si>
    <t>MINUTE#1</t>
  </si>
  <si>
    <t>MINUTE#2</t>
  </si>
  <si>
    <t>SECOND#1</t>
  </si>
  <si>
    <t>SECOND#2</t>
  </si>
  <si>
    <t>TIMEVALUE#1</t>
  </si>
  <si>
    <t>TIMEVALUE#2</t>
  </si>
  <si>
    <t>VALUE#4</t>
  </si>
  <si>
    <t>VALUE#5</t>
  </si>
  <si>
    <t>ABS#4</t>
  </si>
  <si>
    <t>ABS#5</t>
  </si>
  <si>
    <t>DAYS#1</t>
  </si>
  <si>
    <t>DAYS#2</t>
  </si>
  <si>
    <t>DATEDIF#1</t>
  </si>
  <si>
    <t>DAYS360#1</t>
  </si>
  <si>
    <t>EDATE#1</t>
  </si>
  <si>
    <t>EOMONTH#1</t>
  </si>
  <si>
    <t>NETWORKDAYS#1</t>
  </si>
  <si>
    <t>WORKDAY#1</t>
  </si>
  <si>
    <t>YEARFRAC#1</t>
  </si>
  <si>
    <t>operators#1</t>
  </si>
  <si>
    <t>operators#2</t>
  </si>
  <si>
    <t>TEXT#1</t>
  </si>
  <si>
    <t>DATE#1</t>
  </si>
  <si>
    <t>DAYS#3</t>
  </si>
  <si>
    <t>DAYS#4</t>
  </si>
  <si>
    <t>DATEDIF#2</t>
  </si>
  <si>
    <t>DAYS360#2</t>
  </si>
  <si>
    <t>EDATE#2</t>
  </si>
  <si>
    <t>EOMONTH#2</t>
  </si>
  <si>
    <t>NETWORKDAYS#2</t>
  </si>
  <si>
    <t>WORKDAY#2</t>
  </si>
  <si>
    <t>YEARFRAC#2</t>
  </si>
  <si>
    <t>operators#3</t>
  </si>
  <si>
    <t>operators#4</t>
  </si>
  <si>
    <t>TEXT#2</t>
  </si>
  <si>
    <t>DATE#2</t>
  </si>
  <si>
    <t>operators#5</t>
  </si>
  <si>
    <t>operators#6</t>
  </si>
  <si>
    <t>operators#7</t>
  </si>
  <si>
    <t>operators#8</t>
  </si>
  <si>
    <t>operators#9</t>
  </si>
  <si>
    <t>operators#10</t>
  </si>
  <si>
    <t>operators#11</t>
  </si>
  <si>
    <t>operators#12</t>
  </si>
  <si>
    <t>ABS#6</t>
  </si>
  <si>
    <t>ABS#7</t>
  </si>
  <si>
    <t>ABS#8</t>
  </si>
  <si>
    <t>TIMEVALUE#3</t>
  </si>
  <si>
    <t>COUNTIF#1</t>
  </si>
  <si>
    <t>COUNTIF#2</t>
  </si>
  <si>
    <t>COUNTIF#3</t>
  </si>
  <si>
    <t>COUNTIF#4</t>
  </si>
  <si>
    <t>COUNTIF#5</t>
  </si>
  <si>
    <t>COUNTIF#6</t>
  </si>
  <si>
    <t>COUNTIF#7</t>
  </si>
  <si>
    <t>COUNTIF#8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</si>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</sst>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5</v>
      </c>
      <c r="N1">
        <v>10</v>
      </c>
      <c r="P1">
        <v>1</v>
      </c>
      <c r="Q1">
        <v>2</v>
      </c>
      <c r="R1">
        <v>5</v>
      </c>
      <c r="S1">
        <v>6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AA1" t="s">
        <v>6</v>
      </c>
      <c r="AB1" t="s">
        <v>7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11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11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5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DAY(" 2025-01-31")</f>
        <v>#VALUE!</v>
      </c>
      <c r="B1">
        <f t="shared" ref="B1:B32" si="0">IF(ISERROR(A1),ERROR.TYPE(A1),IF(ISNUMBER(A1),0,IF(ISLOGICAL(A1),IF(A1,-1,-2),IF(ISTEXT(A1),-3,-4))))</f>
        <v>3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39</v>
      </c>
    </row>
    <row r="2" spans="1:5" x14ac:dyDescent="0.2">
      <c r="A2" cm="1">
        <f t="array" ref="A2">DAY("2025-01-31 ")</f>
        <v>31</v>
      </c>
      <c r="B2">
        <f t="shared" si="0"/>
        <v>0</v>
      </c>
      <c r="C2">
        <f t="shared" si="1"/>
        <v>31</v>
      </c>
      <c r="D2" t="str">
        <f t="shared" si="2"/>
        <v/>
      </c>
      <c r="E2" t="s">
        <v>40</v>
      </c>
    </row>
    <row r="3" spans="1:5" x14ac:dyDescent="0.2">
      <c r="A3" t="e" cm="1">
        <f t="array" ref="A3">DAY("  2025-01-31")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t="e" cm="1">
        <f t="array" ref="A4">MONTH(" 2025-01-31")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42</v>
      </c>
    </row>
    <row r="5" spans="1:5" x14ac:dyDescent="0.2">
      <c r="A5" cm="1">
        <f t="array" ref="A5">MONTH("2025-01-31 ")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43</v>
      </c>
    </row>
    <row r="6" spans="1:5" x14ac:dyDescent="0.2">
      <c r="A6" t="e" cm="1">
        <f t="array" ref="A6">MONTH("  2025-01-31")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44</v>
      </c>
    </row>
    <row r="7" spans="1:5" x14ac:dyDescent="0.2">
      <c r="A7" t="e" cm="1">
        <f t="array" ref="A7">YEAR(" 2025-01-31")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45</v>
      </c>
    </row>
    <row r="8" spans="1:5" x14ac:dyDescent="0.2">
      <c r="A8" cm="1">
        <f t="array" ref="A8">YEAR("2025-01-31 ")</f>
        <v>2025</v>
      </c>
      <c r="B8">
        <f t="shared" si="0"/>
        <v>0</v>
      </c>
      <c r="C8">
        <f t="shared" si="1"/>
        <v>2025</v>
      </c>
      <c r="D8" t="str">
        <f t="shared" si="2"/>
        <v/>
      </c>
      <c r="E8" t="s">
        <v>46</v>
      </c>
    </row>
    <row r="9" spans="1:5" x14ac:dyDescent="0.2">
      <c r="A9" t="e" cm="1">
        <f t="array" ref="A9">YEAR("  2025-01-31")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47</v>
      </c>
    </row>
    <row r="10" spans="1:5" x14ac:dyDescent="0.2">
      <c r="A10" t="e" cm="1">
        <f t="array" ref="A10">WEEKDAY(" 2025-01-31")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cm="1">
        <f t="array" ref="A11">WEEKDAY("2025-01-31 ")</f>
        <v>6</v>
      </c>
      <c r="B11">
        <f t="shared" si="0"/>
        <v>0</v>
      </c>
      <c r="C11">
        <f t="shared" si="1"/>
        <v>6</v>
      </c>
      <c r="D11" t="str">
        <f t="shared" si="2"/>
        <v/>
      </c>
      <c r="E11" t="s">
        <v>49</v>
      </c>
    </row>
    <row r="12" spans="1:5" x14ac:dyDescent="0.2">
      <c r="A12" t="e" cm="1">
        <f t="array" ref="A12">WEEKDAY("  2025-01-31")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50</v>
      </c>
    </row>
    <row r="13" spans="1:5" x14ac:dyDescent="0.2">
      <c r="A13" t="e" cm="1">
        <f t="array" ref="A13">_xlfn.ISOWEEKNUM(" 2025-01-31")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cm="1">
        <f t="array" ref="A14">_xlfn.ISOWEEKNUM("2025-01-31 ")</f>
        <v>5</v>
      </c>
      <c r="B14">
        <f t="shared" si="0"/>
        <v>0</v>
      </c>
      <c r="C14">
        <f t="shared" si="1"/>
        <v>5</v>
      </c>
      <c r="D14" t="str">
        <f t="shared" si="2"/>
        <v/>
      </c>
      <c r="E14" t="s">
        <v>52</v>
      </c>
    </row>
    <row r="15" spans="1:5" x14ac:dyDescent="0.2">
      <c r="A15" t="e" cm="1">
        <f t="array" ref="A15">_xlfn.ISOWEEKNUM("  2025-01-31")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53</v>
      </c>
    </row>
    <row r="16" spans="1:5" x14ac:dyDescent="0.2">
      <c r="A16" t="e" cm="1">
        <f t="array" ref="A16">WEEKNUM(" 2025-01-31")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54</v>
      </c>
    </row>
    <row r="17" spans="1:5" x14ac:dyDescent="0.2">
      <c r="A17" cm="1">
        <f t="array" ref="A17">WEEKNUM("2025-01-31 ")</f>
        <v>5</v>
      </c>
      <c r="B17">
        <f t="shared" si="0"/>
        <v>0</v>
      </c>
      <c r="C17">
        <f t="shared" si="1"/>
        <v>5</v>
      </c>
      <c r="D17" t="str">
        <f t="shared" si="2"/>
        <v/>
      </c>
      <c r="E17" t="s">
        <v>55</v>
      </c>
    </row>
    <row r="18" spans="1:5" x14ac:dyDescent="0.2">
      <c r="A18" t="e" cm="1">
        <f t="array" ref="A18">WEEKNUM("  2025-01-31")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56</v>
      </c>
    </row>
    <row r="19" spans="1:5" x14ac:dyDescent="0.2">
      <c r="A19" cm="1">
        <f t="array" ref="A19">DATEVALUE(" 2025-01-31")</f>
        <v>45688</v>
      </c>
      <c r="B19">
        <f t="shared" si="0"/>
        <v>0</v>
      </c>
      <c r="C19">
        <f t="shared" si="1"/>
        <v>45688</v>
      </c>
      <c r="D19" t="str">
        <f t="shared" si="2"/>
        <v/>
      </c>
      <c r="E19" t="s">
        <v>57</v>
      </c>
    </row>
    <row r="20" spans="1:5" x14ac:dyDescent="0.2">
      <c r="A20" cm="1">
        <f t="array" ref="A20">DATEVALUE("2025-01-31 ")</f>
        <v>45688</v>
      </c>
      <c r="B20">
        <f t="shared" si="0"/>
        <v>0</v>
      </c>
      <c r="C20">
        <f t="shared" si="1"/>
        <v>45688</v>
      </c>
      <c r="D20" t="str">
        <f t="shared" si="2"/>
        <v/>
      </c>
      <c r="E20" t="s">
        <v>58</v>
      </c>
    </row>
    <row r="21" spans="1:5" x14ac:dyDescent="0.2">
      <c r="A21" cm="1">
        <f t="array" ref="A21">DATEVALUE("  2025-01-31")</f>
        <v>45688</v>
      </c>
      <c r="B21">
        <f t="shared" si="0"/>
        <v>0</v>
      </c>
      <c r="C21">
        <f t="shared" si="1"/>
        <v>45688</v>
      </c>
      <c r="D21" t="str">
        <f t="shared" si="2"/>
        <v/>
      </c>
      <c r="E21" t="s">
        <v>59</v>
      </c>
    </row>
    <row r="22" spans="1:5" x14ac:dyDescent="0.2">
      <c r="A22" cm="1">
        <f t="array" ref="A22">VALUE(" 2025-01-31")</f>
        <v>45688</v>
      </c>
      <c r="B22">
        <f t="shared" si="0"/>
        <v>0</v>
      </c>
      <c r="C22">
        <f t="shared" si="1"/>
        <v>45688</v>
      </c>
      <c r="D22" t="str">
        <f t="shared" si="2"/>
        <v/>
      </c>
      <c r="E22" t="s">
        <v>60</v>
      </c>
    </row>
    <row r="23" spans="1:5" x14ac:dyDescent="0.2">
      <c r="A23" cm="1">
        <f t="array" ref="A23">VALUE("2025-01-31 ")</f>
        <v>45688</v>
      </c>
      <c r="B23">
        <f t="shared" si="0"/>
        <v>0</v>
      </c>
      <c r="C23">
        <f t="shared" si="1"/>
        <v>45688</v>
      </c>
      <c r="D23" t="str">
        <f t="shared" si="2"/>
        <v/>
      </c>
      <c r="E23" t="s">
        <v>61</v>
      </c>
    </row>
    <row r="24" spans="1:5" x14ac:dyDescent="0.2">
      <c r="A24" cm="1">
        <f t="array" ref="A24">VALUE("  2025-01-31")</f>
        <v>45688</v>
      </c>
      <c r="B24">
        <f t="shared" si="0"/>
        <v>0</v>
      </c>
      <c r="C24">
        <f t="shared" si="1"/>
        <v>45688</v>
      </c>
      <c r="D24" t="str">
        <f t="shared" si="2"/>
        <v/>
      </c>
      <c r="E24" t="s">
        <v>62</v>
      </c>
    </row>
    <row r="25" spans="1:5" x14ac:dyDescent="0.2">
      <c r="A25" t="e" cm="1">
        <f t="array" ref="A25">ABS(" 2025-01-31")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cm="1">
        <f t="array" ref="A26">ABS("2025-01-31 ")</f>
        <v>45688</v>
      </c>
      <c r="B26">
        <f t="shared" si="0"/>
        <v>0</v>
      </c>
      <c r="C26">
        <f t="shared" si="1"/>
        <v>45688</v>
      </c>
      <c r="D26" t="str">
        <f t="shared" si="2"/>
        <v/>
      </c>
      <c r="E26" t="s">
        <v>64</v>
      </c>
    </row>
    <row r="27" spans="1:5" x14ac:dyDescent="0.2">
      <c r="A27" t="e" cm="1">
        <f t="array" ref="A27">ABS("  2025-01-31")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cm="1">
        <f t="array" ref="A28">N(" 2025-01-31")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cm="1">
        <f t="array" ref="A29">N("2025-01-31 ")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cm="1">
        <f t="array" ref="A30">N("  2025-01-31")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68</v>
      </c>
    </row>
    <row r="31" spans="1:5" x14ac:dyDescent="0.2">
      <c r="A31" t="e" cm="1">
        <f t="array" ref="A31">INT(" 2025-01-31")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cm="1">
        <f t="array" ref="A32">INT("2025-01-31 ")</f>
        <v>45688</v>
      </c>
      <c r="B32">
        <f t="shared" si="0"/>
        <v>0</v>
      </c>
      <c r="C32">
        <f t="shared" si="1"/>
        <v>45688</v>
      </c>
      <c r="D32" t="str">
        <f t="shared" si="2"/>
        <v/>
      </c>
      <c r="E32" t="s">
        <v>70</v>
      </c>
    </row>
    <row r="33" spans="1:5" x14ac:dyDescent="0.2">
      <c r="A33" t="e" cm="1">
        <f t="array" ref="A33">INT("  2025-01-31")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71</v>
      </c>
    </row>
    <row r="34" spans="1:5" x14ac:dyDescent="0.2">
      <c r="A34" t="e" cm="1">
        <f t="array" ref="A34">HOUR(" 6:30")</f>
        <v>#VALUE!</v>
      </c>
      <c r="B34">
        <f t="shared" si="3"/>
        <v>3</v>
      </c>
      <c r="C34">
        <f t="shared" si="4"/>
        <v>0</v>
      </c>
      <c r="D34" t="str">
        <f t="shared" si="5"/>
        <v/>
      </c>
      <c r="E34" t="s">
        <v>72</v>
      </c>
    </row>
    <row r="35" spans="1:5" x14ac:dyDescent="0.2">
      <c r="A35" cm="1">
        <f t="array" ref="A35">HOUR("6:30 ")</f>
        <v>6</v>
      </c>
      <c r="B35">
        <f t="shared" si="3"/>
        <v>0</v>
      </c>
      <c r="C35">
        <f t="shared" si="4"/>
        <v>6</v>
      </c>
      <c r="D35" t="str">
        <f t="shared" si="5"/>
        <v/>
      </c>
      <c r="E35" t="s">
        <v>73</v>
      </c>
    </row>
    <row r="36" spans="1:5" x14ac:dyDescent="0.2">
      <c r="A36" t="e" cm="1">
        <f t="array" ref="A36">MINUTE(" 6:30")</f>
        <v>#VALUE!</v>
      </c>
      <c r="B36">
        <f t="shared" si="3"/>
        <v>3</v>
      </c>
      <c r="C36">
        <f t="shared" si="4"/>
        <v>0</v>
      </c>
      <c r="D36" t="str">
        <f t="shared" si="5"/>
        <v/>
      </c>
      <c r="E36" t="s">
        <v>74</v>
      </c>
    </row>
    <row r="37" spans="1:5" x14ac:dyDescent="0.2">
      <c r="A37" cm="1">
        <f t="array" ref="A37">MINUTE("6:30 ")</f>
        <v>30</v>
      </c>
      <c r="B37">
        <f t="shared" si="3"/>
        <v>0</v>
      </c>
      <c r="C37">
        <f t="shared" si="4"/>
        <v>30</v>
      </c>
      <c r="D37" t="str">
        <f t="shared" si="5"/>
        <v/>
      </c>
      <c r="E37" t="s">
        <v>75</v>
      </c>
    </row>
    <row r="38" spans="1:5" x14ac:dyDescent="0.2">
      <c r="A38" t="e" cm="1">
        <f t="array" ref="A38">SECOND(" 6:30")</f>
        <v>#VALUE!</v>
      </c>
      <c r="B38">
        <f t="shared" si="3"/>
        <v>3</v>
      </c>
      <c r="C38">
        <f t="shared" si="4"/>
        <v>0</v>
      </c>
      <c r="D38" t="str">
        <f t="shared" si="5"/>
        <v/>
      </c>
      <c r="E38" t="s">
        <v>76</v>
      </c>
    </row>
    <row r="39" spans="1:5" x14ac:dyDescent="0.2">
      <c r="A39" cm="1">
        <f t="array" ref="A39">SECOND("6:30 ")</f>
        <v>0</v>
      </c>
      <c r="B39">
        <f t="shared" si="3"/>
        <v>0</v>
      </c>
      <c r="C39">
        <f t="shared" si="4"/>
        <v>0</v>
      </c>
      <c r="D39" t="str">
        <f t="shared" si="5"/>
        <v/>
      </c>
      <c r="E39" t="s">
        <v>77</v>
      </c>
    </row>
    <row r="40" spans="1:5" x14ac:dyDescent="0.2">
      <c r="A40" cm="1">
        <f t="array" ref="A40">TIMEVALUE(" 6:30")</f>
        <v>0.27083333333333331</v>
      </c>
      <c r="B40">
        <f t="shared" si="3"/>
        <v>0</v>
      </c>
      <c r="C40">
        <f t="shared" si="4"/>
        <v>0.27083333333333331</v>
      </c>
      <c r="D40" t="str">
        <f t="shared" si="5"/>
        <v/>
      </c>
      <c r="E40" t="s">
        <v>78</v>
      </c>
    </row>
    <row r="41" spans="1:5" x14ac:dyDescent="0.2">
      <c r="A41" cm="1">
        <f t="array" ref="A41">TIMEVALUE("6:30 ")</f>
        <v>0.27083333333333331</v>
      </c>
      <c r="B41">
        <f t="shared" si="3"/>
        <v>0</v>
      </c>
      <c r="C41">
        <f t="shared" si="4"/>
        <v>0.27083333333333331</v>
      </c>
      <c r="D41" t="str">
        <f t="shared" si="5"/>
        <v/>
      </c>
      <c r="E41" t="s">
        <v>79</v>
      </c>
    </row>
    <row r="42" spans="1:5" x14ac:dyDescent="0.2">
      <c r="A42" cm="1">
        <f t="array" ref="A42">VALUE(" 6:30")</f>
        <v>0.27083333333333331</v>
      </c>
      <c r="B42">
        <f t="shared" si="3"/>
        <v>0</v>
      </c>
      <c r="C42">
        <f t="shared" si="4"/>
        <v>0.27083333333333331</v>
      </c>
      <c r="D42" t="str">
        <f t="shared" si="5"/>
        <v/>
      </c>
      <c r="E42" t="s">
        <v>80</v>
      </c>
    </row>
    <row r="43" spans="1:5" x14ac:dyDescent="0.2">
      <c r="A43" cm="1">
        <f t="array" ref="A43">VALUE("6:30 ")</f>
        <v>0.27083333333333331</v>
      </c>
      <c r="B43">
        <f t="shared" si="3"/>
        <v>0</v>
      </c>
      <c r="C43">
        <f t="shared" si="4"/>
        <v>0.27083333333333331</v>
      </c>
      <c r="D43" t="str">
        <f t="shared" si="5"/>
        <v/>
      </c>
      <c r="E43" t="s">
        <v>81</v>
      </c>
    </row>
    <row r="44" spans="1:5" x14ac:dyDescent="0.2">
      <c r="A44" t="e" cm="1">
        <f t="array" ref="A44">ABS(" 6:30")</f>
        <v>#VALUE!</v>
      </c>
      <c r="B44">
        <f t="shared" si="3"/>
        <v>3</v>
      </c>
      <c r="C44">
        <f t="shared" si="4"/>
        <v>0</v>
      </c>
      <c r="D44" t="str">
        <f t="shared" si="5"/>
        <v/>
      </c>
      <c r="E44" t="s">
        <v>82</v>
      </c>
    </row>
    <row r="45" spans="1:5" x14ac:dyDescent="0.2">
      <c r="A45" cm="1">
        <f t="array" ref="A45">ABS("6:30 ")</f>
        <v>0.27083333333333331</v>
      </c>
      <c r="B45">
        <f t="shared" si="3"/>
        <v>0</v>
      </c>
      <c r="C45">
        <f t="shared" si="4"/>
        <v>0.27083333333333331</v>
      </c>
      <c r="D45" t="str">
        <f t="shared" si="5"/>
        <v/>
      </c>
      <c r="E45" t="s">
        <v>83</v>
      </c>
    </row>
    <row r="46" spans="1:5" x14ac:dyDescent="0.2">
      <c r="A46" cm="1">
        <f t="array" ref="A46">_xlfn.DAYS(" 2025-01-31","2025-01-01")</f>
        <v>30</v>
      </c>
      <c r="B46">
        <f t="shared" si="3"/>
        <v>0</v>
      </c>
      <c r="C46">
        <f t="shared" si="4"/>
        <v>30</v>
      </c>
      <c r="D46" t="str">
        <f t="shared" si="5"/>
        <v/>
      </c>
      <c r="E46" t="s">
        <v>84</v>
      </c>
    </row>
    <row r="47" spans="1:5" x14ac:dyDescent="0.2">
      <c r="A47" cm="1">
        <f t="array" ref="A47">_xlfn.DAYS("2025-12-31"," 2025-01-31")</f>
        <v>334</v>
      </c>
      <c r="B47">
        <f t="shared" si="3"/>
        <v>0</v>
      </c>
      <c r="C47">
        <f t="shared" si="4"/>
        <v>334</v>
      </c>
      <c r="D47" t="str">
        <f t="shared" si="5"/>
        <v/>
      </c>
      <c r="E47" t="s">
        <v>85</v>
      </c>
    </row>
    <row r="48" spans="1:5" x14ac:dyDescent="0.2">
      <c r="A48" t="e" cm="1">
        <f t="array" ref="A48">DATEDIF(" 2025-01-31","2025-12-31","d")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86</v>
      </c>
    </row>
    <row r="49" spans="1:5" x14ac:dyDescent="0.2">
      <c r="A49" t="e" cm="1">
        <f t="array" ref="A49">DAYS360(" 2025-01-31","2025-12-31")</f>
        <v>#VALUE!</v>
      </c>
      <c r="B49">
        <f t="shared" si="3"/>
        <v>3</v>
      </c>
      <c r="C49">
        <f t="shared" si="4"/>
        <v>0</v>
      </c>
      <c r="D49" t="str">
        <f t="shared" si="5"/>
        <v/>
      </c>
      <c r="E49" t="s">
        <v>87</v>
      </c>
    </row>
    <row r="50" spans="1:5" x14ac:dyDescent="0.2">
      <c r="A50" t="e" cm="1">
        <f t="array" ref="A50">EDATE(" 2025-01-31",1)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88</v>
      </c>
    </row>
    <row r="51" spans="1:5" x14ac:dyDescent="0.2">
      <c r="A51" t="e" cm="1">
        <f t="array" ref="A51">EOMONTH(" 2025-01-31",0)</f>
        <v>#VALUE!</v>
      </c>
      <c r="B51">
        <f t="shared" si="3"/>
        <v>3</v>
      </c>
      <c r="C51">
        <f t="shared" si="4"/>
        <v>0</v>
      </c>
      <c r="D51" t="str">
        <f t="shared" si="5"/>
        <v/>
      </c>
      <c r="E51" t="s">
        <v>89</v>
      </c>
    </row>
    <row r="52" spans="1:5" x14ac:dyDescent="0.2">
      <c r="A52" t="e" cm="1">
        <f t="array" ref="A52">NETWORKDAYS(" 2025-01-31","2025-12-31")</f>
        <v>#VALUE!</v>
      </c>
      <c r="B52">
        <f t="shared" si="3"/>
        <v>3</v>
      </c>
      <c r="C52">
        <f t="shared" si="4"/>
        <v>0</v>
      </c>
      <c r="D52" t="str">
        <f t="shared" si="5"/>
        <v/>
      </c>
      <c r="E52" t="s">
        <v>90</v>
      </c>
    </row>
    <row r="53" spans="1:5" x14ac:dyDescent="0.2">
      <c r="A53" t="e" cm="1">
        <f t="array" ref="A53">WORKDAY(" 2025-01-31",1)</f>
        <v>#VALUE!</v>
      </c>
      <c r="B53">
        <f t="shared" si="3"/>
        <v>3</v>
      </c>
      <c r="C53">
        <f t="shared" si="4"/>
        <v>0</v>
      </c>
      <c r="D53" t="str">
        <f t="shared" si="5"/>
        <v/>
      </c>
      <c r="E53" t="s">
        <v>91</v>
      </c>
    </row>
    <row r="54" spans="1:5" x14ac:dyDescent="0.2">
      <c r="A54" t="e" cm="1">
        <f t="array" ref="A54">YEARFRAC(" 2025-01-31","2025-12-31")</f>
        <v>#VALUE!</v>
      </c>
      <c r="B54">
        <f t="shared" si="3"/>
        <v>3</v>
      </c>
      <c r="C54">
        <f t="shared" si="4"/>
        <v>0</v>
      </c>
      <c r="D54" t="str">
        <f t="shared" si="5"/>
        <v/>
      </c>
      <c r="E54" t="s">
        <v>92</v>
      </c>
    </row>
    <row r="55" spans="1:5" x14ac:dyDescent="0.2">
      <c r="A55" t="e" cm="1">
        <f t="array" ref="A55">" 2025-01-31"+0</f>
        <v>#VALUE!</v>
      </c>
      <c r="B55">
        <f t="shared" si="3"/>
        <v>3</v>
      </c>
      <c r="C55">
        <f t="shared" si="4"/>
        <v>0</v>
      </c>
      <c r="D55" t="str">
        <f t="shared" si="5"/>
        <v/>
      </c>
      <c r="E55" t="s">
        <v>93</v>
      </c>
    </row>
    <row r="56" spans="1:5" x14ac:dyDescent="0.2">
      <c r="A56" t="b" cm="1">
        <f t="array" ref="A56">" 2025-01-31"=45688</f>
        <v>0</v>
      </c>
      <c r="B56">
        <f t="shared" si="3"/>
        <v>-2</v>
      </c>
      <c r="C56">
        <f t="shared" si="4"/>
        <v>0</v>
      </c>
      <c r="D56" t="str">
        <f t="shared" si="5"/>
        <v/>
      </c>
      <c r="E56" t="s">
        <v>94</v>
      </c>
    </row>
    <row r="57" spans="1:5" x14ac:dyDescent="0.2">
      <c r="A57" t="str" cm="1">
        <f t="array" ref="A57">TEXT(" 2025-01-31","0")</f>
        <v xml:space="preserve"> 2025-01-31</v>
      </c>
      <c r="B57">
        <f t="shared" si="3"/>
        <v>-3</v>
      </c>
      <c r="C57">
        <f t="shared" si="4"/>
        <v>0</v>
      </c>
      <c r="D57" t="str">
        <f t="shared" si="5"/>
        <v xml:space="preserve"> 2025-01-31</v>
      </c>
      <c r="E57" t="s">
        <v>95</v>
      </c>
    </row>
    <row r="58" spans="1:5" x14ac:dyDescent="0.2">
      <c r="A58" cm="1">
        <f t="array" ref="A58">DATE(2025,1," 31")</f>
        <v>45688</v>
      </c>
      <c r="B58">
        <f t="shared" si="3"/>
        <v>0</v>
      </c>
      <c r="C58">
        <f t="shared" si="4"/>
        <v>45688</v>
      </c>
      <c r="D58" t="str">
        <f t="shared" si="5"/>
        <v/>
      </c>
      <c r="E58" t="s">
        <v>96</v>
      </c>
    </row>
    <row r="59" spans="1:5" x14ac:dyDescent="0.2">
      <c r="A59" cm="1">
        <f t="array" ref="A59">_xlfn.DAYS("2025-01-31 ","2025-01-01")</f>
        <v>30</v>
      </c>
      <c r="B59">
        <f t="shared" si="3"/>
        <v>0</v>
      </c>
      <c r="C59">
        <f t="shared" si="4"/>
        <v>30</v>
      </c>
      <c r="D59" t="str">
        <f t="shared" si="5"/>
        <v/>
      </c>
      <c r="E59" t="s">
        <v>97</v>
      </c>
    </row>
    <row r="60" spans="1:5" x14ac:dyDescent="0.2">
      <c r="A60" cm="1">
        <f t="array" ref="A60">_xlfn.DAYS("2025-12-31","2025-01-31 ")</f>
        <v>334</v>
      </c>
      <c r="B60">
        <f t="shared" si="3"/>
        <v>0</v>
      </c>
      <c r="C60">
        <f t="shared" si="4"/>
        <v>334</v>
      </c>
      <c r="D60" t="str">
        <f t="shared" si="5"/>
        <v/>
      </c>
      <c r="E60" t="s">
        <v>98</v>
      </c>
    </row>
    <row r="61" spans="1:5" x14ac:dyDescent="0.2">
      <c r="A61" cm="1">
        <f t="array" ref="A61">DATEDIF("2025-01-31 ","2025-12-31","d")</f>
        <v>334</v>
      </c>
      <c r="B61">
        <f t="shared" si="3"/>
        <v>0</v>
      </c>
      <c r="C61">
        <f t="shared" si="4"/>
        <v>334</v>
      </c>
      <c r="D61" t="str">
        <f t="shared" si="5"/>
        <v/>
      </c>
      <c r="E61" t="s">
        <v>99</v>
      </c>
    </row>
    <row r="62" spans="1:5" x14ac:dyDescent="0.2">
      <c r="A62" cm="1">
        <f t="array" ref="A62">DAYS360("2025-01-31 ","2025-12-31")</f>
        <v>330</v>
      </c>
      <c r="B62">
        <f t="shared" si="3"/>
        <v>0</v>
      </c>
      <c r="C62">
        <f t="shared" si="4"/>
        <v>330</v>
      </c>
      <c r="D62" t="str">
        <f t="shared" si="5"/>
        <v/>
      </c>
      <c r="E62" t="s">
        <v>100</v>
      </c>
    </row>
    <row r="63" spans="1:5" x14ac:dyDescent="0.2">
      <c r="A63" cm="1">
        <f t="array" ref="A63">EDATE("2025-01-31 ",1)</f>
        <v>45716</v>
      </c>
      <c r="B63">
        <f t="shared" si="3"/>
        <v>0</v>
      </c>
      <c r="C63">
        <f t="shared" si="4"/>
        <v>45716</v>
      </c>
      <c r="D63" t="str">
        <f t="shared" si="5"/>
        <v/>
      </c>
      <c r="E63" t="s">
        <v>101</v>
      </c>
    </row>
    <row r="64" spans="1:5" x14ac:dyDescent="0.2">
      <c r="A64" cm="1">
        <f t="array" ref="A64">EOMONTH("2025-01-31 ",0)</f>
        <v>45688</v>
      </c>
      <c r="B64">
        <f t="shared" si="3"/>
        <v>0</v>
      </c>
      <c r="C64">
        <f t="shared" si="4"/>
        <v>45688</v>
      </c>
      <c r="D64" t="str">
        <f t="shared" si="5"/>
        <v/>
      </c>
      <c r="E64" t="s">
        <v>102</v>
      </c>
    </row>
    <row r="65" spans="1:5" x14ac:dyDescent="0.2">
      <c r="A65" cm="1">
        <f t="array" ref="A65">NETWORKDAYS("2025-01-31 ","2025-12-31")</f>
        <v>239</v>
      </c>
      <c r="B65">
        <f t="shared" ref="B65:B96" si="6">IF(ISERROR(A65),ERROR.TYPE(A65),IF(ISNUMBER(A65),0,IF(ISLOGICAL(A65),IF(A65,-1,-2),IF(ISTEXT(A65),-3,-4))))</f>
        <v>0</v>
      </c>
      <c r="C65">
        <f t="shared" ref="C65:C91" si="7">IF(ISNUMBER(A65),A65,0)</f>
        <v>239</v>
      </c>
      <c r="D65" t="str">
        <f t="shared" ref="D65:D91" si="8">IF(ISTEXT(A65),A65,"")</f>
        <v/>
      </c>
      <c r="E65" t="s">
        <v>103</v>
      </c>
    </row>
    <row r="66" spans="1:5" x14ac:dyDescent="0.2">
      <c r="A66" cm="1">
        <f t="array" ref="A66">WORKDAY("2025-01-31 ",1)</f>
        <v>45691</v>
      </c>
      <c r="B66">
        <f t="shared" si="6"/>
        <v>0</v>
      </c>
      <c r="C66">
        <f t="shared" si="7"/>
        <v>45691</v>
      </c>
      <c r="D66" t="str">
        <f t="shared" si="8"/>
        <v/>
      </c>
      <c r="E66" t="s">
        <v>104</v>
      </c>
    </row>
    <row r="67" spans="1:5" x14ac:dyDescent="0.2">
      <c r="A67" cm="1">
        <f t="array" ref="A67">YEARFRAC("2025-01-31 ","2025-12-31")</f>
        <v>0.91666666666666663</v>
      </c>
      <c r="B67">
        <f t="shared" si="6"/>
        <v>0</v>
      </c>
      <c r="C67">
        <f t="shared" si="7"/>
        <v>0.91666666666666663</v>
      </c>
      <c r="D67" t="str">
        <f t="shared" si="8"/>
        <v/>
      </c>
      <c r="E67" t="s">
        <v>105</v>
      </c>
    </row>
    <row r="68" spans="1:5" x14ac:dyDescent="0.2">
      <c r="A68" cm="1">
        <f t="array" ref="A68">"2025-01-31 "+0</f>
        <v>45688</v>
      </c>
      <c r="B68">
        <f t="shared" si="6"/>
        <v>0</v>
      </c>
      <c r="C68">
        <f t="shared" si="7"/>
        <v>45688</v>
      </c>
      <c r="D68" t="str">
        <f t="shared" si="8"/>
        <v/>
      </c>
      <c r="E68" t="s">
        <v>106</v>
      </c>
    </row>
    <row r="69" spans="1:5" x14ac:dyDescent="0.2">
      <c r="A69" t="b" cm="1">
        <f t="array" ref="A69">"2025-01-31 "=45688</f>
        <v>0</v>
      </c>
      <c r="B69">
        <f t="shared" si="6"/>
        <v>-2</v>
      </c>
      <c r="C69">
        <f t="shared" si="7"/>
        <v>0</v>
      </c>
      <c r="D69" t="str">
        <f t="shared" si="8"/>
        <v/>
      </c>
      <c r="E69" t="s">
        <v>107</v>
      </c>
    </row>
    <row r="70" spans="1:5" x14ac:dyDescent="0.2">
      <c r="A70" t="str" cm="1">
        <f t="array" ref="A70">TEXT("2025-01-31 ","0")</f>
        <v>45688</v>
      </c>
      <c r="B70">
        <f t="shared" si="6"/>
        <v>-3</v>
      </c>
      <c r="C70">
        <f t="shared" si="7"/>
        <v>0</v>
      </c>
      <c r="D70" t="str">
        <f t="shared" si="8"/>
        <v>45688</v>
      </c>
      <c r="E70" t="s">
        <v>108</v>
      </c>
    </row>
    <row r="71" spans="1:5" x14ac:dyDescent="0.2">
      <c r="A71" cm="1">
        <f t="array" ref="A71">DATE(2025,1,"31 ")</f>
        <v>45688</v>
      </c>
      <c r="B71">
        <f t="shared" si="6"/>
        <v>0</v>
      </c>
      <c r="C71">
        <f t="shared" si="7"/>
        <v>45688</v>
      </c>
      <c r="D71" t="str">
        <f t="shared" si="8"/>
        <v/>
      </c>
      <c r="E71" t="s">
        <v>109</v>
      </c>
    </row>
    <row r="72" spans="1:5" x14ac:dyDescent="0.2">
      <c r="A72" t="e" cm="1">
        <f t="array" ref="A72">" 6:30"+0</f>
        <v>#VALUE!</v>
      </c>
      <c r="B72">
        <f t="shared" si="6"/>
        <v>3</v>
      </c>
      <c r="C72">
        <f t="shared" si="7"/>
        <v>0</v>
      </c>
      <c r="D72" t="str">
        <f t="shared" si="8"/>
        <v/>
      </c>
      <c r="E72" t="s">
        <v>110</v>
      </c>
    </row>
    <row r="73" spans="1:5" x14ac:dyDescent="0.2">
      <c r="A73" cm="1">
        <f t="array" ref="A73">"6:30 "+0</f>
        <v>0.27083333333333331</v>
      </c>
      <c r="B73">
        <f t="shared" si="6"/>
        <v>0</v>
      </c>
      <c r="C73">
        <f t="shared" si="7"/>
        <v>0.27083333333333331</v>
      </c>
      <c r="D73" t="str">
        <f t="shared" si="8"/>
        <v/>
      </c>
      <c r="E73" t="s">
        <v>111</v>
      </c>
    </row>
    <row r="74" spans="1:5" x14ac:dyDescent="0.2">
      <c r="A74" cm="1">
        <f t="array" ref="A74">" 5"+0</f>
        <v>5</v>
      </c>
      <c r="B74">
        <f t="shared" si="6"/>
        <v>0</v>
      </c>
      <c r="C74">
        <f t="shared" si="7"/>
        <v>5</v>
      </c>
      <c r="D74" t="str">
        <f t="shared" si="8"/>
        <v/>
      </c>
      <c r="E74" t="s">
        <v>112</v>
      </c>
    </row>
    <row r="75" spans="1:5" x14ac:dyDescent="0.2">
      <c r="A75" cm="1">
        <f t="array" ref="A75">"5 "+0</f>
        <v>5</v>
      </c>
      <c r="B75">
        <f t="shared" si="6"/>
        <v>0</v>
      </c>
      <c r="C75">
        <f t="shared" si="7"/>
        <v>5</v>
      </c>
      <c r="D75" t="str">
        <f t="shared" si="8"/>
        <v/>
      </c>
      <c r="E75" t="s">
        <v>113</v>
      </c>
    </row>
    <row r="76" spans="1:5" x14ac:dyDescent="0.2">
      <c r="A76" cm="1">
        <f t="array" ref="A76">"  5"+0</f>
        <v>5</v>
      </c>
      <c r="B76">
        <f t="shared" si="6"/>
        <v>0</v>
      </c>
      <c r="C76">
        <f t="shared" si="7"/>
        <v>5</v>
      </c>
      <c r="D76" t="str">
        <f t="shared" si="8"/>
        <v/>
      </c>
      <c r="E76" t="s">
        <v>114</v>
      </c>
    </row>
    <row r="77" spans="1:5" x14ac:dyDescent="0.2">
      <c r="A77" cm="1">
        <f t="array" ref="A77">" 1E+3"+0</f>
        <v>1000</v>
      </c>
      <c r="B77">
        <f t="shared" si="6"/>
        <v>0</v>
      </c>
      <c r="C77">
        <f t="shared" si="7"/>
        <v>1000</v>
      </c>
      <c r="D77" t="str">
        <f t="shared" si="8"/>
        <v/>
      </c>
      <c r="E77" t="s">
        <v>115</v>
      </c>
    </row>
    <row r="78" spans="1:5" x14ac:dyDescent="0.2">
      <c r="A78" cm="1">
        <f t="array" ref="A78">" (5)"+0</f>
        <v>-5</v>
      </c>
      <c r="B78">
        <f t="shared" si="6"/>
        <v>0</v>
      </c>
      <c r="C78">
        <f t="shared" si="7"/>
        <v>-5</v>
      </c>
      <c r="D78" t="str">
        <f t="shared" si="8"/>
        <v/>
      </c>
      <c r="E78" t="s">
        <v>116</v>
      </c>
    </row>
    <row r="79" spans="1:5" x14ac:dyDescent="0.2">
      <c r="A79" cm="1">
        <f t="array" ref="A79">" 50%"+0</f>
        <v>0.5</v>
      </c>
      <c r="B79">
        <f t="shared" si="6"/>
        <v>0</v>
      </c>
      <c r="C79">
        <f t="shared" si="7"/>
        <v>0.5</v>
      </c>
      <c r="D79" t="str">
        <f t="shared" si="8"/>
        <v/>
      </c>
      <c r="E79" t="s">
        <v>117</v>
      </c>
    </row>
    <row r="80" spans="1:5" x14ac:dyDescent="0.2">
      <c r="A80" cm="1">
        <f t="array" ref="A80">ABS(" 5")</f>
        <v>5</v>
      </c>
      <c r="B80">
        <f t="shared" si="6"/>
        <v>0</v>
      </c>
      <c r="C80">
        <f t="shared" si="7"/>
        <v>5</v>
      </c>
      <c r="D80" t="str">
        <f t="shared" si="8"/>
        <v/>
      </c>
      <c r="E80" t="s">
        <v>118</v>
      </c>
    </row>
    <row r="81" spans="1:5" x14ac:dyDescent="0.2">
      <c r="A81" cm="1">
        <f t="array" ref="A81">ABS(" (5)")</f>
        <v>5</v>
      </c>
      <c r="B81">
        <f t="shared" si="6"/>
        <v>0</v>
      </c>
      <c r="C81">
        <f t="shared" si="7"/>
        <v>5</v>
      </c>
      <c r="D81" t="str">
        <f t="shared" si="8"/>
        <v/>
      </c>
      <c r="E81" t="s">
        <v>119</v>
      </c>
    </row>
    <row r="82" spans="1:5" x14ac:dyDescent="0.2">
      <c r="A82" cm="1">
        <f t="array" ref="A82">ABS(" 50%")</f>
        <v>0.5</v>
      </c>
      <c r="B82">
        <f t="shared" si="6"/>
        <v>0</v>
      </c>
      <c r="C82">
        <f t="shared" si="7"/>
        <v>0.5</v>
      </c>
      <c r="D82" t="str">
        <f t="shared" si="8"/>
        <v/>
      </c>
      <c r="E82" t="s">
        <v>120</v>
      </c>
    </row>
    <row r="83" spans="1:5" x14ac:dyDescent="0.2">
      <c r="A83" cm="1">
        <f t="array" ref="A83">TIMEVALUE(" 2025-01-31 6:30")</f>
        <v>0.27083333333575865</v>
      </c>
      <c r="B83">
        <f t="shared" si="6"/>
        <v>0</v>
      </c>
      <c r="C83">
        <f t="shared" si="7"/>
        <v>0.27083333333575865</v>
      </c>
      <c r="D83" t="str">
        <f t="shared" si="8"/>
        <v/>
      </c>
      <c r="E83" t="s">
        <v>121</v>
      </c>
    </row>
    <row r="84" spans="1:5" x14ac:dyDescent="0.2">
      <c r="A84" cm="1">
        <f t="array" ref="A84">COUNTIF(D!A6," 2025-01-31")</f>
        <v>0</v>
      </c>
      <c r="B84">
        <f t="shared" si="6"/>
        <v>0</v>
      </c>
      <c r="C84">
        <f t="shared" si="7"/>
        <v>0</v>
      </c>
      <c r="D84" t="str">
        <f t="shared" si="8"/>
        <v/>
      </c>
      <c r="E84" t="s">
        <v>122</v>
      </c>
    </row>
    <row r="85" spans="1:5" x14ac:dyDescent="0.2">
      <c r="A85" cm="1">
        <f t="array" ref="A85">COUNTIF(D!A6,"&gt;= 2025-01-31")</f>
        <v>0</v>
      </c>
      <c r="B85">
        <f t="shared" si="6"/>
        <v>0</v>
      </c>
      <c r="C85">
        <f t="shared" si="7"/>
        <v>0</v>
      </c>
      <c r="D85" t="str">
        <f t="shared" si="8"/>
        <v/>
      </c>
      <c r="E85" t="s">
        <v>123</v>
      </c>
    </row>
    <row r="86" spans="1:5" x14ac:dyDescent="0.2">
      <c r="A86" cm="1">
        <f t="array" ref="A86">COUNTIF(G!A1,45688)</f>
        <v>0</v>
      </c>
      <c r="B86">
        <f t="shared" si="6"/>
        <v>0</v>
      </c>
      <c r="C86">
        <f t="shared" si="7"/>
        <v>0</v>
      </c>
      <c r="D86" t="str">
        <f t="shared" si="8"/>
        <v/>
      </c>
      <c r="E86" t="s">
        <v>124</v>
      </c>
    </row>
    <row r="87" spans="1:5" x14ac:dyDescent="0.2">
      <c r="A87" cm="1">
        <f t="array" ref="A87">COUNTIF(G!A2,5)</f>
        <v>1</v>
      </c>
      <c r="B87">
        <f t="shared" si="6"/>
        <v>0</v>
      </c>
      <c r="C87">
        <f t="shared" si="7"/>
        <v>1</v>
      </c>
      <c r="D87" t="str">
        <f t="shared" si="8"/>
        <v/>
      </c>
      <c r="E87" t="s">
        <v>125</v>
      </c>
    </row>
    <row r="88" spans="1:5" x14ac:dyDescent="0.2">
      <c r="A88" cm="1">
        <f t="array" ref="A88">COUNTIF(G!A3,TIME(6,30,0))</f>
        <v>0</v>
      </c>
      <c r="B88">
        <f t="shared" si="6"/>
        <v>0</v>
      </c>
      <c r="C88">
        <f t="shared" si="7"/>
        <v>0</v>
      </c>
      <c r="D88" t="str">
        <f t="shared" si="8"/>
        <v/>
      </c>
      <c r="E88" t="s">
        <v>126</v>
      </c>
    </row>
    <row r="89" spans="1:5" x14ac:dyDescent="0.2">
      <c r="A89" cm="1">
        <f t="array" ref="A89">COUNTIF(G!A4,45688)</f>
        <v>1</v>
      </c>
      <c r="B89">
        <f t="shared" si="6"/>
        <v>0</v>
      </c>
      <c r="C89">
        <f t="shared" si="7"/>
        <v>1</v>
      </c>
      <c r="D89" t="str">
        <f t="shared" si="8"/>
        <v/>
      </c>
      <c r="E89" t="s">
        <v>127</v>
      </c>
    </row>
    <row r="90" spans="1:5" x14ac:dyDescent="0.2">
      <c r="A90" cm="1">
        <f t="array" ref="A90">COUNTIF(G!A1,"&gt;=45688")</f>
        <v>0</v>
      </c>
      <c r="B90">
        <f t="shared" si="6"/>
        <v>0</v>
      </c>
      <c r="C90">
        <f t="shared" si="7"/>
        <v>0</v>
      </c>
      <c r="D90" t="str">
        <f t="shared" si="8"/>
        <v/>
      </c>
      <c r="E90" t="s">
        <v>128</v>
      </c>
    </row>
    <row r="91" spans="1:5" x14ac:dyDescent="0.2">
      <c r="A91" cm="1">
        <f t="array" ref="A91">COUNTIF(G!A2,"&gt;4")</f>
        <v>0</v>
      </c>
      <c r="B91">
        <f t="shared" si="6"/>
        <v>0</v>
      </c>
      <c r="C91">
        <f t="shared" si="7"/>
        <v>0</v>
      </c>
      <c r="D91" t="str">
        <f t="shared" si="8"/>
        <v/>
      </c>
      <c r="E91" t="s">
        <v>129</v>
      </c>
    </row>
    <row r="92" spans="1:5" x14ac:dyDescent="0.2">
      <c r="A92" t="s">
        <v>130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2026-10-07T08:57:47Z</dcterms:created>
  <dcterms:modified xsi:type="dcterms:W3CDTF">2026-10-07T08:57:48Z</dcterms:modified>
  <cp:category/>
</cp:coreProperties>
</file>