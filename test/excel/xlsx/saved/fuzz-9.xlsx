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62381C3-5FD5-694A-A7C3-E3971B5987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A397" i="2" a="1"/>
  <c r="A397" i="2" s="1"/>
  <c r="B397" i="2" s="1"/>
  <c r="A396" i="2" a="1"/>
  <c r="A396" i="2"/>
  <c r="A395" i="2" a="1"/>
  <c r="A395" i="2" s="1"/>
  <c r="D395" i="2" s="1"/>
  <c r="A394" i="2" a="1"/>
  <c r="A394" i="2" s="1"/>
  <c r="A392" i="2" a="1"/>
  <c r="A392" i="2"/>
  <c r="A391" i="2" a="1"/>
  <c r="A391" i="2" s="1"/>
  <c r="A390" i="2" a="1"/>
  <c r="A390" i="2" s="1"/>
  <c r="B390" i="2" s="1"/>
  <c r="A389" i="2" a="1"/>
  <c r="A389" i="2"/>
  <c r="D389" i="2" s="1"/>
  <c r="A388" i="2" a="1"/>
  <c r="A388" i="2" s="1"/>
  <c r="A387" i="2" a="1"/>
  <c r="A387" i="2" s="1"/>
  <c r="A386" i="2" a="1"/>
  <c r="A386" i="2" s="1"/>
  <c r="A385" i="2" a="1"/>
  <c r="A385" i="2" s="1"/>
  <c r="A384" i="2" a="1"/>
  <c r="A384" i="2" s="1"/>
  <c r="A383" i="2" a="1"/>
  <c r="A383" i="2" s="1"/>
  <c r="D383" i="2" s="1"/>
  <c r="A382" i="2" a="1"/>
  <c r="A382" i="2" s="1"/>
  <c r="A381" i="2" a="1"/>
  <c r="A381" i="2" s="1"/>
  <c r="A380" i="2" a="1"/>
  <c r="A380" i="2" s="1"/>
  <c r="A379" i="2" a="1"/>
  <c r="A379" i="2" s="1"/>
  <c r="B379" i="2" s="1"/>
  <c r="A378" i="2" a="1"/>
  <c r="A378" i="2" s="1"/>
  <c r="A377" i="2" a="1"/>
  <c r="A377" i="2" s="1"/>
  <c r="A376" i="2" a="1"/>
  <c r="A376" i="2" s="1"/>
  <c r="A375" i="2" a="1"/>
  <c r="A375" i="2"/>
  <c r="C375" i="2" s="1"/>
  <c r="A374" i="2" a="1"/>
  <c r="A374" i="2" s="1"/>
  <c r="D374" i="2" s="1"/>
  <c r="A373" i="2" a="1"/>
  <c r="A373" i="2" s="1"/>
  <c r="A372" i="2" a="1"/>
  <c r="A372" i="2" s="1"/>
  <c r="D372" i="2" s="1"/>
  <c r="A371" i="2" a="1"/>
  <c r="A371" i="2"/>
  <c r="A370" i="2" a="1"/>
  <c r="A370" i="2" s="1"/>
  <c r="A369" i="2" a="1"/>
  <c r="A369" i="2" s="1"/>
  <c r="A367" i="2" a="1"/>
  <c r="A367" i="2"/>
  <c r="D366" i="2"/>
  <c r="A366" i="2" a="1"/>
  <c r="A366" i="2" s="1"/>
  <c r="C366" i="2" s="1"/>
  <c r="A365" i="2" a="1"/>
  <c r="A365" i="2" s="1"/>
  <c r="A364" i="2" a="1"/>
  <c r="A364" i="2" s="1"/>
  <c r="D364" i="2" s="1"/>
  <c r="A362" i="2" a="1"/>
  <c r="A362" i="2" s="1"/>
  <c r="A361" i="2" a="1"/>
  <c r="A361" i="2" s="1"/>
  <c r="B361" i="2" s="1"/>
  <c r="A360" i="2" a="1"/>
  <c r="A360" i="2" s="1"/>
  <c r="A359" i="2" a="1"/>
  <c r="A359" i="2"/>
  <c r="B359" i="2" s="1"/>
  <c r="A358" i="2" a="1"/>
  <c r="A358" i="2"/>
  <c r="D358" i="2" s="1"/>
  <c r="D357" i="2"/>
  <c r="A357" i="2" a="1"/>
  <c r="A357" i="2"/>
  <c r="C357" i="2" s="1"/>
  <c r="A356" i="2" a="1"/>
  <c r="A356" i="2"/>
  <c r="D356" i="2" s="1"/>
  <c r="A355" i="2" a="1"/>
  <c r="A355" i="2" s="1"/>
  <c r="C355" i="2" s="1"/>
  <c r="A354" i="2" a="1"/>
  <c r="A354" i="2" s="1"/>
  <c r="D354" i="2" s="1"/>
  <c r="A352" i="2" a="1"/>
  <c r="A352" i="2"/>
  <c r="D352" i="2" s="1"/>
  <c r="A351" i="2" a="1"/>
  <c r="A351" i="2"/>
  <c r="A350" i="2" a="1"/>
  <c r="A350" i="2" s="1"/>
  <c r="A349" i="2" a="1"/>
  <c r="A349" i="2" s="1"/>
  <c r="A348" i="2" a="1"/>
  <c r="A348" i="2" s="1"/>
  <c r="A347" i="2" a="1"/>
  <c r="A347" i="2" s="1"/>
  <c r="A346" i="2" a="1"/>
  <c r="A346" i="2" s="1"/>
  <c r="A345" i="2" a="1"/>
  <c r="A345" i="2" s="1"/>
  <c r="A344" i="2" a="1"/>
  <c r="A344" i="2" s="1"/>
  <c r="A343" i="2" a="1"/>
  <c r="A343" i="2" s="1"/>
  <c r="B343" i="2" s="1"/>
  <c r="A342" i="2" a="1"/>
  <c r="A342" i="2"/>
  <c r="A341" i="2" a="1"/>
  <c r="A341" i="2" s="1"/>
  <c r="D341" i="2" s="1"/>
  <c r="A340" i="2" a="1"/>
  <c r="A340" i="2" s="1"/>
  <c r="A339" i="2" a="1"/>
  <c r="A339" i="2" s="1"/>
  <c r="A338" i="2" a="1"/>
  <c r="A338" i="2"/>
  <c r="D338" i="2" s="1"/>
  <c r="A337" i="2" a="1"/>
  <c r="A337" i="2" s="1"/>
  <c r="D336" i="2"/>
  <c r="A336" i="2" a="1"/>
  <c r="A336" i="2" s="1"/>
  <c r="C336" i="2" s="1"/>
  <c r="A335" i="2" a="1"/>
  <c r="A335" i="2"/>
  <c r="A334" i="2" a="1"/>
  <c r="A334" i="2" s="1"/>
  <c r="C333" i="2"/>
  <c r="B333" i="2"/>
  <c r="A333" i="2" a="1"/>
  <c r="A333" i="2"/>
  <c r="D333" i="2" s="1"/>
  <c r="A332" i="2" a="1"/>
  <c r="A332" i="2"/>
  <c r="B332" i="2" s="1"/>
  <c r="A331" i="2" a="1"/>
  <c r="A331" i="2" s="1"/>
  <c r="B331" i="2" s="1"/>
  <c r="A330" i="2" a="1"/>
  <c r="A330" i="2"/>
  <c r="D329" i="2"/>
  <c r="A329" i="2" a="1"/>
  <c r="A329" i="2" s="1"/>
  <c r="B329" i="2" s="1"/>
  <c r="A328" i="2" a="1"/>
  <c r="A328" i="2" s="1"/>
  <c r="A327" i="2" a="1"/>
  <c r="A327" i="2"/>
  <c r="D326" i="2"/>
  <c r="A326" i="2" a="1"/>
  <c r="A326" i="2"/>
  <c r="C326" i="2" s="1"/>
  <c r="A325" i="2" a="1"/>
  <c r="A325" i="2" s="1"/>
  <c r="A324" i="2" a="1"/>
  <c r="A324" i="2"/>
  <c r="A323" i="2" a="1"/>
  <c r="A323" i="2" s="1"/>
  <c r="A322" i="2" a="1"/>
  <c r="A322" i="2" s="1"/>
  <c r="B322" i="2" s="1"/>
  <c r="A321" i="2" a="1"/>
  <c r="A321" i="2" s="1"/>
  <c r="A320" i="2" a="1"/>
  <c r="A320" i="2" s="1"/>
  <c r="A319" i="2" a="1"/>
  <c r="A319" i="2" s="1"/>
  <c r="A318" i="2" a="1"/>
  <c r="A318" i="2" s="1"/>
  <c r="D318" i="2" s="1"/>
  <c r="A317" i="2" a="1"/>
  <c r="A317" i="2" s="1"/>
  <c r="A316" i="2" a="1"/>
  <c r="A316" i="2" s="1"/>
  <c r="A314" i="2" a="1"/>
  <c r="A314" i="2" s="1"/>
  <c r="A313" i="2" a="1"/>
  <c r="A313" i="2" s="1"/>
  <c r="A312" i="2" a="1"/>
  <c r="A312" i="2" s="1"/>
  <c r="A311" i="2" a="1"/>
  <c r="A311" i="2" s="1"/>
  <c r="D311" i="2" s="1"/>
  <c r="A310" i="2" a="1"/>
  <c r="A310" i="2"/>
  <c r="D310" i="2" s="1"/>
  <c r="A309" i="2" a="1"/>
  <c r="A309" i="2" s="1"/>
  <c r="A308" i="2" a="1"/>
  <c r="A308" i="2" s="1"/>
  <c r="C307" i="2"/>
  <c r="A307" i="2" a="1"/>
  <c r="A307" i="2" s="1"/>
  <c r="B307" i="2" s="1"/>
  <c r="A306" i="2" a="1"/>
  <c r="A306" i="2"/>
  <c r="D305" i="2"/>
  <c r="B305" i="2"/>
  <c r="A305" i="2" a="1"/>
  <c r="A305" i="2"/>
  <c r="C305" i="2" s="1"/>
  <c r="A304" i="2" a="1"/>
  <c r="A304" i="2" s="1"/>
  <c r="D304" i="2" s="1"/>
  <c r="A303" i="2" a="1"/>
  <c r="A303" i="2" s="1"/>
  <c r="A302" i="2" a="1"/>
  <c r="A302" i="2" s="1"/>
  <c r="A301" i="2" a="1"/>
  <c r="A301" i="2" s="1"/>
  <c r="A300" i="2" a="1"/>
  <c r="A300" i="2" s="1"/>
  <c r="C300" i="2" s="1"/>
  <c r="A299" i="2" a="1"/>
  <c r="A299" i="2"/>
  <c r="A298" i="2" a="1"/>
  <c r="A298" i="2" s="1"/>
  <c r="D298" i="2" s="1"/>
  <c r="A297" i="2" a="1"/>
  <c r="A297" i="2" s="1"/>
  <c r="A296" i="2" a="1"/>
  <c r="A296" i="2" s="1"/>
  <c r="A295" i="2" a="1"/>
  <c r="A295" i="2" s="1"/>
  <c r="A294" i="2" a="1"/>
  <c r="A294" i="2"/>
  <c r="D294" i="2" s="1"/>
  <c r="A293" i="2" a="1"/>
  <c r="A293" i="2" s="1"/>
  <c r="D293" i="2" s="1"/>
  <c r="A292" i="2" a="1"/>
  <c r="A292" i="2"/>
  <c r="D292" i="2" s="1"/>
  <c r="A291" i="2" a="1"/>
  <c r="A291" i="2"/>
  <c r="D291" i="2" s="1"/>
  <c r="B290" i="2"/>
  <c r="A290" i="2" a="1"/>
  <c r="A290" i="2" s="1"/>
  <c r="D290" i="2" s="1"/>
  <c r="D289" i="2"/>
  <c r="A289" i="2" a="1"/>
  <c r="A289" i="2" s="1"/>
  <c r="B289" i="2" s="1"/>
  <c r="A288" i="2" a="1"/>
  <c r="A288" i="2" s="1"/>
  <c r="A287" i="2" a="1"/>
  <c r="A287" i="2"/>
  <c r="D287" i="2" s="1"/>
  <c r="A286" i="2" a="1"/>
  <c r="A286" i="2" s="1"/>
  <c r="A285" i="2" a="1"/>
  <c r="A285" i="2" s="1"/>
  <c r="C284" i="2"/>
  <c r="B284" i="2"/>
  <c r="A284" i="2" a="1"/>
  <c r="A284" i="2"/>
  <c r="D284" i="2" s="1"/>
  <c r="A283" i="2" a="1"/>
  <c r="A283" i="2"/>
  <c r="A282" i="2" a="1"/>
  <c r="A282" i="2" s="1"/>
  <c r="C282" i="2" s="1"/>
  <c r="A281" i="2" a="1"/>
  <c r="A281" i="2" s="1"/>
  <c r="A280" i="2" a="1"/>
  <c r="A280" i="2" s="1"/>
  <c r="D280" i="2" s="1"/>
  <c r="A279" i="2" a="1"/>
  <c r="A279" i="2" s="1"/>
  <c r="A278" i="2" a="1"/>
  <c r="A278" i="2"/>
  <c r="B278" i="2" s="1"/>
  <c r="A277" i="2" a="1"/>
  <c r="A277" i="2" s="1"/>
  <c r="A276" i="2" a="1"/>
  <c r="A276" i="2"/>
  <c r="B276" i="2" s="1"/>
  <c r="D275" i="2"/>
  <c r="A275" i="2" a="1"/>
  <c r="A275" i="2" s="1"/>
  <c r="C275" i="2" s="1"/>
  <c r="A273" i="2" a="1"/>
  <c r="A273" i="2"/>
  <c r="B272" i="2"/>
  <c r="A272" i="2" a="1"/>
  <c r="A272" i="2" s="1"/>
  <c r="D272" i="2" s="1"/>
  <c r="A271" i="2" a="1"/>
  <c r="A271" i="2" s="1"/>
  <c r="A270" i="2" a="1"/>
  <c r="A270" i="2" s="1"/>
  <c r="A269" i="2" a="1"/>
  <c r="A269" i="2" s="1"/>
  <c r="A268" i="2" a="1"/>
  <c r="A268" i="2" s="1"/>
  <c r="A267" i="2" a="1"/>
  <c r="A267" i="2" s="1"/>
  <c r="A266" i="2" a="1"/>
  <c r="A266" i="2"/>
  <c r="A265" i="2" a="1"/>
  <c r="A265" i="2" s="1"/>
  <c r="A264" i="2" a="1"/>
  <c r="A264" i="2" s="1"/>
  <c r="D264" i="2" s="1"/>
  <c r="A263" i="2" a="1"/>
  <c r="A263" i="2"/>
  <c r="A262" i="2" a="1"/>
  <c r="A262" i="2" s="1"/>
  <c r="D262" i="2" s="1"/>
  <c r="B261" i="2"/>
  <c r="A261" i="2" a="1"/>
  <c r="A261" i="2" s="1"/>
  <c r="D261" i="2" s="1"/>
  <c r="A260" i="2" a="1"/>
  <c r="A260" i="2"/>
  <c r="B260" i="2" s="1"/>
  <c r="A259" i="2" a="1"/>
  <c r="A259" i="2" s="1"/>
  <c r="A258" i="2" a="1"/>
  <c r="A258" i="2" s="1"/>
  <c r="D258" i="2" s="1"/>
  <c r="A257" i="2" a="1"/>
  <c r="A257" i="2" s="1"/>
  <c r="A256" i="2" a="1"/>
  <c r="A256" i="2" s="1"/>
  <c r="D256" i="2" s="1"/>
  <c r="A255" i="2" a="1"/>
  <c r="A255" i="2"/>
  <c r="D255" i="2" s="1"/>
  <c r="A254" i="2" a="1"/>
  <c r="A254" i="2" s="1"/>
  <c r="A253" i="2" a="1"/>
  <c r="A253" i="2" s="1"/>
  <c r="A252" i="2" a="1"/>
  <c r="A252" i="2" s="1"/>
  <c r="A251" i="2" a="1"/>
  <c r="A251" i="2" s="1"/>
  <c r="A250" i="2" a="1"/>
  <c r="A250" i="2" s="1"/>
  <c r="A249" i="2" a="1"/>
  <c r="A249" i="2" s="1"/>
  <c r="D249" i="2" s="1"/>
  <c r="A248" i="2" a="1"/>
  <c r="A248" i="2"/>
  <c r="A247" i="2" a="1"/>
  <c r="A247" i="2" s="1"/>
  <c r="A246" i="2" a="1"/>
  <c r="A246" i="2" s="1"/>
  <c r="D246" i="2" s="1"/>
  <c r="A245" i="2" a="1"/>
  <c r="A245" i="2"/>
  <c r="A244" i="2" a="1"/>
  <c r="A244" i="2" s="1"/>
  <c r="D244" i="2" s="1"/>
  <c r="A243" i="2" a="1"/>
  <c r="A243" i="2" s="1"/>
  <c r="D243" i="2" s="1"/>
  <c r="A242" i="2" a="1"/>
  <c r="A242" i="2"/>
  <c r="B242" i="2" s="1"/>
  <c r="A241" i="2" a="1"/>
  <c r="A241" i="2"/>
  <c r="A240" i="2" a="1"/>
  <c r="A240" i="2" s="1"/>
  <c r="D240" i="2" s="1"/>
  <c r="A239" i="2" a="1"/>
  <c r="A239" i="2"/>
  <c r="A238" i="2" a="1"/>
  <c r="A238" i="2"/>
  <c r="D238" i="2" s="1"/>
  <c r="A237" i="2" a="1"/>
  <c r="A237" i="2" s="1"/>
  <c r="A236" i="2" a="1"/>
  <c r="A236" i="2" s="1"/>
  <c r="A235" i="2" a="1"/>
  <c r="A235" i="2" s="1"/>
  <c r="A234" i="2" a="1"/>
  <c r="A234" i="2"/>
  <c r="A233" i="2" a="1"/>
  <c r="A233" i="2"/>
  <c r="C233" i="2" s="1"/>
  <c r="A232" i="2" a="1"/>
  <c r="A232" i="2" s="1"/>
  <c r="A231" i="2" a="1"/>
  <c r="A231" i="2" s="1"/>
  <c r="D229" i="2"/>
  <c r="C229" i="2"/>
  <c r="A229" i="2" a="1"/>
  <c r="A229" i="2" s="1"/>
  <c r="B229" i="2" s="1"/>
  <c r="A228" i="2" a="1"/>
  <c r="A228" i="2" s="1"/>
  <c r="A227" i="2" a="1"/>
  <c r="A227" i="2"/>
  <c r="D226" i="2"/>
  <c r="C226" i="2"/>
  <c r="A226" i="2" a="1"/>
  <c r="A226" i="2" s="1"/>
  <c r="B226" i="2" s="1"/>
  <c r="C225" i="2"/>
  <c r="A225" i="2" a="1"/>
  <c r="A225" i="2" s="1"/>
  <c r="D225" i="2" s="1"/>
  <c r="A224" i="2" a="1"/>
  <c r="A224" i="2"/>
  <c r="B224" i="2" s="1"/>
  <c r="A223" i="2" a="1"/>
  <c r="A223" i="2" s="1"/>
  <c r="A222" i="2" a="1"/>
  <c r="A222" i="2" s="1"/>
  <c r="C222" i="2" s="1"/>
  <c r="A221" i="2" a="1"/>
  <c r="A221" i="2" s="1"/>
  <c r="A220" i="2" a="1"/>
  <c r="A220" i="2"/>
  <c r="D220" i="2" s="1"/>
  <c r="A219" i="2" a="1"/>
  <c r="A219" i="2"/>
  <c r="A218" i="2" a="1"/>
  <c r="A218" i="2" s="1"/>
  <c r="D218" i="2" s="1"/>
  <c r="A217" i="2" a="1"/>
  <c r="A217" i="2" s="1"/>
  <c r="A216" i="2" a="1"/>
  <c r="A216" i="2" s="1"/>
  <c r="A215" i="2" a="1"/>
  <c r="A215" i="2" s="1"/>
  <c r="A214" i="2" a="1"/>
  <c r="A214" i="2"/>
  <c r="D214" i="2" s="1"/>
  <c r="A213" i="2" a="1"/>
  <c r="A213" i="2" s="1"/>
  <c r="D213" i="2" s="1"/>
  <c r="A212" i="2" a="1"/>
  <c r="A212" i="2"/>
  <c r="A211" i="2" a="1"/>
  <c r="A211" i="2" s="1"/>
  <c r="A210" i="2" a="1"/>
  <c r="A210" i="2" s="1"/>
  <c r="A209" i="2" a="1"/>
  <c r="A209" i="2"/>
  <c r="A208" i="2" a="1"/>
  <c r="A208" i="2"/>
  <c r="B208" i="2" s="1"/>
  <c r="A207" i="2" a="1"/>
  <c r="A207" i="2" s="1"/>
  <c r="D207" i="2" s="1"/>
  <c r="A206" i="2" a="1"/>
  <c r="A206" i="2" s="1"/>
  <c r="B206" i="2" s="1"/>
  <c r="A205" i="2" a="1"/>
  <c r="A205" i="2" s="1"/>
  <c r="A203" i="2" a="1"/>
  <c r="A203" i="2"/>
  <c r="A202" i="2" a="1"/>
  <c r="A202" i="2" s="1"/>
  <c r="A201" i="2" a="1"/>
  <c r="A201" i="2"/>
  <c r="A200" i="2" a="1"/>
  <c r="A200" i="2" s="1"/>
  <c r="D200" i="2" s="1"/>
  <c r="A199" i="2" a="1"/>
  <c r="A199" i="2"/>
  <c r="D199" i="2" s="1"/>
  <c r="A198" i="2" a="1"/>
  <c r="A198" i="2" s="1"/>
  <c r="A197" i="2" a="1"/>
  <c r="A197" i="2"/>
  <c r="D197" i="2" s="1"/>
  <c r="A196" i="2" a="1"/>
  <c r="A196" i="2" s="1"/>
  <c r="A195" i="2" a="1"/>
  <c r="A195" i="2" s="1"/>
  <c r="D195" i="2" s="1"/>
  <c r="A194" i="2" a="1"/>
  <c r="A194" i="2"/>
  <c r="B194" i="2" s="1"/>
  <c r="A193" i="2" a="1"/>
  <c r="A193" i="2" s="1"/>
  <c r="C193" i="2" s="1"/>
  <c r="A192" i="2" a="1"/>
  <c r="A192" i="2" s="1"/>
  <c r="A191" i="2" a="1"/>
  <c r="A191" i="2"/>
  <c r="A190" i="2" a="1"/>
  <c r="A190" i="2"/>
  <c r="B190" i="2" s="1"/>
  <c r="A189" i="2" a="1"/>
  <c r="A189" i="2" s="1"/>
  <c r="B189" i="2" s="1"/>
  <c r="D188" i="2"/>
  <c r="C188" i="2"/>
  <c r="A188" i="2" a="1"/>
  <c r="A188" i="2"/>
  <c r="B188" i="2" s="1"/>
  <c r="A187" i="2" a="1"/>
  <c r="A187" i="2" s="1"/>
  <c r="A186" i="2" a="1"/>
  <c r="A186" i="2"/>
  <c r="D186" i="2" s="1"/>
  <c r="A185" i="2" a="1"/>
  <c r="A185" i="2" s="1"/>
  <c r="D185" i="2" s="1"/>
  <c r="A184" i="2" a="1"/>
  <c r="A184" i="2" s="1"/>
  <c r="A183" i="2" a="1"/>
  <c r="A183" i="2"/>
  <c r="D182" i="2"/>
  <c r="C182" i="2"/>
  <c r="B182" i="2"/>
  <c r="A182" i="2" a="1"/>
  <c r="A182" i="2"/>
  <c r="A181" i="2" a="1"/>
  <c r="A181" i="2"/>
  <c r="D181" i="2" s="1"/>
  <c r="A180" i="2" a="1"/>
  <c r="A180" i="2" s="1"/>
  <c r="A179" i="2" a="1"/>
  <c r="A179" i="2" s="1"/>
  <c r="A178" i="2" a="1"/>
  <c r="A178" i="2" s="1"/>
  <c r="D178" i="2" s="1"/>
  <c r="A177" i="2" a="1"/>
  <c r="A177" i="2" s="1"/>
  <c r="A176" i="2" a="1"/>
  <c r="A176" i="2" s="1"/>
  <c r="D176" i="2" s="1"/>
  <c r="A175" i="2" a="1"/>
  <c r="A175" i="2"/>
  <c r="D175" i="2" s="1"/>
  <c r="A174" i="2" a="1"/>
  <c r="A174" i="2" s="1"/>
  <c r="D174" i="2" s="1"/>
  <c r="A173" i="2" a="1"/>
  <c r="A173" i="2" s="1"/>
  <c r="A172" i="2" a="1"/>
  <c r="A172" i="2" s="1"/>
  <c r="A171" i="2" a="1"/>
  <c r="A171" i="2" s="1"/>
  <c r="C171" i="2" s="1"/>
  <c r="A170" i="2" a="1"/>
  <c r="A170" i="2"/>
  <c r="B170" i="2" s="1"/>
  <c r="A169" i="2" a="1"/>
  <c r="A169" i="2" s="1"/>
  <c r="A168" i="2" a="1"/>
  <c r="A168" i="2" s="1"/>
  <c r="C167" i="2"/>
  <c r="A167" i="2" a="1"/>
  <c r="A167" i="2"/>
  <c r="B167" i="2" s="1"/>
  <c r="A166" i="2" a="1"/>
  <c r="A166" i="2"/>
  <c r="D166" i="2" s="1"/>
  <c r="A165" i="2" a="1"/>
  <c r="A165" i="2" s="1"/>
  <c r="A164" i="2" a="1"/>
  <c r="A164" i="2" s="1"/>
  <c r="A163" i="2" a="1"/>
  <c r="A163" i="2"/>
  <c r="D163" i="2" s="1"/>
  <c r="A162" i="2" a="1"/>
  <c r="A162" i="2" s="1"/>
  <c r="C161" i="2"/>
  <c r="A161" i="2" a="1"/>
  <c r="A161" i="2"/>
  <c r="D161" i="2" s="1"/>
  <c r="A160" i="2" a="1"/>
  <c r="A160" i="2" s="1"/>
  <c r="A159" i="2" a="1"/>
  <c r="A159" i="2" s="1"/>
  <c r="A158" i="2" a="1"/>
  <c r="A158" i="2"/>
  <c r="D158" i="2" s="1"/>
  <c r="A157" i="2" a="1"/>
  <c r="A157" i="2"/>
  <c r="A156" i="2" a="1"/>
  <c r="A156" i="2" s="1"/>
  <c r="D156" i="2" s="1"/>
  <c r="A155" i="2" a="1"/>
  <c r="A155" i="2"/>
  <c r="A154" i="2" a="1"/>
  <c r="A154" i="2" s="1"/>
  <c r="D154" i="2" s="1"/>
  <c r="A153" i="2" a="1"/>
  <c r="A153" i="2"/>
  <c r="D153" i="2" s="1"/>
  <c r="D152" i="2"/>
  <c r="C152" i="2"/>
  <c r="A152" i="2" a="1"/>
  <c r="A152" i="2"/>
  <c r="B152" i="2" s="1"/>
  <c r="A151" i="2" a="1"/>
  <c r="A151" i="2" s="1"/>
  <c r="A150" i="2" a="1"/>
  <c r="A150" i="2" s="1"/>
  <c r="D150" i="2" s="1"/>
  <c r="A149" i="2" a="1"/>
  <c r="A149" i="2" s="1"/>
  <c r="C148" i="2"/>
  <c r="B148" i="2"/>
  <c r="A148" i="2" a="1"/>
  <c r="A148" i="2"/>
  <c r="D148" i="2" s="1"/>
  <c r="A147" i="2" a="1"/>
  <c r="A147" i="2"/>
  <c r="D147" i="2" s="1"/>
  <c r="A146" i="2" a="1"/>
  <c r="A146" i="2" s="1"/>
  <c r="D146" i="2" s="1"/>
  <c r="A145" i="2" a="1"/>
  <c r="A145" i="2" s="1"/>
  <c r="A144" i="2" a="1"/>
  <c r="A144" i="2"/>
  <c r="A142" i="2" a="1"/>
  <c r="A142" i="2"/>
  <c r="D142" i="2" s="1"/>
  <c r="D141" i="2"/>
  <c r="A141" i="2" a="1"/>
  <c r="A141" i="2" s="1"/>
  <c r="A140" i="2" a="1"/>
  <c r="A140" i="2" s="1"/>
  <c r="A139" i="2" a="1"/>
  <c r="A139" i="2" s="1"/>
  <c r="A138" i="2" a="1"/>
  <c r="A138" i="2" s="1"/>
  <c r="B138" i="2" s="1"/>
  <c r="A137" i="2" a="1"/>
  <c r="A137" i="2"/>
  <c r="C137" i="2" s="1"/>
  <c r="A136" i="2" a="1"/>
  <c r="A136" i="2" s="1"/>
  <c r="A135" i="2" a="1"/>
  <c r="A135" i="2" s="1"/>
  <c r="A134" i="2" a="1"/>
  <c r="A134" i="2" s="1"/>
  <c r="A133" i="2" a="1"/>
  <c r="A133" i="2" s="1"/>
  <c r="A132" i="2" a="1"/>
  <c r="A132" i="2" s="1"/>
  <c r="D132" i="2" s="1"/>
  <c r="A131" i="2" a="1"/>
  <c r="A131" i="2" s="1"/>
  <c r="D131" i="2" s="1"/>
  <c r="C130" i="2"/>
  <c r="A130" i="2" a="1"/>
  <c r="A130" i="2"/>
  <c r="D130" i="2" s="1"/>
  <c r="A128" i="2" a="1"/>
  <c r="A128" i="2" s="1"/>
  <c r="A127" i="2" a="1"/>
  <c r="A127" i="2"/>
  <c r="D127" i="2" s="1"/>
  <c r="D126" i="2"/>
  <c r="A126" i="2" a="1"/>
  <c r="A126" i="2"/>
  <c r="A125" i="2" a="1"/>
  <c r="A125" i="2"/>
  <c r="D125" i="2" s="1"/>
  <c r="A124" i="2" a="1"/>
  <c r="A124" i="2" s="1"/>
  <c r="A122" i="2" a="1"/>
  <c r="A122" i="2" s="1"/>
  <c r="A121" i="2" a="1"/>
  <c r="A121" i="2"/>
  <c r="B121" i="2" s="1"/>
  <c r="D120" i="2"/>
  <c r="C120" i="2"/>
  <c r="B120" i="2"/>
  <c r="A120" i="2" a="1"/>
  <c r="A120" i="2" s="1"/>
  <c r="A119" i="2" a="1"/>
  <c r="A119" i="2"/>
  <c r="A118" i="2" a="1"/>
  <c r="A118" i="2" s="1"/>
  <c r="A117" i="2" a="1"/>
  <c r="A117" i="2"/>
  <c r="C117" i="2" s="1"/>
  <c r="A116" i="2" a="1"/>
  <c r="A116" i="2" s="1"/>
  <c r="A115" i="2" a="1"/>
  <c r="A115" i="2"/>
  <c r="A114" i="2" a="1"/>
  <c r="A114" i="2" s="1"/>
  <c r="A113" i="2" a="1"/>
  <c r="A113" i="2" s="1"/>
  <c r="D113" i="2" s="1"/>
  <c r="A112" i="2" a="1"/>
  <c r="A112" i="2"/>
  <c r="D112" i="2" s="1"/>
  <c r="A111" i="2" a="1"/>
  <c r="A111" i="2" s="1"/>
  <c r="A110" i="2" a="1"/>
  <c r="A110" i="2"/>
  <c r="B110" i="2" s="1"/>
  <c r="A109" i="2" a="1"/>
  <c r="A109" i="2" s="1"/>
  <c r="A108" i="2" a="1"/>
  <c r="A108" i="2" s="1"/>
  <c r="A107" i="2" a="1"/>
  <c r="A107" i="2"/>
  <c r="A106" i="2" a="1"/>
  <c r="A106" i="2" s="1"/>
  <c r="A105" i="2" a="1"/>
  <c r="A105" i="2" s="1"/>
  <c r="D105" i="2" s="1"/>
  <c r="A104" i="2" a="1"/>
  <c r="A104" i="2"/>
  <c r="D104" i="2" s="1"/>
  <c r="C103" i="2"/>
  <c r="A103" i="2" a="1"/>
  <c r="A103" i="2" s="1"/>
  <c r="D103" i="2" s="1"/>
  <c r="A101" i="2" a="1"/>
  <c r="A101" i="2"/>
  <c r="A100" i="2" a="1"/>
  <c r="A100" i="2" s="1"/>
  <c r="D100" i="2" s="1"/>
  <c r="A99" i="2" a="1"/>
  <c r="A99" i="2" s="1"/>
  <c r="D99" i="2" s="1"/>
  <c r="A98" i="2" a="1"/>
  <c r="A98" i="2" s="1"/>
  <c r="A97" i="2" a="1"/>
  <c r="A97" i="2"/>
  <c r="A96" i="2" a="1"/>
  <c r="A96" i="2" s="1"/>
  <c r="A95" i="2" a="1"/>
  <c r="A95" i="2"/>
  <c r="D95" i="2" s="1"/>
  <c r="A94" i="2" a="1"/>
  <c r="A94" i="2"/>
  <c r="D94" i="2" s="1"/>
  <c r="A93" i="2" a="1"/>
  <c r="A93" i="2"/>
  <c r="A92" i="2" a="1"/>
  <c r="A92" i="2" s="1"/>
  <c r="D92" i="2" s="1"/>
  <c r="A91" i="2" a="1"/>
  <c r="A91" i="2" s="1"/>
  <c r="A90" i="2" a="1"/>
  <c r="A90" i="2"/>
  <c r="A89" i="2" a="1"/>
  <c r="A89" i="2" s="1"/>
  <c r="A88" i="2" a="1"/>
  <c r="A88" i="2" s="1"/>
  <c r="B88" i="2" s="1"/>
  <c r="A87" i="2" a="1"/>
  <c r="A87" i="2" s="1"/>
  <c r="C87" i="2" s="1"/>
  <c r="A86" i="2" a="1"/>
  <c r="A86" i="2" s="1"/>
  <c r="A85" i="2" a="1"/>
  <c r="A85" i="2"/>
  <c r="B85" i="2" s="1"/>
  <c r="D84" i="2"/>
  <c r="C84" i="2"/>
  <c r="A84" i="2" a="1"/>
  <c r="A84" i="2" s="1"/>
  <c r="B84" i="2" s="1"/>
  <c r="A83" i="2" a="1"/>
  <c r="A83" i="2"/>
  <c r="A82" i="2" a="1"/>
  <c r="A82" i="2"/>
  <c r="B82" i="2" s="1"/>
  <c r="A81" i="2" a="1"/>
  <c r="A81" i="2"/>
  <c r="B81" i="2" s="1"/>
  <c r="A80" i="2" a="1"/>
  <c r="A80" i="2"/>
  <c r="B80" i="2" s="1"/>
  <c r="A79" i="2" a="1"/>
  <c r="A79" i="2"/>
  <c r="B79" i="2" s="1"/>
  <c r="A78" i="2" a="1"/>
  <c r="A78" i="2" s="1"/>
  <c r="B78" i="2" s="1"/>
  <c r="C77" i="2"/>
  <c r="B77" i="2"/>
  <c r="A77" i="2" a="1"/>
  <c r="A77" i="2"/>
  <c r="D77" i="2" s="1"/>
  <c r="A76" i="2" a="1"/>
  <c r="A76" i="2"/>
  <c r="D76" i="2" s="1"/>
  <c r="A75" i="2" a="1"/>
  <c r="A75" i="2" s="1"/>
  <c r="A74" i="2" a="1"/>
  <c r="A74" i="2"/>
  <c r="B74" i="2" s="1"/>
  <c r="A73" i="2" a="1"/>
  <c r="A73" i="2" s="1"/>
  <c r="B73" i="2" s="1"/>
  <c r="A72" i="2" a="1"/>
  <c r="A72" i="2"/>
  <c r="D72" i="2" s="1"/>
  <c r="A71" i="2" a="1"/>
  <c r="A71" i="2" s="1"/>
  <c r="A70" i="2" a="1"/>
  <c r="A70" i="2" s="1"/>
  <c r="D69" i="2"/>
  <c r="A69" i="2" a="1"/>
  <c r="A69" i="2" s="1"/>
  <c r="C69" i="2" s="1"/>
  <c r="A68" i="2" a="1"/>
  <c r="A68" i="2"/>
  <c r="A67" i="2" a="1"/>
  <c r="A67" i="2"/>
  <c r="D67" i="2" s="1"/>
  <c r="A66" i="2" a="1"/>
  <c r="A66" i="2" s="1"/>
  <c r="D66" i="2" s="1"/>
  <c r="A65" i="2" a="1"/>
  <c r="A65" i="2"/>
  <c r="D65" i="2" s="1"/>
  <c r="A64" i="2" a="1"/>
  <c r="A64" i="2" s="1"/>
  <c r="B64" i="2" s="1"/>
  <c r="A63" i="2" a="1"/>
  <c r="A63" i="2"/>
  <c r="D63" i="2" s="1"/>
  <c r="A62" i="2" a="1"/>
  <c r="A62" i="2" s="1"/>
  <c r="B62" i="2" s="1"/>
  <c r="A61" i="2" a="1"/>
  <c r="A61" i="2"/>
  <c r="A60" i="2" a="1"/>
  <c r="A60" i="2"/>
  <c r="D60" i="2" s="1"/>
  <c r="A59" i="2" a="1"/>
  <c r="A59" i="2"/>
  <c r="D59" i="2" s="1"/>
  <c r="A58" i="2" a="1"/>
  <c r="A58" i="2" s="1"/>
  <c r="A57" i="2" a="1"/>
  <c r="A57" i="2" s="1"/>
  <c r="C57" i="2" s="1"/>
  <c r="A56" i="2" a="1"/>
  <c r="A56" i="2"/>
  <c r="D56" i="2" s="1"/>
  <c r="A54" i="2" a="1"/>
  <c r="A54" i="2" s="1"/>
  <c r="C54" i="2" s="1"/>
  <c r="A53" i="2" a="1"/>
  <c r="A53" i="2" s="1"/>
  <c r="C53" i="2" s="1"/>
  <c r="A52" i="2" a="1"/>
  <c r="A52" i="2" s="1"/>
  <c r="A51" i="2" a="1"/>
  <c r="A51" i="2" s="1"/>
  <c r="C51" i="2" s="1"/>
  <c r="A50" i="2" a="1"/>
  <c r="A50" i="2"/>
  <c r="D50" i="2" s="1"/>
  <c r="A49" i="2" a="1"/>
  <c r="A49" i="2" s="1"/>
  <c r="C49" i="2" s="1"/>
  <c r="D48" i="2"/>
  <c r="A48" i="2" a="1"/>
  <c r="A48" i="2" s="1"/>
  <c r="C48" i="2" s="1"/>
  <c r="A47" i="2" a="1"/>
  <c r="A47" i="2"/>
  <c r="B47" i="2" s="1"/>
  <c r="A46" i="2" a="1"/>
  <c r="A46" i="2" s="1"/>
  <c r="A45" i="2" a="1"/>
  <c r="A45" i="2" s="1"/>
  <c r="C45" i="2" s="1"/>
  <c r="A44" i="2" a="1"/>
  <c r="A44" i="2" s="1"/>
  <c r="A42" i="2" a="1"/>
  <c r="A42" i="2" s="1"/>
  <c r="A41" i="2" a="1"/>
  <c r="A41" i="2" s="1"/>
  <c r="C41" i="2" s="1"/>
  <c r="A40" i="2" a="1"/>
  <c r="A40" i="2"/>
  <c r="D40" i="2" s="1"/>
  <c r="D39" i="2"/>
  <c r="A39" i="2" a="1"/>
  <c r="A39" i="2"/>
  <c r="C39" i="2" s="1"/>
  <c r="A38" i="2" a="1"/>
  <c r="A38" i="2"/>
  <c r="D38" i="2" s="1"/>
  <c r="A37" i="2" a="1"/>
  <c r="A37" i="2"/>
  <c r="D37" i="2" s="1"/>
  <c r="A36" i="2" a="1"/>
  <c r="A36" i="2" s="1"/>
  <c r="B36" i="2" s="1"/>
  <c r="A35" i="2" a="1"/>
  <c r="A35" i="2"/>
  <c r="D35" i="2" s="1"/>
  <c r="A34" i="2" a="1"/>
  <c r="A34" i="2" s="1"/>
  <c r="A33" i="2" a="1"/>
  <c r="A33" i="2"/>
  <c r="A32" i="2" a="1"/>
  <c r="A32" i="2" s="1"/>
  <c r="D32" i="2" s="1"/>
  <c r="A31" i="2" a="1"/>
  <c r="A31" i="2"/>
  <c r="D31" i="2" s="1"/>
  <c r="A30" i="2" a="1"/>
  <c r="A30" i="2" s="1"/>
  <c r="D30" i="2" s="1"/>
  <c r="A29" i="2" a="1"/>
  <c r="A29" i="2"/>
  <c r="C29" i="2" s="1"/>
  <c r="A28" i="2" a="1"/>
  <c r="A28" i="2" s="1"/>
  <c r="B28" i="2" s="1"/>
  <c r="A27" i="2" a="1"/>
  <c r="A27" i="2" s="1"/>
  <c r="D27" i="2" s="1"/>
  <c r="A26" i="2" a="1"/>
  <c r="A26" i="2"/>
  <c r="B26" i="2" s="1"/>
  <c r="A25" i="2" a="1"/>
  <c r="A25" i="2"/>
  <c r="D25" i="2" s="1"/>
  <c r="A24" i="2" a="1"/>
  <c r="A24" i="2"/>
  <c r="D24" i="2" s="1"/>
  <c r="A23" i="2" a="1"/>
  <c r="A23" i="2"/>
  <c r="D23" i="2" s="1"/>
  <c r="A22" i="2" a="1"/>
  <c r="A22" i="2"/>
  <c r="D22" i="2" s="1"/>
  <c r="A21" i="2" a="1"/>
  <c r="A21" i="2"/>
  <c r="D21" i="2" s="1"/>
  <c r="A20" i="2" a="1"/>
  <c r="A20" i="2"/>
  <c r="D20" i="2" s="1"/>
  <c r="A19" i="2" a="1"/>
  <c r="A19" i="2"/>
  <c r="D19" i="2" s="1"/>
  <c r="A18" i="2" a="1"/>
  <c r="A18" i="2" s="1"/>
  <c r="A17" i="2" a="1"/>
  <c r="A17" i="2"/>
  <c r="D17" i="2" s="1"/>
  <c r="A16" i="2" a="1"/>
  <c r="A16" i="2"/>
  <c r="B16" i="2" s="1"/>
  <c r="A15" i="2" a="1"/>
  <c r="A15" i="2" s="1"/>
  <c r="C15" i="2" s="1"/>
  <c r="A14" i="2" a="1"/>
  <c r="A14" i="2" s="1"/>
  <c r="A13" i="2" a="1"/>
  <c r="A13" i="2" s="1"/>
  <c r="A12" i="2" a="1"/>
  <c r="A12" i="2"/>
  <c r="C12" i="2" s="1"/>
  <c r="A11" i="2" a="1"/>
  <c r="A11" i="2" s="1"/>
  <c r="B11" i="2" s="1"/>
  <c r="A10" i="2" a="1"/>
  <c r="A10" i="2"/>
  <c r="C10" i="2" s="1"/>
  <c r="A9" i="2" a="1"/>
  <c r="A9" i="2"/>
  <c r="B9" i="2" s="1"/>
  <c r="A8" i="2" a="1"/>
  <c r="A8" i="2"/>
  <c r="D8" i="2" s="1"/>
  <c r="A7" i="2" a="1"/>
  <c r="A7" i="2"/>
  <c r="D7" i="2" s="1"/>
  <c r="A6" i="2" a="1"/>
  <c r="A6" i="2" s="1"/>
  <c r="D6" i="2" s="1"/>
  <c r="A5" i="2" a="1"/>
  <c r="A5" i="2" s="1"/>
  <c r="A4" i="2" a="1"/>
  <c r="A4" i="2"/>
  <c r="D4" i="2" s="1"/>
  <c r="A3" i="2" a="1"/>
  <c r="A3" i="2" s="1"/>
  <c r="A2" i="2" a="1"/>
  <c r="A2" i="2"/>
  <c r="B2" i="2" s="1"/>
  <c r="A1" i="2" a="1"/>
  <c r="A1" i="2"/>
  <c r="B1" i="2" s="1"/>
  <c r="I15" i="1"/>
  <c r="A14" i="1"/>
  <c r="A393" i="2" s="1" a="1"/>
  <c r="A393" i="2" s="1"/>
  <c r="A13" i="1"/>
  <c r="A274" i="2" s="1" a="1"/>
  <c r="A274" i="2" s="1"/>
  <c r="AL10" i="1"/>
  <c r="A8" i="1"/>
  <c r="A230" i="2" s="1" a="1"/>
  <c r="A230" i="2" s="1"/>
  <c r="A7" i="1"/>
  <c r="E3" i="1"/>
  <c r="A143" i="2" s="1" a="1"/>
  <c r="A143" i="2" s="1"/>
  <c r="D254" i="2" l="1"/>
  <c r="B254" i="2"/>
  <c r="C254" i="2"/>
  <c r="B134" i="2"/>
  <c r="C134" i="2"/>
  <c r="D134" i="2"/>
  <c r="C321" i="2"/>
  <c r="D321" i="2"/>
  <c r="B323" i="2"/>
  <c r="C323" i="2"/>
  <c r="D323" i="2"/>
  <c r="D86" i="2"/>
  <c r="C86" i="2"/>
  <c r="B350" i="2"/>
  <c r="D350" i="2"/>
  <c r="C350" i="2"/>
  <c r="B70" i="2"/>
  <c r="C70" i="2"/>
  <c r="D91" i="2"/>
  <c r="C91" i="2"/>
  <c r="B91" i="2"/>
  <c r="B380" i="2"/>
  <c r="D380" i="2"/>
  <c r="C380" i="2"/>
  <c r="C109" i="2"/>
  <c r="D109" i="2"/>
  <c r="B109" i="2"/>
  <c r="B296" i="2"/>
  <c r="D296" i="2"/>
  <c r="C296" i="2"/>
  <c r="B116" i="2"/>
  <c r="D116" i="2"/>
  <c r="C116" i="2"/>
  <c r="D46" i="2"/>
  <c r="C46" i="2"/>
  <c r="B46" i="2"/>
  <c r="B247" i="2"/>
  <c r="D247" i="2"/>
  <c r="C247" i="2"/>
  <c r="D34" i="2"/>
  <c r="C34" i="2"/>
  <c r="B34" i="2"/>
  <c r="D237" i="2"/>
  <c r="B237" i="2"/>
  <c r="D145" i="2"/>
  <c r="C145" i="2"/>
  <c r="B145" i="2"/>
  <c r="D202" i="2"/>
  <c r="B202" i="2"/>
  <c r="D319" i="2"/>
  <c r="C319" i="2"/>
  <c r="B319" i="2"/>
  <c r="D184" i="2"/>
  <c r="B184" i="2"/>
  <c r="D58" i="2"/>
  <c r="C58" i="2"/>
  <c r="B58" i="2"/>
  <c r="B314" i="2"/>
  <c r="D314" i="2"/>
  <c r="C314" i="2"/>
  <c r="D14" i="2"/>
  <c r="B14" i="2"/>
  <c r="C14" i="2"/>
  <c r="D265" i="2"/>
  <c r="B265" i="2"/>
  <c r="C265" i="2"/>
  <c r="D384" i="2"/>
  <c r="C384" i="2"/>
  <c r="B384" i="2"/>
  <c r="C92" i="2"/>
  <c r="B291" i="2"/>
  <c r="D332" i="2"/>
  <c r="C359" i="2"/>
  <c r="B92" i="2"/>
  <c r="B22" i="2"/>
  <c r="C125" i="2"/>
  <c r="C142" i="2"/>
  <c r="B199" i="2"/>
  <c r="C22" i="2"/>
  <c r="B66" i="2"/>
  <c r="C85" i="2"/>
  <c r="D117" i="2"/>
  <c r="C199" i="2"/>
  <c r="B220" i="2"/>
  <c r="C246" i="2"/>
  <c r="C264" i="2"/>
  <c r="B275" i="2"/>
  <c r="C291" i="2"/>
  <c r="D359" i="2"/>
  <c r="B100" i="2"/>
  <c r="C47" i="2"/>
  <c r="B150" i="2"/>
  <c r="C16" i="2"/>
  <c r="C66" i="2"/>
  <c r="B103" i="2"/>
  <c r="C150" i="2"/>
  <c r="C158" i="2"/>
  <c r="C176" i="2"/>
  <c r="D307" i="2"/>
  <c r="B372" i="2"/>
  <c r="D208" i="2"/>
  <c r="B395" i="2"/>
  <c r="B166" i="2"/>
  <c r="D16" i="2"/>
  <c r="D167" i="2"/>
  <c r="B112" i="2"/>
  <c r="D222" i="2"/>
  <c r="D361" i="2"/>
  <c r="C395" i="2"/>
  <c r="B117" i="2"/>
  <c r="B240" i="2"/>
  <c r="B354" i="2"/>
  <c r="C1" i="2"/>
  <c r="D10" i="2"/>
  <c r="B94" i="2"/>
  <c r="C240" i="2"/>
  <c r="D1" i="2"/>
  <c r="B67" i="2"/>
  <c r="C74" i="2"/>
  <c r="C94" i="2"/>
  <c r="C112" i="2"/>
  <c r="B127" i="2"/>
  <c r="B185" i="2"/>
  <c r="C293" i="2"/>
  <c r="D300" i="2"/>
  <c r="D355" i="2"/>
  <c r="C208" i="2"/>
  <c r="C67" i="2"/>
  <c r="D74" i="2"/>
  <c r="D375" i="2"/>
  <c r="C329" i="2"/>
  <c r="C170" i="2"/>
  <c r="C356" i="2"/>
  <c r="C189" i="2"/>
  <c r="C127" i="2"/>
  <c r="B53" i="2"/>
  <c r="D62" i="2"/>
  <c r="B147" i="2"/>
  <c r="D170" i="2"/>
  <c r="B181" i="2"/>
  <c r="C186" i="2"/>
  <c r="C224" i="2"/>
  <c r="C260" i="2"/>
  <c r="C278" i="2"/>
  <c r="C294" i="2"/>
  <c r="C322" i="2"/>
  <c r="C397" i="2"/>
  <c r="A43" i="2" a="1"/>
  <c r="A43" i="2" s="1"/>
  <c r="D43" i="2" s="1"/>
  <c r="C82" i="2"/>
  <c r="B186" i="2"/>
  <c r="B294" i="2"/>
  <c r="D12" i="2"/>
  <c r="D82" i="2"/>
  <c r="B20" i="2"/>
  <c r="D53" i="2"/>
  <c r="B76" i="2"/>
  <c r="C147" i="2"/>
  <c r="B153" i="2"/>
  <c r="B163" i="2"/>
  <c r="C181" i="2"/>
  <c r="D224" i="2"/>
  <c r="C242" i="2"/>
  <c r="D260" i="2"/>
  <c r="D278" i="2"/>
  <c r="D322" i="2"/>
  <c r="B336" i="2"/>
  <c r="D397" i="2"/>
  <c r="C20" i="2"/>
  <c r="B69" i="2"/>
  <c r="C76" i="2"/>
  <c r="B130" i="2"/>
  <c r="C163" i="2"/>
  <c r="D242" i="2"/>
  <c r="C289" i="2"/>
  <c r="C332" i="2"/>
  <c r="A123" i="2" a="1"/>
  <c r="A123" i="2" s="1"/>
  <c r="B243" i="2"/>
  <c r="C261" i="2"/>
  <c r="D230" i="2"/>
  <c r="C230" i="2"/>
  <c r="B230" i="2"/>
  <c r="D297" i="2"/>
  <c r="C297" i="2"/>
  <c r="B297" i="2"/>
  <c r="D165" i="2"/>
  <c r="C165" i="2"/>
  <c r="B165" i="2"/>
  <c r="C111" i="2"/>
  <c r="B111" i="2"/>
  <c r="D111" i="2"/>
  <c r="B71" i="2"/>
  <c r="D71" i="2"/>
  <c r="C71" i="2"/>
  <c r="D250" i="2"/>
  <c r="C250" i="2"/>
  <c r="B250" i="2"/>
  <c r="D135" i="2"/>
  <c r="C135" i="2"/>
  <c r="B135" i="2"/>
  <c r="C136" i="2"/>
  <c r="B136" i="2"/>
  <c r="D136" i="2"/>
  <c r="D52" i="2"/>
  <c r="C52" i="2"/>
  <c r="B52" i="2"/>
  <c r="C128" i="2"/>
  <c r="B128" i="2"/>
  <c r="D128" i="2"/>
  <c r="B44" i="2"/>
  <c r="D44" i="2"/>
  <c r="C44" i="2"/>
  <c r="D268" i="2"/>
  <c r="B268" i="2"/>
  <c r="C268" i="2"/>
  <c r="C348" i="2"/>
  <c r="D348" i="2"/>
  <c r="B348" i="2"/>
  <c r="D169" i="2"/>
  <c r="C169" i="2"/>
  <c r="B169" i="2"/>
  <c r="B75" i="2"/>
  <c r="D75" i="2"/>
  <c r="C75" i="2"/>
  <c r="D3" i="2"/>
  <c r="C3" i="2"/>
  <c r="B3" i="2"/>
  <c r="C106" i="2"/>
  <c r="B106" i="2"/>
  <c r="D106" i="2"/>
  <c r="C13" i="2"/>
  <c r="D13" i="2"/>
  <c r="B13" i="2"/>
  <c r="D370" i="2"/>
  <c r="C370" i="2"/>
  <c r="B370" i="2"/>
  <c r="B160" i="2"/>
  <c r="C160" i="2"/>
  <c r="D160" i="2"/>
  <c r="D257" i="2"/>
  <c r="C257" i="2"/>
  <c r="B257" i="2"/>
  <c r="D309" i="2"/>
  <c r="C309" i="2"/>
  <c r="B309" i="2"/>
  <c r="D344" i="2"/>
  <c r="C344" i="2"/>
  <c r="B344" i="2"/>
  <c r="D5" i="2"/>
  <c r="B5" i="2"/>
  <c r="C5" i="2"/>
  <c r="D122" i="2"/>
  <c r="C122" i="2"/>
  <c r="B122" i="2"/>
  <c r="D139" i="2"/>
  <c r="C139" i="2"/>
  <c r="B139" i="2"/>
  <c r="D187" i="2"/>
  <c r="C187" i="2"/>
  <c r="B187" i="2"/>
  <c r="D196" i="2"/>
  <c r="C196" i="2"/>
  <c r="B196" i="2"/>
  <c r="D179" i="2"/>
  <c r="C179" i="2"/>
  <c r="B179" i="2"/>
  <c r="C18" i="2"/>
  <c r="B18" i="2"/>
  <c r="D18" i="2"/>
  <c r="D42" i="2"/>
  <c r="C42" i="2"/>
  <c r="B42" i="2"/>
  <c r="C89" i="2"/>
  <c r="B89" i="2"/>
  <c r="D89" i="2"/>
  <c r="D140" i="2"/>
  <c r="C140" i="2"/>
  <c r="B140" i="2"/>
  <c r="D172" i="2"/>
  <c r="C172" i="2"/>
  <c r="B172" i="2"/>
  <c r="D236" i="2"/>
  <c r="C236" i="2"/>
  <c r="B236" i="2"/>
  <c r="B391" i="2"/>
  <c r="D391" i="2"/>
  <c r="C391" i="2"/>
  <c r="D133" i="2"/>
  <c r="C133" i="2"/>
  <c r="B133" i="2"/>
  <c r="C168" i="2"/>
  <c r="B168" i="2"/>
  <c r="D168" i="2"/>
  <c r="D320" i="2"/>
  <c r="C320" i="2"/>
  <c r="B320" i="2"/>
  <c r="D301" i="2"/>
  <c r="C301" i="2"/>
  <c r="B301" i="2"/>
  <c r="C114" i="2"/>
  <c r="B114" i="2"/>
  <c r="D114" i="2"/>
  <c r="C96" i="2"/>
  <c r="B96" i="2"/>
  <c r="D96" i="2"/>
  <c r="D143" i="2"/>
  <c r="C143" i="2"/>
  <c r="B143" i="2"/>
  <c r="C164" i="2"/>
  <c r="D164" i="2"/>
  <c r="B164" i="2"/>
  <c r="B49" i="2"/>
  <c r="C24" i="2"/>
  <c r="C28" i="2"/>
  <c r="C32" i="2"/>
  <c r="B40" i="2"/>
  <c r="C73" i="2"/>
  <c r="D276" i="2"/>
  <c r="C276" i="2"/>
  <c r="D282" i="2"/>
  <c r="D295" i="2"/>
  <c r="C295" i="2"/>
  <c r="B295" i="2"/>
  <c r="D302" i="2"/>
  <c r="C302" i="2"/>
  <c r="B302" i="2"/>
  <c r="D316" i="2"/>
  <c r="C316" i="2"/>
  <c r="B316" i="2"/>
  <c r="C159" i="2"/>
  <c r="B159" i="2"/>
  <c r="D212" i="2"/>
  <c r="C212" i="2"/>
  <c r="B212" i="2"/>
  <c r="B308" i="2"/>
  <c r="C308" i="2"/>
  <c r="C9" i="2"/>
  <c r="C93" i="2"/>
  <c r="B93" i="2"/>
  <c r="D283" i="2"/>
  <c r="C283" i="2"/>
  <c r="B283" i="2"/>
  <c r="B374" i="2"/>
  <c r="D381" i="2"/>
  <c r="C381" i="2"/>
  <c r="B381" i="2"/>
  <c r="D28" i="2"/>
  <c r="C63" i="2"/>
  <c r="B104" i="2"/>
  <c r="D330" i="2"/>
  <c r="C330" i="2"/>
  <c r="B330" i="2"/>
  <c r="D365" i="2"/>
  <c r="C365" i="2"/>
  <c r="C374" i="2"/>
  <c r="B32" i="2"/>
  <c r="C36" i="2"/>
  <c r="B63" i="2"/>
  <c r="D68" i="2"/>
  <c r="C68" i="2"/>
  <c r="B98" i="2"/>
  <c r="D98" i="2"/>
  <c r="C98" i="2"/>
  <c r="D221" i="2"/>
  <c r="C221" i="2"/>
  <c r="B45" i="2"/>
  <c r="B83" i="2"/>
  <c r="C83" i="2"/>
  <c r="B154" i="2"/>
  <c r="C177" i="2"/>
  <c r="B177" i="2"/>
  <c r="D177" i="2"/>
  <c r="C2" i="2"/>
  <c r="B21" i="2"/>
  <c r="C33" i="2"/>
  <c r="B33" i="2"/>
  <c r="C138" i="2"/>
  <c r="C154" i="2"/>
  <c r="D183" i="2"/>
  <c r="C183" i="2"/>
  <c r="D227" i="2"/>
  <c r="C227" i="2"/>
  <c r="B227" i="2"/>
  <c r="D2" i="2"/>
  <c r="B6" i="2"/>
  <c r="B41" i="2"/>
  <c r="B50" i="2"/>
  <c r="B59" i="2"/>
  <c r="D83" i="2"/>
  <c r="D88" i="2"/>
  <c r="C104" i="2"/>
  <c r="C121" i="2"/>
  <c r="D144" i="2"/>
  <c r="C144" i="2"/>
  <c r="B144" i="2"/>
  <c r="B178" i="2"/>
  <c r="C200" i="2"/>
  <c r="B207" i="2"/>
  <c r="B262" i="2"/>
  <c r="D277" i="2"/>
  <c r="C277" i="2"/>
  <c r="C290" i="2"/>
  <c r="B304" i="2"/>
  <c r="C343" i="2"/>
  <c r="B365" i="2"/>
  <c r="D241" i="2"/>
  <c r="C241" i="2"/>
  <c r="B241" i="2"/>
  <c r="D9" i="2"/>
  <c r="B17" i="2"/>
  <c r="D36" i="2"/>
  <c r="B54" i="2"/>
  <c r="D194" i="2"/>
  <c r="C194" i="2"/>
  <c r="C17" i="2"/>
  <c r="D54" i="2"/>
  <c r="B68" i="2"/>
  <c r="C78" i="2"/>
  <c r="C88" i="2"/>
  <c r="D93" i="2"/>
  <c r="B200" i="2"/>
  <c r="B221" i="2"/>
  <c r="D248" i="2"/>
  <c r="C248" i="2"/>
  <c r="B248" i="2"/>
  <c r="C21" i="2"/>
  <c r="D64" i="2"/>
  <c r="C64" i="2"/>
  <c r="D78" i="2"/>
  <c r="B99" i="2"/>
  <c r="D138" i="2"/>
  <c r="B214" i="2"/>
  <c r="C6" i="2"/>
  <c r="B10" i="2"/>
  <c r="B25" i="2"/>
  <c r="B29" i="2"/>
  <c r="D33" i="2"/>
  <c r="B37" i="2"/>
  <c r="D41" i="2"/>
  <c r="C50" i="2"/>
  <c r="C59" i="2"/>
  <c r="D79" i="2"/>
  <c r="C79" i="2"/>
  <c r="C99" i="2"/>
  <c r="C105" i="2"/>
  <c r="B105" i="2"/>
  <c r="D121" i="2"/>
  <c r="D149" i="2"/>
  <c r="C149" i="2"/>
  <c r="B149" i="2"/>
  <c r="D155" i="2"/>
  <c r="C155" i="2"/>
  <c r="B155" i="2"/>
  <c r="C178" i="2"/>
  <c r="B183" i="2"/>
  <c r="C207" i="2"/>
  <c r="C214" i="2"/>
  <c r="B222" i="2"/>
  <c r="D228" i="2"/>
  <c r="C228" i="2"/>
  <c r="B228" i="2"/>
  <c r="C249" i="2"/>
  <c r="B249" i="2"/>
  <c r="C262" i="2"/>
  <c r="D269" i="2"/>
  <c r="C269" i="2"/>
  <c r="B269" i="2"/>
  <c r="B277" i="2"/>
  <c r="C304" i="2"/>
  <c r="B311" i="2"/>
  <c r="B318" i="2"/>
  <c r="D343" i="2"/>
  <c r="D351" i="2"/>
  <c r="C351" i="2"/>
  <c r="B351" i="2"/>
  <c r="B24" i="2"/>
  <c r="D49" i="2"/>
  <c r="D235" i="2"/>
  <c r="C235" i="2"/>
  <c r="B235" i="2"/>
  <c r="C40" i="2"/>
  <c r="D73" i="2"/>
  <c r="D110" i="2"/>
  <c r="C110" i="2"/>
  <c r="B132" i="2"/>
  <c r="C132" i="2"/>
  <c r="D45" i="2"/>
  <c r="C25" i="2"/>
  <c r="D29" i="2"/>
  <c r="C37" i="2"/>
  <c r="B161" i="2"/>
  <c r="D201" i="2"/>
  <c r="C201" i="2"/>
  <c r="B201" i="2"/>
  <c r="D215" i="2"/>
  <c r="C215" i="2"/>
  <c r="B215" i="2"/>
  <c r="D270" i="2"/>
  <c r="C270" i="2"/>
  <c r="B270" i="2"/>
  <c r="C311" i="2"/>
  <c r="C318" i="2"/>
  <c r="B366" i="2"/>
  <c r="D394" i="2"/>
  <c r="C394" i="2"/>
  <c r="B394" i="2"/>
  <c r="D216" i="2"/>
  <c r="C216" i="2"/>
  <c r="B216" i="2"/>
  <c r="D263" i="2"/>
  <c r="C263" i="2"/>
  <c r="B263" i="2"/>
  <c r="B271" i="2"/>
  <c r="D271" i="2"/>
  <c r="D312" i="2"/>
  <c r="C312" i="2"/>
  <c r="B312" i="2"/>
  <c r="D324" i="2"/>
  <c r="C324" i="2"/>
  <c r="B324" i="2"/>
  <c r="C337" i="2"/>
  <c r="B337" i="2"/>
  <c r="D376" i="2"/>
  <c r="B376" i="2"/>
  <c r="C90" i="2"/>
  <c r="B90" i="2"/>
  <c r="D90" i="2"/>
  <c r="B156" i="2"/>
  <c r="D162" i="2"/>
  <c r="C162" i="2"/>
  <c r="B162" i="2"/>
  <c r="D217" i="2"/>
  <c r="C217" i="2"/>
  <c r="D223" i="2"/>
  <c r="C223" i="2"/>
  <c r="B223" i="2"/>
  <c r="C271" i="2"/>
  <c r="C285" i="2"/>
  <c r="B285" i="2"/>
  <c r="D285" i="2"/>
  <c r="D313" i="2"/>
  <c r="C313" i="2"/>
  <c r="B345" i="2"/>
  <c r="C345" i="2"/>
  <c r="D97" i="2"/>
  <c r="C97" i="2"/>
  <c r="B97" i="2"/>
  <c r="B30" i="2"/>
  <c r="B38" i="2"/>
  <c r="D51" i="2"/>
  <c r="B60" i="2"/>
  <c r="D70" i="2"/>
  <c r="C100" i="2"/>
  <c r="C156" i="2"/>
  <c r="D173" i="2"/>
  <c r="C173" i="2"/>
  <c r="B173" i="2"/>
  <c r="D189" i="2"/>
  <c r="B217" i="2"/>
  <c r="C243" i="2"/>
  <c r="B258" i="2"/>
  <c r="C286" i="2"/>
  <c r="B286" i="2"/>
  <c r="B298" i="2"/>
  <c r="C298" i="2"/>
  <c r="B313" i="2"/>
  <c r="B325" i="2"/>
  <c r="D325" i="2"/>
  <c r="C325" i="2"/>
  <c r="D337" i="2"/>
  <c r="D345" i="2"/>
  <c r="B352" i="2"/>
  <c r="C376" i="2"/>
  <c r="C38" i="2"/>
  <c r="B56" i="2"/>
  <c r="C60" i="2"/>
  <c r="C80" i="2"/>
  <c r="B95" i="2"/>
  <c r="B107" i="2"/>
  <c r="C107" i="2"/>
  <c r="A129" i="2" a="1"/>
  <c r="A129" i="2" s="1"/>
  <c r="D151" i="2"/>
  <c r="C151" i="2"/>
  <c r="C231" i="2"/>
  <c r="B231" i="2"/>
  <c r="C251" i="2"/>
  <c r="B251" i="2"/>
  <c r="D251" i="2"/>
  <c r="C258" i="2"/>
  <c r="D279" i="2"/>
  <c r="C279" i="2"/>
  <c r="B279" i="2"/>
  <c r="D346" i="2"/>
  <c r="C346" i="2"/>
  <c r="B346" i="2"/>
  <c r="C352" i="2"/>
  <c r="B369" i="2"/>
  <c r="C369" i="2"/>
  <c r="D377" i="2"/>
  <c r="C377" i="2"/>
  <c r="B377" i="2"/>
  <c r="C26" i="2"/>
  <c r="C30" i="2"/>
  <c r="C11" i="2"/>
  <c r="D26" i="2"/>
  <c r="C56" i="2"/>
  <c r="D61" i="2"/>
  <c r="B61" i="2"/>
  <c r="C95" i="2"/>
  <c r="D101" i="2"/>
  <c r="B101" i="2"/>
  <c r="C101" i="2"/>
  <c r="D118" i="2"/>
  <c r="C118" i="2"/>
  <c r="C124" i="2"/>
  <c r="B124" i="2"/>
  <c r="D124" i="2"/>
  <c r="B146" i="2"/>
  <c r="B151" i="2"/>
  <c r="D157" i="2"/>
  <c r="C157" i="2"/>
  <c r="B157" i="2"/>
  <c r="C185" i="2"/>
  <c r="D203" i="2"/>
  <c r="C203" i="2"/>
  <c r="D209" i="2"/>
  <c r="C209" i="2"/>
  <c r="B209" i="2"/>
  <c r="B218" i="2"/>
  <c r="D231" i="2"/>
  <c r="B244" i="2"/>
  <c r="D252" i="2"/>
  <c r="C252" i="2"/>
  <c r="B252" i="2"/>
  <c r="C272" i="2"/>
  <c r="D286" i="2"/>
  <c r="D299" i="2"/>
  <c r="C299" i="2"/>
  <c r="B299" i="2"/>
  <c r="D306" i="2"/>
  <c r="C306" i="2"/>
  <c r="B306" i="2"/>
  <c r="D347" i="2"/>
  <c r="C347" i="2"/>
  <c r="B347" i="2"/>
  <c r="D369" i="2"/>
  <c r="D107" i="2"/>
  <c r="B113" i="2"/>
  <c r="C146" i="2"/>
  <c r="B174" i="2"/>
  <c r="C190" i="2"/>
  <c r="C218" i="2"/>
  <c r="D232" i="2"/>
  <c r="C232" i="2"/>
  <c r="D239" i="2"/>
  <c r="C239" i="2"/>
  <c r="C244" i="2"/>
  <c r="D259" i="2"/>
  <c r="C259" i="2"/>
  <c r="B259" i="2"/>
  <c r="B280" i="2"/>
  <c r="B338" i="2"/>
  <c r="D360" i="2"/>
  <c r="C360" i="2"/>
  <c r="B360" i="2"/>
  <c r="B386" i="2"/>
  <c r="C386" i="2"/>
  <c r="D192" i="2"/>
  <c r="C192" i="2"/>
  <c r="D266" i="2"/>
  <c r="C266" i="2"/>
  <c r="B266" i="2"/>
  <c r="D288" i="2"/>
  <c r="C288" i="2"/>
  <c r="B288" i="2"/>
  <c r="D362" i="2"/>
  <c r="C362" i="2"/>
  <c r="B65" i="2"/>
  <c r="C65" i="2"/>
  <c r="C108" i="2"/>
  <c r="B108" i="2"/>
  <c r="C113" i="2"/>
  <c r="B118" i="2"/>
  <c r="C174" i="2"/>
  <c r="D190" i="2"/>
  <c r="B203" i="2"/>
  <c r="D210" i="2"/>
  <c r="C210" i="2"/>
  <c r="B210" i="2"/>
  <c r="D253" i="2"/>
  <c r="C253" i="2"/>
  <c r="B253" i="2"/>
  <c r="D273" i="2"/>
  <c r="C273" i="2"/>
  <c r="B273" i="2"/>
  <c r="C280" i="2"/>
  <c r="D327" i="2"/>
  <c r="C327" i="2"/>
  <c r="C338" i="2"/>
  <c r="D386" i="2"/>
  <c r="B87" i="2"/>
  <c r="B51" i="2"/>
  <c r="D274" i="2"/>
  <c r="C274" i="2"/>
  <c r="B274" i="2"/>
  <c r="C7" i="2"/>
  <c r="B15" i="2"/>
  <c r="D80" i="2"/>
  <c r="D15" i="2"/>
  <c r="C19" i="2"/>
  <c r="D119" i="2"/>
  <c r="B119" i="2"/>
  <c r="C119" i="2"/>
  <c r="D191" i="2"/>
  <c r="C191" i="2"/>
  <c r="B191" i="2"/>
  <c r="D198" i="2"/>
  <c r="C198" i="2"/>
  <c r="B198" i="2"/>
  <c r="A204" i="2" a="1"/>
  <c r="A204" i="2" s="1"/>
  <c r="B211" i="2"/>
  <c r="C211" i="2"/>
  <c r="D219" i="2"/>
  <c r="C219" i="2"/>
  <c r="B219" i="2"/>
  <c r="B232" i="2"/>
  <c r="B239" i="2"/>
  <c r="D245" i="2"/>
  <c r="C245" i="2"/>
  <c r="B245" i="2"/>
  <c r="B287" i="2"/>
  <c r="B355" i="2"/>
  <c r="D371" i="2"/>
  <c r="C371" i="2"/>
  <c r="B371" i="2"/>
  <c r="C379" i="2"/>
  <c r="D387" i="2"/>
  <c r="C387" i="2"/>
  <c r="B387" i="2"/>
  <c r="A55" i="2" a="1"/>
  <c r="A55" i="2" s="1"/>
  <c r="A368" i="2" a="1"/>
  <c r="A368" i="2" s="1"/>
  <c r="A353" i="2" a="1"/>
  <c r="A353" i="2" s="1"/>
  <c r="A102" i="2" a="1"/>
  <c r="A102" i="2" s="1"/>
  <c r="B7" i="2"/>
  <c r="D11" i="2"/>
  <c r="B19" i="2"/>
  <c r="B4" i="2"/>
  <c r="D47" i="2"/>
  <c r="D85" i="2"/>
  <c r="C4" i="2"/>
  <c r="B8" i="2"/>
  <c r="B23" i="2"/>
  <c r="B27" i="2"/>
  <c r="B31" i="2"/>
  <c r="B35" i="2"/>
  <c r="B43" i="2"/>
  <c r="C61" i="2"/>
  <c r="C8" i="2"/>
  <c r="B12" i="2"/>
  <c r="C23" i="2"/>
  <c r="C27" i="2"/>
  <c r="C31" i="2"/>
  <c r="C35" i="2"/>
  <c r="B39" i="2"/>
  <c r="C43" i="2"/>
  <c r="B48" i="2"/>
  <c r="B57" i="2"/>
  <c r="C72" i="2"/>
  <c r="B72" i="2"/>
  <c r="C81" i="2"/>
  <c r="D57" i="2"/>
  <c r="C62" i="2"/>
  <c r="D81" i="2"/>
  <c r="D108" i="2"/>
  <c r="B125" i="2"/>
  <c r="B142" i="2"/>
  <c r="D211" i="2"/>
  <c r="B225" i="2"/>
  <c r="C287" i="2"/>
  <c r="A315" i="2" a="1"/>
  <c r="A315" i="2" s="1"/>
  <c r="B327" i="2"/>
  <c r="D340" i="2"/>
  <c r="C340" i="2"/>
  <c r="B340" i="2"/>
  <c r="D379" i="2"/>
  <c r="D388" i="2"/>
  <c r="C388" i="2"/>
  <c r="B388" i="2"/>
  <c r="C398" i="2"/>
  <c r="D398" i="2"/>
  <c r="B398" i="2"/>
  <c r="C126" i="2"/>
  <c r="B126" i="2"/>
  <c r="C131" i="2"/>
  <c r="B131" i="2"/>
  <c r="D137" i="2"/>
  <c r="B137" i="2"/>
  <c r="D159" i="2"/>
  <c r="B192" i="2"/>
  <c r="D234" i="2"/>
  <c r="C234" i="2"/>
  <c r="B234" i="2"/>
  <c r="B282" i="2"/>
  <c r="D308" i="2"/>
  <c r="D334" i="2"/>
  <c r="C334" i="2"/>
  <c r="B334" i="2"/>
  <c r="B341" i="2"/>
  <c r="D349" i="2"/>
  <c r="C349" i="2"/>
  <c r="B349" i="2"/>
  <c r="D399" i="2"/>
  <c r="C399" i="2"/>
  <c r="B399" i="2"/>
  <c r="D87" i="2"/>
  <c r="D115" i="2"/>
  <c r="C115" i="2"/>
  <c r="B115" i="2"/>
  <c r="B176" i="2"/>
  <c r="D205" i="2"/>
  <c r="C205" i="2"/>
  <c r="B205" i="2"/>
  <c r="C267" i="2"/>
  <c r="B267" i="2"/>
  <c r="D267" i="2"/>
  <c r="C341" i="2"/>
  <c r="B362" i="2"/>
  <c r="D373" i="2"/>
  <c r="C373" i="2"/>
  <c r="B373" i="2"/>
  <c r="D390" i="2"/>
  <c r="C390" i="2"/>
  <c r="B86" i="2"/>
  <c r="D171" i="2"/>
  <c r="D193" i="2"/>
  <c r="D233" i="2"/>
  <c r="D396" i="2"/>
  <c r="C396" i="2"/>
  <c r="B396" i="2"/>
  <c r="C195" i="2"/>
  <c r="B195" i="2"/>
  <c r="D281" i="2"/>
  <c r="C281" i="2"/>
  <c r="B281" i="2"/>
  <c r="B300" i="2"/>
  <c r="D342" i="2"/>
  <c r="C342" i="2"/>
  <c r="B342" i="2"/>
  <c r="D385" i="2"/>
  <c r="C385" i="2"/>
  <c r="B385" i="2"/>
  <c r="C213" i="2"/>
  <c r="B213" i="2"/>
  <c r="D328" i="2"/>
  <c r="C328" i="2"/>
  <c r="B328" i="2"/>
  <c r="B356" i="2"/>
  <c r="C361" i="2"/>
  <c r="D392" i="2"/>
  <c r="C392" i="2"/>
  <c r="D367" i="2"/>
  <c r="C367" i="2"/>
  <c r="C372" i="2"/>
  <c r="C339" i="2"/>
  <c r="B339" i="2"/>
  <c r="D339" i="2"/>
  <c r="B392" i="2"/>
  <c r="C123" i="2"/>
  <c r="B123" i="2"/>
  <c r="C393" i="2"/>
  <c r="B393" i="2"/>
  <c r="D393" i="2"/>
  <c r="D123" i="2"/>
  <c r="B246" i="2"/>
  <c r="B264" i="2"/>
  <c r="B293" i="2"/>
  <c r="B358" i="2"/>
  <c r="B367" i="2"/>
  <c r="D382" i="2"/>
  <c r="C382" i="2"/>
  <c r="B382" i="2"/>
  <c r="B175" i="2"/>
  <c r="B197" i="2"/>
  <c r="B255" i="2"/>
  <c r="C358" i="2"/>
  <c r="A363" i="2" a="1"/>
  <c r="A363" i="2" s="1"/>
  <c r="C153" i="2"/>
  <c r="C175" i="2"/>
  <c r="D180" i="2"/>
  <c r="C180" i="2"/>
  <c r="B180" i="2"/>
  <c r="C197" i="2"/>
  <c r="C206" i="2"/>
  <c r="C237" i="2"/>
  <c r="C255" i="2"/>
  <c r="D335" i="2"/>
  <c r="C335" i="2"/>
  <c r="B335" i="2"/>
  <c r="C354" i="2"/>
  <c r="B383" i="2"/>
  <c r="B171" i="2"/>
  <c r="B193" i="2"/>
  <c r="D206" i="2"/>
  <c r="B233" i="2"/>
  <c r="B326" i="2"/>
  <c r="D331" i="2"/>
  <c r="C331" i="2"/>
  <c r="C383" i="2"/>
  <c r="C141" i="2"/>
  <c r="B141" i="2"/>
  <c r="B158" i="2"/>
  <c r="C303" i="2"/>
  <c r="B303" i="2"/>
  <c r="D303" i="2"/>
  <c r="D317" i="2"/>
  <c r="C317" i="2"/>
  <c r="B317" i="2"/>
  <c r="D378" i="2"/>
  <c r="C378" i="2"/>
  <c r="B378" i="2"/>
  <c r="D400" i="2"/>
  <c r="C400" i="2"/>
  <c r="B400" i="2"/>
  <c r="B389" i="2"/>
  <c r="B238" i="2"/>
  <c r="B256" i="2"/>
  <c r="B292" i="2"/>
  <c r="B310" i="2"/>
  <c r="B364" i="2"/>
  <c r="C389" i="2"/>
  <c r="C166" i="2"/>
  <c r="C184" i="2"/>
  <c r="C202" i="2"/>
  <c r="C220" i="2"/>
  <c r="C238" i="2"/>
  <c r="C256" i="2"/>
  <c r="C292" i="2"/>
  <c r="C310" i="2"/>
  <c r="B321" i="2"/>
  <c r="B357" i="2"/>
  <c r="C364" i="2"/>
  <c r="B375" i="2"/>
  <c r="D315" i="2" l="1"/>
  <c r="C315" i="2"/>
  <c r="B315" i="2"/>
  <c r="D129" i="2"/>
  <c r="C129" i="2"/>
  <c r="B129" i="2"/>
  <c r="D363" i="2"/>
  <c r="C363" i="2"/>
  <c r="B363" i="2"/>
  <c r="D353" i="2"/>
  <c r="C353" i="2"/>
  <c r="B353" i="2"/>
  <c r="B368" i="2"/>
  <c r="C368" i="2"/>
  <c r="D368" i="2"/>
  <c r="D102" i="2"/>
  <c r="C102" i="2"/>
  <c r="B102" i="2"/>
  <c r="D55" i="2"/>
  <c r="C55" i="2"/>
  <c r="B55" i="2"/>
  <c r="D204" i="2"/>
  <c r="B204" i="2"/>
  <c r="C20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1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<sst xmlns="http://schemas.openxmlformats.org/spreadsheetml/2006/main" count="459" uniqueCount="436">
  <si>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</si>
  <si>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</si>
  <si>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</si>
  <si>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</si>
  <si>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</si>
  <si>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</si>
  <si>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</si>
  <si>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</si>
  <si>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</si>
  <si>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</si>
  <si>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</si>
  <si>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</si>
  <si>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</si>
  <si>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</si>
  <si>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</si>
  <si>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</si>
  <si>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</si>
  <si>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</si>
  <si>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</si>
  <si>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</si>
  <si>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</si>
  <si>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</si>
  <si>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</si>
  <si>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</si>
  <si>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</si>
  <si>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</si>
  <si>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</si>
  <si>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</si>
  <si>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</si>
  <si>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</si>
  <si>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</si>
  <si>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</si>
  <si>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</si>
  <si>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</si>
  <si>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</si>
  <si>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2#1201</t>
  </si>
  <si>
    <t>2#1202</t>
  </si>
  <si>
    <t>2#1203</t>
  </si>
  <si>
    <t>2#1204</t>
  </si>
  <si>
    <t>2#1205</t>
  </si>
  <si>
    <t>2#1206</t>
  </si>
  <si>
    <t>2#1207</t>
  </si>
  <si>
    <t>2#1208</t>
  </si>
  <si>
    <t>2#1209</t>
  </si>
  <si>
    <t>2#1210</t>
  </si>
  <si>
    <t>2#1211</t>
  </si>
  <si>
    <t>2#1212</t>
  </si>
  <si>
    <t>2#1213</t>
  </si>
  <si>
    <t>2#1214</t>
  </si>
  <si>
    <t>2#1215</t>
  </si>
  <si>
    <t>2#1216</t>
  </si>
  <si>
    <t>2#1217</t>
  </si>
  <si>
    <t>2#1218</t>
  </si>
  <si>
    <t>2#1219</t>
  </si>
  <si>
    <t>2#1220</t>
  </si>
  <si>
    <t>2#1221</t>
  </si>
  <si>
    <t>2#1222</t>
  </si>
  <si>
    <t>2#1223</t>
  </si>
  <si>
    <t>2#1224</t>
  </si>
  <si>
    <t>2#1225</t>
  </si>
  <si>
    <t>2#1226</t>
  </si>
  <si>
    <t>2#1227</t>
  </si>
  <si>
    <t>2#1228</t>
  </si>
  <si>
    <t>2#1229</t>
  </si>
  <si>
    <t>2#1230</t>
  </si>
  <si>
    <t>2#1231</t>
  </si>
  <si>
    <t>2#1232</t>
  </si>
  <si>
    <t>2#1233</t>
  </si>
  <si>
    <t>2#1234</t>
  </si>
  <si>
    <t>2#1235</t>
  </si>
  <si>
    <t>2#1236</t>
  </si>
  <si>
    <t>2#1237</t>
  </si>
  <si>
    <t>2#1238</t>
  </si>
  <si>
    <t>2#1239</t>
  </si>
  <si>
    <t>2#1240</t>
  </si>
  <si>
    <t>2#1241</t>
  </si>
  <si>
    <t>2#1242</t>
  </si>
  <si>
    <t>2#1243</t>
  </si>
  <si>
    <t>2#1244</t>
  </si>
  <si>
    <t>2#1245</t>
  </si>
  <si>
    <t>2#1246</t>
  </si>
  <si>
    <t>2#1247</t>
  </si>
  <si>
    <t>2#1248</t>
  </si>
  <si>
    <t>2#1249</t>
  </si>
  <si>
    <t>2#1250</t>
  </si>
  <si>
    <t>2#1251</t>
  </si>
  <si>
    <t>2#1252</t>
  </si>
  <si>
    <t>2#1253</t>
  </si>
  <si>
    <t>2#1254</t>
  </si>
  <si>
    <t>2#1255</t>
  </si>
  <si>
    <t>2#1256</t>
  </si>
  <si>
    <t>2#1257</t>
  </si>
  <si>
    <t>2#1258</t>
  </si>
  <si>
    <t>2#1259</t>
  </si>
  <si>
    <t>2#1260</t>
  </si>
  <si>
    <t>2#1261</t>
  </si>
  <si>
    <t>2#1262</t>
  </si>
  <si>
    <t>2#1263</t>
  </si>
  <si>
    <t>2#1264</t>
  </si>
  <si>
    <t>2#1265</t>
  </si>
  <si>
    <t>2#1266</t>
  </si>
  <si>
    <t>2#1267</t>
  </si>
  <si>
    <t>2#1268</t>
  </si>
  <si>
    <t>2#1269</t>
  </si>
  <si>
    <t>2#1270</t>
  </si>
  <si>
    <t>2#1271</t>
  </si>
  <si>
    <t>2#1272</t>
  </si>
  <si>
    <t>2#1273</t>
  </si>
  <si>
    <t>2#1274</t>
  </si>
  <si>
    <t>2#1275</t>
  </si>
  <si>
    <t>2#1276</t>
  </si>
  <si>
    <t>2#1277</t>
  </si>
  <si>
    <t>2#1278</t>
  </si>
  <si>
    <t>2#1279</t>
  </si>
  <si>
    <t>2#1280</t>
  </si>
  <si>
    <t>2#1281</t>
  </si>
  <si>
    <t>2#1282</t>
  </si>
  <si>
    <t>2#1283</t>
  </si>
  <si>
    <t>2#1284</t>
  </si>
  <si>
    <t>2#1285</t>
  </si>
  <si>
    <t>2#1286</t>
  </si>
  <si>
    <t>2#1287</t>
  </si>
  <si>
    <t>2#1288</t>
  </si>
  <si>
    <t>2#1289</t>
  </si>
  <si>
    <t>2#1290</t>
  </si>
  <si>
    <t>2#1291</t>
  </si>
  <si>
    <t>2#1292</t>
  </si>
  <si>
    <t>2#1293</t>
  </si>
  <si>
    <t>2#1294</t>
  </si>
  <si>
    <t>2#1295</t>
  </si>
  <si>
    <t>2#1296</t>
  </si>
  <si>
    <t>2#1297</t>
  </si>
  <si>
    <t>2#1298</t>
  </si>
  <si>
    <t>2#1299</t>
  </si>
  <si>
    <t>2#1300</t>
  </si>
  <si>
    <t>2#1301</t>
  </si>
  <si>
    <t>2#1302</t>
  </si>
  <si>
    <t>2#1303</t>
  </si>
  <si>
    <t>2#1304</t>
  </si>
  <si>
    <t>2#1305</t>
  </si>
  <si>
    <t>2#1306</t>
  </si>
  <si>
    <t>2#1307</t>
  </si>
  <si>
    <t>2#1308</t>
  </si>
  <si>
    <t>2#1309</t>
  </si>
  <si>
    <t>2#1310</t>
  </si>
  <si>
    <t>2#1311</t>
  </si>
  <si>
    <t>2#1312</t>
  </si>
  <si>
    <t>2#1313</t>
  </si>
  <si>
    <t>2#1314</t>
  </si>
  <si>
    <t>2#1315</t>
  </si>
  <si>
    <t>2#1316</t>
  </si>
  <si>
    <t>2#1317</t>
  </si>
  <si>
    <t>2#1318</t>
  </si>
  <si>
    <t>2#1319</t>
  </si>
  <si>
    <t>2#1320</t>
  </si>
  <si>
    <t>2#1321</t>
  </si>
  <si>
    <t>2#1322</t>
  </si>
  <si>
    <t>2#1323</t>
  </si>
  <si>
    <t>2#1324</t>
  </si>
  <si>
    <t>2#1325</t>
  </si>
  <si>
    <t>2#1326</t>
  </si>
  <si>
    <t>2#1327</t>
  </si>
  <si>
    <t>2#1328</t>
  </si>
  <si>
    <t>2#1329</t>
  </si>
  <si>
    <t>2#1330</t>
  </si>
  <si>
    <t>2#1331</t>
  </si>
  <si>
    <t>2#1332</t>
  </si>
  <si>
    <t>2#1333</t>
  </si>
  <si>
    <t>2#1334</t>
  </si>
  <si>
    <t>2#1335</t>
  </si>
  <si>
    <t>2#1336</t>
  </si>
  <si>
    <t>2#1337</t>
  </si>
  <si>
    <t>2#1338</t>
  </si>
  <si>
    <t>2#1339</t>
  </si>
  <si>
    <t>2#1340</t>
  </si>
  <si>
    <t>2#1341</t>
  </si>
  <si>
    <t>2#1342</t>
  </si>
  <si>
    <t>2#1343</t>
  </si>
  <si>
    <t>2#1344</t>
  </si>
  <si>
    <t>2#1345</t>
  </si>
  <si>
    <t>2#1346</t>
  </si>
  <si>
    <t>2#1347</t>
  </si>
  <si>
    <t>2#1348</t>
  </si>
  <si>
    <t>2#1349</t>
  </si>
  <si>
    <t>2#1350</t>
  </si>
  <si>
    <t>2#1351</t>
  </si>
  <si>
    <t>2#1352</t>
  </si>
  <si>
    <t>2#1353</t>
  </si>
  <si>
    <t>2#1354</t>
  </si>
  <si>
    <t>2#1355</t>
  </si>
  <si>
    <t>2#1356</t>
  </si>
  <si>
    <t>2#1357</t>
  </si>
  <si>
    <t>2#1358</t>
  </si>
  <si>
    <t>2#1359</t>
  </si>
  <si>
    <t>2#1360</t>
  </si>
  <si>
    <t>2#1361</t>
  </si>
  <si>
    <t>2#1362</t>
  </si>
  <si>
    <t>2#1363</t>
  </si>
  <si>
    <t>2#1364</t>
  </si>
  <si>
    <t>2#1365</t>
  </si>
  <si>
    <t>2#1366</t>
  </si>
  <si>
    <t>2#1367</t>
  </si>
  <si>
    <t>2#1368</t>
  </si>
  <si>
    <t>2#1369</t>
  </si>
  <si>
    <t>2#1370</t>
  </si>
  <si>
    <t>2#1371</t>
  </si>
  <si>
    <t>2#1372</t>
  </si>
  <si>
    <t>2#1373</t>
  </si>
  <si>
    <t>2#1374</t>
  </si>
  <si>
    <t>2#1375</t>
  </si>
  <si>
    <t>2#1376</t>
  </si>
  <si>
    <t>2#1377</t>
  </si>
  <si>
    <t>2#1378</t>
  </si>
  <si>
    <t>2#1379</t>
  </si>
  <si>
    <t>2#1380</t>
  </si>
  <si>
    <t>2#1381</t>
  </si>
  <si>
    <t>2#1382</t>
  </si>
  <si>
    <t>2#1383</t>
  </si>
  <si>
    <t>2#1384</t>
  </si>
  <si>
    <t>2#1385</t>
  </si>
  <si>
    <t>2#1386</t>
  </si>
  <si>
    <t>2#1387</t>
  </si>
  <si>
    <t>2#1388</t>
  </si>
  <si>
    <t>2#1389</t>
  </si>
  <si>
    <t>2#1390</t>
  </si>
  <si>
    <t>2#1391</t>
  </si>
  <si>
    <t>2#1392</t>
  </si>
  <si>
    <t>2#1393</t>
  </si>
  <si>
    <t>2#1394</t>
  </si>
  <si>
    <t>2#1395</t>
  </si>
  <si>
    <t>2#1396</t>
  </si>
  <si>
    <t>2#1397</t>
  </si>
  <si>
    <t>2#1398</t>
  </si>
  <si>
    <t>2#1399</t>
  </si>
  <si>
    <t>2#1400</t>
  </si>
  <si>
    <t>2#1401</t>
  </si>
  <si>
    <t>2#1402</t>
  </si>
  <si>
    <t>2#1403</t>
  </si>
  <si>
    <t>2#1404</t>
  </si>
  <si>
    <t>2#1405</t>
  </si>
  <si>
    <t>2#1406</t>
  </si>
  <si>
    <t>2#1407</t>
  </si>
  <si>
    <t>2#1408</t>
  </si>
  <si>
    <t>2#1409</t>
  </si>
  <si>
    <t>2#1410</t>
  </si>
  <si>
    <t>2#1411</t>
  </si>
  <si>
    <t>2#1412</t>
  </si>
  <si>
    <t>2#1413</t>
  </si>
  <si>
    <t>2#1414</t>
  </si>
  <si>
    <t>2#1415</t>
  </si>
  <si>
    <t>2#1416</t>
  </si>
  <si>
    <t>2#1417</t>
  </si>
  <si>
    <t>2#1418</t>
  </si>
  <si>
    <t>2#1419</t>
  </si>
  <si>
    <t>2#1420</t>
  </si>
  <si>
    <t>2#1421</t>
  </si>
  <si>
    <t>2#1422</t>
  </si>
  <si>
    <t>2#1423</t>
  </si>
  <si>
    <t>2#1424</t>
  </si>
  <si>
    <t>2#1425</t>
  </si>
  <si>
    <t>2#1426</t>
  </si>
  <si>
    <t>2#1427</t>
  </si>
  <si>
    <t>2#1428</t>
  </si>
  <si>
    <t>2#1429</t>
  </si>
  <si>
    <t>2#1430</t>
  </si>
  <si>
    <t>2#1431</t>
  </si>
  <si>
    <t>2#1432</t>
  </si>
  <si>
    <t>2#1433</t>
  </si>
  <si>
    <t>2#1434</t>
  </si>
  <si>
    <t>2#1435</t>
  </si>
  <si>
    <t>2#1436</t>
  </si>
  <si>
    <t>2#1437</t>
  </si>
  <si>
    <t>2#1438</t>
  </si>
  <si>
    <t>2#1439</t>
  </si>
  <si>
    <t>2#1440</t>
  </si>
  <si>
    <t>2#1441</t>
  </si>
  <si>
    <t>2#1442</t>
  </si>
  <si>
    <t>2#1443</t>
  </si>
  <si>
    <t>2#1444</t>
  </si>
  <si>
    <t>2#1445</t>
  </si>
  <si>
    <t>2#1446</t>
  </si>
  <si>
    <t>2#1447</t>
  </si>
  <si>
    <t>2#1448</t>
  </si>
  <si>
    <t>2#1449</t>
  </si>
  <si>
    <t>2#1450</t>
  </si>
  <si>
    <t>2#1451</t>
  </si>
  <si>
    <t>2#1452</t>
  </si>
  <si>
    <t>2#1453</t>
  </si>
  <si>
    <t>2#1454</t>
  </si>
  <si>
    <t>2#1455</t>
  </si>
  <si>
    <t>2#1456</t>
  </si>
  <si>
    <t>2#1457</t>
  </si>
  <si>
    <t>2#1458</t>
  </si>
  <si>
    <t>2#1459</t>
  </si>
  <si>
    <t>2#1460</t>
  </si>
  <si>
    <t>2#1461</t>
  </si>
  <si>
    <t>2#1462</t>
  </si>
  <si>
    <t>2#1463</t>
  </si>
  <si>
    <t>2#1464</t>
  </si>
  <si>
    <t>2#1465</t>
  </si>
  <si>
    <t>2#1466</t>
  </si>
  <si>
    <t>2#1467</t>
  </si>
  <si>
    <t>2#1468</t>
  </si>
  <si>
    <t>2#1469</t>
  </si>
  <si>
    <t>2#1470</t>
  </si>
  <si>
    <t>2#1471</t>
  </si>
  <si>
    <t>2#1472</t>
  </si>
  <si>
    <t>2#1473</t>
  </si>
  <si>
    <t>2#1474</t>
  </si>
  <si>
    <t>2#1475</t>
  </si>
  <si>
    <t>2#1476</t>
  </si>
  <si>
    <t>2#1477</t>
  </si>
  <si>
    <t>2#1478</t>
  </si>
  <si>
    <t>2#1479</t>
  </si>
  <si>
    <t>2#1480</t>
  </si>
  <si>
    <t>2#1481</t>
  </si>
  <si>
    <t>2#1482</t>
  </si>
  <si>
    <t>2#1483</t>
  </si>
  <si>
    <t>2#1484</t>
  </si>
  <si>
    <t>2#1485</t>
  </si>
  <si>
    <t>2#1486</t>
  </si>
  <si>
    <t>2#1487</t>
  </si>
  <si>
    <t>2#1488</t>
  </si>
  <si>
    <t>2#1489</t>
  </si>
  <si>
    <t>2#1490</t>
  </si>
  <si>
    <t>2#1491</t>
  </si>
  <si>
    <t>2#1492</t>
  </si>
  <si>
    <t>2#1493</t>
  </si>
  <si>
    <t>2#1494</t>
  </si>
  <si>
    <t>2#1495</t>
  </si>
  <si>
    <t>2#1496</t>
  </si>
  <si>
    <t>2#1497</t>
  </si>
  <si>
    <t>2#1498</t>
  </si>
  <si>
    <t>2#1499</t>
  </si>
  <si>
    <t>2#1500</t>
  </si>
  <si>
    <t>2#1501</t>
  </si>
  <si>
    <t>2#1502</t>
  </si>
  <si>
    <t>2#1503</t>
  </si>
  <si>
    <t>2#1504</t>
  </si>
  <si>
    <t>2#1505</t>
  </si>
  <si>
    <t>2#1506</t>
  </si>
  <si>
    <t>2#1507</t>
  </si>
  <si>
    <t>2#1508</t>
  </si>
  <si>
    <t>2#1509</t>
  </si>
  <si>
    <t>2#1510</t>
  </si>
  <si>
    <t>2#1511</t>
  </si>
  <si>
    <t>2#1512</t>
  </si>
  <si>
    <t>2#1513</t>
  </si>
  <si>
    <t>2#1514</t>
  </si>
  <si>
    <t>2#1515</t>
  </si>
  <si>
    <t>2#1516</t>
  </si>
  <si>
    <t>2#1517</t>
  </si>
  <si>
    <t>2#1518</t>
  </si>
  <si>
    <t>2#1519</t>
  </si>
  <si>
    <t>2#1520</t>
  </si>
  <si>
    <t>2#1521</t>
  </si>
  <si>
    <t>2#1522</t>
  </si>
  <si>
    <t>2#1523</t>
  </si>
  <si>
    <t>2#1524</t>
  </si>
  <si>
    <t>2#1525</t>
  </si>
  <si>
    <t>2#1526</t>
  </si>
  <si>
    <t>2#1527</t>
  </si>
  <si>
    <t>2#1528</t>
  </si>
  <si>
    <t>2#1529</t>
  </si>
  <si>
    <t>2#1530</t>
  </si>
  <si>
    <t>2#1531</t>
  </si>
  <si>
    <t>2#1532</t>
  </si>
  <si>
    <t>2#1533</t>
  </si>
  <si>
    <t>2#1534</t>
  </si>
  <si>
    <t>2#1535</t>
  </si>
  <si>
    <t>2#1536</t>
  </si>
  <si>
    <t>2#1537</t>
  </si>
  <si>
    <t>2#1538</t>
  </si>
  <si>
    <t>2#1539</t>
  </si>
  <si>
    <t>2#1540</t>
  </si>
  <si>
    <t>2#1541</t>
  </si>
  <si>
    <t>2#1542</t>
  </si>
  <si>
    <t>2#1543</t>
  </si>
  <si>
    <t>2#1544</t>
  </si>
  <si>
    <t>2#1545</t>
  </si>
  <si>
    <t>2#1546</t>
  </si>
  <si>
    <t>2#1547</t>
  </si>
  <si>
    <t>2#1548</t>
  </si>
  <si>
    <t>2#1549</t>
  </si>
  <si>
    <t>2#1550</t>
  </si>
  <si>
    <t>2#1551</t>
  </si>
  <si>
    <t>2#1552</t>
  </si>
  <si>
    <t>2#1553</t>
  </si>
  <si>
    <t>2#1554</t>
  </si>
  <si>
    <t>2#1555</t>
  </si>
  <si>
    <t>2#1556</t>
  </si>
  <si>
    <t>2#1557</t>
  </si>
  <si>
    <t>2#1558</t>
  </si>
  <si>
    <t>2#1559</t>
  </si>
  <si>
    <t>2#1560</t>
  </si>
  <si>
    <t>2#1561</t>
  </si>
  <si>
    <t>2#1562</t>
  </si>
  <si>
    <t>2#1563</t>
  </si>
  <si>
    <t>2#1564</t>
  </si>
  <si>
    <t>2#1565</t>
  </si>
  <si>
    <t>2#1566</t>
  </si>
  <si>
    <t>2#1567</t>
  </si>
  <si>
    <t>2#1568</t>
  </si>
  <si>
    <t>2#1569</t>
  </si>
  <si>
    <t>2#1570</t>
  </si>
  <si>
    <t>2#1571</t>
  </si>
  <si>
    <t>2#1572</t>
  </si>
  <si>
    <t>2#1573</t>
  </si>
  <si>
    <t>2#1574</t>
  </si>
  <si>
    <t>2#1575</t>
  </si>
  <si>
    <t>2#1576</t>
  </si>
  <si>
    <t>2#1577</t>
  </si>
  <si>
    <t>2#1578</t>
  </si>
  <si>
    <t>2#1579</t>
  </si>
  <si>
    <t>2#1580</t>
  </si>
  <si>
    <t>2#1581</t>
  </si>
  <si>
    <t>2#1582</t>
  </si>
  <si>
    <t>2#1583</t>
  </si>
  <si>
    <t>2#1584</t>
  </si>
  <si>
    <t>2#1585</t>
  </si>
  <si>
    <t>2#1586</t>
  </si>
  <si>
    <t>2#1587</t>
  </si>
  <si>
    <t>2#1588</t>
  </si>
  <si>
    <t>2#1589</t>
  </si>
  <si>
    <t>2#1590</t>
  </si>
  <si>
    <t>2#1591</t>
  </si>
  <si>
    <t>2#1592</t>
  </si>
  <si>
    <t>2#1593</t>
  </si>
  <si>
    <t>2#1594</t>
  </si>
  <si>
    <t>2#1595</t>
  </si>
  <si>
    <t>2#1596</t>
  </si>
  <si>
    <t>2#1597</t>
  </si>
  <si>
    <t>2#1598</t>
  </si>
  <si>
    <t>2#1599</t>
  </si>
  <si>
    <t>2#1600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</si>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</sst>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8</v>
    <v>7</v>
    <v>1</v>
  </rv>
  <rv s="0">
    <v>1</v>
    <v>8</v>
    <v>1</v>
    <v>1</v>
  </rv>
  <rv s="0">
    <v>0</v>
    <v>8</v>
    <v>5</v>
    <v>1</v>
  </rv>
  <rv s="0">
    <v>1</v>
    <v>8</v>
    <v>0</v>
    <v>1</v>
  </rv>
  <rv s="0">
    <v>0</v>
    <v>8</v>
    <v>2</v>
    <v>1</v>
  </rv>
  <rv s="0">
    <v>0</v>
    <v>8</v>
    <v>1</v>
    <v>1</v>
  </rv>
  <rv s="0">
    <v>15</v>
    <v>8</v>
    <v>0</v>
    <v>1</v>
  </rv>
  <rv s="0">
    <v>1</v>
    <v>8</v>
    <v>4</v>
    <v>1</v>
  </rv>
  <rv s="0">
    <v>2</v>
    <v>8</v>
    <v>0</v>
    <v>1</v>
  </rv>
  <rv s="0">
    <v>0</v>
    <v>8</v>
    <v>6</v>
    <v>1</v>
  </rv>
  <rv s="0">
    <v>0</v>
    <v>8</v>
    <v>4</v>
    <v>1</v>
  </rv>
  <rv s="0">
    <v>5</v>
    <v>8</v>
    <v>0</v>
    <v>1</v>
  </rv>
  <rv s="0">
    <v>0</v>
    <v>8</v>
    <v>3</v>
    <v>1</v>
  </rv>
  <rv s="0">
    <v>3</v>
    <v>8</v>
    <v>7</v>
    <v>1</v>
  </rv>
  <rv s="1">
    <v>13</v>
    <v>3</v>
  </rv>
  <rv s="0">
    <v>1</v>
    <v>8</v>
    <v>6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IMPRODUCT("3+4i")+IMEXP("18:30")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PRICEMAT(61,DATE(2008,4,13),AVEDEV(D!B1:B8,D!B3,D!AV1:AV7),0.061,10,0)</f>
        <v>-0.21231095025411983</v>
      </c>
      <c r="B2">
        <f t="shared" si="0"/>
        <v>0</v>
      </c>
      <c r="C2">
        <f t="shared" si="1"/>
        <v>-0.21231095025411983</v>
      </c>
      <c r="D2" t="str">
        <f t="shared" si="2"/>
        <v/>
      </c>
      <c r="E2" t="s">
        <v>36</v>
      </c>
    </row>
    <row r="3" spans="1:5" x14ac:dyDescent="0.2">
      <c r="A3" cm="1">
        <f t="array" ref="A3">N(7)</f>
        <v>7</v>
      </c>
      <c r="B3">
        <f t="shared" si="0"/>
        <v>0</v>
      </c>
      <c r="C3">
        <f t="shared" si="1"/>
        <v>7</v>
      </c>
      <c r="D3" t="str">
        <f t="shared" si="2"/>
        <v/>
      </c>
      <c r="E3" t="s">
        <v>37</v>
      </c>
    </row>
    <row r="4" spans="1:5" x14ac:dyDescent="0.2">
      <c r="A4" t="e" cm="1">
        <f t="array" ref="A4">SUM(ODDLYIELD("",4,-1,0.0375,#NAME?,100,2,0))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_xlfn.F.INV.RT(0.01,D!N2,D!B1)</f>
        <v>14.019608680826577</v>
      </c>
      <c r="B5">
        <f t="shared" si="0"/>
        <v>0</v>
      </c>
      <c r="C5">
        <f t="shared" si="1"/>
        <v>14.019608680826577</v>
      </c>
      <c r="D5" t="str">
        <f t="shared" si="2"/>
        <v/>
      </c>
      <c r="E5" t="s">
        <v>39</v>
      </c>
    </row>
    <row r="6" spans="1:5" x14ac:dyDescent="0.2">
      <c r="A6" cm="1">
        <f t="array" ref="A6">HOUR(0.75)</f>
        <v>18</v>
      </c>
      <c r="B6">
        <f t="shared" si="0"/>
        <v>0</v>
      </c>
      <c r="C6">
        <f t="shared" si="1"/>
        <v>18</v>
      </c>
      <c r="D6" t="str">
        <f t="shared" si="2"/>
        <v/>
      </c>
      <c r="E6" t="s">
        <v>40</v>
      </c>
    </row>
    <row r="7" spans="1:5" x14ac:dyDescent="0.2">
      <c r="A7" cm="1">
        <f t="array" ref="A7">IPMT(0.00833333333333333,1,100,8000)</f>
        <v>-66.666666666666643</v>
      </c>
      <c r="B7">
        <f t="shared" si="0"/>
        <v>0</v>
      </c>
      <c r="C7">
        <f t="shared" si="1"/>
        <v>-66.666666666666643</v>
      </c>
      <c r="D7" t="str">
        <f t="shared" si="2"/>
        <v/>
      </c>
      <c r="E7" t="s">
        <v>41</v>
      </c>
    </row>
    <row r="8" spans="1:5" x14ac:dyDescent="0.2">
      <c r="A8" t="str" cm="1">
        <f t="array" ref="A8">_xlfn.IMCOT("4+3i")</f>
        <v>0.00490118239430447-0.999266927805902i</v>
      </c>
      <c r="B8">
        <f t="shared" si="0"/>
        <v>-3</v>
      </c>
      <c r="C8">
        <f t="shared" si="1"/>
        <v>0</v>
      </c>
      <c r="D8" t="str">
        <f t="shared" si="2"/>
        <v>0.00490118239430447-0.999266927805902i</v>
      </c>
      <c r="E8" t="s">
        <v>42</v>
      </c>
    </row>
    <row r="9" spans="1:5" x14ac:dyDescent="0.2">
      <c r="A9" cm="1">
        <f t="array" ref="A9">ROWS(FACTDOUBLE(D!A12))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t="e" cm="1">
        <f t="array" ref="A10">HEX2OCT("F")&lt;MIRR(D!M1:M6,0.1,0.12)</f>
        <v>#DIV/0!</v>
      </c>
      <c r="B10">
        <f t="shared" si="0"/>
        <v>2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ACOSH(4)</f>
        <v>2.0634370688955608</v>
      </c>
      <c r="B11">
        <f t="shared" si="0"/>
        <v>0</v>
      </c>
      <c r="C11">
        <f t="shared" si="1"/>
        <v>2.0634370688955608</v>
      </c>
      <c r="D11" t="str">
        <f t="shared" si="2"/>
        <v/>
      </c>
      <c r="E11" t="s">
        <v>45</v>
      </c>
    </row>
    <row r="12" spans="1:5" x14ac:dyDescent="0.2">
      <c r="A12" t="b" cm="1">
        <f t="array" ref="A12">ACOSH(1)&gt;DOLLARDE(D!A15,16)</f>
        <v>0</v>
      </c>
      <c r="B12">
        <f t="shared" si="0"/>
        <v>-2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_xlfn.T.TEST(D!B1:B8,D!L1:L6,2,1)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FVSCHEDULE(#VALUE!,10)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SERIESSUM(0.785398163,0,2,D!AR1:AR4)</f>
        <v>0.70710321510389851</v>
      </c>
      <c r="B15">
        <f t="shared" si="0"/>
        <v>0</v>
      </c>
      <c r="C15">
        <f t="shared" si="1"/>
        <v>0.70710321510389851</v>
      </c>
      <c r="D15" t="str">
        <f t="shared" si="2"/>
        <v/>
      </c>
      <c r="E15" t="s">
        <v>49</v>
      </c>
    </row>
    <row r="16" spans="1:5" x14ac:dyDescent="0.2">
      <c r="A16" t="e" cm="1">
        <f t="array" ref="A16">GCD(D!B1:C8,_xlfn.CHISQ.TEST({1;2;3},D!AM1:AN3))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ROWS(COUNT(D!B1:B8,TRUE,D!A10,D!N1:N6))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cm="1">
        <f t="array" ref="A18">VAR(1,FALSE,4)</f>
        <v>4.333333333333333</v>
      </c>
      <c r="B18">
        <f t="shared" si="0"/>
        <v>0</v>
      </c>
      <c r="C18">
        <f t="shared" si="1"/>
        <v>4.333333333333333</v>
      </c>
      <c r="D18" t="str">
        <f t="shared" si="2"/>
        <v/>
      </c>
      <c r="E18" t="s">
        <v>52</v>
      </c>
    </row>
    <row r="19" spans="1:5" x14ac:dyDescent="0.2">
      <c r="A19" t="b" cm="1">
        <f t="array" ref="A19">AND(1,TRUE)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_xlfn.CHOOSEROWS(D!L1:N6,0,1)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MULTINOMIAL(2,D!F1:F7,4,D!M1:N6)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BESSELJ(1.9,-1)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DSUM(D!L4,#NUM!,D!AZ1:AZ5)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SUM(LINEST(D!AV1:AV7,D!AZ1:AZ5))</f>
        <v>#REF!</v>
      </c>
      <c r="B24">
        <f t="shared" si="0"/>
        <v>4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XNPV(0.09,D!J1:J5,_xlfn.MODE.MULT(D!BG1:BG12))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_xlfn.SORTBY(_xlfn.BITAND(#REF!,0.25),D!N1:N6,-1)</f>
        <v>#REF!</v>
      </c>
      <c r="B26">
        <f t="shared" si="0"/>
        <v>4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_xlfn.GAMMA.INV(D!C2&gt;=D!L4,9,_xlfn.BETA.INV(0.685470581,8,10,IMLOG10("3+4i"),3))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DOLLARFR(1.125,2)</f>
        <v>1.0249999999999999</v>
      </c>
      <c r="B28">
        <f t="shared" si="0"/>
        <v>0</v>
      </c>
      <c r="C28">
        <f t="shared" si="1"/>
        <v>1.0249999999999999</v>
      </c>
      <c r="D28" t="str">
        <f t="shared" si="2"/>
        <v/>
      </c>
      <c r="E28" t="s">
        <v>62</v>
      </c>
    </row>
    <row r="29" spans="1:5" x14ac:dyDescent="0.2">
      <c r="A29" cm="1">
        <f t="array" ref="A29">_xlfn.ARABIC("LVII")</f>
        <v>57</v>
      </c>
      <c r="B29">
        <f t="shared" si="0"/>
        <v>0</v>
      </c>
      <c r="C29">
        <f t="shared" si="1"/>
        <v>57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_xlfn.F.TEST(10,D!C1:C8)</f>
        <v>#DIV/0!</v>
      </c>
      <c r="B30">
        <f t="shared" si="0"/>
        <v>2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SUM(_xlfn.CEILING.PRECISE(D!N2,10))</f>
        <v>20</v>
      </c>
      <c r="B31">
        <f t="shared" si="0"/>
        <v>0</v>
      </c>
      <c r="C31">
        <f t="shared" si="1"/>
        <v>20</v>
      </c>
      <c r="D31" t="str">
        <f t="shared" si="2"/>
        <v/>
      </c>
      <c r="E31" t="s">
        <v>65</v>
      </c>
    </row>
    <row r="32" spans="1:5" x14ac:dyDescent="0.2">
      <c r="A32" cm="1">
        <f t="array" ref="A32">COLUMNS(ISERROR({3,1,2}))</f>
        <v>3</v>
      </c>
      <c r="B32">
        <f t="shared" si="0"/>
        <v>0</v>
      </c>
      <c r="C32">
        <f t="shared" si="1"/>
        <v>3</v>
      </c>
      <c r="D32" t="str">
        <f t="shared" si="2"/>
        <v/>
      </c>
      <c r="E32" t="s">
        <v>66</v>
      </c>
    </row>
    <row r="33" spans="1:5" x14ac:dyDescent="0.2">
      <c r="A33" cm="1">
        <f t="array" ref="A33">INDEX(SINH(1),1,1)</f>
        <v>1.1752011936438014</v>
      </c>
      <c r="B33">
        <f t="shared" si="0"/>
        <v>0</v>
      </c>
      <c r="C33">
        <f t="shared" si="1"/>
        <v>1.1752011936438014</v>
      </c>
      <c r="D33" t="str">
        <f t="shared" si="2"/>
        <v/>
      </c>
      <c r="E33" t="s">
        <v>67</v>
      </c>
    </row>
    <row r="34" spans="1:5" x14ac:dyDescent="0.2">
      <c r="A34" t="e" cm="1" vm="1">
        <f t="array" aca="1" ref="A34" ca="1">_xlfn._xlws.SORT(D!B1:B8)</f>
        <v>#VALUE!</v>
      </c>
      <c r="B34">
        <f t="shared" ca="1" si="0"/>
        <v>9</v>
      </c>
      <c r="C34">
        <f t="shared" ca="1" si="1"/>
        <v>0</v>
      </c>
      <c r="D34" t="str">
        <f t="shared" ca="1" si="2"/>
        <v/>
      </c>
      <c r="E34" t="s">
        <v>68</v>
      </c>
    </row>
    <row r="35" spans="1:5" x14ac:dyDescent="0.2">
      <c r="A35" cm="1">
        <f t="array" ref="A35">ERFC(1)</f>
        <v>0.15729920705028513</v>
      </c>
      <c r="B35">
        <f t="shared" si="0"/>
        <v>0</v>
      </c>
      <c r="C35">
        <f t="shared" si="1"/>
        <v>0.15729920705028513</v>
      </c>
      <c r="D35" t="str">
        <f t="shared" si="2"/>
        <v/>
      </c>
      <c r="E35" t="s">
        <v>69</v>
      </c>
    </row>
    <row r="36" spans="1:5" x14ac:dyDescent="0.2">
      <c r="A36" t="e" cm="1">
        <f t="array" ref="A36">_xlfn.BITOR(-1.5,D!A4)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ROWS(D!I1:I5)</f>
        <v>5</v>
      </c>
      <c r="B37">
        <f t="shared" si="0"/>
        <v>0</v>
      </c>
      <c r="C37">
        <f t="shared" si="1"/>
        <v>5</v>
      </c>
      <c r="D37" t="str">
        <f t="shared" si="2"/>
        <v/>
      </c>
      <c r="E37" t="s">
        <v>71</v>
      </c>
    </row>
    <row r="38" spans="1:5" x14ac:dyDescent="0.2">
      <c r="A38" cm="1">
        <f t="array" ref="A38">SUM(_xlfn.XOR(_xlfn.UNIQUE(D!AS1:AS8,ISLOGICAL(2.5),TRUE),D!B1))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b" cm="1">
        <f t="array" ref="A39">INDEX(ISNONTEXT(2.5),1,1)</f>
        <v>1</v>
      </c>
      <c r="B39">
        <f t="shared" si="0"/>
        <v>-1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str" cm="1">
        <f t="array" ref="A40">IMCOS("1+i")</f>
        <v>0.833730025131149-0.988897705762865i</v>
      </c>
      <c r="B40">
        <f t="shared" si="0"/>
        <v>-3</v>
      </c>
      <c r="C40">
        <f t="shared" si="1"/>
        <v>0</v>
      </c>
      <c r="D40" t="str">
        <f t="shared" si="2"/>
        <v>0.833730025131149-0.988897705762865i</v>
      </c>
      <c r="E40" t="s">
        <v>74</v>
      </c>
    </row>
    <row r="41" spans="1:5" x14ac:dyDescent="0.2">
      <c r="A41" t="b" cm="1">
        <f t="array" ref="A41">TRUE()</f>
        <v>1</v>
      </c>
      <c r="B41">
        <f t="shared" si="0"/>
        <v>-1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SUM(DVAR(D!N1:N6,NPER(0.01,{"x";""},-1000),D!M1:M6))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SLOPE(D!E1:E8,D!B1:B8)</f>
        <v>#DIV/0!</v>
      </c>
      <c r="B43">
        <f t="shared" si="0"/>
        <v>2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cm="1">
        <f t="array" ref="A44">_xlfn.MODE.SNGL(D!BF1:BF6)</f>
        <v>2</v>
      </c>
      <c r="B44">
        <f t="shared" si="0"/>
        <v>0</v>
      </c>
      <c r="C44">
        <f t="shared" si="1"/>
        <v>2</v>
      </c>
      <c r="D44" t="str">
        <f t="shared" si="2"/>
        <v/>
      </c>
      <c r="E44" t="s">
        <v>78</v>
      </c>
    </row>
    <row r="45" spans="1:5" x14ac:dyDescent="0.2">
      <c r="A45" t="e" cm="1">
        <f t="array" ref="A45">PRICE(DATE(2008,2,15),"x y",D!B7,0.065,100,1,D!A12)-NPV(0.1,D!G4,D!AY1:AY5)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BETAINV(0.685470581,_xlfn.T.TEST(D!F1:F7,D!AW1:AW4,1,1),59=_xlfn.SKEW.P(D!B1:B8,10,7),0-DPRODUCT(D!AY1:AY5,"x y",D!B7),3)-ISO.CEILING(SQRTPI(1))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str" cm="1">
        <f t="array" ref="A47">INDEX(SUBSTITUTE(" ","Sales","aBc"),1,1)</f>
        <v xml:space="preserve"> </v>
      </c>
      <c r="B47">
        <f t="shared" si="0"/>
        <v>-3</v>
      </c>
      <c r="C47">
        <f t="shared" si="1"/>
        <v>0</v>
      </c>
      <c r="D47" t="str">
        <f t="shared" si="2"/>
        <v xml:space="preserve"> </v>
      </c>
      <c r="E47" t="s">
        <v>81</v>
      </c>
    </row>
    <row r="48" spans="1:5" x14ac:dyDescent="0.2">
      <c r="A48" t="e" cm="1">
        <f t="array" aca="1" ref="A48" ca="1">ISNUMBER(2.5)*LOOKUP(4.19,D!P4:R5,D!D1:D8)</f>
        <v>#VALUE!</v>
      </c>
      <c r="B48">
        <f t="shared" ca="1" si="0"/>
        <v>3</v>
      </c>
      <c r="C48">
        <f t="shared" ca="1" si="1"/>
        <v>0</v>
      </c>
      <c r="D48" t="str">
        <f t="shared" ca="1" si="2"/>
        <v/>
      </c>
      <c r="E48" t="s">
        <v>82</v>
      </c>
    </row>
    <row r="49" spans="1:5" x14ac:dyDescent="0.2">
      <c r="A49" cm="1">
        <f t="array" ref="A49">DATEVALUE("2025-01-31")</f>
        <v>45688</v>
      </c>
      <c r="B49">
        <f t="shared" si="0"/>
        <v>0</v>
      </c>
      <c r="C49">
        <f t="shared" si="1"/>
        <v>45688</v>
      </c>
      <c r="D49" t="str">
        <f t="shared" si="2"/>
        <v/>
      </c>
      <c r="E49" t="s">
        <v>83</v>
      </c>
    </row>
    <row r="50" spans="1:5" x14ac:dyDescent="0.2">
      <c r="A50" t="e" cm="1">
        <f t="array" ref="A50">ODDLYIELD(10,D!L4,DATE(2007,12,24),0.0375,99.875,TRUE,2,0)</f>
        <v>#VALUE!</v>
      </c>
      <c r="B50">
        <f t="shared" si="0"/>
        <v>3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DGET(D!AW1:AW4,"Yield",D!F1:F7)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b" cm="1">
        <f t="array" ref="A52">_xlfn.IMCOSH("4+3i")&gt;=LEN("Phoenix, AZ")</f>
        <v>1</v>
      </c>
      <c r="B52">
        <f t="shared" si="0"/>
        <v>-1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PPMT(3,1,SIN(2),2000)</f>
        <v>-2374.0048905229114</v>
      </c>
      <c r="B53">
        <f t="shared" si="0"/>
        <v>0</v>
      </c>
      <c r="C53">
        <f t="shared" si="1"/>
        <v>-2374.0048905229114</v>
      </c>
      <c r="D53" t="str">
        <f t="shared" si="2"/>
        <v/>
      </c>
      <c r="E53" t="s">
        <v>87</v>
      </c>
    </row>
    <row r="54" spans="1:5" x14ac:dyDescent="0.2">
      <c r="A54" cm="1">
        <f t="array" ref="A54">COLUMNS(NETWORKDAYS.INTL(38718,38748))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_xlfn.AGGREGATE(9,D!A7+D!B7,D!N1:N6)</f>
        <v>#DIV/0!</v>
      </c>
      <c r="B55">
        <f t="shared" si="0"/>
        <v>2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cm="1">
        <f t="array" ref="A56">ERF(3)</f>
        <v>0.99997790950300136</v>
      </c>
      <c r="B56">
        <f t="shared" si="0"/>
        <v>0</v>
      </c>
      <c r="C56">
        <f t="shared" si="1"/>
        <v>0.99997790950300136</v>
      </c>
      <c r="D56" t="str">
        <f t="shared" si="2"/>
        <v/>
      </c>
      <c r="E56" t="s">
        <v>90</v>
      </c>
    </row>
    <row r="57" spans="1:5" x14ac:dyDescent="0.2">
      <c r="A57" t="e" cm="1">
        <f t="array" ref="A57">_xlfn._xlws.FILTER(COUPDAYSNC(D!A8,"$1,000",{2,"a";TRUE,#N/A}),D!B1:B8&gt;10)&lt;BESSELJ(D!A15,2)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 vm="2">
        <f t="array" aca="1" ref="A58" ca="1">COUPPCD(DATE(2011,1,25),{1,2;3,4}+D!A12,#N/A,"-4")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92</v>
      </c>
    </row>
    <row r="59" spans="1:5" x14ac:dyDescent="0.2">
      <c r="A59" cm="1">
        <f t="array" ref="A59">SUM(FORECAST(30,D!C1:C8,D!B1:B8))</f>
        <v>28.178836053687952</v>
      </c>
      <c r="B59">
        <f t="shared" si="0"/>
        <v>0</v>
      </c>
      <c r="C59">
        <f t="shared" si="1"/>
        <v>28.178836053687952</v>
      </c>
      <c r="D59" t="str">
        <f t="shared" si="2"/>
        <v/>
      </c>
      <c r="E59" t="s">
        <v>93</v>
      </c>
    </row>
    <row r="60" spans="1:5" x14ac:dyDescent="0.2">
      <c r="A60" t="b" cm="1">
        <f t="array" ref="A60">ISNUMBER(D!B7)</f>
        <v>1</v>
      </c>
      <c r="B60">
        <f t="shared" si="0"/>
        <v>-1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ACOS(0.5)</f>
        <v>1.0471975511965976</v>
      </c>
      <c r="B61">
        <f t="shared" si="0"/>
        <v>0</v>
      </c>
      <c r="C61">
        <f t="shared" si="1"/>
        <v>1.0471975511965976</v>
      </c>
      <c r="D61" t="str">
        <f t="shared" si="2"/>
        <v/>
      </c>
      <c r="E61" t="s">
        <v>95</v>
      </c>
    </row>
    <row r="62" spans="1:5" x14ac:dyDescent="0.2">
      <c r="A62" t="e" cm="1">
        <f t="array" ref="A62">TBILLPRICE(39538,39600,_xlfn.LOGNORM.DIST(4,D!A10,1.2,"abc"))</f>
        <v>#VALUE!</v>
      </c>
      <c r="B62">
        <f t="shared" si="0"/>
        <v>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NPER(0.01,-100,D!M2,10000,D!A10)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BESSELK(1.5,1)</f>
        <v>0.27738780363225868</v>
      </c>
      <c r="B64">
        <f t="shared" si="0"/>
        <v>0</v>
      </c>
      <c r="C64">
        <f t="shared" si="1"/>
        <v>0.27738780363225868</v>
      </c>
      <c r="D64" t="str">
        <f t="shared" si="2"/>
        <v/>
      </c>
      <c r="E64" t="s">
        <v>98</v>
      </c>
    </row>
    <row r="65" spans="1:5" x14ac:dyDescent="0.2">
      <c r="A65" t="str" cm="1">
        <f t="array" ref="A65">_xlfn.TEXTAFTER("a-b-c","-")</f>
        <v>b-c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b-c</v>
      </c>
      <c r="E65" t="s">
        <v>99</v>
      </c>
    </row>
    <row r="66" spans="1:5" x14ac:dyDescent="0.2">
      <c r="A66" t="e" cm="1">
        <f t="array" ref="A66">REPLACE(#NAME?,6,5,"*")</f>
        <v>#NAME?</v>
      </c>
      <c r="B66">
        <f t="shared" si="3"/>
        <v>5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DAVERAGE(D!D1:D8,"Yield",D!AZ1:AZ5)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_xlfn.ERF.PRECISE(0.745)+QUARTILE(D!F1:F7=ODD("3"),1)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_xlfn.IMTAN(59&lt;=1000)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 vm="3">
        <f t="array" aca="1" ref="A70" ca="1">PERCENTILE(D!I1:I5,0.25)^_xlfn.SORTBY(D!M1:M6,D!N1:N6,-1)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104</v>
      </c>
    </row>
    <row r="71" spans="1:5" x14ac:dyDescent="0.2">
      <c r="A71" t="str" cm="1">
        <f t="array" ref="A71">_xlfn.IMSEC("4+3i")</f>
        <v>-0.0652940278579471-0.0752249603027732i</v>
      </c>
      <c r="B71">
        <f t="shared" si="3"/>
        <v>-3</v>
      </c>
      <c r="C71">
        <f t="shared" si="4"/>
        <v>0</v>
      </c>
      <c r="D71" t="str">
        <f t="shared" si="5"/>
        <v>-0.0652940278579471-0.0752249603027732i</v>
      </c>
      <c r="E71" t="s">
        <v>105</v>
      </c>
    </row>
    <row r="72" spans="1:5" x14ac:dyDescent="0.2">
      <c r="A72" t="e" cm="1">
        <f t="array" ref="A72">YIELDMAT(DATE(2008,3,15),_xlfn.TEXTJOIN(", ",TRUE,D!B2:B3,GAMMADIST(61,-1.5,2,"a*"),_xlfn.F.DIST.RT(D!B1,6,4))*D!A2,DATE(2007,11,8),0.0625,D!B1,D!C2)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_xlfn.BITOR(CONFIDENCE(0.05,2.5,50),10)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ISO.CEILING("$1,000")/_xlfn.SWITCH(2,1,HEX2DEC("A5"),10,D!A15,"other")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cm="1">
        <f t="array" ref="A75">LENB("x y")</f>
        <v>3</v>
      </c>
      <c r="B75">
        <f t="shared" si="3"/>
        <v>0</v>
      </c>
      <c r="C75">
        <f t="shared" si="4"/>
        <v>3</v>
      </c>
      <c r="D75" t="str">
        <f t="shared" si="5"/>
        <v/>
      </c>
      <c r="E75" t="s">
        <v>109</v>
      </c>
    </row>
    <row r="76" spans="1:5" x14ac:dyDescent="0.2">
      <c r="A76" cm="1">
        <f t="array" ref="A76">INDEX(ATAN(1),1,1)</f>
        <v>0.78539816339744828</v>
      </c>
      <c r="B76">
        <f t="shared" si="3"/>
        <v>0</v>
      </c>
      <c r="C76">
        <f t="shared" si="4"/>
        <v>0.78539816339744828</v>
      </c>
      <c r="D76" t="str">
        <f t="shared" si="5"/>
        <v/>
      </c>
      <c r="E76" t="s">
        <v>110</v>
      </c>
    </row>
    <row r="77" spans="1:5" x14ac:dyDescent="0.2">
      <c r="A77" t="e" cm="1">
        <f t="array" ref="A77">ERROR.TYPE(TRUE*D!A5)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str" cm="1">
        <f t="array" ref="A78">_xlfn.IMCOT("4+3i")</f>
        <v>0.00490118239430447-0.999266927805902i</v>
      </c>
      <c r="B78">
        <f t="shared" si="3"/>
        <v>-3</v>
      </c>
      <c r="C78">
        <f t="shared" si="4"/>
        <v>0</v>
      </c>
      <c r="D78" t="str">
        <f t="shared" si="5"/>
        <v>0.00490118239430447-0.999266927805902i</v>
      </c>
      <c r="E78" t="s">
        <v>112</v>
      </c>
    </row>
    <row r="79" spans="1:5" x14ac:dyDescent="0.2">
      <c r="A79" cm="1">
        <f t="array" ref="A79">INDEX(INDEX(D!L1:N6,2,3),1,1)</f>
        <v>20</v>
      </c>
      <c r="B79">
        <f t="shared" si="3"/>
        <v>0</v>
      </c>
      <c r="C79">
        <f t="shared" si="4"/>
        <v>20</v>
      </c>
      <c r="D79" t="str">
        <f t="shared" si="5"/>
        <v/>
      </c>
      <c r="E79" t="s">
        <v>113</v>
      </c>
    </row>
    <row r="80" spans="1:5" x14ac:dyDescent="0.2">
      <c r="A80" cm="1">
        <f t="array" ref="A80">ROUND(-1,1)</f>
        <v>-1</v>
      </c>
      <c r="B80">
        <f t="shared" si="3"/>
        <v>0</v>
      </c>
      <c r="C80">
        <f t="shared" si="4"/>
        <v>-1</v>
      </c>
      <c r="D80" t="str">
        <f t="shared" si="5"/>
        <v/>
      </c>
      <c r="E80" t="s">
        <v>114</v>
      </c>
    </row>
    <row r="81" spans="1:5" x14ac:dyDescent="0.2">
      <c r="A81" t="e" cm="1">
        <f t="array" ref="A81">SYD(30000,"1E2","-4",GEOMEAN(D!C2))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MOD(0.25,-1.5)</f>
        <v>-1.25</v>
      </c>
      <c r="B82">
        <f t="shared" si="3"/>
        <v>0</v>
      </c>
      <c r="C82">
        <f t="shared" si="4"/>
        <v>-1.25</v>
      </c>
      <c r="D82" t="str">
        <f t="shared" si="5"/>
        <v/>
      </c>
      <c r="E82" t="s">
        <v>116</v>
      </c>
    </row>
    <row r="83" spans="1:5" x14ac:dyDescent="0.2">
      <c r="A83" cm="1">
        <f t="array" ref="A83">ROWS(UPPER("total"))</f>
        <v>1</v>
      </c>
      <c r="B83">
        <f t="shared" si="3"/>
        <v>0</v>
      </c>
      <c r="C83">
        <f t="shared" si="4"/>
        <v>1</v>
      </c>
      <c r="D83" t="str">
        <f t="shared" si="5"/>
        <v/>
      </c>
      <c r="E83" t="s">
        <v>117</v>
      </c>
    </row>
    <row r="84" spans="1:5" x14ac:dyDescent="0.2">
      <c r="A84" t="e" cm="1">
        <f t="array" ref="A84">INDEX(DISC(43282,"a*","1.5",100,_xlfn.CEILING.PRECISE(4.3)),1,1)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cm="1">
        <f t="array" ref="A85">SUM(OR(FALSE,TRUE))</f>
        <v>1</v>
      </c>
      <c r="B85">
        <f t="shared" si="3"/>
        <v>0</v>
      </c>
      <c r="C85">
        <f t="shared" si="4"/>
        <v>1</v>
      </c>
      <c r="D85" t="str">
        <f t="shared" si="5"/>
        <v/>
      </c>
      <c r="E85" t="s">
        <v>119</v>
      </c>
    </row>
    <row r="86" spans="1:5" x14ac:dyDescent="0.2">
      <c r="A86" cm="1">
        <f t="array" ref="A86">SUM(_xlfn.QUARTILE.INC(D!B1:B8,1))</f>
        <v>7</v>
      </c>
      <c r="B86">
        <f t="shared" si="3"/>
        <v>0</v>
      </c>
      <c r="C86">
        <f t="shared" si="4"/>
        <v>7</v>
      </c>
      <c r="D86" t="str">
        <f t="shared" si="5"/>
        <v/>
      </c>
      <c r="E86" t="s">
        <v>120</v>
      </c>
    </row>
    <row r="87" spans="1:5" x14ac:dyDescent="0.2">
      <c r="A87" cm="1">
        <f t="array" ref="A87">_xlfn.CEILING.PRECISE(4.3)</f>
        <v>5</v>
      </c>
      <c r="B87">
        <f t="shared" si="3"/>
        <v>0</v>
      </c>
      <c r="C87">
        <f t="shared" si="4"/>
        <v>5</v>
      </c>
      <c r="D87" t="str">
        <f t="shared" si="5"/>
        <v/>
      </c>
      <c r="E87" t="s">
        <v>121</v>
      </c>
    </row>
    <row r="88" spans="1:5" x14ac:dyDescent="0.2">
      <c r="A88" t="str" cm="1">
        <f t="array" ref="A88">IMPOWER("2+3i",3)</f>
        <v>-46+9.00000000000001i</v>
      </c>
      <c r="B88">
        <f t="shared" si="3"/>
        <v>-3</v>
      </c>
      <c r="C88">
        <f t="shared" si="4"/>
        <v>0</v>
      </c>
      <c r="D88" t="str">
        <f t="shared" si="5"/>
        <v>-46+9.00000000000001i</v>
      </c>
      <c r="E88" t="s">
        <v>122</v>
      </c>
    </row>
    <row r="89" spans="1:5" x14ac:dyDescent="0.2">
      <c r="A89" t="e" cm="1">
        <f t="array" ref="A89">_xlfn.LOGNORM.DIST(_xlfn.ACOT(2),LARGE(D!A1:A5^D!C2,3),_xlfn.Z.TEST({1,2;3,4},_xlfn.GAMMA(D!B3)),TRUE)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_xlfn.TEXTJOIN(";",FALSE,_xlfn.STDEV.S(D!F1:F7))</f>
        <v>#DIV/0!</v>
      </c>
      <c r="B90">
        <f t="shared" si="3"/>
        <v>2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 vm="4">
        <f t="array" aca="1" ref="A91" ca="1">AMORDEGRC(2400,DATE(2008,8,19),DATE(2008,12,31),"x y",TRUE,{"a","b"},1)</f>
        <v>#VALUE!</v>
      </c>
      <c r="B91">
        <f t="shared" ca="1" si="3"/>
        <v>9</v>
      </c>
      <c r="C91">
        <f t="shared" ca="1" si="4"/>
        <v>0</v>
      </c>
      <c r="D91" t="str">
        <f t="shared" ca="1" si="5"/>
        <v/>
      </c>
      <c r="E91" t="s">
        <v>125</v>
      </c>
    </row>
    <row r="92" spans="1:5" x14ac:dyDescent="0.2">
      <c r="A92" t="e" cm="1">
        <f t="array" ref="A92">INDEX(_xlfn.CONFIDENCE.T(4,D!A1,100),1,1)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COLUMNS(_xlfn.MAXIFS(D!D1:D8,D!AS1:AS8,COUNTBLANK(D!G1:G7)))</f>
        <v>1</v>
      </c>
      <c r="B93">
        <f t="shared" si="3"/>
        <v>0</v>
      </c>
      <c r="C93">
        <f t="shared" si="4"/>
        <v>1</v>
      </c>
      <c r="D93" t="str">
        <f t="shared" si="5"/>
        <v/>
      </c>
      <c r="E93" t="s">
        <v>127</v>
      </c>
    </row>
    <row r="94" spans="1:5" x14ac:dyDescent="0.2">
      <c r="A94" cm="1">
        <f t="array" ref="A94">SLN(30000,-1.5,10)</f>
        <v>3000.15</v>
      </c>
      <c r="B94">
        <f t="shared" si="3"/>
        <v>0</v>
      </c>
      <c r="C94">
        <f t="shared" si="4"/>
        <v>3000.15</v>
      </c>
      <c r="D94" t="str">
        <f t="shared" si="5"/>
        <v/>
      </c>
      <c r="E94" t="s">
        <v>128</v>
      </c>
    </row>
    <row r="95" spans="1:5" x14ac:dyDescent="0.2">
      <c r="A95" t="e" cm="1">
        <f t="array" ref="A95">SUMX2PY2(D!B1:B8,GAMMADIST(_xlfn.NORM.DIST(SIGN(D!B1),YIELDDISC(60,-1.5,D!N2,100,2),100,TRUE),"3",D!C2,FALSE))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cm="1">
        <f t="array" ref="A96">SUM(STDEVPA(D!N2,_xlfn._xlws.SORT(D!AS1:AS8)))</f>
        <v>6.8170537787391865</v>
      </c>
      <c r="B96">
        <f t="shared" si="3"/>
        <v>0</v>
      </c>
      <c r="C96">
        <f t="shared" si="4"/>
        <v>6.8170537787391865</v>
      </c>
      <c r="D96" t="str">
        <f t="shared" si="5"/>
        <v/>
      </c>
      <c r="E96" t="s">
        <v>130</v>
      </c>
    </row>
    <row r="97" spans="1:5" x14ac:dyDescent="0.2">
      <c r="A97" t="e" cm="1">
        <f t="array" ref="A97">ROUNDUP(-0.25^"1/2/2025",ATAN2(D!B7,D!A3))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_xlfn.F.DIST.RT(15.2069,AVERAGEA(D!AY1:AY5,D!AV1:AV7,D!F1,D!L4),4)</f>
        <v>1.0387057183960414E-2</v>
      </c>
      <c r="B98">
        <f t="shared" si="3"/>
        <v>0</v>
      </c>
      <c r="C98">
        <f t="shared" si="4"/>
        <v>1.0387057183960414E-2</v>
      </c>
      <c r="D98" t="str">
        <f t="shared" si="5"/>
        <v/>
      </c>
      <c r="E98" t="s">
        <v>132</v>
      </c>
    </row>
    <row r="99" spans="1:5" x14ac:dyDescent="0.2">
      <c r="A99" cm="1">
        <f t="array" ref="A99">COS(1.047)</f>
        <v>0.50017107459707011</v>
      </c>
      <c r="B99">
        <f t="shared" si="3"/>
        <v>0</v>
      </c>
      <c r="C99">
        <f t="shared" si="4"/>
        <v>0.50017107459707011</v>
      </c>
      <c r="D99" t="str">
        <f t="shared" si="5"/>
        <v/>
      </c>
      <c r="E99" t="s">
        <v>133</v>
      </c>
    </row>
    <row r="100" spans="1:5" x14ac:dyDescent="0.2">
      <c r="A100" cm="1">
        <f t="array" ref="A100">QUOTIENT(5,2)</f>
        <v>2</v>
      </c>
      <c r="B100">
        <f t="shared" si="3"/>
        <v>0</v>
      </c>
      <c r="C100">
        <f t="shared" si="4"/>
        <v>2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DVARP(D!B7,"Yield",D!D1:D8)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_xlfn.TEXTJOIN(";",FALSE,IFERROR(D!A7,_xlfn.T.TEST(D!B1:B8,D!L1:L6,2,1)))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BIN2HEX(-BIN2OCT(D!F1,3)&lt;D!A12,4)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AMORLINC("x y",NPV(0.1," 2 ",SQRTPI(1),-1.5,2),"Привет",D!AW1:AW4,"0",0,"?")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NETWORKDAYS.INTL(38718,FALSE)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COLUMNS(HYPERLINK("http://example.com"))</f>
        <v>1</v>
      </c>
      <c r="B106">
        <f t="shared" si="3"/>
        <v>0</v>
      </c>
      <c r="C106">
        <f t="shared" si="4"/>
        <v>1</v>
      </c>
      <c r="D106" t="str">
        <f t="shared" si="5"/>
        <v/>
      </c>
      <c r="E106" t="s">
        <v>140</v>
      </c>
    </row>
    <row r="107" spans="1:5" x14ac:dyDescent="0.2">
      <c r="A107" cm="1">
        <f t="array" ref="A107">_xlfn.F.INV.RT(0.01,6,4)</f>
        <v>15.206864861157531</v>
      </c>
      <c r="B107">
        <f t="shared" si="3"/>
        <v>0</v>
      </c>
      <c r="C107">
        <f t="shared" si="4"/>
        <v>15.206864861157531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ROWS(DSTDEV(D!B3,"Yield",D!G1:G7))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 vm="5">
        <f t="array" aca="1" ref="A109" ca="1">_xlfn.MODE.MULT(D!BG1:BG12)</f>
        <v>#VALUE!</v>
      </c>
      <c r="B109">
        <f t="shared" ca="1" si="3"/>
        <v>9</v>
      </c>
      <c r="C109">
        <f t="shared" ca="1" si="4"/>
        <v>0</v>
      </c>
      <c r="D109" t="str">
        <f t="shared" ca="1" si="5"/>
        <v/>
      </c>
      <c r="E109" t="s">
        <v>143</v>
      </c>
    </row>
    <row r="110" spans="1:5" x14ac:dyDescent="0.2">
      <c r="A110" t="e" cm="1">
        <f t="array" ref="A110">MDETERM(D!AW1:AW4)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cm="1">
        <f t="array" ref="A111">MEDIAN(D!B1:B8)</f>
        <v>12.625</v>
      </c>
      <c r="B111">
        <f t="shared" si="3"/>
        <v>0</v>
      </c>
      <c r="C111">
        <f t="shared" si="4"/>
        <v>12.625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BIN2OCT("1001",_xlfn.CEILING.MATH(D!B7,D!B7))</f>
        <v>#NUM!</v>
      </c>
      <c r="B112">
        <f t="shared" si="3"/>
        <v>6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cm="1">
        <f t="array" ref="A113">TINV(0.05464493,60)</f>
        <v>1.9599999977988323</v>
      </c>
      <c r="B113">
        <f t="shared" si="3"/>
        <v>0</v>
      </c>
      <c r="C113">
        <f t="shared" si="4"/>
        <v>1.9599999977988323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_xlfn.BINOM.DIST.RANGE(60,"$1,000",48)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GEOMEAN(_xlfn.BITAND(1,DATEDIF(61,37622,"1/2/2025")),D!F1:F7)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AVEDEV(D!B1:B8)^FINV(D!L4,6,4)</f>
        <v>#NUM!</v>
      </c>
      <c r="B116">
        <f t="shared" si="3"/>
        <v>6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cm="1">
        <f t="array" ref="A117">GEOMEAN(D!AV1:AV7)</f>
        <v>5.4769869696569629</v>
      </c>
      <c r="B117">
        <f t="shared" si="3"/>
        <v>0</v>
      </c>
      <c r="C117">
        <f t="shared" si="4"/>
        <v>5.4769869696569629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OCT2DEC(COVAR(D!B1:B8,D!A1:A5))</f>
        <v>#N/A</v>
      </c>
      <c r="B118">
        <f t="shared" si="3"/>
        <v>7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cm="1">
        <f t="array" ref="A119">ROWS(AMORLINC(2400,DATE(2008,8,19),DATE(2008,12,31),"0",1,0.15,"0"))</f>
        <v>1</v>
      </c>
      <c r="B119">
        <f t="shared" si="3"/>
        <v>0</v>
      </c>
      <c r="C119">
        <f t="shared" si="4"/>
        <v>1</v>
      </c>
      <c r="D119" t="str">
        <f t="shared" si="5"/>
        <v/>
      </c>
      <c r="E119" t="s">
        <v>153</v>
      </c>
    </row>
    <row r="120" spans="1:5" x14ac:dyDescent="0.2">
      <c r="A120" t="str" cm="1">
        <f t="array" ref="A120">HYPERLINK("http://example.com")</f>
        <v>http://example.com</v>
      </c>
      <c r="B120">
        <f t="shared" si="3"/>
        <v>-3</v>
      </c>
      <c r="C120">
        <f t="shared" si="4"/>
        <v>0</v>
      </c>
      <c r="D120" t="str">
        <f t="shared" si="5"/>
        <v>http://example.com</v>
      </c>
      <c r="E120" t="s">
        <v>154</v>
      </c>
    </row>
    <row r="121" spans="1:5" x14ac:dyDescent="0.2">
      <c r="A121" t="str" cm="1">
        <f t="array" ref="A121">VLOOKUP(D!L4,D!L1:N6,2,FALSE)</f>
        <v>five</v>
      </c>
      <c r="B121">
        <f t="shared" si="3"/>
        <v>-3</v>
      </c>
      <c r="C121">
        <f t="shared" si="4"/>
        <v>0</v>
      </c>
      <c r="D121" t="str">
        <f t="shared" si="5"/>
        <v>five</v>
      </c>
      <c r="E121" t="s">
        <v>155</v>
      </c>
    </row>
    <row r="122" spans="1:5" x14ac:dyDescent="0.2">
      <c r="A122" cm="1">
        <f t="array" ref="A122">ERFC(1)</f>
        <v>0.15729920705028513</v>
      </c>
      <c r="B122">
        <f t="shared" si="3"/>
        <v>0</v>
      </c>
      <c r="C122">
        <f t="shared" si="4"/>
        <v>0.15729920705028513</v>
      </c>
      <c r="D122" t="str">
        <f t="shared" si="5"/>
        <v/>
      </c>
      <c r="E122" t="s">
        <v>156</v>
      </c>
    </row>
    <row r="123" spans="1:5" x14ac:dyDescent="0.2">
      <c r="A123" t="str" cm="1">
        <f t="array" ref="A123">CLEAN(D!A14)</f>
        <v>abc</v>
      </c>
      <c r="B123">
        <f t="shared" si="3"/>
        <v>-3</v>
      </c>
      <c r="C123">
        <f t="shared" si="4"/>
        <v>0</v>
      </c>
      <c r="D123" t="str">
        <f t="shared" si="5"/>
        <v>abc</v>
      </c>
      <c r="E123" t="s">
        <v>157</v>
      </c>
    </row>
    <row r="124" spans="1:5" x14ac:dyDescent="0.2">
      <c r="A124" cm="1">
        <f t="array" ref="A124">RADIANS(100)</f>
        <v>1.7453292519943295</v>
      </c>
      <c r="B124">
        <f t="shared" si="3"/>
        <v>0</v>
      </c>
      <c r="C124">
        <f t="shared" si="4"/>
        <v>1.7453292519943295</v>
      </c>
      <c r="D124" t="str">
        <f t="shared" si="5"/>
        <v/>
      </c>
      <c r="E124" t="s">
        <v>158</v>
      </c>
    </row>
    <row r="125" spans="1:5" x14ac:dyDescent="0.2">
      <c r="A125" cm="1">
        <f t="array" ref="A125">INDEX(PI(),1,1)</f>
        <v>3.1415926535897931</v>
      </c>
      <c r="B125">
        <f t="shared" si="3"/>
        <v>0</v>
      </c>
      <c r="C125">
        <f t="shared" si="4"/>
        <v>3.1415926535897931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DOLLAR(MODE(D!P1:Q2),2)</f>
        <v>#N/A</v>
      </c>
      <c r="B126">
        <f t="shared" si="3"/>
        <v>7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cm="1">
        <f t="array" ref="A127">COMBIN(10,2)</f>
        <v>45</v>
      </c>
      <c r="B127">
        <f t="shared" si="3"/>
        <v>0</v>
      </c>
      <c r="C127">
        <f t="shared" si="4"/>
        <v>45</v>
      </c>
      <c r="D127" t="str">
        <f t="shared" si="5"/>
        <v/>
      </c>
      <c r="E127" t="s">
        <v>161</v>
      </c>
    </row>
    <row r="128" spans="1:5" x14ac:dyDescent="0.2">
      <c r="A128" t="e" cm="1" vm="1">
        <f t="array" aca="1" ref="A128" ca="1">LEFTB(D!AS1:AS8,0.5)</f>
        <v>#VALUE!</v>
      </c>
      <c r="B128">
        <f t="shared" ca="1" si="3"/>
        <v>9</v>
      </c>
      <c r="C128">
        <f t="shared" ca="1" si="4"/>
        <v>0</v>
      </c>
      <c r="D128" t="str">
        <f t="shared" ca="1" si="5"/>
        <v/>
      </c>
      <c r="E128" t="s">
        <v>162</v>
      </c>
    </row>
    <row r="129" spans="1:5" x14ac:dyDescent="0.2">
      <c r="A129" t="b" cm="1">
        <f t="array" ref="A129">_xlfn.IFNA(D!A8,TRUE)</f>
        <v>1</v>
      </c>
      <c r="B129">
        <f t="shared" ref="B129:B192" si="6">IF(ISERROR(A129),ERROR.TYPE(A129),IF(ISNUMBER(A129),0,IF(ISLOGICAL(A129),IF(A129,-1,-2),IF(ISTEXT(A129),-3,-4))))</f>
        <v>-1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SMALL(#VALUE!,D!N2)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_xlfn.CONFIDENCE.NORM(10,-1,2.5)</f>
        <v>#NUM!</v>
      </c>
      <c r="B131">
        <f t="shared" si="6"/>
        <v>6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AVERAGEIFS(D!M1:M6,D!I1:I5,D!G4&amp;"abc")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str" cm="1">
        <f t="array" ref="A133">_xlfn.VALUETOTEXT(1.5,0)</f>
        <v>1.5</v>
      </c>
      <c r="B133">
        <f t="shared" si="6"/>
        <v>-3</v>
      </c>
      <c r="C133">
        <f t="shared" si="7"/>
        <v>0</v>
      </c>
      <c r="D133" t="str">
        <f t="shared" si="8"/>
        <v>1.5</v>
      </c>
      <c r="E133" t="s">
        <v>167</v>
      </c>
    </row>
    <row r="134" spans="1:5" x14ac:dyDescent="0.2">
      <c r="A134" t="e" cm="1">
        <f t="array" ref="A134">MODE(1,D!A9)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_xlfn.F.TEST(D!AW1:AW4,"0")*XIRR(D!J1:J5,D!AU1:AU5,"2024-02-29")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SEARCH("e","Statements",_xlfn.COVARIANCE.P(D!B1:B8,{2,"a";TRUE,#N/A}))</f>
        <v>#N/A</v>
      </c>
      <c r="B136">
        <f t="shared" si="6"/>
        <v>7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EFFECT(0.25,3)</f>
        <v>0.27141203703703676</v>
      </c>
      <c r="B137">
        <f t="shared" si="6"/>
        <v>0</v>
      </c>
      <c r="C137">
        <f t="shared" si="7"/>
        <v>0.27141203703703676</v>
      </c>
      <c r="D137" t="str">
        <f t="shared" si="8"/>
        <v/>
      </c>
      <c r="E137" t="s">
        <v>171</v>
      </c>
    </row>
    <row r="138" spans="1:5" x14ac:dyDescent="0.2">
      <c r="A138" t="str" cm="1">
        <f t="array" ref="A138">_xlfn.TEXTJOIN(";",FALSE,_xlfn.CHISQ.DIST(0.5,1,TRUE))</f>
        <v>0.520499877813047</v>
      </c>
      <c r="B138">
        <f t="shared" si="6"/>
        <v>-3</v>
      </c>
      <c r="C138">
        <f t="shared" si="7"/>
        <v>0</v>
      </c>
      <c r="D138" t="str">
        <f t="shared" si="8"/>
        <v>0.520499877813047</v>
      </c>
      <c r="E138" t="s">
        <v>172</v>
      </c>
    </row>
    <row r="139" spans="1:5" x14ac:dyDescent="0.2">
      <c r="A139" t="e" cm="1" vm="6">
        <f t="array" aca="1" ref="A139" ca="1">DAY(40648)^YIELDDISC(DATE(2008,2,16),FALSE,{"x";""},100,"aBc")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173</v>
      </c>
    </row>
    <row r="140" spans="1:5" x14ac:dyDescent="0.2">
      <c r="A140" t="e" cm="1" vm="3">
        <f t="array" aca="1" ref="A140" ca="1">FREQUENCY(D!B1:B8,D!I1:I5)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174</v>
      </c>
    </row>
    <row r="141" spans="1:5" x14ac:dyDescent="0.2">
      <c r="A141" cm="1">
        <f t="array" ref="A141">COLUMNS(BETAINV(0.685470581,7,10,"-4",3))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175</v>
      </c>
    </row>
    <row r="142" spans="1:5" x14ac:dyDescent="0.2">
      <c r="A142" t="str" cm="1">
        <f t="array" ref="A142">LEFTB(D!A1,2)</f>
        <v/>
      </c>
      <c r="B142">
        <f t="shared" si="6"/>
        <v>-3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MIRR(D!E1:E8,3,{1})</f>
        <v>#DIV/0!</v>
      </c>
      <c r="B143">
        <f t="shared" si="6"/>
        <v>2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ABS("$1,000")</f>
        <v>1000</v>
      </c>
      <c r="B144">
        <f t="shared" si="6"/>
        <v>0</v>
      </c>
      <c r="C144">
        <f t="shared" si="7"/>
        <v>1000</v>
      </c>
      <c r="D144" t="str">
        <f t="shared" si="8"/>
        <v/>
      </c>
      <c r="E144" t="s">
        <v>178</v>
      </c>
    </row>
    <row r="145" spans="1:5" x14ac:dyDescent="0.2">
      <c r="A145" t="e" cm="1" vm="7">
        <f t="array" aca="1" ref="A145" ca="1">_xlfn.TOROW(D!B1:C8)</f>
        <v>#VALUE!</v>
      </c>
      <c r="B145">
        <f t="shared" ca="1" si="6"/>
        <v>9</v>
      </c>
      <c r="C145">
        <f t="shared" ca="1" si="7"/>
        <v>0</v>
      </c>
      <c r="D145" t="str">
        <f t="shared" ca="1" si="8"/>
        <v/>
      </c>
      <c r="E145" t="s">
        <v>179</v>
      </c>
    </row>
    <row r="146" spans="1:5" x14ac:dyDescent="0.2">
      <c r="A146" t="e" cm="1">
        <f t="array" ref="A146">INDEX(CEILING(2.5,D!B7),1,1)</f>
        <v>#NUM!</v>
      </c>
      <c r="B146">
        <f t="shared" si="6"/>
        <v>6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ERFC(IMAGINARY(#VALUE!))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SUM(SLOPE(D!AY1:AY5&lt;D!A12,D!B1:B8))</f>
        <v>#N/A</v>
      </c>
      <c r="B148">
        <f t="shared" si="6"/>
        <v>7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cm="1">
        <f t="array" ref="A149">SUM(_xlfn.CEILING.PRECISE(4.3,"2025-01-31"))</f>
        <v>45688</v>
      </c>
      <c r="B149">
        <f t="shared" si="6"/>
        <v>0</v>
      </c>
      <c r="C149">
        <f t="shared" si="7"/>
        <v>45688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_xlfn.NORM.INV(0.908789,"",D!B7)</f>
        <v>#VALUE!</v>
      </c>
      <c r="B150">
        <f t="shared" si="6"/>
        <v>3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b" cm="1">
        <f t="array" ref="A151">PPMT(0.5,100,1000,2000,0)&lt;&gt;GESTEP(5,D!C2)</f>
        <v>1</v>
      </c>
      <c r="B151">
        <f t="shared" si="6"/>
        <v>-1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INTRATE(DATE(2008,2,15),DATEDIF(_xlfn.DAYS("2024-02-29",2.5),TIMEVALUE("2:24 AM"),"FALSE"),D!N2,2)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cm="1">
        <f t="array" ref="A153">HOUR(1)-NOMINAL(4,4)</f>
        <v>-1.981395124884882</v>
      </c>
      <c r="B153">
        <f t="shared" si="6"/>
        <v>0</v>
      </c>
      <c r="C153">
        <f t="shared" si="7"/>
        <v>-1.981395124884882</v>
      </c>
      <c r="D153" t="str">
        <f t="shared" si="8"/>
        <v/>
      </c>
      <c r="E153" t="s">
        <v>187</v>
      </c>
    </row>
    <row r="154" spans="1:5" x14ac:dyDescent="0.2">
      <c r="A154" t="e" cm="1" vm="8">
        <f t="array" aca="1" ref="A154" ca="1">_xlfn.CHOOSECOLS(D!AZ1:AZ5,1,1)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188</v>
      </c>
    </row>
    <row r="155" spans="1:5" x14ac:dyDescent="0.2">
      <c r="A155" cm="1">
        <f t="array" ref="A155">_xlfn.COT(30)+_xlfn.ARABIC("LVII")</f>
        <v>56.84388004783834</v>
      </c>
      <c r="B155">
        <f t="shared" si="6"/>
        <v>0</v>
      </c>
      <c r="C155">
        <f t="shared" si="7"/>
        <v>56.84388004783834</v>
      </c>
      <c r="D155" t="str">
        <f t="shared" si="8"/>
        <v/>
      </c>
      <c r="E155" t="s">
        <v>189</v>
      </c>
    </row>
    <row r="156" spans="1:5" x14ac:dyDescent="0.2">
      <c r="A156" t="str" cm="1">
        <f t="array" ref="A156">OCT2HEX("100")</f>
        <v>40</v>
      </c>
      <c r="B156">
        <f t="shared" si="6"/>
        <v>-3</v>
      </c>
      <c r="C156">
        <f t="shared" si="7"/>
        <v>0</v>
      </c>
      <c r="D156" t="str">
        <f t="shared" si="8"/>
        <v>40</v>
      </c>
      <c r="E156" t="s">
        <v>190</v>
      </c>
    </row>
    <row r="157" spans="1:5" x14ac:dyDescent="0.2">
      <c r="A157" cm="1">
        <f t="array" ref="A157">TIME(D!L4,0,0)</f>
        <v>0.20833333333333334</v>
      </c>
      <c r="B157">
        <f t="shared" si="6"/>
        <v>0</v>
      </c>
      <c r="C157">
        <f t="shared" si="7"/>
        <v>0.20833333333333334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XNPV(0.09,D!C1:C8,{"x";""})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STEYX(D!C1:C8,4)</f>
        <v>#N/A</v>
      </c>
      <c r="B159">
        <f t="shared" si="6"/>
        <v>7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b" cm="1">
        <f t="array" ref="A160">_xlfn.XOR(TRUE,ROW(D!E1:E8))</f>
        <v>1</v>
      </c>
      <c r="B160">
        <f t="shared" si="6"/>
        <v>-1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TBILLPRICE("2025-01-31",39600," 2 ")</f>
        <v>#NUM!</v>
      </c>
      <c r="B161">
        <f t="shared" si="6"/>
        <v>6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MIRR(100,0.1,0.12)</f>
        <v>#DIV/0!</v>
      </c>
      <c r="B162">
        <f t="shared" si="6"/>
        <v>2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MULTINOMIAL(TRUNC(D!A4)--1,D!M1:N6)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DEC2OCT(NETWORKDAYS(7,41334),_xlfn.IMCOT("4+3i"))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ERF(PI())</f>
        <v>0.99999112385363231</v>
      </c>
      <c r="B165">
        <f t="shared" si="6"/>
        <v>0</v>
      </c>
      <c r="C165">
        <f t="shared" si="7"/>
        <v>0.99999112385363231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DAYS360(#N/A,7)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cm="1">
        <f t="array" ref="A167">TANH("1.5")</f>
        <v>0.9051482536448664</v>
      </c>
      <c r="B167">
        <f t="shared" si="6"/>
        <v>0</v>
      </c>
      <c r="C167">
        <f t="shared" si="7"/>
        <v>0.9051482536448664</v>
      </c>
      <c r="D167" t="str">
        <f t="shared" si="8"/>
        <v/>
      </c>
      <c r="E167" t="s">
        <v>201</v>
      </c>
    </row>
    <row r="168" spans="1:5" x14ac:dyDescent="0.2">
      <c r="A168" cm="1">
        <f t="array" ref="A168">_xlfn.F.INV(0.01,6,2)</f>
        <v>9.1535137151284904E-2</v>
      </c>
      <c r="B168">
        <f t="shared" si="6"/>
        <v>0</v>
      </c>
      <c r="C168">
        <f t="shared" si="7"/>
        <v>9.1535137151284904E-2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COLUMNS(BETADIST(2,STEYX(D!C1:C8,{45658,45689}),-1,1,D!A12))</f>
        <v>#N/A</v>
      </c>
      <c r="B169">
        <f t="shared" si="6"/>
        <v>7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MODE(2.5,2,D!P1:Q2)</f>
        <v>2</v>
      </c>
      <c r="B170">
        <f t="shared" si="6"/>
        <v>0</v>
      </c>
      <c r="C170">
        <f t="shared" si="7"/>
        <v>2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TDIST(DISC(43282,54058,97.975,FALSE),60,NPV(100,FALSE,FALSE,D!N2,6800))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XIRR(D!AY1:AY5,D!A1:A5,D!A2)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TIMEVALUE(4)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str" cm="1">
        <f t="array" ref="A174">FIXED(D!L4)</f>
        <v>5.00</v>
      </c>
      <c r="B174">
        <f t="shared" si="6"/>
        <v>-3</v>
      </c>
      <c r="C174">
        <f t="shared" si="7"/>
        <v>0</v>
      </c>
      <c r="D174" t="str">
        <f t="shared" si="8"/>
        <v>5.00</v>
      </c>
      <c r="E174" t="s">
        <v>208</v>
      </c>
    </row>
    <row r="175" spans="1:5" x14ac:dyDescent="0.2">
      <c r="A175" cm="1">
        <f t="array" ref="A175">ROWS(D!AK1:AL3)</f>
        <v>3</v>
      </c>
      <c r="B175">
        <f t="shared" si="6"/>
        <v>0</v>
      </c>
      <c r="C175">
        <f t="shared" si="7"/>
        <v>3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DAVERAGE(D!AW1:AW4,"Yield",D!A12)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_xlfn.PDURATION(D!A9,1,-1.5)&gt;DOLLARFR(1.125,16)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str" cm="1">
        <f t="array" ref="A178">BAHTTEXT(D!B7)</f>
        <v>ลบสามบาทห้าสิบสตางค์</v>
      </c>
      <c r="B178">
        <f t="shared" si="6"/>
        <v>-3</v>
      </c>
      <c r="C178">
        <f t="shared" si="7"/>
        <v>0</v>
      </c>
      <c r="D178" t="str">
        <f t="shared" si="8"/>
        <v>ลบสามบาทห้าสิบสตางค์</v>
      </c>
      <c r="E178" t="s">
        <v>212</v>
      </c>
    </row>
    <row r="179" spans="1:5" x14ac:dyDescent="0.2">
      <c r="A179" cm="1">
        <f t="array" ref="A179">INDEX(TAN(1),1,1)</f>
        <v>1.5574077246549021</v>
      </c>
      <c r="B179">
        <f t="shared" si="6"/>
        <v>0</v>
      </c>
      <c r="C179">
        <f t="shared" si="7"/>
        <v>1.5574077246549021</v>
      </c>
      <c r="D179" t="str">
        <f t="shared" si="8"/>
        <v/>
      </c>
      <c r="E179" t="s">
        <v>213</v>
      </c>
    </row>
    <row r="180" spans="1:5" x14ac:dyDescent="0.2">
      <c r="A180" cm="1">
        <f t="array" ref="A180">_xlfn.COMBINA(4,3)</f>
        <v>20</v>
      </c>
      <c r="B180">
        <f t="shared" si="6"/>
        <v>0</v>
      </c>
      <c r="C180">
        <f t="shared" si="7"/>
        <v>20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_xlfn.COVARIANCE.P(D!B1:C8,D!L1:L6)</f>
        <v>#N/A</v>
      </c>
      <c r="B181">
        <f t="shared" si="6"/>
        <v>7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str" cm="1">
        <f t="array" ref="A182">PROPER(" ")</f>
        <v xml:space="preserve"> </v>
      </c>
      <c r="B182">
        <f t="shared" si="6"/>
        <v>-3</v>
      </c>
      <c r="C182">
        <f t="shared" si="7"/>
        <v>0</v>
      </c>
      <c r="D182" t="str">
        <f t="shared" si="8"/>
        <v xml:space="preserve"> </v>
      </c>
      <c r="E182" t="s">
        <v>216</v>
      </c>
    </row>
    <row r="183" spans="1:5" x14ac:dyDescent="0.2">
      <c r="A183" t="e" cm="1">
        <f t="array" ref="A183">YIELDDISC(DATE(2008,2,16),TIME(2,0,0),D!B1,FALSE,2)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str" cm="1">
        <f t="array" ref="A184">TRIM("3")</f>
        <v>3</v>
      </c>
      <c r="B184">
        <f t="shared" si="6"/>
        <v>-3</v>
      </c>
      <c r="C184">
        <f t="shared" si="7"/>
        <v>0</v>
      </c>
      <c r="D184" t="str">
        <f t="shared" si="8"/>
        <v>3</v>
      </c>
      <c r="E184" t="s">
        <v>218</v>
      </c>
    </row>
    <row r="185" spans="1:5" x14ac:dyDescent="0.2">
      <c r="A185" t="e" cm="1">
        <f t="array" ref="A185">FDIST(D!B1,6,"-4")</f>
        <v>#NUM!</v>
      </c>
      <c r="B185">
        <f t="shared" si="6"/>
        <v>6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cm="1">
        <f t="array" ref="A186">ROWS(ODDFPRICE(TRUE," ",DATE(2008,10,15),DATE(2009,3,1),0.0785,"2025-01-31","A",{1;2;3},D!A8))</f>
        <v>3</v>
      </c>
      <c r="B186">
        <f t="shared" si="6"/>
        <v>0</v>
      </c>
      <c r="C186">
        <f t="shared" si="7"/>
        <v>3</v>
      </c>
      <c r="D186" t="str">
        <f t="shared" si="8"/>
        <v/>
      </c>
      <c r="E186" t="s">
        <v>220</v>
      </c>
    </row>
    <row r="187" spans="1:5" x14ac:dyDescent="0.2">
      <c r="A187" t="str" cm="1">
        <f t="array" ref="A187">FIXED(1234.567,D!B1)</f>
        <v>1,234.5670</v>
      </c>
      <c r="B187">
        <f t="shared" si="6"/>
        <v>-3</v>
      </c>
      <c r="C187">
        <f t="shared" si="7"/>
        <v>0</v>
      </c>
      <c r="D187" t="str">
        <f t="shared" si="8"/>
        <v>1,234.5670</v>
      </c>
      <c r="E187" t="s">
        <v>221</v>
      </c>
    </row>
    <row r="188" spans="1:5" x14ac:dyDescent="0.2">
      <c r="A188" cm="1">
        <f t="array" ref="A188">COLUMNS(COMBIN(8,2))</f>
        <v>1</v>
      </c>
      <c r="B188">
        <f t="shared" si="6"/>
        <v>0</v>
      </c>
      <c r="C188">
        <f t="shared" si="7"/>
        <v>1</v>
      </c>
      <c r="D188" t="str">
        <f t="shared" si="8"/>
        <v/>
      </c>
      <c r="E188" t="s">
        <v>222</v>
      </c>
    </row>
    <row r="189" spans="1:5" x14ac:dyDescent="0.2">
      <c r="A189" t="str" cm="1">
        <f t="array" ref="A189">DEC2BIN(9,_xlfn.COMBINA(4,"1.5"))</f>
        <v>1001</v>
      </c>
      <c r="B189">
        <f t="shared" si="6"/>
        <v>-3</v>
      </c>
      <c r="C189">
        <f t="shared" si="7"/>
        <v>0</v>
      </c>
      <c r="D189" t="str">
        <f t="shared" si="8"/>
        <v>1001</v>
      </c>
      <c r="E189" t="s">
        <v>223</v>
      </c>
    </row>
    <row r="190" spans="1:5" x14ac:dyDescent="0.2">
      <c r="A190" t="e" cm="1">
        <f t="array" ref="A190">_xlfn.CEILING.MATH(24.3,FALSE*"?")=_xlfn.COVARIANCE.S(D!B1:B8,D!B1:C8)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PRICEDISC(39494,D!A10,0.0525,BESSELK(1.5,-1),2)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INDEX(COLUMN(D!AW1:AW4),1,1)</f>
        <v>49</v>
      </c>
      <c r="B192">
        <f t="shared" si="6"/>
        <v>0</v>
      </c>
      <c r="C192">
        <f t="shared" si="7"/>
        <v>49</v>
      </c>
      <c r="D192" t="str">
        <f t="shared" si="8"/>
        <v/>
      </c>
      <c r="E192" t="s">
        <v>226</v>
      </c>
    </row>
    <row r="193" spans="1:5" x14ac:dyDescent="0.2">
      <c r="A193" t="b" cm="1">
        <f t="array" ref="A193">TINV(0.05464493,60)&lt;=LEFTB("2025-01-31 12:00",2)</f>
        <v>1</v>
      </c>
      <c r="B193">
        <f t="shared" ref="B193:B256" si="9">IF(ISERROR(A193),ERROR.TYPE(A193),IF(ISNUMBER(A193),0,IF(ISLOGICAL(A193),IF(A193,-1,-2),IF(ISTEXT(A193),-3,-4))))</f>
        <v>-1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COLUMNS(ACOS(YEARFRAC(TRUE,41120)))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 vm="9">
        <f t="array" aca="1" ref="A195" ca="1">DOLLARDE(1.02,16)&amp;ODDFPRICE(DATE(2008,11,11),0,_xlfn.CHISQ.TEST(D!AK1:AL3,D!U1:Y7),2,0.0785,0.0625,D!A2,D!N2,{3,1,2})</f>
        <v>#VALUE!</v>
      </c>
      <c r="B195">
        <f t="shared" ca="1" si="9"/>
        <v>9</v>
      </c>
      <c r="C195">
        <f t="shared" ca="1" si="10"/>
        <v>0</v>
      </c>
      <c r="D195" t="str">
        <f t="shared" ca="1" si="11"/>
        <v/>
      </c>
      <c r="E195" t="s">
        <v>229</v>
      </c>
    </row>
    <row r="196" spans="1:5" x14ac:dyDescent="0.2">
      <c r="A196" t="e" cm="1">
        <f t="array" ref="A196">POWER(D!C2,NEGBINOMDIST(10,5,10))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EDATE(ADDRESS(2,FALSE),D!A15)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_xlfn.IMCSCH("4+3i")/MIDB("abcdef",2,3)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str" cm="1">
        <f t="array" ref="A199">_xlfn.TEXTJOIN(";",FALSE,_xlfn.IMSEC("4+3i"))</f>
        <v>-0.0652940278579471-0.0752249603027732i</v>
      </c>
      <c r="B199">
        <f t="shared" si="9"/>
        <v>-3</v>
      </c>
      <c r="C199">
        <f t="shared" si="10"/>
        <v>0</v>
      </c>
      <c r="D199" t="str">
        <f t="shared" si="11"/>
        <v>-0.0652940278579471-0.0752249603027732i</v>
      </c>
      <c r="E199" t="s">
        <v>233</v>
      </c>
    </row>
    <row r="200" spans="1:5" x14ac:dyDescent="0.2">
      <c r="A200" t="e" cm="1">
        <f t="array" ref="A200">CRITBINOM(#NAME?,0.5,4)</f>
        <v>#NAME?</v>
      </c>
      <c r="B200">
        <f t="shared" si="9"/>
        <v>5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ACCRINT(IMABS(10)=_xlfn.UNICHAR(66),39691,QUOTIENT(5,2),0.1,1000,2,0)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SUM(CHITEST(D!AA1:AB2,D!P1:Q2))</f>
        <v>#DIV/0!</v>
      </c>
      <c r="B202">
        <f t="shared" si="9"/>
        <v>2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cm="1">
        <f t="array" ref="A203">QUOTIENT("0",7)</f>
        <v>0</v>
      </c>
      <c r="B203">
        <f t="shared" si="9"/>
        <v>0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SEARCHB(D!A13,"abc")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OCT2BIN(LOGNORMDIST(4,TRUE,1.2),3)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 vm="1">
        <f t="array" aca="1" ref="A206" ca="1">_xlfn.WRAPROWS(D!B1:B8,1)+_xlfn.IMCSC("4+3i")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240</v>
      </c>
    </row>
    <row r="207" spans="1:5" x14ac:dyDescent="0.2">
      <c r="A207" t="b" cm="1">
        <f t="array" ref="A207">AND(TRUE,D!A4&gt;=EXPONDIST(0.2,10,TRUE))</f>
        <v>1</v>
      </c>
      <c r="B207">
        <f t="shared" si="9"/>
        <v>-1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IMABS("5+12i")</f>
        <v>13</v>
      </c>
      <c r="B208">
        <f t="shared" si="9"/>
        <v>0</v>
      </c>
      <c r="C208">
        <f t="shared" si="10"/>
        <v>13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ACCRINTM(D!G4,DATE(2008,6,15),RIGHT(0.25,5)&gt;=TRUE,"18:30")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REPLACE("abcdefghijk",2.5,4,#NAME?)</f>
        <v>#NAME?</v>
      </c>
      <c r="B210">
        <f t="shared" si="9"/>
        <v>5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COLUMNS(ISLOGICAL("2024-02-29"))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245</v>
      </c>
    </row>
    <row r="212" spans="1:5" x14ac:dyDescent="0.2">
      <c r="A212" t="b" cm="1">
        <f t="array" ref="A212">NOT(2)</f>
        <v>0</v>
      </c>
      <c r="B212">
        <f t="shared" si="9"/>
        <v>-2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ROUNDUP(TRUE,0)</f>
        <v>1</v>
      </c>
      <c r="B213">
        <f t="shared" si="9"/>
        <v>0</v>
      </c>
      <c r="C213">
        <f t="shared" si="10"/>
        <v>1</v>
      </c>
      <c r="D213" t="str">
        <f t="shared" si="11"/>
        <v/>
      </c>
      <c r="E213" t="s">
        <v>247</v>
      </c>
    </row>
    <row r="214" spans="1:5" x14ac:dyDescent="0.2">
      <c r="A214" cm="1">
        <f t="array" ref="A214">INDEX(_xlfn.PERCENTRANK.EXC(D!B1:B8,8),1,1)</f>
        <v>0.33300000000000002</v>
      </c>
      <c r="B214">
        <f t="shared" si="9"/>
        <v>0</v>
      </c>
      <c r="C214">
        <f t="shared" si="10"/>
        <v>0.33300000000000002</v>
      </c>
      <c r="D214" t="str">
        <f t="shared" si="11"/>
        <v/>
      </c>
      <c r="E214" t="s">
        <v>248</v>
      </c>
    </row>
    <row r="215" spans="1:5" x14ac:dyDescent="0.2">
      <c r="A215" t="str" cm="1">
        <f t="array" ref="A215">DOLLAR(_xlfn.PERCENTRANK.INC(D!B1:B8,8),2)</f>
        <v>$0.29</v>
      </c>
      <c r="B215">
        <f t="shared" si="9"/>
        <v>-3</v>
      </c>
      <c r="C215">
        <f t="shared" si="10"/>
        <v>0</v>
      </c>
      <c r="D215" t="str">
        <f t="shared" si="11"/>
        <v>$0.29</v>
      </c>
      <c r="E215" t="s">
        <v>249</v>
      </c>
    </row>
    <row r="216" spans="1:5" x14ac:dyDescent="0.2">
      <c r="A216" t="e" cm="1">
        <f t="array" ref="A216">INDEX(AVERAGEIFS(D!AY1:AY5,D!N1:N6,"&gt;4"),1,1)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cm="1">
        <f t="array" ref="A217">EOMONTH(4,_xlfn.GAMMALN.PRECISE(4))</f>
        <v>59</v>
      </c>
      <c r="B217">
        <f t="shared" si="9"/>
        <v>0</v>
      </c>
      <c r="C217">
        <f t="shared" si="10"/>
        <v>59</v>
      </c>
      <c r="D217" t="str">
        <f t="shared" si="11"/>
        <v/>
      </c>
      <c r="E217" t="s">
        <v>251</v>
      </c>
    </row>
    <row r="218" spans="1:5" x14ac:dyDescent="0.2">
      <c r="A218" cm="1">
        <f t="array" ref="A218">YEAR(39634)</f>
        <v>2008</v>
      </c>
      <c r="B218">
        <f t="shared" si="9"/>
        <v>0</v>
      </c>
      <c r="C218">
        <f t="shared" si="10"/>
        <v>2008</v>
      </c>
      <c r="D218" t="str">
        <f t="shared" si="11"/>
        <v/>
      </c>
      <c r="E218" t="s">
        <v>252</v>
      </c>
    </row>
    <row r="219" spans="1:5" x14ac:dyDescent="0.2">
      <c r="A219" cm="1">
        <f t="array" ref="A219">INTERCEPT(D!C1:C8,D!B1:B8)</f>
        <v>5.1725052609240763E-2</v>
      </c>
      <c r="B219">
        <f t="shared" si="9"/>
        <v>0</v>
      </c>
      <c r="C219">
        <f t="shared" si="10"/>
        <v>5.1725052609240763E-2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_xlfn.TEXTJOIN(";",FALSE,DOLLARDE(SQRT(16),ERFC(GCD({1,2,3},D!A1:A5,{"x";""},3))))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_xlfn.IMCOT(#NAME?)</f>
        <v>#NAME?</v>
      </c>
      <c r="B221">
        <f t="shared" si="9"/>
        <v>5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_xlfn.COVARIANCE.P(D!B1:B8,D!C1:C8)</f>
        <v>155.328125</v>
      </c>
      <c r="B222">
        <f t="shared" si="9"/>
        <v>0</v>
      </c>
      <c r="C222">
        <f t="shared" si="10"/>
        <v>155.328125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INDEX(COUPNUM(D!B3,"0",2,1),1,1)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_xlfn.F.TEST(D!B1:B8,D!C1:C8)</f>
        <v>0.89907526605691512</v>
      </c>
      <c r="B224">
        <f t="shared" si="9"/>
        <v>0</v>
      </c>
      <c r="C224">
        <f t="shared" si="10"/>
        <v>0.89907526605691512</v>
      </c>
      <c r="D224" t="str">
        <f t="shared" si="11"/>
        <v/>
      </c>
      <c r="E224" t="s">
        <v>258</v>
      </c>
    </row>
    <row r="225" spans="1:5" x14ac:dyDescent="0.2">
      <c r="A225" cm="1">
        <f t="array" ref="A225">POWER(5,2)</f>
        <v>25</v>
      </c>
      <c r="B225">
        <f t="shared" si="9"/>
        <v>0</v>
      </c>
      <c r="C225">
        <f t="shared" si="10"/>
        <v>25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_xlfn.PDURATION(0.025,0,0)&gt;=BIN2OCT("1001",3)</f>
        <v>#NUM!</v>
      </c>
      <c r="B226">
        <f t="shared" si="9"/>
        <v>6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cm="1">
        <f t="array" ref="A227">_xlfn.F.DIST(15.2069,6,4,FALSE)</f>
        <v>1.2237917087831725E-3</v>
      </c>
      <c r="B227">
        <f t="shared" si="9"/>
        <v>0</v>
      </c>
      <c r="C227">
        <f t="shared" si="10"/>
        <v>1.2237917087831725E-3</v>
      </c>
      <c r="D227" t="str">
        <f t="shared" si="11"/>
        <v/>
      </c>
      <c r="E227" t="s">
        <v>261</v>
      </c>
    </row>
    <row r="228" spans="1:5" x14ac:dyDescent="0.2">
      <c r="A228" t="e" cm="1" vm="10">
        <f t="array" aca="1" ref="A228" ca="1">ROMAN("-4",-D!H1:H7&gt;=LENB(" "))</f>
        <v>#VALUE!</v>
      </c>
      <c r="B228">
        <f t="shared" ca="1" si="9"/>
        <v>9</v>
      </c>
      <c r="C228">
        <f t="shared" ca="1" si="10"/>
        <v>0</v>
      </c>
      <c r="D228" t="str">
        <f t="shared" ca="1" si="11"/>
        <v/>
      </c>
      <c r="E228" t="s">
        <v>262</v>
      </c>
    </row>
    <row r="229" spans="1:5" x14ac:dyDescent="0.2">
      <c r="A229" t="e" cm="1">
        <f t="array" ref="A229">NA()</f>
        <v>#N/A</v>
      </c>
      <c r="B229">
        <f t="shared" si="9"/>
        <v>7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BAHTTEXT(1234)-POISSON(3,5,-{1}%*D!A8)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AMORDEGRC(2,D!B1,"","A","x y",0.15,1)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cm="1">
        <f t="array" ref="A232">INDEX(N(7),1,1)</f>
        <v>7</v>
      </c>
      <c r="B232">
        <f t="shared" si="9"/>
        <v>0</v>
      </c>
      <c r="C232">
        <f t="shared" si="10"/>
        <v>7</v>
      </c>
      <c r="D232" t="str">
        <f t="shared" si="11"/>
        <v/>
      </c>
      <c r="E232" t="s">
        <v>266</v>
      </c>
    </row>
    <row r="233" spans="1:5" x14ac:dyDescent="0.2">
      <c r="A233" cm="1">
        <f t="array" ref="A233">ROWS(LEFT("Привет"))</f>
        <v>1</v>
      </c>
      <c r="B233">
        <f t="shared" si="9"/>
        <v>0</v>
      </c>
      <c r="C233">
        <f t="shared" si="10"/>
        <v>1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SUM(GAMMALN(D!A1))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str" cm="1">
        <f t="array" ref="A235">IMLOG10("3+4i")</f>
        <v>0.698970004336019+0.402719196273373i</v>
      </c>
      <c r="B235">
        <f t="shared" si="9"/>
        <v>-3</v>
      </c>
      <c r="C235">
        <f t="shared" si="10"/>
        <v>0</v>
      </c>
      <c r="D235" t="str">
        <f t="shared" si="11"/>
        <v>0.698970004336019+0.402719196273373i</v>
      </c>
      <c r="E235" t="s">
        <v>269</v>
      </c>
    </row>
    <row r="236" spans="1:5" x14ac:dyDescent="0.2">
      <c r="A236" t="e" cm="1" vm="11">
        <f t="array" aca="1" ref="A236" ca="1">_xlfn._xlws.FILTER(D!B1:B8,D!B1:B8&gt;10,D!F1:F7)^_xlfn.TEXTSPLIT("?",",",D!AW1:AW4)</f>
        <v>#VALUE!</v>
      </c>
      <c r="B236">
        <f t="shared" ca="1" si="9"/>
        <v>9</v>
      </c>
      <c r="C236">
        <f t="shared" ca="1" si="10"/>
        <v>0</v>
      </c>
      <c r="D236" t="str">
        <f t="shared" ca="1" si="11"/>
        <v/>
      </c>
      <c r="E236" t="s">
        <v>270</v>
      </c>
    </row>
    <row r="237" spans="1:5" x14ac:dyDescent="0.2">
      <c r="A237" cm="1">
        <f t="array" ref="A237">VARPA(D!B1:B8)</f>
        <v>165.6708984375</v>
      </c>
      <c r="B237">
        <f t="shared" si="9"/>
        <v>0</v>
      </c>
      <c r="C237">
        <f t="shared" si="10"/>
        <v>165.6708984375</v>
      </c>
      <c r="D237" t="str">
        <f t="shared" si="11"/>
        <v/>
      </c>
      <c r="E237" t="s">
        <v>271</v>
      </c>
    </row>
    <row r="238" spans="1:5" x14ac:dyDescent="0.2">
      <c r="A238" cm="1">
        <f t="array" ref="A238">ATAN(1)</f>
        <v>0.78539816339744828</v>
      </c>
      <c r="B238">
        <f t="shared" si="9"/>
        <v>0</v>
      </c>
      <c r="C238">
        <f t="shared" si="10"/>
        <v>0.78539816339744828</v>
      </c>
      <c r="D238" t="str">
        <f t="shared" si="11"/>
        <v/>
      </c>
      <c r="E238" t="s">
        <v>272</v>
      </c>
    </row>
    <row r="239" spans="1:5" x14ac:dyDescent="0.2">
      <c r="A239" cm="1">
        <f t="array" ref="A239">FACT(5)</f>
        <v>120</v>
      </c>
      <c r="B239">
        <f t="shared" si="9"/>
        <v>0</v>
      </c>
      <c r="C239">
        <f t="shared" si="10"/>
        <v>120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EDATE("$1,000",_xlfn.T.INV.2T(-1.5,-1))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SINH(1)</f>
        <v>1.1752011936438014</v>
      </c>
      <c r="B241">
        <f t="shared" si="9"/>
        <v>0</v>
      </c>
      <c r="C241">
        <f t="shared" si="10"/>
        <v>1.1752011936438014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DSUM(D!B1,2.5,D!AS1:AS8)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_xlfn.CHISQ.INV(0.93,1)</f>
        <v>3.2830202867595295</v>
      </c>
      <c r="B243">
        <f t="shared" si="9"/>
        <v>0</v>
      </c>
      <c r="C243">
        <f t="shared" si="10"/>
        <v>3.2830202867595295</v>
      </c>
      <c r="D243" t="str">
        <f t="shared" si="11"/>
        <v/>
      </c>
      <c r="E243" t="s">
        <v>277</v>
      </c>
    </row>
    <row r="244" spans="1:5" x14ac:dyDescent="0.2">
      <c r="A244" t="str" cm="1">
        <f t="array" ref="A244">_xlfn.SWITCH("",1,"2025-01-31 12:00",D!G4,"two","other")</f>
        <v>other</v>
      </c>
      <c r="B244">
        <f t="shared" si="9"/>
        <v>-3</v>
      </c>
      <c r="C244">
        <f t="shared" si="10"/>
        <v>0</v>
      </c>
      <c r="D244" t="str">
        <f t="shared" si="11"/>
        <v>other</v>
      </c>
      <c r="E244" t="s">
        <v>278</v>
      </c>
    </row>
    <row r="245" spans="1:5" x14ac:dyDescent="0.2">
      <c r="A245" t="e" cm="1">
        <f t="array" ref="A245">LOGEST(D!BB1:BB6,D!AV1:AV7)</f>
        <v>#REF!</v>
      </c>
      <c r="B245">
        <f t="shared" si="9"/>
        <v>4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str" cm="1">
        <f t="array" ref="A246">REPT("a*",5)</f>
        <v>a*a*a*a*a*</v>
      </c>
      <c r="B246">
        <f t="shared" si="9"/>
        <v>-3</v>
      </c>
      <c r="C246">
        <f t="shared" si="10"/>
        <v>0</v>
      </c>
      <c r="D246" t="str">
        <f t="shared" si="11"/>
        <v>a*a*a*a*a*</v>
      </c>
      <c r="E246" t="s">
        <v>280</v>
      </c>
    </row>
    <row r="247" spans="1:5" x14ac:dyDescent="0.2">
      <c r="A247" t="e" cm="1" vm="3">
        <f t="array" aca="1" ref="A247" ca="1">EXACT("word",D!M1:M6)</f>
        <v>#VALUE!</v>
      </c>
      <c r="B247">
        <f t="shared" ca="1" si="9"/>
        <v>9</v>
      </c>
      <c r="C247">
        <f t="shared" ca="1" si="10"/>
        <v>0</v>
      </c>
      <c r="D247" t="str">
        <f t="shared" ca="1" si="11"/>
        <v/>
      </c>
      <c r="E247" t="s">
        <v>281</v>
      </c>
    </row>
    <row r="248" spans="1:5" x14ac:dyDescent="0.2">
      <c r="A248" t="e" cm="1">
        <f t="array" ref="A248">REPT("a*",1)-_xlfn.F.DIST(FALSE,D!C2+VALUE("$1,000"),AVERAGEIFS(D!B1:B8,D!B1,"&gt;4"),"?")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CHITEST(D!AK1:AL3,D!AM1:AN3)</f>
        <v>3.0819201700830936E-4</v>
      </c>
      <c r="B249">
        <f t="shared" si="9"/>
        <v>0</v>
      </c>
      <c r="C249">
        <f t="shared" si="10"/>
        <v>3.0819201700830936E-4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INTRATE(100,SECOND(0.70020833),1000000,SEARCH("aBc"/D!A12,"Statements","-4"),"2024-02-29")</f>
        <v>#NUM!</v>
      </c>
      <c r="B250">
        <f t="shared" si="9"/>
        <v>6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 vm="12">
        <f t="array" aca="1" ref="A251" ca="1">_xlfn.TOROW(D!P4:R5)</f>
        <v>#VALUE!</v>
      </c>
      <c r="B251">
        <f t="shared" ca="1" si="9"/>
        <v>9</v>
      </c>
      <c r="C251">
        <f t="shared" ca="1" si="10"/>
        <v>0</v>
      </c>
      <c r="D251" t="str">
        <f t="shared" ca="1" si="11"/>
        <v/>
      </c>
      <c r="E251" t="s">
        <v>285</v>
      </c>
    </row>
    <row r="252" spans="1:5" x14ac:dyDescent="0.2">
      <c r="A252" t="e" cm="1">
        <f t="array" ref="A252">_xlfn.CHISQ.TEST(D!P1:Q2,INTRATE(0,DATE(2008,5,15),"TRUE",1014420,COMBIN(1,10)))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GAMMAINV(0.068094,9,CEILING(-1,1))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ZTEST(D!B1:B8,-1.5)</f>
        <v>5.6348616303270331E-4</v>
      </c>
      <c r="B254">
        <f t="shared" si="9"/>
        <v>0</v>
      </c>
      <c r="C254">
        <f t="shared" si="10"/>
        <v>5.6348616303270331E-4</v>
      </c>
      <c r="D254" t="str">
        <f t="shared" si="11"/>
        <v/>
      </c>
      <c r="E254" t="s">
        <v>288</v>
      </c>
    </row>
    <row r="255" spans="1:5" x14ac:dyDescent="0.2">
      <c r="A255" cm="1">
        <f t="array" ref="A255">INDEX(GAMMALN(4),1,1)</f>
        <v>1.791759469228055</v>
      </c>
      <c r="B255">
        <f t="shared" si="9"/>
        <v>0</v>
      </c>
      <c r="C255">
        <f t="shared" si="10"/>
        <v>1.791759469228055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_xlfn.TEXTJOIN(";",FALSE,DEVSQ(D!F1:F7))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RANK("3",D!G4,D!A2)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str" cm="1">
        <f t="array" ref="A258">ROMAN(499)</f>
        <v>CDXCIX</v>
      </c>
      <c r="B258">
        <f t="shared" si="12"/>
        <v>-3</v>
      </c>
      <c r="C258">
        <f t="shared" si="13"/>
        <v>0</v>
      </c>
      <c r="D258" t="str">
        <f t="shared" si="14"/>
        <v>CDXCIX</v>
      </c>
      <c r="E258" t="s">
        <v>292</v>
      </c>
    </row>
    <row r="259" spans="1:5" x14ac:dyDescent="0.2">
      <c r="A259" cm="1">
        <f t="array" ref="A259">ROWS(IMPRODUCT("3+4i","5-3i"))</f>
        <v>1</v>
      </c>
      <c r="B259">
        <f t="shared" si="12"/>
        <v>0</v>
      </c>
      <c r="C259">
        <f t="shared" si="13"/>
        <v>1</v>
      </c>
      <c r="D259" t="str">
        <f t="shared" si="14"/>
        <v/>
      </c>
      <c r="E259" t="s">
        <v>293</v>
      </c>
    </row>
    <row r="260" spans="1:5" x14ac:dyDescent="0.2">
      <c r="A260" t="str" cm="1">
        <f t="array" ref="A260">RIGHT("Sale Price",0.25)</f>
        <v/>
      </c>
      <c r="B260">
        <f t="shared" si="12"/>
        <v>-3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cm="1">
        <f t="array" ref="A261">BESSELY(2.5,1)</f>
        <v>0.14591813750831284</v>
      </c>
      <c r="B261">
        <f t="shared" si="12"/>
        <v>0</v>
      </c>
      <c r="C261">
        <f t="shared" si="13"/>
        <v>0.14591813750831284</v>
      </c>
      <c r="D261" t="str">
        <f t="shared" si="14"/>
        <v/>
      </c>
      <c r="E261" t="s">
        <v>295</v>
      </c>
    </row>
    <row r="262" spans="1:5" x14ac:dyDescent="0.2">
      <c r="A262" cm="1">
        <f t="array" ref="A262">SEARCH("e","Statements",6)</f>
        <v>7</v>
      </c>
      <c r="B262">
        <f t="shared" si="12"/>
        <v>0</v>
      </c>
      <c r="C262">
        <f t="shared" si="13"/>
        <v>7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_xlfn.UNICODE(#NAME?)</f>
        <v>#NAME?</v>
      </c>
      <c r="B263">
        <f t="shared" si="12"/>
        <v>5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cm="1">
        <f t="array" ref="A264">TINV(0.05464493,60)</f>
        <v>1.9599999977988323</v>
      </c>
      <c r="B264">
        <f t="shared" si="12"/>
        <v>0</v>
      </c>
      <c r="C264">
        <f t="shared" si="13"/>
        <v>1.9599999977988323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LOGINV(0.039084,_xlfn.BITAND(ISNA(TRUE)=VALUE(2),5),_xlfn.CONFIDENCE.NORM(#N/A,-1.5,D!B1))</f>
        <v>#N/A</v>
      </c>
      <c r="B265">
        <f t="shared" si="12"/>
        <v>7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SUM(LOGEST(D!AS1:AS8,D!BC1:BC6))</f>
        <v>#REF!</v>
      </c>
      <c r="B266">
        <f t="shared" si="12"/>
        <v>4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cm="1">
        <f t="array" ref="A267">ERF(10)</f>
        <v>1</v>
      </c>
      <c r="B267">
        <f t="shared" si="12"/>
        <v>0</v>
      </c>
      <c r="C267">
        <f t="shared" si="13"/>
        <v>1</v>
      </c>
      <c r="D267" t="str">
        <f t="shared" si="14"/>
        <v/>
      </c>
      <c r="E267" t="s">
        <v>301</v>
      </c>
    </row>
    <row r="268" spans="1:5" x14ac:dyDescent="0.2">
      <c r="A268" cm="1">
        <f t="array" ref="A268">SINH(1)</f>
        <v>1.1752011936438014</v>
      </c>
      <c r="B268">
        <f t="shared" si="12"/>
        <v>0</v>
      </c>
      <c r="C268">
        <f t="shared" si="13"/>
        <v>1.1752011936438014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_xlfn.NORM.S.INV("A")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GEOMEAN({1,2,3})</f>
        <v>1.8171205928321397</v>
      </c>
      <c r="B270">
        <f t="shared" si="12"/>
        <v>0</v>
      </c>
      <c r="C270">
        <f t="shared" si="13"/>
        <v>1.8171205928321397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MAXA(D!B1:B8,{1,2;3,4},D!AW1:AW4,DEC2HEX(D!N1:N6))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TRIMMEAN(D!B1:B8,1000)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IMABS("5+12i")</f>
        <v>13</v>
      </c>
      <c r="B273">
        <f t="shared" si="12"/>
        <v>0</v>
      </c>
      <c r="C273">
        <f t="shared" si="13"/>
        <v>13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ROWS(_xlfn.PERMUTATIONA(3,D!A13))</f>
        <v>#VALUE!</v>
      </c>
      <c r="B274">
        <f t="shared" si="12"/>
        <v>3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MIN(D!B1:B8)</f>
        <v>-3.5</v>
      </c>
      <c r="B275">
        <f t="shared" si="12"/>
        <v>0</v>
      </c>
      <c r="C275">
        <f t="shared" si="13"/>
        <v>-3.5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_xlfn.ACOT(ROUND(2.15,3))</f>
        <v>0.43535327515230238</v>
      </c>
      <c r="B276">
        <f t="shared" si="12"/>
        <v>0</v>
      </c>
      <c r="C276">
        <f t="shared" si="13"/>
        <v>0.43535327515230238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RADIANS(ASIN(D!L4))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str" cm="1">
        <f t="array" ref="A278">_xlfn.TEXTJOIN(";",FALSE,_xlfn.GAMMALN.PRECISE(4))</f>
        <v>1.79175946922805</v>
      </c>
      <c r="B278">
        <f t="shared" si="12"/>
        <v>-3</v>
      </c>
      <c r="C278">
        <f t="shared" si="13"/>
        <v>0</v>
      </c>
      <c r="D278" t="str">
        <f t="shared" si="14"/>
        <v>1.79175946922805</v>
      </c>
      <c r="E278" t="s">
        <v>312</v>
      </c>
    </row>
    <row r="279" spans="1:5" x14ac:dyDescent="0.2">
      <c r="A279" t="str" cm="1">
        <f t="array" ref="A279">_xlfn.TEXTJOIN(", ",TRUE,"a","",D!B1:B8)</f>
        <v>a, 4, 8, 15, 16, 23, 42, -3.5, 10.25</v>
      </c>
      <c r="B279">
        <f t="shared" si="12"/>
        <v>-3</v>
      </c>
      <c r="C279">
        <f t="shared" si="13"/>
        <v>0</v>
      </c>
      <c r="D279" t="str">
        <f t="shared" si="14"/>
        <v>a, 4, 8, 15, 16, 23, 42, -3.5, 10.25</v>
      </c>
      <c r="E279" t="s">
        <v>313</v>
      </c>
    </row>
    <row r="280" spans="1:5" x14ac:dyDescent="0.2">
      <c r="A280" cm="1">
        <f t="array" ref="A280">MOD(3,7)</f>
        <v>3</v>
      </c>
      <c r="B280">
        <f t="shared" si="12"/>
        <v>0</v>
      </c>
      <c r="C280">
        <f t="shared" si="13"/>
        <v>3</v>
      </c>
      <c r="D280" t="str">
        <f t="shared" si="14"/>
        <v/>
      </c>
      <c r="E280" t="s">
        <v>314</v>
      </c>
    </row>
    <row r="281" spans="1:5" x14ac:dyDescent="0.2">
      <c r="A281" cm="1">
        <f t="array" ref="A281">SUM(_xlfn.CEILING.MATH(ZTEST(D!B1:B8,4),5))</f>
        <v>5</v>
      </c>
      <c r="B281">
        <f t="shared" si="12"/>
        <v>0</v>
      </c>
      <c r="C281">
        <f t="shared" si="13"/>
        <v>5</v>
      </c>
      <c r="D281" t="str">
        <f t="shared" si="14"/>
        <v/>
      </c>
      <c r="E281" t="s">
        <v>315</v>
      </c>
    </row>
    <row r="282" spans="1:5" x14ac:dyDescent="0.2">
      <c r="A282" cm="1">
        <f t="array" ref="A282">_xlfn.HSTACK(0)</f>
        <v>0</v>
      </c>
      <c r="B282">
        <f t="shared" si="12"/>
        <v>0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AVEDEV(D!B1:B8,MROUND("18:30",0),GROWTH(D!BB1:BB6),_xlfn.MUNIT(2))</f>
        <v>44710.113398307229</v>
      </c>
      <c r="B283">
        <f t="shared" si="12"/>
        <v>0</v>
      </c>
      <c r="C283">
        <f t="shared" si="13"/>
        <v>44710.113398307229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VALUE(TRUE)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INDEX(WEEKNUM(40977),1,1)</f>
        <v>10</v>
      </c>
      <c r="B285">
        <f t="shared" si="12"/>
        <v>0</v>
      </c>
      <c r="C285">
        <f t="shared" si="13"/>
        <v>10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BETAINV(0.685470581,8,LEFTB("aBc",2),1,_xlfn.T.DIST.2T(1.959999998,60))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YEARFRAC(40909,#NUM!)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DURATION(D!B2:B3,DATE(2048,1,1),0.08,#NUM!,-1.5,D!A4)&gt;_xlfn.MUNIT(0)</f>
        <v>#VALUE!</v>
      </c>
      <c r="B288">
        <f t="shared" si="12"/>
        <v>3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b" cm="1">
        <f t="array" ref="A289">FALSE()</f>
        <v>0</v>
      </c>
      <c r="B289">
        <f t="shared" si="12"/>
        <v>-2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_xlfn.RANK.AVG(-1.5,D!G4)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DURATION(DATE(2018,7,1),60,D!A3,0.09,D!A3,D!C2)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_xlfn.CEILING.MATH(0.25)</f>
        <v>1</v>
      </c>
      <c r="B292">
        <f t="shared" si="12"/>
        <v>0</v>
      </c>
      <c r="C292">
        <f t="shared" si="13"/>
        <v>1</v>
      </c>
      <c r="D292" t="str">
        <f t="shared" si="14"/>
        <v/>
      </c>
      <c r="E292" t="s">
        <v>326</v>
      </c>
    </row>
    <row r="293" spans="1:5" x14ac:dyDescent="0.2">
      <c r="A293" cm="1">
        <f t="array" ref="A293">_xlfn.ERF.PRECISE(0.745)</f>
        <v>0.70792892009573771</v>
      </c>
      <c r="B293">
        <f t="shared" si="12"/>
        <v>0</v>
      </c>
      <c r="C293">
        <f t="shared" si="13"/>
        <v>0.70792892009573771</v>
      </c>
      <c r="D293" t="str">
        <f t="shared" si="14"/>
        <v/>
      </c>
      <c r="E293" t="s">
        <v>327</v>
      </c>
    </row>
    <row r="294" spans="1:5" x14ac:dyDescent="0.2">
      <c r="A294" cm="1">
        <f t="array" ref="A294">FLOOR(1000,2)</f>
        <v>1000</v>
      </c>
      <c r="B294">
        <f t="shared" si="12"/>
        <v>0</v>
      </c>
      <c r="C294">
        <f t="shared" si="13"/>
        <v>1000</v>
      </c>
      <c r="D294" t="str">
        <f t="shared" si="14"/>
        <v/>
      </c>
      <c r="E294" t="s">
        <v>328</v>
      </c>
    </row>
    <row r="295" spans="1:5" x14ac:dyDescent="0.2">
      <c r="A295" cm="1">
        <f t="array" ref="A295">SUM(PEARSON(D!B1:B8,D!C1:C8))</f>
        <v>0.98532920764409482</v>
      </c>
      <c r="B295">
        <f t="shared" si="12"/>
        <v>0</v>
      </c>
      <c r="C295">
        <f t="shared" si="13"/>
        <v>0.98532920764409482</v>
      </c>
      <c r="D295" t="str">
        <f t="shared" si="14"/>
        <v/>
      </c>
      <c r="E295" t="s">
        <v>329</v>
      </c>
    </row>
    <row r="296" spans="1:5" x14ac:dyDescent="0.2">
      <c r="A296" t="str" cm="1">
        <f t="array" ref="A296">_xlfn.TEXTJOIN(";",FALSE,_xlfn.ACOT(2))</f>
        <v>0.463647609000806</v>
      </c>
      <c r="B296">
        <f t="shared" si="12"/>
        <v>-3</v>
      </c>
      <c r="C296">
        <f t="shared" si="13"/>
        <v>0</v>
      </c>
      <c r="D296" t="str">
        <f t="shared" si="14"/>
        <v>0.463647609000806</v>
      </c>
      <c r="E296" t="s">
        <v>330</v>
      </c>
    </row>
    <row r="297" spans="1:5" x14ac:dyDescent="0.2">
      <c r="A297" cm="1">
        <f t="array" ref="A297">_xlfn.PHI(0.75)</f>
        <v>0.30113743215480443</v>
      </c>
      <c r="B297">
        <f t="shared" si="12"/>
        <v>0</v>
      </c>
      <c r="C297">
        <f t="shared" si="13"/>
        <v>0.30113743215480443</v>
      </c>
      <c r="D297" t="str">
        <f t="shared" si="14"/>
        <v/>
      </c>
      <c r="E297" t="s">
        <v>331</v>
      </c>
    </row>
    <row r="298" spans="1:5" x14ac:dyDescent="0.2">
      <c r="A298" t="str" cm="1">
        <f t="array" ref="A298">INDEX(UPPER("total"),1,1)</f>
        <v>TOTAL</v>
      </c>
      <c r="B298">
        <f t="shared" si="12"/>
        <v>-3</v>
      </c>
      <c r="C298">
        <f t="shared" si="13"/>
        <v>0</v>
      </c>
      <c r="D298" t="str">
        <f t="shared" si="14"/>
        <v>TOTAL</v>
      </c>
      <c r="E298" t="s">
        <v>332</v>
      </c>
    </row>
    <row r="299" spans="1:5" x14ac:dyDescent="0.2">
      <c r="A299" cm="1">
        <f t="array" ref="A299">EVEN(4)</f>
        <v>4</v>
      </c>
      <c r="B299">
        <f t="shared" si="12"/>
        <v>0</v>
      </c>
      <c r="C299">
        <f t="shared" si="13"/>
        <v>4</v>
      </c>
      <c r="D299" t="str">
        <f t="shared" si="14"/>
        <v/>
      </c>
      <c r="E299" t="s">
        <v>333</v>
      </c>
    </row>
    <row r="300" spans="1:5" x14ac:dyDescent="0.2">
      <c r="A300" cm="1">
        <f t="array" ref="A300">MINUTE("12:00")</f>
        <v>0</v>
      </c>
      <c r="B300">
        <f t="shared" si="12"/>
        <v>0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str" cm="1">
        <f t="array" ref="A301">_xlfn.BASE(1,2)</f>
        <v>1</v>
      </c>
      <c r="B301">
        <f t="shared" si="12"/>
        <v>-3</v>
      </c>
      <c r="C301">
        <f t="shared" si="13"/>
        <v>0</v>
      </c>
      <c r="D301" t="str">
        <f t="shared" si="14"/>
        <v>1</v>
      </c>
      <c r="E301" t="s">
        <v>335</v>
      </c>
    </row>
    <row r="302" spans="1:5" x14ac:dyDescent="0.2">
      <c r="A302" cm="1">
        <f t="array" ref="A302">ROWS(_xlfn.IMCSC("4+3i"))</f>
        <v>1</v>
      </c>
      <c r="B302">
        <f t="shared" si="12"/>
        <v>0</v>
      </c>
      <c r="C302">
        <f t="shared" si="13"/>
        <v>1</v>
      </c>
      <c r="D302" t="str">
        <f t="shared" si="14"/>
        <v/>
      </c>
      <c r="E302" t="s">
        <v>336</v>
      </c>
    </row>
    <row r="303" spans="1:5" x14ac:dyDescent="0.2">
      <c r="A303" t="e" cm="1" vm="13">
        <f t="array" aca="1" ref="A303" ca="1">_xlfn.WRAPROWS(D!L1:L6,1,D!AW1:AW4)</f>
        <v>#VALUE!</v>
      </c>
      <c r="B303">
        <f t="shared" ca="1" si="12"/>
        <v>9</v>
      </c>
      <c r="C303">
        <f t="shared" ca="1" si="13"/>
        <v>0</v>
      </c>
      <c r="D303" t="str">
        <f t="shared" ca="1" si="14"/>
        <v/>
      </c>
      <c r="E303" t="s">
        <v>337</v>
      </c>
    </row>
    <row r="304" spans="1:5" x14ac:dyDescent="0.2">
      <c r="A304" t="e" cm="1">
        <f t="array" ref="A304">SUM(SEARCHB(TEXT(1234.567,2),"abc"))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str" cm="1">
        <f t="array" ref="A305">_xlfn.IMSINH("4+3i")</f>
        <v>-27.0168132580039+3.85373803791938i</v>
      </c>
      <c r="B305">
        <f t="shared" si="12"/>
        <v>-3</v>
      </c>
      <c r="C305">
        <f t="shared" si="13"/>
        <v>0</v>
      </c>
      <c r="D305" t="str">
        <f t="shared" si="14"/>
        <v>-27.0168132580039+3.85373803791938i</v>
      </c>
      <c r="E305" t="s">
        <v>339</v>
      </c>
    </row>
    <row r="306" spans="1:5" x14ac:dyDescent="0.2">
      <c r="A306" t="e" cm="1">
        <f t="array" ref="A306">DSTDEVP(D!AY1:AY5,"Yield",D!AV1:AV7)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str" cm="1">
        <f t="array" ref="A307">_xlfn.TEXTJOIN(";",FALSE,_xlfn.COMBINA(_xlfn.QUARTILE.EXC(D!B1:B8,3),3))</f>
        <v>1771</v>
      </c>
      <c r="B307">
        <f t="shared" si="12"/>
        <v>-3</v>
      </c>
      <c r="C307">
        <f t="shared" si="13"/>
        <v>0</v>
      </c>
      <c r="D307" t="str">
        <f t="shared" si="14"/>
        <v>1771</v>
      </c>
      <c r="E307" t="s">
        <v>341</v>
      </c>
    </row>
    <row r="308" spans="1:5" x14ac:dyDescent="0.2">
      <c r="A308" t="e" cm="1" vm="14">
        <f t="array" aca="1" ref="A308" ca="1">_xlfn.HSTACK(D!A10,D!R1:S2,D!C1:C8)</f>
        <v>#VALUE!</v>
      </c>
      <c r="B308">
        <f t="shared" ca="1" si="12"/>
        <v>9</v>
      </c>
      <c r="C308">
        <f t="shared" ca="1" si="13"/>
        <v>0</v>
      </c>
      <c r="D308" t="str">
        <f t="shared" ca="1" si="14"/>
        <v/>
      </c>
      <c r="E308" t="s">
        <v>342</v>
      </c>
    </row>
    <row r="309" spans="1:5" x14ac:dyDescent="0.2">
      <c r="A309" cm="1">
        <f t="array" ref="A309">_xlfn.GAMMA(D!G4)</f>
        <v>5040</v>
      </c>
      <c r="B309">
        <f t="shared" si="12"/>
        <v>0</v>
      </c>
      <c r="C309">
        <f t="shared" si="13"/>
        <v>5040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ERROR.TYPE(D!G4)</f>
        <v>#N/A</v>
      </c>
      <c r="B310">
        <f t="shared" si="12"/>
        <v>7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_xlfn.COVARIANCE.S(D!B1:B8,VLOOKUP(5,D!K1:K8,2))</f>
        <v>#N/A</v>
      </c>
      <c r="B311">
        <f t="shared" si="12"/>
        <v>7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RIGHTB(DURATION(DATE(2018,7,1),0.25,TRUE,0.09,TRUE,D!A12)&lt;D!C2,2)</f>
        <v>#VALUE!</v>
      </c>
      <c r="B312">
        <f t="shared" si="12"/>
        <v>3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str" cm="1">
        <f t="array" ref="A313">BAHTTEXT(1234)</f>
        <v>หนึ่งพันสองร้อยสามสิบสี่บาทถ้วน</v>
      </c>
      <c r="B313">
        <f t="shared" si="12"/>
        <v>-3</v>
      </c>
      <c r="C313">
        <f t="shared" si="13"/>
        <v>0</v>
      </c>
      <c r="D313" t="str">
        <f t="shared" si="14"/>
        <v>หนึ่งพันสองร้อยสามสิบสี่บาทถ้วน</v>
      </c>
      <c r="E313" t="s">
        <v>347</v>
      </c>
    </row>
    <row r="314" spans="1:5" x14ac:dyDescent="0.2">
      <c r="A314" t="e" cm="1">
        <f t="array" ref="A314">_xlfn.TEXTJOIN(";",FALSE,MULTINOMIAL({1;2;3},_xlfn.TAKE(D!L1:N6,5,5),{1,2;3,4}))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cm="1">
        <f t="array" ref="A315">COLUMNS(IFERROR(D!A7,D!A15))</f>
        <v>1</v>
      </c>
      <c r="B315">
        <f t="shared" si="12"/>
        <v>0</v>
      </c>
      <c r="C315">
        <f t="shared" si="13"/>
        <v>1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_xlfn.PHI(_xlfn.ACOTH(0.25))-COSH(#DIV/0!)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 vm="6">
        <f t="array" aca="1" ref="A317" ca="1">EDATE(40558,{"x";""})</f>
        <v>#VALUE!</v>
      </c>
      <c r="B317">
        <f t="shared" ca="1" si="12"/>
        <v>9</v>
      </c>
      <c r="C317">
        <f t="shared" ca="1" si="13"/>
        <v>0</v>
      </c>
      <c r="D317" t="str">
        <f t="shared" ca="1" si="14"/>
        <v/>
      </c>
      <c r="E317" t="s">
        <v>351</v>
      </c>
    </row>
    <row r="318" spans="1:5" x14ac:dyDescent="0.2">
      <c r="A318" cm="1">
        <f t="array" ref="A318">QUARTILE(D!B1:B8,1)</f>
        <v>7</v>
      </c>
      <c r="B318">
        <f t="shared" si="12"/>
        <v>0</v>
      </c>
      <c r="C318">
        <f t="shared" si="13"/>
        <v>7</v>
      </c>
      <c r="D318" t="str">
        <f t="shared" si="14"/>
        <v/>
      </c>
      <c r="E318" t="s">
        <v>352</v>
      </c>
    </row>
    <row r="319" spans="1:5" x14ac:dyDescent="0.2">
      <c r="A319" t="b" cm="1">
        <f t="array" ref="A319">ISEVEN(100)</f>
        <v>1</v>
      </c>
      <c r="B319">
        <f t="shared" si="12"/>
        <v>-1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str" cm="1">
        <f t="array" ref="A320">IMSQRT("1+i")</f>
        <v>1.09868411346781+0.455089860562227i</v>
      </c>
      <c r="B320">
        <f t="shared" si="12"/>
        <v>-3</v>
      </c>
      <c r="C320">
        <f t="shared" si="13"/>
        <v>0</v>
      </c>
      <c r="D320" t="str">
        <f t="shared" si="14"/>
        <v>1.09868411346781+0.455089860562227i</v>
      </c>
      <c r="E320" t="s">
        <v>354</v>
      </c>
    </row>
    <row r="321" spans="1:5" x14ac:dyDescent="0.2">
      <c r="A321" t="e" cm="1">
        <f t="array" ref="A321">DGET(D!AV1:AV7,"Yield",D!AW1:AW4)</f>
        <v>#VALUE!</v>
      </c>
      <c r="B321">
        <f t="shared" ref="B321:B384" si="15">IF(ISERROR(A321),ERROR.TYPE(A321),IF(ISNUMBER(A321),0,IF(ISLOGICAL(A321),IF(A321,-1,-2),IF(ISTEXT(A321),-3,-4))))</f>
        <v>3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SUMSQ({1,2;3,4},D!F1)</f>
        <v>30</v>
      </c>
      <c r="B322">
        <f t="shared" si="15"/>
        <v>0</v>
      </c>
      <c r="C322">
        <f t="shared" si="16"/>
        <v>30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RSQ(_xlfn.TOROW(D!P4:R5),_xlfn.WRAPCOLS(D!B1:B8,2))</f>
        <v>#N/A</v>
      </c>
      <c r="B323">
        <f t="shared" si="15"/>
        <v>7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cm="1">
        <f t="array" ref="A324">CHIDIST(18.307,"1.5")</f>
        <v>1.8801504022645274E-5</v>
      </c>
      <c r="B324">
        <f t="shared" si="15"/>
        <v>0</v>
      </c>
      <c r="C324">
        <f t="shared" si="16"/>
        <v>1.8801504022645274E-5</v>
      </c>
      <c r="D324" t="str">
        <f t="shared" si="17"/>
        <v/>
      </c>
      <c r="E324" t="s">
        <v>358</v>
      </c>
    </row>
    <row r="325" spans="1:5" x14ac:dyDescent="0.2">
      <c r="A325" cm="1">
        <f t="array" ref="A325">_xlfn.PERCENTOF(D!G1:G7,TRUE)</f>
        <v>127</v>
      </c>
      <c r="B325">
        <f t="shared" si="15"/>
        <v>0</v>
      </c>
      <c r="C325">
        <f t="shared" si="16"/>
        <v>127</v>
      </c>
      <c r="D325" t="str">
        <f t="shared" si="17"/>
        <v/>
      </c>
      <c r="E325" t="s">
        <v>359</v>
      </c>
    </row>
    <row r="326" spans="1:5" x14ac:dyDescent="0.2">
      <c r="A326" cm="1">
        <f t="array" ref="A326">_xlfn.BINOM.DIST.RANGE(60,0.75,D!B1)</f>
        <v>2.9715319813645348E-29</v>
      </c>
      <c r="B326">
        <f t="shared" si="15"/>
        <v>0</v>
      </c>
      <c r="C326">
        <f t="shared" si="16"/>
        <v>2.9715319813645348E-29</v>
      </c>
      <c r="D326" t="str">
        <f t="shared" si="17"/>
        <v/>
      </c>
      <c r="E326" t="s">
        <v>360</v>
      </c>
    </row>
    <row r="327" spans="1:5" x14ac:dyDescent="0.2">
      <c r="A327" cm="1">
        <f t="array" ref="A327">FTEST(D!B1:B8,D!C1:C8)</f>
        <v>0.89907526605691512</v>
      </c>
      <c r="B327">
        <f t="shared" si="15"/>
        <v>0</v>
      </c>
      <c r="C327">
        <f t="shared" si="16"/>
        <v>0.89907526605691512</v>
      </c>
      <c r="D327" t="str">
        <f t="shared" si="17"/>
        <v/>
      </c>
      <c r="E327" t="s">
        <v>361</v>
      </c>
    </row>
    <row r="328" spans="1:5" x14ac:dyDescent="0.2">
      <c r="A328" cm="1">
        <f t="array" ref="A328">GAMMALN(4)</f>
        <v>1.791759469228055</v>
      </c>
      <c r="B328">
        <f t="shared" si="15"/>
        <v>0</v>
      </c>
      <c r="C328">
        <f t="shared" si="16"/>
        <v>1.791759469228055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FINV(0.01,6,4)=DEC2OCT(58,TRUE)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b" cm="1">
        <f t="array" ref="A330">OR(100,D!A10)</f>
        <v>1</v>
      </c>
      <c r="B330">
        <f t="shared" si="15"/>
        <v>-1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cm="1">
        <f t="array" ref="A331">BESSELJ(1.9,5)</f>
        <v>5.5384930136158821E-3</v>
      </c>
      <c r="B331">
        <f t="shared" si="15"/>
        <v>0</v>
      </c>
      <c r="C331">
        <f t="shared" si="16"/>
        <v>5.5384930136158821E-3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_xlfn.CONFIDENCE.NORM(0.05,"0",0.5&gt;EDATE(BIN2DEC(D!A3),1))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COLUMNS(_xlfn.GAMMA.DIST(10.00001131,COUNT(D!B1:B8)&amp;" 2 ",2,FALSE))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e" cm="1">
        <f t="array" ref="A334">SUM(_xlfn.TEXTBEFORE("a-b-c","-",FALSE))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cm="1">
        <f t="array" ref="A335">RADIANS(-1.5)</f>
        <v>-2.6179938779914945E-2</v>
      </c>
      <c r="B335">
        <f t="shared" si="15"/>
        <v>0</v>
      </c>
      <c r="C335">
        <f t="shared" si="16"/>
        <v>-2.6179938779914945E-2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_xlfn.TEXTBEFORE("a-b-c",D!G1:G7,D!A3)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cm="1">
        <f t="array" ref="A337">SUM(SEARCHB("?","abc"))</f>
        <v>1</v>
      </c>
      <c r="B337">
        <f t="shared" si="15"/>
        <v>0</v>
      </c>
      <c r="C337">
        <f t="shared" si="16"/>
        <v>1</v>
      </c>
      <c r="D337" t="str">
        <f t="shared" si="17"/>
        <v/>
      </c>
      <c r="E337" t="s">
        <v>371</v>
      </c>
    </row>
    <row r="338" spans="1:5" x14ac:dyDescent="0.2">
      <c r="A338" t="e" cm="1">
        <f t="array" ref="A338">COUPNUM(DATE(2011,1,25),DATE(2011,11,15),#DIV/0!,_xlfn.SEC(45))</f>
        <v>#DIV/0!</v>
      </c>
      <c r="B338">
        <f t="shared" si="15"/>
        <v>2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 vm="2">
        <f t="array" aca="1" ref="A339" ca="1">MINVERSE(D!P1:Q2)</f>
        <v>#VALUE!</v>
      </c>
      <c r="B339">
        <f t="shared" ca="1" si="15"/>
        <v>9</v>
      </c>
      <c r="C339">
        <f t="shared" ca="1" si="16"/>
        <v>0</v>
      </c>
      <c r="D339" t="str">
        <f t="shared" ca="1" si="17"/>
        <v/>
      </c>
      <c r="E339" t="s">
        <v>373</v>
      </c>
    </row>
    <row r="340" spans="1:5" x14ac:dyDescent="0.2">
      <c r="A340" t="e" cm="1">
        <f t="array" ref="A340">INDEX(_xlfn.PDURATION(NORMSINV({1}),MEDIAN(D!B1:B8),PRICE(DATE(2008,2,15),_xlfn.CONCAT("a"),0.0575,ATAN2(1,D!N2),CUMPRINC(0.0075,360,125000,13,24,D!M1:M6),"a,b")),1,1)</f>
        <v>#NUM!</v>
      </c>
      <c r="B340">
        <f t="shared" si="15"/>
        <v>6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IMDIV("-238+240i",POISSON(2,5,"1E2"))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COLUMNS(HYPGEOMDIST(WORKDAY(39722,SIGN(D!A4)),4,8,45351))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376</v>
      </c>
    </row>
    <row r="343" spans="1:5" x14ac:dyDescent="0.2">
      <c r="A343" t="e" cm="1">
        <f t="array" ref="A343">MDETERM({0.5;-1})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str" cm="1">
        <f t="array" ref="A344">IMEXP("1+i")</f>
        <v>1.46869393991589+2.28735528717884i</v>
      </c>
      <c r="B344">
        <f t="shared" si="15"/>
        <v>-3</v>
      </c>
      <c r="C344">
        <f t="shared" si="16"/>
        <v>0</v>
      </c>
      <c r="D344" t="str">
        <f t="shared" si="17"/>
        <v>1.46869393991589+2.28735528717884i</v>
      </c>
      <c r="E344" t="s">
        <v>378</v>
      </c>
    </row>
    <row r="345" spans="1:5" x14ac:dyDescent="0.2">
      <c r="A345" cm="1">
        <f t="array" ref="A345">COLUMNS(_xlfn.FLOOR.MATH(24.3,5))</f>
        <v>1</v>
      </c>
      <c r="B345">
        <f t="shared" si="15"/>
        <v>0</v>
      </c>
      <c r="C345">
        <f t="shared" si="16"/>
        <v>1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_xlfn.F.INV.RT(0.01,6,4)=VLOOKUP(5,D!B1:B8,2,FALSE)</f>
        <v>#N/A</v>
      </c>
      <c r="B346">
        <f t="shared" si="15"/>
        <v>7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HARMEAN(D!I1:I5)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_xlfn.PHI(-1.5)&lt;=DVARP(D!F1:F7,#NAME?,D!AS1:AS8)</f>
        <v>#NAME?</v>
      </c>
      <c r="B348">
        <f t="shared" si="15"/>
        <v>5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RECEIVED(FALSE,DATE(2008,5,15),REPLACE("6:35 AM",6,5,0),D!F1,1000)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b" cm="1">
        <f t="array" ref="A350">NOT(FALSE)</f>
        <v>1</v>
      </c>
      <c r="B350">
        <f t="shared" si="15"/>
        <v>-1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cm="1">
        <f t="array" ref="A351">RATE(48,-200,8000)</f>
        <v>7.7014724882013682E-3</v>
      </c>
      <c r="B351">
        <f t="shared" si="15"/>
        <v>0</v>
      </c>
      <c r="C351">
        <f t="shared" si="16"/>
        <v>7.7014724882013682E-3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LOGEST(D!BB1:BB6,D!BC1:BC6,TRUE,D!F1)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PERMUT(YEAR("FALSE"),D!A7)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_xlfn.VAR.P(D!L1:L6,#NAME?,D!I1:I5,D!A1)</f>
        <v>#NAME?</v>
      </c>
      <c r="B354">
        <f t="shared" si="15"/>
        <v>5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_xlfn.CHISQ.INV(100,1)</f>
        <v>#NUM!</v>
      </c>
      <c r="B355">
        <f t="shared" si="15"/>
        <v>6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DEVSQ(D!B1:B8)</f>
        <v>1325.3671875</v>
      </c>
      <c r="B356">
        <f t="shared" si="15"/>
        <v>0</v>
      </c>
      <c r="C356">
        <f t="shared" si="16"/>
        <v>1325.3671875</v>
      </c>
      <c r="D356" t="str">
        <f t="shared" si="17"/>
        <v/>
      </c>
      <c r="E356" t="s">
        <v>390</v>
      </c>
    </row>
    <row r="357" spans="1:5" x14ac:dyDescent="0.2">
      <c r="A357" t="str" cm="1">
        <f t="array" ref="A357">_xlfn.TEXTJOIN(";",FALSE,DEGREES(3.14159265358979))</f>
        <v>180</v>
      </c>
      <c r="B357">
        <f t="shared" si="15"/>
        <v>-3</v>
      </c>
      <c r="C357">
        <f t="shared" si="16"/>
        <v>0</v>
      </c>
      <c r="D357" t="str">
        <f t="shared" si="17"/>
        <v>180</v>
      </c>
      <c r="E357" t="s">
        <v>391</v>
      </c>
    </row>
    <row r="358" spans="1:5" x14ac:dyDescent="0.2">
      <c r="A358" t="e" cm="1">
        <f t="array" ref="A358">ROWS(EXPONDIST(0.2,10,#DIV/0!))</f>
        <v>#DIV/0!</v>
      </c>
      <c r="B358">
        <f t="shared" si="15"/>
        <v>2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ROUNDUP(ROUNDDOWN(3.2,2),#REF!)</f>
        <v>#REF!</v>
      </c>
      <c r="B359">
        <f t="shared" si="15"/>
        <v>4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cm="1">
        <f t="array" ref="A360">_xlfn.BETA.DIST(2,8,TRUE,{1},1,3)</f>
        <v>3.9062500000000009E-3</v>
      </c>
      <c r="B360">
        <f t="shared" si="15"/>
        <v>0</v>
      </c>
      <c r="C360">
        <f t="shared" si="16"/>
        <v>3.9062500000000009E-3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DOLLARDE(1.02,CHIDIST(18.307,0))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FACTDOUBLE(-1)&amp;DB(1000000,LOG10(86),_xlfn.IMCOSH("4+3i"),1,7)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str" cm="1">
        <f t="array" ref="A363">CLEAN(D!A14)</f>
        <v>abc</v>
      </c>
      <c r="B363">
        <f t="shared" si="15"/>
        <v>-3</v>
      </c>
      <c r="C363">
        <f t="shared" si="16"/>
        <v>0</v>
      </c>
      <c r="D363" t="str">
        <f t="shared" si="17"/>
        <v>abc</v>
      </c>
      <c r="E363" t="s">
        <v>397</v>
      </c>
    </row>
    <row r="364" spans="1:5" x14ac:dyDescent="0.2">
      <c r="A364" cm="1">
        <f t="array" ref="A364">_xlfn.ERFC.PRECISE(1)</f>
        <v>0.15729920705028513</v>
      </c>
      <c r="B364">
        <f t="shared" si="15"/>
        <v>0</v>
      </c>
      <c r="C364">
        <f t="shared" si="16"/>
        <v>0.15729920705028513</v>
      </c>
      <c r="D364" t="str">
        <f t="shared" si="17"/>
        <v/>
      </c>
      <c r="E364" t="s">
        <v>398</v>
      </c>
    </row>
    <row r="365" spans="1:5" x14ac:dyDescent="0.2">
      <c r="A365" cm="1">
        <f t="array" ref="A365">INDEX(ODD(3&lt;&gt;100),1,1)</f>
        <v>1</v>
      </c>
      <c r="B365">
        <f t="shared" si="15"/>
        <v>0</v>
      </c>
      <c r="C365">
        <f t="shared" si="16"/>
        <v>1</v>
      </c>
      <c r="D365" t="str">
        <f t="shared" si="17"/>
        <v/>
      </c>
      <c r="E365" t="s">
        <v>399</v>
      </c>
    </row>
    <row r="366" spans="1:5" x14ac:dyDescent="0.2">
      <c r="A366" cm="1">
        <f t="array" ref="A366">STDEV(D!AV1:AV7,2)</f>
        <v>2.9760952365713798</v>
      </c>
      <c r="B366">
        <f t="shared" si="15"/>
        <v>0</v>
      </c>
      <c r="C366">
        <f t="shared" si="16"/>
        <v>2.9760952365713798</v>
      </c>
      <c r="D366" t="str">
        <f t="shared" si="17"/>
        <v/>
      </c>
      <c r="E366" t="s">
        <v>400</v>
      </c>
    </row>
    <row r="367" spans="1:5" x14ac:dyDescent="0.2">
      <c r="A367" cm="1">
        <f t="array" ref="A367">COLUMNS(D!AK1:AL3)</f>
        <v>2</v>
      </c>
      <c r="B367">
        <f t="shared" si="15"/>
        <v>0</v>
      </c>
      <c r="C367">
        <f t="shared" si="16"/>
        <v>2</v>
      </c>
      <c r="D367" t="str">
        <f t="shared" si="17"/>
        <v/>
      </c>
      <c r="E367" t="s">
        <v>401</v>
      </c>
    </row>
    <row r="368" spans="1:5" x14ac:dyDescent="0.2">
      <c r="A368" t="e" cm="1">
        <f t="array" ref="A368">TBILLPRICE(D!A7,39600,3)</f>
        <v>#DIV/0!</v>
      </c>
      <c r="B368">
        <f t="shared" si="15"/>
        <v>2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cm="1">
        <f t="array" ref="A369">_xlfn.MODE.SNGL(D!U1:Y7)</f>
        <v>14</v>
      </c>
      <c r="B369">
        <f t="shared" si="15"/>
        <v>0</v>
      </c>
      <c r="C369">
        <f t="shared" si="16"/>
        <v>14</v>
      </c>
      <c r="D369" t="str">
        <f t="shared" si="17"/>
        <v/>
      </c>
      <c r="E369" t="s">
        <v>403</v>
      </c>
    </row>
    <row r="370" spans="1:5" x14ac:dyDescent="0.2">
      <c r="A370" cm="1">
        <f t="array" ref="A370">DB(ROUNDDOWN(3.2,D!A2),100000,6,1)^ISTEXT(2.5)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DMAX(D!C1:C8,D!A9,D!AY1:AY5)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 vm="15">
        <f t="array" ref="A372">_xlfn.SEQUENCE(0)</f>
        <v>#VALUE!</v>
      </c>
      <c r="B372">
        <f t="shared" si="15"/>
        <v>14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_xlfn.TEXTJOIN(";",FALSE,INTRATE(DATE(2008,2,15),DATE(2008,5,15),COLUMN(D!B1:B3),SEARCH(T("Rainfall"),"Statements","50%"),D!A3&lt;ISBLANK(PI())))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cm="1">
        <f t="array" ref="A374">ROWS(D!D1:D8)</f>
        <v>8</v>
      </c>
      <c r="B374">
        <f t="shared" si="15"/>
        <v>0</v>
      </c>
      <c r="C374">
        <f t="shared" si="16"/>
        <v>8</v>
      </c>
      <c r="D374" t="str">
        <f t="shared" si="17"/>
        <v/>
      </c>
      <c r="E374" t="s">
        <v>408</v>
      </c>
    </row>
    <row r="375" spans="1:5" x14ac:dyDescent="0.2">
      <c r="A375" cm="1">
        <f t="array" ref="A375">_xlfn.WEIBULL.DIST(105,20,100,TRUE)</f>
        <v>0.92958139006927698</v>
      </c>
      <c r="B375">
        <f t="shared" si="15"/>
        <v>0</v>
      </c>
      <c r="C375">
        <f t="shared" si="16"/>
        <v>0.92958139006927698</v>
      </c>
      <c r="D375" t="str">
        <f t="shared" si="17"/>
        <v/>
      </c>
      <c r="E375" t="s">
        <v>409</v>
      </c>
    </row>
    <row r="376" spans="1:5" x14ac:dyDescent="0.2">
      <c r="A376" cm="1">
        <f t="array" ref="A376">MINUTE(0.5104166667)</f>
        <v>15</v>
      </c>
      <c r="B376">
        <f t="shared" si="15"/>
        <v>0</v>
      </c>
      <c r="C376">
        <f t="shared" si="16"/>
        <v>15</v>
      </c>
      <c r="D376" t="str">
        <f t="shared" si="17"/>
        <v/>
      </c>
      <c r="E376" t="s">
        <v>410</v>
      </c>
    </row>
    <row r="377" spans="1:5" x14ac:dyDescent="0.2">
      <c r="A377" t="e" cm="1" vm="16">
        <f t="array" aca="1" ref="A377" ca="1">_xlfn.SORTBY(SLN(30000,1000," 2 "),D!N1:N6,D!H1:H7,{1,2,3},D!P1:Q2)</f>
        <v>#VALUE!</v>
      </c>
      <c r="B377">
        <f t="shared" ca="1" si="15"/>
        <v>9</v>
      </c>
      <c r="C377">
        <f t="shared" ca="1" si="16"/>
        <v>0</v>
      </c>
      <c r="D377" t="str">
        <f t="shared" ca="1" si="17"/>
        <v/>
      </c>
      <c r="E377" t="s">
        <v>411</v>
      </c>
    </row>
    <row r="378" spans="1:5" x14ac:dyDescent="0.2">
      <c r="A378" t="e" cm="1">
        <f t="array" ref="A378">SUMIFS(D!K1:K8,D!E1:E8,_xlfn.LOGNORM.INV(D!A15,0.25,#NUM!),D!AY1:AY5,DMIN(D!C2,"Yield",D!N2),D!M1:M6,D!A15)=DSTDEV(D!A1:A5,"Yield",D!AZ1:AZ5)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SUM(_xlfn.IFS(FALSE,1,D!F1&amp;0.5,2))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b" cm="1">
        <f t="array" ref="A380">ISEVEN(ISO.CEILING(4.3))</f>
        <v>0</v>
      </c>
      <c r="B380">
        <f t="shared" si="15"/>
        <v>-2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cm="1">
        <f t="array" ref="A381">ROWS(ISBLANK(2.5))</f>
        <v>1</v>
      </c>
      <c r="B381">
        <f t="shared" si="15"/>
        <v>0</v>
      </c>
      <c r="C381">
        <f t="shared" si="16"/>
        <v>1</v>
      </c>
      <c r="D381" t="str">
        <f t="shared" si="17"/>
        <v/>
      </c>
      <c r="E381" t="s">
        <v>415</v>
      </c>
    </row>
    <row r="382" spans="1:5" x14ac:dyDescent="0.2">
      <c r="A382" t="e" cm="1" vm="4">
        <f t="array" aca="1" ref="A382" ca="1">_xlfn.CHOOSECOLS({1,2,3},-1,3)&amp;OCT2DEC("?"*"a*")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416</v>
      </c>
    </row>
    <row r="383" spans="1:5" x14ac:dyDescent="0.2">
      <c r="A383" t="e" cm="1">
        <f t="array" ref="A383">FIND("?",MULTINOMIAL(2,3,{2,"a";TRUE,#N/A}))&lt;=AVERAGEIF(D!A12,"&gt;4")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str" cm="1">
        <f t="array" ref="A384">LEFTB(_xlfn.TEXTSPLIT("a,b;c",_xlfn.SORTBY(D!M1:M6,D!N1:N6,-1),D!C1:C8),2)</f>
        <v>a,</v>
      </c>
      <c r="B384">
        <f t="shared" si="15"/>
        <v>-3</v>
      </c>
      <c r="C384">
        <f t="shared" si="16"/>
        <v>0</v>
      </c>
      <c r="D384" t="str">
        <f t="shared" si="17"/>
        <v>a,</v>
      </c>
      <c r="E384" t="s">
        <v>418</v>
      </c>
    </row>
    <row r="385" spans="1:5" x14ac:dyDescent="0.2">
      <c r="A385" cm="1">
        <f t="array" ref="A385">INDEX(_xlfn.WRAPCOLS(_xlfn.TOROW(MINVERSE(D!P1:Q2)),1,59),1,1)</f>
        <v>-1.9999999999999998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-1.9999999999999998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COLUMN(D!B2:B3)</f>
        <v>2</v>
      </c>
      <c r="B386">
        <f t="shared" si="18"/>
        <v>0</v>
      </c>
      <c r="C386">
        <f t="shared" si="19"/>
        <v>2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GESTEP(5,4)=_xlfn.IMCOSH(D!M1:M6)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str" cm="1">
        <f t="array" ref="A388">IMEXP("1+i")</f>
        <v>1.46869393991589+2.28735528717884i</v>
      </c>
      <c r="B388">
        <f t="shared" si="18"/>
        <v>-3</v>
      </c>
      <c r="C388">
        <f t="shared" si="19"/>
        <v>0</v>
      </c>
      <c r="D388" t="str">
        <f t="shared" si="20"/>
        <v>1.46869393991589+2.28735528717884i</v>
      </c>
      <c r="E388" t="s">
        <v>422</v>
      </c>
    </row>
    <row r="389" spans="1:5" x14ac:dyDescent="0.2">
      <c r="A389" cm="1">
        <f t="array" ref="A389">COUNTIF(D!AZ1:AZ5,2)</f>
        <v>1</v>
      </c>
      <c r="B389">
        <f t="shared" si="18"/>
        <v>0</v>
      </c>
      <c r="C389">
        <f t="shared" si="19"/>
        <v>1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COLUMNS(AVERAGEA(D!AY1:AY5,10/D!A12,D!C1:C8,2*ASINH(D!C1:C8)))</f>
        <v>#DIV/0!</v>
      </c>
      <c r="B390">
        <f t="shared" si="18"/>
        <v>2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 vm="3">
        <f t="array" aca="1" ref="A391" ca="1">_xlfn.TOCOL(D!P4:R5)</f>
        <v>#VALUE!</v>
      </c>
      <c r="B391">
        <f t="shared" ca="1" si="18"/>
        <v>9</v>
      </c>
      <c r="C391">
        <f t="shared" ca="1" si="19"/>
        <v>0</v>
      </c>
      <c r="D391" t="str">
        <f t="shared" ca="1" si="20"/>
        <v/>
      </c>
      <c r="E391" t="s">
        <v>425</v>
      </c>
    </row>
    <row r="392" spans="1:5" x14ac:dyDescent="0.2">
      <c r="A392" cm="1">
        <f t="array" ref="A392">COS(1.047)</f>
        <v>0.50017107459707011</v>
      </c>
      <c r="B392">
        <f t="shared" si="18"/>
        <v>0</v>
      </c>
      <c r="C392">
        <f t="shared" si="19"/>
        <v>0.50017107459707011</v>
      </c>
      <c r="D392" t="str">
        <f t="shared" si="20"/>
        <v/>
      </c>
      <c r="E392" t="s">
        <v>426</v>
      </c>
    </row>
    <row r="393" spans="1:5" x14ac:dyDescent="0.2">
      <c r="A393" cm="1">
        <f t="array" ref="A393">COLUMNS(CLEAN(D!A14))</f>
        <v>1</v>
      </c>
      <c r="B393">
        <f t="shared" si="18"/>
        <v>0</v>
      </c>
      <c r="C393">
        <f t="shared" si="19"/>
        <v>1</v>
      </c>
      <c r="D393" t="str">
        <f t="shared" si="20"/>
        <v/>
      </c>
      <c r="E393" t="s">
        <v>427</v>
      </c>
    </row>
    <row r="394" spans="1:5" x14ac:dyDescent="0.2">
      <c r="A394" cm="1">
        <f t="array" ref="A394">PI()</f>
        <v>3.1415926535897931</v>
      </c>
      <c r="B394">
        <f t="shared" si="18"/>
        <v>0</v>
      </c>
      <c r="C394">
        <f t="shared" si="19"/>
        <v>3.1415926535897931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AVERAGEIFS(D!L4,D!C2,"&gt;4",D!H1:H7,D!A9,D!G1:G7,D!A12)&gt;=ABS(-4)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SUM(FORECAST(30,D!C1:C8,{1;2;3}))</f>
        <v>#N/A</v>
      </c>
      <c r="B396">
        <f t="shared" si="18"/>
        <v>7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HARMEAN(D!AV1:AV7,D!A2,_xlfn.GAUSS(0),D!M1:M6)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COLUMNS(NORMINV(-1,2,1.5))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SUM(_xlfn.NUMBERVALUE("2.500,27",1,"FALSE"))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_xlfn.ACOTH(D!F1)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2026-10-07T05:15:43Z</dcterms:created>
  <dcterms:modified xsi:type="dcterms:W3CDTF">2026-10-07T05:15:44Z</dcterms:modified>
  <cp:category/>
</cp:coreProperties>
</file>