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D74C5B2E-305C-5849-97CA-E3F3991956F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2" l="1" a="1"/>
  <c r="A33" i="2" s="1"/>
  <c r="A32" i="2" a="1"/>
  <c r="A32" i="2" s="1"/>
  <c r="C32" i="2" s="1"/>
  <c r="A31" i="2" a="1"/>
  <c r="A31" i="2" s="1"/>
  <c r="B31" i="2" s="1"/>
  <c r="A30" i="2" a="1"/>
  <c r="A30" i="2" s="1"/>
  <c r="A29" i="2" a="1"/>
  <c r="A29" i="2"/>
  <c r="D29" i="2" s="1"/>
  <c r="A28" i="2" a="1"/>
  <c r="A28" i="2" s="1"/>
  <c r="A27" i="2" a="1"/>
  <c r="A27" i="2" s="1"/>
  <c r="D27" i="2" s="1"/>
  <c r="A26" i="2" a="1"/>
  <c r="A26" i="2"/>
  <c r="C26" i="2" s="1"/>
  <c r="A25" i="2" a="1"/>
  <c r="A25" i="2" s="1"/>
  <c r="C25" i="2" s="1"/>
  <c r="A24" i="2" a="1"/>
  <c r="A24" i="2" s="1"/>
  <c r="D24" i="2" s="1"/>
  <c r="A23" i="2" a="1"/>
  <c r="A23" i="2" s="1"/>
  <c r="A22" i="2" a="1"/>
  <c r="A22" i="2" s="1"/>
  <c r="D22" i="2" s="1"/>
  <c r="A20" i="2" a="1"/>
  <c r="A20" i="2"/>
  <c r="D20" i="2" s="1"/>
  <c r="A19" i="2" a="1"/>
  <c r="A19" i="2" s="1"/>
  <c r="A18" i="2" a="1"/>
  <c r="A18" i="2" s="1"/>
  <c r="A17" i="2" a="1"/>
  <c r="A17" i="2" s="1"/>
  <c r="D17" i="2" s="1"/>
  <c r="A16" i="2" a="1"/>
  <c r="A16" i="2" s="1"/>
  <c r="A15" i="2" a="1"/>
  <c r="A15" i="2"/>
  <c r="D15" i="2" s="1"/>
  <c r="A14" i="2" a="1"/>
  <c r="A14" i="2" s="1"/>
  <c r="B14" i="2" s="1"/>
  <c r="A13" i="2" a="1"/>
  <c r="A13" i="2" s="1"/>
  <c r="A12" i="2" a="1"/>
  <c r="A12" i="2" s="1"/>
  <c r="A11" i="2" a="1"/>
  <c r="A11" i="2" s="1"/>
  <c r="B11" i="2" s="1"/>
  <c r="A10" i="2" a="1"/>
  <c r="A10" i="2" s="1"/>
  <c r="A9" i="2" a="1"/>
  <c r="A9" i="2" s="1"/>
  <c r="A8" i="2" a="1"/>
  <c r="A8" i="2" s="1"/>
  <c r="A7" i="2" a="1"/>
  <c r="A7" i="2"/>
  <c r="D7" i="2" s="1"/>
  <c r="A6" i="2" a="1"/>
  <c r="A6" i="2" s="1"/>
  <c r="C6" i="2" s="1"/>
  <c r="A5" i="2" a="1"/>
  <c r="A5" i="2" s="1"/>
  <c r="A4" i="2" a="1"/>
  <c r="A4" i="2"/>
  <c r="D4" i="2" s="1"/>
  <c r="A3" i="2" a="1"/>
  <c r="A3" i="2" s="1"/>
  <c r="A2" i="2" a="1"/>
  <c r="A2" i="2" s="1"/>
  <c r="C2" i="2" s="1"/>
  <c r="A1" i="2" a="1"/>
  <c r="A1" i="2" s="1"/>
  <c r="I15" i="1"/>
  <c r="A14" i="1"/>
  <c r="A13" i="1"/>
  <c r="AL10" i="1"/>
  <c r="A8" i="1"/>
  <c r="A7" i="1"/>
  <c r="A21" i="2" s="1" a="1"/>
  <c r="A21" i="2" s="1"/>
  <c r="D21" i="2" s="1"/>
  <c r="E3" i="1"/>
  <c r="B19" i="2" l="1"/>
  <c r="C19" i="2"/>
  <c r="D19" i="2"/>
  <c r="D1" i="2"/>
  <c r="C1" i="2"/>
  <c r="B1" i="2"/>
  <c r="D26" i="2"/>
  <c r="C28" i="2"/>
  <c r="B28" i="2"/>
  <c r="D28" i="2"/>
  <c r="D16" i="2"/>
  <c r="B16" i="2"/>
  <c r="C16" i="2"/>
  <c r="C5" i="2"/>
  <c r="B5" i="2"/>
  <c r="D5" i="2"/>
  <c r="B10" i="2"/>
  <c r="D10" i="2"/>
  <c r="C10" i="2"/>
  <c r="C30" i="2"/>
  <c r="D30" i="2"/>
  <c r="B30" i="2"/>
  <c r="D13" i="2"/>
  <c r="C13" i="2"/>
  <c r="B13" i="2"/>
  <c r="D3" i="2"/>
  <c r="B3" i="2"/>
  <c r="C3" i="2"/>
  <c r="C18" i="2"/>
  <c r="D18" i="2"/>
  <c r="B18" i="2"/>
  <c r="C8" i="2"/>
  <c r="B8" i="2"/>
  <c r="D8" i="2"/>
  <c r="D9" i="2"/>
  <c r="C9" i="2"/>
  <c r="B9" i="2"/>
  <c r="C12" i="2"/>
  <c r="D12" i="2"/>
  <c r="B12" i="2"/>
  <c r="C23" i="2"/>
  <c r="B23" i="2"/>
  <c r="D23" i="2"/>
  <c r="D33" i="2"/>
  <c r="C33" i="2"/>
  <c r="B33" i="2"/>
  <c r="B27" i="2"/>
  <c r="B2" i="2"/>
  <c r="B20" i="2"/>
  <c r="C27" i="2"/>
  <c r="C20" i="2"/>
  <c r="B24" i="2"/>
  <c r="C31" i="2"/>
  <c r="B17" i="2"/>
  <c r="C24" i="2"/>
  <c r="D31" i="2"/>
  <c r="B32" i="2"/>
  <c r="D32" i="2"/>
  <c r="D25" i="2"/>
  <c r="B29" i="2"/>
  <c r="D6" i="2"/>
  <c r="C17" i="2"/>
  <c r="B22" i="2"/>
  <c r="C29" i="2"/>
  <c r="D2" i="2"/>
  <c r="B6" i="2"/>
  <c r="B21" i="2"/>
  <c r="C14" i="2"/>
  <c r="B25" i="2"/>
  <c r="C7" i="2"/>
  <c r="D14" i="2"/>
  <c r="D11" i="2"/>
  <c r="B15" i="2"/>
  <c r="C22" i="2"/>
  <c r="B4" i="2"/>
  <c r="C11" i="2"/>
  <c r="C4" i="2"/>
  <c r="C15" i="2"/>
  <c r="B26" i="2"/>
  <c r="C21" i="2"/>
  <c r="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<sst xmlns="http://schemas.openxmlformats.org/spreadsheetml/2006/main" count="92" uniqueCount="69">
  <si>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</si>
  <si>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</si>
  <si>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</si>
  <si>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</si>
  <si>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</si>
  <si>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</si>
  <si>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</si>
  <si>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</si>
  <si>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</si>
  <si>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</si>
  <si>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</si>
  <si>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</si>
  <si>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</si>
  <si>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</si>
  <si>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</si>
  <si>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</si>
  <si>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</si>
  <si>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</si>
  <si>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</si>
  <si>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</si>
  <si>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</si>
  <si>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</si>
  <si>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</si>
  <si>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</si>
  <si>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</si>
  <si>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</si>
  <si>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</si>
  <si>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</si>
  <si>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</si>
  <si>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</si>
  <si>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</si>
  <si>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</si>
  <si>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</si>
  <si>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</si>
  <si>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</si>
  <si>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held#1</t>
  </si>
  <si>
    <t>held#2</t>
  </si>
  <si>
    <t>held#5</t>
  </si>
  <si>
    <t>held#6</t>
  </si>
  <si>
    <t>held#7</t>
  </si>
  <si>
    <t>held#8</t>
  </si>
  <si>
    <t>held#9</t>
  </si>
  <si>
    <t>held#10</t>
  </si>
  <si>
    <t>held#11</t>
  </si>
  <si>
    <t>held#12</t>
  </si>
  <si>
    <t>held#13</t>
  </si>
  <si>
    <t>held#14</t>
  </si>
  <si>
    <t>held#15</t>
  </si>
  <si>
    <t>held#16</t>
  </si>
  <si>
    <t>held#17</t>
  </si>
  <si>
    <t>held#18</t>
  </si>
  <si>
    <t>held#19</t>
  </si>
  <si>
    <t>held#20</t>
  </si>
  <si>
    <t>held#21</t>
  </si>
  <si>
    <t>held#22</t>
  </si>
  <si>
    <t>held#23</t>
  </si>
  <si>
    <t>held#24</t>
  </si>
  <si>
    <t>held#25</t>
  </si>
  <si>
    <t>held#26</t>
  </si>
  <si>
    <t>held#27</t>
  </si>
  <si>
    <t>held#28</t>
  </si>
  <si>
    <t>held#29</t>
  </si>
  <si>
    <t>held#30</t>
  </si>
  <si>
    <t>held#31</t>
  </si>
  <si>
    <t>held#32</t>
  </si>
  <si>
    <t>held#33</t>
  </si>
  <si>
    <t>held#34</t>
  </si>
  <si>
    <t>held#35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</si>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</sst>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_xlfn.LET(_xlpm.x,5,_xlpm.y,_xlpm.x*2,_xlpm.y)</f>
        <v>10</v>
      </c>
      <c r="B1">
        <f t="shared" ref="B1:B33" si="0">IF(ISERROR(A1),ERROR.TYPE(A1),IF(ISNUMBER(A1),0,IF(ISLOGICAL(A1),IF(A1,-1,-2),IF(ISTEXT(A1),-3,-4))))</f>
        <v>0</v>
      </c>
      <c r="C1">
        <f t="shared" ref="C1:C33" si="1">IF(ISNUMBER(A1),A1,0)</f>
        <v>10</v>
      </c>
      <c r="D1" t="str">
        <f t="shared" ref="D1:D33" si="2">IF(ISTEXT(A1),A1,"")</f>
        <v/>
      </c>
      <c r="E1" t="s">
        <v>35</v>
      </c>
    </row>
    <row r="2" spans="1:5" x14ac:dyDescent="0.2">
      <c r="A2" t="e" cm="1">
        <f t="array" ref="A2">_xlfn.LET(_xlpm.x,5,_xlpm.y,y,_xlpm.y)</f>
        <v>#NAME?</v>
      </c>
      <c r="B2">
        <f t="shared" si="0"/>
        <v>5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cm="1">
        <f t="array" ref="A3">_xlfn.LET(_xlpm.n_1,1,_xlpm.n_2,_xlpm.n_1+1,_xlpm.n_3,_xlpm.n_2+1,_xlpm.n_4,_xlpm.n_3+1,_xlpm.n_5,_xlpm.n_4+1,_xlpm.n_6,_xlpm.n_5+1,_xlpm.n_7,_xlpm.n_6+1,_xlpm.n_8,_xlpm.n_7+1,_xlpm.n_9,_xlpm.n_8+1,_xlpm.n_10,_xlpm.n_9+1,_xlpm.n_11,_xlpm.n_10+1,_xlpm.n_12,_xlpm.n_11+1,_xlpm.n_13,_xlpm.n_12+1,_xlpm.n_14,_xlpm.n_13+1,_xlpm.n_15,_xlpm.n_14+1,_xlpm.n_16,_xlpm.n_15+1,_xlpm.n_17,_xlpm.n_16+1,_xlpm.n_18,_xlpm.n_17+1,_xlpm.n_19,_xlpm.n_18+1,_xlpm.n_20,_xlpm.n_19+1,_xlpm.n_21,_xlpm.n_20+1,_xlpm.n_22,_xlpm.n_21+1,_xlpm.n_23,_xlpm.n_22+1,_xlpm.n_24,_xlpm.n_23+1,_xlpm.n_25,_xlpm.n_24+1,_xlpm.n_26,_xlpm.n_25+1,_xlpm.n_27,_xlpm.n_26+1,_xlpm.n_28,_xlpm.n_27+1,_xlpm.n_29,_xlpm.n_28+1,_xlpm.n_30,_xlpm.n_29+1,_xlpm.n_31,_xlpm.n_30+1,_xlpm.n_32,_xlpm.n_31+1,_xlpm.n_33,_xlpm.n_32+1,_xlpm.n_34,_xlpm.n_33+1,_xlpm.n_35,_xlpm.n_34+1,_xlpm.n_36,_xlpm.n_35+1,_xlpm.n_37,_xlpm.n_36+1,_xlpm.n_38,_xlpm.n_37+1,_xlpm.n_39,_xlpm.n_38+1,_xlpm.n_40,_xlpm.n_39+1,_xlpm.n_41,_xlpm.n_40+1,_xlpm.n_42,_xlpm.n_41+1,_xlpm.n_43,_xlpm.n_42+1,_xlpm.n_44,_xlpm.n_43+1,_xlpm.n_45,_xlpm.n_44+1,_xlpm.n_46,_xlpm.n_45+1,_xlpm.n_47,_xlpm.n_46+1,_xlpm.n_48,_xlpm.n_47+1,_xlpm.n_49,_xlpm.n_48+1,_xlpm.n_50,_xlpm.n_49+1,_xlpm.n_51,_xlpm.n_50+1,_xlpm.n_52,_xlpm.n_51+1,_xlpm.n_53,_xlpm.n_52+1,_xlpm.n_54,_xlpm.n_53+1,_xlpm.n_55,_xlpm.n_54+1,_xlpm.n_56,_xlpm.n_55+1,_xlpm.n_57,_xlpm.n_56+1,_xlpm.n_58,_xlpm.n_57+1,_xlpm.n_59,_xlpm.n_58+1,_xlpm.n_60,_xlpm.n_59+1,_xlpm.n_61,_xlpm.n_60+1,_xlpm.n_62,_xlpm.n_61+1,_xlpm.n_63,_xlpm.n_62+1,_xlpm.n_64,_xlpm.n_63+1,_xlpm.n_65,_xlpm.n_64+1,_xlpm.n_66,_xlpm.n_65+1,_xlpm.n_67,_xlpm.n_66+1,_xlpm.n_68,_xlpm.n_67+1,_xlpm.n_69,_xlpm.n_68+1,_xlpm.n_70,_xlpm.n_69+1,_xlpm.n_71,_xlpm.n_70+1,_xlpm.n_72,_xlpm.n_71+1,_xlpm.n_73,_xlpm.n_72+1,_xlpm.n_74,_xlpm.n_73+1,_xlpm.n_75,_xlpm.n_74+1,_xlpm.n_76,_xlpm.n_75+1,_xlpm.n_77,_xlpm.n_76+1,_xlpm.n_78,_xlpm.n_77+1,_xlpm.n_79,_xlpm.n_78+1,_xlpm.n_80,_xlpm.n_79+1,_xlpm.n_81,_xlpm.n_80+1,_xlpm.n_82,_xlpm.n_81+1,_xlpm.n_83,_xlpm.n_82+1,_xlpm.n_84,_xlpm.n_83+1,_xlpm.n_85,_xlpm.n_84+1,_xlpm.n_86,_xlpm.n_85+1,_xlpm.n_87,_xlpm.n_86+1,_xlpm.n_88,_xlpm.n_87+1,_xlpm.n_89,_xlpm.n_88+1,_xlpm.n_90,_xlpm.n_89+1,_xlpm.n_91,_xlpm.n_90+1,_xlpm.n_92,_xlpm.n_91+1,_xlpm.n_93,_xlpm.n_92+1,_xlpm.n_94,_xlpm.n_93+1,_xlpm.n_95,_xlpm.n_94+1,_xlpm.n_96,_xlpm.n_95+1,_xlpm.n_97,_xlpm.n_96+1,_xlpm.n_98,_xlpm.n_97+1,_xlpm.n_99,_xlpm.n_98+1,_xlpm.n_100,_xlpm.n_99+1,_xlpm.n_101,_xlpm.n_100+1,_xlpm.n_102,_xlpm.n_101+1,_xlpm.n_103,_xlpm.n_102+1,_xlpm.n_104,_xlpm.n_103+1,_xlpm.n_105,_xlpm.n_104+1,_xlpm.n_106,_xlpm.n_105+1,_xlpm.n_107,_xlpm.n_106+1,_xlpm.n_108,_xlpm.n_107+1,_xlpm.n_109,_xlpm.n_108+1,_xlpm.n_110,_xlpm.n_109+1,_xlpm.n_111,_xlpm.n_110+1,_xlpm.n_112,_xlpm.n_111+1,_xlpm.n_113,_xlpm.n_112+1,_xlpm.n_114,_xlpm.n_113+1,_xlpm.n_115,_xlpm.n_114+1,_xlpm.n_116,_xlpm.n_115+1,_xlpm.n_117,_xlpm.n_116+1,_xlpm.n_118,_xlpm.n_117+1,_xlpm.n_119,_xlpm.n_118+1,_xlpm.n_120,_xlpm.n_119+1,_xlpm.n_121,_xlpm.n_120+1,_xlpm.n_122,_xlpm.n_121+1,_xlpm.n_123,_xlpm.n_122+1,_xlpm.n_124,_xlpm.n_123+1,_xlpm.n_125,_xlpm.n_124+1,_xlpm.n_126,_xlpm.n_125+1,_xlpm.n_127,_xlpm.n_126+1,_xlpm.n_127)</f>
        <v>127</v>
      </c>
      <c r="B3">
        <f t="shared" si="0"/>
        <v>0</v>
      </c>
      <c r="C3">
        <f t="shared" si="1"/>
        <v>127</v>
      </c>
      <c r="D3" t="str">
        <f t="shared" si="2"/>
        <v/>
      </c>
      <c r="E3" t="s">
        <v>37</v>
      </c>
    </row>
    <row r="4" spans="1:5" x14ac:dyDescent="0.2">
      <c r="A4" t="b" cm="1">
        <f t="array" ref="A4">_xlfn.LET(_xlpm.x,,ISBLANK(_xlpm.x))</f>
        <v>1</v>
      </c>
      <c r="B4">
        <f t="shared" si="0"/>
        <v>-1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str" cm="1">
        <f t="array" ref="A5">_xlfn.LET(_xlpm.x,,_xlpm.x&amp;"")</f>
        <v/>
      </c>
      <c r="B5">
        <f t="shared" si="0"/>
        <v>-3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_xlfn.LET(_xlpm.x,,TYPE(_xlpm.x))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40</v>
      </c>
    </row>
    <row r="7" spans="1:5" x14ac:dyDescent="0.2">
      <c r="A7" cm="1">
        <f t="array" ref="A7">_xlfn.LET(_xlpm.r,D!B1:B8,INDEX(_xlpm.r,3))</f>
        <v>15</v>
      </c>
      <c r="B7">
        <f t="shared" si="0"/>
        <v>0</v>
      </c>
      <c r="C7">
        <f t="shared" si="1"/>
        <v>15</v>
      </c>
      <c r="D7" t="str">
        <f t="shared" si="2"/>
        <v/>
      </c>
      <c r="E7" t="s">
        <v>41</v>
      </c>
    </row>
    <row r="8" spans="1:5" x14ac:dyDescent="0.2">
      <c r="A8" cm="1">
        <f t="array" ref="A8">_xlfn.LET(_xlpm.r,D!B1:C8,SUM(INDEX(_xlpm.r,0,2)))</f>
        <v>108</v>
      </c>
      <c r="B8">
        <f t="shared" si="0"/>
        <v>0</v>
      </c>
      <c r="C8">
        <f t="shared" si="1"/>
        <v>108</v>
      </c>
      <c r="D8" t="str">
        <f t="shared" si="2"/>
        <v/>
      </c>
      <c r="E8" t="s">
        <v>42</v>
      </c>
    </row>
    <row r="9" spans="1:5" x14ac:dyDescent="0.2">
      <c r="A9" cm="1">
        <f t="array" ref="A9">_xlfn.LET(_xlpm.a,D!B1:B3,_xlpm.b,_xlpm.a*2,SUM(_xlpm.b))</f>
        <v>54</v>
      </c>
      <c r="B9">
        <f t="shared" si="0"/>
        <v>0</v>
      </c>
      <c r="C9">
        <f t="shared" si="1"/>
        <v>54</v>
      </c>
      <c r="D9" t="str">
        <f t="shared" si="2"/>
        <v/>
      </c>
      <c r="E9" t="s">
        <v>43</v>
      </c>
    </row>
    <row r="10" spans="1:5" x14ac:dyDescent="0.2">
      <c r="A10" cm="1">
        <f t="array" ref="A10">_xlfn.LET(_xlpm.x,D!B1:B8,COUNTIF(_xlpm.x,"&gt;10"))</f>
        <v>5</v>
      </c>
      <c r="B10">
        <f t="shared" si="0"/>
        <v>0</v>
      </c>
      <c r="C10">
        <f t="shared" si="1"/>
        <v>5</v>
      </c>
      <c r="D10" t="str">
        <f t="shared" si="2"/>
        <v/>
      </c>
      <c r="E10" t="s">
        <v>44</v>
      </c>
    </row>
    <row r="11" spans="1:5" x14ac:dyDescent="0.2">
      <c r="A11" t="str" cm="1">
        <f t="array" ref="A11">_xlfn.LET(_xlpm.t,"abc",LEN(_xlpm.t)&amp;UPPER(_xlpm.t))</f>
        <v>3ABC</v>
      </c>
      <c r="B11">
        <f t="shared" si="0"/>
        <v>-3</v>
      </c>
      <c r="C11">
        <f t="shared" si="1"/>
        <v>0</v>
      </c>
      <c r="D11" t="str">
        <f t="shared" si="2"/>
        <v>3ABC</v>
      </c>
      <c r="E11" t="s">
        <v>45</v>
      </c>
    </row>
    <row r="12" spans="1:5" x14ac:dyDescent="0.2">
      <c r="A12" cm="1">
        <f t="array" ref="A12">_xlfn.LET(_xlpm.x,2,_xlpm.y,3,_xlfn.LET(_xlpm.x,_xlpm.y,_xlpm.z,_xlpm.x*10,_xlpm.z+_xlpm.x))</f>
        <v>33</v>
      </c>
      <c r="B12">
        <f t="shared" si="0"/>
        <v>0</v>
      </c>
      <c r="C12">
        <f t="shared" si="1"/>
        <v>33</v>
      </c>
      <c r="D12" t="str">
        <f t="shared" si="2"/>
        <v/>
      </c>
      <c r="E12" t="s">
        <v>46</v>
      </c>
    </row>
    <row r="13" spans="1:5" x14ac:dyDescent="0.2">
      <c r="A13" cm="1">
        <f t="array" ref="A13">_xlfn.LET(_xlpm.v,D!A2,_xlpm.v*1)</f>
        <v>2</v>
      </c>
      <c r="B13">
        <f t="shared" si="0"/>
        <v>0</v>
      </c>
      <c r="C13">
        <f t="shared" si="1"/>
        <v>2</v>
      </c>
      <c r="D13" t="str">
        <f t="shared" si="2"/>
        <v/>
      </c>
      <c r="E13" t="s">
        <v>47</v>
      </c>
    </row>
    <row r="14" spans="1:5" x14ac:dyDescent="0.2">
      <c r="A14" cm="1">
        <f t="array" ref="A14">_xlfn.LET(_xlpm.v,D!A2,COUNT(_xlpm.v))</f>
        <v>0</v>
      </c>
      <c r="B14">
        <f t="shared" si="0"/>
        <v>0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_xlfn.LET(_xlpm.v,D!A2,COUNTA(_xlpm.v))</f>
        <v>1</v>
      </c>
      <c r="B15">
        <f t="shared" si="0"/>
        <v>0</v>
      </c>
      <c r="C15">
        <f t="shared" si="1"/>
        <v>1</v>
      </c>
      <c r="D15" t="str">
        <f t="shared" si="2"/>
        <v/>
      </c>
      <c r="E15" t="s">
        <v>49</v>
      </c>
    </row>
    <row r="16" spans="1:5" x14ac:dyDescent="0.2">
      <c r="A16" cm="1">
        <f t="array" ref="A16">_xlfn.LET(_xlpm.v,{1,2;3,4},ROWS(_xlpm.v)*10+COLUMNS(_xlpm.v))</f>
        <v>22</v>
      </c>
      <c r="B16">
        <f t="shared" si="0"/>
        <v>0</v>
      </c>
      <c r="C16">
        <f t="shared" si="1"/>
        <v>22</v>
      </c>
      <c r="D16" t="str">
        <f t="shared" si="2"/>
        <v/>
      </c>
      <c r="E16" t="s">
        <v>50</v>
      </c>
    </row>
    <row r="17" spans="1:5" x14ac:dyDescent="0.2">
      <c r="A17" cm="1">
        <f t="array" ref="A17">_xlfn.LET(_xlpm.v,{1,2;3,4},INDEX(_xlpm.v,2,1))</f>
        <v>3</v>
      </c>
      <c r="B17">
        <f t="shared" si="0"/>
        <v>0</v>
      </c>
      <c r="C17">
        <f t="shared" si="1"/>
        <v>3</v>
      </c>
      <c r="D17" t="str">
        <f t="shared" si="2"/>
        <v/>
      </c>
      <c r="E17" t="s">
        <v>51</v>
      </c>
    </row>
    <row r="18" spans="1:5" x14ac:dyDescent="0.2">
      <c r="A18" cm="1">
        <f t="array" aca="1" ref="A18" ca="1">_xlfn.LET(_xlpm.x,TODAY(),_xlpm.x-_xlpm.x)</f>
        <v>0</v>
      </c>
      <c r="B18">
        <f t="shared" ca="1" si="0"/>
        <v>0</v>
      </c>
      <c r="C18">
        <f t="shared" ca="1" si="1"/>
        <v>0</v>
      </c>
      <c r="D18" t="str">
        <f t="shared" ca="1" si="2"/>
        <v/>
      </c>
      <c r="E18" t="s">
        <v>52</v>
      </c>
    </row>
    <row r="19" spans="1:5" x14ac:dyDescent="0.2">
      <c r="A19" t="b" cm="1">
        <f t="array" ref="A19">_xlfn.LET(_xlpm.x,NA(),ISNA(_xlpm.x))</f>
        <v>1</v>
      </c>
      <c r="B19">
        <f t="shared" si="0"/>
        <v>-1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cm="1">
        <f t="array" ref="A20">_xlfn.LET(_xlpm.x,1/0,_xlpm.y,_xlpm.x,1)</f>
        <v>1</v>
      </c>
      <c r="B20">
        <f t="shared" si="0"/>
        <v>0</v>
      </c>
      <c r="C20">
        <f t="shared" si="1"/>
        <v>1</v>
      </c>
      <c r="D20" t="str">
        <f t="shared" si="2"/>
        <v/>
      </c>
      <c r="E20" t="s">
        <v>54</v>
      </c>
    </row>
    <row r="21" spans="1:5" x14ac:dyDescent="0.2">
      <c r="A21" t="str" cm="1">
        <f t="array" ref="A21">_xlfn.LET(_xlpm.x,D!A7,IFERROR(_xlpm.x,"e"))</f>
        <v>e</v>
      </c>
      <c r="B21">
        <f t="shared" si="0"/>
        <v>-3</v>
      </c>
      <c r="C21">
        <f t="shared" si="1"/>
        <v>0</v>
      </c>
      <c r="D21" t="str">
        <f t="shared" si="2"/>
        <v>e</v>
      </c>
      <c r="E21" t="s">
        <v>55</v>
      </c>
    </row>
    <row r="22" spans="1:5" x14ac:dyDescent="0.2">
      <c r="A22" cm="1">
        <f t="array" ref="A22">_xlfn.LET(_xlpm.f,SUM(D!B1:B8),_xlpm.f/COUNT(D!B1:B8))</f>
        <v>14.34375</v>
      </c>
      <c r="B22">
        <f t="shared" si="0"/>
        <v>0</v>
      </c>
      <c r="C22">
        <f t="shared" si="1"/>
        <v>14.34375</v>
      </c>
      <c r="D22" t="str">
        <f t="shared" si="2"/>
        <v/>
      </c>
      <c r="E22" t="s">
        <v>56</v>
      </c>
    </row>
    <row r="23" spans="1:5" x14ac:dyDescent="0.2">
      <c r="A23" cm="1">
        <f t="array" ref="A23">SUM(_xlfn.LET(_xlpm.x,{1,2,3},_xlpm.x*_xlpm.x))</f>
        <v>14</v>
      </c>
      <c r="B23">
        <f t="shared" si="0"/>
        <v>0</v>
      </c>
      <c r="C23">
        <f t="shared" si="1"/>
        <v>14</v>
      </c>
      <c r="D23" t="str">
        <f t="shared" si="2"/>
        <v/>
      </c>
      <c r="E23" t="s">
        <v>57</v>
      </c>
    </row>
    <row r="24" spans="1:5" x14ac:dyDescent="0.2">
      <c r="A24" cm="1">
        <f t="array" ref="A24">_xlfn.LET(_xlpm.x,{1,2,3},SUM(_xlpm.x*_xlpm.x))</f>
        <v>14</v>
      </c>
      <c r="B24">
        <f t="shared" si="0"/>
        <v>0</v>
      </c>
      <c r="C24">
        <f t="shared" si="1"/>
        <v>14</v>
      </c>
      <c r="D24" t="str">
        <f t="shared" si="2"/>
        <v/>
      </c>
      <c r="E24" t="s">
        <v>58</v>
      </c>
    </row>
    <row r="25" spans="1:5" x14ac:dyDescent="0.2">
      <c r="A25" cm="1">
        <f t="array" ref="A25">_xlfn.LET(_xlpm.x,1,_xlpm.y,_xlpm.x+1,_xlpm.z,_xlpm.y+1,_xlpm.x*100+_xlpm.y*10+_xlpm.z)</f>
        <v>123</v>
      </c>
      <c r="B25">
        <f t="shared" si="0"/>
        <v>0</v>
      </c>
      <c r="C25">
        <f t="shared" si="1"/>
        <v>123</v>
      </c>
      <c r="D25" t="str">
        <f t="shared" si="2"/>
        <v/>
      </c>
      <c r="E25" t="s">
        <v>59</v>
      </c>
    </row>
    <row r="26" spans="1:5" x14ac:dyDescent="0.2">
      <c r="A26" t="str" cm="1">
        <f t="array" ref="A26">IF(_xlfn.LET(_xlpm.x,TRUE,_xlpm.x),"y","n")</f>
        <v>y</v>
      </c>
      <c r="B26">
        <f t="shared" si="0"/>
        <v>-3</v>
      </c>
      <c r="C26">
        <f t="shared" si="1"/>
        <v>0</v>
      </c>
      <c r="D26" t="str">
        <f t="shared" si="2"/>
        <v>y</v>
      </c>
      <c r="E26" t="s">
        <v>60</v>
      </c>
    </row>
    <row r="27" spans="1:5" x14ac:dyDescent="0.2">
      <c r="A27" cm="1">
        <f t="array" ref="A27">_xlfn.LET(_xlpm._,5,_xlpm._*2)</f>
        <v>10</v>
      </c>
      <c r="B27">
        <f t="shared" si="0"/>
        <v>0</v>
      </c>
      <c r="C27">
        <f t="shared" si="1"/>
        <v>10</v>
      </c>
      <c r="D27" t="str">
        <f t="shared" si="2"/>
        <v/>
      </c>
      <c r="E27" t="s">
        <v>61</v>
      </c>
    </row>
    <row r="28" spans="1:5" x14ac:dyDescent="0.2">
      <c r="A28" cm="1">
        <f t="array" ref="A28">_xlfn.LET(_xlpm.x,"5",_xlpm.x+1)</f>
        <v>6</v>
      </c>
      <c r="B28">
        <f t="shared" si="0"/>
        <v>0</v>
      </c>
      <c r="C28">
        <f t="shared" si="1"/>
        <v>6</v>
      </c>
      <c r="D28" t="str">
        <f t="shared" si="2"/>
        <v/>
      </c>
      <c r="E28" t="s">
        <v>62</v>
      </c>
    </row>
    <row r="29" spans="1:5" x14ac:dyDescent="0.2">
      <c r="A29" cm="1">
        <f t="array" ref="A29">_xlfn.LET(_xlpm.x,D!K1,_xlpm.x+1)</f>
        <v>1</v>
      </c>
      <c r="B29">
        <f t="shared" si="0"/>
        <v>0</v>
      </c>
      <c r="C29">
        <f t="shared" si="1"/>
        <v>1</v>
      </c>
      <c r="D29" t="str">
        <f t="shared" si="2"/>
        <v/>
      </c>
      <c r="E29" t="s">
        <v>63</v>
      </c>
    </row>
    <row r="30" spans="1:5" x14ac:dyDescent="0.2">
      <c r="A30" t="b" cm="1">
        <f t="array" ref="A30">_xlfn.LET(_xlpm.x,D!K1,ISBLANK(_xlpm.x))</f>
        <v>1</v>
      </c>
      <c r="B30">
        <f t="shared" si="0"/>
        <v>-1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ROWS(_xlfn.LET(_xlpm.x,D!B1:C8,_xlpm.y,INDEX(_xlpm.x,0,1),_xlpm.y))</f>
        <v>8</v>
      </c>
      <c r="B31">
        <f t="shared" si="0"/>
        <v>0</v>
      </c>
      <c r="C31">
        <f t="shared" si="1"/>
        <v>8</v>
      </c>
      <c r="D31" t="str">
        <f t="shared" si="2"/>
        <v/>
      </c>
      <c r="E31" t="s">
        <v>65</v>
      </c>
    </row>
    <row r="32" spans="1:5" x14ac:dyDescent="0.2">
      <c r="A32" cm="1">
        <f t="array" ref="A32">_xlfn.LET(_xlpm.x,5,_xlpm.y,_xlpm.x*2,_xlpm.y)+1</f>
        <v>11</v>
      </c>
      <c r="B32">
        <f t="shared" si="0"/>
        <v>0</v>
      </c>
      <c r="C32">
        <f t="shared" si="1"/>
        <v>11</v>
      </c>
      <c r="D32" t="str">
        <f t="shared" si="2"/>
        <v/>
      </c>
      <c r="E32" t="s">
        <v>66</v>
      </c>
    </row>
    <row r="33" spans="1:5" x14ac:dyDescent="0.2">
      <c r="A33" cm="1">
        <f t="array" ref="A33">_xlfn.LET(_xlpm.x,D!B1:B8,_xlpm.y,SUM(_xlpm.x),_xlpm.y)</f>
        <v>114.75</v>
      </c>
      <c r="B33">
        <f t="shared" si="0"/>
        <v>0</v>
      </c>
      <c r="C33">
        <f t="shared" si="1"/>
        <v>114.75</v>
      </c>
      <c r="D33" t="str">
        <f t="shared" si="2"/>
        <v/>
      </c>
      <c r="E33" t="s">
        <v>67</v>
      </c>
    </row>
    <row r="34" spans="1:5" x14ac:dyDescent="0.2">
      <c r="A34" t="s">
        <v>68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2026-10-07T05:15:48Z</dcterms:created>
  <dcterms:modified xsi:type="dcterms:W3CDTF">2026-10-07T05:15:48Z</dcterms:modified>
  <cp:category/>
</cp:coreProperties>
</file>