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4953F096-AD60-E843-BFE4-756DC2E3980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9" i="2" l="1" a="1"/>
  <c r="A139" i="2" s="1"/>
  <c r="A138" i="2" a="1"/>
  <c r="A138" i="2" s="1"/>
  <c r="A137" i="2" a="1"/>
  <c r="A137" i="2" s="1"/>
  <c r="B137" i="2" s="1"/>
  <c r="A136" i="2" a="1"/>
  <c r="A136" i="2" s="1"/>
  <c r="A135" i="2" a="1"/>
  <c r="A135" i="2" s="1"/>
  <c r="A134" i="2" a="1"/>
  <c r="A134" i="2" s="1"/>
  <c r="D134" i="2" s="1"/>
  <c r="A133" i="2" a="1"/>
  <c r="A133" i="2" s="1"/>
  <c r="D133" i="2" s="1"/>
  <c r="A132" i="2" a="1"/>
  <c r="A132" i="2" s="1"/>
  <c r="A131" i="2" a="1"/>
  <c r="A131" i="2" s="1"/>
  <c r="D131" i="2" s="1"/>
  <c r="A130" i="2" a="1"/>
  <c r="A130" i="2"/>
  <c r="D130" i="2" s="1"/>
  <c r="A129" i="2" a="1"/>
  <c r="A129" i="2" s="1"/>
  <c r="A128" i="2" a="1"/>
  <c r="A128" i="2" s="1"/>
  <c r="D128" i="2" s="1"/>
  <c r="A127" i="2" a="1"/>
  <c r="A127" i="2" s="1"/>
  <c r="A126" i="2" a="1"/>
  <c r="A126" i="2"/>
  <c r="B126" i="2" s="1"/>
  <c r="A125" i="2" a="1"/>
  <c r="A125" i="2"/>
  <c r="B125" i="2" s="1"/>
  <c r="A124" i="2" a="1"/>
  <c r="A124" i="2"/>
  <c r="D124" i="2" s="1"/>
  <c r="A123" i="2" a="1"/>
  <c r="A123" i="2"/>
  <c r="D123" i="2" s="1"/>
  <c r="A122" i="2" a="1"/>
  <c r="A122" i="2" s="1"/>
  <c r="A121" i="2" a="1"/>
  <c r="A121" i="2" s="1"/>
  <c r="A120" i="2" a="1"/>
  <c r="A120" i="2" s="1"/>
  <c r="A119" i="2" a="1"/>
  <c r="A119" i="2"/>
  <c r="B119" i="2" s="1"/>
  <c r="A118" i="2" a="1"/>
  <c r="A118" i="2" s="1"/>
  <c r="A117" i="2" a="1"/>
  <c r="A117" i="2" s="1"/>
  <c r="D117" i="2" s="1"/>
  <c r="A116" i="2" a="1"/>
  <c r="A116" i="2" s="1"/>
  <c r="C116" i="2" s="1"/>
  <c r="A115" i="2" a="1"/>
  <c r="A115" i="2"/>
  <c r="D115" i="2" s="1"/>
  <c r="A114" i="2" a="1"/>
  <c r="A114" i="2" s="1"/>
  <c r="A113" i="2" a="1"/>
  <c r="A113" i="2" s="1"/>
  <c r="B113" i="2" s="1"/>
  <c r="A112" i="2" a="1"/>
  <c r="A112" i="2" s="1"/>
  <c r="D112" i="2" s="1"/>
  <c r="A111" i="2" a="1"/>
  <c r="A111" i="2" s="1"/>
  <c r="A110" i="2" a="1"/>
  <c r="A110" i="2" s="1"/>
  <c r="D110" i="2" s="1"/>
  <c r="A109" i="2" a="1"/>
  <c r="A109" i="2"/>
  <c r="D109" i="2" s="1"/>
  <c r="A108" i="2" a="1"/>
  <c r="A108" i="2" s="1"/>
  <c r="C108" i="2" s="1"/>
  <c r="A107" i="2" a="1"/>
  <c r="A107" i="2"/>
  <c r="D107" i="2" s="1"/>
  <c r="A106" i="2" a="1"/>
  <c r="A106" i="2"/>
  <c r="D106" i="2" s="1"/>
  <c r="A105" i="2" a="1"/>
  <c r="A105" i="2" s="1"/>
  <c r="D105" i="2" s="1"/>
  <c r="A104" i="2" a="1"/>
  <c r="A104" i="2" s="1"/>
  <c r="A103" i="2" a="1"/>
  <c r="A103" i="2" s="1"/>
  <c r="A102" i="2" a="1"/>
  <c r="A102" i="2" s="1"/>
  <c r="A101" i="2" a="1"/>
  <c r="A101" i="2"/>
  <c r="B101" i="2" s="1"/>
  <c r="A100" i="2" a="1"/>
  <c r="A100" i="2" s="1"/>
  <c r="A99" i="2" a="1"/>
  <c r="A99" i="2" s="1"/>
  <c r="D99" i="2" s="1"/>
  <c r="A98" i="2" a="1"/>
  <c r="A98" i="2" s="1"/>
  <c r="C98" i="2" s="1"/>
  <c r="A97" i="2" a="1"/>
  <c r="A97" i="2"/>
  <c r="D97" i="2" s="1"/>
  <c r="A96" i="2" a="1"/>
  <c r="A96" i="2" s="1"/>
  <c r="A95" i="2" a="1"/>
  <c r="A95" i="2"/>
  <c r="C95" i="2" s="1"/>
  <c r="A94" i="2" a="1"/>
  <c r="A94" i="2" s="1"/>
  <c r="D94" i="2" s="1"/>
  <c r="A93" i="2" a="1"/>
  <c r="A93" i="2" s="1"/>
  <c r="A92" i="2" a="1"/>
  <c r="A92" i="2"/>
  <c r="D92" i="2" s="1"/>
  <c r="A91" i="2" a="1"/>
  <c r="A91" i="2"/>
  <c r="D91" i="2" s="1"/>
  <c r="A90" i="2" a="1"/>
  <c r="A90" i="2" s="1"/>
  <c r="B90" i="2" s="1"/>
  <c r="A89" i="2" a="1"/>
  <c r="A89" i="2"/>
  <c r="B89" i="2" s="1"/>
  <c r="A88" i="2" a="1"/>
  <c r="A88" i="2" s="1"/>
  <c r="B88" i="2" s="1"/>
  <c r="A87" i="2" a="1"/>
  <c r="A87" i="2" s="1"/>
  <c r="D87" i="2" s="1"/>
  <c r="A86" i="2" a="1"/>
  <c r="A86" i="2" s="1"/>
  <c r="A85" i="2" a="1"/>
  <c r="A85" i="2" s="1"/>
  <c r="A84" i="2" a="1"/>
  <c r="A84" i="2" s="1"/>
  <c r="A83" i="2" a="1"/>
  <c r="A83" i="2"/>
  <c r="B83" i="2" s="1"/>
  <c r="A82" i="2" a="1"/>
  <c r="A82" i="2" s="1"/>
  <c r="B82" i="2" s="1"/>
  <c r="A81" i="2" a="1"/>
  <c r="A81" i="2" s="1"/>
  <c r="D81" i="2" s="1"/>
  <c r="A80" i="2" a="1"/>
  <c r="A80" i="2" s="1"/>
  <c r="C80" i="2" s="1"/>
  <c r="A79" i="2" a="1"/>
  <c r="A79" i="2"/>
  <c r="D79" i="2" s="1"/>
  <c r="A78" i="2" a="1"/>
  <c r="A78" i="2" s="1"/>
  <c r="D78" i="2" s="1"/>
  <c r="A77" i="2" a="1"/>
  <c r="A77" i="2"/>
  <c r="B77" i="2" s="1"/>
  <c r="A76" i="2" a="1"/>
  <c r="A76" i="2" s="1"/>
  <c r="D76" i="2" s="1"/>
  <c r="A75" i="2" a="1"/>
  <c r="A75" i="2" s="1"/>
  <c r="A74" i="2" a="1"/>
  <c r="A74" i="2"/>
  <c r="D74" i="2" s="1"/>
  <c r="A73" i="2" a="1"/>
  <c r="A73" i="2"/>
  <c r="D73" i="2" s="1"/>
  <c r="A72" i="2" a="1"/>
  <c r="A72" i="2" s="1"/>
  <c r="A71" i="2" a="1"/>
  <c r="A71" i="2"/>
  <c r="D71" i="2" s="1"/>
  <c r="A70" i="2" a="1"/>
  <c r="A70" i="2"/>
  <c r="D70" i="2" s="1"/>
  <c r="A69" i="2" a="1"/>
  <c r="A69" i="2"/>
  <c r="D69" i="2" s="1"/>
  <c r="A68" i="2" a="1"/>
  <c r="A68" i="2" s="1"/>
  <c r="A67" i="2" a="1"/>
  <c r="A67" i="2" s="1"/>
  <c r="A66" i="2" a="1"/>
  <c r="A66" i="2" s="1"/>
  <c r="A65" i="2" a="1"/>
  <c r="A65" i="2" s="1"/>
  <c r="B65" i="2" s="1"/>
  <c r="A64" i="2" a="1"/>
  <c r="A64" i="2" s="1"/>
  <c r="A63" i="2" a="1"/>
  <c r="A63" i="2"/>
  <c r="D63" i="2" s="1"/>
  <c r="A62" i="2" a="1"/>
  <c r="A62" i="2"/>
  <c r="D62" i="2" s="1"/>
  <c r="A61" i="2" a="1"/>
  <c r="A61" i="2"/>
  <c r="D61" i="2" s="1"/>
  <c r="A60" i="2" a="1"/>
  <c r="A60" i="2" s="1"/>
  <c r="D60" i="2" s="1"/>
  <c r="A59" i="2" a="1"/>
  <c r="A59" i="2"/>
  <c r="C59" i="2" s="1"/>
  <c r="A58" i="2" a="1"/>
  <c r="A58" i="2"/>
  <c r="D58" i="2" s="1"/>
  <c r="A57" i="2" a="1"/>
  <c r="A57" i="2" s="1"/>
  <c r="A56" i="2" a="1"/>
  <c r="A56" i="2" s="1"/>
  <c r="D56" i="2" s="1"/>
  <c r="A55" i="2" a="1"/>
  <c r="A55" i="2"/>
  <c r="D55" i="2" s="1"/>
  <c r="A54" i="2" a="1"/>
  <c r="A54" i="2"/>
  <c r="D54" i="2" s="1"/>
  <c r="A53" i="2" a="1"/>
  <c r="A53" i="2"/>
  <c r="B53" i="2" s="1"/>
  <c r="A52" i="2" a="1"/>
  <c r="A52" i="2"/>
  <c r="B52" i="2" s="1"/>
  <c r="A51" i="2" a="1"/>
  <c r="A51" i="2"/>
  <c r="D51" i="2" s="1"/>
  <c r="A50" i="2" a="1"/>
  <c r="A50" i="2" s="1"/>
  <c r="A49" i="2" a="1"/>
  <c r="A49" i="2" s="1"/>
  <c r="A48" i="2" a="1"/>
  <c r="A48" i="2" s="1"/>
  <c r="A47" i="2" a="1"/>
  <c r="A47" i="2" s="1"/>
  <c r="D47" i="2" s="1"/>
  <c r="A46" i="2" a="1"/>
  <c r="A46" i="2" s="1"/>
  <c r="B46" i="2" s="1"/>
  <c r="A45" i="2" a="1"/>
  <c r="A45" i="2" s="1"/>
  <c r="D45" i="2" s="1"/>
  <c r="A44" i="2" a="1"/>
  <c r="A44" i="2" s="1"/>
  <c r="C44" i="2" s="1"/>
  <c r="A43" i="2" a="1"/>
  <c r="A43" i="2" s="1"/>
  <c r="D43" i="2" s="1"/>
  <c r="A42" i="2" a="1"/>
  <c r="A42" i="2" s="1"/>
  <c r="D42" i="2" s="1"/>
  <c r="A41" i="2" a="1"/>
  <c r="A41" i="2"/>
  <c r="B41" i="2" s="1"/>
  <c r="A40" i="2" a="1"/>
  <c r="A40" i="2" s="1"/>
  <c r="A39" i="2" a="1"/>
  <c r="A39" i="2" s="1"/>
  <c r="A38" i="2" a="1"/>
  <c r="A38" i="2" s="1"/>
  <c r="D38" i="2" s="1"/>
  <c r="B37" i="2"/>
  <c r="A37" i="2" a="1"/>
  <c r="A37" i="2"/>
  <c r="D37" i="2" s="1"/>
  <c r="A36" i="2" a="1"/>
  <c r="A36" i="2"/>
  <c r="C36" i="2" s="1"/>
  <c r="A35" i="2" a="1"/>
  <c r="A35" i="2"/>
  <c r="D35" i="2" s="1"/>
  <c r="A34" i="2" a="1"/>
  <c r="A34" i="2"/>
  <c r="D34" i="2" s="1"/>
  <c r="A33" i="2" a="1"/>
  <c r="A33" i="2"/>
  <c r="D33" i="2" s="1"/>
  <c r="A32" i="2" a="1"/>
  <c r="A32" i="2"/>
  <c r="A31" i="2" a="1"/>
  <c r="A31" i="2" s="1"/>
  <c r="A30" i="2" a="1"/>
  <c r="A30" i="2" s="1"/>
  <c r="A29" i="2" a="1"/>
  <c r="A29" i="2" s="1"/>
  <c r="C29" i="2" s="1"/>
  <c r="A28" i="2" a="1"/>
  <c r="A28" i="2" s="1"/>
  <c r="A27" i="2" a="1"/>
  <c r="A27" i="2"/>
  <c r="D27" i="2" s="1"/>
  <c r="A26" i="2" a="1"/>
  <c r="A26" i="2" s="1"/>
  <c r="C26" i="2" s="1"/>
  <c r="A25" i="2" a="1"/>
  <c r="A25" i="2" s="1"/>
  <c r="D25" i="2" s="1"/>
  <c r="A24" i="2" a="1"/>
  <c r="A24" i="2" s="1"/>
  <c r="A23" i="2" a="1"/>
  <c r="A23" i="2"/>
  <c r="B23" i="2" s="1"/>
  <c r="A22" i="2" a="1"/>
  <c r="A22" i="2"/>
  <c r="B22" i="2" s="1"/>
  <c r="A21" i="2" a="1"/>
  <c r="A21" i="2" s="1"/>
  <c r="A20" i="2" a="1"/>
  <c r="A20" i="2"/>
  <c r="D20" i="2" s="1"/>
  <c r="A19" i="2" a="1"/>
  <c r="A19" i="2" s="1"/>
  <c r="A18" i="2" a="1"/>
  <c r="A18" i="2" s="1"/>
  <c r="C18" i="2" s="1"/>
  <c r="A17" i="2" a="1"/>
  <c r="A17" i="2" s="1"/>
  <c r="A16" i="2" a="1"/>
  <c r="A16" i="2" s="1"/>
  <c r="D16" i="2" s="1"/>
  <c r="A15" i="2" a="1"/>
  <c r="A15" i="2" s="1"/>
  <c r="A14" i="2" a="1"/>
  <c r="A14" i="2"/>
  <c r="A13" i="2" a="1"/>
  <c r="A13" i="2" s="1"/>
  <c r="A12" i="2" a="1"/>
  <c r="A12" i="2" s="1"/>
  <c r="A11" i="2" a="1"/>
  <c r="A11" i="2" s="1"/>
  <c r="B11" i="2" s="1"/>
  <c r="A10" i="2" a="1"/>
  <c r="A10" i="2" s="1"/>
  <c r="A9" i="2" a="1"/>
  <c r="A9" i="2"/>
  <c r="D9" i="2" s="1"/>
  <c r="A8" i="2" a="1"/>
  <c r="A8" i="2"/>
  <c r="C8" i="2" s="1"/>
  <c r="A7" i="2" a="1"/>
  <c r="A7" i="2"/>
  <c r="A6" i="2" a="1"/>
  <c r="A6" i="2" s="1"/>
  <c r="D6" i="2" s="1"/>
  <c r="A5" i="2" a="1"/>
  <c r="A5" i="2"/>
  <c r="B5" i="2" s="1"/>
  <c r="A4" i="2" a="1"/>
  <c r="A4" i="2" s="1"/>
  <c r="A3" i="2" a="1"/>
  <c r="A3" i="2" s="1"/>
  <c r="B3" i="2" s="1"/>
  <c r="A2" i="2" a="1"/>
  <c r="A2" i="2"/>
  <c r="C2" i="2" s="1"/>
  <c r="A1" i="2" a="1"/>
  <c r="A1" i="2"/>
  <c r="D1" i="2" s="1"/>
  <c r="I15" i="1"/>
  <c r="A14" i="1"/>
  <c r="A13" i="1"/>
  <c r="AL10" i="1"/>
  <c r="A8" i="1"/>
  <c r="A7" i="1"/>
  <c r="E3" i="1"/>
  <c r="D127" i="2" l="1"/>
  <c r="B127" i="2"/>
  <c r="C127" i="2"/>
  <c r="C17" i="2"/>
  <c r="D17" i="2"/>
  <c r="B17" i="2"/>
  <c r="B132" i="2"/>
  <c r="D132" i="2"/>
  <c r="C132" i="2"/>
  <c r="D19" i="2"/>
  <c r="B19" i="2"/>
  <c r="B71" i="2"/>
  <c r="C89" i="2"/>
  <c r="C107" i="2"/>
  <c r="D125" i="2"/>
  <c r="B107" i="2"/>
  <c r="C71" i="2"/>
  <c r="D89" i="2"/>
  <c r="D53" i="2"/>
  <c r="B35" i="2"/>
  <c r="B1" i="2"/>
  <c r="C125" i="2"/>
  <c r="C53" i="2"/>
  <c r="C62" i="2"/>
  <c r="C35" i="2"/>
  <c r="B73" i="2"/>
  <c r="B91" i="2"/>
  <c r="B109" i="2"/>
  <c r="B55" i="2"/>
  <c r="C73" i="2"/>
  <c r="C91" i="2"/>
  <c r="C101" i="2"/>
  <c r="C109" i="2"/>
  <c r="C55" i="2"/>
  <c r="C68" i="2"/>
  <c r="B68" i="2"/>
  <c r="D68" i="2"/>
  <c r="C111" i="2"/>
  <c r="D111" i="2"/>
  <c r="B111" i="2"/>
  <c r="C7" i="2"/>
  <c r="D7" i="2"/>
  <c r="B7" i="2"/>
  <c r="C96" i="2"/>
  <c r="B96" i="2"/>
  <c r="D96" i="2"/>
  <c r="C114" i="2"/>
  <c r="B114" i="2"/>
  <c r="D114" i="2"/>
  <c r="C24" i="2"/>
  <c r="B24" i="2"/>
  <c r="C78" i="2"/>
  <c r="B78" i="2"/>
  <c r="D64" i="2"/>
  <c r="C64" i="2"/>
  <c r="D93" i="2"/>
  <c r="C93" i="2"/>
  <c r="B93" i="2"/>
  <c r="C60" i="2"/>
  <c r="B60" i="2"/>
  <c r="C72" i="2"/>
  <c r="D72" i="2"/>
  <c r="B72" i="2"/>
  <c r="C100" i="2"/>
  <c r="D100" i="2"/>
  <c r="B100" i="2"/>
  <c r="D118" i="2"/>
  <c r="C118" i="2"/>
  <c r="B118" i="2"/>
  <c r="D135" i="2"/>
  <c r="C135" i="2"/>
  <c r="B135" i="2"/>
  <c r="C10" i="2"/>
  <c r="D10" i="2"/>
  <c r="B21" i="2"/>
  <c r="C21" i="2"/>
  <c r="D21" i="2"/>
  <c r="D31" i="2"/>
  <c r="C31" i="2"/>
  <c r="B31" i="2"/>
  <c r="D49" i="2"/>
  <c r="C49" i="2"/>
  <c r="B49" i="2"/>
  <c r="D136" i="2"/>
  <c r="C136" i="2"/>
  <c r="B136" i="2"/>
  <c r="C6" i="2"/>
  <c r="B6" i="2"/>
  <c r="C39" i="2"/>
  <c r="B39" i="2"/>
  <c r="D39" i="2"/>
  <c r="C50" i="2"/>
  <c r="B50" i="2"/>
  <c r="D50" i="2"/>
  <c r="B57" i="2"/>
  <c r="C57" i="2"/>
  <c r="D57" i="2"/>
  <c r="B66" i="2"/>
  <c r="D66" i="2"/>
  <c r="C66" i="2"/>
  <c r="D28" i="2"/>
  <c r="C28" i="2"/>
  <c r="D46" i="2"/>
  <c r="C46" i="2"/>
  <c r="B10" i="2"/>
  <c r="B28" i="2"/>
  <c r="D82" i="2"/>
  <c r="C82" i="2"/>
  <c r="C30" i="2"/>
  <c r="B30" i="2"/>
  <c r="D30" i="2"/>
  <c r="D32" i="2"/>
  <c r="C32" i="2"/>
  <c r="B32" i="2"/>
  <c r="B4" i="2"/>
  <c r="D4" i="2"/>
  <c r="C4" i="2"/>
  <c r="B40" i="2"/>
  <c r="D40" i="2"/>
  <c r="C40" i="2"/>
  <c r="D67" i="2"/>
  <c r="C67" i="2"/>
  <c r="B67" i="2"/>
  <c r="C84" i="2"/>
  <c r="B84" i="2"/>
  <c r="D84" i="2"/>
  <c r="B120" i="2"/>
  <c r="D120" i="2"/>
  <c r="C120" i="2"/>
  <c r="C42" i="2"/>
  <c r="B42" i="2"/>
  <c r="D104" i="2"/>
  <c r="C104" i="2"/>
  <c r="B104" i="2"/>
  <c r="D24" i="2"/>
  <c r="B64" i="2"/>
  <c r="C12" i="2"/>
  <c r="B12" i="2"/>
  <c r="D12" i="2"/>
  <c r="B48" i="2"/>
  <c r="D48" i="2"/>
  <c r="C48" i="2"/>
  <c r="D15" i="2"/>
  <c r="C15" i="2"/>
  <c r="B15" i="2"/>
  <c r="B75" i="2"/>
  <c r="C75" i="2"/>
  <c r="D75" i="2"/>
  <c r="D85" i="2"/>
  <c r="C85" i="2"/>
  <c r="B85" i="2"/>
  <c r="C102" i="2"/>
  <c r="D102" i="2"/>
  <c r="B102" i="2"/>
  <c r="D121" i="2"/>
  <c r="C121" i="2"/>
  <c r="B121" i="2"/>
  <c r="B138" i="2"/>
  <c r="D138" i="2"/>
  <c r="C138" i="2"/>
  <c r="D3" i="2"/>
  <c r="C3" i="2"/>
  <c r="D13" i="2"/>
  <c r="C13" i="2"/>
  <c r="B13" i="2"/>
  <c r="D14" i="2"/>
  <c r="B14" i="2"/>
  <c r="C14" i="2"/>
  <c r="D86" i="2"/>
  <c r="C86" i="2"/>
  <c r="B86" i="2"/>
  <c r="D103" i="2"/>
  <c r="C103" i="2"/>
  <c r="B103" i="2"/>
  <c r="D122" i="2"/>
  <c r="C122" i="2"/>
  <c r="B122" i="2"/>
  <c r="C129" i="2"/>
  <c r="D129" i="2"/>
  <c r="B129" i="2"/>
  <c r="D139" i="2"/>
  <c r="C139" i="2"/>
  <c r="B139" i="2"/>
  <c r="B97" i="2"/>
  <c r="B133" i="2"/>
  <c r="B25" i="2"/>
  <c r="C79" i="2"/>
  <c r="B47" i="2"/>
  <c r="B94" i="2"/>
  <c r="D108" i="2"/>
  <c r="B112" i="2"/>
  <c r="C119" i="2"/>
  <c r="D126" i="2"/>
  <c r="B130" i="2"/>
  <c r="C137" i="2"/>
  <c r="D11" i="2"/>
  <c r="C22" i="2"/>
  <c r="D29" i="2"/>
  <c r="B51" i="2"/>
  <c r="C58" i="2"/>
  <c r="D101" i="2"/>
  <c r="D119" i="2"/>
  <c r="B123" i="2"/>
  <c r="C130" i="2"/>
  <c r="D137" i="2"/>
  <c r="B18" i="2"/>
  <c r="C25" i="2"/>
  <c r="B36" i="2"/>
  <c r="C43" i="2"/>
  <c r="B54" i="2"/>
  <c r="C61" i="2"/>
  <c r="B108" i="2"/>
  <c r="C54" i="2"/>
  <c r="C11" i="2"/>
  <c r="D18" i="2"/>
  <c r="D36" i="2"/>
  <c r="C47" i="2"/>
  <c r="B58" i="2"/>
  <c r="C65" i="2"/>
  <c r="B76" i="2"/>
  <c r="C83" i="2"/>
  <c r="D90" i="2"/>
  <c r="B33" i="2"/>
  <c r="D65" i="2"/>
  <c r="B69" i="2"/>
  <c r="C76" i="2"/>
  <c r="D83" i="2"/>
  <c r="B87" i="2"/>
  <c r="C94" i="2"/>
  <c r="B105" i="2"/>
  <c r="C112" i="2"/>
  <c r="B8" i="2"/>
  <c r="D22" i="2"/>
  <c r="B26" i="2"/>
  <c r="C33" i="2"/>
  <c r="B44" i="2"/>
  <c r="C51" i="2"/>
  <c r="B62" i="2"/>
  <c r="C69" i="2"/>
  <c r="B80" i="2"/>
  <c r="C87" i="2"/>
  <c r="B98" i="2"/>
  <c r="C105" i="2"/>
  <c r="B116" i="2"/>
  <c r="C123" i="2"/>
  <c r="B134" i="2"/>
  <c r="B43" i="2"/>
  <c r="B115" i="2"/>
  <c r="B131" i="2"/>
  <c r="C134" i="2"/>
  <c r="D8" i="2"/>
  <c r="C19" i="2"/>
  <c r="D44" i="2"/>
  <c r="D80" i="2"/>
  <c r="D98" i="2"/>
  <c r="D116" i="2"/>
  <c r="B59" i="2"/>
  <c r="B16" i="2"/>
  <c r="B34" i="2"/>
  <c r="C41" i="2"/>
  <c r="B70" i="2"/>
  <c r="C77" i="2"/>
  <c r="B124" i="2"/>
  <c r="C131" i="2"/>
  <c r="D5" i="2"/>
  <c r="B9" i="2"/>
  <c r="C16" i="2"/>
  <c r="D23" i="2"/>
  <c r="B27" i="2"/>
  <c r="C34" i="2"/>
  <c r="D41" i="2"/>
  <c r="B45" i="2"/>
  <c r="C52" i="2"/>
  <c r="D59" i="2"/>
  <c r="B63" i="2"/>
  <c r="C70" i="2"/>
  <c r="D77" i="2"/>
  <c r="B81" i="2"/>
  <c r="C88" i="2"/>
  <c r="D95" i="2"/>
  <c r="B99" i="2"/>
  <c r="C106" i="2"/>
  <c r="D113" i="2"/>
  <c r="B117" i="2"/>
  <c r="C124" i="2"/>
  <c r="B29" i="2"/>
  <c r="D26" i="2"/>
  <c r="C37" i="2"/>
  <c r="B95" i="2"/>
  <c r="C5" i="2"/>
  <c r="C23" i="2"/>
  <c r="B106" i="2"/>
  <c r="C113" i="2"/>
  <c r="B2" i="2"/>
  <c r="C9" i="2"/>
  <c r="B20" i="2"/>
  <c r="C27" i="2"/>
  <c r="B38" i="2"/>
  <c r="C45" i="2"/>
  <c r="D52" i="2"/>
  <c r="B56" i="2"/>
  <c r="C63" i="2"/>
  <c r="B74" i="2"/>
  <c r="C81" i="2"/>
  <c r="D88" i="2"/>
  <c r="B92" i="2"/>
  <c r="C99" i="2"/>
  <c r="B110" i="2"/>
  <c r="C117" i="2"/>
  <c r="B128" i="2"/>
  <c r="C90" i="2"/>
  <c r="C126" i="2"/>
  <c r="C1" i="2"/>
  <c r="C56" i="2"/>
  <c r="C74" i="2"/>
  <c r="C92" i="2"/>
  <c r="C110" i="2"/>
  <c r="C128" i="2"/>
  <c r="C20" i="2"/>
  <c r="C38" i="2"/>
  <c r="D2" i="2"/>
  <c r="B61" i="2"/>
  <c r="B79" i="2"/>
  <c r="C97" i="2"/>
  <c r="C115" i="2"/>
  <c r="C13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<sst xmlns="http://schemas.openxmlformats.org/spreadsheetml/2006/main" count="198" uniqueCount="175">
  <si>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</si>
  <si>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</si>
  <si>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</si>
  <si>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</si>
  <si>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</si>
  <si>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</si>
  <si>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</si>
  <si>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</si>
  <si>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</si>
  <si>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</si>
  <si>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</si>
  <si>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</si>
  <si>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</si>
  <si>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</si>
  <si>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</si>
  <si>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</si>
  <si>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</si>
  <si>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</si>
  <si>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</si>
  <si>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</si>
  <si>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</si>
  <si>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</si>
  <si>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</si>
  <si>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</si>
  <si>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</si>
  <si>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</si>
  <si>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</si>
  <si>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</si>
  <si>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</si>
  <si>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</si>
  <si>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</si>
  <si>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</si>
  <si>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</si>
  <si>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</si>
  <si>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</si>
  <si>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all:SORT#11</t>
  </si>
  <si>
    <t>all:SORT#12</t>
  </si>
  <si>
    <t>all:SORT#13</t>
  </si>
  <si>
    <t>all:SORT#14</t>
  </si>
  <si>
    <t>all:SORT#15</t>
  </si>
  <si>
    <t>all:SORT#16</t>
  </si>
  <si>
    <t>all:SORTBY#1</t>
  </si>
  <si>
    <t>all:SORTBY#2</t>
  </si>
  <si>
    <t>all:SORTBY#3</t>
  </si>
  <si>
    <t>all:SORTBY#4</t>
  </si>
  <si>
    <t>all:SORTBY#5</t>
  </si>
  <si>
    <t>all:SORTBY#6</t>
  </si>
  <si>
    <t>all:SORTBY#7</t>
  </si>
  <si>
    <t>all:SORTBY#8</t>
  </si>
  <si>
    <t>all:SORTBY#9</t>
  </si>
  <si>
    <t>all:SORTBY#10</t>
  </si>
  <si>
    <t>all:SORTBY#11</t>
  </si>
  <si>
    <t>all:SORTBY#12</t>
  </si>
  <si>
    <t>all:TAKE#1</t>
  </si>
  <si>
    <t>all:TAKE#2</t>
  </si>
  <si>
    <t>all:TAKE#3</t>
  </si>
  <si>
    <t>all:TAKE#4</t>
  </si>
  <si>
    <t>all:TAKE#5</t>
  </si>
  <si>
    <t>all:TAKE#6</t>
  </si>
  <si>
    <t>all:TAKE#7</t>
  </si>
  <si>
    <t>all:TAKE#8</t>
  </si>
  <si>
    <t>all:TEXTSPLIT#1</t>
  </si>
  <si>
    <t>all:TEXTSPLIT#2</t>
  </si>
  <si>
    <t>all:TEXTSPLIT#3</t>
  </si>
  <si>
    <t>all:TEXTSPLIT#4</t>
  </si>
  <si>
    <t>all:TEXTSPLIT#5</t>
  </si>
  <si>
    <t>all:TEXTSPLIT#6</t>
  </si>
  <si>
    <t>all:TEXTSPLIT#7</t>
  </si>
  <si>
    <t>all:TEXTSPLIT#8</t>
  </si>
  <si>
    <t>all:TEXTSPLIT#9</t>
  </si>
  <si>
    <t>all:TEXTSPLIT#10</t>
  </si>
  <si>
    <t>all:TEXTSPLIT#11</t>
  </si>
  <si>
    <t>all:TEXTSPLIT#12</t>
  </si>
  <si>
    <t>all:TEXTSPLIT#13</t>
  </si>
  <si>
    <t>all:TEXTSPLIT#14</t>
  </si>
  <si>
    <t>all:TEXTSPLIT#15</t>
  </si>
  <si>
    <t>all:TEXTSPLIT#16</t>
  </si>
  <si>
    <t>all:TEXTSPLIT#17</t>
  </si>
  <si>
    <t>all:TEXTSPLIT#18</t>
  </si>
  <si>
    <t>all:TEXTSPLIT#19</t>
  </si>
  <si>
    <t>all:TEXTSPLIT#20</t>
  </si>
  <si>
    <t>all:TEXTSPLIT#21</t>
  </si>
  <si>
    <t>all:TEXTSPLIT#22</t>
  </si>
  <si>
    <t>all:TEXTSPLIT#23</t>
  </si>
  <si>
    <t>all:TEXTSPLIT#24</t>
  </si>
  <si>
    <t>all:TOCOL#1</t>
  </si>
  <si>
    <t>all:TOCOL#2</t>
  </si>
  <si>
    <t>all:TOCOL#3</t>
  </si>
  <si>
    <t>all:TOCOL#4</t>
  </si>
  <si>
    <t>all:TOCOL#5</t>
  </si>
  <si>
    <t>all:TOCOL#6</t>
  </si>
  <si>
    <t>all:TOCOL#7</t>
  </si>
  <si>
    <t>all:TOCOL#8</t>
  </si>
  <si>
    <t>all:TOCOL#9</t>
  </si>
  <si>
    <t>all:TOCOL#10</t>
  </si>
  <si>
    <t>all:TOCOL#11</t>
  </si>
  <si>
    <t>all:TOCOL#12</t>
  </si>
  <si>
    <t>all:TOROW#1</t>
  </si>
  <si>
    <t>all:TOROW#2</t>
  </si>
  <si>
    <t>all:TOROW#3</t>
  </si>
  <si>
    <t>all:TOROW#4</t>
  </si>
  <si>
    <t>all:TOROW#5</t>
  </si>
  <si>
    <t>all:TOROW#6</t>
  </si>
  <si>
    <t>all:TOROW#7</t>
  </si>
  <si>
    <t>all:TOROW#8</t>
  </si>
  <si>
    <t>all:TOROW#9</t>
  </si>
  <si>
    <t>all:TOROW#10</t>
  </si>
  <si>
    <t>all:TOROW#11</t>
  </si>
  <si>
    <t>all:TOROW#12</t>
  </si>
  <si>
    <t>all:TREND#1</t>
  </si>
  <si>
    <t>all:TREND#2</t>
  </si>
  <si>
    <t>all:TREND#3</t>
  </si>
  <si>
    <t>all:TREND#4</t>
  </si>
  <si>
    <t>all:TREND#5</t>
  </si>
  <si>
    <t>all:TREND#6</t>
  </si>
  <si>
    <t>all:TREND#7</t>
  </si>
  <si>
    <t>all:TREND#8</t>
  </si>
  <si>
    <t>all:TREND#9</t>
  </si>
  <si>
    <t>all:TREND#10</t>
  </si>
  <si>
    <t>all:TREND#11</t>
  </si>
  <si>
    <t>all:TREND#12</t>
  </si>
  <si>
    <t>all:TREND#13</t>
  </si>
  <si>
    <t>all:TREND#14</t>
  </si>
  <si>
    <t>all:TREND#15</t>
  </si>
  <si>
    <t>all:TREND#16</t>
  </si>
  <si>
    <t>all:UNIQUE#1</t>
  </si>
  <si>
    <t>all:UNIQUE#2</t>
  </si>
  <si>
    <t>all:UNIQUE#3</t>
  </si>
  <si>
    <t>all:UNIQUE#4</t>
  </si>
  <si>
    <t>all:UNIQUE#5</t>
  </si>
  <si>
    <t>all:UNIQUE#6</t>
  </si>
  <si>
    <t>all:UNIQUE#7</t>
  </si>
  <si>
    <t>all:UNIQUE#8</t>
  </si>
  <si>
    <t>all:UNIQUE#9</t>
  </si>
  <si>
    <t>all:UNIQUE#10</t>
  </si>
  <si>
    <t>all:UNIQUE#11</t>
  </si>
  <si>
    <t>all:UNIQUE#12</t>
  </si>
  <si>
    <t>all:VSTACK#1</t>
  </si>
  <si>
    <t>all:VSTACK#2</t>
  </si>
  <si>
    <t>all:VSTACK#3</t>
  </si>
  <si>
    <t>all:VSTACK#4</t>
  </si>
  <si>
    <t>all:VSTACK#5</t>
  </si>
  <si>
    <t>all:VSTACK#6</t>
  </si>
  <si>
    <t>all:VSTACK#7</t>
  </si>
  <si>
    <t>all:VSTACK#8</t>
  </si>
  <si>
    <t>all:VSTACK#9</t>
  </si>
  <si>
    <t>all:VSTACK#10</t>
  </si>
  <si>
    <t>all:VSTACK#11</t>
  </si>
  <si>
    <t>all:VSTACK#12</t>
  </si>
  <si>
    <t>all:VSTACK#13</t>
  </si>
  <si>
    <t>all:VSTACK#14</t>
  </si>
  <si>
    <t>all:VSTACK#15</t>
  </si>
  <si>
    <t>all:VSTACK#16</t>
  </si>
  <si>
    <t>all:VSTACK#17</t>
  </si>
  <si>
    <t>all:WRAPCOLS#1</t>
  </si>
  <si>
    <t>all:WRAPCOLS#2</t>
  </si>
  <si>
    <t>all:WRAPCOLS#3</t>
  </si>
  <si>
    <t>all:WRAPCOLS#4</t>
  </si>
  <si>
    <t>all:WRAPCOLS#5</t>
  </si>
  <si>
    <t>all:WRAPCOLS#6</t>
  </si>
  <si>
    <t>all:WRAPCOLS#7</t>
  </si>
  <si>
    <t>all:WRAPCOLS#8</t>
  </si>
  <si>
    <t>all:WRAPCOLS#9</t>
  </si>
  <si>
    <t>all:WRAPCOLS#10</t>
  </si>
  <si>
    <t>all:WRAPROWS#1</t>
  </si>
  <si>
    <t>all:WRAPROWS#2</t>
  </si>
  <si>
    <t>all:WRAPROWS#3</t>
  </si>
  <si>
    <t>all:WRAPROWS#4</t>
  </si>
  <si>
    <t>all:WRAPROWS#5</t>
  </si>
  <si>
    <t>all:WRAPROWS#6</t>
  </si>
  <si>
    <t>all:WRAPROWS#7</t>
  </si>
  <si>
    <t>all:WRAPROWS#8</t>
  </si>
  <si>
    <t>all:WRAPROWS#9</t>
  </si>
  <si>
    <t>all:WRAPROWS#10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</si>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</sst>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0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_xlfn.ARRAYTOTEXT(_xlfn._xlws.SORT(D!B1:C4,2,"",FALSE),1)</f>
        <v>#VALUE!</v>
      </c>
      <c r="B1">
        <f t="shared" ref="B1:B32" si="0">IF(ISERROR(A1),ERROR.TYPE(A1),IF(ISNUMBER(A1),0,IF(ISLOGICAL(A1),IF(A1,-1,-2),IF(ISTEXT(A1),-3,-4))))</f>
        <v>3</v>
      </c>
      <c r="C1">
        <f t="shared" ref="C1:C32" si="1">IF(ISNUMBER(A1),A1,0)</f>
        <v>0</v>
      </c>
      <c r="D1" t="str">
        <f t="shared" ref="D1:D32" si="2">IF(ISTEXT(A1),A1,"")</f>
        <v/>
      </c>
      <c r="E1" t="s">
        <v>35</v>
      </c>
    </row>
    <row r="2" spans="1:5" x14ac:dyDescent="0.2">
      <c r="A2" t="e" cm="1">
        <f t="array" ref="A2">_xlfn.ARRAYTOTEXT(_xlfn._xlws.SORT(D!B1:C4,2,FALSE,FALSE),1)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str" cm="1">
        <f t="array" ref="A3">_xlfn.ARRAYTOTEXT(_xlfn._xlws.SORT(D!B1:C4,2,-1,),1)</f>
        <v>{16,19;15,11;8,7;4,2}</v>
      </c>
      <c r="B3">
        <f t="shared" si="0"/>
        <v>-3</v>
      </c>
      <c r="C3">
        <f t="shared" si="1"/>
        <v>0</v>
      </c>
      <c r="D3" t="str">
        <f t="shared" si="2"/>
        <v>{16,19;15,11;8,7;4,2}</v>
      </c>
      <c r="E3" t="s">
        <v>37</v>
      </c>
    </row>
    <row r="4" spans="1:5" x14ac:dyDescent="0.2">
      <c r="A4" t="str" cm="1">
        <f t="array" ref="A4">_xlfn.ARRAYTOTEXT(_xlfn._xlws.SORT(D!B1:C4,2,-1,0),1)</f>
        <v>{16,19;15,11;8,7;4,2}</v>
      </c>
      <c r="B4">
        <f t="shared" si="0"/>
        <v>-3</v>
      </c>
      <c r="C4">
        <f t="shared" si="1"/>
        <v>0</v>
      </c>
      <c r="D4" t="str">
        <f t="shared" si="2"/>
        <v>{16,19;15,11;8,7;4,2}</v>
      </c>
      <c r="E4" t="s">
        <v>38</v>
      </c>
    </row>
    <row r="5" spans="1:5" x14ac:dyDescent="0.2">
      <c r="A5" t="e" cm="1">
        <f t="array" ref="A5">_xlfn.ARRAYTOTEXT(_xlfn._xlws.SORT(D!B1:C4,2,-1,""),1)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str" cm="1">
        <f t="array" ref="A6">_xlfn.ARRAYTOTEXT(_xlfn._xlws.SORT(D!B1:C4,2,-1,FALSE),1)</f>
        <v>{16,19;15,11;8,7;4,2}</v>
      </c>
      <c r="B6">
        <f t="shared" si="0"/>
        <v>-3</v>
      </c>
      <c r="C6">
        <f t="shared" si="1"/>
        <v>0</v>
      </c>
      <c r="D6" t="str">
        <f t="shared" si="2"/>
        <v>{16,19;15,11;8,7;4,2}</v>
      </c>
      <c r="E6" t="s">
        <v>40</v>
      </c>
    </row>
    <row r="7" spans="1:5" x14ac:dyDescent="0.2">
      <c r="A7" t="e" cm="1">
        <f t="array" ref="A7">_xlfn.ARRAYTOTEXT(_xlfn.SORTBY(,D!C1:C4,-1),1)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_xlfn.ARRAYTOTEXT(_xlfn.SORTBY(0,D!C1:C4,-1),1)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_xlfn.ARRAYTOTEXT(_xlfn.SORTBY("",D!C1:C4,-1),1)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_xlfn.ARRAYTOTEXT(_xlfn.SORTBY(FALSE,D!C1:C4,-1),1)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str" cm="1">
        <f t="array" ref="A11">_xlfn.ARRAYTOTEXT(_xlfn.SORTBY(D!B1:B4,,-1),1)</f>
        <v>{4;8;15;16}</v>
      </c>
      <c r="B11">
        <f t="shared" si="0"/>
        <v>-3</v>
      </c>
      <c r="C11">
        <f t="shared" si="1"/>
        <v>0</v>
      </c>
      <c r="D11" t="str">
        <f t="shared" si="2"/>
        <v>{4;8;15;16}</v>
      </c>
      <c r="E11" t="s">
        <v>45</v>
      </c>
    </row>
    <row r="12" spans="1:5" x14ac:dyDescent="0.2">
      <c r="A12" t="str" cm="1">
        <f t="array" ref="A12">_xlfn.ARRAYTOTEXT(_xlfn.SORTBY(D!B1:B4,0,-1),1)</f>
        <v>{4;8;15;16}</v>
      </c>
      <c r="B12">
        <f t="shared" si="0"/>
        <v>-3</v>
      </c>
      <c r="C12">
        <f t="shared" si="1"/>
        <v>0</v>
      </c>
      <c r="D12" t="str">
        <f t="shared" si="2"/>
        <v>{4;8;15;16}</v>
      </c>
      <c r="E12" t="s">
        <v>46</v>
      </c>
    </row>
    <row r="13" spans="1:5" x14ac:dyDescent="0.2">
      <c r="A13" t="str" cm="1">
        <f t="array" ref="A13">_xlfn.ARRAYTOTEXT(_xlfn.SORTBY(D!B1:B4,"",-1),1)</f>
        <v>{4;8;15;16}</v>
      </c>
      <c r="B13">
        <f t="shared" si="0"/>
        <v>-3</v>
      </c>
      <c r="C13">
        <f t="shared" si="1"/>
        <v>0</v>
      </c>
      <c r="D13" t="str">
        <f t="shared" si="2"/>
        <v>{4;8;15;16}</v>
      </c>
      <c r="E13" t="s">
        <v>47</v>
      </c>
    </row>
    <row r="14" spans="1:5" x14ac:dyDescent="0.2">
      <c r="A14" t="str" cm="1">
        <f t="array" ref="A14">_xlfn.ARRAYTOTEXT(_xlfn.SORTBY(D!B1:B4,FALSE,-1),1)</f>
        <v>{4;8;15;16}</v>
      </c>
      <c r="B14">
        <f t="shared" si="0"/>
        <v>-3</v>
      </c>
      <c r="C14">
        <f t="shared" si="1"/>
        <v>0</v>
      </c>
      <c r="D14" t="str">
        <f t="shared" si="2"/>
        <v>{4;8;15;16}</v>
      </c>
      <c r="E14" t="s">
        <v>48</v>
      </c>
    </row>
    <row r="15" spans="1:5" x14ac:dyDescent="0.2">
      <c r="A15" t="str" cm="1">
        <f t="array" ref="A15">_xlfn.ARRAYTOTEXT(_xlfn.SORTBY(D!B1:B4,D!C1:C4,),1)</f>
        <v>{4;8;15;16}</v>
      </c>
      <c r="B15">
        <f t="shared" si="0"/>
        <v>-3</v>
      </c>
      <c r="C15">
        <f t="shared" si="1"/>
        <v>0</v>
      </c>
      <c r="D15" t="str">
        <f t="shared" si="2"/>
        <v>{4;8;15;16}</v>
      </c>
      <c r="E15" t="s">
        <v>49</v>
      </c>
    </row>
    <row r="16" spans="1:5" x14ac:dyDescent="0.2">
      <c r="A16" t="e" cm="1">
        <f t="array" ref="A16">_xlfn.ARRAYTOTEXT(_xlfn.SORTBY(D!B1:B4,D!C1:C4,0),1)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_xlfn.ARRAYTOTEXT(_xlfn.SORTBY(D!B1:B4,D!C1:C4,""),1)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_xlfn.ARRAYTOTEXT(_xlfn.SORTBY(D!B1:B4,D!C1:C4,FALSE),1)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_xlfn.ARRAYTOTEXT(_xlfn.TAKE(,2,1),1)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str" cm="1">
        <f t="array" ref="A20">_xlfn.ARRAYTOTEXT(_xlfn.TAKE(0,2,1),1)</f>
        <v>{0}</v>
      </c>
      <c r="B20">
        <f t="shared" si="0"/>
        <v>-3</v>
      </c>
      <c r="C20">
        <f t="shared" si="1"/>
        <v>0</v>
      </c>
      <c r="D20" t="str">
        <f t="shared" si="2"/>
        <v>{0}</v>
      </c>
      <c r="E20" t="s">
        <v>54</v>
      </c>
    </row>
    <row r="21" spans="1:5" x14ac:dyDescent="0.2">
      <c r="A21" t="str" cm="1">
        <f t="array" ref="A21">_xlfn.ARRAYTOTEXT(_xlfn.TAKE("",2,1),1)</f>
        <v>{""}</v>
      </c>
      <c r="B21">
        <f t="shared" si="0"/>
        <v>-3</v>
      </c>
      <c r="C21">
        <f t="shared" si="1"/>
        <v>0</v>
      </c>
      <c r="D21" t="str">
        <f t="shared" si="2"/>
        <v>{""}</v>
      </c>
      <c r="E21" t="s">
        <v>55</v>
      </c>
    </row>
    <row r="22" spans="1:5" x14ac:dyDescent="0.2">
      <c r="A22" t="str" cm="1">
        <f t="array" ref="A22">_xlfn.ARRAYTOTEXT(_xlfn.TAKE(FALSE,2,1),1)</f>
        <v>{FALSE}</v>
      </c>
      <c r="B22">
        <f t="shared" si="0"/>
        <v>-3</v>
      </c>
      <c r="C22">
        <f t="shared" si="1"/>
        <v>0</v>
      </c>
      <c r="D22" t="str">
        <f t="shared" si="2"/>
        <v>{FALSE}</v>
      </c>
      <c r="E22" t="s">
        <v>56</v>
      </c>
    </row>
    <row r="23" spans="1:5" x14ac:dyDescent="0.2">
      <c r="A23" t="str" cm="1">
        <f t="array" ref="A23">_xlfn.ARRAYTOTEXT(_xlfn.TAKE(D!B1:C4,,1),1)</f>
        <v>{4;8;15;16}</v>
      </c>
      <c r="B23">
        <f t="shared" si="0"/>
        <v>-3</v>
      </c>
      <c r="C23">
        <f t="shared" si="1"/>
        <v>0</v>
      </c>
      <c r="D23" t="str">
        <f t="shared" si="2"/>
        <v>{4;8;15;16}</v>
      </c>
      <c r="E23" t="s">
        <v>57</v>
      </c>
    </row>
    <row r="24" spans="1:5" x14ac:dyDescent="0.2">
      <c r="A24" t="e" cm="1" vm="1">
        <f t="array" ref="A24">_xlfn.ARRAYTOTEXT(_xlfn.TAKE(D!B1:C4,0,1),1)</f>
        <v>#VALUE!</v>
      </c>
      <c r="B24">
        <f t="shared" si="0"/>
        <v>14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str" cm="1">
        <f t="array" ref="A25">_xlfn.ARRAYTOTEXT(_xlfn.TAKE(D!B1:C4,2,),1)</f>
        <v>{4,2;8,7}</v>
      </c>
      <c r="B25">
        <f t="shared" si="0"/>
        <v>-3</v>
      </c>
      <c r="C25">
        <f t="shared" si="1"/>
        <v>0</v>
      </c>
      <c r="D25" t="str">
        <f t="shared" si="2"/>
        <v>{4,2;8,7}</v>
      </c>
      <c r="E25" t="s">
        <v>59</v>
      </c>
    </row>
    <row r="26" spans="1:5" x14ac:dyDescent="0.2">
      <c r="A26" t="e" cm="1" vm="1">
        <f t="array" ref="A26">_xlfn.ARRAYTOTEXT(_xlfn.TAKE(D!B1:C4,2,0),1)</f>
        <v>#VALUE!</v>
      </c>
      <c r="B26">
        <f t="shared" si="0"/>
        <v>14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_xlfn.ARRAYTOTEXT(_xlfn.TEXTSPLIT(,",",";",TRUE,0,"-"),1)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str" cm="1">
        <f t="array" ref="A28">_xlfn.ARRAYTOTEXT(_xlfn.TEXTSPLIT(0,",",";",TRUE,0,"-"),1)</f>
        <v>{"0"}</v>
      </c>
      <c r="B28">
        <f t="shared" si="0"/>
        <v>-3</v>
      </c>
      <c r="C28">
        <f t="shared" si="1"/>
        <v>0</v>
      </c>
      <c r="D28" t="str">
        <f t="shared" si="2"/>
        <v>{"0"}</v>
      </c>
      <c r="E28" t="s">
        <v>62</v>
      </c>
    </row>
    <row r="29" spans="1:5" x14ac:dyDescent="0.2">
      <c r="A29" t="e" cm="1">
        <f t="array" ref="A29">_xlfn.ARRAYTOTEXT(_xlfn.TEXTSPLIT("",",",";",TRUE,0,"-"),1)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str" cm="1">
        <f t="array" ref="A30">_xlfn.ARRAYTOTEXT(_xlfn.TEXTSPLIT(FALSE,",",";",TRUE,0,"-"),1)</f>
        <v>{"FALSE"}</v>
      </c>
      <c r="B30">
        <f t="shared" si="0"/>
        <v>-3</v>
      </c>
      <c r="C30">
        <f t="shared" si="1"/>
        <v>0</v>
      </c>
      <c r="D30" t="str">
        <f t="shared" si="2"/>
        <v>{"FALSE"}</v>
      </c>
      <c r="E30" t="s">
        <v>64</v>
      </c>
    </row>
    <row r="31" spans="1:5" x14ac:dyDescent="0.2">
      <c r="A31" t="str" cm="1">
        <f t="array" ref="A31">_xlfn.ARRAYTOTEXT(_xlfn.TEXTSPLIT("a,b;c,,d",,";",TRUE,0,"-"),1)</f>
        <v>{"a,b";"c,,d"}</v>
      </c>
      <c r="B31">
        <f t="shared" si="0"/>
        <v>-3</v>
      </c>
      <c r="C31">
        <f t="shared" si="1"/>
        <v>0</v>
      </c>
      <c r="D31" t="str">
        <f t="shared" si="2"/>
        <v>{"a,b";"c,,d"}</v>
      </c>
      <c r="E31" t="s">
        <v>65</v>
      </c>
    </row>
    <row r="32" spans="1:5" x14ac:dyDescent="0.2">
      <c r="A32" t="str" cm="1">
        <f t="array" ref="A32">_xlfn.ARRAYTOTEXT(_xlfn.TEXTSPLIT("a,b;c,,d",0,";",TRUE,0,"-"),1)</f>
        <v>{"a,b";"c,,d"}</v>
      </c>
      <c r="B32">
        <f t="shared" si="0"/>
        <v>-3</v>
      </c>
      <c r="C32">
        <f t="shared" si="1"/>
        <v>0</v>
      </c>
      <c r="D32" t="str">
        <f t="shared" si="2"/>
        <v>{"a,b";"c,,d"}</v>
      </c>
      <c r="E32" t="s">
        <v>66</v>
      </c>
    </row>
    <row r="33" spans="1:5" x14ac:dyDescent="0.2">
      <c r="A33" t="e" cm="1">
        <f t="array" ref="A33">_xlfn.ARRAYTOTEXT(_xlfn.TEXTSPLIT("a,b;c,,d","",";",TRUE,0,"-"),1)</f>
        <v>#VALUE!</v>
      </c>
      <c r="B33">
        <f t="shared" ref="B33:B64" si="3">IF(ISERROR(A33),ERROR.TYPE(A33),IF(ISNUMBER(A33),0,IF(ISLOGICAL(A33),IF(A33,-1,-2),IF(ISTEXT(A33),-3,-4))))</f>
        <v>3</v>
      </c>
      <c r="C33">
        <f t="shared" ref="C33:C64" si="4">IF(ISNUMBER(A33),A33,0)</f>
        <v>0</v>
      </c>
      <c r="D33" t="str">
        <f t="shared" ref="D33:D64" si="5">IF(ISTEXT(A33),A33,"")</f>
        <v/>
      </c>
      <c r="E33" t="s">
        <v>67</v>
      </c>
    </row>
    <row r="34" spans="1:5" x14ac:dyDescent="0.2">
      <c r="A34" t="str" cm="1">
        <f t="array" ref="A34">_xlfn.ARRAYTOTEXT(_xlfn.TEXTSPLIT("a,b;c,,d",FALSE,";",TRUE,0,"-"),1)</f>
        <v>{"a,b";"c,,d"}</v>
      </c>
      <c r="B34">
        <f t="shared" si="3"/>
        <v>-3</v>
      </c>
      <c r="C34">
        <f t="shared" si="4"/>
        <v>0</v>
      </c>
      <c r="D34" t="str">
        <f t="shared" si="5"/>
        <v>{"a,b";"c,,d"}</v>
      </c>
      <c r="E34" t="s">
        <v>68</v>
      </c>
    </row>
    <row r="35" spans="1:5" x14ac:dyDescent="0.2">
      <c r="A35" t="str" cm="1">
        <f t="array" ref="A35">_xlfn.ARRAYTOTEXT(_xlfn.TEXTSPLIT("a,b;c,,d",",",,TRUE,0,"-"),1)</f>
        <v>{"a","b;c","d"}</v>
      </c>
      <c r="B35">
        <f t="shared" si="3"/>
        <v>-3</v>
      </c>
      <c r="C35">
        <f t="shared" si="4"/>
        <v>0</v>
      </c>
      <c r="D35" t="str">
        <f t="shared" si="5"/>
        <v>{"a","b;c","d"}</v>
      </c>
      <c r="E35" t="s">
        <v>69</v>
      </c>
    </row>
    <row r="36" spans="1:5" x14ac:dyDescent="0.2">
      <c r="A36" t="str" cm="1">
        <f t="array" ref="A36">_xlfn.ARRAYTOTEXT(_xlfn.TEXTSPLIT("a,b;c,,d",",",0,TRUE,0,"-"),1)</f>
        <v>{"a","b;c","d"}</v>
      </c>
      <c r="B36">
        <f t="shared" si="3"/>
        <v>-3</v>
      </c>
      <c r="C36">
        <f t="shared" si="4"/>
        <v>0</v>
      </c>
      <c r="D36" t="str">
        <f t="shared" si="5"/>
        <v>{"a","b;c","d"}</v>
      </c>
      <c r="E36" t="s">
        <v>70</v>
      </c>
    </row>
    <row r="37" spans="1:5" x14ac:dyDescent="0.2">
      <c r="A37" t="e" cm="1">
        <f t="array" ref="A37">_xlfn.ARRAYTOTEXT(_xlfn.TEXTSPLIT("a,b;c,,d",",","",TRUE,0,"-"),1)</f>
        <v>#VALUE!</v>
      </c>
      <c r="B37">
        <f t="shared" si="3"/>
        <v>3</v>
      </c>
      <c r="C37">
        <f t="shared" si="4"/>
        <v>0</v>
      </c>
      <c r="D37" t="str">
        <f t="shared" si="5"/>
        <v/>
      </c>
      <c r="E37" t="s">
        <v>71</v>
      </c>
    </row>
    <row r="38" spans="1:5" x14ac:dyDescent="0.2">
      <c r="A38" t="str" cm="1">
        <f t="array" ref="A38">_xlfn.ARRAYTOTEXT(_xlfn.TEXTSPLIT("a,b;c,,d",",",FALSE,TRUE,0,"-"),1)</f>
        <v>{"a","b;c","d"}</v>
      </c>
      <c r="B38">
        <f t="shared" si="3"/>
        <v>-3</v>
      </c>
      <c r="C38">
        <f t="shared" si="4"/>
        <v>0</v>
      </c>
      <c r="D38" t="str">
        <f t="shared" si="5"/>
        <v>{"a","b;c","d"}</v>
      </c>
      <c r="E38" t="s">
        <v>72</v>
      </c>
    </row>
    <row r="39" spans="1:5" x14ac:dyDescent="0.2">
      <c r="A39" t="str" cm="1">
        <f t="array" ref="A39">_xlfn.ARRAYTOTEXT(_xlfn.TEXTSPLIT("a,b;c,,d",",",";",,0,"-"),1)</f>
        <v>{"a","b","-";"c","","d"}</v>
      </c>
      <c r="B39">
        <f t="shared" si="3"/>
        <v>-3</v>
      </c>
      <c r="C39">
        <f t="shared" si="4"/>
        <v>0</v>
      </c>
      <c r="D39" t="str">
        <f t="shared" si="5"/>
        <v>{"a","b","-";"c","","d"}</v>
      </c>
      <c r="E39" t="s">
        <v>73</v>
      </c>
    </row>
    <row r="40" spans="1:5" x14ac:dyDescent="0.2">
      <c r="A40" t="str" cm="1">
        <f t="array" ref="A40">_xlfn.ARRAYTOTEXT(_xlfn.TEXTSPLIT("a,b;c,,d",",",";",0,0,"-"),1)</f>
        <v>{"a","b","-";"c","","d"}</v>
      </c>
      <c r="B40">
        <f t="shared" si="3"/>
        <v>-3</v>
      </c>
      <c r="C40">
        <f t="shared" si="4"/>
        <v>0</v>
      </c>
      <c r="D40" t="str">
        <f t="shared" si="5"/>
        <v>{"a","b","-";"c","","d"}</v>
      </c>
      <c r="E40" t="s">
        <v>74</v>
      </c>
    </row>
    <row r="41" spans="1:5" x14ac:dyDescent="0.2">
      <c r="A41" t="e" cm="1">
        <f t="array" ref="A41">_xlfn.ARRAYTOTEXT(_xlfn.TEXTSPLIT("a,b;c,,d",",",";","",0,"-"),1)</f>
        <v>#VALUE!</v>
      </c>
      <c r="B41">
        <f t="shared" si="3"/>
        <v>3</v>
      </c>
      <c r="C41">
        <f t="shared" si="4"/>
        <v>0</v>
      </c>
      <c r="D41" t="str">
        <f t="shared" si="5"/>
        <v/>
      </c>
      <c r="E41" t="s">
        <v>75</v>
      </c>
    </row>
    <row r="42" spans="1:5" x14ac:dyDescent="0.2">
      <c r="A42" t="str" cm="1">
        <f t="array" ref="A42">_xlfn.ARRAYTOTEXT(_xlfn.TEXTSPLIT("a,b;c,,d",",",";",FALSE,0,"-"),1)</f>
        <v>{"a","b","-";"c","","d"}</v>
      </c>
      <c r="B42">
        <f t="shared" si="3"/>
        <v>-3</v>
      </c>
      <c r="C42">
        <f t="shared" si="4"/>
        <v>0</v>
      </c>
      <c r="D42" t="str">
        <f t="shared" si="5"/>
        <v>{"a","b","-";"c","","d"}</v>
      </c>
      <c r="E42" t="s">
        <v>76</v>
      </c>
    </row>
    <row r="43" spans="1:5" x14ac:dyDescent="0.2">
      <c r="A43" t="str" cm="1">
        <f t="array" ref="A43">_xlfn.ARRAYTOTEXT(_xlfn.TEXTSPLIT("a,b;c,,d",",",";",TRUE,,"-"),1)</f>
        <v>{"a","b";"c","d"}</v>
      </c>
      <c r="B43">
        <f t="shared" si="3"/>
        <v>-3</v>
      </c>
      <c r="C43">
        <f t="shared" si="4"/>
        <v>0</v>
      </c>
      <c r="D43" t="str">
        <f t="shared" si="5"/>
        <v>{"a","b";"c","d"}</v>
      </c>
      <c r="E43" t="s">
        <v>77</v>
      </c>
    </row>
    <row r="44" spans="1:5" x14ac:dyDescent="0.2">
      <c r="A44" t="str" cm="1">
        <f t="array" ref="A44">_xlfn.ARRAYTOTEXT(_xlfn.TEXTSPLIT("a,b;c,,d",",",";",TRUE,0,"-"),1)</f>
        <v>{"a","b";"c","d"}</v>
      </c>
      <c r="B44">
        <f t="shared" si="3"/>
        <v>-3</v>
      </c>
      <c r="C44">
        <f t="shared" si="4"/>
        <v>0</v>
      </c>
      <c r="D44" t="str">
        <f t="shared" si="5"/>
        <v>{"a","b";"c","d"}</v>
      </c>
      <c r="E44" t="s">
        <v>78</v>
      </c>
    </row>
    <row r="45" spans="1:5" x14ac:dyDescent="0.2">
      <c r="A45" t="e" cm="1">
        <f t="array" ref="A45">_xlfn.ARRAYTOTEXT(_xlfn.TEXTSPLIT("a,b;c,,d",",",";",TRUE,"","-"),1)</f>
        <v>#VALUE!</v>
      </c>
      <c r="B45">
        <f t="shared" si="3"/>
        <v>3</v>
      </c>
      <c r="C45">
        <f t="shared" si="4"/>
        <v>0</v>
      </c>
      <c r="D45" t="str">
        <f t="shared" si="5"/>
        <v/>
      </c>
      <c r="E45" t="s">
        <v>79</v>
      </c>
    </row>
    <row r="46" spans="1:5" x14ac:dyDescent="0.2">
      <c r="A46" t="str" cm="1">
        <f t="array" ref="A46">_xlfn.ARRAYTOTEXT(_xlfn.TEXTSPLIT("a,b;c,,d",",",";",TRUE,FALSE,"-"),1)</f>
        <v>{"a","b";"c","d"}</v>
      </c>
      <c r="B46">
        <f t="shared" si="3"/>
        <v>-3</v>
      </c>
      <c r="C46">
        <f t="shared" si="4"/>
        <v>0</v>
      </c>
      <c r="D46" t="str">
        <f t="shared" si="5"/>
        <v>{"a","b";"c","d"}</v>
      </c>
      <c r="E46" t="s">
        <v>80</v>
      </c>
    </row>
    <row r="47" spans="1:5" x14ac:dyDescent="0.2">
      <c r="A47" t="str" cm="1">
        <f t="array" ref="A47">_xlfn.ARRAYTOTEXT(_xlfn.TEXTSPLIT("a,b;c,,d",",",";",TRUE,0,),1)</f>
        <v>{"a","b";"c","d"}</v>
      </c>
      <c r="B47">
        <f t="shared" si="3"/>
        <v>-3</v>
      </c>
      <c r="C47">
        <f t="shared" si="4"/>
        <v>0</v>
      </c>
      <c r="D47" t="str">
        <f t="shared" si="5"/>
        <v>{"a","b";"c","d"}</v>
      </c>
      <c r="E47" t="s">
        <v>81</v>
      </c>
    </row>
    <row r="48" spans="1:5" x14ac:dyDescent="0.2">
      <c r="A48" t="str" cm="1">
        <f t="array" ref="A48">_xlfn.ARRAYTOTEXT(_xlfn.TEXTSPLIT("a,b;c,,d",",",";",TRUE,0,0),1)</f>
        <v>{"a","b";"c","d"}</v>
      </c>
      <c r="B48">
        <f t="shared" si="3"/>
        <v>-3</v>
      </c>
      <c r="C48">
        <f t="shared" si="4"/>
        <v>0</v>
      </c>
      <c r="D48" t="str">
        <f t="shared" si="5"/>
        <v>{"a","b";"c","d"}</v>
      </c>
      <c r="E48" t="s">
        <v>82</v>
      </c>
    </row>
    <row r="49" spans="1:5" x14ac:dyDescent="0.2">
      <c r="A49" t="str" cm="1">
        <f t="array" ref="A49">_xlfn.ARRAYTOTEXT(_xlfn.TEXTSPLIT("a,b;c,,d",",",";",TRUE,0,""),1)</f>
        <v>{"a","b";"c","d"}</v>
      </c>
      <c r="B49">
        <f t="shared" si="3"/>
        <v>-3</v>
      </c>
      <c r="C49">
        <f t="shared" si="4"/>
        <v>0</v>
      </c>
      <c r="D49" t="str">
        <f t="shared" si="5"/>
        <v>{"a","b";"c","d"}</v>
      </c>
      <c r="E49" t="s">
        <v>83</v>
      </c>
    </row>
    <row r="50" spans="1:5" x14ac:dyDescent="0.2">
      <c r="A50" t="str" cm="1">
        <f t="array" ref="A50">_xlfn.ARRAYTOTEXT(_xlfn.TEXTSPLIT("a,b;c,,d",",",";",TRUE,0,FALSE),1)</f>
        <v>{"a","b";"c","d"}</v>
      </c>
      <c r="B50">
        <f t="shared" si="3"/>
        <v>-3</v>
      </c>
      <c r="C50">
        <f t="shared" si="4"/>
        <v>0</v>
      </c>
      <c r="D50" t="str">
        <f t="shared" si="5"/>
        <v>{"a","b";"c","d"}</v>
      </c>
      <c r="E50" t="s">
        <v>84</v>
      </c>
    </row>
    <row r="51" spans="1:5" x14ac:dyDescent="0.2">
      <c r="A51" t="e" cm="1">
        <f t="array" ref="A51">_xlfn.ARRAYTOTEXT(_xlfn.TOCOL(,0,TRUE),1)</f>
        <v>#VALUE!</v>
      </c>
      <c r="B51">
        <f t="shared" si="3"/>
        <v>3</v>
      </c>
      <c r="C51">
        <f t="shared" si="4"/>
        <v>0</v>
      </c>
      <c r="D51" t="str">
        <f t="shared" si="5"/>
        <v/>
      </c>
      <c r="E51" t="s">
        <v>85</v>
      </c>
    </row>
    <row r="52" spans="1:5" x14ac:dyDescent="0.2">
      <c r="A52" t="str" cm="1">
        <f t="array" ref="A52">_xlfn.ARRAYTOTEXT(_xlfn.TOCOL(0,0,TRUE),1)</f>
        <v>{0}</v>
      </c>
      <c r="B52">
        <f t="shared" si="3"/>
        <v>-3</v>
      </c>
      <c r="C52">
        <f t="shared" si="4"/>
        <v>0</v>
      </c>
      <c r="D52" t="str">
        <f t="shared" si="5"/>
        <v>{0}</v>
      </c>
      <c r="E52" t="s">
        <v>86</v>
      </c>
    </row>
    <row r="53" spans="1:5" x14ac:dyDescent="0.2">
      <c r="A53" t="str" cm="1">
        <f t="array" ref="A53">_xlfn.ARRAYTOTEXT(_xlfn.TOCOL("",0,TRUE),1)</f>
        <v>{""}</v>
      </c>
      <c r="B53">
        <f t="shared" si="3"/>
        <v>-3</v>
      </c>
      <c r="C53">
        <f t="shared" si="4"/>
        <v>0</v>
      </c>
      <c r="D53" t="str">
        <f t="shared" si="5"/>
        <v>{""}</v>
      </c>
      <c r="E53" t="s">
        <v>87</v>
      </c>
    </row>
    <row r="54" spans="1:5" x14ac:dyDescent="0.2">
      <c r="A54" t="str" cm="1">
        <f t="array" ref="A54">_xlfn.ARRAYTOTEXT(_xlfn.TOCOL(FALSE,0,TRUE),1)</f>
        <v>{FALSE}</v>
      </c>
      <c r="B54">
        <f t="shared" si="3"/>
        <v>-3</v>
      </c>
      <c r="C54">
        <f t="shared" si="4"/>
        <v>0</v>
      </c>
      <c r="D54" t="str">
        <f t="shared" si="5"/>
        <v>{FALSE}</v>
      </c>
      <c r="E54" t="s">
        <v>88</v>
      </c>
    </row>
    <row r="55" spans="1:5" x14ac:dyDescent="0.2">
      <c r="A55" t="str" cm="1">
        <f t="array" ref="A55">_xlfn.ARRAYTOTEXT(_xlfn.TOCOL(D!B1:C2,,TRUE),1)</f>
        <v>{4;8;2;7}</v>
      </c>
      <c r="B55">
        <f t="shared" si="3"/>
        <v>-3</v>
      </c>
      <c r="C55">
        <f t="shared" si="4"/>
        <v>0</v>
      </c>
      <c r="D55" t="str">
        <f t="shared" si="5"/>
        <v>{4;8;2;7}</v>
      </c>
      <c r="E55" t="s">
        <v>89</v>
      </c>
    </row>
    <row r="56" spans="1:5" x14ac:dyDescent="0.2">
      <c r="A56" t="str" cm="1">
        <f t="array" ref="A56">_xlfn.ARRAYTOTEXT(_xlfn.TOCOL(D!B1:C2,0,TRUE),1)</f>
        <v>{4;8;2;7}</v>
      </c>
      <c r="B56">
        <f t="shared" si="3"/>
        <v>-3</v>
      </c>
      <c r="C56">
        <f t="shared" si="4"/>
        <v>0</v>
      </c>
      <c r="D56" t="str">
        <f t="shared" si="5"/>
        <v>{4;8;2;7}</v>
      </c>
      <c r="E56" t="s">
        <v>90</v>
      </c>
    </row>
    <row r="57" spans="1:5" x14ac:dyDescent="0.2">
      <c r="A57" t="e" cm="1">
        <f t="array" ref="A57">_xlfn.ARRAYTOTEXT(_xlfn.TOCOL(D!B1:C2,"",TRUE),1)</f>
        <v>#VALUE!</v>
      </c>
      <c r="B57">
        <f t="shared" si="3"/>
        <v>3</v>
      </c>
      <c r="C57">
        <f t="shared" si="4"/>
        <v>0</v>
      </c>
      <c r="D57" t="str">
        <f t="shared" si="5"/>
        <v/>
      </c>
      <c r="E57" t="s">
        <v>91</v>
      </c>
    </row>
    <row r="58" spans="1:5" x14ac:dyDescent="0.2">
      <c r="A58" t="str" cm="1">
        <f t="array" ref="A58">_xlfn.ARRAYTOTEXT(_xlfn.TOCOL(D!B1:C2,FALSE,TRUE),1)</f>
        <v>{4;8;2;7}</v>
      </c>
      <c r="B58">
        <f t="shared" si="3"/>
        <v>-3</v>
      </c>
      <c r="C58">
        <f t="shared" si="4"/>
        <v>0</v>
      </c>
      <c r="D58" t="str">
        <f t="shared" si="5"/>
        <v>{4;8;2;7}</v>
      </c>
      <c r="E58" t="s">
        <v>92</v>
      </c>
    </row>
    <row r="59" spans="1:5" x14ac:dyDescent="0.2">
      <c r="A59" t="str" cm="1">
        <f t="array" ref="A59">_xlfn.ARRAYTOTEXT(_xlfn.TOCOL(D!B1:C2,0,),1)</f>
        <v>{4;2;8;7}</v>
      </c>
      <c r="B59">
        <f t="shared" si="3"/>
        <v>-3</v>
      </c>
      <c r="C59">
        <f t="shared" si="4"/>
        <v>0</v>
      </c>
      <c r="D59" t="str">
        <f t="shared" si="5"/>
        <v>{4;2;8;7}</v>
      </c>
      <c r="E59" t="s">
        <v>93</v>
      </c>
    </row>
    <row r="60" spans="1:5" x14ac:dyDescent="0.2">
      <c r="A60" t="str" cm="1">
        <f t="array" ref="A60">_xlfn.ARRAYTOTEXT(_xlfn.TOCOL(D!B1:C2,0,0),1)</f>
        <v>{4;2;8;7}</v>
      </c>
      <c r="B60">
        <f t="shared" si="3"/>
        <v>-3</v>
      </c>
      <c r="C60">
        <f t="shared" si="4"/>
        <v>0</v>
      </c>
      <c r="D60" t="str">
        <f t="shared" si="5"/>
        <v>{4;2;8;7}</v>
      </c>
      <c r="E60" t="s">
        <v>94</v>
      </c>
    </row>
    <row r="61" spans="1:5" x14ac:dyDescent="0.2">
      <c r="A61" t="e" cm="1">
        <f t="array" ref="A61">_xlfn.ARRAYTOTEXT(_xlfn.TOCOL(D!B1:C2,0,""),1)</f>
        <v>#VALUE!</v>
      </c>
      <c r="B61">
        <f t="shared" si="3"/>
        <v>3</v>
      </c>
      <c r="C61">
        <f t="shared" si="4"/>
        <v>0</v>
      </c>
      <c r="D61" t="str">
        <f t="shared" si="5"/>
        <v/>
      </c>
      <c r="E61" t="s">
        <v>95</v>
      </c>
    </row>
    <row r="62" spans="1:5" x14ac:dyDescent="0.2">
      <c r="A62" t="str" cm="1">
        <f t="array" ref="A62">_xlfn.ARRAYTOTEXT(_xlfn.TOCOL(D!B1:C2,0,FALSE),1)</f>
        <v>{4;2;8;7}</v>
      </c>
      <c r="B62">
        <f t="shared" si="3"/>
        <v>-3</v>
      </c>
      <c r="C62">
        <f t="shared" si="4"/>
        <v>0</v>
      </c>
      <c r="D62" t="str">
        <f t="shared" si="5"/>
        <v>{4;2;8;7}</v>
      </c>
      <c r="E62" t="s">
        <v>96</v>
      </c>
    </row>
    <row r="63" spans="1:5" x14ac:dyDescent="0.2">
      <c r="A63" t="e" cm="1">
        <f t="array" ref="A63">_xlfn.ARRAYTOTEXT(_xlfn.TOROW(,0,TRUE),1)</f>
        <v>#VALUE!</v>
      </c>
      <c r="B63">
        <f t="shared" si="3"/>
        <v>3</v>
      </c>
      <c r="C63">
        <f t="shared" si="4"/>
        <v>0</v>
      </c>
      <c r="D63" t="str">
        <f t="shared" si="5"/>
        <v/>
      </c>
      <c r="E63" t="s">
        <v>97</v>
      </c>
    </row>
    <row r="64" spans="1:5" x14ac:dyDescent="0.2">
      <c r="A64" t="str" cm="1">
        <f t="array" ref="A64">_xlfn.ARRAYTOTEXT(_xlfn.TOROW(0,0,TRUE),1)</f>
        <v>{0}</v>
      </c>
      <c r="B64">
        <f t="shared" si="3"/>
        <v>-3</v>
      </c>
      <c r="C64">
        <f t="shared" si="4"/>
        <v>0</v>
      </c>
      <c r="D64" t="str">
        <f t="shared" si="5"/>
        <v>{0}</v>
      </c>
      <c r="E64" t="s">
        <v>98</v>
      </c>
    </row>
    <row r="65" spans="1:5" x14ac:dyDescent="0.2">
      <c r="A65" t="str" cm="1">
        <f t="array" ref="A65">_xlfn.ARRAYTOTEXT(_xlfn.TOROW("",0,TRUE),1)</f>
        <v>{""}</v>
      </c>
      <c r="B65">
        <f t="shared" ref="B65:B96" si="6">IF(ISERROR(A65),ERROR.TYPE(A65),IF(ISNUMBER(A65),0,IF(ISLOGICAL(A65),IF(A65,-1,-2),IF(ISTEXT(A65),-3,-4))))</f>
        <v>-3</v>
      </c>
      <c r="C65">
        <f t="shared" ref="C65:C96" si="7">IF(ISNUMBER(A65),A65,0)</f>
        <v>0</v>
      </c>
      <c r="D65" t="str">
        <f t="shared" ref="D65:D96" si="8">IF(ISTEXT(A65),A65,"")</f>
        <v>{""}</v>
      </c>
      <c r="E65" t="s">
        <v>99</v>
      </c>
    </row>
    <row r="66" spans="1:5" x14ac:dyDescent="0.2">
      <c r="A66" t="str" cm="1">
        <f t="array" ref="A66">_xlfn.ARRAYTOTEXT(_xlfn.TOROW(FALSE,0,TRUE),1)</f>
        <v>{FALSE}</v>
      </c>
      <c r="B66">
        <f t="shared" si="6"/>
        <v>-3</v>
      </c>
      <c r="C66">
        <f t="shared" si="7"/>
        <v>0</v>
      </c>
      <c r="D66" t="str">
        <f t="shared" si="8"/>
        <v>{FALSE}</v>
      </c>
      <c r="E66" t="s">
        <v>100</v>
      </c>
    </row>
    <row r="67" spans="1:5" x14ac:dyDescent="0.2">
      <c r="A67" t="str" cm="1">
        <f t="array" ref="A67">_xlfn.ARRAYTOTEXT(_xlfn.TOROW(D!B1:C2,,TRUE),1)</f>
        <v>{4,8,2,7}</v>
      </c>
      <c r="B67">
        <f t="shared" si="6"/>
        <v>-3</v>
      </c>
      <c r="C67">
        <f t="shared" si="7"/>
        <v>0</v>
      </c>
      <c r="D67" t="str">
        <f t="shared" si="8"/>
        <v>{4,8,2,7}</v>
      </c>
      <c r="E67" t="s">
        <v>101</v>
      </c>
    </row>
    <row r="68" spans="1:5" x14ac:dyDescent="0.2">
      <c r="A68" t="str" cm="1">
        <f t="array" ref="A68">_xlfn.ARRAYTOTEXT(_xlfn.TOROW(D!B1:C2,0,TRUE),1)</f>
        <v>{4,8,2,7}</v>
      </c>
      <c r="B68">
        <f t="shared" si="6"/>
        <v>-3</v>
      </c>
      <c r="C68">
        <f t="shared" si="7"/>
        <v>0</v>
      </c>
      <c r="D68" t="str">
        <f t="shared" si="8"/>
        <v>{4,8,2,7}</v>
      </c>
      <c r="E68" t="s">
        <v>102</v>
      </c>
    </row>
    <row r="69" spans="1:5" x14ac:dyDescent="0.2">
      <c r="A69" t="e" cm="1">
        <f t="array" ref="A69">_xlfn.ARRAYTOTEXT(_xlfn.TOROW(D!B1:C2,"",TRUE),1)</f>
        <v>#VALUE!</v>
      </c>
      <c r="B69">
        <f t="shared" si="6"/>
        <v>3</v>
      </c>
      <c r="C69">
        <f t="shared" si="7"/>
        <v>0</v>
      </c>
      <c r="D69" t="str">
        <f t="shared" si="8"/>
        <v/>
      </c>
      <c r="E69" t="s">
        <v>103</v>
      </c>
    </row>
    <row r="70" spans="1:5" x14ac:dyDescent="0.2">
      <c r="A70" t="str" cm="1">
        <f t="array" ref="A70">_xlfn.ARRAYTOTEXT(_xlfn.TOROW(D!B1:C2,FALSE,TRUE),1)</f>
        <v>{4,8,2,7}</v>
      </c>
      <c r="B70">
        <f t="shared" si="6"/>
        <v>-3</v>
      </c>
      <c r="C70">
        <f t="shared" si="7"/>
        <v>0</v>
      </c>
      <c r="D70" t="str">
        <f t="shared" si="8"/>
        <v>{4,8,2,7}</v>
      </c>
      <c r="E70" t="s">
        <v>104</v>
      </c>
    </row>
    <row r="71" spans="1:5" x14ac:dyDescent="0.2">
      <c r="A71" t="str" cm="1">
        <f t="array" ref="A71">_xlfn.ARRAYTOTEXT(_xlfn.TOROW(D!B1:C2,0,),1)</f>
        <v>{4,2,8,7}</v>
      </c>
      <c r="B71">
        <f t="shared" si="6"/>
        <v>-3</v>
      </c>
      <c r="C71">
        <f t="shared" si="7"/>
        <v>0</v>
      </c>
      <c r="D71" t="str">
        <f t="shared" si="8"/>
        <v>{4,2,8,7}</v>
      </c>
      <c r="E71" t="s">
        <v>105</v>
      </c>
    </row>
    <row r="72" spans="1:5" x14ac:dyDescent="0.2">
      <c r="A72" t="str" cm="1">
        <f t="array" ref="A72">_xlfn.ARRAYTOTEXT(_xlfn.TOROW(D!B1:C2,0,0),1)</f>
        <v>{4,2,8,7}</v>
      </c>
      <c r="B72">
        <f t="shared" si="6"/>
        <v>-3</v>
      </c>
      <c r="C72">
        <f t="shared" si="7"/>
        <v>0</v>
      </c>
      <c r="D72" t="str">
        <f t="shared" si="8"/>
        <v>{4,2,8,7}</v>
      </c>
      <c r="E72" t="s">
        <v>106</v>
      </c>
    </row>
    <row r="73" spans="1:5" x14ac:dyDescent="0.2">
      <c r="A73" t="e" cm="1">
        <f t="array" ref="A73">_xlfn.ARRAYTOTEXT(_xlfn.TOROW(D!B1:C2,0,""),1)</f>
        <v>#VALUE!</v>
      </c>
      <c r="B73">
        <f t="shared" si="6"/>
        <v>3</v>
      </c>
      <c r="C73">
        <f t="shared" si="7"/>
        <v>0</v>
      </c>
      <c r="D73" t="str">
        <f t="shared" si="8"/>
        <v/>
      </c>
      <c r="E73" t="s">
        <v>107</v>
      </c>
    </row>
    <row r="74" spans="1:5" x14ac:dyDescent="0.2">
      <c r="A74" t="str" cm="1">
        <f t="array" ref="A74">_xlfn.ARRAYTOTEXT(_xlfn.TOROW(D!B1:C2,0,FALSE),1)</f>
        <v>{4,2,8,7}</v>
      </c>
      <c r="B74">
        <f t="shared" si="6"/>
        <v>-3</v>
      </c>
      <c r="C74">
        <f t="shared" si="7"/>
        <v>0</v>
      </c>
      <c r="D74" t="str">
        <f t="shared" si="8"/>
        <v>{4,2,8,7}</v>
      </c>
      <c r="E74" t="s">
        <v>108</v>
      </c>
    </row>
    <row r="75" spans="1:5" x14ac:dyDescent="0.2">
      <c r="A75" t="e" cm="1">
        <f t="array" ref="A75">_xlfn.ARRAYTOTEXT(ROUND(TREND(,D!AZ1:AZ5,D!BA1:BA2,TRUE),6),1)</f>
        <v>#VALUE!</v>
      </c>
      <c r="B75">
        <f t="shared" si="6"/>
        <v>3</v>
      </c>
      <c r="C75">
        <f t="shared" si="7"/>
        <v>0</v>
      </c>
      <c r="D75" t="str">
        <f t="shared" si="8"/>
        <v/>
      </c>
      <c r="E75" t="s">
        <v>109</v>
      </c>
    </row>
    <row r="76" spans="1:5" x14ac:dyDescent="0.2">
      <c r="A76" t="e" cm="1">
        <f t="array" ref="A76">_xlfn.ARRAYTOTEXT(ROUND(TREND(0,D!AZ1:AZ5,D!BA1:BA2,TRUE),6),1)</f>
        <v>#REF!</v>
      </c>
      <c r="B76">
        <f t="shared" si="6"/>
        <v>4</v>
      </c>
      <c r="C76">
        <f t="shared" si="7"/>
        <v>0</v>
      </c>
      <c r="D76" t="str">
        <f t="shared" si="8"/>
        <v/>
      </c>
      <c r="E76" t="s">
        <v>110</v>
      </c>
    </row>
    <row r="77" spans="1:5" x14ac:dyDescent="0.2">
      <c r="A77" t="e" cm="1">
        <f t="array" ref="A77">_xlfn.ARRAYTOTEXT(ROUND(TREND("",D!AZ1:AZ5,D!BA1:BA2,TRUE),6),1)</f>
        <v>#VALUE!</v>
      </c>
      <c r="B77">
        <f t="shared" si="6"/>
        <v>3</v>
      </c>
      <c r="C77">
        <f t="shared" si="7"/>
        <v>0</v>
      </c>
      <c r="D77" t="str">
        <f t="shared" si="8"/>
        <v/>
      </c>
      <c r="E77" t="s">
        <v>111</v>
      </c>
    </row>
    <row r="78" spans="1:5" x14ac:dyDescent="0.2">
      <c r="A78" t="e" cm="1">
        <f t="array" ref="A78">_xlfn.ARRAYTOTEXT(ROUND(TREND(FALSE,D!AZ1:AZ5,D!BA1:BA2,TRUE),6),1)</f>
        <v>#VALUE!</v>
      </c>
      <c r="B78">
        <f t="shared" si="6"/>
        <v>3</v>
      </c>
      <c r="C78">
        <f t="shared" si="7"/>
        <v>0</v>
      </c>
      <c r="D78" t="str">
        <f t="shared" si="8"/>
        <v/>
      </c>
      <c r="E78" t="s">
        <v>112</v>
      </c>
    </row>
    <row r="79" spans="1:5" x14ac:dyDescent="0.2">
      <c r="A79" t="str" cm="1">
        <f t="array" ref="A79">_xlfn.ARRAYTOTEXT(ROUND(TREND(D!AY1:AY5,,D!BA1:BA2,TRUE),6),1)</f>
        <v>{13.5;15.6}</v>
      </c>
      <c r="B79">
        <f t="shared" si="6"/>
        <v>-3</v>
      </c>
      <c r="C79">
        <f t="shared" si="7"/>
        <v>0</v>
      </c>
      <c r="D79" t="str">
        <f t="shared" si="8"/>
        <v>{13.5;15.6}</v>
      </c>
      <c r="E79" t="s">
        <v>113</v>
      </c>
    </row>
    <row r="80" spans="1:5" x14ac:dyDescent="0.2">
      <c r="A80" t="e" cm="1">
        <f t="array" ref="A80">_xlfn.ARRAYTOTEXT(ROUND(TREND(D!AY1:AY5,0,D!BA1:BA2,TRUE),6),1)</f>
        <v>#REF!</v>
      </c>
      <c r="B80">
        <f t="shared" si="6"/>
        <v>4</v>
      </c>
      <c r="C80">
        <f t="shared" si="7"/>
        <v>0</v>
      </c>
      <c r="D80" t="str">
        <f t="shared" si="8"/>
        <v/>
      </c>
      <c r="E80" t="s">
        <v>114</v>
      </c>
    </row>
    <row r="81" spans="1:5" x14ac:dyDescent="0.2">
      <c r="A81" t="e" cm="1">
        <f t="array" ref="A81">_xlfn.ARRAYTOTEXT(ROUND(TREND(D!AY1:AY5,"",D!BA1:BA2,TRUE),6),1)</f>
        <v>#REF!</v>
      </c>
      <c r="B81">
        <f t="shared" si="6"/>
        <v>4</v>
      </c>
      <c r="C81">
        <f t="shared" si="7"/>
        <v>0</v>
      </c>
      <c r="D81" t="str">
        <f t="shared" si="8"/>
        <v/>
      </c>
      <c r="E81" t="s">
        <v>115</v>
      </c>
    </row>
    <row r="82" spans="1:5" x14ac:dyDescent="0.2">
      <c r="A82" t="e" cm="1">
        <f t="array" ref="A82">_xlfn.ARRAYTOTEXT(ROUND(TREND(D!AY1:AY5,FALSE,D!BA1:BA2,TRUE),6),1)</f>
        <v>#REF!</v>
      </c>
      <c r="B82">
        <f t="shared" si="6"/>
        <v>4</v>
      </c>
      <c r="C82">
        <f t="shared" si="7"/>
        <v>0</v>
      </c>
      <c r="D82" t="str">
        <f t="shared" si="8"/>
        <v/>
      </c>
      <c r="E82" t="s">
        <v>116</v>
      </c>
    </row>
    <row r="83" spans="1:5" x14ac:dyDescent="0.2">
      <c r="A83" t="str" cm="1">
        <f t="array" ref="A83">_xlfn.ARRAYTOTEXT(ROUND(TREND(D!AY1:AY5,D!AZ1:AZ5,,TRUE),6),1)</f>
        <v>{3;5.1;7.2;9.3;11.4}</v>
      </c>
      <c r="B83">
        <f t="shared" si="6"/>
        <v>-3</v>
      </c>
      <c r="C83">
        <f t="shared" si="7"/>
        <v>0</v>
      </c>
      <c r="D83" t="str">
        <f t="shared" si="8"/>
        <v>{3;5.1;7.2;9.3;11.4}</v>
      </c>
      <c r="E83" t="s">
        <v>117</v>
      </c>
    </row>
    <row r="84" spans="1:5" x14ac:dyDescent="0.2">
      <c r="A84" t="str" cm="1">
        <f t="array" ref="A84">_xlfn.ARRAYTOTEXT(ROUND(TREND(D!AY1:AY5,D!AZ1:AZ5,0,TRUE),6),1)</f>
        <v>{0.9}</v>
      </c>
      <c r="B84">
        <f t="shared" si="6"/>
        <v>-3</v>
      </c>
      <c r="C84">
        <f t="shared" si="7"/>
        <v>0</v>
      </c>
      <c r="D84" t="str">
        <f t="shared" si="8"/>
        <v>{0.9}</v>
      </c>
      <c r="E84" t="s">
        <v>118</v>
      </c>
    </row>
    <row r="85" spans="1:5" x14ac:dyDescent="0.2">
      <c r="A85" t="e" cm="1">
        <f t="array" ref="A85">_xlfn.ARRAYTOTEXT(ROUND(TREND(D!AY1:AY5,D!AZ1:AZ5,"",TRUE),6),1)</f>
        <v>#VALUE!</v>
      </c>
      <c r="B85">
        <f t="shared" si="6"/>
        <v>3</v>
      </c>
      <c r="C85">
        <f t="shared" si="7"/>
        <v>0</v>
      </c>
      <c r="D85" t="str">
        <f t="shared" si="8"/>
        <v/>
      </c>
      <c r="E85" t="s">
        <v>119</v>
      </c>
    </row>
    <row r="86" spans="1:5" x14ac:dyDescent="0.2">
      <c r="A86" t="e" cm="1">
        <f t="array" ref="A86">_xlfn.ARRAYTOTEXT(ROUND(TREND(D!AY1:AY5,D!AZ1:AZ5,FALSE,TRUE),6),1)</f>
        <v>#VALUE!</v>
      </c>
      <c r="B86">
        <f t="shared" si="6"/>
        <v>3</v>
      </c>
      <c r="C86">
        <f t="shared" si="7"/>
        <v>0</v>
      </c>
      <c r="D86" t="str">
        <f t="shared" si="8"/>
        <v/>
      </c>
      <c r="E86" t="s">
        <v>120</v>
      </c>
    </row>
    <row r="87" spans="1:5" x14ac:dyDescent="0.2">
      <c r="A87" t="str" cm="1">
        <f t="array" ref="A87">_xlfn.ARRAYTOTEXT(ROUND(TREND(D!AY1:AY5,D!AZ1:AZ5,D!BA1:BA2,),6),1)</f>
        <v>{13.5;15.6}</v>
      </c>
      <c r="B87">
        <f t="shared" si="6"/>
        <v>-3</v>
      </c>
      <c r="C87">
        <f t="shared" si="7"/>
        <v>0</v>
      </c>
      <c r="D87" t="str">
        <f t="shared" si="8"/>
        <v>{13.5;15.6}</v>
      </c>
      <c r="E87" t="s">
        <v>121</v>
      </c>
    </row>
    <row r="88" spans="1:5" x14ac:dyDescent="0.2">
      <c r="A88" t="str" cm="1">
        <f t="array" ref="A88">_xlfn.ARRAYTOTEXT(ROUND(TREND(D!AY1:AY5,D!AZ1:AZ5,D!BA1:BA2,0),6),1)</f>
        <v>{14.072727;16.418182}</v>
      </c>
      <c r="B88">
        <f t="shared" si="6"/>
        <v>-3</v>
      </c>
      <c r="C88">
        <f t="shared" si="7"/>
        <v>0</v>
      </c>
      <c r="D88" t="str">
        <f t="shared" si="8"/>
        <v>{14.072727;16.418182}</v>
      </c>
      <c r="E88" t="s">
        <v>122</v>
      </c>
    </row>
    <row r="89" spans="1:5" x14ac:dyDescent="0.2">
      <c r="A89" t="e" cm="1">
        <f t="array" ref="A89">_xlfn.ARRAYTOTEXT(ROUND(TREND(D!AY1:AY5,D!AZ1:AZ5,D!BA1:BA2,""),6),1)</f>
        <v>#VALUE!</v>
      </c>
      <c r="B89">
        <f t="shared" si="6"/>
        <v>3</v>
      </c>
      <c r="C89">
        <f t="shared" si="7"/>
        <v>0</v>
      </c>
      <c r="D89" t="str">
        <f t="shared" si="8"/>
        <v/>
      </c>
      <c r="E89" t="s">
        <v>123</v>
      </c>
    </row>
    <row r="90" spans="1:5" x14ac:dyDescent="0.2">
      <c r="A90" t="str" cm="1">
        <f t="array" ref="A90">_xlfn.ARRAYTOTEXT(ROUND(TREND(D!AY1:AY5,D!AZ1:AZ5,D!BA1:BA2,FALSE),6),1)</f>
        <v>{14.072727;16.418182}</v>
      </c>
      <c r="B90">
        <f t="shared" si="6"/>
        <v>-3</v>
      </c>
      <c r="C90">
        <f t="shared" si="7"/>
        <v>0</v>
      </c>
      <c r="D90" t="str">
        <f t="shared" si="8"/>
        <v>{14.072727;16.418182}</v>
      </c>
      <c r="E90" t="s">
        <v>124</v>
      </c>
    </row>
    <row r="91" spans="1:5" x14ac:dyDescent="0.2">
      <c r="A91" t="str" cm="1">
        <f t="array" ref="A91">_xlfn.ARRAYTOTEXT(_xlfn.UNIQUE(,FALSE,TRUE),1)</f>
        <v>{}</v>
      </c>
      <c r="B91">
        <f t="shared" si="6"/>
        <v>-3</v>
      </c>
      <c r="C91">
        <f t="shared" si="7"/>
        <v>0</v>
      </c>
      <c r="D91" t="str">
        <f t="shared" si="8"/>
        <v>{}</v>
      </c>
      <c r="E91" t="s">
        <v>125</v>
      </c>
    </row>
    <row r="92" spans="1:5" x14ac:dyDescent="0.2">
      <c r="A92" t="str" cm="1">
        <f t="array" ref="A92">_xlfn.ARRAYTOTEXT(_xlfn.UNIQUE(0,FALSE,TRUE),1)</f>
        <v>{0}</v>
      </c>
      <c r="B92">
        <f t="shared" si="6"/>
        <v>-3</v>
      </c>
      <c r="C92">
        <f t="shared" si="7"/>
        <v>0</v>
      </c>
      <c r="D92" t="str">
        <f t="shared" si="8"/>
        <v>{0}</v>
      </c>
      <c r="E92" t="s">
        <v>126</v>
      </c>
    </row>
    <row r="93" spans="1:5" x14ac:dyDescent="0.2">
      <c r="A93" t="str" cm="1">
        <f t="array" ref="A93">_xlfn.ARRAYTOTEXT(_xlfn.UNIQUE("",FALSE,TRUE),1)</f>
        <v>{""}</v>
      </c>
      <c r="B93">
        <f t="shared" si="6"/>
        <v>-3</v>
      </c>
      <c r="C93">
        <f t="shared" si="7"/>
        <v>0</v>
      </c>
      <c r="D93" t="str">
        <f t="shared" si="8"/>
        <v>{""}</v>
      </c>
      <c r="E93" t="s">
        <v>127</v>
      </c>
    </row>
    <row r="94" spans="1:5" x14ac:dyDescent="0.2">
      <c r="A94" t="str" cm="1">
        <f t="array" ref="A94">_xlfn.ARRAYTOTEXT(_xlfn.UNIQUE(FALSE,FALSE,TRUE),1)</f>
        <v>{FALSE}</v>
      </c>
      <c r="B94">
        <f t="shared" si="6"/>
        <v>-3</v>
      </c>
      <c r="C94">
        <f t="shared" si="7"/>
        <v>0</v>
      </c>
      <c r="D94" t="str">
        <f t="shared" si="8"/>
        <v>{FALSE}</v>
      </c>
      <c r="E94" t="s">
        <v>128</v>
      </c>
    </row>
    <row r="95" spans="1:5" x14ac:dyDescent="0.2">
      <c r="A95" t="str" cm="1">
        <f t="array" ref="A95">_xlfn.ARRAYTOTEXT(_xlfn.UNIQUE(D!AS1:AS8,,TRUE),1)</f>
        <v>{3;"b"}</v>
      </c>
      <c r="B95">
        <f t="shared" si="6"/>
        <v>-3</v>
      </c>
      <c r="C95">
        <f t="shared" si="7"/>
        <v>0</v>
      </c>
      <c r="D95" t="str">
        <f t="shared" si="8"/>
        <v>{3;"b"}</v>
      </c>
      <c r="E95" t="s">
        <v>129</v>
      </c>
    </row>
    <row r="96" spans="1:5" x14ac:dyDescent="0.2">
      <c r="A96" t="str" cm="1">
        <f t="array" ref="A96">_xlfn.ARRAYTOTEXT(_xlfn.UNIQUE(D!AS1:AS8,0,TRUE),1)</f>
        <v>{3;"b"}</v>
      </c>
      <c r="B96">
        <f t="shared" si="6"/>
        <v>-3</v>
      </c>
      <c r="C96">
        <f t="shared" si="7"/>
        <v>0</v>
      </c>
      <c r="D96" t="str">
        <f t="shared" si="8"/>
        <v>{3;"b"}</v>
      </c>
      <c r="E96" t="s">
        <v>130</v>
      </c>
    </row>
    <row r="97" spans="1:5" x14ac:dyDescent="0.2">
      <c r="A97" t="e" cm="1">
        <f t="array" ref="A97">_xlfn.ARRAYTOTEXT(_xlfn.UNIQUE(D!AS1:AS8,"",TRUE),1)</f>
        <v>#VALUE!</v>
      </c>
      <c r="B97">
        <f t="shared" ref="B97:B128" si="9">IF(ISERROR(A97),ERROR.TYPE(A97),IF(ISNUMBER(A97),0,IF(ISLOGICAL(A97),IF(A97,-1,-2),IF(ISTEXT(A97),-3,-4))))</f>
        <v>3</v>
      </c>
      <c r="C97">
        <f t="shared" ref="C97:C128" si="10">IF(ISNUMBER(A97),A97,0)</f>
        <v>0</v>
      </c>
      <c r="D97" t="str">
        <f t="shared" ref="D97:D128" si="11">IF(ISTEXT(A97),A97,"")</f>
        <v/>
      </c>
      <c r="E97" t="s">
        <v>131</v>
      </c>
    </row>
    <row r="98" spans="1:5" x14ac:dyDescent="0.2">
      <c r="A98" t="str" cm="1">
        <f t="array" ref="A98">_xlfn.ARRAYTOTEXT(_xlfn.UNIQUE(D!AS1:AS8,FALSE,TRUE),1)</f>
        <v>{3;"b"}</v>
      </c>
      <c r="B98">
        <f t="shared" si="9"/>
        <v>-3</v>
      </c>
      <c r="C98">
        <f t="shared" si="10"/>
        <v>0</v>
      </c>
      <c r="D98" t="str">
        <f t="shared" si="11"/>
        <v>{3;"b"}</v>
      </c>
      <c r="E98" t="s">
        <v>132</v>
      </c>
    </row>
    <row r="99" spans="1:5" x14ac:dyDescent="0.2">
      <c r="A99" t="str" cm="1">
        <f t="array" ref="A99">_xlfn.ARRAYTOTEXT(_xlfn.UNIQUE(D!AS1:AS8,FALSE,),1)</f>
        <v>{1;2;"a";3;"b"}</v>
      </c>
      <c r="B99">
        <f t="shared" si="9"/>
        <v>-3</v>
      </c>
      <c r="C99">
        <f t="shared" si="10"/>
        <v>0</v>
      </c>
      <c r="D99" t="str">
        <f t="shared" si="11"/>
        <v>{1;2;"a";3;"b"}</v>
      </c>
      <c r="E99" t="s">
        <v>133</v>
      </c>
    </row>
    <row r="100" spans="1:5" x14ac:dyDescent="0.2">
      <c r="A100" t="str" cm="1">
        <f t="array" ref="A100">_xlfn.ARRAYTOTEXT(_xlfn.UNIQUE(D!AS1:AS8,FALSE,0),1)</f>
        <v>{1;2;"a";3;"b"}</v>
      </c>
      <c r="B100">
        <f t="shared" si="9"/>
        <v>-3</v>
      </c>
      <c r="C100">
        <f t="shared" si="10"/>
        <v>0</v>
      </c>
      <c r="D100" t="str">
        <f t="shared" si="11"/>
        <v>{1;2;"a";3;"b"}</v>
      </c>
      <c r="E100" t="s">
        <v>134</v>
      </c>
    </row>
    <row r="101" spans="1:5" x14ac:dyDescent="0.2">
      <c r="A101" t="e" cm="1">
        <f t="array" ref="A101">_xlfn.ARRAYTOTEXT(_xlfn.UNIQUE(D!AS1:AS8,FALSE,""),1)</f>
        <v>#VALUE!</v>
      </c>
      <c r="B101">
        <f t="shared" si="9"/>
        <v>3</v>
      </c>
      <c r="C101">
        <f t="shared" si="10"/>
        <v>0</v>
      </c>
      <c r="D101" t="str">
        <f t="shared" si="11"/>
        <v/>
      </c>
      <c r="E101" t="s">
        <v>135</v>
      </c>
    </row>
    <row r="102" spans="1:5" x14ac:dyDescent="0.2">
      <c r="A102" t="str" cm="1">
        <f t="array" ref="A102">_xlfn.ARRAYTOTEXT(_xlfn.UNIQUE(D!AS1:AS8,FALSE,FALSE),1)</f>
        <v>{1;2;"a";3;"b"}</v>
      </c>
      <c r="B102">
        <f t="shared" si="9"/>
        <v>-3</v>
      </c>
      <c r="C102">
        <f t="shared" si="10"/>
        <v>0</v>
      </c>
      <c r="D102" t="str">
        <f t="shared" si="11"/>
        <v>{1;2;"a";3;"b"}</v>
      </c>
      <c r="E102" t="s">
        <v>136</v>
      </c>
    </row>
    <row r="103" spans="1:5" x14ac:dyDescent="0.2">
      <c r="A103" t="e" cm="1">
        <f t="array" ref="A103">_xlfn.ARRAYTOTEXT(_xlfn.VSTACK(,D!B1:B2,"a"),1)</f>
        <v>#VALUE!</v>
      </c>
      <c r="B103">
        <f t="shared" si="9"/>
        <v>3</v>
      </c>
      <c r="C103">
        <f t="shared" si="10"/>
        <v>0</v>
      </c>
      <c r="D103" t="str">
        <f t="shared" si="11"/>
        <v/>
      </c>
      <c r="E103" t="s">
        <v>137</v>
      </c>
    </row>
    <row r="104" spans="1:5" x14ac:dyDescent="0.2">
      <c r="A104" t="str" cm="1">
        <f t="array" ref="A104">_xlfn.ARRAYTOTEXT(_xlfn.VSTACK(0,D!B1:B2,"a"),1)</f>
        <v>{0;4;8;"a"}</v>
      </c>
      <c r="B104">
        <f t="shared" si="9"/>
        <v>-3</v>
      </c>
      <c r="C104">
        <f t="shared" si="10"/>
        <v>0</v>
      </c>
      <c r="D104" t="str">
        <f t="shared" si="11"/>
        <v>{0;4;8;"a"}</v>
      </c>
      <c r="E104" t="s">
        <v>138</v>
      </c>
    </row>
    <row r="105" spans="1:5" x14ac:dyDescent="0.2">
      <c r="A105" t="str" cm="1">
        <f t="array" ref="A105">_xlfn.ARRAYTOTEXT(_xlfn.VSTACK("",D!B1:B2,"a"),1)</f>
        <v>{"";4;8;"a"}</v>
      </c>
      <c r="B105">
        <f t="shared" si="9"/>
        <v>-3</v>
      </c>
      <c r="C105">
        <f t="shared" si="10"/>
        <v>0</v>
      </c>
      <c r="D105" t="str">
        <f t="shared" si="11"/>
        <v>{"";4;8;"a"}</v>
      </c>
      <c r="E105" t="s">
        <v>139</v>
      </c>
    </row>
    <row r="106" spans="1:5" x14ac:dyDescent="0.2">
      <c r="A106" t="str" cm="1">
        <f t="array" ref="A106">_xlfn.ARRAYTOTEXT(_xlfn.VSTACK(FALSE,D!B1:B2,"a"),1)</f>
        <v>{FALSE;4;8;"a"}</v>
      </c>
      <c r="B106">
        <f t="shared" si="9"/>
        <v>-3</v>
      </c>
      <c r="C106">
        <f t="shared" si="10"/>
        <v>0</v>
      </c>
      <c r="D106" t="str">
        <f t="shared" si="11"/>
        <v>{FALSE;4;8;"a"}</v>
      </c>
      <c r="E106" t="s">
        <v>140</v>
      </c>
    </row>
    <row r="107" spans="1:5" x14ac:dyDescent="0.2">
      <c r="A107" t="e" cm="1">
        <f t="array" ref="A107">_xlfn.ARRAYTOTEXT(_xlfn.VSTACK(1,,"a"),1)</f>
        <v>#VALUE!</v>
      </c>
      <c r="B107">
        <f t="shared" si="9"/>
        <v>3</v>
      </c>
      <c r="C107">
        <f t="shared" si="10"/>
        <v>0</v>
      </c>
      <c r="D107" t="str">
        <f t="shared" si="11"/>
        <v/>
      </c>
      <c r="E107" t="s">
        <v>141</v>
      </c>
    </row>
    <row r="108" spans="1:5" x14ac:dyDescent="0.2">
      <c r="A108" t="str" cm="1">
        <f t="array" ref="A108">_xlfn.ARRAYTOTEXT(_xlfn.VSTACK(1,0,"a"),1)</f>
        <v>{1;0;"a"}</v>
      </c>
      <c r="B108">
        <f t="shared" si="9"/>
        <v>-3</v>
      </c>
      <c r="C108">
        <f t="shared" si="10"/>
        <v>0</v>
      </c>
      <c r="D108" t="str">
        <f t="shared" si="11"/>
        <v>{1;0;"a"}</v>
      </c>
      <c r="E108" t="s">
        <v>142</v>
      </c>
    </row>
    <row r="109" spans="1:5" x14ac:dyDescent="0.2">
      <c r="A109" t="str" cm="1">
        <f t="array" ref="A109">_xlfn.ARRAYTOTEXT(_xlfn.VSTACK(1,"","a"),1)</f>
        <v>{1;"";"a"}</v>
      </c>
      <c r="B109">
        <f t="shared" si="9"/>
        <v>-3</v>
      </c>
      <c r="C109">
        <f t="shared" si="10"/>
        <v>0</v>
      </c>
      <c r="D109" t="str">
        <f t="shared" si="11"/>
        <v>{1;"";"a"}</v>
      </c>
      <c r="E109" t="s">
        <v>143</v>
      </c>
    </row>
    <row r="110" spans="1:5" x14ac:dyDescent="0.2">
      <c r="A110" t="str" cm="1">
        <f t="array" ref="A110">_xlfn.ARRAYTOTEXT(_xlfn.VSTACK(1,FALSE,"a"),1)</f>
        <v>{1;FALSE;"a"}</v>
      </c>
      <c r="B110">
        <f t="shared" si="9"/>
        <v>-3</v>
      </c>
      <c r="C110">
        <f t="shared" si="10"/>
        <v>0</v>
      </c>
      <c r="D110" t="str">
        <f t="shared" si="11"/>
        <v>{1;FALSE;"a"}</v>
      </c>
      <c r="E110" t="s">
        <v>144</v>
      </c>
    </row>
    <row r="111" spans="1:5" x14ac:dyDescent="0.2">
      <c r="A111" t="e" cm="1">
        <f t="array" ref="A111">_xlfn.ARRAYTOTEXT(_xlfn.VSTACK(1,D!B1:B2,),1)</f>
        <v>#VALUE!</v>
      </c>
      <c r="B111">
        <f t="shared" si="9"/>
        <v>3</v>
      </c>
      <c r="C111">
        <f t="shared" si="10"/>
        <v>0</v>
      </c>
      <c r="D111" t="str">
        <f t="shared" si="11"/>
        <v/>
      </c>
      <c r="E111" t="s">
        <v>145</v>
      </c>
    </row>
    <row r="112" spans="1:5" x14ac:dyDescent="0.2">
      <c r="A112" t="str" cm="1">
        <f t="array" ref="A112">_xlfn.ARRAYTOTEXT(_xlfn.VSTACK(1,D!B1:B2,0),1)</f>
        <v>{1;4;8;0}</v>
      </c>
      <c r="B112">
        <f t="shared" si="9"/>
        <v>-3</v>
      </c>
      <c r="C112">
        <f t="shared" si="10"/>
        <v>0</v>
      </c>
      <c r="D112" t="str">
        <f t="shared" si="11"/>
        <v>{1;4;8;0}</v>
      </c>
      <c r="E112" t="s">
        <v>146</v>
      </c>
    </row>
    <row r="113" spans="1:5" x14ac:dyDescent="0.2">
      <c r="A113" t="str" cm="1">
        <f t="array" ref="A113">_xlfn.ARRAYTOTEXT(_xlfn.VSTACK(1,D!B1:B2,""),1)</f>
        <v>{1;4;8;""}</v>
      </c>
      <c r="B113">
        <f t="shared" si="9"/>
        <v>-3</v>
      </c>
      <c r="C113">
        <f t="shared" si="10"/>
        <v>0</v>
      </c>
      <c r="D113" t="str">
        <f t="shared" si="11"/>
        <v>{1;4;8;""}</v>
      </c>
      <c r="E113" t="s">
        <v>147</v>
      </c>
    </row>
    <row r="114" spans="1:5" x14ac:dyDescent="0.2">
      <c r="A114" t="str" cm="1">
        <f t="array" ref="A114">_xlfn.ARRAYTOTEXT(_xlfn.VSTACK(1,D!B1:B2,FALSE),1)</f>
        <v>{1;4;8;FALSE}</v>
      </c>
      <c r="B114">
        <f t="shared" si="9"/>
        <v>-3</v>
      </c>
      <c r="C114">
        <f t="shared" si="10"/>
        <v>0</v>
      </c>
      <c r="D114" t="str">
        <f t="shared" si="11"/>
        <v>{1;4;8;FALSE}</v>
      </c>
      <c r="E114" t="s">
        <v>148</v>
      </c>
    </row>
    <row r="115" spans="1:5" x14ac:dyDescent="0.2">
      <c r="A115" t="str" cm="1">
        <f t="array" ref="A115">_xlfn.ARRAYTOTEXT(_xlfn.VSTACK(1,D!B1:B2,"a"),1)</f>
        <v>{1;4;8;"a"}</v>
      </c>
      <c r="B115">
        <f t="shared" si="9"/>
        <v>-3</v>
      </c>
      <c r="C115">
        <f t="shared" si="10"/>
        <v>0</v>
      </c>
      <c r="D115" t="str">
        <f t="shared" si="11"/>
        <v>{1;4;8;"a"}</v>
      </c>
      <c r="E115" t="s">
        <v>149</v>
      </c>
    </row>
    <row r="116" spans="1:5" x14ac:dyDescent="0.2">
      <c r="A116" t="e" cm="1">
        <f t="array" ref="A116">_xlfn.ARRAYTOTEXT(_xlfn.VSTACK(1,D!B1:B2,"a",),1)</f>
        <v>#VALUE!</v>
      </c>
      <c r="B116">
        <f t="shared" si="9"/>
        <v>3</v>
      </c>
      <c r="C116">
        <f t="shared" si="10"/>
        <v>0</v>
      </c>
      <c r="D116" t="str">
        <f t="shared" si="11"/>
        <v/>
      </c>
      <c r="E116" t="s">
        <v>150</v>
      </c>
    </row>
    <row r="117" spans="1:5" x14ac:dyDescent="0.2">
      <c r="A117" t="str" cm="1">
        <f t="array" ref="A117">_xlfn.ARRAYTOTEXT(_xlfn.VSTACK(1,D!B1:B2,"a",0),1)</f>
        <v>{1;4;8;"a";0}</v>
      </c>
      <c r="B117">
        <f t="shared" si="9"/>
        <v>-3</v>
      </c>
      <c r="C117">
        <f t="shared" si="10"/>
        <v>0</v>
      </c>
      <c r="D117" t="str">
        <f t="shared" si="11"/>
        <v>{1;4;8;"a";0}</v>
      </c>
      <c r="E117" t="s">
        <v>151</v>
      </c>
    </row>
    <row r="118" spans="1:5" x14ac:dyDescent="0.2">
      <c r="A118" t="str" cm="1">
        <f t="array" ref="A118">_xlfn.ARRAYTOTEXT(_xlfn.VSTACK(1,D!B1:B2,"a",""),1)</f>
        <v>{1;4;8;"a";""}</v>
      </c>
      <c r="B118">
        <f t="shared" si="9"/>
        <v>-3</v>
      </c>
      <c r="C118">
        <f t="shared" si="10"/>
        <v>0</v>
      </c>
      <c r="D118" t="str">
        <f t="shared" si="11"/>
        <v>{1;4;8;"a";""}</v>
      </c>
      <c r="E118" t="s">
        <v>152</v>
      </c>
    </row>
    <row r="119" spans="1:5" x14ac:dyDescent="0.2">
      <c r="A119" t="str" cm="1">
        <f t="array" ref="A119">_xlfn.ARRAYTOTEXT(_xlfn.VSTACK(1,D!B1:B2,"a",FALSE),1)</f>
        <v>{1;4;8;"a";FALSE}</v>
      </c>
      <c r="B119">
        <f t="shared" si="9"/>
        <v>-3</v>
      </c>
      <c r="C119">
        <f t="shared" si="10"/>
        <v>0</v>
      </c>
      <c r="D119" t="str">
        <f t="shared" si="11"/>
        <v>{1;4;8;"a";FALSE}</v>
      </c>
      <c r="E119" t="s">
        <v>153</v>
      </c>
    </row>
    <row r="120" spans="1:5" x14ac:dyDescent="0.2">
      <c r="A120" t="e" cm="1">
        <f t="array" ref="A120">_xlfn.ARRAYTOTEXT(_xlfn.WRAPCOLS(,2,0),1)</f>
        <v>#VALUE!</v>
      </c>
      <c r="B120">
        <f t="shared" si="9"/>
        <v>3</v>
      </c>
      <c r="C120">
        <f t="shared" si="10"/>
        <v>0</v>
      </c>
      <c r="D120" t="str">
        <f t="shared" si="11"/>
        <v/>
      </c>
      <c r="E120" t="s">
        <v>154</v>
      </c>
    </row>
    <row r="121" spans="1:5" x14ac:dyDescent="0.2">
      <c r="A121" t="str" cm="1">
        <f t="array" ref="A121">_xlfn.ARRAYTOTEXT(_xlfn.WRAPCOLS(0,2,0),1)</f>
        <v>{0}</v>
      </c>
      <c r="B121">
        <f t="shared" si="9"/>
        <v>-3</v>
      </c>
      <c r="C121">
        <f t="shared" si="10"/>
        <v>0</v>
      </c>
      <c r="D121" t="str">
        <f t="shared" si="11"/>
        <v>{0}</v>
      </c>
      <c r="E121" t="s">
        <v>155</v>
      </c>
    </row>
    <row r="122" spans="1:5" x14ac:dyDescent="0.2">
      <c r="A122" t="str" cm="1">
        <f t="array" ref="A122">_xlfn.ARRAYTOTEXT(_xlfn.WRAPCOLS("",2,0),1)</f>
        <v>{""}</v>
      </c>
      <c r="B122">
        <f t="shared" si="9"/>
        <v>-3</v>
      </c>
      <c r="C122">
        <f t="shared" si="10"/>
        <v>0</v>
      </c>
      <c r="D122" t="str">
        <f t="shared" si="11"/>
        <v>{""}</v>
      </c>
      <c r="E122" t="s">
        <v>156</v>
      </c>
    </row>
    <row r="123" spans="1:5" x14ac:dyDescent="0.2">
      <c r="A123" t="str" cm="1">
        <f t="array" ref="A123">_xlfn.ARRAYTOTEXT(_xlfn.WRAPCOLS(FALSE,2,0),1)</f>
        <v>{FALSE}</v>
      </c>
      <c r="B123">
        <f t="shared" si="9"/>
        <v>-3</v>
      </c>
      <c r="C123">
        <f t="shared" si="10"/>
        <v>0</v>
      </c>
      <c r="D123" t="str">
        <f t="shared" si="11"/>
        <v>{FALSE}</v>
      </c>
      <c r="E123" t="s">
        <v>157</v>
      </c>
    </row>
    <row r="124" spans="1:5" x14ac:dyDescent="0.2">
      <c r="A124" t="e" cm="1">
        <f t="array" ref="A124">_xlfn.ARRAYTOTEXT(_xlfn.WRAPCOLS({1,2,3},,0),1)</f>
        <v>#NUM!</v>
      </c>
      <c r="B124">
        <f t="shared" si="9"/>
        <v>6</v>
      </c>
      <c r="C124">
        <f t="shared" si="10"/>
        <v>0</v>
      </c>
      <c r="D124" t="str">
        <f t="shared" si="11"/>
        <v/>
      </c>
      <c r="E124" t="s">
        <v>158</v>
      </c>
    </row>
    <row r="125" spans="1:5" x14ac:dyDescent="0.2">
      <c r="A125" t="e" cm="1">
        <f t="array" ref="A125">_xlfn.ARRAYTOTEXT(_xlfn.WRAPCOLS({1,2,3},0,0),1)</f>
        <v>#NUM!</v>
      </c>
      <c r="B125">
        <f t="shared" si="9"/>
        <v>6</v>
      </c>
      <c r="C125">
        <f t="shared" si="10"/>
        <v>0</v>
      </c>
      <c r="D125" t="str">
        <f t="shared" si="11"/>
        <v/>
      </c>
      <c r="E125" t="s">
        <v>159</v>
      </c>
    </row>
    <row r="126" spans="1:5" x14ac:dyDescent="0.2">
      <c r="A126" t="str" cm="1">
        <f t="array" ref="A126">_xlfn.ARRAYTOTEXT(_xlfn.WRAPCOLS({1,2,3},2,),1)</f>
        <v>{1,3;2,#N/A}</v>
      </c>
      <c r="B126">
        <f t="shared" si="9"/>
        <v>-3</v>
      </c>
      <c r="C126">
        <f t="shared" si="10"/>
        <v>0</v>
      </c>
      <c r="D126" t="str">
        <f t="shared" si="11"/>
        <v>{1,3;2,#N/A}</v>
      </c>
      <c r="E126" t="s">
        <v>160</v>
      </c>
    </row>
    <row r="127" spans="1:5" x14ac:dyDescent="0.2">
      <c r="A127" t="str" cm="1">
        <f t="array" ref="A127">_xlfn.ARRAYTOTEXT(_xlfn.WRAPCOLS({1,2,3},2,0),1)</f>
        <v>{1,3;2,0}</v>
      </c>
      <c r="B127">
        <f t="shared" si="9"/>
        <v>-3</v>
      </c>
      <c r="C127">
        <f t="shared" si="10"/>
        <v>0</v>
      </c>
      <c r="D127" t="str">
        <f t="shared" si="11"/>
        <v>{1,3;2,0}</v>
      </c>
      <c r="E127" t="s">
        <v>161</v>
      </c>
    </row>
    <row r="128" spans="1:5" x14ac:dyDescent="0.2">
      <c r="A128" t="str" cm="1">
        <f t="array" ref="A128">_xlfn.ARRAYTOTEXT(_xlfn.WRAPCOLS({1,2,3},2,""),1)</f>
        <v>{1,3;2,""}</v>
      </c>
      <c r="B128">
        <f t="shared" si="9"/>
        <v>-3</v>
      </c>
      <c r="C128">
        <f t="shared" si="10"/>
        <v>0</v>
      </c>
      <c r="D128" t="str">
        <f t="shared" si="11"/>
        <v>{1,3;2,""}</v>
      </c>
      <c r="E128" t="s">
        <v>162</v>
      </c>
    </row>
    <row r="129" spans="1:5" x14ac:dyDescent="0.2">
      <c r="A129" t="str" cm="1">
        <f t="array" ref="A129">_xlfn.ARRAYTOTEXT(_xlfn.WRAPCOLS({1,2,3},2,FALSE),1)</f>
        <v>{1,3;2,FALSE}</v>
      </c>
      <c r="B129">
        <f t="shared" ref="B129:B160" si="12">IF(ISERROR(A129),ERROR.TYPE(A129),IF(ISNUMBER(A129),0,IF(ISLOGICAL(A129),IF(A129,-1,-2),IF(ISTEXT(A129),-3,-4))))</f>
        <v>-3</v>
      </c>
      <c r="C129">
        <f t="shared" ref="C129:C139" si="13">IF(ISNUMBER(A129),A129,0)</f>
        <v>0</v>
      </c>
      <c r="D129" t="str">
        <f t="shared" ref="D129:D139" si="14">IF(ISTEXT(A129),A129,"")</f>
        <v>{1,3;2,FALSE}</v>
      </c>
      <c r="E129" t="s">
        <v>163</v>
      </c>
    </row>
    <row r="130" spans="1:5" x14ac:dyDescent="0.2">
      <c r="A130" t="e" cm="1">
        <f t="array" ref="A130">_xlfn.ARRAYTOTEXT(_xlfn.WRAPROWS(,2,0),1)</f>
        <v>#VALUE!</v>
      </c>
      <c r="B130">
        <f t="shared" si="12"/>
        <v>3</v>
      </c>
      <c r="C130">
        <f t="shared" si="13"/>
        <v>0</v>
      </c>
      <c r="D130" t="str">
        <f t="shared" si="14"/>
        <v/>
      </c>
      <c r="E130" t="s">
        <v>164</v>
      </c>
    </row>
    <row r="131" spans="1:5" x14ac:dyDescent="0.2">
      <c r="A131" t="str" cm="1">
        <f t="array" ref="A131">_xlfn.ARRAYTOTEXT(_xlfn.WRAPROWS(0,2,0),1)</f>
        <v>{0}</v>
      </c>
      <c r="B131">
        <f t="shared" si="12"/>
        <v>-3</v>
      </c>
      <c r="C131">
        <f t="shared" si="13"/>
        <v>0</v>
      </c>
      <c r="D131" t="str">
        <f t="shared" si="14"/>
        <v>{0}</v>
      </c>
      <c r="E131" t="s">
        <v>165</v>
      </c>
    </row>
    <row r="132" spans="1:5" x14ac:dyDescent="0.2">
      <c r="A132" t="str" cm="1">
        <f t="array" ref="A132">_xlfn.ARRAYTOTEXT(_xlfn.WRAPROWS("",2,0),1)</f>
        <v>{""}</v>
      </c>
      <c r="B132">
        <f t="shared" si="12"/>
        <v>-3</v>
      </c>
      <c r="C132">
        <f t="shared" si="13"/>
        <v>0</v>
      </c>
      <c r="D132" t="str">
        <f t="shared" si="14"/>
        <v>{""}</v>
      </c>
      <c r="E132" t="s">
        <v>166</v>
      </c>
    </row>
    <row r="133" spans="1:5" x14ac:dyDescent="0.2">
      <c r="A133" t="str" cm="1">
        <f t="array" ref="A133">_xlfn.ARRAYTOTEXT(_xlfn.WRAPROWS(FALSE,2,0),1)</f>
        <v>{FALSE}</v>
      </c>
      <c r="B133">
        <f t="shared" si="12"/>
        <v>-3</v>
      </c>
      <c r="C133">
        <f t="shared" si="13"/>
        <v>0</v>
      </c>
      <c r="D133" t="str">
        <f t="shared" si="14"/>
        <v>{FALSE}</v>
      </c>
      <c r="E133" t="s">
        <v>167</v>
      </c>
    </row>
    <row r="134" spans="1:5" x14ac:dyDescent="0.2">
      <c r="A134" t="e" cm="1">
        <f t="array" ref="A134">_xlfn.ARRAYTOTEXT(_xlfn.WRAPROWS({1,2,3},,0),1)</f>
        <v>#NUM!</v>
      </c>
      <c r="B134">
        <f t="shared" si="12"/>
        <v>6</v>
      </c>
      <c r="C134">
        <f t="shared" si="13"/>
        <v>0</v>
      </c>
      <c r="D134" t="str">
        <f t="shared" si="14"/>
        <v/>
      </c>
      <c r="E134" t="s">
        <v>168</v>
      </c>
    </row>
    <row r="135" spans="1:5" x14ac:dyDescent="0.2">
      <c r="A135" t="e" cm="1">
        <f t="array" ref="A135">_xlfn.ARRAYTOTEXT(_xlfn.WRAPROWS({1,2,3},0,0),1)</f>
        <v>#NUM!</v>
      </c>
      <c r="B135">
        <f t="shared" si="12"/>
        <v>6</v>
      </c>
      <c r="C135">
        <f t="shared" si="13"/>
        <v>0</v>
      </c>
      <c r="D135" t="str">
        <f t="shared" si="14"/>
        <v/>
      </c>
      <c r="E135" t="s">
        <v>169</v>
      </c>
    </row>
    <row r="136" spans="1:5" x14ac:dyDescent="0.2">
      <c r="A136" t="str" cm="1">
        <f t="array" ref="A136">_xlfn.ARRAYTOTEXT(_xlfn.WRAPROWS({1,2,3},2,),1)</f>
        <v>{1,2;3,#N/A}</v>
      </c>
      <c r="B136">
        <f t="shared" si="12"/>
        <v>-3</v>
      </c>
      <c r="C136">
        <f t="shared" si="13"/>
        <v>0</v>
      </c>
      <c r="D136" t="str">
        <f t="shared" si="14"/>
        <v>{1,2;3,#N/A}</v>
      </c>
      <c r="E136" t="s">
        <v>170</v>
      </c>
    </row>
    <row r="137" spans="1:5" x14ac:dyDescent="0.2">
      <c r="A137" t="str" cm="1">
        <f t="array" ref="A137">_xlfn.ARRAYTOTEXT(_xlfn.WRAPROWS({1,2,3},2,0),1)</f>
        <v>{1,2;3,0}</v>
      </c>
      <c r="B137">
        <f t="shared" si="12"/>
        <v>-3</v>
      </c>
      <c r="C137">
        <f t="shared" si="13"/>
        <v>0</v>
      </c>
      <c r="D137" t="str">
        <f t="shared" si="14"/>
        <v>{1,2;3,0}</v>
      </c>
      <c r="E137" t="s">
        <v>171</v>
      </c>
    </row>
    <row r="138" spans="1:5" x14ac:dyDescent="0.2">
      <c r="A138" t="str" cm="1">
        <f t="array" ref="A138">_xlfn.ARRAYTOTEXT(_xlfn.WRAPROWS({1,2,3},2,""),1)</f>
        <v>{1,2;3,""}</v>
      </c>
      <c r="B138">
        <f t="shared" si="12"/>
        <v>-3</v>
      </c>
      <c r="C138">
        <f t="shared" si="13"/>
        <v>0</v>
      </c>
      <c r="D138" t="str">
        <f t="shared" si="14"/>
        <v>{1,2;3,""}</v>
      </c>
      <c r="E138" t="s">
        <v>172</v>
      </c>
    </row>
    <row r="139" spans="1:5" x14ac:dyDescent="0.2">
      <c r="A139" t="str" cm="1">
        <f t="array" ref="A139">_xlfn.ARRAYTOTEXT(_xlfn.WRAPROWS({1,2,3},2,FALSE),1)</f>
        <v>{1,2;3,FALSE}</v>
      </c>
      <c r="B139">
        <f t="shared" si="12"/>
        <v>-3</v>
      </c>
      <c r="C139">
        <f t="shared" si="13"/>
        <v>0</v>
      </c>
      <c r="D139" t="str">
        <f t="shared" si="14"/>
        <v>{1,2;3,FALSE}</v>
      </c>
      <c r="E139" t="s">
        <v>173</v>
      </c>
    </row>
    <row r="140" spans="1:5" x14ac:dyDescent="0.2">
      <c r="A140" t="s">
        <v>174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2026-10-07T05:16:24Z</dcterms:created>
  <dcterms:modified xsi:type="dcterms:W3CDTF">2026-10-07T05:16:25Z</dcterms:modified>
  <cp:category/>
</cp:coreProperties>
</file>