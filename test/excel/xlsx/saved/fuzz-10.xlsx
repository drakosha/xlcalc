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06F8A067-E62D-C642-B57B-42BC952685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C398" i="2" s="1"/>
  <c r="A397" i="2" a="1"/>
  <c r="A397" i="2" s="1"/>
  <c r="B397" i="2" s="1"/>
  <c r="A396" i="2" a="1"/>
  <c r="A396" i="2" s="1"/>
  <c r="A395" i="2" a="1"/>
  <c r="A395" i="2" s="1"/>
  <c r="D395" i="2" s="1"/>
  <c r="A394" i="2" a="1"/>
  <c r="A394" i="2" s="1"/>
  <c r="A393" i="2" a="1"/>
  <c r="A393" i="2"/>
  <c r="C393" i="2" s="1"/>
  <c r="A391" i="2" a="1"/>
  <c r="A391" i="2" s="1"/>
  <c r="B391" i="2" s="1"/>
  <c r="A390" i="2" a="1"/>
  <c r="A390" i="2" s="1"/>
  <c r="B390" i="2" s="1"/>
  <c r="A389" i="2" a="1"/>
  <c r="A389" i="2"/>
  <c r="A388" i="2" a="1"/>
  <c r="A388" i="2" s="1"/>
  <c r="A387" i="2" a="1"/>
  <c r="A387" i="2" s="1"/>
  <c r="A386" i="2" a="1"/>
  <c r="A386" i="2"/>
  <c r="B386" i="2" s="1"/>
  <c r="A385" i="2" a="1"/>
  <c r="A385" i="2" s="1"/>
  <c r="A384" i="2" a="1"/>
  <c r="A384" i="2"/>
  <c r="A383" i="2" a="1"/>
  <c r="A383" i="2" s="1"/>
  <c r="D383" i="2" s="1"/>
  <c r="A382" i="2" a="1"/>
  <c r="A382" i="2" s="1"/>
  <c r="A381" i="2" a="1"/>
  <c r="A381" i="2" s="1"/>
  <c r="A380" i="2" a="1"/>
  <c r="A380" i="2" s="1"/>
  <c r="A379" i="2" a="1"/>
  <c r="A379" i="2" s="1"/>
  <c r="A378" i="2" a="1"/>
  <c r="A378" i="2" s="1"/>
  <c r="A377" i="2" a="1"/>
  <c r="A377" i="2" s="1"/>
  <c r="B377" i="2" s="1"/>
  <c r="A376" i="2" a="1"/>
  <c r="A376" i="2" s="1"/>
  <c r="B376" i="2" s="1"/>
  <c r="A375" i="2" a="1"/>
  <c r="A375" i="2"/>
  <c r="C375" i="2" s="1"/>
  <c r="A374" i="2" a="1"/>
  <c r="A374" i="2" s="1"/>
  <c r="A373" i="2" a="1"/>
  <c r="A373" i="2" s="1"/>
  <c r="D373" i="2" s="1"/>
  <c r="A372" i="2" a="1"/>
  <c r="A372" i="2" s="1"/>
  <c r="B372" i="2" s="1"/>
  <c r="A371" i="2" a="1"/>
  <c r="A371" i="2"/>
  <c r="A370" i="2" a="1"/>
  <c r="A370" i="2"/>
  <c r="D370" i="2" s="1"/>
  <c r="A369" i="2" a="1"/>
  <c r="A369" i="2" s="1"/>
  <c r="D368" i="2"/>
  <c r="A368" i="2" a="1"/>
  <c r="A368" i="2"/>
  <c r="B368" i="2" s="1"/>
  <c r="A367" i="2" a="1"/>
  <c r="A367" i="2" s="1"/>
  <c r="B367" i="2" s="1"/>
  <c r="A366" i="2" a="1"/>
  <c r="A366" i="2" s="1"/>
  <c r="A365" i="2" a="1"/>
  <c r="A365" i="2" s="1"/>
  <c r="D365" i="2" s="1"/>
  <c r="A364" i="2" a="1"/>
  <c r="A364" i="2" s="1"/>
  <c r="A363" i="2" a="1"/>
  <c r="A363" i="2"/>
  <c r="C363" i="2" s="1"/>
  <c r="D362" i="2"/>
  <c r="C362" i="2"/>
  <c r="A362" i="2" a="1"/>
  <c r="A362" i="2" s="1"/>
  <c r="B362" i="2" s="1"/>
  <c r="C361" i="2"/>
  <c r="A361" i="2" a="1"/>
  <c r="A361" i="2" s="1"/>
  <c r="B361" i="2" s="1"/>
  <c r="A360" i="2" a="1"/>
  <c r="A360" i="2"/>
  <c r="A359" i="2" a="1"/>
  <c r="A359" i="2" s="1"/>
  <c r="C359" i="2" s="1"/>
  <c r="A358" i="2" a="1"/>
  <c r="A358" i="2" s="1"/>
  <c r="A357" i="2" a="1"/>
  <c r="A357" i="2"/>
  <c r="C357" i="2" s="1"/>
  <c r="A355" i="2" a="1"/>
  <c r="A355" i="2" s="1"/>
  <c r="A354" i="2" a="1"/>
  <c r="A354" i="2" s="1"/>
  <c r="D354" i="2" s="1"/>
  <c r="A353" i="2" a="1"/>
  <c r="A353" i="2"/>
  <c r="A351" i="2" a="1"/>
  <c r="A351" i="2" s="1"/>
  <c r="A350" i="2" a="1"/>
  <c r="A350" i="2" s="1"/>
  <c r="A349" i="2" a="1"/>
  <c r="A349" i="2"/>
  <c r="B349" i="2" s="1"/>
  <c r="A348" i="2" a="1"/>
  <c r="A348" i="2" s="1"/>
  <c r="A347" i="2" a="1"/>
  <c r="A347" i="2" s="1"/>
  <c r="B347" i="2" s="1"/>
  <c r="A346" i="2" a="1"/>
  <c r="A346" i="2" s="1"/>
  <c r="A345" i="2" a="1"/>
  <c r="A345" i="2" s="1"/>
  <c r="A343" i="2" a="1"/>
  <c r="A343" i="2" s="1"/>
  <c r="B343" i="2" s="1"/>
  <c r="A342" i="2" a="1"/>
  <c r="A342" i="2"/>
  <c r="A341" i="2" a="1"/>
  <c r="A341" i="2"/>
  <c r="D341" i="2" s="1"/>
  <c r="A340" i="2" a="1"/>
  <c r="A340" i="2" s="1"/>
  <c r="A338" i="2" a="1"/>
  <c r="A338" i="2" s="1"/>
  <c r="A337" i="2" a="1"/>
  <c r="A337" i="2" s="1"/>
  <c r="A336" i="2" a="1"/>
  <c r="A336" i="2" s="1"/>
  <c r="D336" i="2" s="1"/>
  <c r="A335" i="2" a="1"/>
  <c r="A335" i="2"/>
  <c r="A334" i="2" a="1"/>
  <c r="A334" i="2" s="1"/>
  <c r="D334" i="2" s="1"/>
  <c r="A333" i="2" a="1"/>
  <c r="A333" i="2" s="1"/>
  <c r="A332" i="2" a="1"/>
  <c r="A332" i="2" s="1"/>
  <c r="A331" i="2" a="1"/>
  <c r="A331" i="2"/>
  <c r="C330" i="2"/>
  <c r="B330" i="2"/>
  <c r="A330" i="2" a="1"/>
  <c r="A330" i="2" s="1"/>
  <c r="D330" i="2" s="1"/>
  <c r="A329" i="2" a="1"/>
  <c r="A329" i="2" s="1"/>
  <c r="D329" i="2" s="1"/>
  <c r="A328" i="2" a="1"/>
  <c r="A328" i="2" s="1"/>
  <c r="A327" i="2" a="1"/>
  <c r="A327" i="2" s="1"/>
  <c r="D327" i="2" s="1"/>
  <c r="A326" i="2" a="1"/>
  <c r="A326" i="2" s="1"/>
  <c r="C325" i="2"/>
  <c r="A325" i="2" a="1"/>
  <c r="A325" i="2" s="1"/>
  <c r="B325" i="2" s="1"/>
  <c r="A324" i="2" a="1"/>
  <c r="A324" i="2" s="1"/>
  <c r="A323" i="2" a="1"/>
  <c r="A323" i="2"/>
  <c r="A321" i="2" a="1"/>
  <c r="A321" i="2"/>
  <c r="C321" i="2" s="1"/>
  <c r="A320" i="2" a="1"/>
  <c r="A320" i="2" s="1"/>
  <c r="D320" i="2" s="1"/>
  <c r="A319" i="2" a="1"/>
  <c r="A319" i="2"/>
  <c r="D319" i="2" s="1"/>
  <c r="D318" i="2"/>
  <c r="A318" i="2" a="1"/>
  <c r="A318" i="2" s="1"/>
  <c r="C318" i="2" s="1"/>
  <c r="A317" i="2" a="1"/>
  <c r="A317" i="2" s="1"/>
  <c r="A316" i="2" a="1"/>
  <c r="A316" i="2" s="1"/>
  <c r="A315" i="2" a="1"/>
  <c r="A315" i="2" s="1"/>
  <c r="A314" i="2" a="1"/>
  <c r="A314" i="2"/>
  <c r="B314" i="2" s="1"/>
  <c r="A313" i="2" a="1"/>
  <c r="A313" i="2"/>
  <c r="B313" i="2" s="1"/>
  <c r="A312" i="2" a="1"/>
  <c r="A312" i="2" s="1"/>
  <c r="D311" i="2"/>
  <c r="C311" i="2"/>
  <c r="A311" i="2" a="1"/>
  <c r="A311" i="2" s="1"/>
  <c r="B311" i="2" s="1"/>
  <c r="A310" i="2" a="1"/>
  <c r="A310" i="2" s="1"/>
  <c r="A309" i="2" a="1"/>
  <c r="A309" i="2" s="1"/>
  <c r="A308" i="2" a="1"/>
  <c r="A308" i="2"/>
  <c r="D308" i="2" s="1"/>
  <c r="C307" i="2"/>
  <c r="A307" i="2" a="1"/>
  <c r="A307" i="2" s="1"/>
  <c r="B307" i="2" s="1"/>
  <c r="A306" i="2" a="1"/>
  <c r="A306" i="2" s="1"/>
  <c r="A305" i="2" a="1"/>
  <c r="A305" i="2" s="1"/>
  <c r="A304" i="2" a="1"/>
  <c r="A304" i="2"/>
  <c r="D304" i="2" s="1"/>
  <c r="A303" i="2" a="1"/>
  <c r="A303" i="2" s="1"/>
  <c r="A302" i="2" a="1"/>
  <c r="A302" i="2" s="1"/>
  <c r="A301" i="2" a="1"/>
  <c r="A301" i="2" s="1"/>
  <c r="B301" i="2" s="1"/>
  <c r="A300" i="2" a="1"/>
  <c r="A300" i="2" s="1"/>
  <c r="D300" i="2" s="1"/>
  <c r="A299" i="2" a="1"/>
  <c r="A299" i="2"/>
  <c r="A298" i="2" a="1"/>
  <c r="A298" i="2" s="1"/>
  <c r="D298" i="2" s="1"/>
  <c r="A297" i="2" a="1"/>
  <c r="A297" i="2" s="1"/>
  <c r="C297" i="2" s="1"/>
  <c r="A296" i="2" a="1"/>
  <c r="A296" i="2" s="1"/>
  <c r="D296" i="2" s="1"/>
  <c r="A295" i="2" a="1"/>
  <c r="A295" i="2" s="1"/>
  <c r="A294" i="2" a="1"/>
  <c r="A294" i="2" s="1"/>
  <c r="A293" i="2" a="1"/>
  <c r="A293" i="2" s="1"/>
  <c r="C293" i="2" s="1"/>
  <c r="A292" i="2" a="1"/>
  <c r="A292" i="2" s="1"/>
  <c r="A291" i="2" a="1"/>
  <c r="A291" i="2" s="1"/>
  <c r="B291" i="2" s="1"/>
  <c r="A290" i="2" a="1"/>
  <c r="A290" i="2"/>
  <c r="A289" i="2" a="1"/>
  <c r="A289" i="2" s="1"/>
  <c r="A288" i="2" a="1"/>
  <c r="A288" i="2"/>
  <c r="D287" i="2"/>
  <c r="C287" i="2"/>
  <c r="B287" i="2"/>
  <c r="A287" i="2" a="1"/>
  <c r="A287" i="2" s="1"/>
  <c r="A286" i="2" a="1"/>
  <c r="A286" i="2"/>
  <c r="D286" i="2" s="1"/>
  <c r="A285" i="2" a="1"/>
  <c r="A285" i="2"/>
  <c r="C285" i="2" s="1"/>
  <c r="A284" i="2" a="1"/>
  <c r="A284" i="2" s="1"/>
  <c r="A283" i="2" a="1"/>
  <c r="A283" i="2" s="1"/>
  <c r="D283" i="2" s="1"/>
  <c r="B282" i="2"/>
  <c r="A282" i="2" a="1"/>
  <c r="A282" i="2" s="1"/>
  <c r="D282" i="2" s="1"/>
  <c r="A281" i="2" a="1"/>
  <c r="A281" i="2"/>
  <c r="A280" i="2" a="1"/>
  <c r="A280" i="2"/>
  <c r="D280" i="2" s="1"/>
  <c r="D279" i="2"/>
  <c r="A279" i="2" a="1"/>
  <c r="A279" i="2"/>
  <c r="B279" i="2" s="1"/>
  <c r="D278" i="2"/>
  <c r="A278" i="2" a="1"/>
  <c r="A278" i="2" s="1"/>
  <c r="A277" i="2" a="1"/>
  <c r="A277" i="2"/>
  <c r="A276" i="2" a="1"/>
  <c r="A276" i="2" s="1"/>
  <c r="D275" i="2"/>
  <c r="A275" i="2" a="1"/>
  <c r="A275" i="2" s="1"/>
  <c r="C275" i="2" s="1"/>
  <c r="A274" i="2" a="1"/>
  <c r="A274" i="2" s="1"/>
  <c r="A273" i="2" a="1"/>
  <c r="A273" i="2" s="1"/>
  <c r="A272" i="2" a="1"/>
  <c r="A272" i="2"/>
  <c r="D272" i="2" s="1"/>
  <c r="A271" i="2" a="1"/>
  <c r="A271" i="2" s="1"/>
  <c r="A270" i="2" a="1"/>
  <c r="A270" i="2" s="1"/>
  <c r="A269" i="2" a="1"/>
  <c r="A269" i="2" s="1"/>
  <c r="C269" i="2" s="1"/>
  <c r="A268" i="2" a="1"/>
  <c r="A268" i="2" s="1"/>
  <c r="A267" i="2" a="1"/>
  <c r="A267" i="2" s="1"/>
  <c r="A266" i="2" a="1"/>
  <c r="A266" i="2" s="1"/>
  <c r="A265" i="2" a="1"/>
  <c r="A265" i="2"/>
  <c r="D265" i="2" s="1"/>
  <c r="A264" i="2" a="1"/>
  <c r="A264" i="2" s="1"/>
  <c r="A263" i="2" a="1"/>
  <c r="A263" i="2"/>
  <c r="A262" i="2" a="1"/>
  <c r="A262" i="2" s="1"/>
  <c r="A261" i="2" a="1"/>
  <c r="A261" i="2" s="1"/>
  <c r="A259" i="2" a="1"/>
  <c r="A259" i="2" s="1"/>
  <c r="A258" i="2" a="1"/>
  <c r="A258" i="2" s="1"/>
  <c r="A257" i="2" a="1"/>
  <c r="A257" i="2" s="1"/>
  <c r="D257" i="2" s="1"/>
  <c r="A256" i="2" a="1"/>
  <c r="A256" i="2" s="1"/>
  <c r="A255" i="2" a="1"/>
  <c r="A255" i="2"/>
  <c r="D255" i="2" s="1"/>
  <c r="A254" i="2" a="1"/>
  <c r="A254" i="2" s="1"/>
  <c r="A253" i="2" a="1"/>
  <c r="A253" i="2" s="1"/>
  <c r="A252" i="2" a="1"/>
  <c r="A252" i="2"/>
  <c r="A251" i="2" a="1"/>
  <c r="A251" i="2"/>
  <c r="D251" i="2" s="1"/>
  <c r="A250" i="2" a="1"/>
  <c r="A250" i="2" s="1"/>
  <c r="B250" i="2" s="1"/>
  <c r="A249" i="2" a="1"/>
  <c r="A249" i="2" s="1"/>
  <c r="A248" i="2" a="1"/>
  <c r="A248" i="2" s="1"/>
  <c r="A247" i="2" a="1"/>
  <c r="A247" i="2" s="1"/>
  <c r="B247" i="2" s="1"/>
  <c r="A246" i="2" a="1"/>
  <c r="A246" i="2" s="1"/>
  <c r="B246" i="2" s="1"/>
  <c r="A245" i="2" a="1"/>
  <c r="A245" i="2"/>
  <c r="A244" i="2" a="1"/>
  <c r="A244" i="2" s="1"/>
  <c r="D244" i="2" s="1"/>
  <c r="A243" i="2" a="1"/>
  <c r="A243" i="2" s="1"/>
  <c r="A242" i="2" a="1"/>
  <c r="A242" i="2" s="1"/>
  <c r="B242" i="2" s="1"/>
  <c r="A241" i="2" a="1"/>
  <c r="A241" i="2" s="1"/>
  <c r="A240" i="2" a="1"/>
  <c r="A240" i="2" s="1"/>
  <c r="A239" i="2" a="1"/>
  <c r="A239" i="2" s="1"/>
  <c r="A238" i="2" a="1"/>
  <c r="A238" i="2" s="1"/>
  <c r="A237" i="2" a="1"/>
  <c r="A237" i="2" s="1"/>
  <c r="A236" i="2" a="1"/>
  <c r="A236" i="2" s="1"/>
  <c r="B236" i="2" s="1"/>
  <c r="A235" i="2" a="1"/>
  <c r="A235" i="2"/>
  <c r="D235" i="2" s="1"/>
  <c r="A234" i="2" a="1"/>
  <c r="A234" i="2" s="1"/>
  <c r="A233" i="2" a="1"/>
  <c r="A233" i="2" s="1"/>
  <c r="D232" i="2"/>
  <c r="A232" i="2" a="1"/>
  <c r="A232" i="2" s="1"/>
  <c r="C232" i="2" s="1"/>
  <c r="A231" i="2" a="1"/>
  <c r="A231" i="2" s="1"/>
  <c r="A229" i="2" a="1"/>
  <c r="A229" i="2"/>
  <c r="C229" i="2" s="1"/>
  <c r="A228" i="2" a="1"/>
  <c r="A228" i="2" s="1"/>
  <c r="C228" i="2" s="1"/>
  <c r="A227" i="2" a="1"/>
  <c r="A227" i="2"/>
  <c r="A226" i="2" a="1"/>
  <c r="A226" i="2" s="1"/>
  <c r="A225" i="2" a="1"/>
  <c r="A225" i="2" s="1"/>
  <c r="A224" i="2" a="1"/>
  <c r="A224" i="2" s="1"/>
  <c r="B224" i="2" s="1"/>
  <c r="A223" i="2" a="1"/>
  <c r="A223" i="2"/>
  <c r="A222" i="2" a="1"/>
  <c r="A222" i="2" s="1"/>
  <c r="D222" i="2" s="1"/>
  <c r="A221" i="2" a="1"/>
  <c r="A221" i="2" s="1"/>
  <c r="A220" i="2" a="1"/>
  <c r="A220" i="2" s="1"/>
  <c r="A219" i="2" a="1"/>
  <c r="A219" i="2" s="1"/>
  <c r="A218" i="2" a="1"/>
  <c r="A218" i="2" s="1"/>
  <c r="D218" i="2" s="1"/>
  <c r="A217" i="2" a="1"/>
  <c r="A217" i="2" s="1"/>
  <c r="B217" i="2" s="1"/>
  <c r="A216" i="2" a="1"/>
  <c r="A216" i="2" s="1"/>
  <c r="A215" i="2" a="1"/>
  <c r="A215" i="2"/>
  <c r="D215" i="2" s="1"/>
  <c r="A214" i="2" a="1"/>
  <c r="A214" i="2"/>
  <c r="B214" i="2" s="1"/>
  <c r="A213" i="2" a="1"/>
  <c r="A213" i="2" s="1"/>
  <c r="D213" i="2" s="1"/>
  <c r="A212" i="2" a="1"/>
  <c r="A212" i="2" s="1"/>
  <c r="A211" i="2" a="1"/>
  <c r="A211" i="2"/>
  <c r="D211" i="2" s="1"/>
  <c r="A210" i="2" a="1"/>
  <c r="A210" i="2" s="1"/>
  <c r="C210" i="2" s="1"/>
  <c r="A209" i="2" a="1"/>
  <c r="A209" i="2" s="1"/>
  <c r="A208" i="2" a="1"/>
  <c r="A208" i="2" s="1"/>
  <c r="A207" i="2" a="1"/>
  <c r="A207" i="2" s="1"/>
  <c r="A206" i="2" a="1"/>
  <c r="A206" i="2" s="1"/>
  <c r="B206" i="2" s="1"/>
  <c r="A205" i="2" a="1"/>
  <c r="A205" i="2" s="1"/>
  <c r="A204" i="2" a="1"/>
  <c r="A204" i="2" s="1"/>
  <c r="C204" i="2" s="1"/>
  <c r="A203" i="2" a="1"/>
  <c r="A203" i="2"/>
  <c r="D203" i="2" s="1"/>
  <c r="A202" i="2" a="1"/>
  <c r="A202" i="2" s="1"/>
  <c r="A201" i="2" a="1"/>
  <c r="A201" i="2" s="1"/>
  <c r="A200" i="2" a="1"/>
  <c r="A200" i="2"/>
  <c r="B200" i="2" s="1"/>
  <c r="D199" i="2"/>
  <c r="A199" i="2" a="1"/>
  <c r="A199" i="2" s="1"/>
  <c r="C199" i="2" s="1"/>
  <c r="A198" i="2" a="1"/>
  <c r="A198" i="2" s="1"/>
  <c r="A197" i="2" a="1"/>
  <c r="A197" i="2"/>
  <c r="D197" i="2" s="1"/>
  <c r="A196" i="2" a="1"/>
  <c r="A196" i="2" s="1"/>
  <c r="A195" i="2" a="1"/>
  <c r="A195" i="2" s="1"/>
  <c r="A194" i="2" a="1"/>
  <c r="A194" i="2" s="1"/>
  <c r="A193" i="2" a="1"/>
  <c r="A193" i="2" s="1"/>
  <c r="A192" i="2" a="1"/>
  <c r="A192" i="2" s="1"/>
  <c r="C192" i="2" s="1"/>
  <c r="A191" i="2" a="1"/>
  <c r="A191" i="2" s="1"/>
  <c r="A190" i="2" a="1"/>
  <c r="A190" i="2" s="1"/>
  <c r="B190" i="2" s="1"/>
  <c r="A189" i="2" a="1"/>
  <c r="A189" i="2" s="1"/>
  <c r="D189" i="2" s="1"/>
  <c r="A188" i="2" a="1"/>
  <c r="A188" i="2" s="1"/>
  <c r="B188" i="2" s="1"/>
  <c r="A187" i="2" a="1"/>
  <c r="A187" i="2" s="1"/>
  <c r="A186" i="2" a="1"/>
  <c r="A186" i="2" s="1"/>
  <c r="D185" i="2"/>
  <c r="A185" i="2" a="1"/>
  <c r="A185" i="2"/>
  <c r="C185" i="2" s="1"/>
  <c r="A184" i="2" a="1"/>
  <c r="A184" i="2" s="1"/>
  <c r="A183" i="2" a="1"/>
  <c r="A183" i="2"/>
  <c r="D183" i="2" s="1"/>
  <c r="A182" i="2" a="1"/>
  <c r="A182" i="2" s="1"/>
  <c r="D181" i="2"/>
  <c r="C181" i="2"/>
  <c r="B181" i="2"/>
  <c r="A181" i="2" a="1"/>
  <c r="A181" i="2" s="1"/>
  <c r="A180" i="2" a="1"/>
  <c r="A180" i="2"/>
  <c r="A179" i="2" a="1"/>
  <c r="A179" i="2" s="1"/>
  <c r="A178" i="2" a="1"/>
  <c r="A178" i="2"/>
  <c r="D178" i="2" s="1"/>
  <c r="A177" i="2" a="1"/>
  <c r="A177" i="2" s="1"/>
  <c r="D177" i="2" s="1"/>
  <c r="B176" i="2"/>
  <c r="A176" i="2" a="1"/>
  <c r="A176" i="2" s="1"/>
  <c r="D176" i="2" s="1"/>
  <c r="A175" i="2" a="1"/>
  <c r="A175" i="2"/>
  <c r="D175" i="2" s="1"/>
  <c r="A174" i="2" a="1"/>
  <c r="A174" i="2" s="1"/>
  <c r="D174" i="2" s="1"/>
  <c r="A173" i="2" a="1"/>
  <c r="A173" i="2"/>
  <c r="A171" i="2" a="1"/>
  <c r="A171" i="2"/>
  <c r="C171" i="2" s="1"/>
  <c r="A170" i="2" a="1"/>
  <c r="A170" i="2" s="1"/>
  <c r="A168" i="2" a="1"/>
  <c r="A168" i="2"/>
  <c r="D168" i="2" s="1"/>
  <c r="A167" i="2" a="1"/>
  <c r="A167" i="2"/>
  <c r="C167" i="2" s="1"/>
  <c r="A166" i="2" a="1"/>
  <c r="A166" i="2" s="1"/>
  <c r="A165" i="2" a="1"/>
  <c r="A165" i="2" s="1"/>
  <c r="A164" i="2" a="1"/>
  <c r="A164" i="2" s="1"/>
  <c r="A163" i="2" a="1"/>
  <c r="A163" i="2" s="1"/>
  <c r="D163" i="2" s="1"/>
  <c r="A162" i="2" a="1"/>
  <c r="A162" i="2" s="1"/>
  <c r="A161" i="2" a="1"/>
  <c r="A161" i="2"/>
  <c r="D161" i="2" s="1"/>
  <c r="A160" i="2" a="1"/>
  <c r="A160" i="2"/>
  <c r="D160" i="2" s="1"/>
  <c r="A159" i="2" a="1"/>
  <c r="A159" i="2" s="1"/>
  <c r="A158" i="2" a="1"/>
  <c r="A158" i="2" s="1"/>
  <c r="A157" i="2" a="1"/>
  <c r="A157" i="2"/>
  <c r="C157" i="2" s="1"/>
  <c r="A156" i="2" a="1"/>
  <c r="A156" i="2" s="1"/>
  <c r="A155" i="2" a="1"/>
  <c r="A155" i="2"/>
  <c r="A154" i="2" a="1"/>
  <c r="A154" i="2" s="1"/>
  <c r="D154" i="2" s="1"/>
  <c r="A153" i="2" a="1"/>
  <c r="A153" i="2"/>
  <c r="D153" i="2" s="1"/>
  <c r="A152" i="2" a="1"/>
  <c r="A152" i="2" s="1"/>
  <c r="A151" i="2" a="1"/>
  <c r="A151" i="2" s="1"/>
  <c r="A150" i="2" a="1"/>
  <c r="A150" i="2" s="1"/>
  <c r="A149" i="2" a="1"/>
  <c r="A149" i="2"/>
  <c r="D149" i="2" s="1"/>
  <c r="A148" i="2" a="1"/>
  <c r="A148" i="2" s="1"/>
  <c r="A147" i="2" a="1"/>
  <c r="A147" i="2"/>
  <c r="C147" i="2" s="1"/>
  <c r="A146" i="2" a="1"/>
  <c r="A146" i="2" s="1"/>
  <c r="D146" i="2" s="1"/>
  <c r="A145" i="2" a="1"/>
  <c r="A145" i="2"/>
  <c r="D145" i="2" s="1"/>
  <c r="A144" i="2" a="1"/>
  <c r="A144" i="2" s="1"/>
  <c r="A143" i="2" a="1"/>
  <c r="A143" i="2" s="1"/>
  <c r="A142" i="2" a="1"/>
  <c r="A142" i="2" s="1"/>
  <c r="D142" i="2" s="1"/>
  <c r="A141" i="2" a="1"/>
  <c r="A141" i="2"/>
  <c r="C141" i="2" s="1"/>
  <c r="A140" i="2" a="1"/>
  <c r="A140" i="2" s="1"/>
  <c r="A139" i="2" a="1"/>
  <c r="A139" i="2"/>
  <c r="C139" i="2" s="1"/>
  <c r="A137" i="2" a="1"/>
  <c r="A137" i="2" s="1"/>
  <c r="A136" i="2" a="1"/>
  <c r="A136" i="2" s="1"/>
  <c r="A135" i="2" a="1"/>
  <c r="A135" i="2" s="1"/>
  <c r="C135" i="2" s="1"/>
  <c r="A134" i="2" a="1"/>
  <c r="A134" i="2" s="1"/>
  <c r="B134" i="2" s="1"/>
  <c r="A133" i="2" a="1"/>
  <c r="A133" i="2" s="1"/>
  <c r="A132" i="2" a="1"/>
  <c r="A132" i="2" s="1"/>
  <c r="D132" i="2" s="1"/>
  <c r="A131" i="2" a="1"/>
  <c r="A131" i="2" s="1"/>
  <c r="A130" i="2" a="1"/>
  <c r="A130" i="2" s="1"/>
  <c r="A129" i="2" a="1"/>
  <c r="A129" i="2" s="1"/>
  <c r="A128" i="2" a="1"/>
  <c r="A128" i="2" s="1"/>
  <c r="A127" i="2" a="1"/>
  <c r="A127" i="2" s="1"/>
  <c r="B127" i="2" s="1"/>
  <c r="A126" i="2" a="1"/>
  <c r="A126" i="2" s="1"/>
  <c r="C126" i="2" s="1"/>
  <c r="A125" i="2" a="1"/>
  <c r="A125" i="2" s="1"/>
  <c r="A124" i="2" a="1"/>
  <c r="A124" i="2" s="1"/>
  <c r="A123" i="2" a="1"/>
  <c r="A123" i="2" s="1"/>
  <c r="D123" i="2" s="1"/>
  <c r="A121" i="2" a="1"/>
  <c r="A121" i="2" s="1"/>
  <c r="D121" i="2" s="1"/>
  <c r="A120" i="2" a="1"/>
  <c r="A120" i="2" s="1"/>
  <c r="A119" i="2" a="1"/>
  <c r="A119" i="2" s="1"/>
  <c r="B119" i="2" s="1"/>
  <c r="A118" i="2" a="1"/>
  <c r="A118" i="2"/>
  <c r="B118" i="2" s="1"/>
  <c r="D117" i="2"/>
  <c r="C117" i="2"/>
  <c r="A117" i="2" a="1"/>
  <c r="A117" i="2"/>
  <c r="B117" i="2" s="1"/>
  <c r="D116" i="2"/>
  <c r="A116" i="2" a="1"/>
  <c r="A116" i="2" s="1"/>
  <c r="B116" i="2" s="1"/>
  <c r="A115" i="2" a="1"/>
  <c r="A115" i="2"/>
  <c r="C115" i="2" s="1"/>
  <c r="A114" i="2" a="1"/>
  <c r="A114" i="2" s="1"/>
  <c r="C113" i="2"/>
  <c r="B113" i="2"/>
  <c r="A112" i="2" a="1"/>
  <c r="A112" i="2" s="1"/>
  <c r="A111" i="2" a="1"/>
  <c r="A111" i="2"/>
  <c r="A110" i="2" a="1"/>
  <c r="A110" i="2"/>
  <c r="D110" i="2" s="1"/>
  <c r="A109" i="2" a="1"/>
  <c r="A109" i="2" s="1"/>
  <c r="C109" i="2" s="1"/>
  <c r="A108" i="2" a="1"/>
  <c r="A108" i="2" s="1"/>
  <c r="A107" i="2" a="1"/>
  <c r="A107" i="2" s="1"/>
  <c r="A106" i="2" a="1"/>
  <c r="A106" i="2" s="1"/>
  <c r="A105" i="2" a="1"/>
  <c r="A105" i="2"/>
  <c r="B105" i="2" s="1"/>
  <c r="A104" i="2" a="1"/>
  <c r="A104" i="2" s="1"/>
  <c r="D104" i="2" s="1"/>
  <c r="A103" i="2" a="1"/>
  <c r="A103" i="2"/>
  <c r="A102" i="2" a="1"/>
  <c r="A102" i="2"/>
  <c r="D102" i="2" s="1"/>
  <c r="A101" i="2" a="1"/>
  <c r="A101" i="2" s="1"/>
  <c r="B101" i="2" s="1"/>
  <c r="A100" i="2" a="1"/>
  <c r="A100" i="2" s="1"/>
  <c r="D100" i="2" s="1"/>
  <c r="A99" i="2" a="1"/>
  <c r="A99" i="2"/>
  <c r="A98" i="2" a="1"/>
  <c r="A98" i="2" s="1"/>
  <c r="D98" i="2" s="1"/>
  <c r="A97" i="2" a="1"/>
  <c r="A97" i="2"/>
  <c r="C97" i="2" s="1"/>
  <c r="A96" i="2" a="1"/>
  <c r="A96" i="2" s="1"/>
  <c r="D96" i="2" s="1"/>
  <c r="A95" i="2" a="1"/>
  <c r="A95" i="2" s="1"/>
  <c r="A94" i="2" a="1"/>
  <c r="A94" i="2" s="1"/>
  <c r="B94" i="2" s="1"/>
  <c r="A93" i="2" a="1"/>
  <c r="A93" i="2"/>
  <c r="D93" i="2" s="1"/>
  <c r="A92" i="2" a="1"/>
  <c r="A92" i="2" s="1"/>
  <c r="D92" i="2" s="1"/>
  <c r="A91" i="2" a="1"/>
  <c r="A91" i="2" s="1"/>
  <c r="A90" i="2" a="1"/>
  <c r="A90" i="2" s="1"/>
  <c r="A89" i="2" a="1"/>
  <c r="A89" i="2"/>
  <c r="D89" i="2" s="1"/>
  <c r="A88" i="2" a="1"/>
  <c r="A88" i="2" s="1"/>
  <c r="D88" i="2" s="1"/>
  <c r="A87" i="2" a="1"/>
  <c r="A87" i="2" s="1"/>
  <c r="A86" i="2" a="1"/>
  <c r="A86" i="2" s="1"/>
  <c r="D86" i="2" s="1"/>
  <c r="A85" i="2" a="1"/>
  <c r="A85" i="2"/>
  <c r="B85" i="2" s="1"/>
  <c r="A84" i="2" a="1"/>
  <c r="A84" i="2" s="1"/>
  <c r="B84" i="2" s="1"/>
  <c r="A83" i="2" a="1"/>
  <c r="A83" i="2"/>
  <c r="A82" i="2" a="1"/>
  <c r="A82" i="2"/>
  <c r="B82" i="2" s="1"/>
  <c r="A81" i="2" a="1"/>
  <c r="A81" i="2" s="1"/>
  <c r="D80" i="2"/>
  <c r="A80" i="2" a="1"/>
  <c r="A80" i="2" s="1"/>
  <c r="C80" i="2" s="1"/>
  <c r="A79" i="2" a="1"/>
  <c r="A79" i="2"/>
  <c r="A78" i="2" a="1"/>
  <c r="A78" i="2" s="1"/>
  <c r="D78" i="2" s="1"/>
  <c r="A77" i="2" a="1"/>
  <c r="A77" i="2"/>
  <c r="C77" i="2" s="1"/>
  <c r="D76" i="2"/>
  <c r="C76" i="2"/>
  <c r="A76" i="2" a="1"/>
  <c r="A76" i="2" s="1"/>
  <c r="B76" i="2" s="1"/>
  <c r="A75" i="2" a="1"/>
  <c r="A75" i="2" s="1"/>
  <c r="A74" i="2" a="1"/>
  <c r="A74" i="2"/>
  <c r="D74" i="2" s="1"/>
  <c r="A73" i="2" a="1"/>
  <c r="A73" i="2" s="1"/>
  <c r="A72" i="2" a="1"/>
  <c r="A72" i="2" s="1"/>
  <c r="A71" i="2" a="1"/>
  <c r="A71" i="2" s="1"/>
  <c r="A70" i="2" a="1"/>
  <c r="A70" i="2" s="1"/>
  <c r="D70" i="2" s="1"/>
  <c r="A69" i="2" a="1"/>
  <c r="A69" i="2"/>
  <c r="D69" i="2" s="1"/>
  <c r="A68" i="2" a="1"/>
  <c r="A68" i="2"/>
  <c r="A67" i="2" a="1"/>
  <c r="A67" i="2" s="1"/>
  <c r="D67" i="2" s="1"/>
  <c r="A66" i="2" a="1"/>
  <c r="A66" i="2" s="1"/>
  <c r="A65" i="2" a="1"/>
  <c r="A65" i="2"/>
  <c r="C65" i="2" s="1"/>
  <c r="A64" i="2" a="1"/>
  <c r="A64" i="2" s="1"/>
  <c r="A63" i="2" a="1"/>
  <c r="A63" i="2" s="1"/>
  <c r="A61" i="2" a="1"/>
  <c r="A61" i="2"/>
  <c r="C61" i="2" s="1"/>
  <c r="A60" i="2" a="1"/>
  <c r="A60" i="2" s="1"/>
  <c r="D59" i="2"/>
  <c r="A59" i="2" a="1"/>
  <c r="A59" i="2"/>
  <c r="B59" i="2" s="1"/>
  <c r="A58" i="2" a="1"/>
  <c r="A58" i="2" s="1"/>
  <c r="A57" i="2" a="1"/>
  <c r="A57" i="2"/>
  <c r="B57" i="2" s="1"/>
  <c r="A56" i="2" a="1"/>
  <c r="A56" i="2" s="1"/>
  <c r="C56" i="2" s="1"/>
  <c r="A54" i="2" a="1"/>
  <c r="A54" i="2"/>
  <c r="B54" i="2" s="1"/>
  <c r="A53" i="2" a="1"/>
  <c r="A53" i="2" s="1"/>
  <c r="D53" i="2" s="1"/>
  <c r="A52" i="2" a="1"/>
  <c r="A52" i="2"/>
  <c r="D52" i="2" s="1"/>
  <c r="A51" i="2" a="1"/>
  <c r="A51" i="2"/>
  <c r="D51" i="2" s="1"/>
  <c r="A50" i="2" a="1"/>
  <c r="A50" i="2"/>
  <c r="D50" i="2" s="1"/>
  <c r="A49" i="2" a="1"/>
  <c r="A49" i="2" s="1"/>
  <c r="A48" i="2" a="1"/>
  <c r="A48" i="2" s="1"/>
  <c r="A47" i="2" a="1"/>
  <c r="A47" i="2" s="1"/>
  <c r="B47" i="2" s="1"/>
  <c r="A45" i="2" a="1"/>
  <c r="A45" i="2"/>
  <c r="A44" i="2" a="1"/>
  <c r="A44" i="2" s="1"/>
  <c r="A43" i="2" a="1"/>
  <c r="A43" i="2"/>
  <c r="C43" i="2" s="1"/>
  <c r="A42" i="2" a="1"/>
  <c r="A42" i="2"/>
  <c r="B42" i="2" s="1"/>
  <c r="A41" i="2" a="1"/>
  <c r="A41" i="2" s="1"/>
  <c r="A40" i="2" a="1"/>
  <c r="A40" i="2" s="1"/>
  <c r="D40" i="2" s="1"/>
  <c r="A39" i="2" a="1"/>
  <c r="A39" i="2"/>
  <c r="C39" i="2" s="1"/>
  <c r="A38" i="2" a="1"/>
  <c r="A38" i="2"/>
  <c r="A37" i="2" a="1"/>
  <c r="A37" i="2"/>
  <c r="D37" i="2" s="1"/>
  <c r="A36" i="2" a="1"/>
  <c r="A36" i="2"/>
  <c r="B36" i="2" s="1"/>
  <c r="A35" i="2" a="1"/>
  <c r="A35" i="2" s="1"/>
  <c r="A34" i="2" a="1"/>
  <c r="A34" i="2" s="1"/>
  <c r="A33" i="2" a="1"/>
  <c r="A33" i="2"/>
  <c r="D33" i="2" s="1"/>
  <c r="A32" i="2" a="1"/>
  <c r="A32" i="2" s="1"/>
  <c r="A31" i="2" a="1"/>
  <c r="A31" i="2" s="1"/>
  <c r="D31" i="2" s="1"/>
  <c r="B30" i="2"/>
  <c r="A30" i="2" a="1"/>
  <c r="A30" i="2"/>
  <c r="A29" i="2" a="1"/>
  <c r="A29" i="2" s="1"/>
  <c r="D29" i="2" s="1"/>
  <c r="A28" i="2" a="1"/>
  <c r="A28" i="2"/>
  <c r="D28" i="2" s="1"/>
  <c r="A26" i="2" a="1"/>
  <c r="A26" i="2" s="1"/>
  <c r="A25" i="2" a="1"/>
  <c r="A25" i="2" s="1"/>
  <c r="A24" i="2" a="1"/>
  <c r="A24" i="2"/>
  <c r="D24" i="2" s="1"/>
  <c r="A23" i="2" a="1"/>
  <c r="A23" i="2"/>
  <c r="D23" i="2" s="1"/>
  <c r="A22" i="2" a="1"/>
  <c r="A22" i="2"/>
  <c r="D22" i="2" s="1"/>
  <c r="A21" i="2" a="1"/>
  <c r="A21" i="2" s="1"/>
  <c r="A20" i="2" a="1"/>
  <c r="A20" i="2" s="1"/>
  <c r="D20" i="2" s="1"/>
  <c r="A19" i="2" a="1"/>
  <c r="A19" i="2"/>
  <c r="B19" i="2" s="1"/>
  <c r="A18" i="2" a="1"/>
  <c r="A18" i="2"/>
  <c r="B18" i="2" s="1"/>
  <c r="A17" i="2" a="1"/>
  <c r="A17" i="2" s="1"/>
  <c r="D16" i="2"/>
  <c r="C16" i="2"/>
  <c r="A16" i="2" a="1"/>
  <c r="A16" i="2"/>
  <c r="B16" i="2" s="1"/>
  <c r="A15" i="2" a="1"/>
  <c r="A15" i="2"/>
  <c r="C15" i="2" s="1"/>
  <c r="A14" i="2" a="1"/>
  <c r="A14" i="2" s="1"/>
  <c r="A13" i="2" a="1"/>
  <c r="A13" i="2" s="1"/>
  <c r="A12" i="2" a="1"/>
  <c r="A12" i="2" s="1"/>
  <c r="A10" i="2" a="1"/>
  <c r="A10" i="2" s="1"/>
  <c r="A9" i="2" a="1"/>
  <c r="A9" i="2" s="1"/>
  <c r="A8" i="2" a="1"/>
  <c r="A8" i="2" s="1"/>
  <c r="A7" i="2" a="1"/>
  <c r="A7" i="2"/>
  <c r="D7" i="2" s="1"/>
  <c r="A6" i="2" a="1"/>
  <c r="A6" i="2" s="1"/>
  <c r="A5" i="2" a="1"/>
  <c r="A5" i="2" s="1"/>
  <c r="A4" i="2" a="1"/>
  <c r="A4" i="2" s="1"/>
  <c r="A3" i="2" a="1"/>
  <c r="A3" i="2"/>
  <c r="D3" i="2" s="1"/>
  <c r="A2" i="2" a="1"/>
  <c r="A2" i="2" s="1"/>
  <c r="D2" i="2" s="1"/>
  <c r="A1" i="2" a="1"/>
  <c r="A1" i="2"/>
  <c r="B1" i="2" s="1"/>
  <c r="I15" i="1"/>
  <c r="A14" i="1"/>
  <c r="A113" i="2" s="1" a="1"/>
  <c r="A113" i="2" s="1"/>
  <c r="D113" i="2" s="1"/>
  <c r="A13" i="1"/>
  <c r="AL10" i="1"/>
  <c r="A8" i="1"/>
  <c r="A7" i="1"/>
  <c r="A55" i="2" s="1" a="1"/>
  <c r="A55" i="2" s="1"/>
  <c r="E3" i="1"/>
  <c r="A46" i="2" s="1" a="1"/>
  <c r="A46" i="2" s="1"/>
  <c r="B46" i="2" s="1"/>
  <c r="A172" i="2" a="1"/>
  <c r="D289" i="2" l="1"/>
  <c r="C289" i="2"/>
  <c r="B289" i="2"/>
  <c r="B114" i="2"/>
  <c r="D114" i="2"/>
  <c r="C114" i="2"/>
  <c r="C350" i="2"/>
  <c r="B350" i="2"/>
  <c r="D350" i="2"/>
  <c r="B208" i="2"/>
  <c r="D208" i="2"/>
  <c r="C208" i="2"/>
  <c r="C63" i="2"/>
  <c r="D63" i="2"/>
  <c r="D271" i="2"/>
  <c r="C271" i="2"/>
  <c r="B271" i="2"/>
  <c r="D273" i="2"/>
  <c r="C273" i="2"/>
  <c r="B273" i="2"/>
  <c r="C380" i="2"/>
  <c r="D380" i="2"/>
  <c r="C315" i="2"/>
  <c r="D315" i="2"/>
  <c r="B152" i="2"/>
  <c r="C152" i="2"/>
  <c r="D152" i="2"/>
  <c r="D264" i="2"/>
  <c r="B264" i="2"/>
  <c r="C264" i="2"/>
  <c r="D254" i="2"/>
  <c r="C254" i="2"/>
  <c r="B254" i="2"/>
  <c r="D387" i="2"/>
  <c r="B387" i="2"/>
  <c r="C348" i="2"/>
  <c r="D348" i="2"/>
  <c r="D332" i="2"/>
  <c r="C332" i="2"/>
  <c r="B332" i="2"/>
  <c r="C41" i="2"/>
  <c r="B41" i="2"/>
  <c r="D41" i="2"/>
  <c r="D9" i="2"/>
  <c r="C9" i="2"/>
  <c r="B9" i="2"/>
  <c r="B73" i="2"/>
  <c r="C73" i="2"/>
  <c r="D73" i="2"/>
  <c r="D194" i="2"/>
  <c r="C194" i="2"/>
  <c r="D225" i="2"/>
  <c r="C225" i="2"/>
  <c r="C129" i="2"/>
  <c r="B129" i="2"/>
  <c r="D55" i="2"/>
  <c r="C55" i="2"/>
  <c r="B55" i="2"/>
  <c r="B253" i="2"/>
  <c r="C253" i="2"/>
  <c r="D253" i="2"/>
  <c r="C25" i="2"/>
  <c r="D25" i="2"/>
  <c r="D131" i="2"/>
  <c r="C131" i="2"/>
  <c r="B131" i="2"/>
  <c r="C57" i="2"/>
  <c r="D57" i="2"/>
  <c r="B65" i="2"/>
  <c r="B167" i="2"/>
  <c r="C217" i="2"/>
  <c r="D228" i="2"/>
  <c r="D250" i="2"/>
  <c r="D269" i="2"/>
  <c r="B285" i="2"/>
  <c r="C291" i="2"/>
  <c r="D393" i="2"/>
  <c r="D285" i="2"/>
  <c r="D375" i="2"/>
  <c r="D139" i="2"/>
  <c r="B147" i="2"/>
  <c r="D167" i="2"/>
  <c r="D210" i="2"/>
  <c r="B304" i="2"/>
  <c r="D321" i="2"/>
  <c r="D217" i="2"/>
  <c r="D293" i="2"/>
  <c r="C304" i="2"/>
  <c r="C376" i="2"/>
  <c r="C386" i="2"/>
  <c r="B395" i="2"/>
  <c r="C82" i="2"/>
  <c r="D42" i="2"/>
  <c r="D65" i="2"/>
  <c r="D82" i="2"/>
  <c r="D141" i="2"/>
  <c r="D157" i="2"/>
  <c r="C190" i="2"/>
  <c r="C59" i="2"/>
  <c r="D190" i="2"/>
  <c r="C314" i="2"/>
  <c r="D376" i="2"/>
  <c r="D386" i="2"/>
  <c r="C395" i="2"/>
  <c r="C250" i="2"/>
  <c r="C279" i="2"/>
  <c r="D314" i="2"/>
  <c r="D357" i="2"/>
  <c r="C368" i="2"/>
  <c r="C42" i="2"/>
  <c r="C397" i="2"/>
  <c r="C46" i="2"/>
  <c r="B61" i="2"/>
  <c r="D85" i="2"/>
  <c r="C134" i="2"/>
  <c r="D204" i="2"/>
  <c r="C246" i="2"/>
  <c r="D297" i="2"/>
  <c r="C18" i="2"/>
  <c r="D46" i="2"/>
  <c r="D61" i="2"/>
  <c r="C96" i="2"/>
  <c r="D134" i="2"/>
  <c r="B145" i="2"/>
  <c r="C214" i="2"/>
  <c r="B235" i="2"/>
  <c r="D246" i="2"/>
  <c r="B370" i="2"/>
  <c r="D397" i="2"/>
  <c r="D192" i="2"/>
  <c r="D325" i="2"/>
  <c r="D77" i="2"/>
  <c r="B96" i="2"/>
  <c r="D18" i="2"/>
  <c r="D39" i="2"/>
  <c r="C145" i="2"/>
  <c r="B153" i="2"/>
  <c r="D214" i="2"/>
  <c r="C235" i="2"/>
  <c r="D171" i="2"/>
  <c r="C153" i="2"/>
  <c r="C390" i="2"/>
  <c r="C85" i="2"/>
  <c r="B318" i="2"/>
  <c r="D390" i="2"/>
  <c r="A172" i="2"/>
  <c r="D90" i="2"/>
  <c r="B90" i="2"/>
  <c r="C90" i="2"/>
  <c r="D179" i="2"/>
  <c r="C179" i="2"/>
  <c r="B179" i="2"/>
  <c r="C201" i="2"/>
  <c r="B201" i="2"/>
  <c r="D201" i="2"/>
  <c r="D261" i="2"/>
  <c r="C261" i="2"/>
  <c r="B261" i="2"/>
  <c r="D10" i="2"/>
  <c r="C10" i="2"/>
  <c r="B10" i="2"/>
  <c r="C21" i="2"/>
  <c r="D21" i="2"/>
  <c r="B21" i="2"/>
  <c r="D186" i="2"/>
  <c r="C186" i="2"/>
  <c r="B186" i="2"/>
  <c r="D4" i="2"/>
  <c r="B4" i="2"/>
  <c r="C4" i="2"/>
  <c r="B66" i="2"/>
  <c r="D66" i="2"/>
  <c r="C66" i="2"/>
  <c r="D75" i="2"/>
  <c r="B75" i="2"/>
  <c r="C75" i="2"/>
  <c r="B150" i="2"/>
  <c r="D150" i="2"/>
  <c r="C150" i="2"/>
  <c r="C219" i="2"/>
  <c r="D219" i="2"/>
  <c r="B219" i="2"/>
  <c r="C243" i="2"/>
  <c r="B243" i="2"/>
  <c r="D243" i="2"/>
  <c r="B58" i="2"/>
  <c r="C58" i="2"/>
  <c r="D58" i="2"/>
  <c r="D193" i="2"/>
  <c r="C193" i="2"/>
  <c r="B193" i="2"/>
  <c r="B316" i="2"/>
  <c r="D316" i="2"/>
  <c r="C316" i="2"/>
  <c r="C326" i="2"/>
  <c r="D326" i="2"/>
  <c r="B326" i="2"/>
  <c r="D351" i="2"/>
  <c r="C351" i="2"/>
  <c r="B351" i="2"/>
  <c r="D369" i="2"/>
  <c r="C369" i="2"/>
  <c r="B369" i="2"/>
  <c r="D124" i="2"/>
  <c r="B124" i="2"/>
  <c r="C124" i="2"/>
  <c r="D205" i="2"/>
  <c r="C205" i="2"/>
  <c r="B205" i="2"/>
  <c r="C81" i="2"/>
  <c r="D81" i="2"/>
  <c r="B81" i="2"/>
  <c r="D276" i="2"/>
  <c r="C276" i="2"/>
  <c r="B276" i="2"/>
  <c r="D312" i="2"/>
  <c r="C312" i="2"/>
  <c r="B312" i="2"/>
  <c r="C355" i="2"/>
  <c r="B355" i="2"/>
  <c r="D355" i="2"/>
  <c r="D158" i="2"/>
  <c r="C158" i="2"/>
  <c r="B158" i="2"/>
  <c r="D294" i="2"/>
  <c r="C294" i="2"/>
  <c r="B294" i="2"/>
  <c r="D262" i="2"/>
  <c r="C262" i="2"/>
  <c r="B262" i="2"/>
  <c r="D144" i="2"/>
  <c r="C144" i="2"/>
  <c r="B144" i="2"/>
  <c r="D234" i="2"/>
  <c r="C234" i="2"/>
  <c r="B234" i="2"/>
  <c r="C106" i="2"/>
  <c r="D106" i="2"/>
  <c r="B106" i="2"/>
  <c r="D302" i="2"/>
  <c r="C302" i="2"/>
  <c r="B302" i="2"/>
  <c r="D270" i="2"/>
  <c r="C270" i="2"/>
  <c r="B270" i="2"/>
  <c r="D35" i="2"/>
  <c r="B35" i="2"/>
  <c r="C35" i="2"/>
  <c r="B345" i="2"/>
  <c r="D345" i="2"/>
  <c r="C345" i="2"/>
  <c r="D358" i="2"/>
  <c r="C358" i="2"/>
  <c r="B358" i="2"/>
  <c r="C26" i="2"/>
  <c r="B26" i="2"/>
  <c r="D26" i="2"/>
  <c r="D309" i="2"/>
  <c r="C309" i="2"/>
  <c r="B309" i="2"/>
  <c r="D71" i="2"/>
  <c r="C71" i="2"/>
  <c r="B71" i="2"/>
  <c r="C136" i="2"/>
  <c r="D136" i="2"/>
  <c r="B136" i="2"/>
  <c r="D164" i="2"/>
  <c r="C164" i="2"/>
  <c r="B164" i="2"/>
  <c r="D207" i="2"/>
  <c r="C207" i="2"/>
  <c r="B207" i="2"/>
  <c r="D239" i="2"/>
  <c r="C239" i="2"/>
  <c r="B239" i="2"/>
  <c r="D374" i="2"/>
  <c r="C374" i="2"/>
  <c r="B374" i="2"/>
  <c r="B13" i="2"/>
  <c r="D13" i="2"/>
  <c r="C13" i="2"/>
  <c r="C6" i="2"/>
  <c r="D6" i="2"/>
  <c r="B6" i="2"/>
  <c r="D233" i="2"/>
  <c r="C233" i="2"/>
  <c r="B233" i="2"/>
  <c r="B17" i="2"/>
  <c r="D17" i="2"/>
  <c r="C17" i="2"/>
  <c r="D133" i="2"/>
  <c r="C133" i="2"/>
  <c r="B133" i="2"/>
  <c r="D8" i="2"/>
  <c r="B8" i="2"/>
  <c r="C8" i="2"/>
  <c r="B48" i="2"/>
  <c r="D48" i="2"/>
  <c r="C48" i="2"/>
  <c r="C128" i="2"/>
  <c r="B128" i="2"/>
  <c r="D128" i="2"/>
  <c r="D381" i="2"/>
  <c r="C381" i="2"/>
  <c r="B381" i="2"/>
  <c r="D32" i="2"/>
  <c r="B32" i="2"/>
  <c r="C32" i="2"/>
  <c r="D187" i="2"/>
  <c r="C187" i="2"/>
  <c r="B187" i="2"/>
  <c r="D14" i="2"/>
  <c r="C14" i="2"/>
  <c r="B14" i="2"/>
  <c r="D140" i="2"/>
  <c r="B140" i="2"/>
  <c r="C140" i="2"/>
  <c r="D44" i="2"/>
  <c r="C44" i="2"/>
  <c r="B44" i="2"/>
  <c r="D60" i="2"/>
  <c r="B60" i="2"/>
  <c r="C60" i="2"/>
  <c r="C182" i="2"/>
  <c r="D182" i="2"/>
  <c r="B182" i="2"/>
  <c r="D388" i="2"/>
  <c r="C388" i="2"/>
  <c r="B388" i="2"/>
  <c r="B196" i="2"/>
  <c r="D196" i="2"/>
  <c r="C196" i="2"/>
  <c r="C237" i="2"/>
  <c r="D237" i="2"/>
  <c r="B237" i="2"/>
  <c r="D266" i="2"/>
  <c r="C266" i="2"/>
  <c r="B266" i="2"/>
  <c r="D340" i="2"/>
  <c r="B340" i="2"/>
  <c r="C340" i="2"/>
  <c r="A27" i="2" a="1"/>
  <c r="A27" i="2" s="1"/>
  <c r="A344" i="2" a="1"/>
  <c r="A344" i="2" s="1"/>
  <c r="D173" i="2"/>
  <c r="C173" i="2"/>
  <c r="B173" i="2"/>
  <c r="D323" i="2"/>
  <c r="C323" i="2"/>
  <c r="B323" i="2"/>
  <c r="B336" i="2"/>
  <c r="D156" i="2"/>
  <c r="C156" i="2"/>
  <c r="B135" i="2"/>
  <c r="B146" i="2"/>
  <c r="B163" i="2"/>
  <c r="B168" i="2"/>
  <c r="B174" i="2"/>
  <c r="D238" i="2"/>
  <c r="C238" i="2"/>
  <c r="B238" i="2"/>
  <c r="B255" i="2"/>
  <c r="D268" i="2"/>
  <c r="C268" i="2"/>
  <c r="B268" i="2"/>
  <c r="D274" i="2"/>
  <c r="C274" i="2"/>
  <c r="B274" i="2"/>
  <c r="D291" i="2"/>
  <c r="B298" i="2"/>
  <c r="D306" i="2"/>
  <c r="C306" i="2"/>
  <c r="B306" i="2"/>
  <c r="C336" i="2"/>
  <c r="C387" i="2"/>
  <c r="A339" i="2" a="1"/>
  <c r="A339" i="2" s="1"/>
  <c r="A356" i="2" a="1"/>
  <c r="A356" i="2" s="1"/>
  <c r="A230" i="2" a="1"/>
  <c r="A230" i="2" s="1"/>
  <c r="B40" i="2"/>
  <c r="D49" i="2"/>
  <c r="B49" i="2"/>
  <c r="C49" i="2"/>
  <c r="D151" i="2"/>
  <c r="C151" i="2"/>
  <c r="B151" i="2"/>
  <c r="B156" i="2"/>
  <c r="D191" i="2"/>
  <c r="C191" i="2"/>
  <c r="B191" i="2"/>
  <c r="D209" i="2"/>
  <c r="C209" i="2"/>
  <c r="B209" i="2"/>
  <c r="D305" i="2"/>
  <c r="C305" i="2"/>
  <c r="B305" i="2"/>
  <c r="B72" i="2"/>
  <c r="C72" i="2"/>
  <c r="B86" i="2"/>
  <c r="B67" i="2"/>
  <c r="D72" i="2"/>
  <c r="C118" i="2"/>
  <c r="C146" i="2"/>
  <c r="C163" i="2"/>
  <c r="C168" i="2"/>
  <c r="C174" i="2"/>
  <c r="B197" i="2"/>
  <c r="B215" i="2"/>
  <c r="D220" i="2"/>
  <c r="C220" i="2"/>
  <c r="B220" i="2"/>
  <c r="B251" i="2"/>
  <c r="C255" i="2"/>
  <c r="B280" i="2"/>
  <c r="D292" i="2"/>
  <c r="C292" i="2"/>
  <c r="B292" i="2"/>
  <c r="C298" i="2"/>
  <c r="D324" i="2"/>
  <c r="C324" i="2"/>
  <c r="B324" i="2"/>
  <c r="D331" i="2"/>
  <c r="C331" i="2"/>
  <c r="B363" i="2"/>
  <c r="D394" i="2"/>
  <c r="C394" i="2"/>
  <c r="B394" i="2"/>
  <c r="C5" i="2"/>
  <c r="B5" i="2"/>
  <c r="C40" i="2"/>
  <c r="C54" i="2"/>
  <c r="C31" i="2"/>
  <c r="D45" i="2"/>
  <c r="B45" i="2"/>
  <c r="C86" i="2"/>
  <c r="D1" i="2"/>
  <c r="C1" i="2"/>
  <c r="B50" i="2"/>
  <c r="B63" i="2"/>
  <c r="C67" i="2"/>
  <c r="C87" i="2"/>
  <c r="D87" i="2"/>
  <c r="B87" i="2"/>
  <c r="C92" i="2"/>
  <c r="B97" i="2"/>
  <c r="C102" i="2"/>
  <c r="D108" i="2"/>
  <c r="B108" i="2"/>
  <c r="D118" i="2"/>
  <c r="D135" i="2"/>
  <c r="B192" i="2"/>
  <c r="C197" i="2"/>
  <c r="B204" i="2"/>
  <c r="B210" i="2"/>
  <c r="C215" i="2"/>
  <c r="D221" i="2"/>
  <c r="C221" i="2"/>
  <c r="B221" i="2"/>
  <c r="B228" i="2"/>
  <c r="C251" i="2"/>
  <c r="B269" i="2"/>
  <c r="B275" i="2"/>
  <c r="C280" i="2"/>
  <c r="D313" i="2"/>
  <c r="C313" i="2"/>
  <c r="D337" i="2"/>
  <c r="C337" i="2"/>
  <c r="B337" i="2"/>
  <c r="D363" i="2"/>
  <c r="B31" i="2"/>
  <c r="D107" i="2"/>
  <c r="C107" i="2"/>
  <c r="B107" i="2"/>
  <c r="D54" i="2"/>
  <c r="B92" i="2"/>
  <c r="B102" i="2"/>
  <c r="D5" i="2"/>
  <c r="B22" i="2"/>
  <c r="C36" i="2"/>
  <c r="B77" i="2"/>
  <c r="C22" i="2"/>
  <c r="D36" i="2"/>
  <c r="C45" i="2"/>
  <c r="C50" i="2"/>
  <c r="D68" i="2"/>
  <c r="C68" i="2"/>
  <c r="B68" i="2"/>
  <c r="D97" i="2"/>
  <c r="C108" i="2"/>
  <c r="D119" i="2"/>
  <c r="C119" i="2"/>
  <c r="D125" i="2"/>
  <c r="C125" i="2"/>
  <c r="B125" i="2"/>
  <c r="D198" i="2"/>
  <c r="C198" i="2"/>
  <c r="B198" i="2"/>
  <c r="D256" i="2"/>
  <c r="C256" i="2"/>
  <c r="B256" i="2"/>
  <c r="B293" i="2"/>
  <c r="D299" i="2"/>
  <c r="C299" i="2"/>
  <c r="B299" i="2"/>
  <c r="D307" i="2"/>
  <c r="B331" i="2"/>
  <c r="D364" i="2"/>
  <c r="C364" i="2"/>
  <c r="B364" i="2"/>
  <c r="A169" i="2" a="1"/>
  <c r="A169" i="2" s="1"/>
  <c r="D216" i="2"/>
  <c r="C216" i="2"/>
  <c r="B216" i="2"/>
  <c r="C240" i="2"/>
  <c r="B240" i="2"/>
  <c r="D240" i="2"/>
  <c r="D252" i="2"/>
  <c r="C252" i="2"/>
  <c r="B252" i="2"/>
  <c r="D281" i="2"/>
  <c r="C281" i="2"/>
  <c r="B281" i="2"/>
  <c r="D338" i="2"/>
  <c r="B338" i="2"/>
  <c r="B64" i="2"/>
  <c r="D64" i="2"/>
  <c r="C64" i="2"/>
  <c r="B88" i="2"/>
  <c r="B98" i="2"/>
  <c r="B109" i="2"/>
  <c r="D241" i="2"/>
  <c r="C241" i="2"/>
  <c r="C338" i="2"/>
  <c r="B365" i="2"/>
  <c r="B383" i="2"/>
  <c r="D162" i="2"/>
  <c r="C162" i="2"/>
  <c r="B162" i="2"/>
  <c r="B2" i="2"/>
  <c r="D120" i="2"/>
  <c r="C120" i="2"/>
  <c r="B308" i="2"/>
  <c r="D353" i="2"/>
  <c r="C353" i="2"/>
  <c r="B353" i="2"/>
  <c r="C365" i="2"/>
  <c r="C383" i="2"/>
  <c r="D396" i="2"/>
  <c r="C396" i="2"/>
  <c r="B396" i="2"/>
  <c r="D346" i="2"/>
  <c r="C346" i="2"/>
  <c r="B346" i="2"/>
  <c r="D91" i="2"/>
  <c r="C91" i="2"/>
  <c r="B91" i="2"/>
  <c r="B37" i="2"/>
  <c r="B51" i="2"/>
  <c r="C83" i="2"/>
  <c r="D83" i="2"/>
  <c r="B83" i="2"/>
  <c r="C88" i="2"/>
  <c r="C2" i="2"/>
  <c r="C28" i="2"/>
  <c r="C37" i="2"/>
  <c r="C51" i="2"/>
  <c r="C93" i="2"/>
  <c r="B104" i="2"/>
  <c r="B120" i="2"/>
  <c r="C142" i="2"/>
  <c r="C176" i="2"/>
  <c r="D103" i="2"/>
  <c r="C103" i="2"/>
  <c r="B103" i="2"/>
  <c r="D126" i="2"/>
  <c r="B126" i="2"/>
  <c r="B93" i="2"/>
  <c r="C372" i="2"/>
  <c r="D115" i="2"/>
  <c r="C127" i="2"/>
  <c r="B132" i="2"/>
  <c r="B149" i="2"/>
  <c r="C188" i="2"/>
  <c r="C200" i="2"/>
  <c r="C206" i="2"/>
  <c r="D212" i="2"/>
  <c r="C212" i="2"/>
  <c r="B212" i="2"/>
  <c r="D229" i="2"/>
  <c r="C242" i="2"/>
  <c r="C247" i="2"/>
  <c r="D259" i="2"/>
  <c r="C259" i="2"/>
  <c r="B283" i="2"/>
  <c r="D295" i="2"/>
  <c r="C295" i="2"/>
  <c r="B295" i="2"/>
  <c r="C320" i="2"/>
  <c r="D333" i="2"/>
  <c r="C333" i="2"/>
  <c r="B333" i="2"/>
  <c r="B354" i="2"/>
  <c r="D359" i="2"/>
  <c r="D372" i="2"/>
  <c r="D377" i="2"/>
  <c r="C23" i="2"/>
  <c r="B23" i="2"/>
  <c r="C98" i="2"/>
  <c r="B142" i="2"/>
  <c r="B257" i="2"/>
  <c r="B78" i="2"/>
  <c r="C159" i="2"/>
  <c r="B159" i="2"/>
  <c r="C149" i="2"/>
  <c r="D188" i="2"/>
  <c r="C195" i="2"/>
  <c r="B195" i="2"/>
  <c r="D200" i="2"/>
  <c r="D206" i="2"/>
  <c r="C224" i="2"/>
  <c r="D242" i="2"/>
  <c r="D247" i="2"/>
  <c r="B259" i="2"/>
  <c r="B265" i="2"/>
  <c r="C283" i="2"/>
  <c r="C354" i="2"/>
  <c r="D360" i="2"/>
  <c r="C360" i="2"/>
  <c r="B360" i="2"/>
  <c r="D378" i="2"/>
  <c r="C378" i="2"/>
  <c r="B378" i="2"/>
  <c r="D385" i="2"/>
  <c r="C385" i="2"/>
  <c r="B385" i="2"/>
  <c r="D226" i="2"/>
  <c r="C226" i="2"/>
  <c r="B226" i="2"/>
  <c r="D19" i="2"/>
  <c r="C19" i="2"/>
  <c r="B170" i="2"/>
  <c r="D170" i="2"/>
  <c r="C170" i="2"/>
  <c r="D223" i="2"/>
  <c r="C223" i="2"/>
  <c r="B69" i="2"/>
  <c r="D109" i="2"/>
  <c r="B211" i="2"/>
  <c r="B229" i="2"/>
  <c r="B241" i="2"/>
  <c r="C257" i="2"/>
  <c r="C301" i="2"/>
  <c r="B359" i="2"/>
  <c r="B15" i="2"/>
  <c r="C38" i="2"/>
  <c r="B38" i="2"/>
  <c r="C69" i="2"/>
  <c r="D137" i="2"/>
  <c r="C137" i="2"/>
  <c r="B137" i="2"/>
  <c r="D301" i="2"/>
  <c r="D367" i="2"/>
  <c r="C367" i="2"/>
  <c r="A11" i="2" a="1"/>
  <c r="A11" i="2" s="1"/>
  <c r="B24" i="2"/>
  <c r="B33" i="2"/>
  <c r="B74" i="2"/>
  <c r="B20" i="2"/>
  <c r="C24" i="2"/>
  <c r="C33" i="2"/>
  <c r="D38" i="2"/>
  <c r="C47" i="2"/>
  <c r="D56" i="2"/>
  <c r="C74" i="2"/>
  <c r="C79" i="2"/>
  <c r="D79" i="2"/>
  <c r="B79" i="2"/>
  <c r="D84" i="2"/>
  <c r="B89" i="2"/>
  <c r="C94" i="2"/>
  <c r="B110" i="2"/>
  <c r="C132" i="2"/>
  <c r="A138" i="2" a="1"/>
  <c r="A138" i="2" s="1"/>
  <c r="B3" i="2"/>
  <c r="C7" i="2"/>
  <c r="C20" i="2"/>
  <c r="B29" i="2"/>
  <c r="D47" i="2"/>
  <c r="B52" i="2"/>
  <c r="C89" i="2"/>
  <c r="D94" i="2"/>
  <c r="B100" i="2"/>
  <c r="C105" i="2"/>
  <c r="C110" i="2"/>
  <c r="A122" i="2" a="1"/>
  <c r="A122" i="2" s="1"/>
  <c r="B154" i="2"/>
  <c r="B160" i="2"/>
  <c r="D195" i="2"/>
  <c r="B218" i="2"/>
  <c r="D224" i="2"/>
  <c r="C236" i="2"/>
  <c r="D248" i="2"/>
  <c r="C248" i="2"/>
  <c r="B248" i="2"/>
  <c r="C265" i="2"/>
  <c r="B327" i="2"/>
  <c r="B334" i="2"/>
  <c r="C391" i="2"/>
  <c r="D288" i="2"/>
  <c r="C288" i="2"/>
  <c r="B288" i="2"/>
  <c r="C308" i="2"/>
  <c r="D366" i="2"/>
  <c r="C366" i="2"/>
  <c r="B366" i="2"/>
  <c r="D347" i="2"/>
  <c r="C347" i="2"/>
  <c r="C377" i="2"/>
  <c r="D15" i="2"/>
  <c r="C84" i="2"/>
  <c r="B7" i="2"/>
  <c r="D127" i="2"/>
  <c r="C3" i="2"/>
  <c r="C29" i="2"/>
  <c r="D34" i="2"/>
  <c r="C34" i="2"/>
  <c r="B34" i="2"/>
  <c r="B43" i="2"/>
  <c r="C52" i="2"/>
  <c r="B70" i="2"/>
  <c r="D95" i="2"/>
  <c r="C95" i="2"/>
  <c r="B95" i="2"/>
  <c r="C100" i="2"/>
  <c r="D105" i="2"/>
  <c r="C154" i="2"/>
  <c r="C160" i="2"/>
  <c r="B178" i="2"/>
  <c r="B183" i="2"/>
  <c r="C218" i="2"/>
  <c r="D236" i="2"/>
  <c r="D284" i="2"/>
  <c r="B284" i="2"/>
  <c r="C303" i="2"/>
  <c r="B303" i="2"/>
  <c r="D303" i="2"/>
  <c r="C327" i="2"/>
  <c r="C334" i="2"/>
  <c r="B341" i="2"/>
  <c r="B373" i="2"/>
  <c r="B379" i="2"/>
  <c r="D379" i="2"/>
  <c r="C379" i="2"/>
  <c r="D391" i="2"/>
  <c r="D202" i="2"/>
  <c r="C202" i="2"/>
  <c r="B202" i="2"/>
  <c r="C104" i="2"/>
  <c r="B115" i="2"/>
  <c r="C121" i="2"/>
  <c r="B121" i="2"/>
  <c r="D143" i="2"/>
  <c r="C143" i="2"/>
  <c r="B143" i="2"/>
  <c r="D159" i="2"/>
  <c r="D165" i="2"/>
  <c r="C165" i="2"/>
  <c r="B165" i="2"/>
  <c r="C177" i="2"/>
  <c r="B177" i="2"/>
  <c r="C211" i="2"/>
  <c r="D258" i="2"/>
  <c r="C258" i="2"/>
  <c r="B258" i="2"/>
  <c r="B320" i="2"/>
  <c r="D12" i="2"/>
  <c r="C12" i="2"/>
  <c r="B12" i="2"/>
  <c r="B39" i="2"/>
  <c r="D43" i="2"/>
  <c r="C53" i="2"/>
  <c r="B53" i="2"/>
  <c r="C70" i="2"/>
  <c r="D111" i="2"/>
  <c r="C111" i="2"/>
  <c r="B111" i="2"/>
  <c r="C178" i="2"/>
  <c r="C183" i="2"/>
  <c r="B232" i="2"/>
  <c r="B297" i="2"/>
  <c r="A322" i="2" a="1"/>
  <c r="A322" i="2" s="1"/>
  <c r="C341" i="2"/>
  <c r="D349" i="2"/>
  <c r="C349" i="2"/>
  <c r="C373" i="2"/>
  <c r="A392" i="2" a="1"/>
  <c r="A392" i="2" s="1"/>
  <c r="D399" i="2"/>
  <c r="C399" i="2"/>
  <c r="B399" i="2"/>
  <c r="B222" i="2"/>
  <c r="C222" i="2"/>
  <c r="B28" i="2"/>
  <c r="C78" i="2"/>
  <c r="D99" i="2"/>
  <c r="C99" i="2"/>
  <c r="B99" i="2"/>
  <c r="B223" i="2"/>
  <c r="D384" i="2"/>
  <c r="C384" i="2"/>
  <c r="B384" i="2"/>
  <c r="B56" i="2"/>
  <c r="A260" i="2" a="1"/>
  <c r="A260" i="2" s="1"/>
  <c r="A352" i="2" a="1"/>
  <c r="A352" i="2" s="1"/>
  <c r="B25" i="2"/>
  <c r="D30" i="2"/>
  <c r="C30" i="2"/>
  <c r="A62" i="2" a="1"/>
  <c r="A62" i="2" s="1"/>
  <c r="D101" i="2"/>
  <c r="C101" i="2"/>
  <c r="C123" i="2"/>
  <c r="B123" i="2"/>
  <c r="D155" i="2"/>
  <c r="C155" i="2"/>
  <c r="B155" i="2"/>
  <c r="B225" i="2"/>
  <c r="C284" i="2"/>
  <c r="D290" i="2"/>
  <c r="C290" i="2"/>
  <c r="B290" i="2"/>
  <c r="D335" i="2"/>
  <c r="C335" i="2"/>
  <c r="B335" i="2"/>
  <c r="D227" i="2"/>
  <c r="C227" i="2"/>
  <c r="B227" i="2"/>
  <c r="D317" i="2"/>
  <c r="C317" i="2"/>
  <c r="B317" i="2"/>
  <c r="D382" i="2"/>
  <c r="C382" i="2"/>
  <c r="B382" i="2"/>
  <c r="B398" i="2"/>
  <c r="C267" i="2"/>
  <c r="B267" i="2"/>
  <c r="D267" i="2"/>
  <c r="D342" i="2"/>
  <c r="C342" i="2"/>
  <c r="B342" i="2"/>
  <c r="D398" i="2"/>
  <c r="C116" i="2"/>
  <c r="D184" i="2"/>
  <c r="C184" i="2"/>
  <c r="B184" i="2"/>
  <c r="B300" i="2"/>
  <c r="D328" i="2"/>
  <c r="C328" i="2"/>
  <c r="B328" i="2"/>
  <c r="B161" i="2"/>
  <c r="B175" i="2"/>
  <c r="B189" i="2"/>
  <c r="B203" i="2"/>
  <c r="B244" i="2"/>
  <c r="C249" i="2"/>
  <c r="B249" i="2"/>
  <c r="B272" i="2"/>
  <c r="D277" i="2"/>
  <c r="C277" i="2"/>
  <c r="B286" i="2"/>
  <c r="C300" i="2"/>
  <c r="B319" i="2"/>
  <c r="D389" i="2"/>
  <c r="C389" i="2"/>
  <c r="B389" i="2"/>
  <c r="C161" i="2"/>
  <c r="D166" i="2"/>
  <c r="C166" i="2"/>
  <c r="B166" i="2"/>
  <c r="C175" i="2"/>
  <c r="D180" i="2"/>
  <c r="C180" i="2"/>
  <c r="B180" i="2"/>
  <c r="C189" i="2"/>
  <c r="C203" i="2"/>
  <c r="C231" i="2"/>
  <c r="B231" i="2"/>
  <c r="C244" i="2"/>
  <c r="D249" i="2"/>
  <c r="D263" i="2"/>
  <c r="C263" i="2"/>
  <c r="B263" i="2"/>
  <c r="C272" i="2"/>
  <c r="C282" i="2"/>
  <c r="C286" i="2"/>
  <c r="D310" i="2"/>
  <c r="C310" i="2"/>
  <c r="B310" i="2"/>
  <c r="C319" i="2"/>
  <c r="B329" i="2"/>
  <c r="C343" i="2"/>
  <c r="D361" i="2"/>
  <c r="C370" i="2"/>
  <c r="D112" i="2"/>
  <c r="C112" i="2"/>
  <c r="B112" i="2"/>
  <c r="B80" i="2"/>
  <c r="D129" i="2"/>
  <c r="B139" i="2"/>
  <c r="D147" i="2"/>
  <c r="B157" i="2"/>
  <c r="B171" i="2"/>
  <c r="B185" i="2"/>
  <c r="B199" i="2"/>
  <c r="D231" i="2"/>
  <c r="B277" i="2"/>
  <c r="B296" i="2"/>
  <c r="C296" i="2"/>
  <c r="B315" i="2"/>
  <c r="C329" i="2"/>
  <c r="D343" i="2"/>
  <c r="B348" i="2"/>
  <c r="B380" i="2"/>
  <c r="D130" i="2"/>
  <c r="C130" i="2"/>
  <c r="B130" i="2"/>
  <c r="D148" i="2"/>
  <c r="C148" i="2"/>
  <c r="B148" i="2"/>
  <c r="B194" i="2"/>
  <c r="C213" i="2"/>
  <c r="B213" i="2"/>
  <c r="D245" i="2"/>
  <c r="C245" i="2"/>
  <c r="B245" i="2"/>
  <c r="B278" i="2"/>
  <c r="C278" i="2"/>
  <c r="D371" i="2"/>
  <c r="C371" i="2"/>
  <c r="B371" i="2"/>
  <c r="D400" i="2"/>
  <c r="C400" i="2"/>
  <c r="B400" i="2"/>
  <c r="B141" i="2"/>
  <c r="B321" i="2"/>
  <c r="B357" i="2"/>
  <c r="B375" i="2"/>
  <c r="B393" i="2"/>
  <c r="D62" i="2" l="1"/>
  <c r="C62" i="2"/>
  <c r="B62" i="2"/>
  <c r="C352" i="2"/>
  <c r="B352" i="2"/>
  <c r="D352" i="2"/>
  <c r="D344" i="2"/>
  <c r="C344" i="2"/>
  <c r="B344" i="2"/>
  <c r="D392" i="2"/>
  <c r="B392" i="2"/>
  <c r="C392" i="2"/>
  <c r="B260" i="2"/>
  <c r="D260" i="2"/>
  <c r="C260" i="2"/>
  <c r="B27" i="2"/>
  <c r="D27" i="2"/>
  <c r="C27" i="2"/>
  <c r="D230" i="2"/>
  <c r="C230" i="2"/>
  <c r="B230" i="2"/>
  <c r="B322" i="2"/>
  <c r="D322" i="2"/>
  <c r="C322" i="2"/>
  <c r="D138" i="2"/>
  <c r="C138" i="2"/>
  <c r="B138" i="2"/>
  <c r="C339" i="2"/>
  <c r="B339" i="2"/>
  <c r="D339" i="2"/>
  <c r="D356" i="2"/>
  <c r="C356" i="2"/>
  <c r="B356" i="2"/>
  <c r="D11" i="2"/>
  <c r="C11" i="2"/>
  <c r="B11" i="2"/>
  <c r="D122" i="2"/>
  <c r="C122" i="2"/>
  <c r="B122" i="2"/>
  <c r="D169" i="2"/>
  <c r="C169" i="2"/>
  <c r="B169" i="2"/>
  <c r="D172" i="2"/>
  <c r="C172" i="2"/>
  <c r="B17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<sst xmlns="http://schemas.openxmlformats.org/spreadsheetml/2006/main" count="459" uniqueCount="436">
  <si>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</si>
  <si>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</si>
  <si>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</si>
  <si>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</si>
  <si>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</si>
  <si>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</si>
  <si>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</si>
  <si>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</si>
  <si>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</si>
  <si>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</si>
  <si>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</si>
  <si>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</si>
  <si>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</si>
  <si>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</si>
  <si>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</si>
  <si>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</si>
  <si>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</si>
  <si>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</si>
  <si>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</si>
  <si>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</si>
  <si>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</si>
  <si>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</si>
  <si>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</si>
  <si>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</si>
  <si>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</si>
  <si>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</si>
  <si>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</si>
  <si>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</si>
  <si>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</si>
  <si>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</si>
  <si>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</si>
  <si>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</si>
  <si>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</si>
  <si>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</si>
  <si>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</si>
  <si>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2#1601</t>
  </si>
  <si>
    <t>2#1602</t>
  </si>
  <si>
    <t>2#1603</t>
  </si>
  <si>
    <t>2#1604</t>
  </si>
  <si>
    <t>2#1605</t>
  </si>
  <si>
    <t>2#1606</t>
  </si>
  <si>
    <t>2#1607</t>
  </si>
  <si>
    <t>2#1608</t>
  </si>
  <si>
    <t>2#1609</t>
  </si>
  <si>
    <t>2#1610</t>
  </si>
  <si>
    <t>2#1611</t>
  </si>
  <si>
    <t>2#1612</t>
  </si>
  <si>
    <t>2#1613</t>
  </si>
  <si>
    <t>2#1614</t>
  </si>
  <si>
    <t>2#1615</t>
  </si>
  <si>
    <t>2#1616</t>
  </si>
  <si>
    <t>2#1617</t>
  </si>
  <si>
    <t>2#1618</t>
  </si>
  <si>
    <t>2#1619</t>
  </si>
  <si>
    <t>2#1620</t>
  </si>
  <si>
    <t>2#1621</t>
  </si>
  <si>
    <t>2#1622</t>
  </si>
  <si>
    <t>2#1623</t>
  </si>
  <si>
    <t>2#1624</t>
  </si>
  <si>
    <t>2#1625</t>
  </si>
  <si>
    <t>2#1626</t>
  </si>
  <si>
    <t>2#1627</t>
  </si>
  <si>
    <t>2#1628</t>
  </si>
  <si>
    <t>2#1629</t>
  </si>
  <si>
    <t>2#1630</t>
  </si>
  <si>
    <t>2#1631</t>
  </si>
  <si>
    <t>2#1632</t>
  </si>
  <si>
    <t>2#1633</t>
  </si>
  <si>
    <t>2#1634</t>
  </si>
  <si>
    <t>2#1635</t>
  </si>
  <si>
    <t>2#1636</t>
  </si>
  <si>
    <t>2#1637</t>
  </si>
  <si>
    <t>2#1638</t>
  </si>
  <si>
    <t>2#1639</t>
  </si>
  <si>
    <t>2#1640</t>
  </si>
  <si>
    <t>2#1641</t>
  </si>
  <si>
    <t>2#1642</t>
  </si>
  <si>
    <t>2#1643</t>
  </si>
  <si>
    <t>2#1644</t>
  </si>
  <si>
    <t>2#1645</t>
  </si>
  <si>
    <t>2#1646</t>
  </si>
  <si>
    <t>2#1647</t>
  </si>
  <si>
    <t>2#1648</t>
  </si>
  <si>
    <t>2#1649</t>
  </si>
  <si>
    <t>2#1650</t>
  </si>
  <si>
    <t>2#1651</t>
  </si>
  <si>
    <t>2#1652</t>
  </si>
  <si>
    <t>2#1653</t>
  </si>
  <si>
    <t>2#1654</t>
  </si>
  <si>
    <t>2#1655</t>
  </si>
  <si>
    <t>2#1656</t>
  </si>
  <si>
    <t>2#1657</t>
  </si>
  <si>
    <t>2#1658</t>
  </si>
  <si>
    <t>2#1659</t>
  </si>
  <si>
    <t>2#1660</t>
  </si>
  <si>
    <t>2#1661</t>
  </si>
  <si>
    <t>2#1662</t>
  </si>
  <si>
    <t>2#1663</t>
  </si>
  <si>
    <t>2#1664</t>
  </si>
  <si>
    <t>2#1665</t>
  </si>
  <si>
    <t>2#1666</t>
  </si>
  <si>
    <t>2#1667</t>
  </si>
  <si>
    <t>2#1668</t>
  </si>
  <si>
    <t>2#1669</t>
  </si>
  <si>
    <t>2#1670</t>
  </si>
  <si>
    <t>2#1671</t>
  </si>
  <si>
    <t>2#1672</t>
  </si>
  <si>
    <t>2#1673</t>
  </si>
  <si>
    <t>2#1674</t>
  </si>
  <si>
    <t>2#1675</t>
  </si>
  <si>
    <t>2#1676</t>
  </si>
  <si>
    <t>2#1677</t>
  </si>
  <si>
    <t>2#1678</t>
  </si>
  <si>
    <t>2#1679</t>
  </si>
  <si>
    <t>2#1680</t>
  </si>
  <si>
    <t>2#1681</t>
  </si>
  <si>
    <t>2#1682</t>
  </si>
  <si>
    <t>2#1683</t>
  </si>
  <si>
    <t>2#1684</t>
  </si>
  <si>
    <t>2#1685</t>
  </si>
  <si>
    <t>2#1686</t>
  </si>
  <si>
    <t>2#1687</t>
  </si>
  <si>
    <t>2#1688</t>
  </si>
  <si>
    <t>2#1689</t>
  </si>
  <si>
    <t>2#1690</t>
  </si>
  <si>
    <t>2#1691</t>
  </si>
  <si>
    <t>2#1692</t>
  </si>
  <si>
    <t>2#1693</t>
  </si>
  <si>
    <t>2#1694</t>
  </si>
  <si>
    <t>2#1695</t>
  </si>
  <si>
    <t>2#1696</t>
  </si>
  <si>
    <t>2#1697</t>
  </si>
  <si>
    <t>2#1698</t>
  </si>
  <si>
    <t>2#1699</t>
  </si>
  <si>
    <t>2#1700</t>
  </si>
  <si>
    <t>2#1701</t>
  </si>
  <si>
    <t>2#1702</t>
  </si>
  <si>
    <t>2#1703</t>
  </si>
  <si>
    <t>2#1704</t>
  </si>
  <si>
    <t>2#1705</t>
  </si>
  <si>
    <t>2#1706</t>
  </si>
  <si>
    <t>2#1707</t>
  </si>
  <si>
    <t>2#1708</t>
  </si>
  <si>
    <t>2#1709</t>
  </si>
  <si>
    <t>2#1710</t>
  </si>
  <si>
    <t>2#1711</t>
  </si>
  <si>
    <t>2#1712</t>
  </si>
  <si>
    <t>2#1713</t>
  </si>
  <si>
    <t>2#1714</t>
  </si>
  <si>
    <t>2#1715</t>
  </si>
  <si>
    <t>2#1716</t>
  </si>
  <si>
    <t>2#1717</t>
  </si>
  <si>
    <t>2#1718</t>
  </si>
  <si>
    <t>2#1719</t>
  </si>
  <si>
    <t>2#1720</t>
  </si>
  <si>
    <t>2#1721</t>
  </si>
  <si>
    <t>2#1722</t>
  </si>
  <si>
    <t>2#1723</t>
  </si>
  <si>
    <t>2#1724</t>
  </si>
  <si>
    <t>2#1725</t>
  </si>
  <si>
    <t>2#1726</t>
  </si>
  <si>
    <t>2#1727</t>
  </si>
  <si>
    <t>2#1728</t>
  </si>
  <si>
    <t>2#1729</t>
  </si>
  <si>
    <t>2#1730</t>
  </si>
  <si>
    <t>2#1731</t>
  </si>
  <si>
    <t>2#1732</t>
  </si>
  <si>
    <t>2#1733</t>
  </si>
  <si>
    <t>2#1734</t>
  </si>
  <si>
    <t>2#1735</t>
  </si>
  <si>
    <t>2#1736</t>
  </si>
  <si>
    <t>2#1737</t>
  </si>
  <si>
    <t>2#1738</t>
  </si>
  <si>
    <t>2#1739</t>
  </si>
  <si>
    <t>2#1740</t>
  </si>
  <si>
    <t>2#1741</t>
  </si>
  <si>
    <t>2#1742</t>
  </si>
  <si>
    <t>2#1743</t>
  </si>
  <si>
    <t>2#1744</t>
  </si>
  <si>
    <t>2#1745</t>
  </si>
  <si>
    <t>2#1746</t>
  </si>
  <si>
    <t>2#1747</t>
  </si>
  <si>
    <t>2#1748</t>
  </si>
  <si>
    <t>2#1749</t>
  </si>
  <si>
    <t>2#1750</t>
  </si>
  <si>
    <t>2#1751</t>
  </si>
  <si>
    <t>2#1752</t>
  </si>
  <si>
    <t>2#1753</t>
  </si>
  <si>
    <t>2#1754</t>
  </si>
  <si>
    <t>2#1755</t>
  </si>
  <si>
    <t>2#1756</t>
  </si>
  <si>
    <t>2#1757</t>
  </si>
  <si>
    <t>2#1758</t>
  </si>
  <si>
    <t>2#1759</t>
  </si>
  <si>
    <t>2#1760</t>
  </si>
  <si>
    <t>2#1761</t>
  </si>
  <si>
    <t>2#1762</t>
  </si>
  <si>
    <t>2#1763</t>
  </si>
  <si>
    <t>2#1764</t>
  </si>
  <si>
    <t>2#1765</t>
  </si>
  <si>
    <t>2#1766</t>
  </si>
  <si>
    <t>2#1767</t>
  </si>
  <si>
    <t>2#1768</t>
  </si>
  <si>
    <t>2#1769</t>
  </si>
  <si>
    <t>2#1770</t>
  </si>
  <si>
    <t>2#1771</t>
  </si>
  <si>
    <t>2#1772</t>
  </si>
  <si>
    <t>2#1773</t>
  </si>
  <si>
    <t>2#1774</t>
  </si>
  <si>
    <t>2#1775</t>
  </si>
  <si>
    <t>2#1776</t>
  </si>
  <si>
    <t>2#1777</t>
  </si>
  <si>
    <t>2#1778</t>
  </si>
  <si>
    <t>2#1779</t>
  </si>
  <si>
    <t>2#1780</t>
  </si>
  <si>
    <t>2#1781</t>
  </si>
  <si>
    <t>2#1782</t>
  </si>
  <si>
    <t>2#1783</t>
  </si>
  <si>
    <t>2#1784</t>
  </si>
  <si>
    <t>2#1785</t>
  </si>
  <si>
    <t>2#1786</t>
  </si>
  <si>
    <t>2#1787</t>
  </si>
  <si>
    <t>2#1788</t>
  </si>
  <si>
    <t>2#1789</t>
  </si>
  <si>
    <t>2#1790</t>
  </si>
  <si>
    <t>2#1791</t>
  </si>
  <si>
    <t>2#1792</t>
  </si>
  <si>
    <t>2#1793</t>
  </si>
  <si>
    <t>2#1794</t>
  </si>
  <si>
    <t>2#1795</t>
  </si>
  <si>
    <t>2#1796</t>
  </si>
  <si>
    <t>2#1797</t>
  </si>
  <si>
    <t>2#1798</t>
  </si>
  <si>
    <t>2#1799</t>
  </si>
  <si>
    <t>2#1800</t>
  </si>
  <si>
    <t>2#1801</t>
  </si>
  <si>
    <t>2#1802</t>
  </si>
  <si>
    <t>2#1803</t>
  </si>
  <si>
    <t>2#1804</t>
  </si>
  <si>
    <t>2#1805</t>
  </si>
  <si>
    <t>2#1806</t>
  </si>
  <si>
    <t>2#1807</t>
  </si>
  <si>
    <t>2#1808</t>
  </si>
  <si>
    <t>2#1809</t>
  </si>
  <si>
    <t>2#1810</t>
  </si>
  <si>
    <t>2#1811</t>
  </si>
  <si>
    <t>2#1812</t>
  </si>
  <si>
    <t>2#1813</t>
  </si>
  <si>
    <t>2#1814</t>
  </si>
  <si>
    <t>2#1815</t>
  </si>
  <si>
    <t>2#1816</t>
  </si>
  <si>
    <t>2#1817</t>
  </si>
  <si>
    <t>2#1818</t>
  </si>
  <si>
    <t>2#1819</t>
  </si>
  <si>
    <t>2#1820</t>
  </si>
  <si>
    <t>2#1821</t>
  </si>
  <si>
    <t>2#1822</t>
  </si>
  <si>
    <t>2#1823</t>
  </si>
  <si>
    <t>2#1824</t>
  </si>
  <si>
    <t>2#1825</t>
  </si>
  <si>
    <t>2#1826</t>
  </si>
  <si>
    <t>2#1827</t>
  </si>
  <si>
    <t>2#1828</t>
  </si>
  <si>
    <t>2#1829</t>
  </si>
  <si>
    <t>2#1830</t>
  </si>
  <si>
    <t>2#1831</t>
  </si>
  <si>
    <t>2#1832</t>
  </si>
  <si>
    <t>2#1833</t>
  </si>
  <si>
    <t>2#1834</t>
  </si>
  <si>
    <t>2#1835</t>
  </si>
  <si>
    <t>2#1836</t>
  </si>
  <si>
    <t>2#1837</t>
  </si>
  <si>
    <t>2#1838</t>
  </si>
  <si>
    <t>2#1839</t>
  </si>
  <si>
    <t>2#1840</t>
  </si>
  <si>
    <t>2#1841</t>
  </si>
  <si>
    <t>2#1842</t>
  </si>
  <si>
    <t>2#1843</t>
  </si>
  <si>
    <t>2#1844</t>
  </si>
  <si>
    <t>2#1845</t>
  </si>
  <si>
    <t>2#1846</t>
  </si>
  <si>
    <t>2#1847</t>
  </si>
  <si>
    <t>2#1848</t>
  </si>
  <si>
    <t>2#1849</t>
  </si>
  <si>
    <t>2#1850</t>
  </si>
  <si>
    <t>2#1851</t>
  </si>
  <si>
    <t>2#1852</t>
  </si>
  <si>
    <t>2#1853</t>
  </si>
  <si>
    <t>2#1854</t>
  </si>
  <si>
    <t>2#1855</t>
  </si>
  <si>
    <t>2#1856</t>
  </si>
  <si>
    <t>2#1857</t>
  </si>
  <si>
    <t>2#1858</t>
  </si>
  <si>
    <t>2#1859</t>
  </si>
  <si>
    <t>2#1860</t>
  </si>
  <si>
    <t>2#1861</t>
  </si>
  <si>
    <t>2#1862</t>
  </si>
  <si>
    <t>2#1863</t>
  </si>
  <si>
    <t>2#1864</t>
  </si>
  <si>
    <t>2#1865</t>
  </si>
  <si>
    <t>2#1866</t>
  </si>
  <si>
    <t>2#1867</t>
  </si>
  <si>
    <t>2#1868</t>
  </si>
  <si>
    <t>2#1869</t>
  </si>
  <si>
    <t>2#1870</t>
  </si>
  <si>
    <t>2#1871</t>
  </si>
  <si>
    <t>2#1872</t>
  </si>
  <si>
    <t>2#1873</t>
  </si>
  <si>
    <t>2#1874</t>
  </si>
  <si>
    <t>2#1875</t>
  </si>
  <si>
    <t>2#1876</t>
  </si>
  <si>
    <t>2#1877</t>
  </si>
  <si>
    <t>2#1878</t>
  </si>
  <si>
    <t>2#1879</t>
  </si>
  <si>
    <t>2#1880</t>
  </si>
  <si>
    <t>2#1881</t>
  </si>
  <si>
    <t>2#1882</t>
  </si>
  <si>
    <t>2#1883</t>
  </si>
  <si>
    <t>2#1884</t>
  </si>
  <si>
    <t>2#1885</t>
  </si>
  <si>
    <t>2#1886</t>
  </si>
  <si>
    <t>2#1887</t>
  </si>
  <si>
    <t>2#1888</t>
  </si>
  <si>
    <t>2#1889</t>
  </si>
  <si>
    <t>2#1890</t>
  </si>
  <si>
    <t>2#1891</t>
  </si>
  <si>
    <t>2#1892</t>
  </si>
  <si>
    <t>2#1893</t>
  </si>
  <si>
    <t>2#1894</t>
  </si>
  <si>
    <t>2#1895</t>
  </si>
  <si>
    <t>2#1896</t>
  </si>
  <si>
    <t>2#1897</t>
  </si>
  <si>
    <t>2#1898</t>
  </si>
  <si>
    <t>2#1899</t>
  </si>
  <si>
    <t>2#1900</t>
  </si>
  <si>
    <t>2#1901</t>
  </si>
  <si>
    <t>2#1902</t>
  </si>
  <si>
    <t>2#1903</t>
  </si>
  <si>
    <t>2#1904</t>
  </si>
  <si>
    <t>2#1905</t>
  </si>
  <si>
    <t>2#1906</t>
  </si>
  <si>
    <t>2#1907</t>
  </si>
  <si>
    <t>2#1908</t>
  </si>
  <si>
    <t>2#1909</t>
  </si>
  <si>
    <t>2#1910</t>
  </si>
  <si>
    <t>2#1911</t>
  </si>
  <si>
    <t>2#1912</t>
  </si>
  <si>
    <t>2#1913</t>
  </si>
  <si>
    <t>2#1914</t>
  </si>
  <si>
    <t>2#1915</t>
  </si>
  <si>
    <t>2#1916</t>
  </si>
  <si>
    <t>2#1917</t>
  </si>
  <si>
    <t>2#1918</t>
  </si>
  <si>
    <t>2#1919</t>
  </si>
  <si>
    <t>2#1920</t>
  </si>
  <si>
    <t>2#1921</t>
  </si>
  <si>
    <t>2#1922</t>
  </si>
  <si>
    <t>2#1923</t>
  </si>
  <si>
    <t>2#1924</t>
  </si>
  <si>
    <t>2#1925</t>
  </si>
  <si>
    <t>2#1926</t>
  </si>
  <si>
    <t>2#1927</t>
  </si>
  <si>
    <t>2#1928</t>
  </si>
  <si>
    <t>2#1929</t>
  </si>
  <si>
    <t>2#1930</t>
  </si>
  <si>
    <t>2#1931</t>
  </si>
  <si>
    <t>2#1932</t>
  </si>
  <si>
    <t>2#1933</t>
  </si>
  <si>
    <t>2#1934</t>
  </si>
  <si>
    <t>2#1935</t>
  </si>
  <si>
    <t>2#1936</t>
  </si>
  <si>
    <t>2#1937</t>
  </si>
  <si>
    <t>2#1938</t>
  </si>
  <si>
    <t>2#1939</t>
  </si>
  <si>
    <t>2#1940</t>
  </si>
  <si>
    <t>2#1941</t>
  </si>
  <si>
    <t>2#1942</t>
  </si>
  <si>
    <t>2#1943</t>
  </si>
  <si>
    <t>2#1944</t>
  </si>
  <si>
    <t>2#1945</t>
  </si>
  <si>
    <t>2#1946</t>
  </si>
  <si>
    <t>2#1947</t>
  </si>
  <si>
    <t>2#1948</t>
  </si>
  <si>
    <t>2#1949</t>
  </si>
  <si>
    <t>2#1950</t>
  </si>
  <si>
    <t>2#1951</t>
  </si>
  <si>
    <t>2#1952</t>
  </si>
  <si>
    <t>2#1953</t>
  </si>
  <si>
    <t>2#1954</t>
  </si>
  <si>
    <t>2#1955</t>
  </si>
  <si>
    <t>2#1956</t>
  </si>
  <si>
    <t>2#1957</t>
  </si>
  <si>
    <t>2#1958</t>
  </si>
  <si>
    <t>2#1959</t>
  </si>
  <si>
    <t>2#1960</t>
  </si>
  <si>
    <t>2#1961</t>
  </si>
  <si>
    <t>2#1962</t>
  </si>
  <si>
    <t>2#1963</t>
  </si>
  <si>
    <t>2#1964</t>
  </si>
  <si>
    <t>2#1965</t>
  </si>
  <si>
    <t>2#1966</t>
  </si>
  <si>
    <t>2#1967</t>
  </si>
  <si>
    <t>2#1968</t>
  </si>
  <si>
    <t>2#1969</t>
  </si>
  <si>
    <t>2#1970</t>
  </si>
  <si>
    <t>2#1971</t>
  </si>
  <si>
    <t>2#1972</t>
  </si>
  <si>
    <t>2#1973</t>
  </si>
  <si>
    <t>2#1974</t>
  </si>
  <si>
    <t>2#1975</t>
  </si>
  <si>
    <t>2#1976</t>
  </si>
  <si>
    <t>2#1977</t>
  </si>
  <si>
    <t>2#1978</t>
  </si>
  <si>
    <t>2#1979</t>
  </si>
  <si>
    <t>2#1980</t>
  </si>
  <si>
    <t>2#1981</t>
  </si>
  <si>
    <t>2#1982</t>
  </si>
  <si>
    <t>2#1983</t>
  </si>
  <si>
    <t>2#1984</t>
  </si>
  <si>
    <t>2#1985</t>
  </si>
  <si>
    <t>2#1986</t>
  </si>
  <si>
    <t>2#1987</t>
  </si>
  <si>
    <t>2#1988</t>
  </si>
  <si>
    <t>2#1989</t>
  </si>
  <si>
    <t>2#1990</t>
  </si>
  <si>
    <t>2#1991</t>
  </si>
  <si>
    <t>2#1992</t>
  </si>
  <si>
    <t>2#1993</t>
  </si>
  <si>
    <t>2#1994</t>
  </si>
  <si>
    <t>2#1995</t>
  </si>
  <si>
    <t>2#1996</t>
  </si>
  <si>
    <t>2#1997</t>
  </si>
  <si>
    <t>2#1998</t>
  </si>
  <si>
    <t>2#1999</t>
  </si>
  <si>
    <t>2#2000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</si>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</sst>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8</v>
    <v>1</v>
    <v>1</v>
  </rv>
  <rv s="0">
    <v>0</v>
    <v>8</v>
    <v>5</v>
    <v>1</v>
  </rv>
  <rv s="0">
    <v>1</v>
    <v>8</v>
    <v>1</v>
    <v>1</v>
  </rv>
  <rv s="0">
    <v>2</v>
    <v>8</v>
    <v>1</v>
    <v>1</v>
  </rv>
  <rv s="0">
    <v>1</v>
    <v>8</v>
    <v>2</v>
    <v>1</v>
  </rv>
  <rv s="0">
    <v>0</v>
    <v>8</v>
    <v>2</v>
    <v>1</v>
  </rv>
  <rv s="0">
    <v>2</v>
    <v>8</v>
    <v>0</v>
    <v>1</v>
  </rv>
  <rv s="0">
    <v>0</v>
    <v>8</v>
    <v>6</v>
    <v>1</v>
  </rv>
  <rv s="0">
    <v>3</v>
    <v>8</v>
    <v>1</v>
    <v>1</v>
  </rv>
  <rv s="0">
    <v>0</v>
    <v>8</v>
    <v>4</v>
    <v>1</v>
  </rv>
  <rv s="0">
    <v>1</v>
    <v>8</v>
    <v>0</v>
    <v>1</v>
  </rv>
  <rv s="1">
    <v>2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COLUMNS(MODE(1,2,2))</f>
        <v>1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SUM(COUNTIFS(D!G1:G7,D!A5))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COLUMNS(DATEVALUE("2025-01-31"))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37</v>
      </c>
    </row>
    <row r="4" spans="1:5" x14ac:dyDescent="0.2">
      <c r="A4" t="e" cm="1">
        <f t="array" ref="A4">CRITBINOM(D!B7,#DIV/0!,100)</f>
        <v>#DIV/0!</v>
      </c>
      <c r="B4">
        <f t="shared" si="0"/>
        <v>2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b" cm="1">
        <f t="array" ref="A5">SINH(1)&lt;&gt;_xlfn.T.DIST(D!A10,1,{1})</f>
        <v>1</v>
      </c>
      <c r="B5">
        <f t="shared" si="0"/>
        <v>-1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ACOS(10)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_xlfn.PERCENTILE.INC(D!K1:K8,0.3)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str" cm="1">
        <f t="array" ref="A8">UPPER("total")</f>
        <v>TOTAL</v>
      </c>
      <c r="B8">
        <f t="shared" si="0"/>
        <v>-3</v>
      </c>
      <c r="C8">
        <f t="shared" si="1"/>
        <v>0</v>
      </c>
      <c r="D8" t="str">
        <f t="shared" si="2"/>
        <v>TOTAL</v>
      </c>
      <c r="E8" t="s">
        <v>42</v>
      </c>
    </row>
    <row r="9" spans="1:5" x14ac:dyDescent="0.2">
      <c r="A9" t="e" cm="1">
        <f t="array" ref="A9">BESSELI(1000="31-Jan-2025",2)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INDEX(_xlfn.GAMMA.INV(0.068094,9,2),1,1)</f>
        <v>10.00001119143718</v>
      </c>
      <c r="B10">
        <f t="shared" si="0"/>
        <v>0</v>
      </c>
      <c r="C10">
        <f t="shared" si="1"/>
        <v>10.00001119143718</v>
      </c>
      <c r="D10" t="str">
        <f t="shared" si="2"/>
        <v/>
      </c>
      <c r="E10" t="s">
        <v>44</v>
      </c>
    </row>
    <row r="11" spans="1:5" x14ac:dyDescent="0.2">
      <c r="A11" t="e" cm="1">
        <f t="array" ref="A11">RSQ(D!A8,D!C1:C8)</f>
        <v>#N/A</v>
      </c>
      <c r="B11">
        <f t="shared" si="0"/>
        <v>7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COLUMNS(RECEIVED(DATE(2008,2,15),DATE(2008,5,15),"FALSE",0.0575,2))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MIRR(D!I1:I5,0.1,0.12)</f>
        <v>0.16307683419048979</v>
      </c>
      <c r="B13">
        <f t="shared" si="0"/>
        <v>0</v>
      </c>
      <c r="C13">
        <f t="shared" si="1"/>
        <v>0.16307683419048979</v>
      </c>
      <c r="D13" t="str">
        <f t="shared" si="2"/>
        <v/>
      </c>
      <c r="E13" t="s">
        <v>47</v>
      </c>
    </row>
    <row r="14" spans="1:5" x14ac:dyDescent="0.2">
      <c r="A14" t="e" cm="1" vm="1">
        <f t="array" aca="1" ref="A14" ca="1">QUARTILE(D!B1:B8,{0.5;-1})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48</v>
      </c>
    </row>
    <row r="15" spans="1:5" x14ac:dyDescent="0.2">
      <c r="A15" t="str" cm="1">
        <f t="array" ref="A15">CHOOSE(2,VLOOKUP(5,D!L1:N6,D!A3,FALSE)," ",D!E1:E8&gt;-1)</f>
        <v xml:space="preserve"> </v>
      </c>
      <c r="B15">
        <f t="shared" si="0"/>
        <v>-3</v>
      </c>
      <c r="C15">
        <f t="shared" si="1"/>
        <v>0</v>
      </c>
      <c r="D15" t="str">
        <f t="shared" si="2"/>
        <v xml:space="preserve"> </v>
      </c>
      <c r="E15" t="s">
        <v>49</v>
      </c>
    </row>
    <row r="16" spans="1:5" x14ac:dyDescent="0.2">
      <c r="A16" t="str" cm="1">
        <f t="array" ref="A16">_xlfn.ARRAYTOTEXT(NORMDIST(2,ZTEST(D!B1:B8,4),D!L4,TRUE),1000&lt;0)</f>
        <v>0.65418770288026</v>
      </c>
      <c r="B16">
        <f t="shared" si="0"/>
        <v>-3</v>
      </c>
      <c r="C16">
        <f t="shared" si="1"/>
        <v>0</v>
      </c>
      <c r="D16" t="str">
        <f t="shared" si="2"/>
        <v>0.65418770288026</v>
      </c>
      <c r="E16" t="s">
        <v>50</v>
      </c>
    </row>
    <row r="17" spans="1:5" x14ac:dyDescent="0.2">
      <c r="A17" cm="1">
        <f t="array" ref="A17">ROWS(LOGEST(D!R1:S2))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51</v>
      </c>
    </row>
    <row r="18" spans="1:5" x14ac:dyDescent="0.2">
      <c r="A18" t="e" cm="1">
        <f t="array" ref="A18">_xlfn._xlws.SORT(D!B1:B8,BAHTTEXT(1234),D!F1:F7)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str" cm="1">
        <f t="array" ref="A19">IMSUB(D!B1,"5+3i")</f>
        <v>-1-3i</v>
      </c>
      <c r="B19">
        <f t="shared" si="0"/>
        <v>-3</v>
      </c>
      <c r="C19">
        <f t="shared" si="1"/>
        <v>0</v>
      </c>
      <c r="D19" t="str">
        <f t="shared" si="2"/>
        <v>-1-3i</v>
      </c>
      <c r="E19" t="s">
        <v>53</v>
      </c>
    </row>
    <row r="20" spans="1:5" x14ac:dyDescent="0.2">
      <c r="A20" cm="1">
        <f t="array" ref="A20">_xlfn.T.DIST(D!A1,"1.5",TRUE)</f>
        <v>0.5</v>
      </c>
      <c r="B20">
        <f t="shared" si="0"/>
        <v>0</v>
      </c>
      <c r="C20">
        <f t="shared" si="1"/>
        <v>0.5</v>
      </c>
      <c r="D20" t="str">
        <f t="shared" si="2"/>
        <v/>
      </c>
      <c r="E20" t="s">
        <v>54</v>
      </c>
    </row>
    <row r="21" spans="1:5" x14ac:dyDescent="0.2">
      <c r="A21" t="e" cm="1" vm="2">
        <f t="array" aca="1" ref="A21" ca="1">BESSELK(D!B3,1)*ODDFYIELD(100,D!A1,DATE(2008,10,15),DATE(2009,3,1),0.0575,YIELD(DATE(2008,2,15),DATE(2016,11,15),D!E1:E8,REPLACEB("abcdef",-1.5,3,D!M1:M6),100,"6:35 AM","TRUE"),"6:35 AM",2)</f>
        <v>#VALUE!</v>
      </c>
      <c r="B21">
        <f t="shared" ca="1" si="0"/>
        <v>9</v>
      </c>
      <c r="C21">
        <f t="shared" ca="1" si="1"/>
        <v>0</v>
      </c>
      <c r="D21" t="str">
        <f t="shared" ca="1" si="2"/>
        <v/>
      </c>
      <c r="E21" t="s">
        <v>55</v>
      </c>
    </row>
    <row r="22" spans="1:5" x14ac:dyDescent="0.2">
      <c r="A22" t="e" cm="1">
        <f t="array" ref="A22">AMORLINC(D!N2,DATE(2008,8,19),-2-"TRUE",EDATE(40558,ODDFPRICE(AVEDEV(D!B1:B8),DATE(2021,3,1),"FALSE",DATE(2009,3,1),7,0.0625,TANH(0.25)&lt;DOLLAR("50%",2),2,1)),1,0.15,1)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VARA(D!B1:B8,D!L1:L6)</f>
        <v>131.15831043956044</v>
      </c>
      <c r="B23">
        <f t="shared" si="0"/>
        <v>0</v>
      </c>
      <c r="C23">
        <f t="shared" si="1"/>
        <v>131.15831043956044</v>
      </c>
      <c r="D23" t="str">
        <f t="shared" si="2"/>
        <v/>
      </c>
      <c r="E23" t="s">
        <v>57</v>
      </c>
    </row>
    <row r="24" spans="1:5" x14ac:dyDescent="0.2">
      <c r="A24" cm="1">
        <f t="array" ref="A24">DEVSQ(D!B1:B8,D!C2)</f>
        <v>1373.3055555555554</v>
      </c>
      <c r="B24">
        <f t="shared" si="0"/>
        <v>0</v>
      </c>
      <c r="C24">
        <f t="shared" si="1"/>
        <v>1373.3055555555554</v>
      </c>
      <c r="D24" t="str">
        <f t="shared" si="2"/>
        <v/>
      </c>
      <c r="E24" t="s">
        <v>58</v>
      </c>
    </row>
    <row r="25" spans="1:5" x14ac:dyDescent="0.2">
      <c r="A25" t="e" cm="1">
        <f t="array" ref="A25">OCT2DEC("1E2")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 vm="3">
        <f t="array" aca="1" ref="A26" ca="1">MMULT(D!P1:Q2,D!R1:S2)</f>
        <v>#VALUE!</v>
      </c>
      <c r="B26">
        <f t="shared" ca="1" si="0"/>
        <v>9</v>
      </c>
      <c r="C26">
        <f t="shared" ca="1" si="1"/>
        <v>0</v>
      </c>
      <c r="D26" t="str">
        <f t="shared" ca="1" si="2"/>
        <v/>
      </c>
      <c r="E26" t="s">
        <v>60</v>
      </c>
    </row>
    <row r="27" spans="1:5" x14ac:dyDescent="0.2">
      <c r="A27" t="e" cm="1">
        <f t="array" ref="A27">FREQUENCY(D!B1:B8,_xlfn.GAMMA.INV(D!A8,45658,2)&gt;TRUE)&gt;_xlfn.CHISQ.INV.RT(0.050001,10)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COUPDAYBS(DATE(2011,1,25),DATE(2011,11,15),2,1)</f>
        <v>71</v>
      </c>
      <c r="B28">
        <f t="shared" si="0"/>
        <v>0</v>
      </c>
      <c r="C28">
        <f t="shared" si="1"/>
        <v>71</v>
      </c>
      <c r="D28" t="str">
        <f t="shared" si="2"/>
        <v/>
      </c>
      <c r="E28" t="s">
        <v>62</v>
      </c>
    </row>
    <row r="29" spans="1:5" x14ac:dyDescent="0.2">
      <c r="A29" cm="1">
        <f t="array" ref="A29">N(7)</f>
        <v>7</v>
      </c>
      <c r="B29">
        <f t="shared" si="0"/>
        <v>0</v>
      </c>
      <c r="C29">
        <f t="shared" si="1"/>
        <v>7</v>
      </c>
      <c r="D29" t="str">
        <f t="shared" si="2"/>
        <v/>
      </c>
      <c r="E29" t="s">
        <v>63</v>
      </c>
    </row>
    <row r="30" spans="1:5" x14ac:dyDescent="0.2">
      <c r="A30" t="e" cm="1">
        <f t="array" ref="A30">ROWS(YIELD(D!A3,DATE(2016,11,15),T(10),95.04287,100,2,0))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TRIMMEAN(D!B1:B8,0.2)/ASINH(-2.5)</f>
        <v>-8.7077943077993343</v>
      </c>
      <c r="B31">
        <f t="shared" si="0"/>
        <v>0</v>
      </c>
      <c r="C31">
        <f t="shared" si="1"/>
        <v>-8.7077943077993343</v>
      </c>
      <c r="D31" t="str">
        <f t="shared" si="2"/>
        <v/>
      </c>
      <c r="E31" t="s">
        <v>65</v>
      </c>
    </row>
    <row r="32" spans="1:5" x14ac:dyDescent="0.2">
      <c r="A32" t="e" cm="1">
        <f t="array" ref="A32">DVAR(D!F1:F7,D!F1,D!L1:L6)</f>
        <v>#DIV/0!</v>
      </c>
      <c r="B32">
        <f t="shared" si="0"/>
        <v>2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_xlfn.HYPGEOM.DIST(1,"3",100,-1.5,TRUE)</f>
        <v>#NUM!</v>
      </c>
      <c r="B33">
        <f t="shared" si="0"/>
        <v>6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FINV(0.01,10,4)</f>
        <v>14.545900803323377</v>
      </c>
      <c r="B34">
        <f t="shared" si="0"/>
        <v>0</v>
      </c>
      <c r="C34">
        <f t="shared" si="1"/>
        <v>14.545900803323377</v>
      </c>
      <c r="D34" t="str">
        <f t="shared" si="2"/>
        <v/>
      </c>
      <c r="E34" t="s">
        <v>68</v>
      </c>
    </row>
    <row r="35" spans="1:5" x14ac:dyDescent="0.2">
      <c r="A35" t="e" cm="1">
        <f t="array" ref="A35">INDEX(ZTEST(-1.5,4),1,1)</f>
        <v>#DIV/0!</v>
      </c>
      <c r="B35">
        <f t="shared" si="0"/>
        <v>2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INDEX(LOG(-1),1,1)</f>
        <v>#NUM!</v>
      </c>
      <c r="B36">
        <f t="shared" si="0"/>
        <v>6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INDEX(EXP(#NAME?),1,1)</f>
        <v>#NAME?</v>
      </c>
      <c r="B37">
        <f t="shared" si="0"/>
        <v>5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cm="1">
        <f t="array" ref="A38">ERFC("2024-02-29"-"50%")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BIN2DEC(LOGEST(D!U1:Y7,D!R1:S2))</f>
        <v>#REF!</v>
      </c>
      <c r="B39">
        <f t="shared" si="0"/>
        <v>4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REPT("*-",2)-_xlfn.DROP(-DEGREES(3.14159265358979)&gt;D!A9,2)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str" cm="1">
        <f t="array" ref="A41">BAHTTEXT(1234)</f>
        <v>หนึ่งพันสองร้อยสามสิบสี่บาทถ้วน</v>
      </c>
      <c r="B41">
        <f t="shared" si="0"/>
        <v>-3</v>
      </c>
      <c r="C41">
        <f t="shared" si="1"/>
        <v>0</v>
      </c>
      <c r="D41" t="str">
        <f t="shared" si="2"/>
        <v>หนึ่งพันสองร้อยสามสิบสี่บาทถ้วน</v>
      </c>
      <c r="E41" t="s">
        <v>75</v>
      </c>
    </row>
    <row r="42" spans="1:5" x14ac:dyDescent="0.2">
      <c r="A42" cm="1">
        <f t="array" ref="A42">SUM(STDEV(1,{3,1,2},3))</f>
        <v>1</v>
      </c>
      <c r="B42">
        <f t="shared" si="0"/>
        <v>0</v>
      </c>
      <c r="C42">
        <f t="shared" si="1"/>
        <v>1</v>
      </c>
      <c r="D42" t="str">
        <f t="shared" si="2"/>
        <v/>
      </c>
      <c r="E42" t="s">
        <v>76</v>
      </c>
    </row>
    <row r="43" spans="1:5" x14ac:dyDescent="0.2">
      <c r="A43" cm="1">
        <f t="array" ref="A43">ROWS(_xlfn.IMCSC("4+3i"))</f>
        <v>1</v>
      </c>
      <c r="B43">
        <f t="shared" si="0"/>
        <v>0</v>
      </c>
      <c r="C43">
        <f t="shared" si="1"/>
        <v>1</v>
      </c>
      <c r="D43" t="str">
        <f t="shared" si="2"/>
        <v/>
      </c>
      <c r="E43" t="s">
        <v>77</v>
      </c>
    </row>
    <row r="44" spans="1:5" x14ac:dyDescent="0.2">
      <c r="A44" t="e" cm="1">
        <f t="array" ref="A44">XIRR(D!P1:Q2,D!L8:Q10)/GAMMALN(-1)</f>
        <v>#NUM!</v>
      </c>
      <c r="B44">
        <f t="shared" si="0"/>
        <v>6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cm="1">
        <f t="array" ref="A45">COLUMNS(EXP(1))</f>
        <v>1</v>
      </c>
      <c r="B45">
        <f t="shared" si="0"/>
        <v>0</v>
      </c>
      <c r="C45">
        <f t="shared" si="1"/>
        <v>1</v>
      </c>
      <c r="D45" t="str">
        <f t="shared" si="2"/>
        <v/>
      </c>
      <c r="E45" t="s">
        <v>79</v>
      </c>
    </row>
    <row r="46" spans="1:5" x14ac:dyDescent="0.2">
      <c r="A46" cm="1">
        <f t="array" ref="A46">COUNTIF(D!E1:E8,_xlfn.IMTAN(2.5))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cm="1">
        <f t="array" ref="A47">COLUMNS(RIGHTB("abc",2))</f>
        <v>1</v>
      </c>
      <c r="B47">
        <f t="shared" si="0"/>
        <v>0</v>
      </c>
      <c r="C47">
        <f t="shared" si="1"/>
        <v>1</v>
      </c>
      <c r="D47" t="str">
        <f t="shared" si="2"/>
        <v/>
      </c>
      <c r="E47" t="s">
        <v>81</v>
      </c>
    </row>
    <row r="48" spans="1:5" x14ac:dyDescent="0.2">
      <c r="A48" t="e" cm="1">
        <f t="array" ref="A48">XIRR(D!J1:J5,D!H1:H7)</f>
        <v>#NUM!</v>
      </c>
      <c r="B48">
        <f t="shared" si="0"/>
        <v>6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COUPPCD(-1,D!M2,"0")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cm="1">
        <f t="array" ref="A50">VARPA(D!B1:B8,D!N1:N6,{"a","b"})</f>
        <v>1190.7694515306123</v>
      </c>
      <c r="B50">
        <f t="shared" si="0"/>
        <v>0</v>
      </c>
      <c r="C50">
        <f t="shared" si="1"/>
        <v>1190.7694515306123</v>
      </c>
      <c r="D50" t="str">
        <f t="shared" si="2"/>
        <v/>
      </c>
      <c r="E50" t="s">
        <v>84</v>
      </c>
    </row>
    <row r="51" spans="1:5" x14ac:dyDescent="0.2">
      <c r="A51" cm="1">
        <f t="array" ref="A51">COLUMNS(_xlfn.GAMMALN.PRECISE(D!G4))</f>
        <v>1</v>
      </c>
      <c r="B51">
        <f t="shared" si="0"/>
        <v>0</v>
      </c>
      <c r="C51">
        <f t="shared" si="1"/>
        <v>1</v>
      </c>
      <c r="D51" t="str">
        <f t="shared" si="2"/>
        <v/>
      </c>
      <c r="E51" t="s">
        <v>85</v>
      </c>
    </row>
    <row r="52" spans="1:5" x14ac:dyDescent="0.2">
      <c r="A52" t="e" cm="1">
        <f t="array" ref="A52">INTERCEPT(_xlfn.WRAPCOLS({3,1,2},5),D!B1:B8)</f>
        <v>#N/A</v>
      </c>
      <c r="B52">
        <f t="shared" si="0"/>
        <v>7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 vm="3">
        <f t="array" aca="1" ref="A53" ca="1">FISHERINV(_xlfn.MUNIT(2))</f>
        <v>#VALUE!</v>
      </c>
      <c r="B53">
        <f t="shared" ca="1" si="0"/>
        <v>9</v>
      </c>
      <c r="C53">
        <f t="shared" ca="1" si="1"/>
        <v>0</v>
      </c>
      <c r="D53" t="str">
        <f t="shared" ca="1" si="2"/>
        <v/>
      </c>
      <c r="E53" t="s">
        <v>87</v>
      </c>
    </row>
    <row r="54" spans="1:5" x14ac:dyDescent="0.2">
      <c r="A54" t="e" cm="1">
        <f t="array" ref="A54">_xlfn._xlws.FILTER(D!B1:B3,D!AY1:AY5)</f>
        <v>#VALUE!</v>
      </c>
      <c r="B54">
        <f t="shared" si="0"/>
        <v>3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ASINH(_xlfn.CONFIDENCE.T(ISLOGICAL(D!A7),CEILING(-1,1),GAMMALN(4)))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cm="1">
        <f t="array" ref="A56">STDEVP(D!B1:B8,_xlfn.TOCOL(D!P4:R5),D!AW1:AW4&lt;45658,D!N1:N6)</f>
        <v>31.525314728801678</v>
      </c>
      <c r="B56">
        <f t="shared" si="0"/>
        <v>0</v>
      </c>
      <c r="C56">
        <f t="shared" si="1"/>
        <v>31.525314728801678</v>
      </c>
      <c r="D56" t="str">
        <f t="shared" si="2"/>
        <v/>
      </c>
      <c r="E56" t="s">
        <v>90</v>
      </c>
    </row>
    <row r="57" spans="1:5" x14ac:dyDescent="0.2">
      <c r="A57" cm="1">
        <f t="array" ref="A57">NORMSDIST(1.333333)^_xlfn.FLOOR.MATH(24.3,HEX2DEC("A5"))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91</v>
      </c>
    </row>
    <row r="58" spans="1:5" x14ac:dyDescent="0.2">
      <c r="A58" t="e" cm="1" vm="4">
        <f t="array" aca="1" ref="A58" ca="1">_xlfn.SWITCH(45351,1,100,TRUE,D!A9,"other")&amp;_xlfn.CHOOSEROWS(D!L1:N6,2,2)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92</v>
      </c>
    </row>
    <row r="59" spans="1:5" x14ac:dyDescent="0.2">
      <c r="A59" t="str" cm="1">
        <f t="array" ref="A59">RIGHTB("?"=D!B3,2)</f>
        <v>SE</v>
      </c>
      <c r="B59">
        <f t="shared" si="0"/>
        <v>-3</v>
      </c>
      <c r="C59">
        <f t="shared" si="1"/>
        <v>0</v>
      </c>
      <c r="D59" t="str">
        <f t="shared" si="2"/>
        <v>SE</v>
      </c>
      <c r="E59" t="s">
        <v>93</v>
      </c>
    </row>
    <row r="60" spans="1:5" x14ac:dyDescent="0.2">
      <c r="A60" t="e" cm="1" vm="5">
        <f t="array" aca="1" ref="A60" ca="1">TRANSPOSE(D!P4:R5)</f>
        <v>#VALUE!</v>
      </c>
      <c r="B60">
        <f t="shared" ca="1" si="0"/>
        <v>9</v>
      </c>
      <c r="C60">
        <f t="shared" ca="1" si="1"/>
        <v>0</v>
      </c>
      <c r="D60" t="str">
        <f t="shared" ca="1" si="2"/>
        <v/>
      </c>
      <c r="E60" t="s">
        <v>94</v>
      </c>
    </row>
    <row r="61" spans="1:5" x14ac:dyDescent="0.2">
      <c r="A61" t="e" cm="1">
        <f t="array" ref="A61">ABS(-4)&lt;&gt;FINV(2,3,3)</f>
        <v>#NUM!</v>
      </c>
      <c r="B61">
        <f t="shared" si="0"/>
        <v>6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 vm="3">
        <f t="array" aca="1" ref="A62" ca="1">_xlfn.BITRSHIFT(D!A7,2)&lt;_xlfn.HSTACK(D!P1:Q2)</f>
        <v>#VALUE!</v>
      </c>
      <c r="B62">
        <f t="shared" ca="1" si="0"/>
        <v>9</v>
      </c>
      <c r="C62">
        <f t="shared" ca="1" si="1"/>
        <v>0</v>
      </c>
      <c r="D62" t="str">
        <f t="shared" ca="1" si="2"/>
        <v/>
      </c>
      <c r="E62" t="s">
        <v>96</v>
      </c>
    </row>
    <row r="63" spans="1:5" x14ac:dyDescent="0.2">
      <c r="A63" t="str" cm="1">
        <f t="array" ref="A63">_xlfn.IMCSCH("4+3i")</f>
        <v>-0.036275889628626-0.0051744731840194i</v>
      </c>
      <c r="B63">
        <f t="shared" si="0"/>
        <v>-3</v>
      </c>
      <c r="C63">
        <f t="shared" si="1"/>
        <v>0</v>
      </c>
      <c r="D63" t="str">
        <f t="shared" si="2"/>
        <v>-0.036275889628626-0.0051744731840194i</v>
      </c>
      <c r="E63" t="s">
        <v>97</v>
      </c>
    </row>
    <row r="64" spans="1:5" x14ac:dyDescent="0.2">
      <c r="A64" t="e" cm="1">
        <f t="array" ref="A64">INDEX(COUPNCD(DATE(2011,1,25),D!L4,FALSE,1),1,1)</f>
        <v>#NUM!</v>
      </c>
      <c r="B64">
        <f t="shared" si="0"/>
        <v>6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cm="1">
        <f t="array" ref="A65">_xlfn.PERCENTOF(_xlfn.TAKE(D!L1:N6,3),4)</f>
        <v>16.5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16.5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ROUNDDOWN(3.2,0)</f>
        <v>3</v>
      </c>
      <c r="B66">
        <f t="shared" si="3"/>
        <v>0</v>
      </c>
      <c r="C66">
        <f t="shared" si="4"/>
        <v>3</v>
      </c>
      <c r="D66" t="str">
        <f t="shared" si="5"/>
        <v/>
      </c>
      <c r="E66" t="s">
        <v>100</v>
      </c>
    </row>
    <row r="67" spans="1:5" x14ac:dyDescent="0.2">
      <c r="A67" cm="1">
        <f t="array" ref="A67">COLUMNS(D!L1:N6)</f>
        <v>3</v>
      </c>
      <c r="B67">
        <f t="shared" si="3"/>
        <v>0</v>
      </c>
      <c r="C67">
        <f t="shared" si="4"/>
        <v>3</v>
      </c>
      <c r="D67" t="str">
        <f t="shared" si="5"/>
        <v/>
      </c>
      <c r="E67" t="s">
        <v>101</v>
      </c>
    </row>
    <row r="68" spans="1:5" x14ac:dyDescent="0.2">
      <c r="A68" cm="1">
        <f t="array" ref="A68">TANH(-2)</f>
        <v>-0.96402758007581701</v>
      </c>
      <c r="B68">
        <f t="shared" si="3"/>
        <v>0</v>
      </c>
      <c r="C68">
        <f t="shared" si="4"/>
        <v>-0.96402758007581701</v>
      </c>
      <c r="D68" t="str">
        <f t="shared" si="5"/>
        <v/>
      </c>
      <c r="E68" t="s">
        <v>102</v>
      </c>
    </row>
    <row r="69" spans="1:5" x14ac:dyDescent="0.2">
      <c r="A69" t="e" cm="1">
        <f t="array" ref="A69">_xlfn.TEXTJOIN(";",FALSE,DB(100,-1,MODE(D!N1:N6),1,0))</f>
        <v>#N/A</v>
      </c>
      <c r="B69">
        <f t="shared" si="3"/>
        <v>7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cm="1">
        <f t="array" ref="A70">_xlfn.QUARTILE.EXC(D!B1:B8,1)</f>
        <v>5</v>
      </c>
      <c r="B70">
        <f t="shared" si="3"/>
        <v>0</v>
      </c>
      <c r="C70">
        <f t="shared" si="4"/>
        <v>5</v>
      </c>
      <c r="D70" t="str">
        <f t="shared" si="5"/>
        <v/>
      </c>
      <c r="E70" t="s">
        <v>104</v>
      </c>
    </row>
    <row r="71" spans="1:5" x14ac:dyDescent="0.2">
      <c r="A71" t="e" cm="1">
        <f t="array" ref="A71">DEVSQ(D!A8,D!AV1:AV7^D!B1)+IMARGUMENT(7)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 vm="2">
        <f t="array" aca="1" ref="A72" ca="1">_xlfn.CONFIDENCE.NORM(0.05,2.5,FIND("M",D!L1:L6,100)&amp;IFERROR(D!AZ1:AZ5,D!A10))</f>
        <v>#VALUE!</v>
      </c>
      <c r="B72">
        <f t="shared" ca="1" si="3"/>
        <v>9</v>
      </c>
      <c r="C72">
        <f t="shared" ca="1" si="4"/>
        <v>0</v>
      </c>
      <c r="D72" t="str">
        <f t="shared" ca="1" si="5"/>
        <v/>
      </c>
      <c r="E72" t="s">
        <v>106</v>
      </c>
    </row>
    <row r="73" spans="1:5" x14ac:dyDescent="0.2">
      <c r="A73" cm="1">
        <f t="array" ref="A73">MAXA(D!B1:B8)</f>
        <v>42</v>
      </c>
      <c r="B73">
        <f t="shared" si="3"/>
        <v>0</v>
      </c>
      <c r="C73">
        <f t="shared" si="4"/>
        <v>42</v>
      </c>
      <c r="D73" t="str">
        <f t="shared" si="5"/>
        <v/>
      </c>
      <c r="E73" t="s">
        <v>107</v>
      </c>
    </row>
    <row r="74" spans="1:5" x14ac:dyDescent="0.2">
      <c r="A74" cm="1">
        <f t="array" ref="A74">ROWS(LOG10(D!M1:M6))</f>
        <v>6</v>
      </c>
      <c r="B74">
        <f t="shared" si="3"/>
        <v>0</v>
      </c>
      <c r="C74">
        <f t="shared" si="4"/>
        <v>6</v>
      </c>
      <c r="D74" t="str">
        <f t="shared" si="5"/>
        <v/>
      </c>
      <c r="E74" t="s">
        <v>108</v>
      </c>
    </row>
    <row r="75" spans="1:5" x14ac:dyDescent="0.2">
      <c r="A75" t="e" cm="1">
        <f t="array" ref="A75">SLOPE(D!C1:C8,D!AY1:AY5)</f>
        <v>#N/A</v>
      </c>
      <c r="B75">
        <f t="shared" si="3"/>
        <v>7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CRITBINOM(6,0.5,10)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cm="1">
        <f t="array" ref="A77">ROWS(MINVERSE(D!P1:Q2))</f>
        <v>2</v>
      </c>
      <c r="B77">
        <f t="shared" si="3"/>
        <v>0</v>
      </c>
      <c r="C77">
        <f t="shared" si="4"/>
        <v>2</v>
      </c>
      <c r="D77" t="str">
        <f t="shared" si="5"/>
        <v/>
      </c>
      <c r="E77" t="s">
        <v>111</v>
      </c>
    </row>
    <row r="78" spans="1:5" x14ac:dyDescent="0.2">
      <c r="A78" t="str" cm="1">
        <f t="array" ref="A78">REPLACEB("abcdef",2,3,"abc")</f>
        <v>aabcef</v>
      </c>
      <c r="B78">
        <f t="shared" si="3"/>
        <v>-3</v>
      </c>
      <c r="C78">
        <f t="shared" si="4"/>
        <v>0</v>
      </c>
      <c r="D78" t="str">
        <f t="shared" si="5"/>
        <v>aabcef</v>
      </c>
      <c r="E78" t="s">
        <v>112</v>
      </c>
    </row>
    <row r="79" spans="1:5" x14ac:dyDescent="0.2">
      <c r="A79" t="e" cm="1">
        <f t="array" ref="A79">_xlfn.VALUETOTEXT(10,1000)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LINEST(D!P4:R5,D!AZ1:AZ5)</f>
        <v>#REF!</v>
      </c>
      <c r="B80">
        <f t="shared" si="3"/>
        <v>4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_xlfn.T.INV.2T(10,TRUE)*_xlfn.TEXTAFTER("a-b-c","-")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AMORDEGRC(2400,10,3,4,#NUM!,"18:30",1)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cm="1">
        <f t="array" ref="A83">PEARSON(D!B1:B8,D!C1:C8)</f>
        <v>0.98532920764409482</v>
      </c>
      <c r="B83">
        <f t="shared" si="3"/>
        <v>0</v>
      </c>
      <c r="C83">
        <f t="shared" si="4"/>
        <v>0.98532920764409482</v>
      </c>
      <c r="D83" t="str">
        <f t="shared" si="5"/>
        <v/>
      </c>
      <c r="E83" t="s">
        <v>117</v>
      </c>
    </row>
    <row r="84" spans="1:5" x14ac:dyDescent="0.2">
      <c r="A84" t="e" cm="1" vm="1">
        <f t="array" aca="1" ref="A84" ca="1">CUMPRINC(AVERAGEA(D!B1:B8),#VALUE!,D!A13,13,{0.5;-1},0)-_xlfn.IMCOT("4+3i")</f>
        <v>#VALUE!</v>
      </c>
      <c r="B84">
        <f t="shared" ca="1" si="3"/>
        <v>9</v>
      </c>
      <c r="C84">
        <f t="shared" ca="1" si="4"/>
        <v>0</v>
      </c>
      <c r="D84" t="str">
        <f t="shared" ca="1" si="5"/>
        <v/>
      </c>
      <c r="E84" t="s">
        <v>118</v>
      </c>
    </row>
    <row r="85" spans="1:5" x14ac:dyDescent="0.2">
      <c r="A85" t="e" cm="1">
        <f t="array" ref="A85">_xlfn.SORTBY(D!U1:Y7,D!AW1:AW4,{1})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cm="1">
        <f t="array" ref="A86">ROWS(ISTEXT("6:35 AM"))</f>
        <v>1</v>
      </c>
      <c r="B86">
        <f t="shared" si="3"/>
        <v>0</v>
      </c>
      <c r="C86">
        <f t="shared" si="4"/>
        <v>1</v>
      </c>
      <c r="D86" t="str">
        <f t="shared" si="5"/>
        <v/>
      </c>
      <c r="E86" t="s">
        <v>120</v>
      </c>
    </row>
    <row r="87" spans="1:5" x14ac:dyDescent="0.2">
      <c r="A87" t="e" cm="1" vm="1">
        <f t="array" aca="1" ref="A87" ca="1">FREQUENCY(D!B1:B8,10)</f>
        <v>#VALUE!</v>
      </c>
      <c r="B87">
        <f t="shared" ca="1" si="3"/>
        <v>9</v>
      </c>
      <c r="C87">
        <f t="shared" ca="1" si="4"/>
        <v>0</v>
      </c>
      <c r="D87" t="str">
        <f t="shared" ca="1" si="5"/>
        <v/>
      </c>
      <c r="E87" t="s">
        <v>121</v>
      </c>
    </row>
    <row r="88" spans="1:5" x14ac:dyDescent="0.2">
      <c r="A88" t="e" cm="1">
        <f t="array" ref="A88">PRODUCT(D!B1:B8,_xlfn.VAR.S(2.5),D!N2)</f>
        <v>#DIV/0!</v>
      </c>
      <c r="B88">
        <f t="shared" si="3"/>
        <v>2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ROWS(DEC2HEX(100,D!B7))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 vm="2">
        <f t="array" aca="1" ref="A90" ca="1">_xlfn.TOCOL(D!P4:R5)</f>
        <v>#VALUE!</v>
      </c>
      <c r="B90">
        <f t="shared" ca="1" si="3"/>
        <v>9</v>
      </c>
      <c r="C90">
        <f t="shared" ca="1" si="4"/>
        <v>0</v>
      </c>
      <c r="D90" t="str">
        <f t="shared" ca="1" si="5"/>
        <v/>
      </c>
      <c r="E90" t="s">
        <v>124</v>
      </c>
    </row>
    <row r="91" spans="1:5" x14ac:dyDescent="0.2">
      <c r="A91" t="e" cm="1">
        <f t="array" ref="A91">POWER("1E2",2)/_xlfn.GAMMA.DIST("2025-01-31 12:00","50%",2,FALSE)</f>
        <v>#DIV/0!</v>
      </c>
      <c r="B91">
        <f t="shared" si="3"/>
        <v>2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cm="1">
        <f t="array" ref="A92">SUM(ISNUMBER(45351))</f>
        <v>1</v>
      </c>
      <c r="B92">
        <f t="shared" si="3"/>
        <v>0</v>
      </c>
      <c r="C92">
        <f t="shared" si="4"/>
        <v>1</v>
      </c>
      <c r="D92" t="str">
        <f t="shared" si="5"/>
        <v/>
      </c>
      <c r="E92" t="s">
        <v>126</v>
      </c>
    </row>
    <row r="93" spans="1:5" x14ac:dyDescent="0.2">
      <c r="A93" t="e" cm="1">
        <f t="array" ref="A93">DOLLARDE(D!C1:C8,D!B3)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str" cm="1">
        <f t="array" ref="A94">_xlfn.TEXTJOIN(";",FALSE,_xlfn.HSTACK(D!P1:Q2,D!P1:Q2))</f>
        <v>1;2;1;2;3;4;3;4</v>
      </c>
      <c r="B94">
        <f t="shared" si="3"/>
        <v>-3</v>
      </c>
      <c r="C94">
        <f t="shared" si="4"/>
        <v>0</v>
      </c>
      <c r="D94" t="str">
        <f t="shared" si="5"/>
        <v>1;2;1;2;3;4;3;4</v>
      </c>
      <c r="E94" t="s">
        <v>128</v>
      </c>
    </row>
    <row r="95" spans="1:5" x14ac:dyDescent="0.2">
      <c r="A95" t="e" cm="1" vm="6">
        <f t="array" aca="1" ref="A95" ca="1">_xlfn.CONFIDENCE.NORM(#NAME?,{1;2;3},50)&lt;=SEARCH(0.25,"Statements")</f>
        <v>#VALUE!</v>
      </c>
      <c r="B95">
        <f t="shared" ca="1" si="3"/>
        <v>9</v>
      </c>
      <c r="C95">
        <f t="shared" ca="1" si="4"/>
        <v>0</v>
      </c>
      <c r="D95" t="str">
        <f t="shared" ca="1" si="5"/>
        <v/>
      </c>
      <c r="E95" t="s">
        <v>129</v>
      </c>
    </row>
    <row r="96" spans="1:5" x14ac:dyDescent="0.2">
      <c r="A96" t="e" cm="1">
        <f t="array" ref="A96">DMAX(D!N1:N6,"Yield",D!B1:B8)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HEX2DEC("50%")</f>
        <v>#NUM!</v>
      </c>
      <c r="B97">
        <f t="shared" si="3"/>
        <v>6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cm="1">
        <f t="array" ref="A98">SLN(-1.5,TRUE,59)</f>
        <v>-4.2372881355932202E-2</v>
      </c>
      <c r="B98">
        <f t="shared" si="3"/>
        <v>0</v>
      </c>
      <c r="C98">
        <f t="shared" si="4"/>
        <v>-4.2372881355932202E-2</v>
      </c>
      <c r="D98" t="str">
        <f t="shared" si="5"/>
        <v/>
      </c>
      <c r="E98" t="s">
        <v>132</v>
      </c>
    </row>
    <row r="99" spans="1:5" x14ac:dyDescent="0.2">
      <c r="A99" cm="1">
        <f t="array" ref="A99">BESSELI(1.5,0)</f>
        <v>1.6467232021476756</v>
      </c>
      <c r="B99">
        <f t="shared" si="3"/>
        <v>0</v>
      </c>
      <c r="C99">
        <f t="shared" si="4"/>
        <v>1.6467232021476756</v>
      </c>
      <c r="D99" t="str">
        <f t="shared" si="5"/>
        <v/>
      </c>
      <c r="E99" t="s">
        <v>133</v>
      </c>
    </row>
    <row r="100" spans="1:5" x14ac:dyDescent="0.2">
      <c r="A100" t="e" cm="1">
        <f t="array" ref="A100">INDEX(_xlfn.RANK.EQ(94,D!N1:N6,D!C1:C8),1,1)</f>
        <v>#N/A</v>
      </c>
      <c r="B100">
        <f t="shared" si="3"/>
        <v>7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 vm="7">
        <f t="array" aca="1" ref="A101" ca="1">DB(D!A1,{3,1,2},6,1,7)</f>
        <v>#VALUE!</v>
      </c>
      <c r="B101">
        <f t="shared" ca="1" si="3"/>
        <v>9</v>
      </c>
      <c r="C101">
        <f t="shared" ca="1" si="4"/>
        <v>0</v>
      </c>
      <c r="D101" t="str">
        <f t="shared" ca="1" si="5"/>
        <v/>
      </c>
      <c r="E101" t="s">
        <v>135</v>
      </c>
    </row>
    <row r="102" spans="1:5" x14ac:dyDescent="0.2">
      <c r="A102" t="str" cm="1">
        <f t="array" ref="A102">_xlfn.TEXTJOIN(";",FALSE,COUNTIF(D!AV1:AV7,EVEN({"x";""})))</f>
        <v>0;0</v>
      </c>
      <c r="B102">
        <f t="shared" si="3"/>
        <v>-3</v>
      </c>
      <c r="C102">
        <f t="shared" si="4"/>
        <v>0</v>
      </c>
      <c r="D102" t="str">
        <f t="shared" si="5"/>
        <v>0;0</v>
      </c>
      <c r="E102" t="s">
        <v>136</v>
      </c>
    </row>
    <row r="103" spans="1:5" x14ac:dyDescent="0.2">
      <c r="A103" t="e" cm="1">
        <f t="array" ref="A103">_xlfn.RANK.AVG(0.5,D!I1:I5)</f>
        <v>#N/A</v>
      </c>
      <c r="B103">
        <f t="shared" si="3"/>
        <v>7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cm="1">
        <f t="array" ref="A104">NORMDIST(42,40,1.5,TRUE)</f>
        <v>0.90878878027413212</v>
      </c>
      <c r="B104">
        <f t="shared" si="3"/>
        <v>0</v>
      </c>
      <c r="C104">
        <f t="shared" si="4"/>
        <v>0.90878878027413212</v>
      </c>
      <c r="D104" t="str">
        <f t="shared" si="5"/>
        <v/>
      </c>
      <c r="E104" t="s">
        <v>138</v>
      </c>
    </row>
    <row r="105" spans="1:5" x14ac:dyDescent="0.2">
      <c r="A105" cm="1">
        <f t="array" ref="A105">COUNTIF(D!B1:B3,2.5)</f>
        <v>0</v>
      </c>
      <c r="B105">
        <f t="shared" si="3"/>
        <v>0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e" cm="1" vm="6">
        <f t="array" aca="1" ref="A106" ca="1">_xlfn.T.DIST(1000&lt;&gt;{1;2;3},0,FALSE)</f>
        <v>#VALUE!</v>
      </c>
      <c r="B106">
        <f t="shared" ca="1" si="3"/>
        <v>9</v>
      </c>
      <c r="C106">
        <f t="shared" ca="1" si="4"/>
        <v>0</v>
      </c>
      <c r="D106" t="str">
        <f t="shared" ca="1" si="5"/>
        <v/>
      </c>
      <c r="E106" t="s">
        <v>140</v>
      </c>
    </row>
    <row r="107" spans="1:5" x14ac:dyDescent="0.2">
      <c r="A107" cm="1">
        <f t="array" ref="A107">SUM(EXP(1))</f>
        <v>2.7182818284590451</v>
      </c>
      <c r="B107">
        <f t="shared" si="3"/>
        <v>0</v>
      </c>
      <c r="C107">
        <f t="shared" si="4"/>
        <v>2.7182818284590451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_xlfn.TEXTJOIN(";",FALSE,ODDLPRICE(DATE(2008,2,7),40000&lt;D!N2,"0",{45658,45689},100,D!A7,COVAR(D!B1:B8,D!AV1:AV7+"TRUE")&gt;=2.5,0))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cm="1">
        <f t="array" ref="A109">SUMSQ(3,{1})</f>
        <v>10</v>
      </c>
      <c r="B109">
        <f t="shared" si="3"/>
        <v>0</v>
      </c>
      <c r="C109">
        <f t="shared" si="4"/>
        <v>10</v>
      </c>
      <c r="D109" t="str">
        <f t="shared" si="5"/>
        <v/>
      </c>
      <c r="E109" t="s">
        <v>143</v>
      </c>
    </row>
    <row r="110" spans="1:5" x14ac:dyDescent="0.2">
      <c r="A110" cm="1">
        <f t="array" ref="A110">ATANH("6:35 AM")</f>
        <v>0.28151379804487969</v>
      </c>
      <c r="B110">
        <f t="shared" si="3"/>
        <v>0</v>
      </c>
      <c r="C110">
        <f t="shared" si="4"/>
        <v>0.28151379804487969</v>
      </c>
      <c r="D110" t="str">
        <f t="shared" si="5"/>
        <v/>
      </c>
      <c r="E110" t="s">
        <v>144</v>
      </c>
    </row>
    <row r="111" spans="1:5" x14ac:dyDescent="0.2">
      <c r="A111" cm="1">
        <f t="array" ref="A111">INDEX(MAX(D!B1:B8),1,1)</f>
        <v>42</v>
      </c>
      <c r="B111">
        <f t="shared" si="3"/>
        <v>0</v>
      </c>
      <c r="C111">
        <f t="shared" si="4"/>
        <v>42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T(#N/A)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str" cm="1">
        <f t="array" ref="A113">_xlfn.TEXTJOIN(";",FALSE,CLEAN(D!A14))</f>
        <v>abc</v>
      </c>
      <c r="B113">
        <f t="shared" si="3"/>
        <v>-3</v>
      </c>
      <c r="C113">
        <f t="shared" si="4"/>
        <v>0</v>
      </c>
      <c r="D113" t="str">
        <f t="shared" si="5"/>
        <v>abc</v>
      </c>
      <c r="E113" t="s">
        <v>147</v>
      </c>
    </row>
    <row r="114" spans="1:5" x14ac:dyDescent="0.2">
      <c r="A114" t="e" cm="1">
        <f t="array" ref="A114">GAMMADIST(D!F1,0.5,D!L4,FALSE)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MODE(1,D!AK1:AL3,2)</f>
        <v>#N/A</v>
      </c>
      <c r="B115">
        <f t="shared" si="3"/>
        <v>7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cm="1">
        <f t="array" ref="A116">ROWS(_xlfn.IFNA("31-Jan-2025",INDEX(HYPERLINK("FALSE",0)^FALSE,45351,1000)))</f>
        <v>1</v>
      </c>
      <c r="B116">
        <f t="shared" si="3"/>
        <v>0</v>
      </c>
      <c r="C116">
        <f t="shared" si="4"/>
        <v>1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_xlfn.T.DIST(FALSE,FORECAST(#NUM!,{1,2;3,4},D!B1:B8),0.5&lt;_xlfn.BITXOR("$1,000",3))=ISBLANK(60)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b" cm="1">
        <f t="array" ref="A118">DOLLARFR(1.125,16)=_xlfn.F.INV.RT(0.5,6,4)</f>
        <v>0</v>
      </c>
      <c r="B118">
        <f t="shared" si="3"/>
        <v>-2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_xlfn.IMSEC(D!A5%*_xlfn.CHISQ.INV.RT(D!L4,"FALSE"))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str" cm="1">
        <f t="array" ref="A120">UPPER(FALSE)</f>
        <v>FALSE</v>
      </c>
      <c r="B120">
        <f t="shared" si="3"/>
        <v>-3</v>
      </c>
      <c r="C120">
        <f t="shared" si="4"/>
        <v>0</v>
      </c>
      <c r="D120" t="str">
        <f t="shared" si="5"/>
        <v>FALSE</v>
      </c>
      <c r="E120" t="s">
        <v>154</v>
      </c>
    </row>
    <row r="121" spans="1:5" x14ac:dyDescent="0.2">
      <c r="A121" t="e" cm="1" vm="1">
        <f t="array" aca="1" ref="A121" ca="1">ISNUMBER(2.5)&gt;=LOGINV(0.039084,{"x";""},1.2)</f>
        <v>#VALUE!</v>
      </c>
      <c r="B121">
        <f t="shared" ca="1" si="3"/>
        <v>9</v>
      </c>
      <c r="C121">
        <f t="shared" ca="1" si="4"/>
        <v>0</v>
      </c>
      <c r="D121" t="str">
        <f t="shared" ca="1" si="5"/>
        <v/>
      </c>
      <c r="E121" t="s">
        <v>155</v>
      </c>
    </row>
    <row r="122" spans="1:5" x14ac:dyDescent="0.2">
      <c r="A122" t="e" cm="1">
        <f t="array" ref="A122">TTEST(_xlfn.CHOOSECOLS(D!L1:N6,3,3),D!C1:C8,ROUNDDOWN(3.2,0),"$1,000"&lt;&gt;10)&lt;_xlfn.FORECAST.LINEAR(30,D!D1:D8,D!E1:E8)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cm="1">
        <f t="array" ref="A123">ROWS(_xlfn.GAUSS(2))</f>
        <v>1</v>
      </c>
      <c r="B123">
        <f t="shared" si="3"/>
        <v>0</v>
      </c>
      <c r="C123">
        <f t="shared" si="4"/>
        <v>1</v>
      </c>
      <c r="D123" t="str">
        <f t="shared" si="5"/>
        <v/>
      </c>
      <c r="E123" t="s">
        <v>157</v>
      </c>
    </row>
    <row r="124" spans="1:5" x14ac:dyDescent="0.2">
      <c r="A124" t="e" cm="1" vm="1">
        <f t="array" aca="1" ref="A124" ca="1">ROMAN("1E2",{"x";""})/WORKDAY.INTL(0,FACT(D!C2),11)</f>
        <v>#VALUE!</v>
      </c>
      <c r="B124">
        <f t="shared" ca="1" si="3"/>
        <v>9</v>
      </c>
      <c r="C124">
        <f t="shared" ca="1" si="4"/>
        <v>0</v>
      </c>
      <c r="D124" t="str">
        <f t="shared" ca="1" si="5"/>
        <v/>
      </c>
      <c r="E124" t="s">
        <v>158</v>
      </c>
    </row>
    <row r="125" spans="1:5" x14ac:dyDescent="0.2">
      <c r="A125" t="e" cm="1">
        <f t="array" ref="A125">_xlfn.CHISQ.INV(1,4)</f>
        <v>#NUM!</v>
      </c>
      <c r="B125">
        <f t="shared" si="3"/>
        <v>6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cm="1">
        <f t="array" ref="A126">SUM(STEYX(D!C1:C8,D!B1:B8))</f>
        <v>2.4135597180703909</v>
      </c>
      <c r="B126">
        <f t="shared" si="3"/>
        <v>0</v>
      </c>
      <c r="C126">
        <f t="shared" si="4"/>
        <v>2.4135597180703909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GROWTH(D!D1:D8)</f>
        <v>#VALUE!</v>
      </c>
      <c r="B127">
        <f t="shared" si="3"/>
        <v>3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cm="1">
        <f t="array" ref="A128">PERMUT(100,7)</f>
        <v>80678106432000</v>
      </c>
      <c r="B128">
        <f t="shared" si="3"/>
        <v>0</v>
      </c>
      <c r="C128">
        <f t="shared" si="4"/>
        <v>80678106432000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LOG(#N/A)</f>
        <v>#N/A</v>
      </c>
      <c r="B129">
        <f t="shared" ref="B129:B192" si="6">IF(ISERROR(A129),ERROR.TYPE(A129),IF(ISNUMBER(A129),0,IF(ISLOGICAL(A129),IF(A129,-1,-2),IF(ISTEXT(A129),-3,-4))))</f>
        <v>7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DCOUNTA(D!B1,"TRUE",D!F1:F7)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ATAN(1)</f>
        <v>0.78539816339744828</v>
      </c>
      <c r="B131">
        <f t="shared" si="6"/>
        <v>0</v>
      </c>
      <c r="C131">
        <f t="shared" si="7"/>
        <v>0.78539816339744828</v>
      </c>
      <c r="D131" t="str">
        <f t="shared" si="8"/>
        <v/>
      </c>
      <c r="E131" t="s">
        <v>165</v>
      </c>
    </row>
    <row r="132" spans="1:5" x14ac:dyDescent="0.2">
      <c r="A132" cm="1">
        <f t="array" ref="A132">LARGE(D!B1:B3,3)</f>
        <v>4</v>
      </c>
      <c r="B132">
        <f t="shared" si="6"/>
        <v>0</v>
      </c>
      <c r="C132">
        <f t="shared" si="7"/>
        <v>4</v>
      </c>
      <c r="D132" t="str">
        <f t="shared" si="8"/>
        <v/>
      </c>
      <c r="E132" t="s">
        <v>166</v>
      </c>
    </row>
    <row r="133" spans="1:5" x14ac:dyDescent="0.2">
      <c r="A133" t="str" cm="1">
        <f t="array" ref="A133">_xlfn.IMCOT("4+3i")</f>
        <v>0.00490118239430447-0.999266927805902i</v>
      </c>
      <c r="B133">
        <f t="shared" si="6"/>
        <v>-3</v>
      </c>
      <c r="C133">
        <f t="shared" si="7"/>
        <v>0</v>
      </c>
      <c r="D133" t="str">
        <f t="shared" si="8"/>
        <v>0.00490118239430447-0.999266927805902i</v>
      </c>
      <c r="E133" t="s">
        <v>167</v>
      </c>
    </row>
    <row r="134" spans="1:5" x14ac:dyDescent="0.2">
      <c r="A134" t="b" cm="1">
        <f t="array" ref="A134">ISODD(-1)</f>
        <v>1</v>
      </c>
      <c r="B134">
        <f t="shared" si="6"/>
        <v>-1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_xlfn.TEXTJOIN(";",FALSE,YIELDMAT(DATE(2008,3,15),"A",DATE(2007,11,8),0.0625,100.0123,0))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str" cm="1">
        <f t="array" ref="A136">DOLLAR(D!B1,2)</f>
        <v>$4.00</v>
      </c>
      <c r="B136">
        <f t="shared" si="6"/>
        <v>-3</v>
      </c>
      <c r="C136">
        <f t="shared" si="7"/>
        <v>0</v>
      </c>
      <c r="D136" t="str">
        <f t="shared" si="8"/>
        <v>$4.00</v>
      </c>
      <c r="E136" t="s">
        <v>170</v>
      </c>
    </row>
    <row r="137" spans="1:5" x14ac:dyDescent="0.2">
      <c r="A137" cm="1">
        <f t="array" ref="A137">SKEW(D!B1:B8,D!AW1:AW4,D!L1:L6)*CHITEST(D!AK1:AL3,D!AK1:AL3)</f>
        <v>1.7006032546360315</v>
      </c>
      <c r="B137">
        <f t="shared" si="6"/>
        <v>0</v>
      </c>
      <c r="C137">
        <f t="shared" si="7"/>
        <v>1.7006032546360315</v>
      </c>
      <c r="D137" t="str">
        <f t="shared" si="8"/>
        <v/>
      </c>
      <c r="E137" t="s">
        <v>171</v>
      </c>
    </row>
    <row r="138" spans="1:5" x14ac:dyDescent="0.2">
      <c r="A138" t="str" cm="1">
        <f t="array" ref="A138">CLEAN(D!A14)</f>
        <v>abc</v>
      </c>
      <c r="B138">
        <f t="shared" si="6"/>
        <v>-3</v>
      </c>
      <c r="C138">
        <f t="shared" si="7"/>
        <v>0</v>
      </c>
      <c r="D138" t="str">
        <f t="shared" si="8"/>
        <v>abc</v>
      </c>
      <c r="E138" t="s">
        <v>172</v>
      </c>
    </row>
    <row r="139" spans="1:5" x14ac:dyDescent="0.2">
      <c r="A139" cm="1">
        <f t="array" ref="A139">SUM(COS(D!B7))</f>
        <v>-0.93645668729079634</v>
      </c>
      <c r="B139">
        <f t="shared" si="6"/>
        <v>0</v>
      </c>
      <c r="C139">
        <f t="shared" si="7"/>
        <v>-0.93645668729079634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DEC2OCT("?",COUNTA(D!B1:B8))&lt;=LENB("abc")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RANK("-4",D!AY1:AY5)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SUM(LOG10(86))</f>
        <v>1.9344984512435677</v>
      </c>
      <c r="B142">
        <f t="shared" si="6"/>
        <v>0</v>
      </c>
      <c r="C142">
        <f t="shared" si="7"/>
        <v>1.9344984512435677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FINV(0.01,LARGE({1},3),4)</f>
        <v>#NUM!</v>
      </c>
      <c r="B143">
        <f t="shared" si="6"/>
        <v>6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ODDLPRICE(DATE(2008,2,7),DATE(2008,6,15),HARMEAN(D!AS1:AS8),0.0375,0.25,100,2,0)</f>
        <v>#NUM!</v>
      </c>
      <c r="B144">
        <f t="shared" si="6"/>
        <v>6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cm="1">
        <f t="array" ref="A145">SIGN(10)</f>
        <v>1</v>
      </c>
      <c r="B145">
        <f t="shared" si="6"/>
        <v>0</v>
      </c>
      <c r="C145">
        <f t="shared" si="7"/>
        <v>1</v>
      </c>
      <c r="D145" t="str">
        <f t="shared" si="8"/>
        <v/>
      </c>
      <c r="E145" t="s">
        <v>179</v>
      </c>
    </row>
    <row r="146" spans="1:5" x14ac:dyDescent="0.2">
      <c r="A146" cm="1">
        <f t="array" ref="A146">_xlfn.RRI(D!B3,0.25,11000)</f>
        <v>1.0396869241540658</v>
      </c>
      <c r="B146">
        <f t="shared" si="6"/>
        <v>0</v>
      </c>
      <c r="C146">
        <f t="shared" si="7"/>
        <v>1.0396869241540658</v>
      </c>
      <c r="D146" t="str">
        <f t="shared" si="8"/>
        <v/>
      </c>
      <c r="E146" t="s">
        <v>180</v>
      </c>
    </row>
    <row r="147" spans="1:5" x14ac:dyDescent="0.2">
      <c r="A147" cm="1">
        <f t="array" ref="A147">ROWS(IMSIN("4+3i"))</f>
        <v>1</v>
      </c>
      <c r="B147">
        <f t="shared" si="6"/>
        <v>0</v>
      </c>
      <c r="C147">
        <f t="shared" si="7"/>
        <v>1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SUM(IMSUB("13+4i",D!A12))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ODDLPRICE(DATE(2008,2,7),DATE(2008,6,15),10,D!M2,#NAME?,FALSE,1)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cm="1">
        <f t="array" ref="A150">_xlfn.BITLSHIFT(D!N2,0.5)</f>
        <v>20</v>
      </c>
      <c r="B150">
        <f t="shared" si="6"/>
        <v>0</v>
      </c>
      <c r="C150">
        <f t="shared" si="7"/>
        <v>20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MIRR(D!A2,0.1,0.12)</f>
        <v>#DIV/0!</v>
      </c>
      <c r="B151">
        <f t="shared" si="6"/>
        <v>2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 vm="8">
        <f t="array" aca="1" ref="A152" ca="1">_xlfn.CHISQ.DIST(0.5,D!AV1:AV7,TRUE)</f>
        <v>#VALUE!</v>
      </c>
      <c r="B152">
        <f t="shared" ca="1" si="6"/>
        <v>9</v>
      </c>
      <c r="C152">
        <f t="shared" ca="1" si="7"/>
        <v>0</v>
      </c>
      <c r="D152" t="str">
        <f t="shared" ca="1" si="8"/>
        <v/>
      </c>
      <c r="E152" t="s">
        <v>186</v>
      </c>
    </row>
    <row r="153" spans="1:5" x14ac:dyDescent="0.2">
      <c r="A153" t="e" cm="1">
        <f t="array" ref="A153">ROWS(_xlfn.CHOOSECOLS(D!L1:N6,5,0))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_xlfn.RANK.AVG(0.5,D!C1:C8)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cm="1">
        <f t="array" ref="A155">INDEX(COUPNUM(DATE(2011,1,25),DATE(2011,11,15),2,1),1,1)</f>
        <v>2</v>
      </c>
      <c r="B155">
        <f t="shared" si="6"/>
        <v>0</v>
      </c>
      <c r="C155">
        <f t="shared" si="7"/>
        <v>2</v>
      </c>
      <c r="D155" t="str">
        <f t="shared" si="8"/>
        <v/>
      </c>
      <c r="E155" t="s">
        <v>189</v>
      </c>
    </row>
    <row r="156" spans="1:5" x14ac:dyDescent="0.2">
      <c r="A156" cm="1">
        <f t="array" ref="A156">IMAGINARY("3+4i")</f>
        <v>4</v>
      </c>
      <c r="B156">
        <f t="shared" si="6"/>
        <v>0</v>
      </c>
      <c r="C156">
        <f t="shared" si="7"/>
        <v>4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AMORLINC(2400,FALSE,DATE(2008,12,31),300,1,"1/2/2025")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_xlfn.PDURATION(100,D!A12,CHITEST({45658,45689},D!AM1:AN3))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str" cm="1">
        <f t="array" ref="A159">_xlfn.TEXTJOIN(";",FALSE,NORMSDIST(1.333333))</f>
        <v>0.908788725604095</v>
      </c>
      <c r="B159">
        <f t="shared" si="6"/>
        <v>-3</v>
      </c>
      <c r="C159">
        <f t="shared" si="7"/>
        <v>0</v>
      </c>
      <c r="D159" t="str">
        <f t="shared" si="8"/>
        <v>0.908788725604095</v>
      </c>
      <c r="E159" t="s">
        <v>193</v>
      </c>
    </row>
    <row r="160" spans="1:5" x14ac:dyDescent="0.2">
      <c r="A160" t="e" cm="1">
        <f t="array" ref="A160">COLUMNS(SUM(D!G1:G7&gt;0.5,{3,1,2},D!A7,RSQ(D!B1:B8,D!M1:M6)))</f>
        <v>#N/A</v>
      </c>
      <c r="B160">
        <f t="shared" si="6"/>
        <v>7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MIRR(D!I1:I5,0.1,-1.5)&amp;IMARGUMENT(-1)</f>
        <v>#NUM!</v>
      </c>
      <c r="B161">
        <f t="shared" si="6"/>
        <v>6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cm="1">
        <f t="array" ref="A162">LARGE(D!B1:B8,3)</f>
        <v>16</v>
      </c>
      <c r="B162">
        <f t="shared" si="6"/>
        <v>0</v>
      </c>
      <c r="C162">
        <f t="shared" si="7"/>
        <v>16</v>
      </c>
      <c r="D162" t="str">
        <f t="shared" si="8"/>
        <v/>
      </c>
      <c r="E162" t="s">
        <v>196</v>
      </c>
    </row>
    <row r="163" spans="1:5" x14ac:dyDescent="0.2">
      <c r="A163" cm="1">
        <f t="array" ref="A163">_xlfn.SECH(7)</f>
        <v>1.823762414598208E-3</v>
      </c>
      <c r="B163">
        <f t="shared" si="6"/>
        <v>0</v>
      </c>
      <c r="C163">
        <f t="shared" si="7"/>
        <v>1.823762414598208E-3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DMIN(D!L4,"Yield",D!I1:I5)+PROPER(#REF!)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str" cm="1">
        <f t="array" ref="A165">IMPRODUCT(_xlfn.F.DIST.RT("$1,000",QUOTIENT(10,D!L4),SUMX2PY2(D!B1:B8,D!C1:C8)),"5-3i")</f>
        <v>0</v>
      </c>
      <c r="B165">
        <f t="shared" si="6"/>
        <v>-3</v>
      </c>
      <c r="C165">
        <f t="shared" si="7"/>
        <v>0</v>
      </c>
      <c r="D165" t="str">
        <f t="shared" si="8"/>
        <v>0</v>
      </c>
      <c r="E165" t="s">
        <v>199</v>
      </c>
    </row>
    <row r="166" spans="1:5" x14ac:dyDescent="0.2">
      <c r="A166" cm="1">
        <f t="array" ref="A166">WORKDAY.INTL(40909,90)</f>
        <v>41033</v>
      </c>
      <c r="B166">
        <f t="shared" si="6"/>
        <v>0</v>
      </c>
      <c r="C166">
        <f t="shared" si="7"/>
        <v>41033</v>
      </c>
      <c r="D166" t="str">
        <f t="shared" si="8"/>
        <v/>
      </c>
      <c r="E166" t="s">
        <v>200</v>
      </c>
    </row>
    <row r="167" spans="1:5" x14ac:dyDescent="0.2">
      <c r="A167" cm="1">
        <f t="array" ref="A167">_xlfn.EXPON.DIST(59,TRUE,TRUE)</f>
        <v>1</v>
      </c>
      <c r="B167">
        <f t="shared" si="6"/>
        <v>0</v>
      </c>
      <c r="C167">
        <f t="shared" si="7"/>
        <v>1</v>
      </c>
      <c r="D167" t="str">
        <f t="shared" si="8"/>
        <v/>
      </c>
      <c r="E167" t="s">
        <v>201</v>
      </c>
    </row>
    <row r="168" spans="1:5" x14ac:dyDescent="0.2">
      <c r="A168" t="str" cm="1">
        <f t="array" ref="A168">SUBSTITUTE("Sales Data","Sales","Cost")</f>
        <v>Cost Data</v>
      </c>
      <c r="B168">
        <f t="shared" si="6"/>
        <v>-3</v>
      </c>
      <c r="C168">
        <f t="shared" si="7"/>
        <v>0</v>
      </c>
      <c r="D168" t="str">
        <f t="shared" si="8"/>
        <v>Cost Data</v>
      </c>
      <c r="E168" t="s">
        <v>202</v>
      </c>
    </row>
    <row r="169" spans="1:5" x14ac:dyDescent="0.2">
      <c r="A169" t="e" cm="1">
        <f t="array" ref="A169">MINUTE(IMAGINARY(D!A8))</f>
        <v>#N/A</v>
      </c>
      <c r="B169">
        <f t="shared" si="6"/>
        <v>7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cm="1">
        <f t="array" ref="A170">SUMSQ(3,4)</f>
        <v>25</v>
      </c>
      <c r="B170">
        <f t="shared" si="6"/>
        <v>0</v>
      </c>
      <c r="C170">
        <f t="shared" si="7"/>
        <v>25</v>
      </c>
      <c r="D170" t="str">
        <f t="shared" si="8"/>
        <v/>
      </c>
      <c r="E170" t="s">
        <v>204</v>
      </c>
    </row>
    <row r="171" spans="1:5" x14ac:dyDescent="0.2">
      <c r="A171" cm="1">
        <f t="array" ref="A171">SQRTPI(D!N2)</f>
        <v>7.926654595212022</v>
      </c>
      <c r="B171">
        <f t="shared" si="6"/>
        <v>0</v>
      </c>
      <c r="C171">
        <f t="shared" si="7"/>
        <v>7.926654595212022</v>
      </c>
      <c r="D171" t="str">
        <f t="shared" si="8"/>
        <v/>
      </c>
      <c r="E171" t="s">
        <v>205</v>
      </c>
    </row>
    <row r="172" spans="1:5" x14ac:dyDescent="0.2">
      <c r="A172" t="str" cm="1">
        <f t="array" ref="A172">_xlfn.TEXTJOIN(";",FALSE,_xlfn.FLOOR.PRECISE(-3.2,-1))</f>
        <v>-4</v>
      </c>
      <c r="B172">
        <f t="shared" si="6"/>
        <v>-3</v>
      </c>
      <c r="C172">
        <f t="shared" si="7"/>
        <v>0</v>
      </c>
      <c r="D172" t="str">
        <f t="shared" si="8"/>
        <v>-4</v>
      </c>
      <c r="E172" t="s">
        <v>206</v>
      </c>
    </row>
    <row r="173" spans="1:5" x14ac:dyDescent="0.2">
      <c r="A173" cm="1">
        <f t="array" ref="A173">COLUMNS(_xlfn.ACOT(10))</f>
        <v>1</v>
      </c>
      <c r="B173">
        <f t="shared" si="6"/>
        <v>0</v>
      </c>
      <c r="C173">
        <f t="shared" si="7"/>
        <v>1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_xlfn.CHISQ.INV.RT(LOGINV(TRUE,3.5,1.2),7)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OCT2DEC("54")/ISERROR(2.5)</f>
        <v>#DIV/0!</v>
      </c>
      <c r="B175">
        <f t="shared" si="6"/>
        <v>2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_xlfn.TEXTJOIN(";",FALSE,INTRATE(TRUE,DATE(2008,5,15),FALSE,1014420,"aBc"))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cm="1">
        <f t="array" ref="A177">ROWS(_xlfn.F.TEST(D!B1:B8,D!C1:C8))</f>
        <v>1</v>
      </c>
      <c r="B177">
        <f t="shared" si="6"/>
        <v>0</v>
      </c>
      <c r="C177">
        <f t="shared" si="7"/>
        <v>1</v>
      </c>
      <c r="D177" t="str">
        <f t="shared" si="8"/>
        <v/>
      </c>
      <c r="E177" t="s">
        <v>211</v>
      </c>
    </row>
    <row r="178" spans="1:5" x14ac:dyDescent="0.2">
      <c r="A178" cm="1">
        <f t="array" ref="A178">ROWS(_xlfn.GAMMALN.PRECISE(10))</f>
        <v>1</v>
      </c>
      <c r="B178">
        <f t="shared" si="6"/>
        <v>0</v>
      </c>
      <c r="C178">
        <f t="shared" si="7"/>
        <v>1</v>
      </c>
      <c r="D178" t="str">
        <f t="shared" si="8"/>
        <v/>
      </c>
      <c r="E178" t="s">
        <v>212</v>
      </c>
    </row>
    <row r="179" spans="1:5" x14ac:dyDescent="0.2">
      <c r="A179" t="b" cm="1">
        <f t="array" ref="A179">FALSE()</f>
        <v>0</v>
      </c>
      <c r="B179">
        <f t="shared" si="6"/>
        <v>-2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cm="1">
        <f t="array" ref="A180">ODD(1)</f>
        <v>1</v>
      </c>
      <c r="B180">
        <f t="shared" si="6"/>
        <v>0</v>
      </c>
      <c r="C180">
        <f t="shared" si="7"/>
        <v>1</v>
      </c>
      <c r="D180" t="str">
        <f t="shared" si="8"/>
        <v/>
      </c>
      <c r="E180" t="s">
        <v>214</v>
      </c>
    </row>
    <row r="181" spans="1:5" x14ac:dyDescent="0.2">
      <c r="A181" t="b" cm="1">
        <f t="array" ref="A181">IMLOG2("3+4i")&lt;=_xlfn.PERCENTRANK.INC(D!B1:B8,8)</f>
        <v>0</v>
      </c>
      <c r="B181">
        <f t="shared" si="6"/>
        <v>-2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str" cm="1">
        <f t="array" ref="A182">RIGHT(D!A4,5)</f>
        <v>TRUE</v>
      </c>
      <c r="B182">
        <f t="shared" si="6"/>
        <v>-3</v>
      </c>
      <c r="C182">
        <f t="shared" si="7"/>
        <v>0</v>
      </c>
      <c r="D182" t="str">
        <f t="shared" si="8"/>
        <v>TRUE</v>
      </c>
      <c r="E182" t="s">
        <v>216</v>
      </c>
    </row>
    <row r="183" spans="1:5" x14ac:dyDescent="0.2">
      <c r="A183" t="b" cm="1">
        <f t="array" ref="A183">STDEVP(D!B1:B8)&lt;=ROWS(D!P1:Q2)</f>
        <v>0</v>
      </c>
      <c r="B183">
        <f t="shared" si="6"/>
        <v>-2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cm="1">
        <f t="array" ref="A184">COLUMNS(_xlfn.BINOM.DIST(4,10,0.5,FALSE))</f>
        <v>1</v>
      </c>
      <c r="B184">
        <f t="shared" si="6"/>
        <v>0</v>
      </c>
      <c r="C184">
        <f t="shared" si="7"/>
        <v>1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BETAINV(FALSE,D!N2,10)</f>
        <v>#NUM!</v>
      </c>
      <c r="B185">
        <f t="shared" si="6"/>
        <v>6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_xlfn.BITOR(NOMINAL(0.053543,4),10)=GCD(D!G1:G7)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YEAR(39634)</f>
        <v>2008</v>
      </c>
      <c r="B187">
        <f t="shared" si="6"/>
        <v>0</v>
      </c>
      <c r="C187">
        <f t="shared" si="7"/>
        <v>2008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ISPMT("a,b",1,36,8000000)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HYPGEOMDIST(0.5,4,"aBc",20)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b" cm="1">
        <f t="array" ref="A190">ISODD(-1)</f>
        <v>1</v>
      </c>
      <c r="B190">
        <f t="shared" si="6"/>
        <v>-1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TBILLYIELD("a*",D!C2,98.45)</f>
        <v>#VALUE!</v>
      </c>
      <c r="B191">
        <f t="shared" si="6"/>
        <v>3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cm="1">
        <f t="array" ref="A192">SUMSQ(3,4)</f>
        <v>25</v>
      </c>
      <c r="B192">
        <f t="shared" si="6"/>
        <v>0</v>
      </c>
      <c r="C192">
        <f t="shared" si="7"/>
        <v>25</v>
      </c>
      <c r="D192" t="str">
        <f t="shared" si="8"/>
        <v/>
      </c>
      <c r="E192" t="s">
        <v>226</v>
      </c>
    </row>
    <row r="193" spans="1:5" x14ac:dyDescent="0.2">
      <c r="A193" cm="1">
        <f t="array" ref="A193">DAY(40648)</f>
        <v>15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15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XNPV(0,D!M1:M6,D!AU1:AU5)</f>
        <v>#NUM!</v>
      </c>
      <c r="B194">
        <f t="shared" si="9"/>
        <v>6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SUM(D!B1:B8)</f>
        <v>114.75</v>
      </c>
      <c r="B195">
        <f t="shared" si="9"/>
        <v>0</v>
      </c>
      <c r="C195">
        <f t="shared" si="10"/>
        <v>114.75</v>
      </c>
      <c r="D195" t="str">
        <f t="shared" si="11"/>
        <v/>
      </c>
      <c r="E195" t="s">
        <v>229</v>
      </c>
    </row>
    <row r="196" spans="1:5" x14ac:dyDescent="0.2">
      <c r="A196" t="e" cm="1">
        <f t="array" ref="A196">MOD(3,_xlfn.GAMMA.INV("-4",0.25,2))</f>
        <v>#NUM!</v>
      </c>
      <c r="B196">
        <f t="shared" si="9"/>
        <v>6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cm="1">
        <f t="array" ref="A197">_xlfn.STDEV.P(D!B1:B8)</f>
        <v>12.871320772846119</v>
      </c>
      <c r="B197">
        <f t="shared" si="9"/>
        <v>0</v>
      </c>
      <c r="C197">
        <f t="shared" si="10"/>
        <v>12.871320772846119</v>
      </c>
      <c r="D197" t="str">
        <f t="shared" si="11"/>
        <v/>
      </c>
      <c r="E197" t="s">
        <v>231</v>
      </c>
    </row>
    <row r="198" spans="1:5" x14ac:dyDescent="0.2">
      <c r="A198" t="e" cm="1" vm="9">
        <f t="array" aca="1" ref="A198" ca="1">_xlfn.WRAPCOLS(D!B1:B8,2)&gt;=ISNA(2.5)</f>
        <v>#VALUE!</v>
      </c>
      <c r="B198">
        <f t="shared" ca="1" si="9"/>
        <v>9</v>
      </c>
      <c r="C198">
        <f t="shared" ca="1" si="10"/>
        <v>0</v>
      </c>
      <c r="D198" t="str">
        <f t="shared" ca="1" si="11"/>
        <v/>
      </c>
      <c r="E198" t="s">
        <v>232</v>
      </c>
    </row>
    <row r="199" spans="1:5" x14ac:dyDescent="0.2">
      <c r="A199" cm="1">
        <f t="array" ref="A199">DEGREES(-1)*COMBIN(8,2)</f>
        <v>-1604.281826366305</v>
      </c>
      <c r="B199">
        <f t="shared" si="9"/>
        <v>0</v>
      </c>
      <c r="C199">
        <f t="shared" si="10"/>
        <v>-1604.281826366305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AMORLINC("Привет",DATE(2008,8,19),DATE(2008,12,31),300,1,0.15,1)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cm="1">
        <f t="array" ref="A201">SUM(YEAR(0))</f>
        <v>1900</v>
      </c>
      <c r="B201">
        <f t="shared" si="9"/>
        <v>0</v>
      </c>
      <c r="C201">
        <f t="shared" si="10"/>
        <v>1900</v>
      </c>
      <c r="D201" t="str">
        <f t="shared" si="11"/>
        <v/>
      </c>
      <c r="E201" t="s">
        <v>235</v>
      </c>
    </row>
    <row r="202" spans="1:5" x14ac:dyDescent="0.2">
      <c r="A202" cm="1">
        <f t="array" ref="A202">RADIANS(270)</f>
        <v>4.7123889803846897</v>
      </c>
      <c r="B202">
        <f t="shared" si="9"/>
        <v>0</v>
      </c>
      <c r="C202">
        <f t="shared" si="10"/>
        <v>4.7123889803846897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ACCRINTM("2025-01-31 12:00",DATE(2008,6,15),D!B3,1000,0.25)</f>
        <v>#NUM!</v>
      </c>
      <c r="B203">
        <f t="shared" si="9"/>
        <v>6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str" cm="1">
        <f t="array" ref="A204">REPLACEB("abcdef",2,3,"A")</f>
        <v>aAef</v>
      </c>
      <c r="B204">
        <f t="shared" si="9"/>
        <v>-3</v>
      </c>
      <c r="C204">
        <f t="shared" si="10"/>
        <v>0</v>
      </c>
      <c r="D204" t="str">
        <f t="shared" si="11"/>
        <v>aAef</v>
      </c>
      <c r="E204" t="s">
        <v>238</v>
      </c>
    </row>
    <row r="205" spans="1:5" x14ac:dyDescent="0.2">
      <c r="A205" t="e" cm="1">
        <f t="array" ref="A205">PERCENTILE(D!A5,0)/NORMDIST(42,40,_xlfn.HYPGEOM.DIST(2.5,4,2,20,TRUE),0.25)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FTEST(D!B1:B8,D!B1)</f>
        <v>#DIV/0!</v>
      </c>
      <c r="B206">
        <f t="shared" si="9"/>
        <v>2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ODDLPRICE(DATE(2008,2,7),DATE(2008,6,15),RADIANS(D!B3*D!B7),0.0375,0.0405,61&lt;=#N/A,"Привет"&gt;=COLUMN(D!G1:G7))&lt;=REPLACEB("abcdef",1&lt;="a*","$1,000","FALSE")</f>
        <v>#NUM!</v>
      </c>
      <c r="B207">
        <f t="shared" si="9"/>
        <v>6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_xlfn.Z.TEST(D!B1:B8,4)</f>
        <v>1.6743344188971977E-2</v>
      </c>
      <c r="B208">
        <f t="shared" si="9"/>
        <v>0</v>
      </c>
      <c r="C208">
        <f t="shared" si="10"/>
        <v>1.6743344188971977E-2</v>
      </c>
      <c r="D208" t="str">
        <f t="shared" si="11"/>
        <v/>
      </c>
      <c r="E208" t="s">
        <v>242</v>
      </c>
    </row>
    <row r="209" spans="1:5" x14ac:dyDescent="0.2">
      <c r="A209" t="e" cm="1" vm="5">
        <f t="array" aca="1" ref="A209" ca="1">TRANSPOSE(D!P4:R5)</f>
        <v>#VALUE!</v>
      </c>
      <c r="B209">
        <f t="shared" ca="1" si="9"/>
        <v>9</v>
      </c>
      <c r="C209">
        <f t="shared" ca="1" si="10"/>
        <v>0</v>
      </c>
      <c r="D209" t="str">
        <f t="shared" ca="1" si="11"/>
        <v/>
      </c>
      <c r="E209" t="s">
        <v>243</v>
      </c>
    </row>
    <row r="210" spans="1:5" x14ac:dyDescent="0.2">
      <c r="A210" t="e" cm="1">
        <f t="array" ref="A210">COLUMNS(GROWTH({"a","b"},D!A13,D!BD1:BD2))</f>
        <v>#REF!</v>
      </c>
      <c r="B210">
        <f t="shared" si="9"/>
        <v>4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str" cm="1">
        <f t="array" ref="A211">CLEAN(D!A14)</f>
        <v>abc</v>
      </c>
      <c r="B211">
        <f t="shared" si="9"/>
        <v>-3</v>
      </c>
      <c r="C211">
        <f t="shared" si="10"/>
        <v>0</v>
      </c>
      <c r="D211" t="str">
        <f t="shared" si="11"/>
        <v>abc</v>
      </c>
      <c r="E211" t="s">
        <v>245</v>
      </c>
    </row>
    <row r="212" spans="1:5" x14ac:dyDescent="0.2">
      <c r="A212" t="e" cm="1">
        <f t="array" ref="A212">ACCRINT(39508,39691,"31-Jan-2025","18:30",1000,2,LARGE(D!M1:M6,3))</f>
        <v>#NUM!</v>
      </c>
      <c r="B212">
        <f t="shared" si="9"/>
        <v>6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_xlfn.AGGREGATE(9,4,D!B1:B3)</f>
        <v>27</v>
      </c>
      <c r="B213">
        <f t="shared" si="9"/>
        <v>0</v>
      </c>
      <c r="C213">
        <f t="shared" si="10"/>
        <v>27</v>
      </c>
      <c r="D213" t="str">
        <f t="shared" si="11"/>
        <v/>
      </c>
      <c r="E213" t="s">
        <v>247</v>
      </c>
    </row>
    <row r="214" spans="1:5" x14ac:dyDescent="0.2">
      <c r="A214" cm="1">
        <f t="array" ref="A214">INDEX(COLUMN(D!I1:I5),1,1)</f>
        <v>9</v>
      </c>
      <c r="B214">
        <f t="shared" si="9"/>
        <v>0</v>
      </c>
      <c r="C214">
        <f t="shared" si="10"/>
        <v>9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SEARCH(D!A5,"Statements",6)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TREND({45658,45689},D!AZ1:AZ5,D!BA1:BA2)</f>
        <v>#REF!</v>
      </c>
      <c r="B216">
        <f t="shared" si="9"/>
        <v>4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COLUMNS(DVAR(D!F1:F7,"Yield",D!AW1:AW4))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e" cm="1" vm="10">
        <f t="array" aca="1" ref="A218" ca="1">SYD(30000,7500,10,D!AZ1:AZ5)</f>
        <v>#VALUE!</v>
      </c>
      <c r="B218">
        <f t="shared" ca="1" si="9"/>
        <v>9</v>
      </c>
      <c r="C218">
        <f t="shared" ca="1" si="10"/>
        <v>0</v>
      </c>
      <c r="D218" t="str">
        <f t="shared" ca="1" si="11"/>
        <v/>
      </c>
      <c r="E218" t="s">
        <v>252</v>
      </c>
    </row>
    <row r="219" spans="1:5" x14ac:dyDescent="0.2">
      <c r="A219" t="e" cm="1">
        <f t="array" ref="A219">COVAR(D!B1:B8,D!C1:C8)&gt;_xlfn.CHISQ.INV(0.93,_xlfn.CSCH(D!A1))</f>
        <v>#DIV/0!</v>
      </c>
      <c r="B219">
        <f t="shared" si="9"/>
        <v>2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cm="1">
        <f t="array" ref="A220">SUM("0")</f>
        <v>0</v>
      </c>
      <c r="B220">
        <f t="shared" si="9"/>
        <v>0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GAMMAINV(-1,9,D!B1)</f>
        <v>#NUM!</v>
      </c>
      <c r="B221">
        <f t="shared" si="9"/>
        <v>6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 vm="10">
        <f t="array" aca="1" ref="A222" ca="1">_xlfn.UNIQUE(D!AS1:AS8)</f>
        <v>#VALUE!</v>
      </c>
      <c r="B222">
        <f t="shared" ca="1" si="9"/>
        <v>9</v>
      </c>
      <c r="C222">
        <f t="shared" ca="1" si="10"/>
        <v>0</v>
      </c>
      <c r="D222" t="str">
        <f t="shared" ca="1" si="11"/>
        <v/>
      </c>
      <c r="E222" t="s">
        <v>256</v>
      </c>
    </row>
    <row r="223" spans="1:5" x14ac:dyDescent="0.2">
      <c r="A223" t="e" cm="1">
        <f t="array" ref="A223">ROWS(_xlfn.RANK.AVG(_xlfn.HYPGEOM.DIST(1,4,8,#DIV/0!,TRUE),D!A1:A5))</f>
        <v>#DIV/0!</v>
      </c>
      <c r="B223">
        <f t="shared" si="9"/>
        <v>2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_xlfn.ISOWEEKNUM(MONTH(40648))</f>
        <v>1</v>
      </c>
      <c r="B224">
        <f t="shared" si="9"/>
        <v>0</v>
      </c>
      <c r="C224">
        <f t="shared" si="10"/>
        <v>1</v>
      </c>
      <c r="D224" t="str">
        <f t="shared" si="11"/>
        <v/>
      </c>
      <c r="E224" t="s">
        <v>258</v>
      </c>
    </row>
    <row r="225" spans="1:5" x14ac:dyDescent="0.2">
      <c r="A225" cm="1">
        <f t="array" ref="A225">WORKDAY.INTL(40909,D!A12,11)</f>
        <v>40909</v>
      </c>
      <c r="B225">
        <f t="shared" si="9"/>
        <v>0</v>
      </c>
      <c r="C225">
        <f t="shared" si="10"/>
        <v>40909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_xlfn.TEXTJOIN(";",FALSE,_xlfn.LOGNORM.DIST(FINV(0.01,6,4),_xlfn.T.DIST.2T(0,10),D!B7,_xlfn.XOR({1;2;3},D!K1:K8)))</f>
        <v>#NUM!</v>
      </c>
      <c r="B226">
        <f t="shared" si="9"/>
        <v>6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b" cm="1">
        <f t="array" ref="A227">TRUE()</f>
        <v>1</v>
      </c>
      <c r="B227">
        <f t="shared" si="9"/>
        <v>-1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cm="1">
        <f t="array" ref="A228">MDETERM(D!P1:Q2)</f>
        <v>-2</v>
      </c>
      <c r="B228">
        <f t="shared" si="9"/>
        <v>0</v>
      </c>
      <c r="C228">
        <f t="shared" si="10"/>
        <v>-2</v>
      </c>
      <c r="D228" t="str">
        <f t="shared" si="11"/>
        <v/>
      </c>
      <c r="E228" t="s">
        <v>262</v>
      </c>
    </row>
    <row r="229" spans="1:5" x14ac:dyDescent="0.2">
      <c r="A229" t="str" cm="1">
        <f t="array" ref="A229">FIXED(1234.567,1)</f>
        <v>1,234.6</v>
      </c>
      <c r="B229">
        <f t="shared" si="9"/>
        <v>-3</v>
      </c>
      <c r="C229">
        <f t="shared" si="10"/>
        <v>0</v>
      </c>
      <c r="D229" t="str">
        <f t="shared" si="11"/>
        <v>1,234.6</v>
      </c>
      <c r="E229" t="s">
        <v>263</v>
      </c>
    </row>
    <row r="230" spans="1:5" x14ac:dyDescent="0.2">
      <c r="A230" t="e" cm="1">
        <f t="array" ref="A230">NEGBINOMDIST("a*",D!A13,0.25)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_xlfn.PERCENTOF(2,1)</f>
        <v>2</v>
      </c>
      <c r="B231">
        <f t="shared" si="9"/>
        <v>0</v>
      </c>
      <c r="C231">
        <f t="shared" si="10"/>
        <v>2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SUMIFS(D!F1:F7,D!B2:B3,"&gt;4")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cm="1">
        <f t="array" ref="A233">ROWS(MINUTE(2))</f>
        <v>1</v>
      </c>
      <c r="B233">
        <f t="shared" si="9"/>
        <v>0</v>
      </c>
      <c r="C233">
        <f t="shared" si="10"/>
        <v>1</v>
      </c>
      <c r="D233" t="str">
        <f t="shared" si="11"/>
        <v/>
      </c>
      <c r="E233" t="s">
        <v>267</v>
      </c>
    </row>
    <row r="234" spans="1:5" x14ac:dyDescent="0.2">
      <c r="A234" t="e" cm="1" vm="1">
        <f t="array" aca="1" ref="A234" ca="1">SEARCH(D!B2:B3,_xlfn.PERCENTRANK.INC(D!N2,0.5))</f>
        <v>#VALUE!</v>
      </c>
      <c r="B234">
        <f t="shared" ca="1" si="9"/>
        <v>9</v>
      </c>
      <c r="C234">
        <f t="shared" ca="1" si="10"/>
        <v>0</v>
      </c>
      <c r="D234" t="str">
        <f t="shared" ca="1" si="11"/>
        <v/>
      </c>
      <c r="E234" t="s">
        <v>268</v>
      </c>
    </row>
    <row r="235" spans="1:5" x14ac:dyDescent="0.2">
      <c r="A235" cm="1">
        <f t="array" ref="A235">LN(86)</f>
        <v>4.4543472962535073</v>
      </c>
      <c r="B235">
        <f t="shared" si="9"/>
        <v>0</v>
      </c>
      <c r="C235">
        <f t="shared" si="10"/>
        <v>4.4543472962535073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_xlfn.XOR(TRUE,{2,"a";TRUE,#N/A})</f>
        <v>#N/A</v>
      </c>
      <c r="B236">
        <f t="shared" si="9"/>
        <v>7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cm="1">
        <f t="array" ref="A237">_xlfn.ACOT(2)</f>
        <v>0.46364760900080615</v>
      </c>
      <c r="B237">
        <f t="shared" si="9"/>
        <v>0</v>
      </c>
      <c r="C237">
        <f t="shared" si="10"/>
        <v>0.46364760900080615</v>
      </c>
      <c r="D237" t="str">
        <f t="shared" si="11"/>
        <v/>
      </c>
      <c r="E237" t="s">
        <v>271</v>
      </c>
    </row>
    <row r="238" spans="1:5" x14ac:dyDescent="0.2">
      <c r="A238" cm="1">
        <f t="array" ref="A238">_xlfn.FLOOR.MATH("18:30",5)</f>
        <v>0</v>
      </c>
      <c r="B238">
        <f t="shared" si="9"/>
        <v>0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e" cm="1" vm="1">
        <f t="array" aca="1" ref="A239" ca="1">BESSELK({0.5;-1},2)</f>
        <v>#VALUE!</v>
      </c>
      <c r="B239">
        <f t="shared" ca="1" si="9"/>
        <v>9</v>
      </c>
      <c r="C239">
        <f t="shared" ca="1" si="10"/>
        <v>0</v>
      </c>
      <c r="D239" t="str">
        <f t="shared" ca="1" si="11"/>
        <v/>
      </c>
      <c r="E239" t="s">
        <v>273</v>
      </c>
    </row>
    <row r="240" spans="1:5" x14ac:dyDescent="0.2">
      <c r="A240" t="e" cm="1">
        <f t="array" ref="A240">DATE(D!B7,TRUE,0.5)+RATE(-1.5,-200,FV(100,D!A10,D!B7,-500,1))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DMAX(D!B3,"Yield",D!B7)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_xlfn.MINIFS(D!N2,D!E1:E8,"&gt;4")&gt;IMARGUMENT(INDEX(_xlfn.DROP({"a","b"},0),2,3))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cm="1">
        <f t="array" ref="A243">LOGINV(0.039084,3,2)</f>
        <v>0.59283911499550213</v>
      </c>
      <c r="B243">
        <f t="shared" si="9"/>
        <v>0</v>
      </c>
      <c r="C243">
        <f t="shared" si="10"/>
        <v>0.59283911499550213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_xlfn.VALUETOTEXT(-1,2)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cm="1">
        <f t="array" ref="A245">AVERAGE(D!B1:B8)</f>
        <v>14.34375</v>
      </c>
      <c r="B245">
        <f t="shared" si="9"/>
        <v>0</v>
      </c>
      <c r="C245">
        <f t="shared" si="10"/>
        <v>14.34375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ACOSH(D!B7)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cm="1">
        <f t="array" ref="A247">_xlfn.BETA.INV(0.685470581,0.25,10)</f>
        <v>1.750387005741183E-2</v>
      </c>
      <c r="B247">
        <f t="shared" si="9"/>
        <v>0</v>
      </c>
      <c r="C247">
        <f t="shared" si="10"/>
        <v>1.750387005741183E-2</v>
      </c>
      <c r="D247" t="str">
        <f t="shared" si="11"/>
        <v/>
      </c>
      <c r="E247" t="s">
        <v>281</v>
      </c>
    </row>
    <row r="248" spans="1:5" x14ac:dyDescent="0.2">
      <c r="A248" cm="1">
        <f t="array" ref="A248">_xlfn.BITOR(23,10)</f>
        <v>31</v>
      </c>
      <c r="B248">
        <f t="shared" si="9"/>
        <v>0</v>
      </c>
      <c r="C248">
        <f t="shared" si="10"/>
        <v>31</v>
      </c>
      <c r="D248" t="str">
        <f t="shared" si="11"/>
        <v/>
      </c>
      <c r="E248" t="s">
        <v>282</v>
      </c>
    </row>
    <row r="249" spans="1:5" x14ac:dyDescent="0.2">
      <c r="A249" cm="1">
        <f t="array" ref="A249">LOG10(2.5)</f>
        <v>0.3979400086720376</v>
      </c>
      <c r="B249">
        <f t="shared" si="9"/>
        <v>0</v>
      </c>
      <c r="C249">
        <f t="shared" si="10"/>
        <v>0.3979400086720376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SUM(_xlfn.BITRSHIFT(0.5,2))</f>
        <v>#NUM!</v>
      </c>
      <c r="B250">
        <f t="shared" si="9"/>
        <v>6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cm="1">
        <f t="array" ref="A251">SUM(_xlfn.XMATCH(3,D!L1:L6))</f>
        <v>3</v>
      </c>
      <c r="B251">
        <f t="shared" si="9"/>
        <v>0</v>
      </c>
      <c r="C251">
        <f t="shared" si="10"/>
        <v>3</v>
      </c>
      <c r="D251" t="str">
        <f t="shared" si="11"/>
        <v/>
      </c>
      <c r="E251" t="s">
        <v>285</v>
      </c>
    </row>
    <row r="252" spans="1:5" x14ac:dyDescent="0.2">
      <c r="A252" t="str" cm="1">
        <f t="array" ref="A252">_xlfn.TEXTJOIN(";",FALSE,SUBSTITUTE("-4"," ","Cost"))</f>
        <v>-4</v>
      </c>
      <c r="B252">
        <f t="shared" si="9"/>
        <v>-3</v>
      </c>
      <c r="C252">
        <f t="shared" si="10"/>
        <v>0</v>
      </c>
      <c r="D252" t="str">
        <f t="shared" si="11"/>
        <v>-4</v>
      </c>
      <c r="E252" t="s">
        <v>286</v>
      </c>
    </row>
    <row r="253" spans="1:5" x14ac:dyDescent="0.2">
      <c r="A253" t="e" cm="1">
        <f t="array" ref="A253">NOT(MULTINOMIAL(2,D!L8:Q10,4,D!AK1:AL3))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cm="1">
        <f t="array" ref="A254">VARPA(D!B1:B8)</f>
        <v>165.6708984375</v>
      </c>
      <c r="B254">
        <f t="shared" si="9"/>
        <v>0</v>
      </c>
      <c r="C254">
        <f t="shared" si="10"/>
        <v>165.6708984375</v>
      </c>
      <c r="D254" t="str">
        <f t="shared" si="11"/>
        <v/>
      </c>
      <c r="E254" t="s">
        <v>288</v>
      </c>
    </row>
    <row r="255" spans="1:5" x14ac:dyDescent="0.2">
      <c r="A255" cm="1">
        <f t="array" ref="A255">INDEX(MDETERM(D!P1:Q2),1,1)</f>
        <v>-2</v>
      </c>
      <c r="B255">
        <f t="shared" si="9"/>
        <v>0</v>
      </c>
      <c r="C255">
        <f t="shared" si="10"/>
        <v>-2</v>
      </c>
      <c r="D255" t="str">
        <f t="shared" si="11"/>
        <v/>
      </c>
      <c r="E255" t="s">
        <v>289</v>
      </c>
    </row>
    <row r="256" spans="1:5" x14ac:dyDescent="0.2">
      <c r="A256" cm="1">
        <f t="array" ref="A256">SUM(_xlfn.TAKE(D!L1:N6,3))</f>
        <v>66</v>
      </c>
      <c r="B256">
        <f t="shared" si="9"/>
        <v>0</v>
      </c>
      <c r="C256">
        <f t="shared" si="10"/>
        <v>66</v>
      </c>
      <c r="D256" t="str">
        <f t="shared" si="11"/>
        <v/>
      </c>
      <c r="E256" t="s">
        <v>290</v>
      </c>
    </row>
    <row r="257" spans="1:5" x14ac:dyDescent="0.2">
      <c r="A257" cm="1">
        <f t="array" ref="A257">_xlfn.BINOM.INV(3,0.5,0.75)</f>
        <v>2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2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SUBSTITUTE(FISHER(" 2 ")&lt;=-1,MIDB("abc",2,3),LENB("a*"))&gt;_xlfn.AGGREGATE(SIGN(10),TTEST({2,"a";TRUE,#N/A},D!R1:S2,-1,3),D!AV1:AV7)</f>
        <v>#NUM!</v>
      </c>
      <c r="B258">
        <f t="shared" si="12"/>
        <v>6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SUMSQ(_xlfn.BITOR(D!A4,10),ZTEST(D!B1:B8,_xlfn.PERCENTILE.INC(D!B1:B8,D!A10)),D!A15)</f>
        <v>#NUM!</v>
      </c>
      <c r="B259">
        <f t="shared" si="12"/>
        <v>6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TRANSPOSE(D!A7)</f>
        <v>#DIV/0!</v>
      </c>
      <c r="B260">
        <f t="shared" si="12"/>
        <v>2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_xlfn.TEXTJOIN(";",FALSE,_xlfn.T.DIST.2T(KURT(D!L4,D!B2:B3,D!H1:H7,D!L1:L6),100))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str" cm="1">
        <f t="array" ref="A262">_xlfn.TEXTJOIN(";",FALSE,AVEDEV(D!B1:B8))</f>
        <v>9.65625</v>
      </c>
      <c r="B262">
        <f t="shared" si="12"/>
        <v>-3</v>
      </c>
      <c r="C262">
        <f t="shared" si="13"/>
        <v>0</v>
      </c>
      <c r="D262" t="str">
        <f t="shared" si="14"/>
        <v>9.65625</v>
      </c>
      <c r="E262" t="s">
        <v>296</v>
      </c>
    </row>
    <row r="263" spans="1:5" x14ac:dyDescent="0.2">
      <c r="A263" t="str" cm="1">
        <f t="array" ref="A263">CHOOSE(2,"a","b",_xlfn.TAKE(D!A3,2),#REF!)</f>
        <v>b</v>
      </c>
      <c r="B263">
        <f t="shared" si="12"/>
        <v>-3</v>
      </c>
      <c r="C263">
        <f t="shared" si="13"/>
        <v>0</v>
      </c>
      <c r="D263" t="str">
        <f t="shared" si="14"/>
        <v>b</v>
      </c>
      <c r="E263" t="s">
        <v>297</v>
      </c>
    </row>
    <row r="264" spans="1:5" x14ac:dyDescent="0.2">
      <c r="A264" t="e" cm="1" vm="5">
        <f t="array" aca="1" ref="A264" ca="1">COUNTBLANK(D!B1:B3)&amp;SUBSTITUTE("Sales Data",{1,2;3,4},{1;2;3})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298</v>
      </c>
    </row>
    <row r="265" spans="1:5" x14ac:dyDescent="0.2">
      <c r="A265" t="e" cm="1">
        <f t="array" ref="A265">SUM(AMORLINC(2400,60,TRANSPOSE({1;2;3}),300,1,D!AY1:AY5,1))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 vm="6">
        <f t="array" aca="1" ref="A266" ca="1">_xlfn.MODE.MULT(D!BG1:BG12)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300</v>
      </c>
    </row>
    <row r="267" spans="1:5" x14ac:dyDescent="0.2">
      <c r="A267" t="str" cm="1">
        <f t="array" ref="A267">_xlfn.TEXTJOIN(", ",TRUE,D!B1:B8)</f>
        <v>4, 8, 15, 16, 23, 42, -3.5, 10.25</v>
      </c>
      <c r="B267">
        <f t="shared" si="12"/>
        <v>-3</v>
      </c>
      <c r="C267">
        <f t="shared" si="13"/>
        <v>0</v>
      </c>
      <c r="D267" t="str">
        <f t="shared" si="14"/>
        <v>4, 8, 15, 16, 23, 42, -3.5, 10.25</v>
      </c>
      <c r="E267" t="s">
        <v>301</v>
      </c>
    </row>
    <row r="268" spans="1:5" x14ac:dyDescent="0.2">
      <c r="A268" cm="1">
        <f t="array" ref="A268">STDEVPA(D!B1:B8,D!D1:D8)</f>
        <v>11.444722218851213</v>
      </c>
      <c r="B268">
        <f t="shared" si="12"/>
        <v>0</v>
      </c>
      <c r="C268">
        <f t="shared" si="13"/>
        <v>11.444722218851213</v>
      </c>
      <c r="D268" t="str">
        <f t="shared" si="14"/>
        <v/>
      </c>
      <c r="E268" t="s">
        <v>302</v>
      </c>
    </row>
    <row r="269" spans="1:5" x14ac:dyDescent="0.2">
      <c r="A269" cm="1">
        <f t="array" ref="A269">TANH(4)</f>
        <v>0.99932929973906692</v>
      </c>
      <c r="B269">
        <f t="shared" si="12"/>
        <v>0</v>
      </c>
      <c r="C269">
        <f t="shared" si="13"/>
        <v>0.99932929973906692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VLOOKUP(_xlfn.BINOM.DIST.RANGE(60,0.75,48),D!L1:N6,YEAR(D!L1:L6),DSTDEVP(D!I1:I5,"Yield",D!B1:B8))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cm="1">
        <f t="array" ref="A271">ROWS(PRICE(-CHIDIST(18.307,10)-_xlfn.VSTACK(D!P1:Q2,D!R1:S2),COVAR({2,"a";TRUE,#N/A},D!L1:N6),D!A12,0.065,_xlfn.GAMMALN.PRECISE(" 2 "),2,0))</f>
        <v>4</v>
      </c>
      <c r="B271">
        <f t="shared" si="12"/>
        <v>0</v>
      </c>
      <c r="C271">
        <f t="shared" si="13"/>
        <v>4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VARA(D!B1:B8," ","$1,000",D!B2:B3)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 vm="11">
        <f t="array" aca="1" ref="A273" ca="1">_xlfn.BITAND(ODD({"a","b"}),5)=FALSE()</f>
        <v>#VALUE!</v>
      </c>
      <c r="B273">
        <f t="shared" ca="1" si="12"/>
        <v>9</v>
      </c>
      <c r="C273">
        <f t="shared" ca="1" si="13"/>
        <v>0</v>
      </c>
      <c r="D273" t="str">
        <f t="shared" ca="1" si="14"/>
        <v/>
      </c>
      <c r="E273" t="s">
        <v>307</v>
      </c>
    </row>
    <row r="274" spans="1:5" x14ac:dyDescent="0.2">
      <c r="A274" cm="1">
        <f t="array" ref="A274">ABS(-4)</f>
        <v>4</v>
      </c>
      <c r="B274">
        <f t="shared" si="12"/>
        <v>0</v>
      </c>
      <c r="C274">
        <f t="shared" si="13"/>
        <v>4</v>
      </c>
      <c r="D274" t="str">
        <f t="shared" si="14"/>
        <v/>
      </c>
      <c r="E274" t="s">
        <v>308</v>
      </c>
    </row>
    <row r="275" spans="1:5" x14ac:dyDescent="0.2">
      <c r="A275" cm="1">
        <f t="array" ref="A275">INDEX(TINV(0.05464493,60),1,1)</f>
        <v>1.9599999977988323</v>
      </c>
      <c r="B275">
        <f t="shared" si="12"/>
        <v>0</v>
      </c>
      <c r="C275">
        <f t="shared" si="13"/>
        <v>1.9599999977988323</v>
      </c>
      <c r="D275" t="str">
        <f t="shared" si="14"/>
        <v/>
      </c>
      <c r="E275" t="s">
        <v>309</v>
      </c>
    </row>
    <row r="276" spans="1:5" x14ac:dyDescent="0.2">
      <c r="A276" t="e" cm="1">
        <f t="array" ref="A276">_xlfn.F.DIST.RT(60,6,PEARSON(D!C1:C8,D!R1:S2))</f>
        <v>#N/A</v>
      </c>
      <c r="B276">
        <f t="shared" si="12"/>
        <v>7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cm="1">
        <f t="array" ref="A277">_xlfn.QUARTILE.EXC(D!B1:B8,1)</f>
        <v>5</v>
      </c>
      <c r="B277">
        <f t="shared" si="12"/>
        <v>0</v>
      </c>
      <c r="C277">
        <f t="shared" si="13"/>
        <v>5</v>
      </c>
      <c r="D277" t="str">
        <f t="shared" si="14"/>
        <v/>
      </c>
      <c r="E277" t="s">
        <v>311</v>
      </c>
    </row>
    <row r="278" spans="1:5" x14ac:dyDescent="0.2">
      <c r="A278" t="str" cm="1">
        <f t="array" ref="A278">BIN2HEX("11111011",4)</f>
        <v>00FB</v>
      </c>
      <c r="B278">
        <f t="shared" si="12"/>
        <v>-3</v>
      </c>
      <c r="C278">
        <f t="shared" si="13"/>
        <v>0</v>
      </c>
      <c r="D278" t="str">
        <f t="shared" si="14"/>
        <v>00FB</v>
      </c>
      <c r="E278" t="s">
        <v>312</v>
      </c>
    </row>
    <row r="279" spans="1:5" x14ac:dyDescent="0.2">
      <c r="A279" t="e" cm="1">
        <f t="array" ref="A279">SUM(REPT("Привет",1))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SUMX2MY2(D!B1:B8,D!AV1:AV7)</f>
        <v>#N/A</v>
      </c>
      <c r="B280">
        <f t="shared" si="12"/>
        <v>7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BIN2HEX(_xlfn.ERFC.PRECISE(100),FALSE)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_xlfn.MAXIFS(D!F1:F7,D!A15,"&gt;4")</f>
        <v>#VALUE!</v>
      </c>
      <c r="B282">
        <f t="shared" si="12"/>
        <v>3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cm="1">
        <f t="array" ref="A283">ISO.CEILING(4.3)</f>
        <v>5</v>
      </c>
      <c r="B283">
        <f t="shared" si="12"/>
        <v>0</v>
      </c>
      <c r="C283">
        <f t="shared" si="13"/>
        <v>5</v>
      </c>
      <c r="D283" t="str">
        <f t="shared" si="14"/>
        <v/>
      </c>
      <c r="E283" t="s">
        <v>317</v>
      </c>
    </row>
    <row r="284" spans="1:5" x14ac:dyDescent="0.2">
      <c r="A284" cm="1">
        <f t="array" ref="A284">SUM(VALUE(D!N2))</f>
        <v>20</v>
      </c>
      <c r="B284">
        <f t="shared" si="12"/>
        <v>0</v>
      </c>
      <c r="C284">
        <f t="shared" si="13"/>
        <v>20</v>
      </c>
      <c r="D284" t="str">
        <f t="shared" si="14"/>
        <v/>
      </c>
      <c r="E284" t="s">
        <v>318</v>
      </c>
    </row>
    <row r="285" spans="1:5" x14ac:dyDescent="0.2">
      <c r="A285" cm="1">
        <f t="array" ref="A285">SUM(ROW(D!AZ1:AZ5))</f>
        <v>15</v>
      </c>
      <c r="B285">
        <f t="shared" si="12"/>
        <v>0</v>
      </c>
      <c r="C285">
        <f t="shared" si="13"/>
        <v>15</v>
      </c>
      <c r="D285" t="str">
        <f t="shared" si="14"/>
        <v/>
      </c>
      <c r="E285" t="s">
        <v>319</v>
      </c>
    </row>
    <row r="286" spans="1:5" x14ac:dyDescent="0.2">
      <c r="A286" cm="1">
        <f t="array" ref="A286">COLUMNS(_xlfn.CHISQ.TEST(D!AK1:AL3,D!AM1:AN3))</f>
        <v>1</v>
      </c>
      <c r="B286">
        <f t="shared" si="12"/>
        <v>0</v>
      </c>
      <c r="C286">
        <f t="shared" si="13"/>
        <v>1</v>
      </c>
      <c r="D286" t="str">
        <f t="shared" si="14"/>
        <v/>
      </c>
      <c r="E286" t="s">
        <v>320</v>
      </c>
    </row>
    <row r="287" spans="1:5" x14ac:dyDescent="0.2">
      <c r="A287" cm="1">
        <f t="array" ref="A287">SUM(VARPA(D!B1:B8))</f>
        <v>165.6708984375</v>
      </c>
      <c r="B287">
        <f t="shared" si="12"/>
        <v>0</v>
      </c>
      <c r="C287">
        <f t="shared" si="13"/>
        <v>165.6708984375</v>
      </c>
      <c r="D287" t="str">
        <f t="shared" si="14"/>
        <v/>
      </c>
      <c r="E287" t="s">
        <v>321</v>
      </c>
    </row>
    <row r="288" spans="1:5" x14ac:dyDescent="0.2">
      <c r="A288" t="b" cm="1">
        <f t="array" ref="A288">IMLOG2("3+4i")&lt;FIXED(1234.567,1)</f>
        <v>0</v>
      </c>
      <c r="B288">
        <f t="shared" si="12"/>
        <v>-2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cm="1">
        <f t="array" ref="A289">ROWS(LN(86))</f>
        <v>1</v>
      </c>
      <c r="B289">
        <f t="shared" si="12"/>
        <v>0</v>
      </c>
      <c r="C289">
        <f t="shared" si="13"/>
        <v>1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LCM(5,_xlfn.CHOOSECOLS(D!L1:N6,0,3,1))&lt;&gt;DEVSQ(D!B1:B8)</f>
        <v>#VALUE!</v>
      </c>
      <c r="B290">
        <f t="shared" si="12"/>
        <v>3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_xlfn.ERF.PRECISE(#REF!)</f>
        <v>#REF!</v>
      </c>
      <c r="B291">
        <f t="shared" si="12"/>
        <v>4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SUMIFS(D!AZ1:AZ5,D!N2,"&gt;4")</f>
        <v>#VALUE!</v>
      </c>
      <c r="B292">
        <f t="shared" si="12"/>
        <v>3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NPV(-1,FALSE,{2,"a";TRUE,#N/A},D!G1:G7,6800)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_xlfn.PERMUTATIONA(-1,DMIN(D!B2:B3," ",D!A1:A5))</f>
        <v>#VALUE!</v>
      </c>
      <c r="B294">
        <f t="shared" si="12"/>
        <v>3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_xlfn.MODE.SNGL(D!BF1:BF6)</f>
        <v>2</v>
      </c>
      <c r="B295">
        <f t="shared" si="12"/>
        <v>0</v>
      </c>
      <c r="C295">
        <f t="shared" si="13"/>
        <v>2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SUM(BAHTTEXT(IMSUB("13+4i",4)))</f>
        <v>#VALUE!</v>
      </c>
      <c r="B296">
        <f t="shared" si="12"/>
        <v>3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cm="1">
        <f t="array" ref="A297">_xlfn.LOGNORM.DIST(4,3.5,_xlfn.VALUETOTEXT(D!A15,FALSE),TRUE)</f>
        <v>0.49998154367218689</v>
      </c>
      <c r="B297">
        <f t="shared" si="12"/>
        <v>0</v>
      </c>
      <c r="C297">
        <f t="shared" si="13"/>
        <v>0.49998154367218689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PROB({0.5;-1},7,2)*DVARP(D!I1:I5,"Yield",D!B7)</f>
        <v>#N/A</v>
      </c>
      <c r="B298">
        <f t="shared" si="12"/>
        <v>7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cm="1">
        <f t="array" ref="A299">_xlfn.MODE.SNGL(D!BF1:BF6)</f>
        <v>2</v>
      </c>
      <c r="B299">
        <f t="shared" si="12"/>
        <v>0</v>
      </c>
      <c r="C299">
        <f t="shared" si="13"/>
        <v>2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_xlfn.TEXTJOIN(";",FALSE,MDURATION(DATE(2018,7,1),#VALUE!,0.08,0.09,"-4",1))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cm="1">
        <f t="array" ref="A301">CEILING(D!B7,1)</f>
        <v>-3</v>
      </c>
      <c r="B301">
        <f t="shared" si="12"/>
        <v>0</v>
      </c>
      <c r="C301">
        <f t="shared" si="13"/>
        <v>-3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_xlfn.SORTBY(D!B1:C8,D!N1:N6,-1)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cm="1">
        <f t="array" ref="A303">_xlfn.T.INV(0.75,2)</f>
        <v>0.81649658092772592</v>
      </c>
      <c r="B303">
        <f t="shared" si="12"/>
        <v>0</v>
      </c>
      <c r="C303">
        <f t="shared" si="13"/>
        <v>0.81649658092772592</v>
      </c>
      <c r="D303" t="str">
        <f t="shared" si="14"/>
        <v/>
      </c>
      <c r="E303" t="s">
        <v>337</v>
      </c>
    </row>
    <row r="304" spans="1:5" x14ac:dyDescent="0.2">
      <c r="A304" t="str" cm="1">
        <f t="array" ref="A304">IMCONJUGATE("3+4i")</f>
        <v>3-4i</v>
      </c>
      <c r="B304">
        <f t="shared" si="12"/>
        <v>-3</v>
      </c>
      <c r="C304">
        <f t="shared" si="13"/>
        <v>0</v>
      </c>
      <c r="D304" t="str">
        <f t="shared" si="14"/>
        <v>3-4i</v>
      </c>
      <c r="E304" t="s">
        <v>338</v>
      </c>
    </row>
    <row r="305" spans="1:5" x14ac:dyDescent="0.2">
      <c r="A305" t="e" cm="1">
        <f t="array" ref="A305">SUM(_xlfn.T.DIST.RT(AVERAGEIF(D!N2,"&gt;4",D!A1:A5),D!A1+"0"))</f>
        <v>#DIV/0!</v>
      </c>
      <c r="B305">
        <f t="shared" si="12"/>
        <v>2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ROWS(FINDB("TRUE","FALSE"))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DEGREES(MONTH(D!A15))</f>
        <v>57.295779513082323</v>
      </c>
      <c r="B307">
        <f t="shared" si="12"/>
        <v>0</v>
      </c>
      <c r="C307">
        <f t="shared" si="13"/>
        <v>57.295779513082323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INDEX(EXACT(FIXED(2,45688.75),D!M2),1,1)</f>
        <v>#VALUE!</v>
      </c>
      <c r="B308">
        <f t="shared" si="12"/>
        <v>3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cm="1">
        <f t="array" ref="A309">FLOOR(-1,2)</f>
        <v>-2</v>
      </c>
      <c r="B309">
        <f t="shared" si="12"/>
        <v>0</v>
      </c>
      <c r="C309">
        <f t="shared" si="13"/>
        <v>-2</v>
      </c>
      <c r="D309" t="str">
        <f t="shared" si="14"/>
        <v/>
      </c>
      <c r="E309" t="s">
        <v>343</v>
      </c>
    </row>
    <row r="310" spans="1:5" x14ac:dyDescent="0.2">
      <c r="A310" t="str" cm="1">
        <f t="array" ref="A310">COMPLEX(7,-1)</f>
        <v>7-i</v>
      </c>
      <c r="B310">
        <f t="shared" si="12"/>
        <v>-3</v>
      </c>
      <c r="C310">
        <f t="shared" si="13"/>
        <v>0</v>
      </c>
      <c r="D310" t="str">
        <f t="shared" si="14"/>
        <v>7-i</v>
      </c>
      <c r="E310" t="s">
        <v>344</v>
      </c>
    </row>
    <row r="311" spans="1:5" x14ac:dyDescent="0.2">
      <c r="A311" cm="1">
        <f t="array" ref="A311">COUPNCD(DATE(2011,1,25),DATE(2011,11,15),2,"50%")</f>
        <v>40678</v>
      </c>
      <c r="B311">
        <f t="shared" si="12"/>
        <v>0</v>
      </c>
      <c r="C311">
        <f t="shared" si="13"/>
        <v>40678</v>
      </c>
      <c r="D311" t="str">
        <f t="shared" si="14"/>
        <v/>
      </c>
      <c r="E311" t="s">
        <v>345</v>
      </c>
    </row>
    <row r="312" spans="1:5" x14ac:dyDescent="0.2">
      <c r="A312" cm="1">
        <f t="array" ref="A312">LOOKUP(4.19,D!L1:L6,D!N1:N6)</f>
        <v>30</v>
      </c>
      <c r="B312">
        <f t="shared" si="12"/>
        <v>0</v>
      </c>
      <c r="C312">
        <f t="shared" si="13"/>
        <v>30</v>
      </c>
      <c r="D312" t="str">
        <f t="shared" si="14"/>
        <v/>
      </c>
      <c r="E312" t="s">
        <v>346</v>
      </c>
    </row>
    <row r="313" spans="1:5" x14ac:dyDescent="0.2">
      <c r="A313" t="str" cm="1">
        <f t="array" ref="A313">IMCONJUGATE(D!B3)</f>
        <v>15</v>
      </c>
      <c r="B313">
        <f t="shared" si="12"/>
        <v>-3</v>
      </c>
      <c r="C313">
        <f t="shared" si="13"/>
        <v>0</v>
      </c>
      <c r="D313" t="str">
        <f t="shared" si="14"/>
        <v>15</v>
      </c>
      <c r="E313" t="s">
        <v>347</v>
      </c>
    </row>
    <row r="314" spans="1:5" x14ac:dyDescent="0.2">
      <c r="A314" cm="1">
        <f t="array" ref="A314">COLUMNS(SKEW(D!B1:B8))</f>
        <v>1</v>
      </c>
      <c r="B314">
        <f t="shared" si="12"/>
        <v>0</v>
      </c>
      <c r="C314">
        <f t="shared" si="13"/>
        <v>1</v>
      </c>
      <c r="D314" t="str">
        <f t="shared" si="14"/>
        <v/>
      </c>
      <c r="E314" t="s">
        <v>348</v>
      </c>
    </row>
    <row r="315" spans="1:5" x14ac:dyDescent="0.2">
      <c r="A315" cm="1">
        <f t="array" ref="A315">INT(8.9)</f>
        <v>8</v>
      </c>
      <c r="B315">
        <f t="shared" si="12"/>
        <v>0</v>
      </c>
      <c r="C315">
        <f t="shared" si="13"/>
        <v>8</v>
      </c>
      <c r="D315" t="str">
        <f t="shared" si="14"/>
        <v/>
      </c>
      <c r="E315" t="s">
        <v>349</v>
      </c>
    </row>
    <row r="316" spans="1:5" x14ac:dyDescent="0.2">
      <c r="A316" cm="1">
        <f t="array" ref="A316">VAR(D!F1:F7,2,4)</f>
        <v>2</v>
      </c>
      <c r="B316">
        <f t="shared" si="12"/>
        <v>0</v>
      </c>
      <c r="C316">
        <f t="shared" si="13"/>
        <v>2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AVERAGEIF(D!A12,"&gt;4",D!B1:B3)</f>
        <v>#DIV/0!</v>
      </c>
      <c r="B317">
        <f t="shared" si="12"/>
        <v>2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GAMMAINV(0.068094,7,2)/CLEAN(D!A3)</f>
        <v>#VALUE!</v>
      </c>
      <c r="B318">
        <f t="shared" si="12"/>
        <v>3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REPLACE("abcdefghijk","aBc",D!B7,"*")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cm="1">
        <f t="array" ref="A320">_xlfn.FORECAST.LINEAR(30,D!AY1:AY5,D!AZ1:AZ5)</f>
        <v>63.9</v>
      </c>
      <c r="B320">
        <f t="shared" si="12"/>
        <v>0</v>
      </c>
      <c r="C320">
        <f t="shared" si="13"/>
        <v>63.9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SUM(MIRR(D!I1:I5,"2025-01-31 12:00",D!A3))</f>
        <v>#VALUE!</v>
      </c>
      <c r="B321">
        <f t="shared" ref="B321:B384" si="15">IF(ISERROR(A321),ERROR.TYPE(A321),IF(ISNUMBER(A321),0,IF(ISLOGICAL(A321),IF(A321,-1,-2),IF(ISTEXT(A321),-3,-4))))</f>
        <v>3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>
        <f t="array" ref="A322">VARA(D!B1:B8,D!M1:M6,D!E1:E8,D!G1:G7)</f>
        <v>#DIV/0!</v>
      </c>
      <c r="B322">
        <f t="shared" si="15"/>
        <v>2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 vm="12">
        <f t="array" ref="A323">_xlfn.TEXTBEFORE("a-b-c",HLOOKUP({3,1,2},D!L8:Q10,D!A12))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DPRODUCT(D!F1:F7,D!A3,D!AY1:AY5)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cm="1">
        <f t="array" ref="A325">_xlfn.GAMMALN.PRECISE(4)</f>
        <v>1.791759469228055</v>
      </c>
      <c r="B325">
        <f t="shared" si="15"/>
        <v>0</v>
      </c>
      <c r="C325">
        <f t="shared" si="16"/>
        <v>1.791759469228055</v>
      </c>
      <c r="D325" t="str">
        <f t="shared" si="17"/>
        <v/>
      </c>
      <c r="E325" t="s">
        <v>359</v>
      </c>
    </row>
    <row r="326" spans="1:5" x14ac:dyDescent="0.2">
      <c r="A326" cm="1">
        <f t="array" ref="A326">MINA(D!B1:B8)</f>
        <v>-3.5</v>
      </c>
      <c r="B326">
        <f t="shared" si="15"/>
        <v>0</v>
      </c>
      <c r="C326">
        <f t="shared" si="16"/>
        <v>-3.5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PERMUT(COUNTIF(D!B3,D!A5),3)=PERCENTILE(D!A1,#DIV/0!)</f>
        <v>#NUM!</v>
      </c>
      <c r="B327">
        <f t="shared" si="15"/>
        <v>6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cm="1">
        <f t="array" ref="A328">SUM(NETWORKDAYS.INTL(38718,38748))</f>
        <v>22</v>
      </c>
      <c r="B328">
        <f t="shared" si="15"/>
        <v>0</v>
      </c>
      <c r="C328">
        <f t="shared" si="16"/>
        <v>22</v>
      </c>
      <c r="D328" t="str">
        <f t="shared" si="17"/>
        <v/>
      </c>
      <c r="E328" t="s">
        <v>362</v>
      </c>
    </row>
    <row r="329" spans="1:5" x14ac:dyDescent="0.2">
      <c r="A329" cm="1">
        <f t="array" ref="A329">POWER(3,2)</f>
        <v>9</v>
      </c>
      <c r="B329">
        <f t="shared" si="15"/>
        <v>0</v>
      </c>
      <c r="C329">
        <f t="shared" si="16"/>
        <v>9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INDEX(RECEIVED("a,b",DATE(2008,5,15),1000000,0.0575,2),1,1)</f>
        <v>#VALUE!</v>
      </c>
      <c r="B330">
        <f t="shared" si="15"/>
        <v>3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str" cm="1">
        <f t="array" ref="A331">_xlfn.IMTAN("4+3i")</f>
        <v>0.00490825806749606+1.00070953606723i</v>
      </c>
      <c r="B331">
        <f t="shared" si="15"/>
        <v>-3</v>
      </c>
      <c r="C331">
        <f t="shared" si="16"/>
        <v>0</v>
      </c>
      <c r="D331" t="str">
        <f t="shared" si="17"/>
        <v>0.00490825806749606+1.00070953606723i</v>
      </c>
      <c r="E331" t="s">
        <v>365</v>
      </c>
    </row>
    <row r="332" spans="1:5" x14ac:dyDescent="0.2">
      <c r="A332" t="e" cm="1">
        <f t="array" ref="A332">T(IMLN(D!A1))</f>
        <v>#NUM!</v>
      </c>
      <c r="B332">
        <f t="shared" si="15"/>
        <v>6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cm="1">
        <f t="array" ref="A333">SUM(LOG(10,D!A10))</f>
        <v>5.6788735872675735</v>
      </c>
      <c r="B333">
        <f t="shared" si="15"/>
        <v>0</v>
      </c>
      <c r="C333">
        <f t="shared" si="16"/>
        <v>5.6788735872675735</v>
      </c>
      <c r="D333" t="str">
        <f t="shared" si="17"/>
        <v/>
      </c>
      <c r="E333" t="s">
        <v>367</v>
      </c>
    </row>
    <row r="334" spans="1:5" x14ac:dyDescent="0.2">
      <c r="A334" cm="1">
        <f t="array" ref="A334">SUM(IMARGUMENT({1}))</f>
        <v>0</v>
      </c>
      <c r="B334">
        <f t="shared" si="15"/>
        <v>0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cm="1">
        <f t="array" ref="A335">_xlfn.DAYS(_xlfn.DAYS(44270,44228),61/_xlfn.VAR.S(D!H1:H7))</f>
        <v>42</v>
      </c>
      <c r="B335">
        <f t="shared" si="15"/>
        <v>0</v>
      </c>
      <c r="C335">
        <f t="shared" si="16"/>
        <v>42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RECEIVED("x y",DATE(2008,5,15),DEVSQ(D!B1:B8),FALSE,TRUE)</f>
        <v>#VALUE!</v>
      </c>
      <c r="B336">
        <f t="shared" si="15"/>
        <v>3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e" cm="1" vm="11">
        <f t="array" aca="1" ref="A337" ca="1">ACCRINT(39508,D!N2,"a*",_xlfn.BINOM.DIST.RANGE(60,D!A2,{45658,45689}),100,2,0)</f>
        <v>#VALUE!</v>
      </c>
      <c r="B337">
        <f t="shared" ca="1" si="15"/>
        <v>9</v>
      </c>
      <c r="C337">
        <f t="shared" ca="1" si="16"/>
        <v>0</v>
      </c>
      <c r="D337" t="str">
        <f t="shared" ca="1" si="17"/>
        <v/>
      </c>
      <c r="E337" t="s">
        <v>371</v>
      </c>
    </row>
    <row r="338" spans="1:5" x14ac:dyDescent="0.2">
      <c r="A338" t="e" cm="1">
        <f t="array" ref="A338">FINDB("a,b","?")</f>
        <v>#VALUE!</v>
      </c>
      <c r="B338">
        <f t="shared" si="15"/>
        <v>3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b" cm="1">
        <f t="array" ref="A339">ISNUMBER(LARGE(D!A13,3))</f>
        <v>0</v>
      </c>
      <c r="B339">
        <f t="shared" si="15"/>
        <v>-2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 vm="2">
        <f t="array" aca="1" ref="A340" ca="1">TEXT(_xlfn.PERCENTRANK.INC(D!B1:B8,8),D!N1:N6)</f>
        <v>#VALUE!</v>
      </c>
      <c r="B340">
        <f t="shared" ca="1" si="15"/>
        <v>9</v>
      </c>
      <c r="C340">
        <f t="shared" ca="1" si="16"/>
        <v>0</v>
      </c>
      <c r="D340" t="str">
        <f t="shared" ca="1" si="17"/>
        <v/>
      </c>
      <c r="E340" t="s">
        <v>374</v>
      </c>
    </row>
    <row r="341" spans="1:5" x14ac:dyDescent="0.2">
      <c r="A341" t="e" cm="1">
        <f t="array" ref="A341">_xlfn.TOCOL(D!P4:R5,"2025-01-31 12:00",FALSE)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cm="1">
        <f t="array" ref="A342">ROWS(_xlfn.F.DIST(15.2069,6,4,ISERROR(2.5)))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376</v>
      </c>
    </row>
    <row r="343" spans="1:5" x14ac:dyDescent="0.2">
      <c r="A343" cm="1">
        <f t="array" ref="A343">ROWS(LOG10(D!C2))</f>
        <v>1</v>
      </c>
      <c r="B343">
        <f t="shared" si="15"/>
        <v>0</v>
      </c>
      <c r="C343">
        <f t="shared" si="16"/>
        <v>1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INDEX(BAHTTEXT(MATCH(5,D!L1:L6,D!A8)),1,1)</f>
        <v>#REF!</v>
      </c>
      <c r="B344">
        <f t="shared" si="15"/>
        <v>4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cm="1">
        <f t="array" ref="A345">ATAN2(1,"-4")</f>
        <v>-1.3258176636680326</v>
      </c>
      <c r="B345">
        <f t="shared" si="15"/>
        <v>0</v>
      </c>
      <c r="C345">
        <f t="shared" si="16"/>
        <v>-1.3258176636680326</v>
      </c>
      <c r="D345" t="str">
        <f t="shared" si="17"/>
        <v/>
      </c>
      <c r="E345" t="s">
        <v>379</v>
      </c>
    </row>
    <row r="346" spans="1:5" x14ac:dyDescent="0.2">
      <c r="A346" cm="1">
        <f t="array" ref="A346">ROUNDDOWN("1/2/2025",100)</f>
        <v>45659</v>
      </c>
      <c r="B346">
        <f t="shared" si="15"/>
        <v>0</v>
      </c>
      <c r="C346">
        <f t="shared" si="16"/>
        <v>45659</v>
      </c>
      <c r="D346" t="str">
        <f t="shared" si="17"/>
        <v/>
      </c>
      <c r="E346" t="s">
        <v>380</v>
      </c>
    </row>
    <row r="347" spans="1:5" x14ac:dyDescent="0.2">
      <c r="A347" cm="1">
        <f t="array" ref="A347">WEEKNUM("6:35 AM")</f>
        <v>0</v>
      </c>
      <c r="B347">
        <f t="shared" si="15"/>
        <v>0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cm="1">
        <f t="array" ref="A348">COUNTBLANK(D!F1:F7)</f>
        <v>0</v>
      </c>
      <c r="B348">
        <f t="shared" si="15"/>
        <v>0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CHOOSE(D!A15,"a",_xlfn.ACOT(7+D!K1:K8)/ODDLPRICE(D!I1:I5,DATE(2008,6,15),-1,0.0375,0,"abc",_xlfn.WRAPCOLS(D!B1:B8,2),2.5),{"a","b"})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e" cm="1">
        <f t="array" ref="A350">INTERCEPT(D!C1:C8,{3,1,2})</f>
        <v>#N/A</v>
      </c>
      <c r="B350">
        <f t="shared" si="15"/>
        <v>7</v>
      </c>
      <c r="C350">
        <f t="shared" si="16"/>
        <v>0</v>
      </c>
      <c r="D350" t="str">
        <f t="shared" si="17"/>
        <v/>
      </c>
      <c r="E350" t="s">
        <v>384</v>
      </c>
    </row>
    <row r="351" spans="1:5" x14ac:dyDescent="0.2">
      <c r="A351" t="str" cm="1">
        <f t="array" ref="A351">_xlfn.TEXTJOIN(";",FALSE,_xlfn.F.INV.RT(0.01,6,D!B1))</f>
        <v>15.2068648611575</v>
      </c>
      <c r="B351">
        <f t="shared" si="15"/>
        <v>-3</v>
      </c>
      <c r="C351">
        <f t="shared" si="16"/>
        <v>0</v>
      </c>
      <c r="D351" t="str">
        <f t="shared" si="17"/>
        <v>15.2068648611575</v>
      </c>
      <c r="E351" t="s">
        <v>385</v>
      </c>
    </row>
    <row r="352" spans="1:5" x14ac:dyDescent="0.2">
      <c r="A352" t="e" cm="1">
        <f t="array" ref="A352">DATEVALUE(D!A7&lt;VARA(0.5))</f>
        <v>#DIV/0!</v>
      </c>
      <c r="B352">
        <f t="shared" si="15"/>
        <v>2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GEOMEAN(D!AV1:AV7,{2,"a";TRUE,#N/A})</f>
        <v>#N/A</v>
      </c>
      <c r="B353">
        <f t="shared" si="15"/>
        <v>7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cm="1">
        <f t="array" ref="A354">GEOMEAN(3)</f>
        <v>3</v>
      </c>
      <c r="B354">
        <f t="shared" si="15"/>
        <v>0</v>
      </c>
      <c r="C354">
        <f t="shared" si="16"/>
        <v>3</v>
      </c>
      <c r="D354" t="str">
        <f t="shared" si="17"/>
        <v/>
      </c>
      <c r="E354" t="s">
        <v>388</v>
      </c>
    </row>
    <row r="355" spans="1:5" x14ac:dyDescent="0.2">
      <c r="A355" t="e" cm="1" vm="7">
        <f t="array" aca="1" ref="A355" ca="1">DB({1,2,3},100000,-1.5,1,D!A5)</f>
        <v>#VALUE!</v>
      </c>
      <c r="B355">
        <f t="shared" ca="1" si="15"/>
        <v>9</v>
      </c>
      <c r="C355">
        <f t="shared" ca="1" si="16"/>
        <v>0</v>
      </c>
      <c r="D355" t="str">
        <f t="shared" ca="1" si="17"/>
        <v/>
      </c>
      <c r="E355" t="s">
        <v>389</v>
      </c>
    </row>
    <row r="356" spans="1:5" x14ac:dyDescent="0.2">
      <c r="A356" t="e" cm="1">
        <f t="array" ref="A356">_xlfn.HYPGEOM.DIST(CORREL(D!B1:B8,{"a","b"}),4,8,20,D!A13)</f>
        <v>#N/A</v>
      </c>
      <c r="B356">
        <f t="shared" si="15"/>
        <v>7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TYPE(2)</f>
        <v>1</v>
      </c>
      <c r="B357">
        <f t="shared" si="15"/>
        <v>0</v>
      </c>
      <c r="C357">
        <f t="shared" si="16"/>
        <v>1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DCOUNTA(D!B1,"Yield",D!G1:G7)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cm="1">
        <f t="array" ref="A359">HARMEAN(D!AV1:AV7)</f>
        <v>5.0283759620617277</v>
      </c>
      <c r="B359">
        <f t="shared" si="15"/>
        <v>0</v>
      </c>
      <c r="C359">
        <f t="shared" si="16"/>
        <v>5.0283759620617277</v>
      </c>
      <c r="D359" t="str">
        <f t="shared" si="17"/>
        <v/>
      </c>
      <c r="E359" t="s">
        <v>393</v>
      </c>
    </row>
    <row r="360" spans="1:5" x14ac:dyDescent="0.2">
      <c r="A360" cm="1">
        <f t="array" ref="A360">_xlfn.POISSON.DIST(2,5,TRUE)</f>
        <v>0.12465201948308113</v>
      </c>
      <c r="B360">
        <f t="shared" si="15"/>
        <v>0</v>
      </c>
      <c r="C360">
        <f t="shared" si="16"/>
        <v>0.12465201948308113</v>
      </c>
      <c r="D360" t="str">
        <f t="shared" si="17"/>
        <v/>
      </c>
      <c r="E360" t="s">
        <v>394</v>
      </c>
    </row>
    <row r="361" spans="1:5" x14ac:dyDescent="0.2">
      <c r="A361" t="str" cm="1">
        <f t="array" ref="A361">_xlfn.TEXTJOIN(";",FALSE,SIGN(10))</f>
        <v>1</v>
      </c>
      <c r="B361">
        <f t="shared" si="15"/>
        <v>-3</v>
      </c>
      <c r="C361">
        <f t="shared" si="16"/>
        <v>0</v>
      </c>
      <c r="D361" t="str">
        <f t="shared" si="17"/>
        <v>1</v>
      </c>
      <c r="E361" t="s">
        <v>395</v>
      </c>
    </row>
    <row r="362" spans="1:5" x14ac:dyDescent="0.2">
      <c r="A362" cm="1">
        <f t="array" ref="A362">_xlfn.T.DIST.2T(1.959999998,60)</f>
        <v>5.4644929975920957E-2</v>
      </c>
      <c r="B362">
        <f t="shared" si="15"/>
        <v>0</v>
      </c>
      <c r="C362">
        <f t="shared" si="16"/>
        <v>5.4644929975920957E-2</v>
      </c>
      <c r="D362" t="str">
        <f t="shared" si="17"/>
        <v/>
      </c>
      <c r="E362" t="s">
        <v>396</v>
      </c>
    </row>
    <row r="363" spans="1:5" x14ac:dyDescent="0.2">
      <c r="A363" cm="1">
        <f t="array" ref="A363">PERCENTRANK(D!B1:B8,15)</f>
        <v>0.57099999999999995</v>
      </c>
      <c r="B363">
        <f t="shared" si="15"/>
        <v>0</v>
      </c>
      <c r="C363">
        <f t="shared" si="16"/>
        <v>0.57099999999999995</v>
      </c>
      <c r="D363" t="str">
        <f t="shared" si="17"/>
        <v/>
      </c>
      <c r="E363" t="s">
        <v>397</v>
      </c>
    </row>
    <row r="364" spans="1:5" x14ac:dyDescent="0.2">
      <c r="A364" t="b" cm="1">
        <f t="array" ref="A364">INDEX(ISERR(2.5),1,1)</f>
        <v>0</v>
      </c>
      <c r="B364">
        <f t="shared" si="15"/>
        <v>-2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cm="1">
        <f t="array" ref="A365">ROUNDUP(3.2,60)</f>
        <v>3.2</v>
      </c>
      <c r="B365">
        <f t="shared" si="15"/>
        <v>0</v>
      </c>
      <c r="C365">
        <f t="shared" si="16"/>
        <v>3.2</v>
      </c>
      <c r="D365" t="str">
        <f t="shared" si="17"/>
        <v/>
      </c>
      <c r="E365" t="s">
        <v>399</v>
      </c>
    </row>
    <row r="366" spans="1:5" x14ac:dyDescent="0.2">
      <c r="A366" cm="1">
        <f t="array" ref="A366">SUM(BESSELI(1.5,1))</f>
        <v>0.98166642847516605</v>
      </c>
      <c r="B366">
        <f t="shared" si="15"/>
        <v>0</v>
      </c>
      <c r="C366">
        <f t="shared" si="16"/>
        <v>0.98166642847516605</v>
      </c>
      <c r="D366" t="str">
        <f t="shared" si="17"/>
        <v/>
      </c>
      <c r="E366" t="s">
        <v>400</v>
      </c>
    </row>
    <row r="367" spans="1:5" x14ac:dyDescent="0.2">
      <c r="A367" t="e" cm="1">
        <f t="array" ref="A367">ROWS(TINV(100,60))</f>
        <v>#NUM!</v>
      </c>
      <c r="B367">
        <f t="shared" si="15"/>
        <v>6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cm="1">
        <f t="array" ref="A368">LEN("abc")</f>
        <v>3</v>
      </c>
      <c r="B368">
        <f t="shared" si="15"/>
        <v>0</v>
      </c>
      <c r="C368">
        <f t="shared" si="16"/>
        <v>3</v>
      </c>
      <c r="D368" t="str">
        <f t="shared" si="17"/>
        <v/>
      </c>
      <c r="E368" t="s">
        <v>402</v>
      </c>
    </row>
    <row r="369" spans="1:5" x14ac:dyDescent="0.2">
      <c r="A369" t="e" cm="1">
        <f t="array" ref="A369">_xlfn.WRAPROWS(D!L8:Q10*ACCRINTM(DATE(2008,4,1),DATE(2008,6,15),0.1,1000,D!B3),1,INT(8.9))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e" cm="1">
        <f t="array" ref="A370">SUMX2MY2({3,1,2},D!C1:C8)</f>
        <v>#N/A</v>
      </c>
      <c r="B370">
        <f t="shared" si="15"/>
        <v>7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YIELD(D!A3,"18:30",2.5,95.04287,"18:30",D!M1:M6,-1.5)&lt;=WORKDAY(0.25,151)</f>
        <v>#NUM!</v>
      </c>
      <c r="B371">
        <f t="shared" si="15"/>
        <v>6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RECEIVED(DATE(2008,2,15),DATE(2008,5,15),1000000,0.0575,2)</f>
        <v>1014584.6544071021</v>
      </c>
      <c r="B372">
        <f t="shared" si="15"/>
        <v>0</v>
      </c>
      <c r="C372">
        <f t="shared" si="16"/>
        <v>1014584.6544071021</v>
      </c>
      <c r="D372" t="str">
        <f t="shared" si="17"/>
        <v/>
      </c>
      <c r="E372" t="s">
        <v>406</v>
      </c>
    </row>
    <row r="373" spans="1:5" x14ac:dyDescent="0.2">
      <c r="A373" cm="1">
        <f t="array" ref="A373">WORKDAY.INTL(40909,D!G4,11)</f>
        <v>40918</v>
      </c>
      <c r="B373">
        <f t="shared" si="15"/>
        <v>0</v>
      </c>
      <c r="C373">
        <f t="shared" si="16"/>
        <v>40918</v>
      </c>
      <c r="D373" t="str">
        <f t="shared" si="17"/>
        <v/>
      </c>
      <c r="E373" t="s">
        <v>407</v>
      </c>
    </row>
    <row r="374" spans="1:5" x14ac:dyDescent="0.2">
      <c r="A374" t="b" cm="1">
        <f t="array" ref="A374">ISTEXT(2.5)</f>
        <v>0</v>
      </c>
      <c r="B374">
        <f t="shared" si="15"/>
        <v>-2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cm="1">
        <f t="array" ref="A375">VARPA(-1)</f>
        <v>0</v>
      </c>
      <c r="B375">
        <f t="shared" si="15"/>
        <v>0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cm="1">
        <f t="array" ref="A376">ROWS(_xlfn.BINOM.DIST(ISLOGICAL("A"),2.5,0.5,TRUE))</f>
        <v>1</v>
      </c>
      <c r="B376">
        <f t="shared" si="15"/>
        <v>0</v>
      </c>
      <c r="C376">
        <f t="shared" si="16"/>
        <v>1</v>
      </c>
      <c r="D376" t="str">
        <f t="shared" si="17"/>
        <v/>
      </c>
      <c r="E376" t="s">
        <v>410</v>
      </c>
    </row>
    <row r="377" spans="1:5" x14ac:dyDescent="0.2">
      <c r="A377" cm="1">
        <f t="array" ref="A377">BESSELY(4,2)</f>
        <v>0.21590359910698975</v>
      </c>
      <c r="B377">
        <f t="shared" si="15"/>
        <v>0</v>
      </c>
      <c r="C377">
        <f t="shared" si="16"/>
        <v>0.21590359910698975</v>
      </c>
      <c r="D377" t="str">
        <f t="shared" si="17"/>
        <v/>
      </c>
      <c r="E377" t="s">
        <v>411</v>
      </c>
    </row>
    <row r="378" spans="1:5" x14ac:dyDescent="0.2">
      <c r="A378" t="b" cm="1">
        <f t="array" ref="A378">PROB(D!AH1:AH4,D!AI1:AI4,2)&lt;&gt;BESSELY(2.5,2)</f>
        <v>1</v>
      </c>
      <c r="B378">
        <f t="shared" si="15"/>
        <v>-1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cm="1">
        <f t="array" ref="A379">COLUMN(D!I1:I5)</f>
        <v>9</v>
      </c>
      <c r="B379">
        <f t="shared" si="15"/>
        <v>0</v>
      </c>
      <c r="C379">
        <f t="shared" si="16"/>
        <v>9</v>
      </c>
      <c r="D379" t="str">
        <f t="shared" si="17"/>
        <v/>
      </c>
      <c r="E379" t="s">
        <v>413</v>
      </c>
    </row>
    <row r="380" spans="1:5" x14ac:dyDescent="0.2">
      <c r="A380" cm="1">
        <f t="array" ref="A380">_xlfn.LOGNORM.DIST(4,1000,1.2,TRUE)</f>
        <v>0</v>
      </c>
      <c r="B380">
        <f t="shared" si="15"/>
        <v>0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str" cm="1">
        <f t="array" ref="A381">_xlfn.TEXTJOIN(";",FALSE,_xlfn.IMSECH("4+3i"))</f>
        <v>-0.0362534969158689-0.00516434460775318i</v>
      </c>
      <c r="B381">
        <f t="shared" si="15"/>
        <v>-3</v>
      </c>
      <c r="C381">
        <f t="shared" si="16"/>
        <v>0</v>
      </c>
      <c r="D381" t="str">
        <f t="shared" si="17"/>
        <v>-0.0362534969158689-0.00516434460775318i</v>
      </c>
      <c r="E381" t="s">
        <v>415</v>
      </c>
    </row>
    <row r="382" spans="1:5" x14ac:dyDescent="0.2">
      <c r="A382" t="e" cm="1" vm="2">
        <f t="array" aca="1" ref="A382" ca="1">_xlfn.DROP(D!C1:C8&gt;0.5,2)</f>
        <v>#VALUE!</v>
      </c>
      <c r="B382">
        <f t="shared" ca="1" si="15"/>
        <v>9</v>
      </c>
      <c r="C382">
        <f t="shared" ca="1" si="16"/>
        <v>0</v>
      </c>
      <c r="D382" t="str">
        <f t="shared" ca="1" si="17"/>
        <v/>
      </c>
      <c r="E382" t="s">
        <v>416</v>
      </c>
    </row>
    <row r="383" spans="1:5" x14ac:dyDescent="0.2">
      <c r="A383" t="b" cm="1">
        <f t="array" ref="A383">ISEVEN(-1)</f>
        <v>0</v>
      </c>
      <c r="B383">
        <f t="shared" si="15"/>
        <v>-2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e" cm="1">
        <f t="array" ref="A384">ROWS(REPT(_xlfn.TEXTSPLIT("a,b;c",D!B2:B3,D!AW1:AW4,FALSE),1))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str" cm="1">
        <f t="array" ref="A385">INDEX(_xlfn.VALUETOTEXT("1.5",0),1,1)</f>
        <v>1.5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1.5</v>
      </c>
      <c r="E385" t="s">
        <v>419</v>
      </c>
    </row>
    <row r="386" spans="1:5" x14ac:dyDescent="0.2">
      <c r="A386" cm="1">
        <f t="array" ref="A386">ROWS(_xlfn.FLOOR.MATH(DEGREES(3.14159265358979),5))</f>
        <v>1</v>
      </c>
      <c r="B386">
        <f t="shared" si="18"/>
        <v>0</v>
      </c>
      <c r="C386">
        <f t="shared" si="19"/>
        <v>1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_xlfn.BETA.INV(2.5,0,10,45351,3)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_xlfn.TEXTJOIN(";",FALSE,_xlfn.CHISQ.DIST("Привет",3,TRUE))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str" cm="1">
        <f t="array" ref="A389">REPT("*-",5)</f>
        <v>*-*-*-*-*-</v>
      </c>
      <c r="B389">
        <f t="shared" si="18"/>
        <v>-3</v>
      </c>
      <c r="C389">
        <f t="shared" si="19"/>
        <v>0</v>
      </c>
      <c r="D389" t="str">
        <f t="shared" si="20"/>
        <v>*-*-*-*-*-</v>
      </c>
      <c r="E389" t="s">
        <v>423</v>
      </c>
    </row>
    <row r="390" spans="1:5" x14ac:dyDescent="0.2">
      <c r="A390" t="e" cm="1">
        <f t="array" ref="A390">_xlfn.GAMMA.DIST(TIME(100,0,0),9,D!B7,FALSE)&amp;TEXT(1234.567,"a*")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SUM(DVAR(D!B1,#NUM!,D!AS1:AS8))</f>
        <v>#NUM!</v>
      </c>
      <c r="B391">
        <f t="shared" si="18"/>
        <v>6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_xlfn.TEXTJOIN(";",FALSE,_xlfn.SKEW.P(D!A13))</f>
        <v>#DIV/0!</v>
      </c>
      <c r="B392">
        <f t="shared" si="18"/>
        <v>2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QUARTILE({1},1)^_xlfn.CHISQ.DIST.RT(18.307,1)</f>
        <v>1</v>
      </c>
      <c r="B393">
        <f t="shared" si="18"/>
        <v>0</v>
      </c>
      <c r="C393">
        <f t="shared" si="19"/>
        <v>1</v>
      </c>
      <c r="D393" t="str">
        <f t="shared" si="20"/>
        <v/>
      </c>
      <c r="E393" t="s">
        <v>427</v>
      </c>
    </row>
    <row r="394" spans="1:5" x14ac:dyDescent="0.2">
      <c r="A394" t="e" cm="1" vm="11">
        <f t="array" aca="1" ref="A394" ca="1">YIELDDISC(10,D!A13,{45658,45689},100,D!A3)</f>
        <v>#VALUE!</v>
      </c>
      <c r="B394">
        <f t="shared" ca="1" si="18"/>
        <v>9</v>
      </c>
      <c r="C394">
        <f t="shared" ca="1" si="19"/>
        <v>0</v>
      </c>
      <c r="D394" t="str">
        <f t="shared" ca="1" si="20"/>
        <v/>
      </c>
      <c r="E394" t="s">
        <v>428</v>
      </c>
    </row>
    <row r="395" spans="1:5" x14ac:dyDescent="0.2">
      <c r="A395" cm="1">
        <f t="array" ref="A395">ISPMT(45658,3,D!A2,D!A5)</f>
        <v>0</v>
      </c>
      <c r="B395">
        <f t="shared" si="18"/>
        <v>0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SUM(PRICE(DATE(2008,2,15),_xlfn.T.DIST("abc",1,TRUE),PERMUT(100,GCD(BETADIST(#NAME?,#NAME?,10,1,D!A15),2))=0.5,_xlfn.CONCAT("a",{45658,45689},D!AS1:AS8/ISO.CEILING(10))/SUBTOTAL(#NUM!,D!M1:M6,D!H1:H7),100,EDATE(D!A10,ODDFYIELD(DATE(2008,11,11),"31-Jan-2025",DATE(2008,10,15),DATE(2009,3,1),2.5,TRUE,100,2,D!A9)),D!B3))</f>
        <v>#NUM!</v>
      </c>
      <c r="B396">
        <f t="shared" si="18"/>
        <v>6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PERMUT(LOG10(86),3)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cm="1">
        <f t="array" ref="A398">COSH(4)</f>
        <v>27.308232836016487</v>
      </c>
      <c r="B398">
        <f t="shared" si="18"/>
        <v>0</v>
      </c>
      <c r="C398">
        <f t="shared" si="19"/>
        <v>27.308232836016487</v>
      </c>
      <c r="D398" t="str">
        <f t="shared" si="20"/>
        <v/>
      </c>
      <c r="E398" t="s">
        <v>432</v>
      </c>
    </row>
    <row r="399" spans="1:5" x14ac:dyDescent="0.2">
      <c r="A399" cm="1">
        <f t="array" ref="A399">_xlfn.QUARTILE.INC(D!B1:B3,1)</f>
        <v>6</v>
      </c>
      <c r="B399">
        <f t="shared" si="18"/>
        <v>0</v>
      </c>
      <c r="C399">
        <f t="shared" si="19"/>
        <v>6</v>
      </c>
      <c r="D399" t="str">
        <f t="shared" si="20"/>
        <v/>
      </c>
      <c r="E399" t="s">
        <v>433</v>
      </c>
    </row>
    <row r="400" spans="1:5" x14ac:dyDescent="0.2">
      <c r="A400" cm="1">
        <f t="array" ref="A400">NPER(ASIN(-0.5),-100,-1000,_xlfn.PERMUTATIONA(D!N2,2),1)</f>
        <v>1.4551331479772578</v>
      </c>
      <c r="B400">
        <f t="shared" si="18"/>
        <v>0</v>
      </c>
      <c r="C400">
        <f t="shared" si="19"/>
        <v>1.4551331479772578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2026-10-07T05:15:44Z</dcterms:created>
  <dcterms:modified xsi:type="dcterms:W3CDTF">2026-10-07T05:15:45Z</dcterms:modified>
  <cp:category/>
</cp:coreProperties>
</file>