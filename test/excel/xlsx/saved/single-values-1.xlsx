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4DD80EA1-A8CC-E547-A584-FA33D2BC2D3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" i="2" l="1" a="1"/>
  <c r="A66" i="2" s="1"/>
  <c r="D66" i="2" s="1"/>
  <c r="A65" i="2" a="1"/>
  <c r="A65" i="2" s="1"/>
  <c r="A64" i="2" a="1"/>
  <c r="A64" i="2" s="1"/>
  <c r="A63" i="2" a="1"/>
  <c r="A63" i="2" s="1"/>
  <c r="A62" i="2" a="1"/>
  <c r="A62" i="2" s="1"/>
  <c r="A61" i="2" a="1"/>
  <c r="A61" i="2" s="1"/>
  <c r="A60" i="2" a="1"/>
  <c r="A60" i="2" s="1"/>
  <c r="A59" i="2" a="1"/>
  <c r="A59" i="2" s="1"/>
  <c r="A58" i="2" a="1"/>
  <c r="A58" i="2"/>
  <c r="D58" i="2" s="1"/>
  <c r="A57" i="2" a="1"/>
  <c r="A57" i="2" s="1"/>
  <c r="A56" i="2" a="1"/>
  <c r="A56" i="2" s="1"/>
  <c r="A55" i="2" a="1"/>
  <c r="A55" i="2"/>
  <c r="D55" i="2" s="1"/>
  <c r="A54" i="2" a="1"/>
  <c r="A54" i="2" s="1"/>
  <c r="A53" i="2" a="1"/>
  <c r="A53" i="2"/>
  <c r="D53" i="2" s="1"/>
  <c r="A52" i="2" a="1"/>
  <c r="A52" i="2"/>
  <c r="D52" i="2" s="1"/>
  <c r="A51" i="2" a="1"/>
  <c r="A51" i="2"/>
  <c r="D51" i="2" s="1"/>
  <c r="A50" i="2" a="1"/>
  <c r="A50" i="2"/>
  <c r="C50" i="2" s="1"/>
  <c r="A49" i="2" a="1"/>
  <c r="A49" i="2" s="1"/>
  <c r="D49" i="2" s="1"/>
  <c r="A48" i="2" a="1"/>
  <c r="A48" i="2"/>
  <c r="D48" i="2" s="1"/>
  <c r="A47" i="2" a="1"/>
  <c r="A47" i="2" s="1"/>
  <c r="A46" i="2" a="1"/>
  <c r="A46" i="2" s="1"/>
  <c r="A45" i="2" a="1"/>
  <c r="A45" i="2" s="1"/>
  <c r="A44" i="2" a="1"/>
  <c r="A44" i="2"/>
  <c r="B44" i="2" s="1"/>
  <c r="A43" i="2" a="1"/>
  <c r="A43" i="2" s="1"/>
  <c r="A42" i="2" a="1"/>
  <c r="A42" i="2" s="1"/>
  <c r="A41" i="2" a="1"/>
  <c r="A41" i="2" s="1"/>
  <c r="A40" i="2" a="1"/>
  <c r="A40" i="2"/>
  <c r="D40" i="2" s="1"/>
  <c r="A39" i="2" a="1"/>
  <c r="A39" i="2" s="1"/>
  <c r="A38" i="2" a="1"/>
  <c r="A38" i="2" s="1"/>
  <c r="A37" i="2" a="1"/>
  <c r="A37" i="2" s="1"/>
  <c r="D37" i="2" s="1"/>
  <c r="A36" i="2" a="1"/>
  <c r="A36" i="2"/>
  <c r="D36" i="2" s="1"/>
  <c r="A35" i="2" a="1"/>
  <c r="A35" i="2"/>
  <c r="D35" i="2" s="1"/>
  <c r="A34" i="2" a="1"/>
  <c r="A34" i="2" s="1"/>
  <c r="A33" i="2" a="1"/>
  <c r="A33" i="2"/>
  <c r="D33" i="2" s="1"/>
  <c r="A32" i="2" a="1"/>
  <c r="A32" i="2" s="1"/>
  <c r="A31" i="2" a="1"/>
  <c r="A31" i="2"/>
  <c r="D31" i="2" s="1"/>
  <c r="A30" i="2" a="1"/>
  <c r="A30" i="2" s="1"/>
  <c r="D30" i="2" s="1"/>
  <c r="A29" i="2" a="1"/>
  <c r="A29" i="2" s="1"/>
  <c r="A28" i="2" a="1"/>
  <c r="A28" i="2" s="1"/>
  <c r="A27" i="2" a="1"/>
  <c r="A27" i="2" s="1"/>
  <c r="A26" i="2" a="1"/>
  <c r="A26" i="2" s="1"/>
  <c r="D26" i="2" s="1"/>
  <c r="A25" i="2" a="1"/>
  <c r="A25" i="2"/>
  <c r="B25" i="2" s="1"/>
  <c r="A24" i="2" a="1"/>
  <c r="A24" i="2" s="1"/>
  <c r="A23" i="2" a="1"/>
  <c r="A23" i="2"/>
  <c r="C23" i="2" s="1"/>
  <c r="A22" i="2" a="1"/>
  <c r="A22" i="2"/>
  <c r="B22" i="2" s="1"/>
  <c r="A21" i="2" a="1"/>
  <c r="A21" i="2" s="1"/>
  <c r="A20" i="2" a="1"/>
  <c r="A20" i="2" s="1"/>
  <c r="A19" i="2" a="1"/>
  <c r="A19" i="2" s="1"/>
  <c r="D19" i="2" s="1"/>
  <c r="A18" i="2" a="1"/>
  <c r="A18" i="2" s="1"/>
  <c r="A17" i="2" a="1"/>
  <c r="A17" i="2" s="1"/>
  <c r="A16" i="2" a="1"/>
  <c r="A16" i="2" s="1"/>
  <c r="A15" i="2" a="1"/>
  <c r="A15" i="2"/>
  <c r="C15" i="2" s="1"/>
  <c r="A14" i="2" a="1"/>
  <c r="A14" i="2"/>
  <c r="C14" i="2" s="1"/>
  <c r="A13" i="2" a="1"/>
  <c r="A13" i="2"/>
  <c r="D13" i="2" s="1"/>
  <c r="A12" i="2" a="1"/>
  <c r="A12" i="2"/>
  <c r="D12" i="2" s="1"/>
  <c r="A11" i="2" a="1"/>
  <c r="A11" i="2" s="1"/>
  <c r="A10" i="2" a="1"/>
  <c r="A10" i="2" s="1"/>
  <c r="A9" i="2" a="1"/>
  <c r="A9" i="2" s="1"/>
  <c r="A8" i="2" a="1"/>
  <c r="A8" i="2"/>
  <c r="C8" i="2" s="1"/>
  <c r="A7" i="2" a="1"/>
  <c r="A7" i="2"/>
  <c r="B7" i="2" s="1"/>
  <c r="A6" i="2" a="1"/>
  <c r="A6" i="2" s="1"/>
  <c r="A5" i="2" a="1"/>
  <c r="A5" i="2"/>
  <c r="B5" i="2" s="1"/>
  <c r="A4" i="2" a="1"/>
  <c r="A4" i="2"/>
  <c r="B4" i="2" s="1"/>
  <c r="A3" i="2" a="1"/>
  <c r="A3" i="2" s="1"/>
  <c r="A2" i="2" a="1"/>
  <c r="A2" i="2" s="1"/>
  <c r="A1" i="2" a="1"/>
  <c r="A1" i="2"/>
  <c r="D1" i="2" s="1"/>
  <c r="I15" i="1"/>
  <c r="A14" i="1"/>
  <c r="A13" i="1"/>
  <c r="AL10" i="1"/>
  <c r="A8" i="1"/>
  <c r="A7" i="1"/>
  <c r="E3" i="1"/>
  <c r="C41" i="2" l="1"/>
  <c r="D41" i="2"/>
  <c r="C32" i="2"/>
  <c r="D32" i="2"/>
  <c r="C54" i="2"/>
  <c r="D54" i="2"/>
  <c r="B54" i="2"/>
  <c r="D17" i="2"/>
  <c r="C17" i="2"/>
  <c r="C59" i="2"/>
  <c r="D59" i="2"/>
  <c r="D50" i="2"/>
  <c r="D23" i="2"/>
  <c r="C5" i="2"/>
  <c r="D14" i="2"/>
  <c r="B52" i="2"/>
  <c r="C35" i="2"/>
  <c r="C7" i="2"/>
  <c r="C53" i="2"/>
  <c r="D7" i="2"/>
  <c r="B36" i="2"/>
  <c r="C52" i="2"/>
  <c r="C36" i="2"/>
  <c r="D5" i="2"/>
  <c r="C25" i="2"/>
  <c r="D25" i="2"/>
  <c r="B10" i="2"/>
  <c r="D10" i="2"/>
  <c r="C10" i="2"/>
  <c r="C11" i="2"/>
  <c r="D11" i="2"/>
  <c r="B11" i="2"/>
  <c r="D38" i="2"/>
  <c r="C38" i="2"/>
  <c r="B38" i="2"/>
  <c r="D39" i="2"/>
  <c r="C39" i="2"/>
  <c r="B39" i="2"/>
  <c r="D3" i="2"/>
  <c r="C3" i="2"/>
  <c r="B3" i="2"/>
  <c r="D57" i="2"/>
  <c r="C57" i="2"/>
  <c r="B57" i="2"/>
  <c r="D24" i="2"/>
  <c r="C24" i="2"/>
  <c r="B24" i="2"/>
  <c r="B34" i="2"/>
  <c r="C34" i="2"/>
  <c r="D34" i="2"/>
  <c r="C43" i="2"/>
  <c r="D43" i="2"/>
  <c r="B43" i="2"/>
  <c r="D6" i="2"/>
  <c r="C6" i="2"/>
  <c r="B6" i="2"/>
  <c r="D61" i="2"/>
  <c r="C61" i="2"/>
  <c r="B61" i="2"/>
  <c r="B45" i="2"/>
  <c r="D45" i="2"/>
  <c r="C45" i="2"/>
  <c r="D65" i="2"/>
  <c r="C65" i="2"/>
  <c r="B65" i="2"/>
  <c r="D20" i="2"/>
  <c r="C20" i="2"/>
  <c r="B20" i="2"/>
  <c r="D21" i="2"/>
  <c r="C21" i="2"/>
  <c r="B21" i="2"/>
  <c r="D60" i="2"/>
  <c r="C60" i="2"/>
  <c r="B60" i="2"/>
  <c r="D63" i="2"/>
  <c r="C63" i="2"/>
  <c r="B63" i="2"/>
  <c r="D27" i="2"/>
  <c r="C27" i="2"/>
  <c r="B27" i="2"/>
  <c r="D64" i="2"/>
  <c r="C64" i="2"/>
  <c r="B64" i="2"/>
  <c r="B28" i="2"/>
  <c r="D28" i="2"/>
  <c r="C28" i="2"/>
  <c r="D29" i="2"/>
  <c r="C29" i="2"/>
  <c r="B29" i="2"/>
  <c r="C2" i="2"/>
  <c r="D2" i="2"/>
  <c r="B2" i="2"/>
  <c r="D56" i="2"/>
  <c r="C56" i="2"/>
  <c r="B56" i="2"/>
  <c r="D42" i="2"/>
  <c r="C42" i="2"/>
  <c r="B42" i="2"/>
  <c r="B16" i="2"/>
  <c r="C16" i="2"/>
  <c r="D16" i="2"/>
  <c r="C62" i="2"/>
  <c r="D62" i="2"/>
  <c r="B62" i="2"/>
  <c r="D46" i="2"/>
  <c r="C46" i="2"/>
  <c r="B46" i="2"/>
  <c r="D47" i="2"/>
  <c r="C47" i="2"/>
  <c r="B47" i="2"/>
  <c r="C18" i="2"/>
  <c r="D18" i="2"/>
  <c r="B18" i="2"/>
  <c r="B9" i="2"/>
  <c r="D9" i="2"/>
  <c r="C9" i="2"/>
  <c r="B31" i="2"/>
  <c r="B49" i="2"/>
  <c r="B13" i="2"/>
  <c r="C13" i="2"/>
  <c r="C31" i="2"/>
  <c r="C49" i="2"/>
  <c r="B17" i="2"/>
  <c r="B35" i="2"/>
  <c r="B53" i="2"/>
  <c r="B14" i="2"/>
  <c r="B32" i="2"/>
  <c r="B50" i="2"/>
  <c r="C4" i="2"/>
  <c r="C22" i="2"/>
  <c r="D4" i="2"/>
  <c r="D22" i="2"/>
  <c r="B26" i="2"/>
  <c r="C33" i="2"/>
  <c r="D15" i="2"/>
  <c r="B19" i="2"/>
  <c r="C26" i="2"/>
  <c r="C44" i="2"/>
  <c r="C1" i="2"/>
  <c r="D8" i="2"/>
  <c r="B12" i="2"/>
  <c r="C19" i="2"/>
  <c r="B30" i="2"/>
  <c r="C37" i="2"/>
  <c r="D44" i="2"/>
  <c r="B48" i="2"/>
  <c r="C55" i="2"/>
  <c r="B66" i="2"/>
  <c r="B40" i="2"/>
  <c r="B58" i="2"/>
  <c r="B15" i="2"/>
  <c r="B33" i="2"/>
  <c r="C40" i="2"/>
  <c r="B51" i="2"/>
  <c r="C58" i="2"/>
  <c r="B8" i="2"/>
  <c r="C51" i="2"/>
  <c r="B1" i="2"/>
  <c r="B37" i="2"/>
  <c r="B55" i="2"/>
  <c r="C12" i="2"/>
  <c r="B23" i="2"/>
  <c r="C30" i="2"/>
  <c r="B41" i="2"/>
  <c r="C48" i="2"/>
  <c r="B59" i="2"/>
  <c r="C66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<sst xmlns="http://schemas.openxmlformats.org/spreadsheetml/2006/main" count="125" uniqueCount="102">
  <si>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</si>
  <si>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</si>
  <si>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</si>
  <si>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</si>
  <si>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</si>
  <si>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</si>
  <si>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</si>
  <si>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</si>
  <si>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</si>
  <si>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</si>
  <si>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</si>
  <si>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</si>
  <si>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</si>
  <si>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</si>
  <si>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</si>
  <si>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</si>
  <si>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</si>
  <si>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</si>
  <si>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</si>
  <si>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</si>
  <si>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</si>
  <si>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</si>
  <si>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</si>
  <si>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</si>
  <si>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</si>
  <si>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</si>
  <si>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</si>
  <si>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</si>
  <si>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</si>
  <si>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</si>
  <si>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</si>
  <si>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</si>
  <si>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</si>
  <si>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</si>
  <si>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</si>
  <si>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MATCH#1</t>
  </si>
  <si>
    <t>MATCH#2</t>
  </si>
  <si>
    <t>MATCH#3</t>
  </si>
  <si>
    <t>MATCH#4</t>
  </si>
  <si>
    <t>MATCH#5</t>
  </si>
  <si>
    <t>MATCH#6</t>
  </si>
  <si>
    <t>MATCH#7</t>
  </si>
  <si>
    <t>MATCH#8</t>
  </si>
  <si>
    <t>MATCH#9</t>
  </si>
  <si>
    <t>VLOOKUP#1</t>
  </si>
  <si>
    <t>VLOOKUP#2</t>
  </si>
  <si>
    <t>VLOOKUP#3</t>
  </si>
  <si>
    <t>HLOOKUP#1</t>
  </si>
  <si>
    <t>XMATCH#1</t>
  </si>
  <si>
    <t>LOOKUP#1</t>
  </si>
  <si>
    <t>XLOOKUP#1</t>
  </si>
  <si>
    <t>XLOOKUP#2</t>
  </si>
  <si>
    <t>XLOOKUP#3</t>
  </si>
  <si>
    <t>XLOOKUP#4</t>
  </si>
  <si>
    <t>XLOOKUP#5</t>
  </si>
  <si>
    <t>XLOOKUP#6</t>
  </si>
  <si>
    <t>XLOOKUP#7</t>
  </si>
  <si>
    <t>XLOOKUP#8</t>
  </si>
  <si>
    <t>XLOOKUP#9</t>
  </si>
  <si>
    <t>XMATCH#2</t>
  </si>
  <si>
    <t>WRAPROWS#1</t>
  </si>
  <si>
    <t>WRAPROWS#2</t>
  </si>
  <si>
    <t>WRAPROWS#3</t>
  </si>
  <si>
    <t>WRAPROWS#4</t>
  </si>
  <si>
    <t>WRAPROWS#5</t>
  </si>
  <si>
    <t>WRAPROWS#6</t>
  </si>
  <si>
    <t>WRAPCOLS#1</t>
  </si>
  <si>
    <t>WRAPCOLS#2</t>
  </si>
  <si>
    <t>WRAPCOLS#3</t>
  </si>
  <si>
    <t>F.TEST#1</t>
  </si>
  <si>
    <t>F.TEST#2</t>
  </si>
  <si>
    <t>F.TEST#3</t>
  </si>
  <si>
    <t>F.TEST#4</t>
  </si>
  <si>
    <t>FTEST#1</t>
  </si>
  <si>
    <t>MIRR#1</t>
  </si>
  <si>
    <t>MIRR#2</t>
  </si>
  <si>
    <t>T.TEST#1</t>
  </si>
  <si>
    <t>CORREL#1</t>
  </si>
  <si>
    <t>IRR#1</t>
  </si>
  <si>
    <t>SUMPRODUCT#1</t>
  </si>
  <si>
    <t>XIRR#1</t>
  </si>
  <si>
    <t>XIRR#2</t>
  </si>
  <si>
    <t>XIRR#3</t>
  </si>
  <si>
    <t>XIRR#4</t>
  </si>
  <si>
    <t>XIRR#5</t>
  </si>
  <si>
    <t>XNPV#1</t>
  </si>
  <si>
    <t>XNPV#2</t>
  </si>
  <si>
    <t>XNPV#3</t>
  </si>
  <si>
    <t>XNPV#4</t>
  </si>
  <si>
    <t>XNPV#5</t>
  </si>
  <si>
    <t>MATCH#10</t>
  </si>
  <si>
    <t>MATCH#11</t>
  </si>
  <si>
    <t>VLOOKUP#4</t>
  </si>
  <si>
    <t>HLOOKUP#2</t>
  </si>
  <si>
    <t>MATCH#12</t>
  </si>
  <si>
    <t>MATCH#13</t>
  </si>
  <si>
    <t>XLOOKUP#10</t>
  </si>
  <si>
    <t>XLOOKUP#11</t>
  </si>
  <si>
    <t>XNPV#6</t>
  </si>
  <si>
    <t>XIRR#6</t>
  </si>
  <si>
    <t>WRAPCOLS#4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</si>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</sst>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5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7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MATCH(5,"x",0)</f>
        <v>#VALUE!</v>
      </c>
      <c r="B1">
        <f t="shared" ref="B1:B32" si="0">IF(ISERROR(A1),ERROR.TYPE(A1),IF(ISNUMBER(A1),0,IF(ISLOGICAL(A1),IF(A1,-1,-2),IF(ISTEXT(A1),-3,-4))))</f>
        <v>3</v>
      </c>
      <c r="C1">
        <f t="shared" ref="C1:C32" si="1">IF(ISNUMBER(A1),A1,0)</f>
        <v>0</v>
      </c>
      <c r="D1" t="str">
        <f t="shared" ref="D1:D32" si="2">IF(ISTEXT(A1),A1,"")</f>
        <v/>
      </c>
      <c r="E1" t="s">
        <v>35</v>
      </c>
    </row>
    <row r="2" spans="1:5" x14ac:dyDescent="0.2">
      <c r="A2" t="e" cm="1">
        <f t="array" ref="A2">MATCH(5,"5",0)</f>
        <v>#N/A</v>
      </c>
      <c r="B2">
        <f t="shared" si="0"/>
        <v>7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t="e" cm="1">
        <f t="array" ref="A3">MATCH("x","x",0)</f>
        <v>#VALUE!</v>
      </c>
      <c r="B3">
        <f t="shared" si="0"/>
        <v>3</v>
      </c>
      <c r="C3">
        <f t="shared" si="1"/>
        <v>0</v>
      </c>
      <c r="D3" t="str">
        <f t="shared" si="2"/>
        <v/>
      </c>
      <c r="E3" t="s">
        <v>37</v>
      </c>
    </row>
    <row r="4" spans="1:5" x14ac:dyDescent="0.2">
      <c r="A4" t="e" cm="1">
        <f t="array" ref="A4">MATCH(5,"",1)</f>
        <v>#VALUE!</v>
      </c>
      <c r="B4">
        <f t="shared" si="0"/>
        <v>3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t="e" cm="1">
        <f t="array" ref="A5">MATCH(5,""&amp;"",0)</f>
        <v>#VALUE!</v>
      </c>
      <c r="B5">
        <f t="shared" si="0"/>
        <v>3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t="e" cm="1">
        <f t="array" ref="A6">MATCH(5,5,0)</f>
        <v>#N/A</v>
      </c>
      <c r="B6">
        <f t="shared" si="0"/>
        <v>7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t="e" cm="1">
        <f t="array" ref="A7">MATCH(TRUE,TRUE,0)</f>
        <v>#N/A</v>
      </c>
      <c r="B7">
        <f t="shared" si="0"/>
        <v>7</v>
      </c>
      <c r="C7">
        <f t="shared" si="1"/>
        <v>0</v>
      </c>
      <c r="D7" t="str">
        <f t="shared" si="2"/>
        <v/>
      </c>
      <c r="E7" t="s">
        <v>41</v>
      </c>
    </row>
    <row r="8" spans="1:5" x14ac:dyDescent="0.2">
      <c r="A8" t="e" cm="1">
        <f t="array" ref="A8">MATCH(5,{"a"},0)</f>
        <v>#N/A</v>
      </c>
      <c r="B8">
        <f t="shared" si="0"/>
        <v>7</v>
      </c>
      <c r="C8">
        <f t="shared" si="1"/>
        <v>0</v>
      </c>
      <c r="D8" t="str">
        <f t="shared" si="2"/>
        <v/>
      </c>
      <c r="E8" t="s">
        <v>42</v>
      </c>
    </row>
    <row r="9" spans="1:5" x14ac:dyDescent="0.2">
      <c r="A9" t="e" cm="1">
        <f t="array" ref="A9">MATCH(5,D!A3,0)</f>
        <v>#N/A</v>
      </c>
      <c r="B9">
        <f t="shared" si="0"/>
        <v>7</v>
      </c>
      <c r="C9">
        <f t="shared" si="1"/>
        <v>0</v>
      </c>
      <c r="D9" t="str">
        <f t="shared" si="2"/>
        <v/>
      </c>
      <c r="E9" t="s">
        <v>43</v>
      </c>
    </row>
    <row r="10" spans="1:5" x14ac:dyDescent="0.2">
      <c r="A10" t="e" cm="1">
        <f t="array" ref="A10">VLOOKUP("x","x",1,FALSE)</f>
        <v>#VALUE!</v>
      </c>
      <c r="B10">
        <f t="shared" si="0"/>
        <v>3</v>
      </c>
      <c r="C10">
        <f t="shared" si="1"/>
        <v>0</v>
      </c>
      <c r="D10" t="str">
        <f t="shared" si="2"/>
        <v/>
      </c>
      <c r="E10" t="s">
        <v>44</v>
      </c>
    </row>
    <row r="11" spans="1:5" x14ac:dyDescent="0.2">
      <c r="A11" t="e" cm="1">
        <f t="array" ref="A11">VLOOKUP(5,"",1,TRUE)</f>
        <v>#VALUE!</v>
      </c>
      <c r="B11">
        <f t="shared" si="0"/>
        <v>3</v>
      </c>
      <c r="C11">
        <f t="shared" si="1"/>
        <v>0</v>
      </c>
      <c r="D11" t="str">
        <f t="shared" si="2"/>
        <v/>
      </c>
      <c r="E11" t="s">
        <v>45</v>
      </c>
    </row>
    <row r="12" spans="1:5" x14ac:dyDescent="0.2">
      <c r="A12" t="e" cm="1">
        <f t="array" ref="A12">VLOOKUP(5,5,1,FALSE)</f>
        <v>#N/A</v>
      </c>
      <c r="B12">
        <f t="shared" si="0"/>
        <v>7</v>
      </c>
      <c r="C12">
        <f t="shared" si="1"/>
        <v>0</v>
      </c>
      <c r="D12" t="str">
        <f t="shared" si="2"/>
        <v/>
      </c>
      <c r="E12" t="s">
        <v>46</v>
      </c>
    </row>
    <row r="13" spans="1:5" x14ac:dyDescent="0.2">
      <c r="A13" t="e" cm="1">
        <f t="array" ref="A13">HLOOKUP(5,"5",1,FALSE)</f>
        <v>#N/A</v>
      </c>
      <c r="B13">
        <f t="shared" si="0"/>
        <v>7</v>
      </c>
      <c r="C13">
        <f t="shared" si="1"/>
        <v>0</v>
      </c>
      <c r="D13" t="str">
        <f t="shared" si="2"/>
        <v/>
      </c>
      <c r="E13" t="s">
        <v>47</v>
      </c>
    </row>
    <row r="14" spans="1:5" x14ac:dyDescent="0.2">
      <c r="A14" t="e" cm="1">
        <f t="array" ref="A14">_xlfn.XMATCH(5,"x")</f>
        <v>#N/A</v>
      </c>
      <c r="B14">
        <f t="shared" si="0"/>
        <v>7</v>
      </c>
      <c r="C14">
        <f t="shared" si="1"/>
        <v>0</v>
      </c>
      <c r="D14" t="str">
        <f t="shared" si="2"/>
        <v/>
      </c>
      <c r="E14" t="s">
        <v>48</v>
      </c>
    </row>
    <row r="15" spans="1:5" x14ac:dyDescent="0.2">
      <c r="A15" t="e" cm="1">
        <f t="array" ref="A15">LOOKUP(5,"x")</f>
        <v>#N/A</v>
      </c>
      <c r="B15">
        <f t="shared" si="0"/>
        <v>7</v>
      </c>
      <c r="C15">
        <f t="shared" si="1"/>
        <v>0</v>
      </c>
      <c r="D15" t="str">
        <f t="shared" si="2"/>
        <v/>
      </c>
      <c r="E15" t="s">
        <v>49</v>
      </c>
    </row>
    <row r="16" spans="1:5" x14ac:dyDescent="0.2">
      <c r="A16" t="str" cm="1">
        <f t="array" ref="A16">_xlfn.ARRAYTOTEXT(_xlfn.XLOOKUP(0,0,D!M1:M6),1)</f>
        <v>{"one";"two";"three";"five";"eight";"thirteen"}</v>
      </c>
      <c r="B16">
        <f t="shared" si="0"/>
        <v>-3</v>
      </c>
      <c r="C16">
        <f t="shared" si="1"/>
        <v>0</v>
      </c>
      <c r="D16" t="str">
        <f t="shared" si="2"/>
        <v>{"one";"two";"three";"five";"eight";"thirteen"}</v>
      </c>
      <c r="E16" t="s">
        <v>50</v>
      </c>
    </row>
    <row r="17" spans="1:5" x14ac:dyDescent="0.2">
      <c r="A17" t="str" cm="1">
        <f t="array" ref="A17">_xlfn.ARRAYTOTEXT(_xlfn.XLOOKUP(1,D!L1,D!M1:M6),1)</f>
        <v>{"one";"two";"three";"five";"eight";"thirteen"}</v>
      </c>
      <c r="B17">
        <f t="shared" si="0"/>
        <v>-3</v>
      </c>
      <c r="C17">
        <f t="shared" si="1"/>
        <v>0</v>
      </c>
      <c r="D17" t="str">
        <f t="shared" si="2"/>
        <v>{"one";"two";"three";"five";"eight";"thirteen"}</v>
      </c>
      <c r="E17" t="s">
        <v>51</v>
      </c>
    </row>
    <row r="18" spans="1:5" x14ac:dyDescent="0.2">
      <c r="A18" t="e" cm="1">
        <f t="array" ref="A18">_xlfn.XLOOKUP(3,D!L1,D!M1:M6)</f>
        <v>#N/A</v>
      </c>
      <c r="B18">
        <f t="shared" si="0"/>
        <v>7</v>
      </c>
      <c r="C18">
        <f t="shared" si="1"/>
        <v>0</v>
      </c>
      <c r="D18" t="str">
        <f t="shared" si="2"/>
        <v/>
      </c>
      <c r="E18" t="s">
        <v>52</v>
      </c>
    </row>
    <row r="19" spans="1:5" x14ac:dyDescent="0.2">
      <c r="A19" t="str" cm="1">
        <f t="array" ref="A19">_xlfn.XLOOKUP(3,0,D!M1:M6,"none")</f>
        <v>none</v>
      </c>
      <c r="B19">
        <f t="shared" si="0"/>
        <v>-3</v>
      </c>
      <c r="C19">
        <f t="shared" si="1"/>
        <v>0</v>
      </c>
      <c r="D19" t="str">
        <f t="shared" si="2"/>
        <v>none</v>
      </c>
      <c r="E19" t="s">
        <v>53</v>
      </c>
    </row>
    <row r="20" spans="1:5" x14ac:dyDescent="0.2">
      <c r="A20" t="e" cm="1">
        <f t="array" ref="A20">_xlfn.XLOOKUP(3,0,D!M1:N6)</f>
        <v>#VALUE!</v>
      </c>
      <c r="B20">
        <f t="shared" si="0"/>
        <v>3</v>
      </c>
      <c r="C20">
        <f t="shared" si="1"/>
        <v>0</v>
      </c>
      <c r="D20" t="str">
        <f t="shared" si="2"/>
        <v/>
      </c>
      <c r="E20" t="s">
        <v>54</v>
      </c>
    </row>
    <row r="21" spans="1:5" x14ac:dyDescent="0.2">
      <c r="A21" t="e" cm="1">
        <f t="array" ref="A21">_xlfn.XLOOKUP(0,0,D!M1:N6)</f>
        <v>#VALUE!</v>
      </c>
      <c r="B21">
        <f t="shared" si="0"/>
        <v>3</v>
      </c>
      <c r="C21">
        <f t="shared" si="1"/>
        <v>0</v>
      </c>
      <c r="D21" t="str">
        <f t="shared" si="2"/>
        <v/>
      </c>
      <c r="E21" t="s">
        <v>55</v>
      </c>
    </row>
    <row r="22" spans="1:5" x14ac:dyDescent="0.2">
      <c r="A22" t="str" cm="1">
        <f t="array" ref="A22">_xlfn.ARRAYTOTEXT(_xlfn.XLOOKUP(1,D!L1,D!M1:N1),1)</f>
        <v>{"one",10}</v>
      </c>
      <c r="B22">
        <f t="shared" si="0"/>
        <v>-3</v>
      </c>
      <c r="C22">
        <f t="shared" si="1"/>
        <v>0</v>
      </c>
      <c r="D22" t="str">
        <f t="shared" si="2"/>
        <v>{"one",10}</v>
      </c>
      <c r="E22" t="s">
        <v>56</v>
      </c>
    </row>
    <row r="23" spans="1:5" x14ac:dyDescent="0.2">
      <c r="A23" t="e" cm="1">
        <f t="array" ref="A23">_xlfn.XLOOKUP(3,{1,2},D!M1:M6)</f>
        <v>#VALUE!</v>
      </c>
      <c r="B23">
        <f t="shared" si="0"/>
        <v>3</v>
      </c>
      <c r="C23">
        <f t="shared" si="1"/>
        <v>0</v>
      </c>
      <c r="D23" t="str">
        <f t="shared" si="2"/>
        <v/>
      </c>
      <c r="E23" t="s">
        <v>57</v>
      </c>
    </row>
    <row r="24" spans="1:5" x14ac:dyDescent="0.2">
      <c r="A24" t="e" cm="1">
        <f t="array" ref="A24">_xlfn.XLOOKUP(3,{1;2},D!M1:M6)</f>
        <v>#VALUE!</v>
      </c>
      <c r="B24">
        <f t="shared" si="0"/>
        <v>3</v>
      </c>
      <c r="C24">
        <f t="shared" si="1"/>
        <v>0</v>
      </c>
      <c r="D24" t="str">
        <f t="shared" si="2"/>
        <v/>
      </c>
      <c r="E24" t="s">
        <v>58</v>
      </c>
    </row>
    <row r="25" spans="1:5" x14ac:dyDescent="0.2">
      <c r="A25" cm="1">
        <f t="array" ref="A25">_xlfn.XMATCH(0,0)</f>
        <v>1</v>
      </c>
      <c r="B25">
        <f t="shared" si="0"/>
        <v>0</v>
      </c>
      <c r="C25">
        <f t="shared" si="1"/>
        <v>1</v>
      </c>
      <c r="D25" t="str">
        <f t="shared" si="2"/>
        <v/>
      </c>
      <c r="E25" t="s">
        <v>59</v>
      </c>
    </row>
    <row r="26" spans="1:5" x14ac:dyDescent="0.2">
      <c r="A26" t="str" cm="1">
        <f t="array" ref="A26">_xlfn.ARRAYTOTEXT(_xlfn.WRAPROWS({1,2,3},5,0),1)</f>
        <v>{1,2,3}</v>
      </c>
      <c r="B26">
        <f t="shared" si="0"/>
        <v>-3</v>
      </c>
      <c r="C26">
        <f t="shared" si="1"/>
        <v>0</v>
      </c>
      <c r="D26" t="str">
        <f t="shared" si="2"/>
        <v>{1,2,3}</v>
      </c>
      <c r="E26" t="s">
        <v>60</v>
      </c>
    </row>
    <row r="27" spans="1:5" x14ac:dyDescent="0.2">
      <c r="A27" t="str" cm="1">
        <f t="array" ref="A27">_xlfn.ARRAYTOTEXT(_xlfn.WRAPROWS({1,2,3},5),1)</f>
        <v>{1,2,3}</v>
      </c>
      <c r="B27">
        <f t="shared" si="0"/>
        <v>-3</v>
      </c>
      <c r="C27">
        <f t="shared" si="1"/>
        <v>0</v>
      </c>
      <c r="D27" t="str">
        <f t="shared" si="2"/>
        <v>{1,2,3}</v>
      </c>
      <c r="E27" t="s">
        <v>61</v>
      </c>
    </row>
    <row r="28" spans="1:5" x14ac:dyDescent="0.2">
      <c r="A28" t="str" cm="1">
        <f t="array" ref="A28">_xlfn.ARRAYTOTEXT(_xlfn.WRAPROWS({7},3),1)</f>
        <v>{7}</v>
      </c>
      <c r="B28">
        <f t="shared" si="0"/>
        <v>-3</v>
      </c>
      <c r="C28">
        <f t="shared" si="1"/>
        <v>0</v>
      </c>
      <c r="D28" t="str">
        <f t="shared" si="2"/>
        <v>{7}</v>
      </c>
      <c r="E28" t="s">
        <v>62</v>
      </c>
    </row>
    <row r="29" spans="1:5" x14ac:dyDescent="0.2">
      <c r="A29" t="str" cm="1">
        <f t="array" ref="A29">_xlfn.ARRAYTOTEXT(_xlfn.WRAPROWS(D!B1:B2,3),1)</f>
        <v>{4,8}</v>
      </c>
      <c r="B29">
        <f t="shared" si="0"/>
        <v>-3</v>
      </c>
      <c r="C29">
        <f t="shared" si="1"/>
        <v>0</v>
      </c>
      <c r="D29" t="str">
        <f t="shared" si="2"/>
        <v>{4,8}</v>
      </c>
      <c r="E29" t="s">
        <v>63</v>
      </c>
    </row>
    <row r="30" spans="1:5" x14ac:dyDescent="0.2">
      <c r="A30" t="str" cm="1">
        <f t="array" ref="A30">_xlfn.ARRAYTOTEXT(_xlfn.WRAPROWS({1,2,3},3),1)</f>
        <v>{1,2,3}</v>
      </c>
      <c r="B30">
        <f t="shared" si="0"/>
        <v>-3</v>
      </c>
      <c r="C30">
        <f t="shared" si="1"/>
        <v>0</v>
      </c>
      <c r="D30" t="str">
        <f t="shared" si="2"/>
        <v>{1,2,3}</v>
      </c>
      <c r="E30" t="s">
        <v>64</v>
      </c>
    </row>
    <row r="31" spans="1:5" x14ac:dyDescent="0.2">
      <c r="A31" t="str" cm="1">
        <f t="array" ref="A31">_xlfn.ARRAYTOTEXT(_xlfn.WRAPROWS({1,2,3,4},3,0),1)</f>
        <v>{1,2,3;4,0,0}</v>
      </c>
      <c r="B31">
        <f t="shared" si="0"/>
        <v>-3</v>
      </c>
      <c r="C31">
        <f t="shared" si="1"/>
        <v>0</v>
      </c>
      <c r="D31" t="str">
        <f t="shared" si="2"/>
        <v>{1,2,3;4,0,0}</v>
      </c>
      <c r="E31" t="s">
        <v>65</v>
      </c>
    </row>
    <row r="32" spans="1:5" x14ac:dyDescent="0.2">
      <c r="A32" t="str" cm="1">
        <f t="array" ref="A32">_xlfn.ARRAYTOTEXT(_xlfn.WRAPCOLS({1;2;3},5,0),1)</f>
        <v>{1;2;3}</v>
      </c>
      <c r="B32">
        <f t="shared" si="0"/>
        <v>-3</v>
      </c>
      <c r="C32">
        <f t="shared" si="1"/>
        <v>0</v>
      </c>
      <c r="D32" t="str">
        <f t="shared" si="2"/>
        <v>{1;2;3}</v>
      </c>
      <c r="E32" t="s">
        <v>66</v>
      </c>
    </row>
    <row r="33" spans="1:5" x14ac:dyDescent="0.2">
      <c r="A33" t="str" cm="1">
        <f t="array" ref="A33">_xlfn.ARRAYTOTEXT(_xlfn.WRAPCOLS(5,1),1)</f>
        <v>{5}</v>
      </c>
      <c r="B33">
        <f t="shared" ref="B33:B64" si="3">IF(ISERROR(A33),ERROR.TYPE(A33),IF(ISNUMBER(A33),0,IF(ISLOGICAL(A33),IF(A33,-1,-2),IF(ISTEXT(A33),-3,-4))))</f>
        <v>-3</v>
      </c>
      <c r="C33">
        <f t="shared" ref="C33:C66" si="4">IF(ISNUMBER(A33),A33,0)</f>
        <v>0</v>
      </c>
      <c r="D33" t="str">
        <f t="shared" ref="D33:D66" si="5">IF(ISTEXT(A33),A33,"")</f>
        <v>{5}</v>
      </c>
      <c r="E33" t="s">
        <v>67</v>
      </c>
    </row>
    <row r="34" spans="1:5" x14ac:dyDescent="0.2">
      <c r="A34" t="str" cm="1">
        <f t="array" ref="A34">_xlfn.ARRAYTOTEXT(_xlfn.WRAPCOLS("a",4),1)</f>
        <v>{"a"}</v>
      </c>
      <c r="B34">
        <f t="shared" si="3"/>
        <v>-3</v>
      </c>
      <c r="C34">
        <f t="shared" si="4"/>
        <v>0</v>
      </c>
      <c r="D34" t="str">
        <f t="shared" si="5"/>
        <v>{"a"}</v>
      </c>
      <c r="E34" t="s">
        <v>68</v>
      </c>
    </row>
    <row r="35" spans="1:5" x14ac:dyDescent="0.2">
      <c r="A35" t="e" cm="1">
        <f t="array" ref="A35">_xlfn.F.TEST("abc",D!C1:C8)</f>
        <v>#DIV/0!</v>
      </c>
      <c r="B35">
        <f t="shared" si="3"/>
        <v>2</v>
      </c>
      <c r="C35">
        <f t="shared" si="4"/>
        <v>0</v>
      </c>
      <c r="D35" t="str">
        <f t="shared" si="5"/>
        <v/>
      </c>
      <c r="E35" t="s">
        <v>69</v>
      </c>
    </row>
    <row r="36" spans="1:5" x14ac:dyDescent="0.2">
      <c r="A36" t="e" cm="1">
        <f t="array" ref="A36">_xlfn.F.TEST("5",D!C1:C8)</f>
        <v>#DIV/0!</v>
      </c>
      <c r="B36">
        <f t="shared" si="3"/>
        <v>2</v>
      </c>
      <c r="C36">
        <f t="shared" si="4"/>
        <v>0</v>
      </c>
      <c r="D36" t="str">
        <f t="shared" si="5"/>
        <v/>
      </c>
      <c r="E36" t="s">
        <v>70</v>
      </c>
    </row>
    <row r="37" spans="1:5" x14ac:dyDescent="0.2">
      <c r="A37" t="e" cm="1">
        <f t="array" ref="A37">_xlfn.F.TEST(D!A3,D!C1:C8)</f>
        <v>#DIV/0!</v>
      </c>
      <c r="B37">
        <f t="shared" si="3"/>
        <v>2</v>
      </c>
      <c r="C37">
        <f t="shared" si="4"/>
        <v>0</v>
      </c>
      <c r="D37" t="str">
        <f t="shared" si="5"/>
        <v/>
      </c>
      <c r="E37" t="s">
        <v>71</v>
      </c>
    </row>
    <row r="38" spans="1:5" x14ac:dyDescent="0.2">
      <c r="A38" t="e" cm="1">
        <f t="array" ref="A38">_xlfn.F.TEST({"a","b"},D!C1:C8)</f>
        <v>#DIV/0!</v>
      </c>
      <c r="B38">
        <f t="shared" si="3"/>
        <v>2</v>
      </c>
      <c r="C38">
        <f t="shared" si="4"/>
        <v>0</v>
      </c>
      <c r="D38" t="str">
        <f t="shared" si="5"/>
        <v/>
      </c>
      <c r="E38" t="s">
        <v>72</v>
      </c>
    </row>
    <row r="39" spans="1:5" x14ac:dyDescent="0.2">
      <c r="A39" t="e" cm="1">
        <f t="array" ref="A39">FTEST(D!B1:B8,"x")</f>
        <v>#DIV/0!</v>
      </c>
      <c r="B39">
        <f t="shared" si="3"/>
        <v>2</v>
      </c>
      <c r="C39">
        <f t="shared" si="4"/>
        <v>0</v>
      </c>
      <c r="D39" t="str">
        <f t="shared" si="5"/>
        <v/>
      </c>
      <c r="E39" t="s">
        <v>73</v>
      </c>
    </row>
    <row r="40" spans="1:5" x14ac:dyDescent="0.2">
      <c r="A40" t="e" cm="1">
        <f t="array" ref="A40">MIRR("abc",0.1,0.12)</f>
        <v>#DIV/0!</v>
      </c>
      <c r="B40">
        <f t="shared" si="3"/>
        <v>2</v>
      </c>
      <c r="C40">
        <f t="shared" si="4"/>
        <v>0</v>
      </c>
      <c r="D40" t="str">
        <f t="shared" si="5"/>
        <v/>
      </c>
      <c r="E40" t="s">
        <v>74</v>
      </c>
    </row>
    <row r="41" spans="1:5" x14ac:dyDescent="0.2">
      <c r="A41" t="e" cm="1">
        <f t="array" ref="A41">MIRR(TRUE,0.1,0.12)</f>
        <v>#DIV/0!</v>
      </c>
      <c r="B41">
        <f t="shared" si="3"/>
        <v>2</v>
      </c>
      <c r="C41">
        <f t="shared" si="4"/>
        <v>0</v>
      </c>
      <c r="D41" t="str">
        <f t="shared" si="5"/>
        <v/>
      </c>
      <c r="E41" t="s">
        <v>75</v>
      </c>
    </row>
    <row r="42" spans="1:5" x14ac:dyDescent="0.2">
      <c r="A42" t="e" cm="1">
        <f t="array" ref="A42">_xlfn.T.TEST("",D!B1:B8,2,1)</f>
        <v>#N/A</v>
      </c>
      <c r="B42">
        <f t="shared" si="3"/>
        <v>7</v>
      </c>
      <c r="C42">
        <f t="shared" si="4"/>
        <v>0</v>
      </c>
      <c r="D42" t="str">
        <f t="shared" si="5"/>
        <v/>
      </c>
      <c r="E42" t="s">
        <v>76</v>
      </c>
    </row>
    <row r="43" spans="1:5" x14ac:dyDescent="0.2">
      <c r="A43" t="e" cm="1">
        <f t="array" ref="A43">CORREL("",D!B1:B8)</f>
        <v>#N/A</v>
      </c>
      <c r="B43">
        <f t="shared" si="3"/>
        <v>7</v>
      </c>
      <c r="C43">
        <f t="shared" si="4"/>
        <v>0</v>
      </c>
      <c r="D43" t="str">
        <f t="shared" si="5"/>
        <v/>
      </c>
      <c r="E43" t="s">
        <v>77</v>
      </c>
    </row>
    <row r="44" spans="1:5" x14ac:dyDescent="0.2">
      <c r="A44" t="e" cm="1">
        <f t="array" ref="A44">IRR("")</f>
        <v>#NUM!</v>
      </c>
      <c r="B44">
        <f t="shared" si="3"/>
        <v>6</v>
      </c>
      <c r="C44">
        <f t="shared" si="4"/>
        <v>0</v>
      </c>
      <c r="D44" t="str">
        <f t="shared" si="5"/>
        <v/>
      </c>
      <c r="E44" t="s">
        <v>78</v>
      </c>
    </row>
    <row r="45" spans="1:5" x14ac:dyDescent="0.2">
      <c r="A45" cm="1">
        <f t="array" ref="A45">SUMPRODUCT("")</f>
        <v>0</v>
      </c>
      <c r="B45">
        <f t="shared" si="3"/>
        <v>0</v>
      </c>
      <c r="C45">
        <f t="shared" si="4"/>
        <v>0</v>
      </c>
      <c r="D45" t="str">
        <f t="shared" si="5"/>
        <v/>
      </c>
      <c r="E45" t="s">
        <v>79</v>
      </c>
    </row>
    <row r="46" spans="1:5" x14ac:dyDescent="0.2">
      <c r="A46" t="e" cm="1">
        <f t="array" ref="A46">XIRR("5",D!AU1:AU5)</f>
        <v>#NUM!</v>
      </c>
      <c r="B46">
        <f t="shared" si="3"/>
        <v>6</v>
      </c>
      <c r="C46">
        <f t="shared" si="4"/>
        <v>0</v>
      </c>
      <c r="D46" t="str">
        <f t="shared" si="5"/>
        <v/>
      </c>
      <c r="E46" t="s">
        <v>80</v>
      </c>
    </row>
    <row r="47" spans="1:5" x14ac:dyDescent="0.2">
      <c r="A47" t="e" cm="1">
        <f t="array" ref="A47">XIRR(TRUE,D!AU1:AU5)</f>
        <v>#VALUE!</v>
      </c>
      <c r="B47">
        <f t="shared" si="3"/>
        <v>3</v>
      </c>
      <c r="C47">
        <f t="shared" si="4"/>
        <v>0</v>
      </c>
      <c r="D47" t="str">
        <f t="shared" si="5"/>
        <v/>
      </c>
      <c r="E47" t="s">
        <v>81</v>
      </c>
    </row>
    <row r="48" spans="1:5" x14ac:dyDescent="0.2">
      <c r="A48" t="e" cm="1">
        <f t="array" ref="A48">XIRR(D!J1:J5,"x")</f>
        <v>#VALUE!</v>
      </c>
      <c r="B48">
        <f t="shared" si="3"/>
        <v>3</v>
      </c>
      <c r="C48">
        <f t="shared" si="4"/>
        <v>0</v>
      </c>
      <c r="D48" t="str">
        <f t="shared" si="5"/>
        <v/>
      </c>
      <c r="E48" t="s">
        <v>82</v>
      </c>
    </row>
    <row r="49" spans="1:5" x14ac:dyDescent="0.2">
      <c r="A49" t="e" cm="1">
        <f t="array" ref="A49">XIRR(D!J1:J5,D!AU1)</f>
        <v>#NUM!</v>
      </c>
      <c r="B49">
        <f t="shared" si="3"/>
        <v>6</v>
      </c>
      <c r="C49">
        <f t="shared" si="4"/>
        <v>0</v>
      </c>
      <c r="D49" t="str">
        <f t="shared" si="5"/>
        <v/>
      </c>
      <c r="E49" t="s">
        <v>83</v>
      </c>
    </row>
    <row r="50" spans="1:5" x14ac:dyDescent="0.2">
      <c r="A50" t="e" cm="1">
        <f t="array" ref="A50">XIRR(D!A3,D!AU1:AU5)</f>
        <v>#VALUE!</v>
      </c>
      <c r="B50">
        <f t="shared" si="3"/>
        <v>3</v>
      </c>
      <c r="C50">
        <f t="shared" si="4"/>
        <v>0</v>
      </c>
      <c r="D50" t="str">
        <f t="shared" si="5"/>
        <v/>
      </c>
      <c r="E50" t="s">
        <v>84</v>
      </c>
    </row>
    <row r="51" spans="1:5" x14ac:dyDescent="0.2">
      <c r="A51" t="e" cm="1">
        <f t="array" ref="A51">XNPV(0.09,"5",D!AU1:AU5)</f>
        <v>#NUM!</v>
      </c>
      <c r="B51">
        <f t="shared" si="3"/>
        <v>6</v>
      </c>
      <c r="C51">
        <f t="shared" si="4"/>
        <v>0</v>
      </c>
      <c r="D51" t="str">
        <f t="shared" si="5"/>
        <v/>
      </c>
      <c r="E51" t="s">
        <v>85</v>
      </c>
    </row>
    <row r="52" spans="1:5" x14ac:dyDescent="0.2">
      <c r="A52" t="e" cm="1">
        <f t="array" ref="A52">XNPV(0.09,D!J1:J5,"x")</f>
        <v>#VALUE!</v>
      </c>
      <c r="B52">
        <f t="shared" si="3"/>
        <v>3</v>
      </c>
      <c r="C52">
        <f t="shared" si="4"/>
        <v>0</v>
      </c>
      <c r="D52" t="str">
        <f t="shared" si="5"/>
        <v/>
      </c>
      <c r="E52" t="s">
        <v>86</v>
      </c>
    </row>
    <row r="53" spans="1:5" x14ac:dyDescent="0.2">
      <c r="A53" t="e" cm="1">
        <f t="array" ref="A53">XNPV(0.09,TRUE,D!AU1:AU5)</f>
        <v>#VALUE!</v>
      </c>
      <c r="B53">
        <f t="shared" si="3"/>
        <v>3</v>
      </c>
      <c r="C53">
        <f t="shared" si="4"/>
        <v>0</v>
      </c>
      <c r="D53" t="str">
        <f t="shared" si="5"/>
        <v/>
      </c>
      <c r="E53" t="s">
        <v>87</v>
      </c>
    </row>
    <row r="54" spans="1:5" x14ac:dyDescent="0.2">
      <c r="A54" t="e" cm="1">
        <f t="array" ref="A54">XNPV(0.09,D!J1:J5,D!AU1)</f>
        <v>#NUM!</v>
      </c>
      <c r="B54">
        <f t="shared" si="3"/>
        <v>6</v>
      </c>
      <c r="C54">
        <f t="shared" si="4"/>
        <v>0</v>
      </c>
      <c r="D54" t="str">
        <f t="shared" si="5"/>
        <v/>
      </c>
      <c r="E54" t="s">
        <v>88</v>
      </c>
    </row>
    <row r="55" spans="1:5" x14ac:dyDescent="0.2">
      <c r="A55" cm="1">
        <f t="array" ref="A55">XNPV(0.1,-100,39448)</f>
        <v>-100</v>
      </c>
      <c r="B55">
        <f t="shared" si="3"/>
        <v>0</v>
      </c>
      <c r="C55">
        <f t="shared" si="4"/>
        <v>-100</v>
      </c>
      <c r="D55" t="str">
        <f t="shared" si="5"/>
        <v/>
      </c>
      <c r="E55" t="s">
        <v>89</v>
      </c>
    </row>
    <row r="56" spans="1:5" x14ac:dyDescent="0.2">
      <c r="A56" t="e" cm="1">
        <f t="array" ref="A56">MATCH(5,"TRUE",0)</f>
        <v>#VALUE!</v>
      </c>
      <c r="B56">
        <f t="shared" si="3"/>
        <v>3</v>
      </c>
      <c r="C56">
        <f t="shared" si="4"/>
        <v>0</v>
      </c>
      <c r="D56" t="str">
        <f t="shared" si="5"/>
        <v/>
      </c>
      <c r="E56" t="s">
        <v>90</v>
      </c>
    </row>
    <row r="57" spans="1:5" x14ac:dyDescent="0.2">
      <c r="A57" t="e" cm="1">
        <f t="array" ref="A57">MATCH(5,"1/1/2025",0)</f>
        <v>#N/A</v>
      </c>
      <c r="B57">
        <f t="shared" si="3"/>
        <v>7</v>
      </c>
      <c r="C57">
        <f t="shared" si="4"/>
        <v>0</v>
      </c>
      <c r="D57" t="str">
        <f t="shared" si="5"/>
        <v/>
      </c>
      <c r="E57" t="s">
        <v>91</v>
      </c>
    </row>
    <row r="58" spans="1:5" x14ac:dyDescent="0.2">
      <c r="A58" t="e" cm="1">
        <f t="array" ref="A58">VLOOKUP(5,TRUE,1,FALSE)</f>
        <v>#N/A</v>
      </c>
      <c r="B58">
        <f t="shared" si="3"/>
        <v>7</v>
      </c>
      <c r="C58">
        <f t="shared" si="4"/>
        <v>0</v>
      </c>
      <c r="D58" t="str">
        <f t="shared" si="5"/>
        <v/>
      </c>
      <c r="E58" t="s">
        <v>92</v>
      </c>
    </row>
    <row r="59" spans="1:5" x14ac:dyDescent="0.2">
      <c r="A59" t="e" cm="1">
        <f t="array" ref="A59">HLOOKUP("a","a",1,FALSE)</f>
        <v>#VALUE!</v>
      </c>
      <c r="B59">
        <f t="shared" si="3"/>
        <v>3</v>
      </c>
      <c r="C59">
        <f t="shared" si="4"/>
        <v>0</v>
      </c>
      <c r="D59" t="str">
        <f t="shared" si="5"/>
        <v/>
      </c>
      <c r="E59" t="s">
        <v>93</v>
      </c>
    </row>
    <row r="60" spans="1:5" x14ac:dyDescent="0.2">
      <c r="A60" t="e" cm="1">
        <f t="array" ref="A60">MATCH(5,NA(),0)</f>
        <v>#N/A</v>
      </c>
      <c r="B60">
        <f t="shared" si="3"/>
        <v>7</v>
      </c>
      <c r="C60">
        <f t="shared" si="4"/>
        <v>0</v>
      </c>
      <c r="D60" t="str">
        <f t="shared" si="5"/>
        <v/>
      </c>
      <c r="E60" t="s">
        <v>94</v>
      </c>
    </row>
    <row r="61" spans="1:5" x14ac:dyDescent="0.2">
      <c r="A61" t="e" cm="1">
        <f t="array" ref="A61">MATCH(5,1/0,0)</f>
        <v>#DIV/0!</v>
      </c>
      <c r="B61">
        <f t="shared" si="3"/>
        <v>2</v>
      </c>
      <c r="C61">
        <f t="shared" si="4"/>
        <v>0</v>
      </c>
      <c r="D61" t="str">
        <f t="shared" si="5"/>
        <v/>
      </c>
      <c r="E61" t="s">
        <v>95</v>
      </c>
    </row>
    <row r="62" spans="1:5" x14ac:dyDescent="0.2">
      <c r="A62" t="e" cm="1" vm="1">
        <f t="array" aca="1" ref="A62" ca="1">_xlfn.XLOOKUP(0,0,D!M1:M6,,,-1)</f>
        <v>#VALUE!</v>
      </c>
      <c r="B62">
        <f t="shared" ca="1" si="3"/>
        <v>9</v>
      </c>
      <c r="C62">
        <f t="shared" ca="1" si="4"/>
        <v>0</v>
      </c>
      <c r="D62" t="str">
        <f t="shared" ca="1" si="5"/>
        <v/>
      </c>
      <c r="E62" t="s">
        <v>96</v>
      </c>
    </row>
    <row r="63" spans="1:5" x14ac:dyDescent="0.2">
      <c r="A63" cm="1">
        <f t="array" ref="A63">ROWS(_xlfn.XLOOKUP(5,5,D!M1:M3))</f>
        <v>3</v>
      </c>
      <c r="B63">
        <f t="shared" si="3"/>
        <v>0</v>
      </c>
      <c r="C63">
        <f t="shared" si="4"/>
        <v>3</v>
      </c>
      <c r="D63" t="str">
        <f t="shared" si="5"/>
        <v/>
      </c>
      <c r="E63" t="s">
        <v>97</v>
      </c>
    </row>
    <row r="64" spans="1:5" x14ac:dyDescent="0.2">
      <c r="A64" t="e" cm="1">
        <f t="array" ref="A64">XNPV(0.09,D!A3,D!AU1:AU5)</f>
        <v>#VALUE!</v>
      </c>
      <c r="B64">
        <f t="shared" si="3"/>
        <v>3</v>
      </c>
      <c r="C64">
        <f t="shared" si="4"/>
        <v>0</v>
      </c>
      <c r="D64" t="str">
        <f t="shared" si="5"/>
        <v/>
      </c>
      <c r="E64" t="s">
        <v>98</v>
      </c>
    </row>
    <row r="65" spans="1:5" x14ac:dyDescent="0.2">
      <c r="A65" t="e" cm="1">
        <f t="array" ref="A65">XIRR(D!J1:J5,D!A3)</f>
        <v>#VALUE!</v>
      </c>
      <c r="B65">
        <f t="shared" ref="B65:B96" si="6">IF(ISERROR(A65),ERROR.TYPE(A65),IF(ISNUMBER(A65),0,IF(ISLOGICAL(A65),IF(A65,-1,-2),IF(ISTEXT(A65),-3,-4))))</f>
        <v>3</v>
      </c>
      <c r="C65">
        <f t="shared" si="4"/>
        <v>0</v>
      </c>
      <c r="D65" t="str">
        <f t="shared" si="5"/>
        <v/>
      </c>
      <c r="E65" t="s">
        <v>99</v>
      </c>
    </row>
    <row r="66" spans="1:5" x14ac:dyDescent="0.2">
      <c r="A66" t="str" cm="1">
        <f t="array" ref="A66">_xlfn.ARRAYTOTEXT(_xlfn.WRAPCOLS({1,2,3},5),1)</f>
        <v>{1;2;3}</v>
      </c>
      <c r="B66">
        <f t="shared" si="6"/>
        <v>-3</v>
      </c>
      <c r="C66">
        <f t="shared" si="4"/>
        <v>0</v>
      </c>
      <c r="D66" t="str">
        <f t="shared" si="5"/>
        <v>{1;2;3}</v>
      </c>
      <c r="E66" t="s">
        <v>100</v>
      </c>
    </row>
    <row r="67" spans="1:5" x14ac:dyDescent="0.2">
      <c r="A67" t="s">
        <v>101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2026-10-08T17:00:39Z</dcterms:created>
  <dcterms:modified xsi:type="dcterms:W3CDTF">2026-10-08T17:00:40Z</dcterms:modified>
  <cp:category/>
</cp:coreProperties>
</file>