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D0C77946-2CF4-E44B-BAD6-8C9F07BCC34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3" l="1" a="1"/>
  <c r="A56" i="3" s="1"/>
  <c r="D56" i="3" s="1"/>
  <c r="A55" i="3" a="1"/>
  <c r="A55" i="3" s="1"/>
  <c r="A53" i="3" a="1"/>
  <c r="A53" i="3" s="1"/>
  <c r="A52" i="3" a="1"/>
  <c r="A52" i="3"/>
  <c r="D52" i="3" s="1"/>
  <c r="A51" i="3" a="1"/>
  <c r="A51" i="3"/>
  <c r="C51" i="3" s="1"/>
  <c r="A50" i="3" a="1"/>
  <c r="A50" i="3" s="1"/>
  <c r="D50" i="3" s="1"/>
  <c r="A49" i="3" a="1"/>
  <c r="A49" i="3"/>
  <c r="C49" i="3" s="1"/>
  <c r="A48" i="3" a="1"/>
  <c r="A48" i="3"/>
  <c r="C48" i="3" s="1"/>
  <c r="A47" i="3" a="1"/>
  <c r="A47" i="3"/>
  <c r="B47" i="3" s="1"/>
  <c r="A46" i="3" a="1"/>
  <c r="A46" i="3" s="1"/>
  <c r="A45" i="3" a="1"/>
  <c r="A45" i="3" s="1"/>
  <c r="D45" i="3" s="1"/>
  <c r="A44" i="3" a="1"/>
  <c r="A44" i="3"/>
  <c r="C44" i="3" s="1"/>
  <c r="A43" i="3" a="1"/>
  <c r="A43" i="3"/>
  <c r="D43" i="3" s="1"/>
  <c r="A42" i="3" a="1"/>
  <c r="A42" i="3"/>
  <c r="C42" i="3" s="1"/>
  <c r="A41" i="3" a="1"/>
  <c r="A41" i="3" s="1"/>
  <c r="A40" i="3" a="1"/>
  <c r="A40" i="3" s="1"/>
  <c r="B40" i="3" s="1"/>
  <c r="A39" i="3" a="1"/>
  <c r="A39" i="3" s="1"/>
  <c r="C39" i="3" s="1"/>
  <c r="A37" i="3" a="1"/>
  <c r="A37" i="3"/>
  <c r="B37" i="3" s="1"/>
  <c r="A36" i="3" a="1"/>
  <c r="A36" i="3" s="1"/>
  <c r="D36" i="3" s="1"/>
  <c r="A35" i="3" a="1"/>
  <c r="A35" i="3" s="1"/>
  <c r="A34" i="3" a="1"/>
  <c r="A34" i="3"/>
  <c r="B34" i="3" s="1"/>
  <c r="A33" i="3" a="1"/>
  <c r="A33" i="3"/>
  <c r="C33" i="3" s="1"/>
  <c r="A32" i="3" a="1"/>
  <c r="A32" i="3"/>
  <c r="B32" i="3" s="1"/>
  <c r="A31" i="3" a="1"/>
  <c r="A31" i="3"/>
  <c r="C31" i="3" s="1"/>
  <c r="A30" i="3" a="1"/>
  <c r="A30" i="3"/>
  <c r="D30" i="3" s="1"/>
  <c r="A29" i="3" a="1"/>
  <c r="A29" i="3"/>
  <c r="D29" i="3" s="1"/>
  <c r="A28" i="3" a="1"/>
  <c r="A28" i="3" s="1"/>
  <c r="A27" i="3" a="1"/>
  <c r="A27" i="3" s="1"/>
  <c r="D27" i="3" s="1"/>
  <c r="A26" i="3" a="1"/>
  <c r="A26" i="3"/>
  <c r="D26" i="3" s="1"/>
  <c r="A25" i="3" a="1"/>
  <c r="A25" i="3"/>
  <c r="C25" i="3" s="1"/>
  <c r="A24" i="3" a="1"/>
  <c r="A24" i="3"/>
  <c r="D24" i="3" s="1"/>
  <c r="A23" i="3" a="1"/>
  <c r="A23" i="3"/>
  <c r="D23" i="3" s="1"/>
  <c r="A22" i="3" a="1"/>
  <c r="A22" i="3"/>
  <c r="D22" i="3" s="1"/>
  <c r="A21" i="3" a="1"/>
  <c r="A21" i="3"/>
  <c r="D21" i="3" s="1"/>
  <c r="A20" i="3" a="1"/>
  <c r="A20" i="3"/>
  <c r="D20" i="3" s="1"/>
  <c r="A19" i="3" a="1"/>
  <c r="A19" i="3" s="1"/>
  <c r="D19" i="3" s="1"/>
  <c r="A18" i="3" a="1"/>
  <c r="A18" i="3"/>
  <c r="B18" i="3" s="1"/>
  <c r="A17" i="3" a="1"/>
  <c r="A17" i="3" s="1"/>
  <c r="A16" i="3" a="1"/>
  <c r="A16" i="3"/>
  <c r="B16" i="3" s="1"/>
  <c r="A15" i="3" a="1"/>
  <c r="A15" i="3"/>
  <c r="D15" i="3" s="1"/>
  <c r="A14" i="3" a="1"/>
  <c r="A14" i="3" s="1"/>
  <c r="A13" i="3" a="1"/>
  <c r="A13" i="3"/>
  <c r="C13" i="3" s="1"/>
  <c r="A12" i="3" a="1"/>
  <c r="A12" i="3"/>
  <c r="D12" i="3" s="1"/>
  <c r="A11" i="3" a="1"/>
  <c r="A11" i="3"/>
  <c r="D11" i="3" s="1"/>
  <c r="A10" i="3" a="1"/>
  <c r="A10" i="3" s="1"/>
  <c r="A9" i="3" a="1"/>
  <c r="A9" i="3" s="1"/>
  <c r="D9" i="3" s="1"/>
  <c r="A8" i="3" a="1"/>
  <c r="A8" i="3"/>
  <c r="C8" i="3" s="1"/>
  <c r="A7" i="3" a="1"/>
  <c r="A7" i="3"/>
  <c r="B7" i="3" s="1"/>
  <c r="A6" i="3" a="1"/>
  <c r="A6" i="3"/>
  <c r="C6" i="3" s="1"/>
  <c r="A5" i="3" a="1"/>
  <c r="A5" i="3"/>
  <c r="D5" i="3" s="1"/>
  <c r="A4" i="3" a="1"/>
  <c r="A4" i="3"/>
  <c r="C4" i="3" s="1"/>
  <c r="A3" i="3" a="1"/>
  <c r="A3" i="3"/>
  <c r="C3" i="3" s="1"/>
  <c r="A2" i="3" a="1"/>
  <c r="A2" i="3" s="1"/>
  <c r="D2" i="3" s="1"/>
  <c r="A1" i="3" a="1"/>
  <c r="A1" i="3"/>
  <c r="D1" i="3" s="1"/>
  <c r="I15" i="2"/>
  <c r="A14" i="2"/>
  <c r="A13" i="2"/>
  <c r="AL10" i="2"/>
  <c r="A8" i="2"/>
  <c r="A7" i="2"/>
  <c r="E3" i="2"/>
  <c r="A2" i="1"/>
  <c r="A54" i="3" s="1" a="1"/>
  <c r="A54" i="3" s="1"/>
  <c r="D31" i="3" l="1"/>
  <c r="D6" i="3"/>
  <c r="C24" i="3"/>
  <c r="D42" i="3"/>
  <c r="D49" i="3"/>
  <c r="B6" i="3"/>
  <c r="D13" i="3"/>
  <c r="B42" i="3"/>
  <c r="B24" i="3"/>
  <c r="C1" i="3"/>
  <c r="D46" i="3"/>
  <c r="B46" i="3"/>
  <c r="C46" i="3"/>
  <c r="D28" i="3"/>
  <c r="B28" i="3"/>
  <c r="C28" i="3"/>
  <c r="D10" i="3"/>
  <c r="C10" i="3"/>
  <c r="B10" i="3"/>
  <c r="D35" i="3"/>
  <c r="C35" i="3"/>
  <c r="B35" i="3"/>
  <c r="C55" i="3"/>
  <c r="D55" i="3"/>
  <c r="B55" i="3"/>
  <c r="D54" i="3"/>
  <c r="C54" i="3"/>
  <c r="B54" i="3"/>
  <c r="B41" i="3"/>
  <c r="D41" i="3"/>
  <c r="C41" i="3"/>
  <c r="C14" i="3"/>
  <c r="B14" i="3"/>
  <c r="D14" i="3"/>
  <c r="D17" i="3"/>
  <c r="C17" i="3"/>
  <c r="B17" i="3"/>
  <c r="D53" i="3"/>
  <c r="C53" i="3"/>
  <c r="B53" i="3"/>
  <c r="B39" i="3"/>
  <c r="B36" i="3"/>
  <c r="C43" i="3"/>
  <c r="D7" i="3"/>
  <c r="B11" i="3"/>
  <c r="C18" i="3"/>
  <c r="D25" i="3"/>
  <c r="B4" i="3"/>
  <c r="D18" i="3"/>
  <c r="C29" i="3"/>
  <c r="C47" i="3"/>
  <c r="C40" i="3"/>
  <c r="B51" i="3"/>
  <c r="D40" i="3"/>
  <c r="C5" i="3"/>
  <c r="B52" i="3"/>
  <c r="B9" i="3"/>
  <c r="B27" i="3"/>
  <c r="C34" i="3"/>
  <c r="A38" i="3" a="1"/>
  <c r="A38" i="3" s="1"/>
  <c r="B45" i="3"/>
  <c r="C52" i="3"/>
  <c r="B3" i="3"/>
  <c r="B50" i="3"/>
  <c r="B25" i="3"/>
  <c r="C32" i="3"/>
  <c r="D39" i="3"/>
  <c r="B43" i="3"/>
  <c r="C50" i="3"/>
  <c r="C7" i="3"/>
  <c r="D32" i="3"/>
  <c r="D4" i="3"/>
  <c r="C15" i="3"/>
  <c r="B26" i="3"/>
  <c r="B44" i="3"/>
  <c r="B19" i="3"/>
  <c r="C26" i="3"/>
  <c r="D33" i="3"/>
  <c r="D51" i="3"/>
  <c r="B12" i="3"/>
  <c r="D44" i="3"/>
  <c r="B5" i="3"/>
  <c r="C12" i="3"/>
  <c r="B23" i="3"/>
  <c r="D37" i="3"/>
  <c r="D48" i="3"/>
  <c r="C16" i="3"/>
  <c r="D16" i="3"/>
  <c r="B20" i="3"/>
  <c r="C27" i="3"/>
  <c r="D34" i="3"/>
  <c r="C45" i="3"/>
  <c r="B56" i="3"/>
  <c r="B21" i="3"/>
  <c r="D3" i="3"/>
  <c r="B29" i="3"/>
  <c r="C36" i="3"/>
  <c r="C11" i="3"/>
  <c r="B15" i="3"/>
  <c r="D47" i="3"/>
  <c r="B1" i="3"/>
  <c r="D8" i="3"/>
  <c r="C19" i="3"/>
  <c r="C37" i="3"/>
  <c r="C30" i="3"/>
  <c r="C23" i="3"/>
  <c r="B2" i="3"/>
  <c r="C9" i="3"/>
  <c r="C2" i="3"/>
  <c r="B13" i="3"/>
  <c r="C20" i="3"/>
  <c r="B31" i="3"/>
  <c r="B49" i="3"/>
  <c r="C56" i="3"/>
  <c r="C21" i="3"/>
  <c r="B22" i="3"/>
  <c r="C22" i="3"/>
  <c r="B33" i="3"/>
  <c r="B8" i="3"/>
  <c r="B30" i="3"/>
  <c r="B48" i="3"/>
  <c r="D38" i="3" l="1"/>
  <c r="C38" i="3"/>
  <c r="B3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<sst xmlns="http://schemas.openxmlformats.org/spreadsheetml/2006/main" count="115" uniqueCount="92">
  <si>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</si>
  <si>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</si>
  <si>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</si>
  <si>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</si>
  <si>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</si>
  <si>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</si>
  <si>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</si>
  <si>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</si>
  <si>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</si>
  <si>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</si>
  <si>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</si>
  <si>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</si>
  <si>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</si>
  <si>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</si>
  <si>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</si>
  <si>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</si>
  <si>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</si>
  <si>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</si>
  <si>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</si>
  <si>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</si>
  <si>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</si>
  <si>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</si>
  <si>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</si>
  <si>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</si>
  <si>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</si>
  <si>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</si>
  <si>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</si>
  <si>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</si>
  <si>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</si>
  <si>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</si>
  <si>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</si>
  <si>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</si>
  <si>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</si>
  <si>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</si>
  <si>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</si>
  <si>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caret#1</t>
  </si>
  <si>
    <t>caret#2</t>
  </si>
  <si>
    <t>caret#3</t>
  </si>
  <si>
    <t>caret#4</t>
  </si>
  <si>
    <t>caret#5</t>
  </si>
  <si>
    <t>caret#6</t>
  </si>
  <si>
    <t>caret#7</t>
  </si>
  <si>
    <t>caret#8</t>
  </si>
  <si>
    <t>caret#9</t>
  </si>
  <si>
    <t>caret#10</t>
  </si>
  <si>
    <t>caret#11</t>
  </si>
  <si>
    <t>caret#12</t>
  </si>
  <si>
    <t>caret#13</t>
  </si>
  <si>
    <t>caret#14</t>
  </si>
  <si>
    <t>caret#15</t>
  </si>
  <si>
    <t>caret#16</t>
  </si>
  <si>
    <t>caret#17</t>
  </si>
  <si>
    <t>caret#18</t>
  </si>
  <si>
    <t>caret#19</t>
  </si>
  <si>
    <t>caret#20</t>
  </si>
  <si>
    <t>caret#21</t>
  </si>
  <si>
    <t>caret#22</t>
  </si>
  <si>
    <t>caret#23</t>
  </si>
  <si>
    <t>caret#24</t>
  </si>
  <si>
    <t>caret#25</t>
  </si>
  <si>
    <t>caret#26</t>
  </si>
  <si>
    <t>caret#27</t>
  </si>
  <si>
    <t>caret#28</t>
  </si>
  <si>
    <t>caret#29</t>
  </si>
  <si>
    <t>caret#30</t>
  </si>
  <si>
    <t>caret#31</t>
  </si>
  <si>
    <t>caret#32</t>
  </si>
  <si>
    <t>caret#33</t>
  </si>
  <si>
    <t>caret#34</t>
  </si>
  <si>
    <t>caret#35</t>
  </si>
  <si>
    <t>caret#36</t>
  </si>
  <si>
    <t>caret#37</t>
  </si>
  <si>
    <t>caret#38</t>
  </si>
  <si>
    <t>caret#39</t>
  </si>
  <si>
    <t>caret#40</t>
  </si>
  <si>
    <t>caret#41</t>
  </si>
  <si>
    <t>caret#42</t>
  </si>
  <si>
    <t>POWER#1</t>
  </si>
  <si>
    <t>POWER#2</t>
  </si>
  <si>
    <t>POWER#3</t>
  </si>
  <si>
    <t>POWER#4</t>
  </si>
  <si>
    <t>POWER#5</t>
  </si>
  <si>
    <t>POWER#6</t>
  </si>
  <si>
    <t>POWER#7</t>
  </si>
  <si>
    <t>POWER#8</t>
  </si>
  <si>
    <t>POWER#9</t>
  </si>
  <si>
    <t>POWER#10</t>
  </si>
  <si>
    <t>POWER#11</t>
  </si>
  <si>
    <t>POWER#12</t>
  </si>
  <si>
    <t>SERIESSUM#1</t>
  </si>
  <si>
    <t>SERIESSUM#2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</si>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</sst>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-8</v>
      </c>
    </row>
    <row r="2" spans="1:1" x14ac:dyDescent="0.2">
      <c r="A2">
        <f>1/3</f>
        <v>0.33333333333333331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(-32)^(1/5)</f>
        <v>-2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-2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(-32)^0.2</f>
        <v>-2</v>
      </c>
      <c r="B2">
        <f t="shared" si="0"/>
        <v>0</v>
      </c>
      <c r="C2">
        <f t="shared" si="1"/>
        <v>-2</v>
      </c>
      <c r="D2" t="str">
        <f t="shared" si="2"/>
        <v/>
      </c>
      <c r="E2" t="s">
        <v>36</v>
      </c>
    </row>
    <row r="3" spans="1:5" x14ac:dyDescent="0.2">
      <c r="A3" cm="1">
        <f t="array" ref="A3">(-8)^(1/3)</f>
        <v>-1.9999999999999998</v>
      </c>
      <c r="B3">
        <f t="shared" si="0"/>
        <v>0</v>
      </c>
      <c r="C3">
        <f t="shared" si="1"/>
        <v>-1.9999999999999998</v>
      </c>
      <c r="D3" t="str">
        <f t="shared" si="2"/>
        <v/>
      </c>
      <c r="E3" t="s">
        <v>37</v>
      </c>
    </row>
    <row r="4" spans="1:5" x14ac:dyDescent="0.2">
      <c r="A4" cm="1">
        <f t="array" ref="A4">(-0.0000000001)^(1/5)</f>
        <v>-9.999999999999995E-3</v>
      </c>
      <c r="B4">
        <f t="shared" si="0"/>
        <v>0</v>
      </c>
      <c r="C4">
        <f t="shared" si="1"/>
        <v>-9.999999999999995E-3</v>
      </c>
      <c r="D4" t="str">
        <f t="shared" si="2"/>
        <v/>
      </c>
      <c r="E4" t="s">
        <v>38</v>
      </c>
    </row>
    <row r="5" spans="1:5" x14ac:dyDescent="0.2">
      <c r="A5" t="e" cm="1">
        <f t="array" ref="A5">(-8)^(2/3)</f>
        <v>#NUM!</v>
      </c>
      <c r="B5">
        <f t="shared" si="0"/>
        <v>6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(-8)^(1/2)</f>
        <v>#NUM!</v>
      </c>
      <c r="B6">
        <f t="shared" si="0"/>
        <v>6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(-2)^(1/3)</f>
        <v>-1.2599210498948732</v>
      </c>
      <c r="B7">
        <f t="shared" si="0"/>
        <v>0</v>
      </c>
      <c r="C7">
        <f t="shared" si="1"/>
        <v>-1.2599210498948732</v>
      </c>
      <c r="D7" t="str">
        <f t="shared" si="2"/>
        <v/>
      </c>
      <c r="E7" t="s">
        <v>41</v>
      </c>
    </row>
    <row r="8" spans="1:5" x14ac:dyDescent="0.2">
      <c r="A8" cm="1">
        <f t="array" ref="A8">(-2)^(1/5)</f>
        <v>-1.1486983549970351</v>
      </c>
      <c r="B8">
        <f t="shared" si="0"/>
        <v>0</v>
      </c>
      <c r="C8">
        <f t="shared" si="1"/>
        <v>-1.1486983549970351</v>
      </c>
      <c r="D8" t="str">
        <f t="shared" si="2"/>
        <v/>
      </c>
      <c r="E8" t="s">
        <v>42</v>
      </c>
    </row>
    <row r="9" spans="1:5" x14ac:dyDescent="0.2">
      <c r="A9" cm="1">
        <f t="array" ref="A9">(-2)^(1/7)</f>
        <v>-1.1040895136738123</v>
      </c>
      <c r="B9">
        <f t="shared" si="0"/>
        <v>0</v>
      </c>
      <c r="C9">
        <f t="shared" si="1"/>
        <v>-1.1040895136738123</v>
      </c>
      <c r="D9" t="str">
        <f t="shared" si="2"/>
        <v/>
      </c>
      <c r="E9" t="s">
        <v>43</v>
      </c>
    </row>
    <row r="10" spans="1:5" x14ac:dyDescent="0.2">
      <c r="A10" cm="1">
        <f t="array" ref="A10">(-2)^(1/9)</f>
        <v>-1.0800597388923061</v>
      </c>
      <c r="B10">
        <f t="shared" si="0"/>
        <v>0</v>
      </c>
      <c r="C10">
        <f t="shared" si="1"/>
        <v>-1.0800597388923061</v>
      </c>
      <c r="D10" t="str">
        <f t="shared" si="2"/>
        <v/>
      </c>
      <c r="E10" t="s">
        <v>44</v>
      </c>
    </row>
    <row r="11" spans="1:5" x14ac:dyDescent="0.2">
      <c r="A11" t="e" cm="1">
        <f t="array" ref="A11">(-2)^(1/2)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(-2)^(1/4)</f>
        <v>#NUM!</v>
      </c>
      <c r="B12">
        <f t="shared" si="0"/>
        <v>6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(-2)^(1/101)</f>
        <v>-1.0068864466457506</v>
      </c>
      <c r="B13">
        <f t="shared" si="0"/>
        <v>0</v>
      </c>
      <c r="C13">
        <f t="shared" si="1"/>
        <v>-1.0068864466457506</v>
      </c>
      <c r="D13" t="str">
        <f t="shared" si="2"/>
        <v/>
      </c>
      <c r="E13" t="s">
        <v>47</v>
      </c>
    </row>
    <row r="14" spans="1:5" x14ac:dyDescent="0.2">
      <c r="A14" cm="1">
        <f t="array" ref="A14">(-2)^(1/1000001)</f>
        <v>-1.0000006931467276</v>
      </c>
      <c r="B14">
        <f t="shared" si="0"/>
        <v>0</v>
      </c>
      <c r="C14">
        <f t="shared" si="1"/>
        <v>-1.0000006931467276</v>
      </c>
      <c r="D14" t="str">
        <f t="shared" si="2"/>
        <v/>
      </c>
      <c r="E14" t="s">
        <v>48</v>
      </c>
    </row>
    <row r="15" spans="1:5" x14ac:dyDescent="0.2">
      <c r="A15" t="e" cm="1">
        <f t="array" ref="A15">(-2)^(1/1000000)</f>
        <v>#NUM!</v>
      </c>
      <c r="B15">
        <f t="shared" si="0"/>
        <v>6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(-8)^(-1/3)</f>
        <v>-0.50000000000000011</v>
      </c>
      <c r="B16">
        <f t="shared" si="0"/>
        <v>0</v>
      </c>
      <c r="C16">
        <f t="shared" si="1"/>
        <v>-0.50000000000000011</v>
      </c>
      <c r="D16" t="str">
        <f t="shared" si="2"/>
        <v/>
      </c>
      <c r="E16" t="s">
        <v>50</v>
      </c>
    </row>
    <row r="17" spans="1:5" x14ac:dyDescent="0.2">
      <c r="A17" cm="1">
        <f t="array" ref="A17">(-8)^(-1/5)</f>
        <v>-0.65975395538644721</v>
      </c>
      <c r="B17">
        <f t="shared" si="0"/>
        <v>0</v>
      </c>
      <c r="C17">
        <f t="shared" si="1"/>
        <v>-0.65975395538644721</v>
      </c>
      <c r="D17" t="str">
        <f t="shared" si="2"/>
        <v/>
      </c>
      <c r="E17" t="s">
        <v>51</v>
      </c>
    </row>
    <row r="18" spans="1:5" x14ac:dyDescent="0.2">
      <c r="A18" t="e" cm="1">
        <f t="array" ref="A18">(-32)^(3/5)</f>
        <v>#NUM!</v>
      </c>
      <c r="B18">
        <f t="shared" si="0"/>
        <v>6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(-32)^0.6</f>
        <v>#NUM!</v>
      </c>
      <c r="B19">
        <f t="shared" si="0"/>
        <v>6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(-8)^(-2/3)</f>
        <v>#NUM!</v>
      </c>
      <c r="B20">
        <f t="shared" si="0"/>
        <v>6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(-8)^0.333333333333333</f>
        <v>-1.9999999999999984</v>
      </c>
      <c r="B21">
        <f t="shared" si="0"/>
        <v>0</v>
      </c>
      <c r="C21">
        <f t="shared" si="1"/>
        <v>-1.9999999999999984</v>
      </c>
      <c r="D21" t="str">
        <f t="shared" si="2"/>
        <v/>
      </c>
      <c r="E21" t="s">
        <v>55</v>
      </c>
    </row>
    <row r="22" spans="1:5" x14ac:dyDescent="0.2">
      <c r="A22" t="e" cm="1">
        <f t="array" ref="A22">(-8)^0.33333333333333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(-8)^(1/3+0.0000000000000001)</f>
        <v>-2</v>
      </c>
      <c r="B23">
        <f t="shared" si="0"/>
        <v>0</v>
      </c>
      <c r="C23">
        <f t="shared" si="1"/>
        <v>-2</v>
      </c>
      <c r="D23" t="str">
        <f t="shared" si="2"/>
        <v/>
      </c>
      <c r="E23" t="s">
        <v>57</v>
      </c>
    </row>
    <row r="24" spans="1:5" x14ac:dyDescent="0.2">
      <c r="A24" cm="1">
        <f t="array" ref="A24">(-8)^(1/3-0.0000000000000001)</f>
        <v>-1.9999999999999993</v>
      </c>
      <c r="B24">
        <f t="shared" si="0"/>
        <v>0</v>
      </c>
      <c r="C24">
        <f t="shared" si="1"/>
        <v>-1.9999999999999993</v>
      </c>
      <c r="D24" t="str">
        <f t="shared" si="2"/>
        <v/>
      </c>
      <c r="E24" t="s">
        <v>58</v>
      </c>
    </row>
    <row r="25" spans="1:5" x14ac:dyDescent="0.2">
      <c r="A25" cm="1">
        <f t="array" ref="A25">(-8)^(1/49)</f>
        <v>-1.043350930967019</v>
      </c>
      <c r="B25">
        <f t="shared" si="0"/>
        <v>0</v>
      </c>
      <c r="C25">
        <f t="shared" si="1"/>
        <v>-1.043350930967019</v>
      </c>
      <c r="D25" t="str">
        <f t="shared" si="2"/>
        <v/>
      </c>
      <c r="E25" t="s">
        <v>59</v>
      </c>
    </row>
    <row r="26" spans="1:5" x14ac:dyDescent="0.2">
      <c r="A26" t="e" cm="1">
        <f t="array" ref="A26">(-2)^(1/999999999999999)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(-2)^(1/(2^52+1))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(-2)^1E-20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(0)^(1/3)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(-1)^(1/3)</f>
        <v>-1</v>
      </c>
      <c r="B30">
        <f t="shared" si="0"/>
        <v>0</v>
      </c>
      <c r="C30">
        <f t="shared" si="1"/>
        <v>-1</v>
      </c>
      <c r="D30" t="str">
        <f t="shared" si="2"/>
        <v/>
      </c>
      <c r="E30" t="s">
        <v>64</v>
      </c>
    </row>
    <row r="31" spans="1:5" x14ac:dyDescent="0.2">
      <c r="A31" cm="1">
        <f t="array" ref="A31">(-1E-300)^(1/3)</f>
        <v>-1.0000000000000174E-100</v>
      </c>
      <c r="B31">
        <f t="shared" si="0"/>
        <v>0</v>
      </c>
      <c r="C31">
        <f t="shared" si="1"/>
        <v>-1.0000000000000174E-100</v>
      </c>
      <c r="D31" t="str">
        <f t="shared" si="2"/>
        <v/>
      </c>
      <c r="E31" t="s">
        <v>65</v>
      </c>
    </row>
    <row r="32" spans="1:5" x14ac:dyDescent="0.2">
      <c r="A32" cm="1">
        <f t="array" ref="A32">(-1E+300)^(1/3)</f>
        <v>-9.9999999999998253E+99</v>
      </c>
      <c r="B32">
        <f t="shared" si="0"/>
        <v>0</v>
      </c>
      <c r="C32">
        <f t="shared" si="1"/>
        <v>-9.9999999999998253E+99</v>
      </c>
      <c r="D32" t="str">
        <f t="shared" si="2"/>
        <v/>
      </c>
      <c r="E32" t="s">
        <v>66</v>
      </c>
    </row>
    <row r="33" spans="1:5" x14ac:dyDescent="0.2">
      <c r="A33" cm="1">
        <f t="array" ref="A33">(-1E-300)^(1/101)</f>
        <v>-1.0707867049863957E-3</v>
      </c>
      <c r="B33">
        <f t="shared" ref="B33:B64" si="3">IF(ISERROR(A33),ERROR.TYPE(A33),IF(ISNUMBER(A33),0,IF(ISLOGICAL(A33),IF(A33,-1,-2),IF(ISTEXT(A33),-3,-4))))</f>
        <v>0</v>
      </c>
      <c r="C33">
        <f t="shared" ref="C33:C56" si="4">IF(ISNUMBER(A33),A33,0)</f>
        <v>-1.0707867049863957E-3</v>
      </c>
      <c r="D33" t="str">
        <f t="shared" ref="D33:D56" si="5">IF(ISTEXT(A33),A33,"")</f>
        <v/>
      </c>
      <c r="E33" t="s">
        <v>67</v>
      </c>
    </row>
    <row r="34" spans="1:5" x14ac:dyDescent="0.2">
      <c r="A34" t="e" cm="1">
        <f t="array" ref="A34">(-1E+300)^(1/2)</f>
        <v>#NUM!</v>
      </c>
      <c r="B34">
        <f t="shared" si="3"/>
        <v>6</v>
      </c>
      <c r="C34">
        <f t="shared" si="4"/>
        <v>0</v>
      </c>
      <c r="D34" t="str">
        <f t="shared" si="5"/>
        <v/>
      </c>
      <c r="E34" t="s">
        <v>68</v>
      </c>
    </row>
    <row r="35" spans="1:5" x14ac:dyDescent="0.2">
      <c r="A35" cm="1">
        <f t="array" ref="A35">-8^(1/3)</f>
        <v>-1.9999999999999998</v>
      </c>
      <c r="B35">
        <f t="shared" si="3"/>
        <v>0</v>
      </c>
      <c r="C35">
        <f t="shared" si="4"/>
        <v>-1.9999999999999998</v>
      </c>
      <c r="D35" t="str">
        <f t="shared" si="5"/>
        <v/>
      </c>
      <c r="E35" t="s">
        <v>69</v>
      </c>
    </row>
    <row r="36" spans="1:5" x14ac:dyDescent="0.2">
      <c r="A36" cm="1">
        <f t="array" ref="A36">(-8)^(1/1)</f>
        <v>-8</v>
      </c>
      <c r="B36">
        <f t="shared" si="3"/>
        <v>0</v>
      </c>
      <c r="C36">
        <f t="shared" si="4"/>
        <v>-8</v>
      </c>
      <c r="D36" t="str">
        <f t="shared" si="5"/>
        <v/>
      </c>
      <c r="E36" t="s">
        <v>70</v>
      </c>
    </row>
    <row r="37" spans="1:5" x14ac:dyDescent="0.2">
      <c r="A37" cm="1">
        <f t="array" ref="A37">P!A1^(1/3)</f>
        <v>-1.9999999999999998</v>
      </c>
      <c r="B37">
        <f t="shared" si="3"/>
        <v>0</v>
      </c>
      <c r="C37">
        <f t="shared" si="4"/>
        <v>-1.9999999999999998</v>
      </c>
      <c r="D37" t="str">
        <f t="shared" si="5"/>
        <v/>
      </c>
      <c r="E37" t="s">
        <v>71</v>
      </c>
    </row>
    <row r="38" spans="1:5" x14ac:dyDescent="0.2">
      <c r="A38" cm="1">
        <f t="array" ref="A38">P!A1^P!A2</f>
        <v>-1.9999999999999998</v>
      </c>
      <c r="B38">
        <f t="shared" si="3"/>
        <v>0</v>
      </c>
      <c r="C38">
        <f t="shared" si="4"/>
        <v>-1.9999999999999998</v>
      </c>
      <c r="D38" t="str">
        <f t="shared" si="5"/>
        <v/>
      </c>
      <c r="E38" t="s">
        <v>72</v>
      </c>
    </row>
    <row r="39" spans="1:5" x14ac:dyDescent="0.2">
      <c r="A39" cm="1">
        <f t="array" ref="A39">INDEX({-8,-27,-32}^(1/3),2)</f>
        <v>-2.9999999999999996</v>
      </c>
      <c r="B39">
        <f t="shared" si="3"/>
        <v>0</v>
      </c>
      <c r="C39">
        <f t="shared" si="4"/>
        <v>-2.9999999999999996</v>
      </c>
      <c r="D39" t="str">
        <f t="shared" si="5"/>
        <v/>
      </c>
      <c r="E39" t="s">
        <v>73</v>
      </c>
    </row>
    <row r="40" spans="1:5" x14ac:dyDescent="0.2">
      <c r="A40" t="e" cm="1">
        <f t="array" ref="A40">INDEX((-8)^(1/{3,5,2}),3)</f>
        <v>#NUM!</v>
      </c>
      <c r="B40">
        <f t="shared" si="3"/>
        <v>6</v>
      </c>
      <c r="C40">
        <f t="shared" si="4"/>
        <v>0</v>
      </c>
      <c r="D40" t="str">
        <f t="shared" si="5"/>
        <v/>
      </c>
      <c r="E40" t="s">
        <v>74</v>
      </c>
    </row>
    <row r="41" spans="1:5" x14ac:dyDescent="0.2">
      <c r="A41" cm="1">
        <f t="array" ref="A41">INDEX((-8)^(1/{3,5,2}),1)</f>
        <v>-1.9999999999999998</v>
      </c>
      <c r="B41">
        <f t="shared" si="3"/>
        <v>0</v>
      </c>
      <c r="C41">
        <f t="shared" si="4"/>
        <v>-1.9999999999999998</v>
      </c>
      <c r="D41" t="str">
        <f t="shared" si="5"/>
        <v/>
      </c>
      <c r="E41" t="s">
        <v>75</v>
      </c>
    </row>
    <row r="42" spans="1:5" x14ac:dyDescent="0.2">
      <c r="A42" cm="1">
        <f t="array" ref="A42">SUM({-8;-27}^(1/3))</f>
        <v>-4.9999999999999991</v>
      </c>
      <c r="B42">
        <f t="shared" si="3"/>
        <v>0</v>
      </c>
      <c r="C42">
        <f t="shared" si="4"/>
        <v>-4.9999999999999991</v>
      </c>
      <c r="D42" t="str">
        <f t="shared" si="5"/>
        <v/>
      </c>
      <c r="E42" t="s">
        <v>76</v>
      </c>
    </row>
    <row r="43" spans="1:5" x14ac:dyDescent="0.2">
      <c r="A43" cm="1">
        <f t="array" ref="A43">POWER(-32,0.2)</f>
        <v>-2</v>
      </c>
      <c r="B43">
        <f t="shared" si="3"/>
        <v>0</v>
      </c>
      <c r="C43">
        <f t="shared" si="4"/>
        <v>-2</v>
      </c>
      <c r="D43" t="str">
        <f t="shared" si="5"/>
        <v/>
      </c>
      <c r="E43" t="s">
        <v>77</v>
      </c>
    </row>
    <row r="44" spans="1:5" x14ac:dyDescent="0.2">
      <c r="A44" cm="1">
        <f t="array" ref="A44">POWER(-8,1/3)</f>
        <v>-1.9999999999999998</v>
      </c>
      <c r="B44">
        <f t="shared" si="3"/>
        <v>0</v>
      </c>
      <c r="C44">
        <f t="shared" si="4"/>
        <v>-1.9999999999999998</v>
      </c>
      <c r="D44" t="str">
        <f t="shared" si="5"/>
        <v/>
      </c>
      <c r="E44" t="s">
        <v>78</v>
      </c>
    </row>
    <row r="45" spans="1:5" x14ac:dyDescent="0.2">
      <c r="A45" t="e" cm="1">
        <f t="array" ref="A45">POWER(-8,2/3)</f>
        <v>#NUM!</v>
      </c>
      <c r="B45">
        <f t="shared" si="3"/>
        <v>6</v>
      </c>
      <c r="C45">
        <f t="shared" si="4"/>
        <v>0</v>
      </c>
      <c r="D45" t="str">
        <f t="shared" si="5"/>
        <v/>
      </c>
      <c r="E45" t="s">
        <v>79</v>
      </c>
    </row>
    <row r="46" spans="1:5" x14ac:dyDescent="0.2">
      <c r="A46" t="e" cm="1">
        <f t="array" ref="A46">POWER(-8,1/2)</f>
        <v>#NUM!</v>
      </c>
      <c r="B46">
        <f t="shared" si="3"/>
        <v>6</v>
      </c>
      <c r="C46">
        <f t="shared" si="4"/>
        <v>0</v>
      </c>
      <c r="D46" t="str">
        <f t="shared" si="5"/>
        <v/>
      </c>
      <c r="E46" t="s">
        <v>80</v>
      </c>
    </row>
    <row r="47" spans="1:5" x14ac:dyDescent="0.2">
      <c r="A47" cm="1">
        <f t="array" ref="A47">POWER(-8,-1/3)</f>
        <v>-0.50000000000000011</v>
      </c>
      <c r="B47">
        <f t="shared" si="3"/>
        <v>0</v>
      </c>
      <c r="C47">
        <f t="shared" si="4"/>
        <v>-0.50000000000000011</v>
      </c>
      <c r="D47" t="str">
        <f t="shared" si="5"/>
        <v/>
      </c>
      <c r="E47" t="s">
        <v>81</v>
      </c>
    </row>
    <row r="48" spans="1:5" x14ac:dyDescent="0.2">
      <c r="A48" cm="1">
        <f t="array" ref="A48">POWER(-8,1/49)</f>
        <v>-1.043350930967019</v>
      </c>
      <c r="B48">
        <f t="shared" si="3"/>
        <v>0</v>
      </c>
      <c r="C48">
        <f t="shared" si="4"/>
        <v>-1.043350930967019</v>
      </c>
      <c r="D48" t="str">
        <f t="shared" si="5"/>
        <v/>
      </c>
      <c r="E48" t="s">
        <v>82</v>
      </c>
    </row>
    <row r="49" spans="1:5" x14ac:dyDescent="0.2">
      <c r="A49" cm="1">
        <f t="array" ref="A49">POWER(-0.0000000001,1/5)</f>
        <v>-9.999999999999995E-3</v>
      </c>
      <c r="B49">
        <f t="shared" si="3"/>
        <v>0</v>
      </c>
      <c r="C49">
        <f t="shared" si="4"/>
        <v>-9.999999999999995E-3</v>
      </c>
      <c r="D49" t="str">
        <f t="shared" si="5"/>
        <v/>
      </c>
      <c r="E49" t="s">
        <v>83</v>
      </c>
    </row>
    <row r="50" spans="1:5" x14ac:dyDescent="0.2">
      <c r="A50" t="e" cm="1">
        <f t="array" ref="A50">POWER(-8,0.33333333333333)</f>
        <v>#NUM!</v>
      </c>
      <c r="B50">
        <f t="shared" si="3"/>
        <v>6</v>
      </c>
      <c r="C50">
        <f t="shared" si="4"/>
        <v>0</v>
      </c>
      <c r="D50" t="str">
        <f t="shared" si="5"/>
        <v/>
      </c>
      <c r="E50" t="s">
        <v>84</v>
      </c>
    </row>
    <row r="51" spans="1:5" x14ac:dyDescent="0.2">
      <c r="A51" t="e" cm="1">
        <f t="array" ref="A51">POWER(-2,1/999999999999999)</f>
        <v>#NUM!</v>
      </c>
      <c r="B51">
        <f t="shared" si="3"/>
        <v>6</v>
      </c>
      <c r="C51">
        <f t="shared" si="4"/>
        <v>0</v>
      </c>
      <c r="D51" t="str">
        <f t="shared" si="5"/>
        <v/>
      </c>
      <c r="E51" t="s">
        <v>85</v>
      </c>
    </row>
    <row r="52" spans="1:5" x14ac:dyDescent="0.2">
      <c r="A52" cm="1">
        <f t="array" ref="A52">POWER(0,1/3)</f>
        <v>0</v>
      </c>
      <c r="B52">
        <f t="shared" si="3"/>
        <v>0</v>
      </c>
      <c r="C52">
        <f t="shared" si="4"/>
        <v>0</v>
      </c>
      <c r="D52" t="str">
        <f t="shared" si="5"/>
        <v/>
      </c>
      <c r="E52" t="s">
        <v>86</v>
      </c>
    </row>
    <row r="53" spans="1:5" x14ac:dyDescent="0.2">
      <c r="A53" cm="1">
        <f t="array" ref="A53">SUM(POWER({-8;-27},1/3))</f>
        <v>-4.9999999999999991</v>
      </c>
      <c r="B53">
        <f t="shared" si="3"/>
        <v>0</v>
      </c>
      <c r="C53">
        <f t="shared" si="4"/>
        <v>-4.9999999999999991</v>
      </c>
      <c r="D53" t="str">
        <f t="shared" si="5"/>
        <v/>
      </c>
      <c r="E53" t="s">
        <v>87</v>
      </c>
    </row>
    <row r="54" spans="1:5" x14ac:dyDescent="0.2">
      <c r="A54" cm="1">
        <f t="array" ref="A54">POWER(P!A1,P!A2)</f>
        <v>-1.9999999999999998</v>
      </c>
      <c r="B54">
        <f t="shared" si="3"/>
        <v>0</v>
      </c>
      <c r="C54">
        <f t="shared" si="4"/>
        <v>-1.9999999999999998</v>
      </c>
      <c r="D54" t="str">
        <f t="shared" si="5"/>
        <v/>
      </c>
      <c r="E54" t="s">
        <v>88</v>
      </c>
    </row>
    <row r="55" spans="1:5" x14ac:dyDescent="0.2">
      <c r="A55" cm="1">
        <f t="array" ref="A55">SERIESSUM(-8,1/3,1,{1})</f>
        <v>0</v>
      </c>
      <c r="B55">
        <f t="shared" si="3"/>
        <v>0</v>
      </c>
      <c r="C55">
        <f t="shared" si="4"/>
        <v>0</v>
      </c>
      <c r="D55" t="str">
        <f t="shared" si="5"/>
        <v/>
      </c>
      <c r="E55" t="s">
        <v>89</v>
      </c>
    </row>
    <row r="56" spans="1:5" x14ac:dyDescent="0.2">
      <c r="A56" cm="1">
        <f t="array" ref="A56">SERIESSUM(-8,1/2,1,{1})</f>
        <v>0</v>
      </c>
      <c r="B56">
        <f t="shared" si="3"/>
        <v>0</v>
      </c>
      <c r="C56">
        <f t="shared" si="4"/>
        <v>0</v>
      </c>
      <c r="D56" t="str">
        <f t="shared" si="5"/>
        <v/>
      </c>
      <c r="E56" t="s">
        <v>90</v>
      </c>
    </row>
    <row r="57" spans="1:5" x14ac:dyDescent="0.2">
      <c r="A57" t="s"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2026-10-12T19:27:47Z</dcterms:created>
  <dcterms:modified xsi:type="dcterms:W3CDTF">2026-10-12T19:27:47Z</dcterms:modified>
  <cp:category/>
</cp:coreProperties>
</file>