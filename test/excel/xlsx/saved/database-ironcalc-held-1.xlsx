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filterPrivacy="1"/>
  <xr:revisionPtr revIDLastSave="0" documentId="8_{4111867A-AF86-8C42-A12C-701083E2C55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b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3" l="1" a="1"/>
  <c r="A8" i="3" s="1"/>
  <c r="A7" i="3" a="1"/>
  <c r="A7" i="3" s="1"/>
  <c r="A6" i="3" a="1"/>
  <c r="A6" i="3" s="1"/>
  <c r="A5" i="3" a="1"/>
  <c r="A5" i="3" s="1"/>
  <c r="A3" i="3" a="1"/>
  <c r="A3" i="3" s="1"/>
  <c r="A2" i="3" a="1"/>
  <c r="A2" i="3" s="1"/>
  <c r="I15" i="2"/>
  <c r="A14" i="2"/>
  <c r="A13" i="2"/>
  <c r="AL10" i="2"/>
  <c r="A8" i="2"/>
  <c r="A7" i="2"/>
  <c r="E3" i="2"/>
  <c r="K11" i="1"/>
  <c r="K8" i="1"/>
  <c r="A13" i="3" s="1" a="1"/>
  <c r="A13" i="3" s="1"/>
  <c r="I7" i="1"/>
  <c r="A12" i="3" s="1" a="1"/>
  <c r="A12" i="3" s="1"/>
  <c r="A9" i="3" l="1" a="1"/>
  <c r="A9" i="3" s="1"/>
  <c r="A10" i="3" a="1"/>
  <c r="A10" i="3" s="1"/>
  <c r="D10" i="3" s="1"/>
  <c r="B2" i="3"/>
  <c r="D2" i="3"/>
  <c r="C2" i="3"/>
  <c r="C9" i="3"/>
  <c r="B9" i="3"/>
  <c r="D9" i="3"/>
  <c r="D3" i="3"/>
  <c r="C3" i="3"/>
  <c r="B3" i="3"/>
  <c r="D5" i="3"/>
  <c r="C5" i="3"/>
  <c r="B5" i="3"/>
  <c r="D6" i="3"/>
  <c r="C6" i="3"/>
  <c r="B6" i="3"/>
  <c r="C7" i="3"/>
  <c r="D7" i="3"/>
  <c r="B7" i="3"/>
  <c r="C8" i="3"/>
  <c r="B8" i="3"/>
  <c r="D8" i="3"/>
  <c r="C10" i="3"/>
  <c r="D12" i="3"/>
  <c r="C12" i="3"/>
  <c r="B12" i="3"/>
  <c r="D13" i="3"/>
  <c r="C13" i="3"/>
  <c r="B13" i="3"/>
  <c r="A14" i="3" a="1"/>
  <c r="A14" i="3" s="1"/>
  <c r="A15" i="3" a="1"/>
  <c r="A15" i="3" s="1"/>
  <c r="A11" i="3" a="1"/>
  <c r="A11" i="3" s="1"/>
  <c r="A1" i="3" a="1"/>
  <c r="A1" i="3" s="1"/>
  <c r="A4" i="3" a="1"/>
  <c r="A4" i="3" s="1"/>
  <c r="B10" i="3" l="1"/>
  <c r="D4" i="3"/>
  <c r="C4" i="3"/>
  <c r="B4" i="3"/>
  <c r="D15" i="3"/>
  <c r="C15" i="3"/>
  <c r="B15" i="3"/>
  <c r="B11" i="3"/>
  <c r="D11" i="3"/>
  <c r="C11" i="3"/>
  <c r="B1" i="3"/>
  <c r="C1" i="3"/>
  <c r="D1" i="3"/>
  <c r="B14" i="3"/>
  <c r="D14" i="3"/>
  <c r="C1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<sst xmlns="http://schemas.openxmlformats.org/spreadsheetml/2006/main" count="149" uniqueCount="89">
  <si>
    <t>Region</t>
  </si>
  <si>
    <t>Salesperson</t>
  </si>
  <si>
    <t>Quarter</t>
  </si>
  <si>
    <t>Product</t>
  </si>
  <si>
    <t>Units</t>
  </si>
  <si>
    <t>Revenue</t>
  </si>
  <si>
    <t>Date</t>
  </si>
  <si>
    <t>Contractor</t>
  </si>
  <si>
    <t>true</t>
  </si>
  <si>
    <t>East</t>
  </si>
  <si>
    <t>Alice</t>
  </si>
  <si>
    <t>Q1</t>
  </si>
  <si>
    <t>Widget</t>
  </si>
  <si>
    <t>a</t>
  </si>
  <si>
    <t>b</t>
  </si>
  <si>
    <t>West</t>
  </si>
  <si>
    <t>Bob</t>
  </si>
  <si>
    <t>Gadget</t>
  </si>
  <si>
    <t>Cara</t>
  </si>
  <si>
    <t>Q2</t>
  </si>
  <si>
    <t>A</t>
  </si>
  <si>
    <t>B</t>
  </si>
  <si>
    <t>South</t>
  </si>
  <si>
    <t>Dan</t>
  </si>
  <si>
    <t>Ella</t>
  </si>
  <si>
    <t>BB</t>
  </si>
  <si>
    <t>Frank</t>
  </si>
  <si>
    <t>Q3</t>
  </si>
  <si>
    <t>Gizmo</t>
  </si>
  <si>
    <t>balpha</t>
  </si>
  <si>
    <t>North</t>
  </si>
  <si>
    <t>Gina</t>
  </si>
  <si>
    <t>Hank</t>
  </si>
  <si>
    <t>Ivy</t>
  </si>
  <si>
    <t>Q4</t>
  </si>
  <si>
    <t>Jake</t>
  </si>
  <si>
    <t>One</t>
  </si>
  <si>
    <t>TRUE</t>
  </si>
  <si>
    <t>&lt;&gt;a</t>
  </si>
  <si>
    <t>aa</t>
  </si>
  <si>
    <t>1</t>
  </si>
  <si>
    <t>Аренда</t>
  </si>
  <si>
    <t>one</t>
  </si>
  <si>
    <t>Tree</t>
  </si>
  <si>
    <t>Height</t>
  </si>
  <si>
    <t>Age</t>
  </si>
  <si>
    <t>Yield</t>
  </si>
  <si>
    <t>Profit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</si>
  <si>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</si>
  <si>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</si>
  <si>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</si>
  <si>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</si>
  <si>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</si>
  <si>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</si>
  <si>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</si>
  <si>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</si>
  <si>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</si>
  <si>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</si>
  <si>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</si>
  <si>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</si>
  <si>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</si>
  <si>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</si>
  <si>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</si>
  <si>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</si>
  <si>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</si>
  <si>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</si>
  <si>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Чай</t>
  </si>
  <si>
    <t>thirteen</t>
  </si>
  <si>
    <t>Чаи</t>
  </si>
  <si>
    <t>3000</t>
  </si>
  <si>
    <t>Привет Мир</t>
  </si>
  <si>
    <t>1.5</t>
  </si>
  <si>
    <t>1,5</t>
  </si>
  <si>
    <t>DSUM#1</t>
  </si>
  <si>
    <t>DSUM#2</t>
  </si>
  <si>
    <t>DMIN#1</t>
  </si>
  <si>
    <t>DMAX#1</t>
  </si>
  <si>
    <t>DAVERAGE#1</t>
  </si>
  <si>
    <t>DVAR#1</t>
  </si>
  <si>
    <t>DSUM#3</t>
  </si>
  <si>
    <t>DSUM#4</t>
  </si>
  <si>
    <t>DSUM#5</t>
  </si>
  <si>
    <t>DCOUNTA#1</t>
  </si>
  <si>
    <t>DCOUNT#1</t>
  </si>
  <si>
    <t>DGET#1</t>
  </si>
  <si>
    <t>DCOUNTA#2</t>
  </si>
  <si>
    <t>DSTDEVP#1</t>
  </si>
  <si>
    <t>DPRODUCT#1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</si>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</sst>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workbookViewId="0"/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b">
        <v>1</v>
      </c>
      <c r="J1">
        <v>1</v>
      </c>
      <c r="K1" t="s">
        <v>8</v>
      </c>
    </row>
    <row r="2" spans="1:11" x14ac:dyDescent="0.2">
      <c r="A2" t="s">
        <v>9</v>
      </c>
      <c r="B2" t="s">
        <v>10</v>
      </c>
      <c r="C2" t="s">
        <v>11</v>
      </c>
      <c r="D2" t="s">
        <v>12</v>
      </c>
      <c r="E2">
        <v>120</v>
      </c>
      <c r="F2">
        <v>12000</v>
      </c>
      <c r="G2">
        <v>45306</v>
      </c>
      <c r="H2" t="b">
        <v>1</v>
      </c>
      <c r="I2" t="s">
        <v>13</v>
      </c>
      <c r="K2" t="s">
        <v>14</v>
      </c>
    </row>
    <row r="3" spans="1:11" x14ac:dyDescent="0.2">
      <c r="A3" t="s">
        <v>15</v>
      </c>
      <c r="B3" t="s">
        <v>16</v>
      </c>
      <c r="C3" t="s">
        <v>11</v>
      </c>
      <c r="D3" t="s">
        <v>17</v>
      </c>
      <c r="E3">
        <v>80</v>
      </c>
      <c r="F3">
        <v>9600</v>
      </c>
      <c r="G3">
        <v>45324</v>
      </c>
      <c r="H3" t="b">
        <v>0</v>
      </c>
      <c r="I3" t="s">
        <v>14</v>
      </c>
      <c r="J3" t="s">
        <v>14</v>
      </c>
      <c r="K3" t="s">
        <v>14</v>
      </c>
    </row>
    <row r="4" spans="1:11" x14ac:dyDescent="0.2">
      <c r="A4" t="s">
        <v>9</v>
      </c>
      <c r="B4" t="s">
        <v>18</v>
      </c>
      <c r="C4" t="s">
        <v>19</v>
      </c>
      <c r="D4" t="s">
        <v>12</v>
      </c>
      <c r="E4">
        <v>200</v>
      </c>
      <c r="F4">
        <v>20000</v>
      </c>
      <c r="G4">
        <v>45392</v>
      </c>
      <c r="H4" t="b">
        <v>1</v>
      </c>
      <c r="I4" t="s">
        <v>20</v>
      </c>
      <c r="J4" t="s">
        <v>21</v>
      </c>
      <c r="K4" t="s">
        <v>13</v>
      </c>
    </row>
    <row r="5" spans="1:11" x14ac:dyDescent="0.2">
      <c r="A5" t="s">
        <v>22</v>
      </c>
      <c r="B5" t="s">
        <v>23</v>
      </c>
      <c r="C5" t="s">
        <v>11</v>
      </c>
      <c r="D5" t="s">
        <v>12</v>
      </c>
      <c r="E5">
        <v>150</v>
      </c>
      <c r="F5">
        <v>15000</v>
      </c>
      <c r="G5">
        <v>45369</v>
      </c>
      <c r="H5" t="b">
        <v>1</v>
      </c>
      <c r="I5" t="s">
        <v>20</v>
      </c>
      <c r="K5" t="s">
        <v>13</v>
      </c>
    </row>
    <row r="6" spans="1:11" x14ac:dyDescent="0.2">
      <c r="A6" t="s">
        <v>15</v>
      </c>
      <c r="B6" t="s">
        <v>24</v>
      </c>
      <c r="C6" t="s">
        <v>19</v>
      </c>
      <c r="D6" t="s">
        <v>17</v>
      </c>
      <c r="E6">
        <v>50</v>
      </c>
      <c r="F6">
        <v>6000</v>
      </c>
      <c r="G6">
        <v>45434</v>
      </c>
      <c r="H6" t="b">
        <v>0</v>
      </c>
      <c r="I6" t="s">
        <v>13</v>
      </c>
      <c r="J6" t="s">
        <v>25</v>
      </c>
      <c r="K6">
        <v>12</v>
      </c>
    </row>
    <row r="7" spans="1:11" x14ac:dyDescent="0.2">
      <c r="A7" t="s">
        <v>9</v>
      </c>
      <c r="B7" t="s">
        <v>26</v>
      </c>
      <c r="C7" t="s">
        <v>27</v>
      </c>
      <c r="D7" t="s">
        <v>28</v>
      </c>
      <c r="E7">
        <v>300</v>
      </c>
      <c r="F7">
        <v>30000</v>
      </c>
      <c r="G7">
        <v>45481</v>
      </c>
      <c r="H7" t="b">
        <v>1</v>
      </c>
      <c r="I7" t="e">
        <f>NA()</f>
        <v>#N/A</v>
      </c>
      <c r="J7" t="s">
        <v>29</v>
      </c>
      <c r="K7">
        <v>1</v>
      </c>
    </row>
    <row r="8" spans="1:11" x14ac:dyDescent="0.2">
      <c r="A8" t="s">
        <v>30</v>
      </c>
      <c r="B8" t="s">
        <v>31</v>
      </c>
      <c r="C8" t="s">
        <v>27</v>
      </c>
      <c r="D8" t="s">
        <v>12</v>
      </c>
      <c r="E8">
        <v>100</v>
      </c>
      <c r="F8">
        <v>11000</v>
      </c>
      <c r="G8">
        <v>45503</v>
      </c>
      <c r="H8" t="b">
        <v>0</v>
      </c>
      <c r="I8" t="s">
        <v>14</v>
      </c>
      <c r="K8" t="e">
        <f>NA()</f>
        <v>#N/A</v>
      </c>
    </row>
    <row r="9" spans="1:11" x14ac:dyDescent="0.2">
      <c r="A9" t="s">
        <v>15</v>
      </c>
      <c r="B9" t="s">
        <v>32</v>
      </c>
      <c r="C9" t="s">
        <v>27</v>
      </c>
      <c r="D9" t="s">
        <v>12</v>
      </c>
      <c r="E9">
        <v>400</v>
      </c>
      <c r="F9">
        <v>38000</v>
      </c>
      <c r="G9">
        <v>45515</v>
      </c>
      <c r="H9" t="b">
        <v>0</v>
      </c>
      <c r="I9">
        <v>23</v>
      </c>
      <c r="K9" t="s">
        <v>14</v>
      </c>
    </row>
    <row r="10" spans="1:11" x14ac:dyDescent="0.2">
      <c r="A10" t="s">
        <v>9</v>
      </c>
      <c r="B10" t="s">
        <v>33</v>
      </c>
      <c r="C10" t="s">
        <v>34</v>
      </c>
      <c r="D10" t="s">
        <v>17</v>
      </c>
      <c r="E10">
        <v>250</v>
      </c>
      <c r="F10">
        <v>24000</v>
      </c>
      <c r="G10">
        <v>45571</v>
      </c>
      <c r="H10" t="b">
        <v>1</v>
      </c>
      <c r="I10">
        <v>455</v>
      </c>
      <c r="J10">
        <v>23</v>
      </c>
      <c r="K10" t="s">
        <v>20</v>
      </c>
    </row>
    <row r="11" spans="1:11" x14ac:dyDescent="0.2">
      <c r="A11" t="s">
        <v>22</v>
      </c>
      <c r="B11" t="s">
        <v>35</v>
      </c>
      <c r="C11" t="s">
        <v>34</v>
      </c>
      <c r="D11" t="s">
        <v>12</v>
      </c>
      <c r="E11">
        <v>200</v>
      </c>
      <c r="F11">
        <v>19800</v>
      </c>
      <c r="G11">
        <v>45621</v>
      </c>
      <c r="H11" t="b">
        <v>1</v>
      </c>
      <c r="I11">
        <v>2</v>
      </c>
      <c r="K11" t="e">
        <f>1/0</f>
        <v>#DIV/0!</v>
      </c>
    </row>
    <row r="23" spans="9:13" x14ac:dyDescent="0.2">
      <c r="I23">
        <v>29</v>
      </c>
      <c r="J23">
        <v>30</v>
      </c>
      <c r="K23">
        <v>31</v>
      </c>
      <c r="L23">
        <v>32</v>
      </c>
    </row>
    <row r="24" spans="9:13" x14ac:dyDescent="0.2">
      <c r="I24" t="b">
        <v>1</v>
      </c>
      <c r="J24" t="s">
        <v>8</v>
      </c>
      <c r="K24">
        <v>1</v>
      </c>
      <c r="L24" t="s">
        <v>36</v>
      </c>
      <c r="M24" t="s">
        <v>37</v>
      </c>
    </row>
    <row r="25" spans="9:13" x14ac:dyDescent="0.2">
      <c r="I25" t="s">
        <v>13</v>
      </c>
      <c r="J25" t="s">
        <v>38</v>
      </c>
      <c r="K25" t="s">
        <v>14</v>
      </c>
      <c r="L25" t="s">
        <v>39</v>
      </c>
      <c r="M25" t="s">
        <v>13</v>
      </c>
    </row>
    <row r="27" spans="9:13" x14ac:dyDescent="0.2">
      <c r="M27" t="s">
        <v>40</v>
      </c>
    </row>
    <row r="28" spans="9:13" x14ac:dyDescent="0.2">
      <c r="M28" t="s">
        <v>14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41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42</v>
      </c>
      <c r="N1">
        <v>10</v>
      </c>
      <c r="P1">
        <v>1</v>
      </c>
      <c r="Q1">
        <v>2</v>
      </c>
      <c r="R1">
        <v>5</v>
      </c>
      <c r="S1">
        <v>6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AA1" t="s">
        <v>43</v>
      </c>
      <c r="AB1" t="s">
        <v>44</v>
      </c>
      <c r="AC1" t="s">
        <v>43</v>
      </c>
      <c r="AD1" t="s">
        <v>43</v>
      </c>
      <c r="AE1" t="s">
        <v>43</v>
      </c>
      <c r="AF1" t="s">
        <v>43</v>
      </c>
      <c r="AG1" t="s">
        <v>43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13</v>
      </c>
    </row>
    <row r="2" spans="1:60" x14ac:dyDescent="0.2">
      <c r="A2" t="s">
        <v>48</v>
      </c>
      <c r="B2">
        <v>8</v>
      </c>
      <c r="C2">
        <v>7</v>
      </c>
      <c r="D2" t="s">
        <v>48</v>
      </c>
      <c r="E2">
        <v>2</v>
      </c>
      <c r="F2" t="s">
        <v>49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50</v>
      </c>
      <c r="N2">
        <v>20</v>
      </c>
      <c r="P2">
        <v>3</v>
      </c>
      <c r="Q2">
        <v>4</v>
      </c>
      <c r="R2">
        <v>7</v>
      </c>
      <c r="S2">
        <v>8</v>
      </c>
      <c r="U2" t="s">
        <v>51</v>
      </c>
      <c r="V2">
        <v>18</v>
      </c>
      <c r="W2">
        <v>20</v>
      </c>
      <c r="X2">
        <v>14</v>
      </c>
      <c r="Y2">
        <v>105</v>
      </c>
      <c r="AA2" t="s">
        <v>51</v>
      </c>
      <c r="AB2" t="s">
        <v>52</v>
      </c>
      <c r="AC2" t="s">
        <v>53</v>
      </c>
      <c r="AD2" t="s">
        <v>54</v>
      </c>
      <c r="AE2" t="s">
        <v>55</v>
      </c>
      <c r="AF2" t="s">
        <v>56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57</v>
      </c>
      <c r="B3">
        <v>15</v>
      </c>
      <c r="C3">
        <v>11</v>
      </c>
      <c r="D3" t="s">
        <v>57</v>
      </c>
      <c r="E3" t="e">
        <f>1/0</f>
        <v>#DIV/0!</v>
      </c>
      <c r="F3" t="s">
        <v>58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59</v>
      </c>
      <c r="N3">
        <v>30</v>
      </c>
      <c r="U3" t="s">
        <v>53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57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60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61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62</v>
      </c>
      <c r="N4">
        <v>50</v>
      </c>
      <c r="P4">
        <v>1</v>
      </c>
      <c r="Q4">
        <v>2</v>
      </c>
      <c r="R4">
        <v>3</v>
      </c>
      <c r="U4" t="s">
        <v>55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13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63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64</v>
      </c>
      <c r="N5">
        <v>80</v>
      </c>
      <c r="P5">
        <v>4</v>
      </c>
      <c r="Q5">
        <v>5</v>
      </c>
      <c r="R5">
        <v>6</v>
      </c>
      <c r="U5" t="s">
        <v>51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65</v>
      </c>
      <c r="AP5" s="1">
        <v>39786</v>
      </c>
      <c r="AS5" t="s">
        <v>20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66</v>
      </c>
      <c r="G6">
        <v>32</v>
      </c>
      <c r="H6" s="1">
        <v>45473</v>
      </c>
      <c r="L6">
        <v>13</v>
      </c>
      <c r="M6" t="s">
        <v>67</v>
      </c>
      <c r="N6">
        <v>130</v>
      </c>
      <c r="U6" t="s">
        <v>53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68</v>
      </c>
      <c r="G7">
        <v>64</v>
      </c>
      <c r="H7" s="1">
        <v>46022</v>
      </c>
      <c r="I7">
        <v>-10000</v>
      </c>
      <c r="J7">
        <v>100</v>
      </c>
      <c r="U7" t="s">
        <v>51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69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14</v>
      </c>
      <c r="AU8" s="1">
        <v>39448</v>
      </c>
      <c r="BG8">
        <v>2</v>
      </c>
    </row>
    <row r="9" spans="1:60" x14ac:dyDescent="0.2">
      <c r="A9" t="s">
        <v>70</v>
      </c>
      <c r="I9">
        <v>4200</v>
      </c>
      <c r="J9">
        <v>300</v>
      </c>
      <c r="L9" t="s">
        <v>42</v>
      </c>
      <c r="M9" t="s">
        <v>50</v>
      </c>
      <c r="N9" t="s">
        <v>59</v>
      </c>
      <c r="O9" t="s">
        <v>62</v>
      </c>
      <c r="P9" t="s">
        <v>64</v>
      </c>
      <c r="Q9" t="s">
        <v>67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71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72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DSUM(Db!A1:K11,"Revenue",Db!I24:I25)</f>
        <v>53000</v>
      </c>
      <c r="B1">
        <f t="shared" ref="B1:B15" si="0">IF(ISERROR(A1),ERROR.TYPE(A1),IF(ISNUMBER(A1),0,IF(ISLOGICAL(A1),IF(A1,-1,-2),IF(ISTEXT(A1),-3,-4))))</f>
        <v>0</v>
      </c>
      <c r="C1">
        <f t="shared" ref="C1:C15" si="1">IF(ISNUMBER(A1),A1,0)</f>
        <v>53000</v>
      </c>
      <c r="D1" t="str">
        <f t="shared" ref="D1:D15" si="2">IF(ISTEXT(A1),A1,"")</f>
        <v/>
      </c>
      <c r="E1" t="s">
        <v>73</v>
      </c>
    </row>
    <row r="2" spans="1:5" x14ac:dyDescent="0.2">
      <c r="A2" cm="1">
        <f t="array" ref="A2">DSUM(Db!A1:K11,"Revenue",Db!J24:J25)</f>
        <v>132400</v>
      </c>
      <c r="B2">
        <f t="shared" si="0"/>
        <v>0</v>
      </c>
      <c r="C2">
        <f t="shared" si="1"/>
        <v>132400</v>
      </c>
      <c r="D2" t="str">
        <f t="shared" si="2"/>
        <v/>
      </c>
      <c r="E2" t="s">
        <v>74</v>
      </c>
    </row>
    <row r="3" spans="1:5" x14ac:dyDescent="0.2">
      <c r="A3" cm="1">
        <f t="array" ref="A3">DMIN(Db!A1:K11,"Revenue",Db!I24:I25)</f>
        <v>6000</v>
      </c>
      <c r="B3">
        <f t="shared" si="0"/>
        <v>0</v>
      </c>
      <c r="C3">
        <f t="shared" si="1"/>
        <v>6000</v>
      </c>
      <c r="D3" t="str">
        <f t="shared" si="2"/>
        <v/>
      </c>
      <c r="E3" t="s">
        <v>75</v>
      </c>
    </row>
    <row r="4" spans="1:5" x14ac:dyDescent="0.2">
      <c r="A4" cm="1">
        <f t="array" ref="A4">DMAX(Db!A1:K11,"Revenue",Db!I24:I25)</f>
        <v>20000</v>
      </c>
      <c r="B4">
        <f t="shared" si="0"/>
        <v>0</v>
      </c>
      <c r="C4">
        <f t="shared" si="1"/>
        <v>20000</v>
      </c>
      <c r="D4" t="str">
        <f t="shared" si="2"/>
        <v/>
      </c>
      <c r="E4" t="s">
        <v>76</v>
      </c>
    </row>
    <row r="5" spans="1:5" x14ac:dyDescent="0.2">
      <c r="A5" cm="1">
        <f t="array" ref="A5">DAVERAGE(Db!A1:K11,"Revenue",Db!J24:J25)</f>
        <v>22066.666666666668</v>
      </c>
      <c r="B5">
        <f t="shared" si="0"/>
        <v>0</v>
      </c>
      <c r="C5">
        <f t="shared" si="1"/>
        <v>22066.666666666668</v>
      </c>
      <c r="D5" t="str">
        <f t="shared" si="2"/>
        <v/>
      </c>
      <c r="E5" t="s">
        <v>77</v>
      </c>
    </row>
    <row r="6" spans="1:5" x14ac:dyDescent="0.2">
      <c r="A6" cm="1">
        <f t="array" ref="A6">DVAR(Db!A1:K11,"Revenue",Db!I24:I25)</f>
        <v>34250000</v>
      </c>
      <c r="B6">
        <f t="shared" si="0"/>
        <v>0</v>
      </c>
      <c r="C6">
        <f t="shared" si="1"/>
        <v>34250000</v>
      </c>
      <c r="D6" t="str">
        <f t="shared" si="2"/>
        <v/>
      </c>
      <c r="E6" t="s">
        <v>78</v>
      </c>
    </row>
    <row r="7" spans="1:5" x14ac:dyDescent="0.2">
      <c r="A7" cm="1">
        <f t="array" ref="A7">DSUM(Db!A1:K11,"Revenue",Db!K24:K25)</f>
        <v>65600</v>
      </c>
      <c r="B7">
        <f t="shared" si="0"/>
        <v>0</v>
      </c>
      <c r="C7">
        <f t="shared" si="1"/>
        <v>65600</v>
      </c>
      <c r="D7" t="str">
        <f t="shared" si="2"/>
        <v/>
      </c>
      <c r="E7" t="s">
        <v>79</v>
      </c>
    </row>
    <row r="8" spans="1:5" x14ac:dyDescent="0.2">
      <c r="A8" cm="1">
        <f t="array" ref="A8">DSUM(Db!A1:K11,"Revenue",Db!M27:M28)</f>
        <v>65600</v>
      </c>
      <c r="B8">
        <f t="shared" si="0"/>
        <v>0</v>
      </c>
      <c r="C8">
        <f t="shared" si="1"/>
        <v>65600</v>
      </c>
      <c r="D8" t="str">
        <f t="shared" si="2"/>
        <v/>
      </c>
      <c r="E8" t="s">
        <v>80</v>
      </c>
    </row>
    <row r="9" spans="1:5" x14ac:dyDescent="0.2">
      <c r="A9" cm="1">
        <f t="array" ref="A9">DSUM(Db!A1:K11,"Revenue",Db!M24:M25)</f>
        <v>53000</v>
      </c>
      <c r="B9">
        <f t="shared" si="0"/>
        <v>0</v>
      </c>
      <c r="C9">
        <f t="shared" si="1"/>
        <v>53000</v>
      </c>
      <c r="D9" t="str">
        <f t="shared" si="2"/>
        <v/>
      </c>
      <c r="E9" t="s">
        <v>81</v>
      </c>
    </row>
    <row r="10" spans="1:5" x14ac:dyDescent="0.2">
      <c r="A10" cm="1">
        <f t="array" ref="A10">DCOUNTA(Db!A1:K11,"TRUE",Db!K24:K25)</f>
        <v>4</v>
      </c>
      <c r="B10">
        <f t="shared" si="0"/>
        <v>0</v>
      </c>
      <c r="C10">
        <f t="shared" si="1"/>
        <v>4</v>
      </c>
      <c r="D10" t="str">
        <f t="shared" si="2"/>
        <v/>
      </c>
      <c r="E10" t="s">
        <v>82</v>
      </c>
    </row>
    <row r="11" spans="1:5" x14ac:dyDescent="0.2">
      <c r="A11" cm="1">
        <f t="array" ref="A11">DCOUNT(Db!A1:K11,"Units",Db!J24:J25)</f>
        <v>6</v>
      </c>
      <c r="B11">
        <f t="shared" si="0"/>
        <v>0</v>
      </c>
      <c r="C11">
        <f t="shared" si="1"/>
        <v>6</v>
      </c>
      <c r="D11" t="str">
        <f t="shared" si="2"/>
        <v/>
      </c>
      <c r="E11" t="s">
        <v>83</v>
      </c>
    </row>
    <row r="12" spans="1:5" x14ac:dyDescent="0.2">
      <c r="A12" t="e" cm="1">
        <f t="array" ref="A12">DGET(Db!A1:K11,"Salesperson",Db!I24:I25)</f>
        <v>#NUM!</v>
      </c>
      <c r="B12">
        <f t="shared" si="0"/>
        <v>6</v>
      </c>
      <c r="C12">
        <f t="shared" si="1"/>
        <v>0</v>
      </c>
      <c r="D12" t="str">
        <f t="shared" si="2"/>
        <v/>
      </c>
      <c r="E12" t="s">
        <v>84</v>
      </c>
    </row>
    <row r="13" spans="1:5" x14ac:dyDescent="0.2">
      <c r="A13" cm="1">
        <f t="array" ref="A13">DCOUNTA(Db!J1:K11,2,Db!I24:I25)</f>
        <v>3</v>
      </c>
      <c r="B13">
        <f t="shared" si="0"/>
        <v>0</v>
      </c>
      <c r="C13">
        <f t="shared" si="1"/>
        <v>3</v>
      </c>
      <c r="D13" t="str">
        <f t="shared" si="2"/>
        <v/>
      </c>
      <c r="E13" t="s">
        <v>85</v>
      </c>
    </row>
    <row r="14" spans="1:5" x14ac:dyDescent="0.2">
      <c r="A14" cm="1">
        <f t="array" ref="A14">DSTDEVP(Db!A1:K11,"Revenue",Db!J24:J25)</f>
        <v>10029.7335735081</v>
      </c>
      <c r="B14">
        <f t="shared" si="0"/>
        <v>0</v>
      </c>
      <c r="C14">
        <f t="shared" si="1"/>
        <v>10029.7335735081</v>
      </c>
      <c r="D14" t="str">
        <f t="shared" si="2"/>
        <v/>
      </c>
      <c r="E14" t="s">
        <v>86</v>
      </c>
    </row>
    <row r="15" spans="1:5" x14ac:dyDescent="0.2">
      <c r="A15" cm="1">
        <f t="array" ref="A15">DPRODUCT(Db!A1:K11,"Units",Db!I24:I25)</f>
        <v>180000000</v>
      </c>
      <c r="B15">
        <f t="shared" si="0"/>
        <v>0</v>
      </c>
      <c r="C15">
        <f t="shared" si="1"/>
        <v>180000000</v>
      </c>
      <c r="D15" t="str">
        <f t="shared" si="2"/>
        <v/>
      </c>
      <c r="E15" t="s">
        <v>87</v>
      </c>
    </row>
    <row r="16" spans="1:5" x14ac:dyDescent="0.2">
      <c r="A16" t="s">
        <v>88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Db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2026-10-17T13:08:42Z</dcterms:created>
  <dcterms:modified xsi:type="dcterms:W3CDTF">2026-10-17T13:08:43Z</dcterms:modified>
  <cp:category/>
</cp:coreProperties>
</file>