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041E5E7A-51D7-274C-8490-B24EDCE19F2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Xb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3" l="1" a="1"/>
  <c r="A17" i="3" s="1"/>
  <c r="A16" i="3" a="1"/>
  <c r="A16" i="3" s="1"/>
  <c r="A15" i="3" a="1"/>
  <c r="A15" i="3"/>
  <c r="D15" i="3" s="1"/>
  <c r="A14" i="3" a="1"/>
  <c r="A14" i="3" s="1"/>
  <c r="A13" i="3" a="1"/>
  <c r="A13" i="3" s="1"/>
  <c r="D13" i="3" s="1"/>
  <c r="A12" i="3" a="1"/>
  <c r="A12" i="3" s="1"/>
  <c r="A11" i="3" a="1"/>
  <c r="A11" i="3" s="1"/>
  <c r="B11" i="3" s="1"/>
  <c r="A10" i="3" a="1"/>
  <c r="A10" i="3" s="1"/>
  <c r="A9" i="3" a="1"/>
  <c r="A9" i="3"/>
  <c r="D9" i="3" s="1"/>
  <c r="A8" i="3" a="1"/>
  <c r="A8" i="3" s="1"/>
  <c r="D8" i="3" s="1"/>
  <c r="A7" i="3" a="1"/>
  <c r="A7" i="3" s="1"/>
  <c r="A6" i="3" a="1"/>
  <c r="A6" i="3" s="1"/>
  <c r="D6" i="3" s="1"/>
  <c r="A5" i="3" a="1"/>
  <c r="A5" i="3" s="1"/>
  <c r="B5" i="3" s="1"/>
  <c r="A4" i="3" a="1"/>
  <c r="A4" i="3"/>
  <c r="C4" i="3" s="1"/>
  <c r="A3" i="3" a="1"/>
  <c r="A3" i="3" s="1"/>
  <c r="A2" i="3" a="1"/>
  <c r="A2" i="3"/>
  <c r="D2" i="3" s="1"/>
  <c r="A1" i="3" a="1"/>
  <c r="A1" i="3"/>
  <c r="D1" i="3" s="1"/>
  <c r="I15" i="2"/>
  <c r="A14" i="2"/>
  <c r="A13" i="2"/>
  <c r="AL10" i="2"/>
  <c r="A8" i="2"/>
  <c r="A7" i="2"/>
  <c r="E3" i="2"/>
  <c r="B3" i="3" l="1"/>
  <c r="D3" i="3"/>
  <c r="C3" i="3"/>
  <c r="B16" i="3"/>
  <c r="D16" i="3"/>
  <c r="D7" i="3"/>
  <c r="C7" i="3"/>
  <c r="B7" i="3"/>
  <c r="C10" i="3"/>
  <c r="B10" i="3"/>
  <c r="D10" i="3"/>
  <c r="C12" i="3"/>
  <c r="D12" i="3"/>
  <c r="B12" i="3"/>
  <c r="D14" i="3"/>
  <c r="C14" i="3"/>
  <c r="B14" i="3"/>
  <c r="D17" i="3"/>
  <c r="C17" i="3"/>
  <c r="B17" i="3"/>
  <c r="C16" i="3"/>
  <c r="B4" i="3"/>
  <c r="C11" i="3"/>
  <c r="D11" i="3"/>
  <c r="D4" i="3"/>
  <c r="B8" i="3"/>
  <c r="C15" i="3"/>
  <c r="B1" i="3"/>
  <c r="C8" i="3"/>
  <c r="C5" i="3"/>
  <c r="D5" i="3"/>
  <c r="B9" i="3"/>
  <c r="B2" i="3"/>
  <c r="C9" i="3"/>
  <c r="C2" i="3"/>
  <c r="B13" i="3"/>
  <c r="B6" i="3"/>
  <c r="C13" i="3"/>
  <c r="C6" i="3"/>
  <c r="B15" i="3"/>
  <c r="C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<sst xmlns="http://schemas.openxmlformats.org/spreadsheetml/2006/main" count="76" uniqueCount="53">
  <si>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</si>
  <si>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</si>
  <si>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</si>
  <si>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</si>
  <si>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</si>
  <si>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</si>
  <si>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</si>
  <si>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</si>
  <si>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</si>
  <si>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</si>
  <si>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</si>
  <si>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</si>
  <si>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</si>
  <si>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</si>
  <si>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</si>
  <si>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</si>
  <si>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</si>
  <si>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</si>
  <si>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</si>
  <si>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</si>
  <si>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</si>
  <si>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</si>
  <si>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</si>
  <si>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</si>
  <si>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</si>
  <si>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</si>
  <si>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</si>
  <si>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</si>
  <si>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</si>
  <si>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</si>
  <si>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</si>
  <si>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</si>
  <si>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</si>
  <si>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</si>
  <si>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</si>
  <si>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FV#1</t>
  </si>
  <si>
    <t>PV#1</t>
  </si>
  <si>
    <t>FV#2</t>
  </si>
  <si>
    <t>FV#3</t>
  </si>
  <si>
    <t>FV#4</t>
  </si>
  <si>
    <t>PV#2</t>
  </si>
  <si>
    <t>FV#5</t>
  </si>
  <si>
    <t>XNPV#1</t>
  </si>
  <si>
    <t>XNPV#2</t>
  </si>
  <si>
    <t>XNPV#3</t>
  </si>
  <si>
    <t>XNPV#4</t>
  </si>
  <si>
    <t>XNPV#5</t>
  </si>
  <si>
    <t>MIRR#1</t>
  </si>
  <si>
    <t>MIRR#2</t>
  </si>
  <si>
    <t>MIRR#3</t>
  </si>
  <si>
    <t>MIRR#4</t>
  </si>
  <si>
    <t>IRR#1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</si>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</sst>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sheetData>
    <row r="1" spans="1:4" x14ac:dyDescent="0.2">
      <c r="B1">
        <v>45292</v>
      </c>
      <c r="C1">
        <v>-100</v>
      </c>
    </row>
    <row r="2" spans="1:4" x14ac:dyDescent="0.2">
      <c r="A2">
        <v>-100</v>
      </c>
      <c r="B2">
        <v>45323</v>
      </c>
      <c r="C2">
        <v>50</v>
      </c>
      <c r="D2">
        <v>45323</v>
      </c>
    </row>
    <row r="3" spans="1:4" x14ac:dyDescent="0.2">
      <c r="A3">
        <v>50</v>
      </c>
      <c r="B3">
        <v>45352</v>
      </c>
      <c r="C3">
        <v>60</v>
      </c>
      <c r="D3">
        <v>45352</v>
      </c>
    </row>
    <row r="4" spans="1:4" x14ac:dyDescent="0.2">
      <c r="A4">
        <v>60</v>
      </c>
      <c r="D4">
        <v>45383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FV(-1,0,1,5)</f>
        <v>#NUM!</v>
      </c>
      <c r="B1">
        <f t="shared" ref="B1:B17" si="0">IF(ISERROR(A1),ERROR.TYPE(A1),IF(ISNUMBER(A1),0,IF(ISLOGICAL(A1),IF(A1,-1,-2),IF(ISTEXT(A1),-3,-4))))</f>
        <v>6</v>
      </c>
      <c r="C1">
        <f t="shared" ref="C1:C17" si="1">IF(ISNUMBER(A1),A1,0)</f>
        <v>0</v>
      </c>
      <c r="D1" t="str">
        <f t="shared" ref="D1:D17" si="2">IF(ISTEXT(A1),A1,"")</f>
        <v/>
      </c>
      <c r="E1" t="s">
        <v>35</v>
      </c>
    </row>
    <row r="2" spans="1:5" x14ac:dyDescent="0.2">
      <c r="A2" t="e" cm="1">
        <f t="array" ref="A2">PV(-1,0,1)</f>
        <v>#NUM!</v>
      </c>
      <c r="B2">
        <f t="shared" si="0"/>
        <v>6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FV(-1,-0.5,1)</f>
        <v>#DIV/0!</v>
      </c>
      <c r="B3">
        <f t="shared" si="0"/>
        <v>2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FV(-2,0.5,1)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FV(-9,1/3,1)</f>
        <v>-0.33333333333333331</v>
      </c>
      <c r="B5">
        <f t="shared" si="0"/>
        <v>0</v>
      </c>
      <c r="C5">
        <f t="shared" si="1"/>
        <v>-0.33333333333333331</v>
      </c>
      <c r="D5" t="str">
        <f t="shared" si="2"/>
        <v/>
      </c>
      <c r="E5" t="s">
        <v>39</v>
      </c>
    </row>
    <row r="6" spans="1:5" x14ac:dyDescent="0.2">
      <c r="A6" cm="1">
        <f t="array" ref="A6">PV(-2,1/3,1)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40</v>
      </c>
    </row>
    <row r="7" spans="1:5" x14ac:dyDescent="0.2">
      <c r="A7" cm="1">
        <f t="array" ref="A7">FV(-0.5,0,1,5)</f>
        <v>-5</v>
      </c>
      <c r="B7">
        <f t="shared" si="0"/>
        <v>0</v>
      </c>
      <c r="C7">
        <f t="shared" si="1"/>
        <v>-5</v>
      </c>
      <c r="D7" t="str">
        <f t="shared" si="2"/>
        <v/>
      </c>
      <c r="E7" t="s">
        <v>41</v>
      </c>
    </row>
    <row r="8" spans="1:5" x14ac:dyDescent="0.2">
      <c r="A8" t="e" cm="1">
        <f t="array" ref="A8">XNPV(0.1,Xb!A1:A3,Xb!B1:B3)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XNPV(0.1,Xb!C1:C3,Xb!D1:D3)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XNPV(0.1,Xb!A2:A4,Xb!B2:B4)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XNPV(0.1,Xb!C2:C4,Xb!D2:D4)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XNPV(0.1,Xb!A1:A4,Xb!D1:D4)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MIRR({5},0.1,0.1)</f>
        <v>#DIV/0!</v>
      </c>
      <c r="B13">
        <f t="shared" si="0"/>
        <v>2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MIRR({-5},0.1,0.1)</f>
        <v>#DIV/0!</v>
      </c>
      <c r="B14">
        <f t="shared" si="0"/>
        <v>2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MIRR({-5,0},0.1,0.1)</f>
        <v>-1</v>
      </c>
      <c r="B15">
        <f t="shared" si="0"/>
        <v>0</v>
      </c>
      <c r="C15">
        <f t="shared" si="1"/>
        <v>-1</v>
      </c>
      <c r="D15" t="str">
        <f t="shared" si="2"/>
        <v/>
      </c>
      <c r="E15" t="s">
        <v>49</v>
      </c>
    </row>
    <row r="16" spans="1:5" x14ac:dyDescent="0.2">
      <c r="A16" cm="1">
        <f t="array" ref="A16">MIRR({0,-5},0.1,0.1)</f>
        <v>-1</v>
      </c>
      <c r="B16">
        <f t="shared" si="0"/>
        <v>0</v>
      </c>
      <c r="C16">
        <f t="shared" si="1"/>
        <v>-1</v>
      </c>
      <c r="D16" t="str">
        <f t="shared" si="2"/>
        <v/>
      </c>
      <c r="E16" t="s">
        <v>50</v>
      </c>
    </row>
    <row r="17" spans="1:5" x14ac:dyDescent="0.2">
      <c r="A17" t="e" cm="1">
        <f t="array" ref="A17">IRR({-100,110},-1)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Xb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2026-10-17T14:08:46Z</dcterms:created>
  <dcterms:modified xsi:type="dcterms:W3CDTF">2026-10-17T14:08:47Z</dcterms:modified>
  <cp:category/>
</cp:coreProperties>
</file>