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92164286-E825-844F-87FE-5BD8DBAE056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R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A397" i="3" a="1"/>
  <c r="A397" i="3" s="1"/>
  <c r="A396" i="3" a="1"/>
  <c r="A396" i="3" s="1"/>
  <c r="A395" i="3" a="1"/>
  <c r="A395" i="3"/>
  <c r="D395" i="3" s="1"/>
  <c r="A394" i="3" a="1"/>
  <c r="A394" i="3" s="1"/>
  <c r="A393" i="3" a="1"/>
  <c r="A393" i="3" s="1"/>
  <c r="A392" i="3" a="1"/>
  <c r="A392" i="3" s="1"/>
  <c r="A391" i="3" a="1"/>
  <c r="A391" i="3" s="1"/>
  <c r="D391" i="3" s="1"/>
  <c r="A390" i="3" a="1"/>
  <c r="A390" i="3" s="1"/>
  <c r="A388" i="3" a="1"/>
  <c r="A388" i="3" s="1"/>
  <c r="A387" i="3" a="1"/>
  <c r="A387" i="3" s="1"/>
  <c r="D387" i="3" s="1"/>
  <c r="A386" i="3" a="1"/>
  <c r="A386" i="3" s="1"/>
  <c r="A385" i="3" a="1"/>
  <c r="A385" i="3" s="1"/>
  <c r="A384" i="3" a="1"/>
  <c r="A384" i="3" s="1"/>
  <c r="A383" i="3" a="1"/>
  <c r="A383" i="3" s="1"/>
  <c r="A382" i="3" a="1"/>
  <c r="A382" i="3" s="1"/>
  <c r="A381" i="3" a="1"/>
  <c r="A381" i="3" s="1"/>
  <c r="A380" i="3" a="1"/>
  <c r="A380" i="3" s="1"/>
  <c r="D380" i="3" s="1"/>
  <c r="A379" i="3" a="1"/>
  <c r="A379" i="3" s="1"/>
  <c r="A378" i="3" a="1"/>
  <c r="A378" i="3" s="1"/>
  <c r="A377" i="3" a="1"/>
  <c r="A377" i="3" s="1"/>
  <c r="D377" i="3" s="1"/>
  <c r="A376" i="3" a="1"/>
  <c r="A376" i="3" s="1"/>
  <c r="A375" i="3" a="1"/>
  <c r="A375" i="3" s="1"/>
  <c r="A374" i="3" a="1"/>
  <c r="A374" i="3" s="1"/>
  <c r="B373" i="3"/>
  <c r="A373" i="3" a="1"/>
  <c r="A373" i="3"/>
  <c r="D373" i="3" s="1"/>
  <c r="A372" i="3" a="1"/>
  <c r="A372" i="3" s="1"/>
  <c r="A371" i="3" a="1"/>
  <c r="A371" i="3" s="1"/>
  <c r="D371" i="3" s="1"/>
  <c r="A370" i="3" a="1"/>
  <c r="A370" i="3" s="1"/>
  <c r="A369" i="3" a="1"/>
  <c r="A369" i="3" s="1"/>
  <c r="D369" i="3" s="1"/>
  <c r="A368" i="3" a="1"/>
  <c r="A368" i="3" s="1"/>
  <c r="A367" i="3" a="1"/>
  <c r="A367" i="3" s="1"/>
  <c r="A366" i="3" a="1"/>
  <c r="A366" i="3" s="1"/>
  <c r="A365" i="3" a="1"/>
  <c r="A365" i="3"/>
  <c r="D365" i="3" s="1"/>
  <c r="A364" i="3" a="1"/>
  <c r="A364" i="3" s="1"/>
  <c r="A363" i="3" a="1"/>
  <c r="A363" i="3" s="1"/>
  <c r="A362" i="3" a="1"/>
  <c r="A362" i="3" s="1"/>
  <c r="A361" i="3" a="1"/>
  <c r="A361" i="3" s="1"/>
  <c r="A360" i="3" a="1"/>
  <c r="A360" i="3" s="1"/>
  <c r="A359" i="3" a="1"/>
  <c r="A359" i="3" s="1"/>
  <c r="A358" i="3" a="1"/>
  <c r="A358" i="3" s="1"/>
  <c r="A357" i="3" a="1"/>
  <c r="A357" i="3" s="1"/>
  <c r="A356" i="3" a="1"/>
  <c r="A356" i="3" s="1"/>
  <c r="A355" i="3" a="1"/>
  <c r="A355" i="3" s="1"/>
  <c r="A354" i="3" a="1"/>
  <c r="A354" i="3" s="1"/>
  <c r="A353" i="3" a="1"/>
  <c r="A353" i="3" s="1"/>
  <c r="A352" i="3" a="1"/>
  <c r="A352" i="3" s="1"/>
  <c r="A351" i="3" a="1"/>
  <c r="A351" i="3" s="1"/>
  <c r="A350" i="3" a="1"/>
  <c r="A350" i="3"/>
  <c r="A349" i="3" a="1"/>
  <c r="A349" i="3" s="1"/>
  <c r="A348" i="3" a="1"/>
  <c r="A348" i="3" s="1"/>
  <c r="A347" i="3" a="1"/>
  <c r="A347" i="3"/>
  <c r="D347" i="3" s="1"/>
  <c r="B346" i="3"/>
  <c r="A346" i="3" a="1"/>
  <c r="A346" i="3" s="1"/>
  <c r="A345" i="3" a="1"/>
  <c r="A345" i="3" s="1"/>
  <c r="A344" i="3" a="1"/>
  <c r="A344" i="3" s="1"/>
  <c r="A343" i="3" a="1"/>
  <c r="A343" i="3" s="1"/>
  <c r="A342" i="3" a="1"/>
  <c r="A342" i="3" s="1"/>
  <c r="A341" i="3" a="1"/>
  <c r="A341" i="3" s="1"/>
  <c r="D341" i="3" s="1"/>
  <c r="A340" i="3" a="1"/>
  <c r="A340" i="3" s="1"/>
  <c r="A339" i="3" a="1"/>
  <c r="A339" i="3" s="1"/>
  <c r="A338" i="3" a="1"/>
  <c r="A338" i="3" s="1"/>
  <c r="A337" i="3" a="1"/>
  <c r="A337" i="3"/>
  <c r="A336" i="3" a="1"/>
  <c r="A336" i="3" s="1"/>
  <c r="C335" i="3"/>
  <c r="A335" i="3" a="1"/>
  <c r="A335" i="3"/>
  <c r="D335" i="3" s="1"/>
  <c r="A334" i="3" a="1"/>
  <c r="A334" i="3" s="1"/>
  <c r="A333" i="3" a="1"/>
  <c r="A333" i="3" s="1"/>
  <c r="A332" i="3" a="1"/>
  <c r="A332" i="3" s="1"/>
  <c r="A331" i="3" a="1"/>
  <c r="A331" i="3"/>
  <c r="D331" i="3" s="1"/>
  <c r="A330" i="3" a="1"/>
  <c r="A330" i="3" s="1"/>
  <c r="A329" i="3" a="1"/>
  <c r="A329" i="3" s="1"/>
  <c r="A328" i="3" a="1"/>
  <c r="A328" i="3" s="1"/>
  <c r="D328" i="3" s="1"/>
  <c r="A327" i="3" a="1"/>
  <c r="A327" i="3" s="1"/>
  <c r="A326" i="3" a="1"/>
  <c r="A326" i="3" s="1"/>
  <c r="A325" i="3" a="1"/>
  <c r="A325" i="3"/>
  <c r="D325" i="3" s="1"/>
  <c r="A324" i="3" a="1"/>
  <c r="A324" i="3" s="1"/>
  <c r="B324" i="3" s="1"/>
  <c r="A323" i="3" a="1"/>
  <c r="A323" i="3" s="1"/>
  <c r="A322" i="3" a="1"/>
  <c r="A322" i="3" s="1"/>
  <c r="A321" i="3" a="1"/>
  <c r="A321" i="3" s="1"/>
  <c r="A320" i="3" a="1"/>
  <c r="A320" i="3"/>
  <c r="A319" i="3" a="1"/>
  <c r="A319" i="3" s="1"/>
  <c r="A318" i="3" a="1"/>
  <c r="A318" i="3" s="1"/>
  <c r="A317" i="3" a="1"/>
  <c r="A317" i="3" s="1"/>
  <c r="D317" i="3" s="1"/>
  <c r="A316" i="3" a="1"/>
  <c r="A316" i="3" s="1"/>
  <c r="B316" i="3" s="1"/>
  <c r="A315" i="3" a="1"/>
  <c r="A315" i="3" s="1"/>
  <c r="B315" i="3" s="1"/>
  <c r="A314" i="3" a="1"/>
  <c r="A314" i="3" s="1"/>
  <c r="A313" i="3" a="1"/>
  <c r="A313" i="3" s="1"/>
  <c r="B312" i="3"/>
  <c r="A312" i="3" a="1"/>
  <c r="A312" i="3" s="1"/>
  <c r="C312" i="3" s="1"/>
  <c r="A311" i="3" a="1"/>
  <c r="A311" i="3" s="1"/>
  <c r="C311" i="3" s="1"/>
  <c r="B310" i="3"/>
  <c r="A310" i="3" a="1"/>
  <c r="A310" i="3" s="1"/>
  <c r="C310" i="3" s="1"/>
  <c r="A309" i="3" a="1"/>
  <c r="A309" i="3" s="1"/>
  <c r="A308" i="3" a="1"/>
  <c r="A308" i="3" s="1"/>
  <c r="A307" i="3" a="1"/>
  <c r="A307" i="3" s="1"/>
  <c r="A306" i="3" a="1"/>
  <c r="A306" i="3" s="1"/>
  <c r="B306" i="3" s="1"/>
  <c r="A305" i="3" a="1"/>
  <c r="A305" i="3" s="1"/>
  <c r="A304" i="3" a="1"/>
  <c r="A304" i="3" s="1"/>
  <c r="A303" i="3" a="1"/>
  <c r="A303" i="3" s="1"/>
  <c r="D303" i="3" s="1"/>
  <c r="A302" i="3" a="1"/>
  <c r="A302" i="3" s="1"/>
  <c r="A301" i="3" a="1"/>
  <c r="A301" i="3" s="1"/>
  <c r="C301" i="3" s="1"/>
  <c r="A300" i="3" a="1"/>
  <c r="A300" i="3" s="1"/>
  <c r="A299" i="3" a="1"/>
  <c r="A299" i="3"/>
  <c r="D299" i="3" s="1"/>
  <c r="A298" i="3" a="1"/>
  <c r="A298" i="3"/>
  <c r="A297" i="3" a="1"/>
  <c r="A297" i="3" s="1"/>
  <c r="B297" i="3" s="1"/>
  <c r="A296" i="3" a="1"/>
  <c r="A296" i="3" s="1"/>
  <c r="A295" i="3" a="1"/>
  <c r="A295" i="3" s="1"/>
  <c r="A294" i="3" a="1"/>
  <c r="A294" i="3" s="1"/>
  <c r="A293" i="3" a="1"/>
  <c r="A293" i="3" s="1"/>
  <c r="C293" i="3" s="1"/>
  <c r="A292" i="3" a="1"/>
  <c r="A292" i="3" s="1"/>
  <c r="C292" i="3" s="1"/>
  <c r="A291" i="3" a="1"/>
  <c r="A291" i="3" s="1"/>
  <c r="A290" i="3" a="1"/>
  <c r="A290" i="3" s="1"/>
  <c r="A289" i="3" a="1"/>
  <c r="A289" i="3"/>
  <c r="D289" i="3" s="1"/>
  <c r="C288" i="3"/>
  <c r="A288" i="3" a="1"/>
  <c r="A288" i="3" s="1"/>
  <c r="B288" i="3" s="1"/>
  <c r="A287" i="3" a="1"/>
  <c r="A287" i="3" s="1"/>
  <c r="A286" i="3" a="1"/>
  <c r="A286" i="3" s="1"/>
  <c r="A285" i="3" a="1"/>
  <c r="A285" i="3" s="1"/>
  <c r="A284" i="3" a="1"/>
  <c r="A284" i="3" s="1"/>
  <c r="A283" i="3" a="1"/>
  <c r="A283" i="3" s="1"/>
  <c r="C283" i="3" s="1"/>
  <c r="A282" i="3" a="1"/>
  <c r="A282" i="3" s="1"/>
  <c r="A281" i="3" a="1"/>
  <c r="A281" i="3"/>
  <c r="D281" i="3" s="1"/>
  <c r="A280" i="3" a="1"/>
  <c r="A280" i="3" s="1"/>
  <c r="B280" i="3" s="1"/>
  <c r="A279" i="3" a="1"/>
  <c r="A279" i="3" s="1"/>
  <c r="A278" i="3" a="1"/>
  <c r="A278" i="3" s="1"/>
  <c r="A277" i="3" a="1"/>
  <c r="A277" i="3" s="1"/>
  <c r="D276" i="3"/>
  <c r="A276" i="3" a="1"/>
  <c r="A276" i="3" s="1"/>
  <c r="C276" i="3" s="1"/>
  <c r="A275" i="3" a="1"/>
  <c r="A275" i="3" s="1"/>
  <c r="C275" i="3" s="1"/>
  <c r="A274" i="3" a="1"/>
  <c r="A274" i="3" s="1"/>
  <c r="D274" i="3" s="1"/>
  <c r="A273" i="3" a="1"/>
  <c r="A273" i="3" s="1"/>
  <c r="D272" i="3"/>
  <c r="A272" i="3" a="1"/>
  <c r="A272" i="3" s="1"/>
  <c r="A271" i="3" a="1"/>
  <c r="A271" i="3" s="1"/>
  <c r="D271" i="3" s="1"/>
  <c r="A270" i="3" a="1"/>
  <c r="A270" i="3" s="1"/>
  <c r="B270" i="3" s="1"/>
  <c r="A269" i="3" a="1"/>
  <c r="A269" i="3" s="1"/>
  <c r="A268" i="3" a="1"/>
  <c r="A268" i="3" s="1"/>
  <c r="A267" i="3" a="1"/>
  <c r="A267" i="3" s="1"/>
  <c r="A266" i="3" a="1"/>
  <c r="A266" i="3" s="1"/>
  <c r="A265" i="3" a="1"/>
  <c r="A265" i="3" s="1"/>
  <c r="A264" i="3" a="1"/>
  <c r="A264" i="3" s="1"/>
  <c r="A263" i="3" a="1"/>
  <c r="A263" i="3"/>
  <c r="D263" i="3" s="1"/>
  <c r="A260" i="3" a="1"/>
  <c r="A260" i="3" s="1"/>
  <c r="A259" i="3" a="1"/>
  <c r="A259" i="3" s="1"/>
  <c r="D258" i="3"/>
  <c r="A258" i="3" a="1"/>
  <c r="A258" i="3" s="1"/>
  <c r="C258" i="3" s="1"/>
  <c r="A257" i="3" a="1"/>
  <c r="A257" i="3" s="1"/>
  <c r="C257" i="3" s="1"/>
  <c r="D256" i="3"/>
  <c r="B256" i="3"/>
  <c r="A256" i="3" a="1"/>
  <c r="A256" i="3" s="1"/>
  <c r="C256" i="3" s="1"/>
  <c r="A255" i="3" a="1"/>
  <c r="A255" i="3" s="1"/>
  <c r="A254" i="3" a="1"/>
  <c r="A254" i="3" s="1"/>
  <c r="A252" i="3" a="1"/>
  <c r="A252" i="3" s="1"/>
  <c r="B252" i="3" s="1"/>
  <c r="A251" i="3" a="1"/>
  <c r="A251" i="3" s="1"/>
  <c r="A250" i="3" a="1"/>
  <c r="A250" i="3" s="1"/>
  <c r="A249" i="3" a="1"/>
  <c r="A249" i="3" s="1"/>
  <c r="D249" i="3" s="1"/>
  <c r="A248" i="3" a="1"/>
  <c r="A248" i="3" s="1"/>
  <c r="C247" i="3"/>
  <c r="A247" i="3" a="1"/>
  <c r="A247" i="3"/>
  <c r="A246" i="3" a="1"/>
  <c r="A246" i="3" s="1"/>
  <c r="A245" i="3" a="1"/>
  <c r="A245" i="3" s="1"/>
  <c r="A244" i="3" a="1"/>
  <c r="A244" i="3"/>
  <c r="A243" i="3" a="1"/>
  <c r="A243" i="3" s="1"/>
  <c r="B243" i="3" s="1"/>
  <c r="A242" i="3" a="1"/>
  <c r="A242" i="3" s="1"/>
  <c r="A241" i="3" a="1"/>
  <c r="A241" i="3" s="1"/>
  <c r="D240" i="3"/>
  <c r="B240" i="3"/>
  <c r="A240" i="3" a="1"/>
  <c r="A240" i="3" s="1"/>
  <c r="C240" i="3" s="1"/>
  <c r="A239" i="3" a="1"/>
  <c r="A239" i="3"/>
  <c r="C239" i="3" s="1"/>
  <c r="A238" i="3" a="1"/>
  <c r="A238" i="3" s="1"/>
  <c r="D238" i="3" s="1"/>
  <c r="A237" i="3" a="1"/>
  <c r="A237" i="3" s="1"/>
  <c r="A236" i="3" a="1"/>
  <c r="A236" i="3" s="1"/>
  <c r="D236" i="3" s="1"/>
  <c r="A235" i="3" a="1"/>
  <c r="A235" i="3"/>
  <c r="D235" i="3" s="1"/>
  <c r="C234" i="3"/>
  <c r="A234" i="3" a="1"/>
  <c r="A234" i="3" s="1"/>
  <c r="B234" i="3" s="1"/>
  <c r="A233" i="3" a="1"/>
  <c r="A233" i="3" s="1"/>
  <c r="A232" i="3" a="1"/>
  <c r="A232" i="3" s="1"/>
  <c r="A231" i="3" a="1"/>
  <c r="A231" i="3" s="1"/>
  <c r="A230" i="3" a="1"/>
  <c r="A230" i="3"/>
  <c r="A229" i="3" a="1"/>
  <c r="A229" i="3" s="1"/>
  <c r="A228" i="3" a="1"/>
  <c r="A228" i="3" s="1"/>
  <c r="A227" i="3" a="1"/>
  <c r="A227" i="3" s="1"/>
  <c r="A226" i="3" a="1"/>
  <c r="A226" i="3" s="1"/>
  <c r="A225" i="3" a="1"/>
  <c r="A225" i="3" s="1"/>
  <c r="A224" i="3" a="1"/>
  <c r="A224" i="3" s="1"/>
  <c r="A223" i="3" a="1"/>
  <c r="A223" i="3" s="1"/>
  <c r="A222" i="3" a="1"/>
  <c r="A222" i="3" s="1"/>
  <c r="A221" i="3" a="1"/>
  <c r="A221" i="3" s="1"/>
  <c r="C221" i="3" s="1"/>
  <c r="A220" i="3" a="1"/>
  <c r="A220" i="3" s="1"/>
  <c r="B220" i="3" s="1"/>
  <c r="A219" i="3" a="1"/>
  <c r="A219" i="3" s="1"/>
  <c r="A218" i="3" a="1"/>
  <c r="A218" i="3" s="1"/>
  <c r="D218" i="3" s="1"/>
  <c r="A217" i="3" a="1"/>
  <c r="A217" i="3" s="1"/>
  <c r="D216" i="3"/>
  <c r="A216" i="3" a="1"/>
  <c r="A216" i="3" s="1"/>
  <c r="B216" i="3" s="1"/>
  <c r="A215" i="3" a="1"/>
  <c r="A215" i="3" s="1"/>
  <c r="C215" i="3" s="1"/>
  <c r="C214" i="3"/>
  <c r="A214" i="3" a="1"/>
  <c r="A214" i="3"/>
  <c r="A213" i="3" a="1"/>
  <c r="A213" i="3" s="1"/>
  <c r="A212" i="3" a="1"/>
  <c r="A212" i="3" s="1"/>
  <c r="A211" i="3" a="1"/>
  <c r="A211" i="3"/>
  <c r="C211" i="3" s="1"/>
  <c r="A210" i="3" a="1"/>
  <c r="A210" i="3" s="1"/>
  <c r="D210" i="3" s="1"/>
  <c r="D209" i="3"/>
  <c r="B209" i="3"/>
  <c r="A209" i="3" a="1"/>
  <c r="A209" i="3"/>
  <c r="C209" i="3" s="1"/>
  <c r="A208" i="3" a="1"/>
  <c r="A208" i="3" s="1"/>
  <c r="B208" i="3" s="1"/>
  <c r="A207" i="3" a="1"/>
  <c r="A207" i="3"/>
  <c r="A206" i="3" a="1"/>
  <c r="A206" i="3" s="1"/>
  <c r="D205" i="3"/>
  <c r="A205" i="3" a="1"/>
  <c r="A205" i="3"/>
  <c r="C205" i="3" s="1"/>
  <c r="B204" i="3"/>
  <c r="A204" i="3" a="1"/>
  <c r="A204" i="3"/>
  <c r="C204" i="3" s="1"/>
  <c r="B203" i="3"/>
  <c r="A203" i="3" a="1"/>
  <c r="A203" i="3"/>
  <c r="C203" i="3" s="1"/>
  <c r="D202" i="3"/>
  <c r="C202" i="3"/>
  <c r="B202" i="3"/>
  <c r="A202" i="3" a="1"/>
  <c r="A202" i="3" s="1"/>
  <c r="A201" i="3" a="1"/>
  <c r="A201" i="3" s="1"/>
  <c r="A200" i="3" a="1"/>
  <c r="A200" i="3" s="1"/>
  <c r="D200" i="3" s="1"/>
  <c r="A199" i="3" a="1"/>
  <c r="A199" i="3" s="1"/>
  <c r="D198" i="3"/>
  <c r="C198" i="3"/>
  <c r="A198" i="3" a="1"/>
  <c r="A198" i="3" s="1"/>
  <c r="B198" i="3" s="1"/>
  <c r="C197" i="3"/>
  <c r="A197" i="3" a="1"/>
  <c r="A197" i="3" s="1"/>
  <c r="A196" i="3" a="1"/>
  <c r="A196" i="3" s="1"/>
  <c r="A195" i="3" a="1"/>
  <c r="A195" i="3" s="1"/>
  <c r="A194" i="3" a="1"/>
  <c r="A194" i="3"/>
  <c r="C193" i="3"/>
  <c r="A193" i="3" a="1"/>
  <c r="A193" i="3"/>
  <c r="A192" i="3" a="1"/>
  <c r="A192" i="3" s="1"/>
  <c r="D191" i="3"/>
  <c r="A191" i="3" a="1"/>
  <c r="A191" i="3"/>
  <c r="C191" i="3" s="1"/>
  <c r="A190" i="3" a="1"/>
  <c r="A190" i="3" s="1"/>
  <c r="A189" i="3" a="1"/>
  <c r="A189" i="3" s="1"/>
  <c r="A188" i="3" a="1"/>
  <c r="A188" i="3" s="1"/>
  <c r="D188" i="3" s="1"/>
  <c r="A187" i="3" a="1"/>
  <c r="A187" i="3" s="1"/>
  <c r="A186" i="3" a="1"/>
  <c r="A186" i="3" s="1"/>
  <c r="C186" i="3" s="1"/>
  <c r="A185" i="3" a="1"/>
  <c r="A185" i="3" s="1"/>
  <c r="A184" i="3" a="1"/>
  <c r="A184" i="3" s="1"/>
  <c r="D184" i="3" s="1"/>
  <c r="A183" i="3" a="1"/>
  <c r="A183" i="3" s="1"/>
  <c r="D182" i="3"/>
  <c r="C182" i="3"/>
  <c r="A182" i="3" a="1"/>
  <c r="A182" i="3" s="1"/>
  <c r="B182" i="3" s="1"/>
  <c r="A181" i="3" a="1"/>
  <c r="A181" i="3" s="1"/>
  <c r="D181" i="3" s="1"/>
  <c r="A180" i="3" a="1"/>
  <c r="A180" i="3" s="1"/>
  <c r="B180" i="3" s="1"/>
  <c r="A179" i="3" a="1"/>
  <c r="A179" i="3" s="1"/>
  <c r="A178" i="3" a="1"/>
  <c r="A178" i="3" s="1"/>
  <c r="A177" i="3" a="1"/>
  <c r="A177" i="3" s="1"/>
  <c r="A176" i="3" a="1"/>
  <c r="A176" i="3" s="1"/>
  <c r="A175" i="3" a="1"/>
  <c r="A175" i="3" s="1"/>
  <c r="A174" i="3" a="1"/>
  <c r="A174" i="3" s="1"/>
  <c r="A173" i="3" a="1"/>
  <c r="A173" i="3" s="1"/>
  <c r="D173" i="3" s="1"/>
  <c r="A172" i="3" a="1"/>
  <c r="A172" i="3" s="1"/>
  <c r="B172" i="3" s="1"/>
  <c r="A171" i="3" a="1"/>
  <c r="A171" i="3" s="1"/>
  <c r="C171" i="3" s="1"/>
  <c r="A170" i="3" a="1"/>
  <c r="A170" i="3" s="1"/>
  <c r="A169" i="3" a="1"/>
  <c r="A169" i="3" s="1"/>
  <c r="A168" i="3" a="1"/>
  <c r="A168" i="3" s="1"/>
  <c r="C168" i="3" s="1"/>
  <c r="A167" i="3" a="1"/>
  <c r="A167" i="3" s="1"/>
  <c r="D167" i="3" s="1"/>
  <c r="A166" i="3" a="1"/>
  <c r="A166" i="3" s="1"/>
  <c r="A165" i="3" a="1"/>
  <c r="A165" i="3" s="1"/>
  <c r="A164" i="3" a="1"/>
  <c r="A164" i="3" s="1"/>
  <c r="A163" i="3" a="1"/>
  <c r="A163" i="3" s="1"/>
  <c r="B162" i="3"/>
  <c r="A162" i="3" a="1"/>
  <c r="A162" i="3" s="1"/>
  <c r="D162" i="3" s="1"/>
  <c r="A161" i="3" a="1"/>
  <c r="A161" i="3" s="1"/>
  <c r="A160" i="3" a="1"/>
  <c r="A160" i="3"/>
  <c r="D160" i="3" s="1"/>
  <c r="A159" i="3" a="1"/>
  <c r="A159" i="3" s="1"/>
  <c r="A158" i="3" a="1"/>
  <c r="A158" i="3"/>
  <c r="D158" i="3" s="1"/>
  <c r="A157" i="3" a="1"/>
  <c r="A157" i="3"/>
  <c r="D157" i="3" s="1"/>
  <c r="A156" i="3" a="1"/>
  <c r="A156" i="3" s="1"/>
  <c r="A155" i="3" a="1"/>
  <c r="A155" i="3" s="1"/>
  <c r="D155" i="3" s="1"/>
  <c r="A154" i="3" a="1"/>
  <c r="A154" i="3" s="1"/>
  <c r="B154" i="3" s="1"/>
  <c r="A153" i="3" a="1"/>
  <c r="A153" i="3" s="1"/>
  <c r="A152" i="3" a="1"/>
  <c r="A152" i="3" s="1"/>
  <c r="A151" i="3" a="1"/>
  <c r="A151" i="3" s="1"/>
  <c r="A150" i="3" a="1"/>
  <c r="A150" i="3" s="1"/>
  <c r="C150" i="3" s="1"/>
  <c r="A149" i="3" a="1"/>
  <c r="A149" i="3" s="1"/>
  <c r="A148" i="3" a="1"/>
  <c r="A148" i="3" s="1"/>
  <c r="A147" i="3" a="1"/>
  <c r="A147" i="3" s="1"/>
  <c r="A146" i="3" a="1"/>
  <c r="A146" i="3" s="1"/>
  <c r="A145" i="3" a="1"/>
  <c r="A145" i="3" s="1"/>
  <c r="B144" i="3"/>
  <c r="A144" i="3" a="1"/>
  <c r="A144" i="3" s="1"/>
  <c r="D144" i="3" s="1"/>
  <c r="A143" i="3" a="1"/>
  <c r="A143" i="3" s="1"/>
  <c r="A142" i="3" a="1"/>
  <c r="A142" i="3" s="1"/>
  <c r="A141" i="3" a="1"/>
  <c r="A141" i="3" s="1"/>
  <c r="A140" i="3" a="1"/>
  <c r="A140" i="3" s="1"/>
  <c r="D140" i="3" s="1"/>
  <c r="A139" i="3" a="1"/>
  <c r="A139" i="3"/>
  <c r="D139" i="3" s="1"/>
  <c r="A137" i="3" a="1"/>
  <c r="A137" i="3" s="1"/>
  <c r="D137" i="3" s="1"/>
  <c r="A136" i="3" a="1"/>
  <c r="A136" i="3" s="1"/>
  <c r="A135" i="3" a="1"/>
  <c r="A135" i="3" s="1"/>
  <c r="A134" i="3" a="1"/>
  <c r="A134" i="3" s="1"/>
  <c r="D134" i="3" s="1"/>
  <c r="A133" i="3" a="1"/>
  <c r="A133" i="3" s="1"/>
  <c r="A132" i="3" a="1"/>
  <c r="A132" i="3" s="1"/>
  <c r="C132" i="3" s="1"/>
  <c r="A131" i="3" a="1"/>
  <c r="A131" i="3" s="1"/>
  <c r="A130" i="3" a="1"/>
  <c r="A130" i="3" s="1"/>
  <c r="A129" i="3" a="1"/>
  <c r="A129" i="3" s="1"/>
  <c r="A128" i="3" a="1"/>
  <c r="A128" i="3" s="1"/>
  <c r="B128" i="3" s="1"/>
  <c r="A127" i="3" a="1"/>
  <c r="A127" i="3" s="1"/>
  <c r="A126" i="3" a="1"/>
  <c r="A126" i="3" s="1"/>
  <c r="A125" i="3" a="1"/>
  <c r="A125" i="3" s="1"/>
  <c r="B125" i="3" s="1"/>
  <c r="A124" i="3" a="1"/>
  <c r="A124" i="3"/>
  <c r="D124" i="3" s="1"/>
  <c r="A123" i="3" a="1"/>
  <c r="A123" i="3" s="1"/>
  <c r="A122" i="3" a="1"/>
  <c r="A122" i="3" s="1"/>
  <c r="A121" i="3" a="1"/>
  <c r="A121" i="3"/>
  <c r="D121" i="3" s="1"/>
  <c r="A120" i="3" a="1"/>
  <c r="A120" i="3" s="1"/>
  <c r="A119" i="3" a="1"/>
  <c r="A119" i="3" s="1"/>
  <c r="A118" i="3" a="1"/>
  <c r="A118" i="3"/>
  <c r="D118" i="3" s="1"/>
  <c r="A117" i="3" a="1"/>
  <c r="A117" i="3" s="1"/>
  <c r="A116" i="3" a="1"/>
  <c r="A116" i="3" s="1"/>
  <c r="A115" i="3" a="1"/>
  <c r="A115" i="3"/>
  <c r="D115" i="3" s="1"/>
  <c r="D114" i="3"/>
  <c r="B114" i="3"/>
  <c r="A114" i="3" a="1"/>
  <c r="A114" i="3" s="1"/>
  <c r="C114" i="3" s="1"/>
  <c r="A113" i="3" a="1"/>
  <c r="A113" i="3"/>
  <c r="B113" i="3" s="1"/>
  <c r="A112" i="3" a="1"/>
  <c r="A112" i="3" s="1"/>
  <c r="D112" i="3" s="1"/>
  <c r="A111" i="3" a="1"/>
  <c r="A111" i="3" s="1"/>
  <c r="C111" i="3" s="1"/>
  <c r="A110" i="3" a="1"/>
  <c r="A110" i="3" s="1"/>
  <c r="A109" i="3" a="1"/>
  <c r="A109" i="3" s="1"/>
  <c r="A108" i="3" a="1"/>
  <c r="A108" i="3" s="1"/>
  <c r="D108" i="3" s="1"/>
  <c r="A107" i="3" a="1"/>
  <c r="A107" i="3"/>
  <c r="B107" i="3" s="1"/>
  <c r="A106" i="3" a="1"/>
  <c r="A106" i="3" s="1"/>
  <c r="A105" i="3" a="1"/>
  <c r="A105" i="3" s="1"/>
  <c r="A104" i="3" a="1"/>
  <c r="A104" i="3" s="1"/>
  <c r="A103" i="3" a="1"/>
  <c r="A103" i="3" s="1"/>
  <c r="D103" i="3" s="1"/>
  <c r="A102" i="3" a="1"/>
  <c r="A102" i="3" s="1"/>
  <c r="A101" i="3" a="1"/>
  <c r="A101" i="3" s="1"/>
  <c r="A100" i="3" a="1"/>
  <c r="A100" i="3" s="1"/>
  <c r="A99" i="3" a="1"/>
  <c r="A99" i="3" s="1"/>
  <c r="A98" i="3" a="1"/>
  <c r="A98" i="3" s="1"/>
  <c r="A97" i="3" a="1"/>
  <c r="A97" i="3" s="1"/>
  <c r="B96" i="3"/>
  <c r="A96" i="3" a="1"/>
  <c r="A96" i="3" s="1"/>
  <c r="C96" i="3" s="1"/>
  <c r="A95" i="3" a="1"/>
  <c r="A95" i="3" s="1"/>
  <c r="A94" i="3" a="1"/>
  <c r="A94" i="3" s="1"/>
  <c r="A93" i="3" a="1"/>
  <c r="A93" i="3" s="1"/>
  <c r="C93" i="3" s="1"/>
  <c r="A92" i="3" a="1"/>
  <c r="A92" i="3" s="1"/>
  <c r="B92" i="3" s="1"/>
  <c r="A91" i="3" a="1"/>
  <c r="A91" i="3"/>
  <c r="D91" i="3" s="1"/>
  <c r="A90" i="3" a="1"/>
  <c r="A90" i="3" s="1"/>
  <c r="B90" i="3" s="1"/>
  <c r="A89" i="3" a="1"/>
  <c r="A89" i="3" s="1"/>
  <c r="A88" i="3" a="1"/>
  <c r="A88" i="3" s="1"/>
  <c r="A87" i="3" a="1"/>
  <c r="A87" i="3" s="1"/>
  <c r="A86" i="3" a="1"/>
  <c r="A86" i="3" s="1"/>
  <c r="B86" i="3" s="1"/>
  <c r="A85" i="3" a="1"/>
  <c r="A85" i="3"/>
  <c r="D85" i="3" s="1"/>
  <c r="A84" i="3" a="1"/>
  <c r="A84" i="3" s="1"/>
  <c r="A83" i="3" a="1"/>
  <c r="A83" i="3" s="1"/>
  <c r="A82" i="3" a="1"/>
  <c r="A82" i="3" s="1"/>
  <c r="D82" i="3" s="1"/>
  <c r="A81" i="3" a="1"/>
  <c r="A81" i="3" s="1"/>
  <c r="A80" i="3" a="1"/>
  <c r="A80" i="3" s="1"/>
  <c r="A79" i="3" a="1"/>
  <c r="A79" i="3"/>
  <c r="D79" i="3" s="1"/>
  <c r="A78" i="3" a="1"/>
  <c r="A78" i="3" s="1"/>
  <c r="D78" i="3" s="1"/>
  <c r="A77" i="3" a="1"/>
  <c r="A77" i="3" s="1"/>
  <c r="A76" i="3" a="1"/>
  <c r="A76" i="3" s="1"/>
  <c r="A75" i="3" a="1"/>
  <c r="A75" i="3" s="1"/>
  <c r="A74" i="3" a="1"/>
  <c r="A74" i="3" s="1"/>
  <c r="A73" i="3" a="1"/>
  <c r="A73" i="3" s="1"/>
  <c r="A72" i="3" a="1"/>
  <c r="A72" i="3" s="1"/>
  <c r="D72" i="3" s="1"/>
  <c r="A71" i="3" a="1"/>
  <c r="A71" i="3" s="1"/>
  <c r="A70" i="3" a="1"/>
  <c r="A70" i="3" s="1"/>
  <c r="A69" i="3" a="1"/>
  <c r="A69" i="3" s="1"/>
  <c r="A68" i="3" a="1"/>
  <c r="A68" i="3" s="1"/>
  <c r="A67" i="3" a="1"/>
  <c r="A67" i="3" s="1"/>
  <c r="A66" i="3" a="1"/>
  <c r="A66" i="3" s="1"/>
  <c r="A65" i="3" a="1"/>
  <c r="A65" i="3" s="1"/>
  <c r="A64" i="3" a="1"/>
  <c r="A64" i="3" s="1"/>
  <c r="A63" i="3" a="1"/>
  <c r="A63" i="3" s="1"/>
  <c r="A62" i="3" a="1"/>
  <c r="A62" i="3" s="1"/>
  <c r="A61" i="3" a="1"/>
  <c r="A61" i="3"/>
  <c r="D61" i="3" s="1"/>
  <c r="A60" i="3" a="1"/>
  <c r="A60" i="3" s="1"/>
  <c r="A59" i="3" a="1"/>
  <c r="A59" i="3" s="1"/>
  <c r="D59" i="3" s="1"/>
  <c r="A58" i="3" a="1"/>
  <c r="A58" i="3"/>
  <c r="B58" i="3" s="1"/>
  <c r="A57" i="3" a="1"/>
  <c r="A57" i="3"/>
  <c r="C57" i="3" s="1"/>
  <c r="A56" i="3" a="1"/>
  <c r="A56" i="3"/>
  <c r="B56" i="3" s="1"/>
  <c r="A55" i="3" a="1"/>
  <c r="A55" i="3"/>
  <c r="D55" i="3" s="1"/>
  <c r="A54" i="3" a="1"/>
  <c r="A54" i="3" s="1"/>
  <c r="C54" i="3" s="1"/>
  <c r="A53" i="3" a="1"/>
  <c r="A53" i="3"/>
  <c r="C53" i="3" s="1"/>
  <c r="A52" i="3" a="1"/>
  <c r="A52" i="3" s="1"/>
  <c r="A51" i="3" a="1"/>
  <c r="A51" i="3" s="1"/>
  <c r="A50" i="3" a="1"/>
  <c r="A50" i="3" s="1"/>
  <c r="A49" i="3" a="1"/>
  <c r="A49" i="3"/>
  <c r="D49" i="3" s="1"/>
  <c r="A48" i="3" a="1"/>
  <c r="A48" i="3"/>
  <c r="D48" i="3" s="1"/>
  <c r="A47" i="3" a="1"/>
  <c r="A47" i="3" s="1"/>
  <c r="A46" i="3" a="1"/>
  <c r="A46" i="3" s="1"/>
  <c r="A44" i="3" a="1"/>
  <c r="A44" i="3" s="1"/>
  <c r="A42" i="3" a="1"/>
  <c r="A42" i="3" s="1"/>
  <c r="A41" i="3" a="1"/>
  <c r="A41" i="3" s="1"/>
  <c r="A40" i="3" a="1"/>
  <c r="A40" i="3" s="1"/>
  <c r="D40" i="3" s="1"/>
  <c r="A39" i="3" a="1"/>
  <c r="A39" i="3" s="1"/>
  <c r="A38" i="3" a="1"/>
  <c r="A38" i="3"/>
  <c r="B38" i="3" s="1"/>
  <c r="A37" i="3" a="1"/>
  <c r="A37" i="3"/>
  <c r="B37" i="3" s="1"/>
  <c r="A36" i="3" a="1"/>
  <c r="A36" i="3" s="1"/>
  <c r="D36" i="3" s="1"/>
  <c r="A35" i="3" a="1"/>
  <c r="A35" i="3"/>
  <c r="B35" i="3" s="1"/>
  <c r="A34" i="3" a="1"/>
  <c r="A34" i="3"/>
  <c r="C34" i="3" s="1"/>
  <c r="A33" i="3" a="1"/>
  <c r="A33" i="3" s="1"/>
  <c r="A32" i="3" a="1"/>
  <c r="A32" i="3"/>
  <c r="B32" i="3" s="1"/>
  <c r="A31" i="3" a="1"/>
  <c r="A31" i="3"/>
  <c r="C31" i="3" s="1"/>
  <c r="A30" i="3" a="1"/>
  <c r="A30" i="3"/>
  <c r="D30" i="3" s="1"/>
  <c r="A29" i="3" a="1"/>
  <c r="A29" i="3"/>
  <c r="D29" i="3" s="1"/>
  <c r="A28" i="3" a="1"/>
  <c r="A28" i="3"/>
  <c r="D28" i="3" s="1"/>
  <c r="A27" i="3" a="1"/>
  <c r="A27" i="3" s="1"/>
  <c r="A26" i="3" a="1"/>
  <c r="A26" i="3" s="1"/>
  <c r="A25" i="3" a="1"/>
  <c r="A25" i="3" s="1"/>
  <c r="A24" i="3" a="1"/>
  <c r="A24" i="3" s="1"/>
  <c r="A23" i="3" a="1"/>
  <c r="A23" i="3"/>
  <c r="B23" i="3" s="1"/>
  <c r="A22" i="3" a="1"/>
  <c r="A22" i="3"/>
  <c r="B22" i="3" s="1"/>
  <c r="A21" i="3" a="1"/>
  <c r="A21" i="3"/>
  <c r="C21" i="3" s="1"/>
  <c r="A20" i="3" a="1"/>
  <c r="A20" i="3"/>
  <c r="B20" i="3" s="1"/>
  <c r="A19" i="3" a="1"/>
  <c r="A19" i="3"/>
  <c r="C19" i="3" s="1"/>
  <c r="D18" i="3"/>
  <c r="A18" i="3" a="1"/>
  <c r="A18" i="3"/>
  <c r="C18" i="3" s="1"/>
  <c r="A17" i="3" a="1"/>
  <c r="A17" i="3"/>
  <c r="B17" i="3" s="1"/>
  <c r="A16" i="3" a="1"/>
  <c r="A16" i="3" s="1"/>
  <c r="A15" i="3" a="1"/>
  <c r="A15" i="3" s="1"/>
  <c r="A14" i="3" a="1"/>
  <c r="A14" i="3" s="1"/>
  <c r="A13" i="3" a="1"/>
  <c r="A13" i="3" s="1"/>
  <c r="A12" i="3" a="1"/>
  <c r="A12" i="3"/>
  <c r="B12" i="3" s="1"/>
  <c r="A11" i="3" a="1"/>
  <c r="A11" i="3"/>
  <c r="B11" i="3" s="1"/>
  <c r="A10" i="3" a="1"/>
  <c r="A10" i="3"/>
  <c r="D10" i="3" s="1"/>
  <c r="A9" i="3" a="1"/>
  <c r="A9" i="3"/>
  <c r="C9" i="3" s="1"/>
  <c r="A8" i="3" a="1"/>
  <c r="A8" i="3"/>
  <c r="D8" i="3" s="1"/>
  <c r="A7" i="3" a="1"/>
  <c r="A7" i="3"/>
  <c r="D7" i="3" s="1"/>
  <c r="A6" i="3" a="1"/>
  <c r="A6" i="3" s="1"/>
  <c r="A5" i="3" a="1"/>
  <c r="A5" i="3"/>
  <c r="D5" i="3" s="1"/>
  <c r="A4" i="3" a="1"/>
  <c r="A4" i="3"/>
  <c r="D4" i="3" s="1"/>
  <c r="A3" i="3" a="1"/>
  <c r="A3" i="3"/>
  <c r="D3" i="3" s="1"/>
  <c r="A2" i="3" a="1"/>
  <c r="A2" i="3" s="1"/>
  <c r="C2" i="3" s="1"/>
  <c r="A1" i="3" a="1"/>
  <c r="A1" i="3"/>
  <c r="C1" i="3" s="1"/>
  <c r="I15" i="2"/>
  <c r="A14" i="2"/>
  <c r="A13" i="2"/>
  <c r="AL10" i="2"/>
  <c r="A8" i="2"/>
  <c r="A7" i="2"/>
  <c r="E3" i="2"/>
  <c r="A45" i="3" s="1" a="1"/>
  <c r="A45" i="3" s="1"/>
  <c r="F8" i="1"/>
  <c r="D392" i="3" l="1"/>
  <c r="C392" i="3"/>
  <c r="D374" i="3"/>
  <c r="C374" i="3"/>
  <c r="C393" i="3"/>
  <c r="D393" i="3"/>
  <c r="B368" i="3"/>
  <c r="D368" i="3"/>
  <c r="C368" i="3"/>
  <c r="C345" i="3"/>
  <c r="B345" i="3"/>
  <c r="D345" i="3"/>
  <c r="C294" i="3"/>
  <c r="D294" i="3"/>
  <c r="B294" i="3"/>
  <c r="D126" i="3"/>
  <c r="C126" i="3"/>
  <c r="B126" i="3"/>
  <c r="C295" i="3"/>
  <c r="D295" i="3"/>
  <c r="C223" i="3"/>
  <c r="D223" i="3"/>
  <c r="C313" i="3"/>
  <c r="D313" i="3"/>
  <c r="D41" i="3"/>
  <c r="C41" i="3"/>
  <c r="B41" i="3"/>
  <c r="B133" i="3"/>
  <c r="C133" i="3"/>
  <c r="B164" i="3"/>
  <c r="C164" i="3"/>
  <c r="D227" i="3"/>
  <c r="C227" i="3"/>
  <c r="B227" i="3"/>
  <c r="D151" i="3"/>
  <c r="C151" i="3"/>
  <c r="B151" i="3"/>
  <c r="D228" i="3"/>
  <c r="C228" i="3"/>
  <c r="B228" i="3"/>
  <c r="C241" i="3"/>
  <c r="D241" i="3"/>
  <c r="B241" i="3"/>
  <c r="D136" i="3"/>
  <c r="C136" i="3"/>
  <c r="B136" i="3"/>
  <c r="C187" i="3"/>
  <c r="D187" i="3"/>
  <c r="B187" i="3"/>
  <c r="D245" i="3"/>
  <c r="C245" i="3"/>
  <c r="B245" i="3"/>
  <c r="C277" i="3"/>
  <c r="D277" i="3"/>
  <c r="B277" i="3"/>
  <c r="D25" i="3"/>
  <c r="C25" i="3"/>
  <c r="B25" i="3"/>
  <c r="D97" i="3"/>
  <c r="B97" i="3"/>
  <c r="D353" i="3"/>
  <c r="C353" i="3"/>
  <c r="D67" i="3"/>
  <c r="C67" i="3"/>
  <c r="B67" i="3"/>
  <c r="D100" i="3"/>
  <c r="B100" i="3"/>
  <c r="D333" i="3"/>
  <c r="B333" i="3"/>
  <c r="C33" i="3"/>
  <c r="D33" i="3"/>
  <c r="D60" i="3"/>
  <c r="C60" i="3"/>
  <c r="B60" i="3"/>
  <c r="C259" i="3"/>
  <c r="D259" i="3"/>
  <c r="B259" i="3"/>
  <c r="D383" i="3"/>
  <c r="C383" i="3"/>
  <c r="B383" i="3"/>
  <c r="D351" i="3"/>
  <c r="B351" i="3"/>
  <c r="C52" i="3"/>
  <c r="D52" i="3"/>
  <c r="D199" i="3"/>
  <c r="B199" i="3"/>
  <c r="D175" i="3"/>
  <c r="C175" i="3"/>
  <c r="B175" i="3"/>
  <c r="D222" i="3"/>
  <c r="C222" i="3"/>
  <c r="B222" i="3"/>
  <c r="B146" i="3"/>
  <c r="C146" i="3"/>
  <c r="D169" i="3"/>
  <c r="C169" i="3"/>
  <c r="B169" i="3"/>
  <c r="B132" i="3"/>
  <c r="C38" i="3"/>
  <c r="D57" i="3"/>
  <c r="D38" i="3"/>
  <c r="B79" i="3"/>
  <c r="C113" i="3"/>
  <c r="C23" i="3"/>
  <c r="C79" i="3"/>
  <c r="D113" i="3"/>
  <c r="D1" i="3"/>
  <c r="D23" i="3"/>
  <c r="B258" i="3"/>
  <c r="C5" i="3"/>
  <c r="C22" i="3"/>
  <c r="D22" i="3"/>
  <c r="C216" i="3"/>
  <c r="C144" i="3"/>
  <c r="C162" i="3"/>
  <c r="D203" i="3"/>
  <c r="D288" i="3"/>
  <c r="B328" i="3"/>
  <c r="B347" i="3"/>
  <c r="B115" i="3"/>
  <c r="C328" i="3"/>
  <c r="C347" i="3"/>
  <c r="C115" i="3"/>
  <c r="D234" i="3"/>
  <c r="D204" i="3"/>
  <c r="D34" i="3"/>
  <c r="D53" i="3"/>
  <c r="D19" i="3"/>
  <c r="B4" i="3"/>
  <c r="C11" i="3"/>
  <c r="C4" i="3"/>
  <c r="D11" i="3"/>
  <c r="B61" i="3"/>
  <c r="B263" i="3"/>
  <c r="B281" i="3"/>
  <c r="B299" i="3"/>
  <c r="C85" i="3"/>
  <c r="B191" i="3"/>
  <c r="C263" i="3"/>
  <c r="C274" i="3"/>
  <c r="C281" i="3"/>
  <c r="D292" i="3"/>
  <c r="C299" i="3"/>
  <c r="D310" i="3"/>
  <c r="B139" i="3"/>
  <c r="B157" i="3"/>
  <c r="B184" i="3"/>
  <c r="B205" i="3"/>
  <c r="C139" i="3"/>
  <c r="C157" i="3"/>
  <c r="B5" i="3"/>
  <c r="D12" i="3"/>
  <c r="D37" i="3"/>
  <c r="D56" i="3"/>
  <c r="B150" i="3"/>
  <c r="B238" i="3"/>
  <c r="D150" i="3"/>
  <c r="B168" i="3"/>
  <c r="B186" i="3"/>
  <c r="B365" i="3"/>
  <c r="D132" i="3"/>
  <c r="D168" i="3"/>
  <c r="D186" i="3"/>
  <c r="C365" i="3"/>
  <c r="B85" i="3"/>
  <c r="C61" i="3"/>
  <c r="C12" i="3"/>
  <c r="C37" i="3"/>
  <c r="C56" i="3"/>
  <c r="C39" i="3"/>
  <c r="B39" i="3"/>
  <c r="D39" i="3"/>
  <c r="B51" i="3"/>
  <c r="D51" i="3"/>
  <c r="C51" i="3"/>
  <c r="C102" i="3"/>
  <c r="B102" i="3"/>
  <c r="D102" i="3"/>
  <c r="D142" i="3"/>
  <c r="C142" i="3"/>
  <c r="B142" i="3"/>
  <c r="C177" i="3"/>
  <c r="D177" i="3"/>
  <c r="B177" i="3"/>
  <c r="B267" i="3"/>
  <c r="D267" i="3"/>
  <c r="C267" i="3"/>
  <c r="D285" i="3"/>
  <c r="C285" i="3"/>
  <c r="B285" i="3"/>
  <c r="D314" i="3"/>
  <c r="C314" i="3"/>
  <c r="B314" i="3"/>
  <c r="D231" i="3"/>
  <c r="C231" i="3"/>
  <c r="B231" i="3"/>
  <c r="B278" i="3"/>
  <c r="D278" i="3"/>
  <c r="C278" i="3"/>
  <c r="D296" i="3"/>
  <c r="C296" i="3"/>
  <c r="B296" i="3"/>
  <c r="D304" i="3"/>
  <c r="B304" i="3"/>
  <c r="C304" i="3"/>
  <c r="D307" i="3"/>
  <c r="C307" i="3"/>
  <c r="B307" i="3"/>
  <c r="B104" i="3"/>
  <c r="D104" i="3"/>
  <c r="C104" i="3"/>
  <c r="D318" i="3"/>
  <c r="C318" i="3"/>
  <c r="B318" i="3"/>
  <c r="B24" i="3"/>
  <c r="D24" i="3"/>
  <c r="C24" i="3"/>
  <c r="D161" i="3"/>
  <c r="B161" i="3"/>
  <c r="C161" i="3"/>
  <c r="C224" i="3"/>
  <c r="B224" i="3"/>
  <c r="D224" i="3"/>
  <c r="C69" i="3"/>
  <c r="B69" i="3"/>
  <c r="D69" i="3"/>
  <c r="D106" i="3"/>
  <c r="C106" i="3"/>
  <c r="B106" i="3"/>
  <c r="D70" i="3"/>
  <c r="C70" i="3"/>
  <c r="B70" i="3"/>
  <c r="D260" i="3"/>
  <c r="C260" i="3"/>
  <c r="B260" i="3"/>
  <c r="D116" i="3"/>
  <c r="C116" i="3"/>
  <c r="B116" i="3"/>
  <c r="C47" i="3"/>
  <c r="D47" i="3"/>
  <c r="B47" i="3"/>
  <c r="C62" i="3"/>
  <c r="D62" i="3"/>
  <c r="B62" i="3"/>
  <c r="D76" i="3"/>
  <c r="C76" i="3"/>
  <c r="B76" i="3"/>
  <c r="C98" i="3"/>
  <c r="B98" i="3"/>
  <c r="D98" i="3"/>
  <c r="C119" i="3"/>
  <c r="D119" i="3"/>
  <c r="B119" i="3"/>
  <c r="D130" i="3"/>
  <c r="C130" i="3"/>
  <c r="B130" i="3"/>
  <c r="D149" i="3"/>
  <c r="C149" i="3"/>
  <c r="B149" i="3"/>
  <c r="D237" i="3"/>
  <c r="C237" i="3"/>
  <c r="B237" i="3"/>
  <c r="D264" i="3"/>
  <c r="C264" i="3"/>
  <c r="B264" i="3"/>
  <c r="D282" i="3"/>
  <c r="B282" i="3"/>
  <c r="C282" i="3"/>
  <c r="D300" i="3"/>
  <c r="C300" i="3"/>
  <c r="B300" i="3"/>
  <c r="B321" i="3"/>
  <c r="D321" i="3"/>
  <c r="C321" i="3"/>
  <c r="D286" i="3"/>
  <c r="B286" i="3"/>
  <c r="C286" i="3"/>
  <c r="B68" i="3"/>
  <c r="D68" i="3"/>
  <c r="C68" i="3"/>
  <c r="D105" i="3"/>
  <c r="C105" i="3"/>
  <c r="B105" i="3"/>
  <c r="D170" i="3"/>
  <c r="C170" i="3"/>
  <c r="B170" i="3"/>
  <c r="C94" i="3"/>
  <c r="D94" i="3"/>
  <c r="B94" i="3"/>
  <c r="D95" i="3"/>
  <c r="C95" i="3"/>
  <c r="B95" i="3"/>
  <c r="D242" i="3"/>
  <c r="C242" i="3"/>
  <c r="B242" i="3"/>
  <c r="D71" i="3"/>
  <c r="C71" i="3"/>
  <c r="B71" i="3"/>
  <c r="D27" i="3"/>
  <c r="C27" i="3"/>
  <c r="B27" i="3"/>
  <c r="C117" i="3"/>
  <c r="D117" i="3"/>
  <c r="B117" i="3"/>
  <c r="D46" i="3"/>
  <c r="C46" i="3"/>
  <c r="B46" i="3"/>
  <c r="D148" i="3"/>
  <c r="C148" i="3"/>
  <c r="B148" i="3"/>
  <c r="D120" i="3"/>
  <c r="C120" i="3"/>
  <c r="B120" i="3"/>
  <c r="D13" i="3"/>
  <c r="B13" i="3"/>
  <c r="C13" i="3"/>
  <c r="D64" i="3"/>
  <c r="C64" i="3"/>
  <c r="B64" i="3"/>
  <c r="D192" i="3"/>
  <c r="C192" i="3"/>
  <c r="B192" i="3"/>
  <c r="D206" i="3"/>
  <c r="C206" i="3"/>
  <c r="B206" i="3"/>
  <c r="B213" i="3"/>
  <c r="D213" i="3"/>
  <c r="C213" i="3"/>
  <c r="C81" i="3"/>
  <c r="B81" i="3"/>
  <c r="D81" i="3"/>
  <c r="D232" i="3"/>
  <c r="B232" i="3"/>
  <c r="C232" i="3"/>
  <c r="C135" i="3"/>
  <c r="D135" i="3"/>
  <c r="B135" i="3"/>
  <c r="D83" i="3"/>
  <c r="C83" i="3"/>
  <c r="B83" i="3"/>
  <c r="B145" i="3"/>
  <c r="D145" i="3"/>
  <c r="C145" i="3"/>
  <c r="C127" i="3"/>
  <c r="B127" i="3"/>
  <c r="D127" i="3"/>
  <c r="D44" i="3"/>
  <c r="C44" i="3"/>
  <c r="B44" i="3"/>
  <c r="C73" i="3"/>
  <c r="B73" i="3"/>
  <c r="D73" i="3"/>
  <c r="D109" i="3"/>
  <c r="C109" i="3"/>
  <c r="B109" i="3"/>
  <c r="B45" i="3"/>
  <c r="D45" i="3"/>
  <c r="C45" i="3"/>
  <c r="C99" i="3"/>
  <c r="D99" i="3"/>
  <c r="B99" i="3"/>
  <c r="B65" i="3"/>
  <c r="D65" i="3"/>
  <c r="C65" i="3"/>
  <c r="D88" i="3"/>
  <c r="C88" i="3"/>
  <c r="B88" i="3"/>
  <c r="D195" i="3"/>
  <c r="C195" i="3"/>
  <c r="B195" i="3"/>
  <c r="D291" i="3"/>
  <c r="C291" i="3"/>
  <c r="B291" i="3"/>
  <c r="B74" i="3"/>
  <c r="D74" i="3"/>
  <c r="C74" i="3"/>
  <c r="B110" i="3"/>
  <c r="C110" i="3"/>
  <c r="D110" i="3"/>
  <c r="C75" i="3"/>
  <c r="D75" i="3"/>
  <c r="B75" i="3"/>
  <c r="D166" i="3"/>
  <c r="C166" i="3"/>
  <c r="B166" i="3"/>
  <c r="D174" i="3"/>
  <c r="C174" i="3"/>
  <c r="B174" i="3"/>
  <c r="B66" i="3"/>
  <c r="D66" i="3"/>
  <c r="C66" i="3"/>
  <c r="B89" i="3"/>
  <c r="D89" i="3"/>
  <c r="C89" i="3"/>
  <c r="C122" i="3"/>
  <c r="B122" i="3"/>
  <c r="D122" i="3"/>
  <c r="D178" i="3"/>
  <c r="B178" i="3"/>
  <c r="C178" i="3"/>
  <c r="D80" i="3"/>
  <c r="C80" i="3"/>
  <c r="B80" i="3"/>
  <c r="D152" i="3"/>
  <c r="C152" i="3"/>
  <c r="B152" i="3"/>
  <c r="C153" i="3"/>
  <c r="D153" i="3"/>
  <c r="B153" i="3"/>
  <c r="D217" i="3"/>
  <c r="C217" i="3"/>
  <c r="B217" i="3"/>
  <c r="B163" i="3"/>
  <c r="D163" i="3"/>
  <c r="C163" i="3"/>
  <c r="B26" i="3"/>
  <c r="D26" i="3"/>
  <c r="C26" i="3"/>
  <c r="D84" i="3"/>
  <c r="C84" i="3"/>
  <c r="B84" i="3"/>
  <c r="D250" i="3"/>
  <c r="B250" i="3"/>
  <c r="C250" i="3"/>
  <c r="D42" i="3"/>
  <c r="C42" i="3"/>
  <c r="B42" i="3"/>
  <c r="D156" i="3"/>
  <c r="C156" i="3"/>
  <c r="B156" i="3"/>
  <c r="D129" i="3"/>
  <c r="C129" i="3"/>
  <c r="B129" i="3"/>
  <c r="D63" i="3"/>
  <c r="C63" i="3"/>
  <c r="B63" i="3"/>
  <c r="C77" i="3"/>
  <c r="B77" i="3"/>
  <c r="D77" i="3"/>
  <c r="D131" i="3"/>
  <c r="C131" i="3"/>
  <c r="B131" i="3"/>
  <c r="C185" i="3"/>
  <c r="D185" i="3"/>
  <c r="B185" i="3"/>
  <c r="D87" i="3"/>
  <c r="C87" i="3"/>
  <c r="B87" i="3"/>
  <c r="C6" i="3"/>
  <c r="D6" i="3"/>
  <c r="B6" i="3"/>
  <c r="D14" i="3"/>
  <c r="C14" i="3"/>
  <c r="B14" i="3"/>
  <c r="C15" i="3"/>
  <c r="B15" i="3"/>
  <c r="D15" i="3"/>
  <c r="D16" i="3"/>
  <c r="C16" i="3"/>
  <c r="B16" i="3"/>
  <c r="B50" i="3"/>
  <c r="D50" i="3"/>
  <c r="C50" i="3"/>
  <c r="D101" i="3"/>
  <c r="C101" i="3"/>
  <c r="B101" i="3"/>
  <c r="B123" i="3"/>
  <c r="D123" i="3"/>
  <c r="C123" i="3"/>
  <c r="B141" i="3"/>
  <c r="D141" i="3"/>
  <c r="C141" i="3"/>
  <c r="B159" i="3"/>
  <c r="D159" i="3"/>
  <c r="C159" i="3"/>
  <c r="D246" i="3"/>
  <c r="C246" i="3"/>
  <c r="B246" i="3"/>
  <c r="D20" i="3"/>
  <c r="D35" i="3"/>
  <c r="D336" i="3"/>
  <c r="C336" i="3"/>
  <c r="B336" i="3"/>
  <c r="D346" i="3"/>
  <c r="C346" i="3"/>
  <c r="D354" i="3"/>
  <c r="C354" i="3"/>
  <c r="B354" i="3"/>
  <c r="D367" i="3"/>
  <c r="C367" i="3"/>
  <c r="B367" i="3"/>
  <c r="D376" i="3"/>
  <c r="C376" i="3"/>
  <c r="B376" i="3"/>
  <c r="D388" i="3"/>
  <c r="C388" i="3"/>
  <c r="B388" i="3"/>
  <c r="D58" i="3"/>
  <c r="D337" i="3"/>
  <c r="C337" i="3"/>
  <c r="B337" i="3"/>
  <c r="D355" i="3"/>
  <c r="C355" i="3"/>
  <c r="B355" i="3"/>
  <c r="D390" i="3"/>
  <c r="C390" i="3"/>
  <c r="B390" i="3"/>
  <c r="D229" i="3"/>
  <c r="B229" i="3"/>
  <c r="D2" i="3"/>
  <c r="B137" i="3"/>
  <c r="B155" i="3"/>
  <c r="B173" i="3"/>
  <c r="D183" i="3"/>
  <c r="C183" i="3"/>
  <c r="B183" i="3"/>
  <c r="B188" i="3"/>
  <c r="D193" i="3"/>
  <c r="B193" i="3"/>
  <c r="D214" i="3"/>
  <c r="B214" i="3"/>
  <c r="C220" i="3"/>
  <c r="C229" i="3"/>
  <c r="B235" i="3"/>
  <c r="D251" i="3"/>
  <c r="B251" i="3"/>
  <c r="D305" i="3"/>
  <c r="B305" i="3"/>
  <c r="A389" i="3" a="1"/>
  <c r="A389" i="3" s="1"/>
  <c r="A43" i="3" a="1"/>
  <c r="A43" i="3" s="1"/>
  <c r="A262" i="3" a="1"/>
  <c r="A262" i="3" s="1"/>
  <c r="A261" i="3" a="1"/>
  <c r="A261" i="3" s="1"/>
  <c r="B10" i="3"/>
  <c r="C17" i="3"/>
  <c r="C28" i="3"/>
  <c r="C32" i="3"/>
  <c r="B36" i="3"/>
  <c r="B55" i="3"/>
  <c r="C78" i="3"/>
  <c r="B82" i="3"/>
  <c r="C86" i="3"/>
  <c r="D90" i="3"/>
  <c r="D111" i="3"/>
  <c r="C128" i="3"/>
  <c r="C137" i="3"/>
  <c r="C155" i="3"/>
  <c r="C173" i="3"/>
  <c r="C188" i="3"/>
  <c r="D220" i="3"/>
  <c r="D225" i="3"/>
  <c r="C225" i="3"/>
  <c r="D230" i="3"/>
  <c r="C230" i="3"/>
  <c r="B230" i="3"/>
  <c r="C235" i="3"/>
  <c r="C251" i="3"/>
  <c r="B257" i="3"/>
  <c r="B274" i="3"/>
  <c r="B289" i="3"/>
  <c r="C305" i="3"/>
  <c r="B311" i="3"/>
  <c r="C329" i="3"/>
  <c r="B329" i="3"/>
  <c r="D257" i="3"/>
  <c r="D268" i="3"/>
  <c r="B268" i="3"/>
  <c r="D279" i="3"/>
  <c r="C279" i="3"/>
  <c r="D284" i="3"/>
  <c r="C284" i="3"/>
  <c r="B284" i="3"/>
  <c r="C289" i="3"/>
  <c r="D311" i="3"/>
  <c r="D322" i="3"/>
  <c r="B322" i="3"/>
  <c r="D338" i="3"/>
  <c r="C338" i="3"/>
  <c r="B338" i="3"/>
  <c r="D356" i="3"/>
  <c r="C356" i="3"/>
  <c r="B356" i="3"/>
  <c r="D378" i="3"/>
  <c r="C378" i="3"/>
  <c r="B378" i="3"/>
  <c r="B103" i="3"/>
  <c r="D107" i="3"/>
  <c r="C124" i="3"/>
  <c r="D133" i="3"/>
  <c r="D146" i="3"/>
  <c r="D164" i="3"/>
  <c r="C184" i="3"/>
  <c r="D189" i="3"/>
  <c r="C189" i="3"/>
  <c r="D194" i="3"/>
  <c r="C194" i="3"/>
  <c r="B194" i="3"/>
  <c r="C199" i="3"/>
  <c r="D215" i="3"/>
  <c r="B215" i="3"/>
  <c r="B225" i="3"/>
  <c r="C236" i="3"/>
  <c r="B236" i="3"/>
  <c r="C252" i="3"/>
  <c r="C306" i="3"/>
  <c r="B317" i="3"/>
  <c r="D329" i="3"/>
  <c r="C339" i="3"/>
  <c r="B339" i="3"/>
  <c r="D339" i="3"/>
  <c r="C357" i="3"/>
  <c r="B357" i="3"/>
  <c r="D357" i="3"/>
  <c r="D379" i="3"/>
  <c r="C379" i="3"/>
  <c r="B379" i="3"/>
  <c r="B91" i="3"/>
  <c r="C103" i="3"/>
  <c r="B112" i="3"/>
  <c r="A138" i="3" a="1"/>
  <c r="A138" i="3" s="1"/>
  <c r="D147" i="3"/>
  <c r="C147" i="3"/>
  <c r="B147" i="3"/>
  <c r="B160" i="3"/>
  <c r="D165" i="3"/>
  <c r="C165" i="3"/>
  <c r="B165" i="3"/>
  <c r="D179" i="3"/>
  <c r="B179" i="3"/>
  <c r="B221" i="3"/>
  <c r="D226" i="3"/>
  <c r="C226" i="3"/>
  <c r="D252" i="3"/>
  <c r="C268" i="3"/>
  <c r="B279" i="3"/>
  <c r="C290" i="3"/>
  <c r="B290" i="3"/>
  <c r="D306" i="3"/>
  <c r="C317" i="3"/>
  <c r="C322" i="3"/>
  <c r="D330" i="3"/>
  <c r="C330" i="3"/>
  <c r="B330" i="3"/>
  <c r="D340" i="3"/>
  <c r="B340" i="3"/>
  <c r="D358" i="3"/>
  <c r="B358" i="3"/>
  <c r="B78" i="3"/>
  <c r="C90" i="3"/>
  <c r="B111" i="3"/>
  <c r="B3" i="3"/>
  <c r="C10" i="3"/>
  <c r="D17" i="3"/>
  <c r="B21" i="3"/>
  <c r="D32" i="3"/>
  <c r="C36" i="3"/>
  <c r="B40" i="3"/>
  <c r="C55" i="3"/>
  <c r="B59" i="3"/>
  <c r="C82" i="3"/>
  <c r="D86" i="3"/>
  <c r="C107" i="3"/>
  <c r="B124" i="3"/>
  <c r="D128" i="3"/>
  <c r="C3" i="3"/>
  <c r="D21" i="3"/>
  <c r="C40" i="3"/>
  <c r="C59" i="3"/>
  <c r="B7" i="3"/>
  <c r="B29" i="3"/>
  <c r="B48" i="3"/>
  <c r="B108" i="3"/>
  <c r="C112" i="3"/>
  <c r="C160" i="3"/>
  <c r="B189" i="3"/>
  <c r="C200" i="3"/>
  <c r="B200" i="3"/>
  <c r="D221" i="3"/>
  <c r="D247" i="3"/>
  <c r="B247" i="3"/>
  <c r="D269" i="3"/>
  <c r="B269" i="3"/>
  <c r="D280" i="3"/>
  <c r="C280" i="3"/>
  <c r="D290" i="3"/>
  <c r="D301" i="3"/>
  <c r="B301" i="3"/>
  <c r="D312" i="3"/>
  <c r="D323" i="3"/>
  <c r="B323" i="3"/>
  <c r="C340" i="3"/>
  <c r="C358" i="3"/>
  <c r="C7" i="3"/>
  <c r="B18" i="3"/>
  <c r="C29" i="3"/>
  <c r="B33" i="3"/>
  <c r="C48" i="3"/>
  <c r="B52" i="3"/>
  <c r="C91" i="3"/>
  <c r="C108" i="3"/>
  <c r="C125" i="3"/>
  <c r="B134" i="3"/>
  <c r="D143" i="3"/>
  <c r="B143" i="3"/>
  <c r="C179" i="3"/>
  <c r="D190" i="3"/>
  <c r="C190" i="3"/>
  <c r="B210" i="3"/>
  <c r="B226" i="3"/>
  <c r="A253" i="3" a="1"/>
  <c r="A253" i="3" s="1"/>
  <c r="C269" i="3"/>
  <c r="B275" i="3"/>
  <c r="C323" i="3"/>
  <c r="D348" i="3"/>
  <c r="C348" i="3"/>
  <c r="B348" i="3"/>
  <c r="D359" i="3"/>
  <c r="C359" i="3"/>
  <c r="B359" i="3"/>
  <c r="D370" i="3"/>
  <c r="C370" i="3"/>
  <c r="B370" i="3"/>
  <c r="D381" i="3"/>
  <c r="C381" i="3"/>
  <c r="B381" i="3"/>
  <c r="D9" i="3"/>
  <c r="C20" i="3"/>
  <c r="D31" i="3"/>
  <c r="C35" i="3"/>
  <c r="D54" i="3"/>
  <c r="C58" i="3"/>
  <c r="D125" i="3"/>
  <c r="C134" i="3"/>
  <c r="D201" i="3"/>
  <c r="C201" i="3"/>
  <c r="B201" i="3"/>
  <c r="C210" i="3"/>
  <c r="D275" i="3"/>
  <c r="B332" i="3"/>
  <c r="D332" i="3"/>
  <c r="D349" i="3"/>
  <c r="C349" i="3"/>
  <c r="B349" i="3"/>
  <c r="D360" i="3"/>
  <c r="C360" i="3"/>
  <c r="B360" i="3"/>
  <c r="D382" i="3"/>
  <c r="C382" i="3"/>
  <c r="B382" i="3"/>
  <c r="D96" i="3"/>
  <c r="C100" i="3"/>
  <c r="B121" i="3"/>
  <c r="C143" i="3"/>
  <c r="C180" i="3"/>
  <c r="B190" i="3"/>
  <c r="D211" i="3"/>
  <c r="B211" i="3"/>
  <c r="C238" i="3"/>
  <c r="D243" i="3"/>
  <c r="C243" i="3"/>
  <c r="D248" i="3"/>
  <c r="C248" i="3"/>
  <c r="B248" i="3"/>
  <c r="C270" i="3"/>
  <c r="B292" i="3"/>
  <c r="D297" i="3"/>
  <c r="C297" i="3"/>
  <c r="D302" i="3"/>
  <c r="C302" i="3"/>
  <c r="B302" i="3"/>
  <c r="C324" i="3"/>
  <c r="C342" i="3"/>
  <c r="B342" i="3"/>
  <c r="B350" i="3"/>
  <c r="D350" i="3"/>
  <c r="C350" i="3"/>
  <c r="D361" i="3"/>
  <c r="C361" i="3"/>
  <c r="B361" i="3"/>
  <c r="B72" i="3"/>
  <c r="C92" i="3"/>
  <c r="C121" i="3"/>
  <c r="D180" i="3"/>
  <c r="D270" i="3"/>
  <c r="B276" i="3"/>
  <c r="D324" i="3"/>
  <c r="C332" i="3"/>
  <c r="D342" i="3"/>
  <c r="D362" i="3"/>
  <c r="C362" i="3"/>
  <c r="B362" i="3"/>
  <c r="D372" i="3"/>
  <c r="C372" i="3"/>
  <c r="B372" i="3"/>
  <c r="D394" i="3"/>
  <c r="C394" i="3"/>
  <c r="B394" i="3"/>
  <c r="B30" i="3"/>
  <c r="B49" i="3"/>
  <c r="B1" i="3"/>
  <c r="C8" i="3"/>
  <c r="B19" i="3"/>
  <c r="C30" i="3"/>
  <c r="B34" i="3"/>
  <c r="C49" i="3"/>
  <c r="B53" i="3"/>
  <c r="C72" i="3"/>
  <c r="D92" i="3"/>
  <c r="D196" i="3"/>
  <c r="B196" i="3"/>
  <c r="C254" i="3"/>
  <c r="B254" i="3"/>
  <c r="D265" i="3"/>
  <c r="B265" i="3"/>
  <c r="C308" i="3"/>
  <c r="B308" i="3"/>
  <c r="D319" i="3"/>
  <c r="B319" i="3"/>
  <c r="D343" i="3"/>
  <c r="C343" i="3"/>
  <c r="B343" i="3"/>
  <c r="D363" i="3"/>
  <c r="C363" i="3"/>
  <c r="B363" i="3"/>
  <c r="D273" i="3"/>
  <c r="C273" i="3"/>
  <c r="B273" i="3"/>
  <c r="D283" i="3"/>
  <c r="B283" i="3"/>
  <c r="D316" i="3"/>
  <c r="C316" i="3"/>
  <c r="B28" i="3"/>
  <c r="B8" i="3"/>
  <c r="B57" i="3"/>
  <c r="D207" i="3"/>
  <c r="C207" i="3"/>
  <c r="D212" i="3"/>
  <c r="C212" i="3"/>
  <c r="B212" i="3"/>
  <c r="D233" i="3"/>
  <c r="B233" i="3"/>
  <c r="D244" i="3"/>
  <c r="C244" i="3"/>
  <c r="D254" i="3"/>
  <c r="D298" i="3"/>
  <c r="C298" i="3"/>
  <c r="D308" i="3"/>
  <c r="D344" i="3"/>
  <c r="C344" i="3"/>
  <c r="B344" i="3"/>
  <c r="D364" i="3"/>
  <c r="C364" i="3"/>
  <c r="B364" i="3"/>
  <c r="B93" i="3"/>
  <c r="C97" i="3"/>
  <c r="C140" i="3"/>
  <c r="B140" i="3"/>
  <c r="C158" i="3"/>
  <c r="B158" i="3"/>
  <c r="B167" i="3"/>
  <c r="B171" i="3"/>
  <c r="D176" i="3"/>
  <c r="C176" i="3"/>
  <c r="B176" i="3"/>
  <c r="B181" i="3"/>
  <c r="C196" i="3"/>
  <c r="C233" i="3"/>
  <c r="B239" i="3"/>
  <c r="B249" i="3"/>
  <c r="D255" i="3"/>
  <c r="C255" i="3"/>
  <c r="B255" i="3"/>
  <c r="C265" i="3"/>
  <c r="B271" i="3"/>
  <c r="D287" i="3"/>
  <c r="B287" i="3"/>
  <c r="B303" i="3"/>
  <c r="D309" i="3"/>
  <c r="C309" i="3"/>
  <c r="B309" i="3"/>
  <c r="C319" i="3"/>
  <c r="B325" i="3"/>
  <c r="D384" i="3"/>
  <c r="C384" i="3"/>
  <c r="B384" i="3"/>
  <c r="D396" i="3"/>
  <c r="C396" i="3"/>
  <c r="B396" i="3"/>
  <c r="D93" i="3"/>
  <c r="B118" i="3"/>
  <c r="C167" i="3"/>
  <c r="D171" i="3"/>
  <c r="C181" i="3"/>
  <c r="D197" i="3"/>
  <c r="B197" i="3"/>
  <c r="B207" i="3"/>
  <c r="C218" i="3"/>
  <c r="B218" i="3"/>
  <c r="D239" i="3"/>
  <c r="B244" i="3"/>
  <c r="C249" i="3"/>
  <c r="D266" i="3"/>
  <c r="C266" i="3"/>
  <c r="B266" i="3"/>
  <c r="C271" i="3"/>
  <c r="C287" i="3"/>
  <c r="B293" i="3"/>
  <c r="B298" i="3"/>
  <c r="C303" i="3"/>
  <c r="D320" i="3"/>
  <c r="C320" i="3"/>
  <c r="B320" i="3"/>
  <c r="C325" i="3"/>
  <c r="D334" i="3"/>
  <c r="C334" i="3"/>
  <c r="B334" i="3"/>
  <c r="D352" i="3"/>
  <c r="C352" i="3"/>
  <c r="B352" i="3"/>
  <c r="D385" i="3"/>
  <c r="C385" i="3"/>
  <c r="B385" i="3"/>
  <c r="D397" i="3"/>
  <c r="C397" i="3"/>
  <c r="B397" i="3"/>
  <c r="B9" i="3"/>
  <c r="B31" i="3"/>
  <c r="B54" i="3"/>
  <c r="C118" i="3"/>
  <c r="D154" i="3"/>
  <c r="C154" i="3"/>
  <c r="D172" i="3"/>
  <c r="C172" i="3"/>
  <c r="D208" i="3"/>
  <c r="C208" i="3"/>
  <c r="D293" i="3"/>
  <c r="D315" i="3"/>
  <c r="C315" i="3"/>
  <c r="D326" i="3"/>
  <c r="C326" i="3"/>
  <c r="B326" i="3"/>
  <c r="B386" i="3"/>
  <c r="D386" i="3"/>
  <c r="C386" i="3"/>
  <c r="D398" i="3"/>
  <c r="C398" i="3"/>
  <c r="B398" i="3"/>
  <c r="B2" i="3"/>
  <c r="D219" i="3"/>
  <c r="C219" i="3"/>
  <c r="B219" i="3"/>
  <c r="C272" i="3"/>
  <c r="B272" i="3"/>
  <c r="D327" i="3"/>
  <c r="C327" i="3"/>
  <c r="B327" i="3"/>
  <c r="D399" i="3"/>
  <c r="C399" i="3"/>
  <c r="B399" i="3"/>
  <c r="D366" i="3"/>
  <c r="C366" i="3"/>
  <c r="B366" i="3"/>
  <c r="C375" i="3"/>
  <c r="B375" i="3"/>
  <c r="D375" i="3"/>
  <c r="D400" i="3"/>
  <c r="C400" i="3"/>
  <c r="B400" i="3"/>
  <c r="B369" i="3"/>
  <c r="B387" i="3"/>
  <c r="C333" i="3"/>
  <c r="C351" i="3"/>
  <c r="C369" i="3"/>
  <c r="B380" i="3"/>
  <c r="C387" i="3"/>
  <c r="C380" i="3"/>
  <c r="B391" i="3"/>
  <c r="C373" i="3"/>
  <c r="C391" i="3"/>
  <c r="B341" i="3"/>
  <c r="B377" i="3"/>
  <c r="B395" i="3"/>
  <c r="C341" i="3"/>
  <c r="C377" i="3"/>
  <c r="C395" i="3"/>
  <c r="B374" i="3"/>
  <c r="B392" i="3"/>
  <c r="B223" i="3"/>
  <c r="B295" i="3"/>
  <c r="B313" i="3"/>
  <c r="B331" i="3"/>
  <c r="C331" i="3"/>
  <c r="B335" i="3"/>
  <c r="B353" i="3"/>
  <c r="B371" i="3"/>
  <c r="C371" i="3"/>
  <c r="B393" i="3"/>
  <c r="D138" i="3" l="1"/>
  <c r="C138" i="3"/>
  <c r="B138" i="3"/>
  <c r="D253" i="3"/>
  <c r="C253" i="3"/>
  <c r="B253" i="3"/>
  <c r="D389" i="3"/>
  <c r="C389" i="3"/>
  <c r="B389" i="3"/>
  <c r="D261" i="3"/>
  <c r="C261" i="3"/>
  <c r="B261" i="3"/>
  <c r="D262" i="3"/>
  <c r="C262" i="3"/>
  <c r="B262" i="3"/>
  <c r="B43" i="3"/>
  <c r="D43" i="3"/>
  <c r="C4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cellMetadata count="1">
    <bk>
      <rc t="1" v="0"/>
    </bk>
  </cellMetadata>
  <valueMetadata count="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</valueMetadata>
</metadata>
</file>

<file path=xl/sharedStrings.xml><?xml version="1.0" encoding="utf-8"?>
<sst xmlns="http://schemas.openxmlformats.org/spreadsheetml/2006/main" count="482" uniqueCount="450">
  <si>
    <t>Ann</t>
  </si>
  <si>
    <t>N</t>
  </si>
  <si>
    <t>a,b,c</t>
  </si>
  <si>
    <t>bob</t>
  </si>
  <si>
    <t>S</t>
  </si>
  <si>
    <t>b</t>
  </si>
  <si>
    <t>1;2|3</t>
  </si>
  <si>
    <t>Cid</t>
  </si>
  <si>
    <t>x--y</t>
  </si>
  <si>
    <t>ann</t>
  </si>
  <si>
    <t>A</t>
  </si>
  <si>
    <t>one two  three</t>
  </si>
  <si>
    <t>Dee</t>
  </si>
  <si>
    <t>E</t>
  </si>
  <si>
    <t>Bob</t>
  </si>
  <si>
    <t>Eve</t>
  </si>
  <si>
    <t>a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</si>
  <si>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</si>
  <si>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</si>
  <si>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</si>
  <si>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</si>
  <si>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</si>
  <si>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</si>
  <si>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</si>
  <si>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</si>
  <si>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</si>
  <si>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</si>
  <si>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</si>
  <si>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</si>
  <si>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</si>
  <si>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</si>
  <si>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</si>
  <si>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</si>
  <si>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</si>
  <si>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</si>
  <si>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</si>
  <si>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</si>
  <si>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</si>
  <si>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</si>
  <si>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</si>
  <si>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</si>
  <si>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</si>
  <si>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Чай</t>
  </si>
  <si>
    <t>thirteen</t>
  </si>
  <si>
    <t>Чаи</t>
  </si>
  <si>
    <t>3000</t>
  </si>
  <si>
    <t>Привет Мир</t>
  </si>
  <si>
    <t>1.5</t>
  </si>
  <si>
    <t>1,5</t>
  </si>
  <si>
    <t>ops#1</t>
  </si>
  <si>
    <t>ops#2</t>
  </si>
  <si>
    <t>ops#3</t>
  </si>
  <si>
    <t>ops#4</t>
  </si>
  <si>
    <t>ops#5</t>
  </si>
  <si>
    <t>ops#6</t>
  </si>
  <si>
    <t>ops#7</t>
  </si>
  <si>
    <t>ops#8</t>
  </si>
  <si>
    <t>ops#9</t>
  </si>
  <si>
    <t>ops#10</t>
  </si>
  <si>
    <t>ops#11</t>
  </si>
  <si>
    <t>ops#12</t>
  </si>
  <si>
    <t>ops#13</t>
  </si>
  <si>
    <t>ops#14</t>
  </si>
  <si>
    <t>ops#15</t>
  </si>
  <si>
    <t>ops#16</t>
  </si>
  <si>
    <t>ops#17</t>
  </si>
  <si>
    <t>ops#18</t>
  </si>
  <si>
    <t>ops#19</t>
  </si>
  <si>
    <t>ops#20</t>
  </si>
  <si>
    <t>ops#21</t>
  </si>
  <si>
    <t>ops#22</t>
  </si>
  <si>
    <t>ops#23</t>
  </si>
  <si>
    <t>ops#24</t>
  </si>
  <si>
    <t>ops#25</t>
  </si>
  <si>
    <t>ops#26</t>
  </si>
  <si>
    <t>ops#27</t>
  </si>
  <si>
    <t>ops#28</t>
  </si>
  <si>
    <t>ops#29</t>
  </si>
  <si>
    <t>ops#30</t>
  </si>
  <si>
    <t>ops#31</t>
  </si>
  <si>
    <t>ops#32</t>
  </si>
  <si>
    <t>ops#33</t>
  </si>
  <si>
    <t>ops#34</t>
  </si>
  <si>
    <t>ops#35</t>
  </si>
  <si>
    <t>ops#36</t>
  </si>
  <si>
    <t>ops#37</t>
  </si>
  <si>
    <t>ops#38</t>
  </si>
  <si>
    <t>ops#39</t>
  </si>
  <si>
    <t>ops#40</t>
  </si>
  <si>
    <t>ops#41</t>
  </si>
  <si>
    <t>ops#42</t>
  </si>
  <si>
    <t>ops#43</t>
  </si>
  <si>
    <t>ops#44</t>
  </si>
  <si>
    <t>ops#45</t>
  </si>
  <si>
    <t>ops#46</t>
  </si>
  <si>
    <t>ops#47</t>
  </si>
  <si>
    <t>ops#48</t>
  </si>
  <si>
    <t>ops#49</t>
  </si>
  <si>
    <t>ops#50</t>
  </si>
  <si>
    <t>ops#51</t>
  </si>
  <si>
    <t>ops#52</t>
  </si>
  <si>
    <t>ops#53</t>
  </si>
  <si>
    <t>ops#54</t>
  </si>
  <si>
    <t>ops#55</t>
  </si>
  <si>
    <t>ops#56</t>
  </si>
  <si>
    <t>ops#57</t>
  </si>
  <si>
    <t>ops#58</t>
  </si>
  <si>
    <t>ops#59</t>
  </si>
  <si>
    <t>ops#60</t>
  </si>
  <si>
    <t>ops#61</t>
  </si>
  <si>
    <t>ops#62</t>
  </si>
  <si>
    <t>ops#63</t>
  </si>
  <si>
    <t>ops#64</t>
  </si>
  <si>
    <t>ops#65</t>
  </si>
  <si>
    <t>ops#66</t>
  </si>
  <si>
    <t>ops#67</t>
  </si>
  <si>
    <t>ops#68</t>
  </si>
  <si>
    <t>ops#69</t>
  </si>
  <si>
    <t>ops#70</t>
  </si>
  <si>
    <t>ops#71</t>
  </si>
  <si>
    <t>ops#72</t>
  </si>
  <si>
    <t>ops#73</t>
  </si>
  <si>
    <t>ops#74</t>
  </si>
  <si>
    <t>ops#75</t>
  </si>
  <si>
    <t>ops#76</t>
  </si>
  <si>
    <t>ops#77</t>
  </si>
  <si>
    <t>ops#78</t>
  </si>
  <si>
    <t>ops#79</t>
  </si>
  <si>
    <t>ops#80</t>
  </si>
  <si>
    <t>ops#81</t>
  </si>
  <si>
    <t>ops#82</t>
  </si>
  <si>
    <t>const#1</t>
  </si>
  <si>
    <t>const#2</t>
  </si>
  <si>
    <t>const#3</t>
  </si>
  <si>
    <t>const#4</t>
  </si>
  <si>
    <t>const#5</t>
  </si>
  <si>
    <t>const#6</t>
  </si>
  <si>
    <t>const#7</t>
  </si>
  <si>
    <t>const#8</t>
  </si>
  <si>
    <t>const#9</t>
  </si>
  <si>
    <t>const#10</t>
  </si>
  <si>
    <t>const#11</t>
  </si>
  <si>
    <t>const#12</t>
  </si>
  <si>
    <t>const#13</t>
  </si>
  <si>
    <t>const#14</t>
  </si>
  <si>
    <t>const#15</t>
  </si>
  <si>
    <t>const#16</t>
  </si>
  <si>
    <t>const#17</t>
  </si>
  <si>
    <t>const#18</t>
  </si>
  <si>
    <t>const#19</t>
  </si>
  <si>
    <t>const#20</t>
  </si>
  <si>
    <t>const#21</t>
  </si>
  <si>
    <t>const#22</t>
  </si>
  <si>
    <t>const#23</t>
  </si>
  <si>
    <t>const#24</t>
  </si>
  <si>
    <t>const#25</t>
  </si>
  <si>
    <t>const#26</t>
  </si>
  <si>
    <t>const#27</t>
  </si>
  <si>
    <t>const#28</t>
  </si>
  <si>
    <t>const#29</t>
  </si>
  <si>
    <t>const#30</t>
  </si>
  <si>
    <t>const#31</t>
  </si>
  <si>
    <t>const#32</t>
  </si>
  <si>
    <t>const#33</t>
  </si>
  <si>
    <t>const#34</t>
  </si>
  <si>
    <t>result#1</t>
  </si>
  <si>
    <t>result#2</t>
  </si>
  <si>
    <t>result#3</t>
  </si>
  <si>
    <t>result#4</t>
  </si>
  <si>
    <t>result#5</t>
  </si>
  <si>
    <t>result#6</t>
  </si>
  <si>
    <t>result#7</t>
  </si>
  <si>
    <t>result#8</t>
  </si>
  <si>
    <t>result#9</t>
  </si>
  <si>
    <t>result#10</t>
  </si>
  <si>
    <t>result#11</t>
  </si>
  <si>
    <t>result#12</t>
  </si>
  <si>
    <t>result#13</t>
  </si>
  <si>
    <t>result#14</t>
  </si>
  <si>
    <t>result#15</t>
  </si>
  <si>
    <t>result#16</t>
  </si>
  <si>
    <t>result#17</t>
  </si>
  <si>
    <t>result#18</t>
  </si>
  <si>
    <t>result#19</t>
  </si>
  <si>
    <t>result#20</t>
  </si>
  <si>
    <t>result#21</t>
  </si>
  <si>
    <t>result#22</t>
  </si>
  <si>
    <t>result#23</t>
  </si>
  <si>
    <t>result#24</t>
  </si>
  <si>
    <t>result#25</t>
  </si>
  <si>
    <t>result#26</t>
  </si>
  <si>
    <t>result#27</t>
  </si>
  <si>
    <t>result#28</t>
  </si>
  <si>
    <t>result#29</t>
  </si>
  <si>
    <t>agg:SUM#1</t>
  </si>
  <si>
    <t>agg:SUM#2</t>
  </si>
  <si>
    <t>agg:SUM#3</t>
  </si>
  <si>
    <t>agg:SUM#4</t>
  </si>
  <si>
    <t>agg:SUM#5</t>
  </si>
  <si>
    <t>agg:SUM#6</t>
  </si>
  <si>
    <t>agg:MAX#1</t>
  </si>
  <si>
    <t>agg:MAX#2</t>
  </si>
  <si>
    <t>agg:MAX#3</t>
  </si>
  <si>
    <t>agg:MAX#4</t>
  </si>
  <si>
    <t>agg:MIN#1</t>
  </si>
  <si>
    <t>agg:MIN#2</t>
  </si>
  <si>
    <t>agg:AVERAGE#1</t>
  </si>
  <si>
    <t>agg:AVERAGE#2</t>
  </si>
  <si>
    <t>agg:AVERAGE#3</t>
  </si>
  <si>
    <t>agg:AVERAGEA#1</t>
  </si>
  <si>
    <t>agg:AVERAGEA#2</t>
  </si>
  <si>
    <t>agg:COUNT#1</t>
  </si>
  <si>
    <t>agg:COUNT#2</t>
  </si>
  <si>
    <t>agg:COUNTA#1</t>
  </si>
  <si>
    <t>agg:COUNTA#2</t>
  </si>
  <si>
    <t>agg:COUNTA#3</t>
  </si>
  <si>
    <t>agg:COUNTA#4</t>
  </si>
  <si>
    <t>agg:COUNTA#5</t>
  </si>
  <si>
    <t>agg:COUNTA#6</t>
  </si>
  <si>
    <t>agg:COUNTA#7</t>
  </si>
  <si>
    <t>agg:COUNTA#8</t>
  </si>
  <si>
    <t>agg:COUNTA#9</t>
  </si>
  <si>
    <t>agg:COUNTA#10</t>
  </si>
  <si>
    <t>agg:COUNTA#11</t>
  </si>
  <si>
    <t>agg:COUNTA#12</t>
  </si>
  <si>
    <t>agg:COUNTA#13</t>
  </si>
  <si>
    <t>agg:COUNTA#14</t>
  </si>
  <si>
    <t>agg:COUNTA#15</t>
  </si>
  <si>
    <t>agg:COUNTA#16</t>
  </si>
  <si>
    <t>agg:COUNTA#17</t>
  </si>
  <si>
    <t>empty#1</t>
  </si>
  <si>
    <t>empty#2</t>
  </si>
  <si>
    <t>empty#3</t>
  </si>
  <si>
    <t>empty#4</t>
  </si>
  <si>
    <t>empty#5</t>
  </si>
  <si>
    <t>empty#6</t>
  </si>
  <si>
    <t>agg:MAXA#1</t>
  </si>
  <si>
    <t>agg:MAXA#2</t>
  </si>
  <si>
    <t>agg:MAXA#3</t>
  </si>
  <si>
    <t>agg:MINA#1</t>
  </si>
  <si>
    <t>agg:MINA#2</t>
  </si>
  <si>
    <t>agg:STDEVA#1</t>
  </si>
  <si>
    <t>agg:STDEVA#2</t>
  </si>
  <si>
    <t>agg:STDEVPA#1</t>
  </si>
  <si>
    <t>agg:STDEVPA#2</t>
  </si>
  <si>
    <t>agg:VARA#1</t>
  </si>
  <si>
    <t>agg:VARA#2</t>
  </si>
  <si>
    <t>agg:VARPA#1</t>
  </si>
  <si>
    <t>agg:AVERAGEA#3</t>
  </si>
  <si>
    <t>agg:AVERAGEA#4</t>
  </si>
  <si>
    <t>agg:AVERAGEA#5</t>
  </si>
  <si>
    <t>agg:AVERAGEA#6</t>
  </si>
  <si>
    <t>agg:AVERAGEA#7</t>
  </si>
  <si>
    <t>agg:TEXTJOIN#1</t>
  </si>
  <si>
    <t>agg:TEXTJOIN#2</t>
  </si>
  <si>
    <t>agg:COUNT#3</t>
  </si>
  <si>
    <t>agg:COUNT#4</t>
  </si>
  <si>
    <t>agg:AND#1</t>
  </si>
  <si>
    <t>agg:CHOOSE#1</t>
  </si>
  <si>
    <t>agg:CHOOSE#2</t>
  </si>
  <si>
    <t>agg:PRODUCT#1</t>
  </si>
  <si>
    <t>agg:AND#2</t>
  </si>
  <si>
    <t>agg:AND#3</t>
  </si>
  <si>
    <t>agg:AND#4</t>
  </si>
  <si>
    <t>agg:OR#1</t>
  </si>
  <si>
    <t>agg:OR#2</t>
  </si>
  <si>
    <t>agg:XOR#1</t>
  </si>
  <si>
    <t>agg:CONCAT#1</t>
  </si>
  <si>
    <t>agg:CONCAT#2</t>
  </si>
  <si>
    <t>agg:CONCAT#3</t>
  </si>
  <si>
    <t>agg:CONCAT#4</t>
  </si>
  <si>
    <t>agg:TEXTJOIN#3</t>
  </si>
  <si>
    <t>agg:TEXTJOIN#4</t>
  </si>
  <si>
    <t>agg:TEXTJOIN#5</t>
  </si>
  <si>
    <t>agg:TEXTJOIN#6</t>
  </si>
  <si>
    <t>agg:TEXTJOIN#7</t>
  </si>
  <si>
    <t>agg:SUMPRODUCT#1</t>
  </si>
  <si>
    <t>agg:SUMPRODUCT#2</t>
  </si>
  <si>
    <t>agg:SUMPRODUCT#3</t>
  </si>
  <si>
    <t>agg:SUMPRODUCT#4</t>
  </si>
  <si>
    <t>agg:SUMPRODUCT#5</t>
  </si>
  <si>
    <t>agg:SUMPRODUCT#6</t>
  </si>
  <si>
    <t>agg:SUMPRODUCT#7</t>
  </si>
  <si>
    <t>agg:SUMPRODUCT#8</t>
  </si>
  <si>
    <t>agg:LARGE#1</t>
  </si>
  <si>
    <t>agg:LARGE#2</t>
  </si>
  <si>
    <t>agg:LARGE#3</t>
  </si>
  <si>
    <t>agg:SMALL#1</t>
  </si>
  <si>
    <t>agg:MEDIAN#1</t>
  </si>
  <si>
    <t>agg:STDEV.S#1</t>
  </si>
  <si>
    <t>agg:VAR.P#1</t>
  </si>
  <si>
    <t>agg:MODE.SNGL#1</t>
  </si>
  <si>
    <t>agg:MODE.SNGL#2</t>
  </si>
  <si>
    <t>agg:GCD#1</t>
  </si>
  <si>
    <t>agg:CORREL#1</t>
  </si>
  <si>
    <t>agg:NPV#1</t>
  </si>
  <si>
    <t>agg:IRR#1</t>
  </si>
  <si>
    <t>lazy:IF#1</t>
  </si>
  <si>
    <t>lazy:IF#2</t>
  </si>
  <si>
    <t>lazy:IF#3</t>
  </si>
  <si>
    <t>lazy:IF#4</t>
  </si>
  <si>
    <t>lazy:IF#5</t>
  </si>
  <si>
    <t>lazy:IF#6</t>
  </si>
  <si>
    <t>lazy:IF#7</t>
  </si>
  <si>
    <t>lazy:IF#8</t>
  </si>
  <si>
    <t>lazy:IF#9</t>
  </si>
  <si>
    <t>lazy:IF#10</t>
  </si>
  <si>
    <t>lazy:IF#11</t>
  </si>
  <si>
    <t>lazy:IF#12</t>
  </si>
  <si>
    <t>lazy:IFERROR#1</t>
  </si>
  <si>
    <t>lazy:IFERROR#2</t>
  </si>
  <si>
    <t>lazy:IFERROR#3</t>
  </si>
  <si>
    <t>lazy:IFERROR#4</t>
  </si>
  <si>
    <t>lazy:IFERROR#5</t>
  </si>
  <si>
    <t>lazy:IFERROR#6</t>
  </si>
  <si>
    <t>lazy:IFNA#1</t>
  </si>
  <si>
    <t>lazy:IFNA#2</t>
  </si>
  <si>
    <t>lazy:IFS#1</t>
  </si>
  <si>
    <t>lazy:IFS#2</t>
  </si>
  <si>
    <t>lazy:SWITCH#1</t>
  </si>
  <si>
    <t>lazy:SWITCH#2</t>
  </si>
  <si>
    <t>lazy:NOT#1</t>
  </si>
  <si>
    <t>lazy:CHOOSE#1</t>
  </si>
  <si>
    <t>lazy:CHOOSE#2</t>
  </si>
  <si>
    <t>lazy:CHOOSE#3</t>
  </si>
  <si>
    <t>lazy:CHOOSE#4</t>
  </si>
  <si>
    <t>lazy:CHOOSE#5</t>
  </si>
  <si>
    <t>key:COUNTIF#1</t>
  </si>
  <si>
    <t>key:COUNTIF#2</t>
  </si>
  <si>
    <t>key:COUNTIF#3</t>
  </si>
  <si>
    <t>key:COUNTIF#4</t>
  </si>
  <si>
    <t>key:SUMIF#1</t>
  </si>
  <si>
    <t>key:SUMIFS#1</t>
  </si>
  <si>
    <t>key:COUNTIFS#1</t>
  </si>
  <si>
    <t>key:COUNTIFS#2</t>
  </si>
  <si>
    <t>key:COUNTIFS#3</t>
  </si>
  <si>
    <t>key:AVERAGEIF#1</t>
  </si>
  <si>
    <t>key:VLOOKUP#1</t>
  </si>
  <si>
    <t>key:VLOOKUP#2</t>
  </si>
  <si>
    <t>key:VLOOKUP#3</t>
  </si>
  <si>
    <t>key:VLOOKUP#4</t>
  </si>
  <si>
    <t>key:HLOOKUP#1</t>
  </si>
  <si>
    <t>index:VLOOKUP#1</t>
  </si>
  <si>
    <t>index:VLOOKUP#2</t>
  </si>
  <si>
    <t>index:VLOOKUP#3</t>
  </si>
  <si>
    <t>index:VLOOKUP#4</t>
  </si>
  <si>
    <t>index:VLOOKUP#5</t>
  </si>
  <si>
    <t>index:VLOOKUP#6</t>
  </si>
  <si>
    <t>index:VLOOKUP#7</t>
  </si>
  <si>
    <t>index:VLOOKUP#8</t>
  </si>
  <si>
    <t>index:VLOOKUP#9</t>
  </si>
  <si>
    <t>index:VLOOKUP#10</t>
  </si>
  <si>
    <t>index:VLOOKUP#11</t>
  </si>
  <si>
    <t>index:VLOOKUP#12</t>
  </si>
  <si>
    <t>index:VLOOKUP#13</t>
  </si>
  <si>
    <t>index:VLOOKUP#14</t>
  </si>
  <si>
    <t>index:VLOOKUP#15</t>
  </si>
  <si>
    <t>index:VLOOKUP#16</t>
  </si>
  <si>
    <t>index:VLOOKUP#17</t>
  </si>
  <si>
    <t>index:VLOOKUP#18</t>
  </si>
  <si>
    <t>index:VLOOKUP#19</t>
  </si>
  <si>
    <t>index:VLOOKUP#20</t>
  </si>
  <si>
    <t>index:VLOOKUP#21</t>
  </si>
  <si>
    <t>index:VLOOKUP#22</t>
  </si>
  <si>
    <t>index:VLOOKUP#23</t>
  </si>
  <si>
    <t>index:VLOOKUP#24</t>
  </si>
  <si>
    <t>index:VLOOKUP#25</t>
  </si>
  <si>
    <t>index:VLOOKUP#26</t>
  </si>
  <si>
    <t>index:VLOOKUP#27</t>
  </si>
  <si>
    <t>index:VLOOKUP#28</t>
  </si>
  <si>
    <t>index:VLOOKUP#29</t>
  </si>
  <si>
    <t>index:VLOOKUP#30</t>
  </si>
  <si>
    <t>index:VLOOKUP#31</t>
  </si>
  <si>
    <t>index:VLOOKUP#32</t>
  </si>
  <si>
    <t>index:VLOOKUP#33</t>
  </si>
  <si>
    <t>index:VLOOKUP#34</t>
  </si>
  <si>
    <t>index:VLOOKUP#35</t>
  </si>
  <si>
    <t>index:VLOOKUP#36</t>
  </si>
  <si>
    <t>index:VLOOKUP#37</t>
  </si>
  <si>
    <t>index:VLOOKUP#38</t>
  </si>
  <si>
    <t>index:VLOOKUP#39</t>
  </si>
  <si>
    <t>index:VLOOKUP#40</t>
  </si>
  <si>
    <t>index:VLOOKUP#41</t>
  </si>
  <si>
    <t>index:VLOOKUP#42</t>
  </si>
  <si>
    <t>index:VLOOKUP#43</t>
  </si>
  <si>
    <t>index:VLOOKUP#44</t>
  </si>
  <si>
    <t>index:VLOOKUP#45</t>
  </si>
  <si>
    <t>index:VLOOKUP#46</t>
  </si>
  <si>
    <t>index:VLOOKUP#47</t>
  </si>
  <si>
    <t>index:VLOOKUP#48</t>
  </si>
  <si>
    <t>index:VLOOKUP#49</t>
  </si>
  <si>
    <t>index:VLOOKUP#50</t>
  </si>
  <si>
    <t>index:VLOOKUP#51</t>
  </si>
  <si>
    <t>index:VLOOKUP#52</t>
  </si>
  <si>
    <t>index:VLOOKUP#53</t>
  </si>
  <si>
    <t>index:VLOOKUP#54</t>
  </si>
  <si>
    <t>index:VLOOKUP#55</t>
  </si>
  <si>
    <t>index:VLOOKUP#56</t>
  </si>
  <si>
    <t>index:VLOOKUP#57</t>
  </si>
  <si>
    <t>index:VLOOKUP#58</t>
  </si>
  <si>
    <t>index:VLOOKUP#59</t>
  </si>
  <si>
    <t>index:VLOOKUP#60</t>
  </si>
  <si>
    <t>index:VLOOKUP#61</t>
  </si>
  <si>
    <t>index:VLOOKUP#62</t>
  </si>
  <si>
    <t>index:VLOOKUP#63</t>
  </si>
  <si>
    <t>index:VLOOKUP#64</t>
  </si>
  <si>
    <t>index:VLOOKUP#65</t>
  </si>
  <si>
    <t>index:HLOOKUP#1</t>
  </si>
  <si>
    <t>index:HLOOKUP#2</t>
  </si>
  <si>
    <t>index:HLOOKUP#3</t>
  </si>
  <si>
    <t>index:HLOOKUP#4</t>
  </si>
  <si>
    <t>index:HLOOKUP#5</t>
  </si>
  <si>
    <t>index:HLOOKUP#6</t>
  </si>
  <si>
    <t>index:MATCH#1</t>
  </si>
  <si>
    <t>key:MATCH#1</t>
  </si>
  <si>
    <t>key:MATCH#2</t>
  </si>
  <si>
    <t>key:MATCH#3</t>
  </si>
  <si>
    <t>key:MATCH#4</t>
  </si>
  <si>
    <t>key:XLOOKUP#1</t>
  </si>
  <si>
    <t>key:XLOOKUP#2</t>
  </si>
  <si>
    <t>key:XLOOKUP#3</t>
  </si>
  <si>
    <t>key:XLOOKUP#4</t>
  </si>
  <si>
    <t>key:XLOOKUP#5</t>
  </si>
  <si>
    <t>key:XLOOKUP#6</t>
  </si>
  <si>
    <t>key:XLOOKUP#7</t>
  </si>
  <si>
    <t>key:XLOOKUP#8</t>
  </si>
  <si>
    <t>key:XLOOKUP#9</t>
  </si>
  <si>
    <t>key:XMATCH#1</t>
  </si>
  <si>
    <t>key:XMATCH#2</t>
  </si>
  <si>
    <t>key:LOOKUP#1</t>
  </si>
  <si>
    <t>key:LOOKUP#2</t>
  </si>
  <si>
    <t>lifted:ISBLANK#1</t>
  </si>
  <si>
    <t>lifted:ISBLANK#2</t>
  </si>
  <si>
    <t>lifted:ISBLANK#3</t>
  </si>
  <si>
    <t>lifted:ISNUMBER#1</t>
  </si>
  <si>
    <t>lifted:ISNUMBER#2</t>
  </si>
  <si>
    <t>lifted:ISTEXT#1</t>
  </si>
  <si>
    <t>lifted:ISERROR#1</t>
  </si>
  <si>
    <t>lifted:TYPE#1</t>
  </si>
  <si>
    <t>lifted:TYPE#2</t>
  </si>
  <si>
    <t>lifted:TYPE#3</t>
  </si>
  <si>
    <t>lifted:TYPE#4</t>
  </si>
  <si>
    <t>lifted:N#1</t>
  </si>
  <si>
    <t>lifted:N#2</t>
  </si>
  <si>
    <t>lifted:N#3</t>
  </si>
  <si>
    <t>lifted:T#1</t>
  </si>
  <si>
    <t>lifted:T#2</t>
  </si>
  <si>
    <t>lifted:EXACT#1</t>
  </si>
  <si>
    <t>lifted:MID#1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</si>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</sst>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1</v>
    <v>8</v>
    <v>0</v>
    <v>1</v>
  </rv>
  <rv s="0">
    <v>0</v>
    <v>8</v>
    <v>1</v>
    <v>1</v>
  </rv>
  <rv s="0">
    <v>0</v>
    <v>8</v>
    <v>2</v>
    <v>1</v>
  </rv>
  <rv s="0">
    <v>0</v>
    <v>8</v>
    <v>7</v>
    <v>1</v>
  </rv>
  <rv s="0">
    <v>0</v>
    <v>8</v>
    <v>5</v>
    <v>1</v>
  </rv>
  <rv s="0">
    <v>2</v>
    <v>8</v>
    <v>0</v>
    <v>1</v>
  </rv>
  <rv s="0">
    <v>0</v>
    <v>8</v>
    <v>0</v>
    <v>3</v>
  </rv>
  <rv s="0">
    <v>16383</v>
    <v>8</v>
    <v>0</v>
    <v>1</v>
  </rv>
  <rv s="1">
    <v>2</v>
    <v>1</v>
  </rv>
  <rv s="1">
    <v>2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>
        <v>10</v>
      </c>
      <c r="D1">
        <v>45658</v>
      </c>
      <c r="F1">
        <v>3</v>
      </c>
      <c r="H1" t="s">
        <v>2</v>
      </c>
    </row>
    <row r="2" spans="1:8" x14ac:dyDescent="0.2">
      <c r="A2" t="s">
        <v>3</v>
      </c>
      <c r="B2" t="s">
        <v>4</v>
      </c>
      <c r="C2">
        <v>25</v>
      </c>
      <c r="D2">
        <v>45700</v>
      </c>
      <c r="F2" t="s">
        <v>5</v>
      </c>
      <c r="H2" t="s">
        <v>6</v>
      </c>
    </row>
    <row r="3" spans="1:8" x14ac:dyDescent="0.2">
      <c r="A3" t="s">
        <v>7</v>
      </c>
      <c r="B3" t="s">
        <v>1</v>
      </c>
      <c r="C3">
        <v>7</v>
      </c>
      <c r="D3">
        <v>45650</v>
      </c>
      <c r="F3" t="b">
        <v>1</v>
      </c>
      <c r="H3" t="s">
        <v>8</v>
      </c>
    </row>
    <row r="4" spans="1:8" x14ac:dyDescent="0.2">
      <c r="A4" t="s">
        <v>9</v>
      </c>
      <c r="B4" t="s">
        <v>4</v>
      </c>
      <c r="C4">
        <v>10</v>
      </c>
      <c r="D4">
        <v>45690</v>
      </c>
      <c r="F4" t="s">
        <v>10</v>
      </c>
      <c r="H4" t="s">
        <v>11</v>
      </c>
    </row>
    <row r="5" spans="1:8" x14ac:dyDescent="0.2">
      <c r="A5" t="s">
        <v>12</v>
      </c>
      <c r="B5" t="s">
        <v>13</v>
      </c>
      <c r="C5">
        <v>3</v>
      </c>
      <c r="D5">
        <v>45710</v>
      </c>
      <c r="F5">
        <v>-1</v>
      </c>
    </row>
    <row r="6" spans="1:8" x14ac:dyDescent="0.2">
      <c r="A6" t="s">
        <v>14</v>
      </c>
      <c r="B6" t="s">
        <v>1</v>
      </c>
      <c r="C6">
        <v>25</v>
      </c>
      <c r="D6">
        <v>45640</v>
      </c>
      <c r="F6" t="b">
        <v>0</v>
      </c>
    </row>
    <row r="7" spans="1:8" x14ac:dyDescent="0.2">
      <c r="A7" t="s">
        <v>15</v>
      </c>
      <c r="B7" t="s">
        <v>13</v>
      </c>
      <c r="C7">
        <v>18</v>
      </c>
      <c r="D7">
        <v>45720</v>
      </c>
    </row>
    <row r="8" spans="1:8" x14ac:dyDescent="0.2">
      <c r="A8" t="s">
        <v>7</v>
      </c>
      <c r="B8" t="s">
        <v>4</v>
      </c>
      <c r="C8">
        <v>7</v>
      </c>
      <c r="D8">
        <v>45660</v>
      </c>
      <c r="F8" t="e">
        <f>NA()</f>
        <v>#N/A</v>
      </c>
    </row>
    <row r="9" spans="1:8" x14ac:dyDescent="0.2">
      <c r="F9" t="s">
        <v>16</v>
      </c>
    </row>
    <row r="10" spans="1:8" x14ac:dyDescent="0.2">
      <c r="F10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17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18</v>
      </c>
      <c r="N1">
        <v>10</v>
      </c>
      <c r="P1">
        <v>1</v>
      </c>
      <c r="Q1">
        <v>2</v>
      </c>
      <c r="R1">
        <v>5</v>
      </c>
      <c r="S1">
        <v>6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AA1" t="s">
        <v>19</v>
      </c>
      <c r="AB1" t="s">
        <v>20</v>
      </c>
      <c r="AC1" t="s">
        <v>19</v>
      </c>
      <c r="AD1" t="s">
        <v>19</v>
      </c>
      <c r="AE1" t="s">
        <v>19</v>
      </c>
      <c r="AF1" t="s">
        <v>19</v>
      </c>
      <c r="AG1" t="s">
        <v>19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16</v>
      </c>
    </row>
    <row r="2" spans="1:60" x14ac:dyDescent="0.2">
      <c r="A2" t="s">
        <v>24</v>
      </c>
      <c r="B2">
        <v>8</v>
      </c>
      <c r="C2">
        <v>7</v>
      </c>
      <c r="D2" t="s">
        <v>24</v>
      </c>
      <c r="E2">
        <v>2</v>
      </c>
      <c r="F2" t="s">
        <v>25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26</v>
      </c>
      <c r="N2">
        <v>20</v>
      </c>
      <c r="P2">
        <v>3</v>
      </c>
      <c r="Q2">
        <v>4</v>
      </c>
      <c r="R2">
        <v>7</v>
      </c>
      <c r="S2">
        <v>8</v>
      </c>
      <c r="U2" t="s">
        <v>27</v>
      </c>
      <c r="V2">
        <v>18</v>
      </c>
      <c r="W2">
        <v>20</v>
      </c>
      <c r="X2">
        <v>14</v>
      </c>
      <c r="Y2">
        <v>105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33</v>
      </c>
      <c r="B3">
        <v>15</v>
      </c>
      <c r="C3">
        <v>11</v>
      </c>
      <c r="D3" t="s">
        <v>33</v>
      </c>
      <c r="E3" t="e">
        <f>1/0</f>
        <v>#DIV/0!</v>
      </c>
      <c r="F3" t="s">
        <v>34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35</v>
      </c>
      <c r="N3">
        <v>30</v>
      </c>
      <c r="U3" t="s">
        <v>29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36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37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38</v>
      </c>
      <c r="N4">
        <v>50</v>
      </c>
      <c r="P4">
        <v>1</v>
      </c>
      <c r="Q4">
        <v>2</v>
      </c>
      <c r="R4">
        <v>3</v>
      </c>
      <c r="U4" t="s">
        <v>31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16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39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40</v>
      </c>
      <c r="N5">
        <v>80</v>
      </c>
      <c r="P5">
        <v>4</v>
      </c>
      <c r="Q5">
        <v>5</v>
      </c>
      <c r="R5">
        <v>6</v>
      </c>
      <c r="U5" t="s">
        <v>27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41</v>
      </c>
      <c r="AP5" s="1">
        <v>39786</v>
      </c>
      <c r="AS5" t="s">
        <v>10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42</v>
      </c>
      <c r="G6">
        <v>32</v>
      </c>
      <c r="H6" s="1">
        <v>45473</v>
      </c>
      <c r="L6">
        <v>13</v>
      </c>
      <c r="M6" t="s">
        <v>43</v>
      </c>
      <c r="N6">
        <v>130</v>
      </c>
      <c r="U6" t="s">
        <v>29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44</v>
      </c>
      <c r="G7">
        <v>64</v>
      </c>
      <c r="H7" s="1">
        <v>46022</v>
      </c>
      <c r="I7">
        <v>-10000</v>
      </c>
      <c r="J7">
        <v>100</v>
      </c>
      <c r="U7" t="s">
        <v>27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45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5</v>
      </c>
      <c r="AU8" s="1">
        <v>39448</v>
      </c>
      <c r="BG8">
        <v>2</v>
      </c>
    </row>
    <row r="9" spans="1:60" x14ac:dyDescent="0.2">
      <c r="A9" t="s">
        <v>46</v>
      </c>
      <c r="I9">
        <v>4200</v>
      </c>
      <c r="J9">
        <v>300</v>
      </c>
      <c r="L9" t="s">
        <v>18</v>
      </c>
      <c r="M9" t="s">
        <v>26</v>
      </c>
      <c r="N9" t="s">
        <v>35</v>
      </c>
      <c r="O9" t="s">
        <v>38</v>
      </c>
      <c r="P9" t="s">
        <v>40</v>
      </c>
      <c r="Q9" t="s">
        <v>43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SUM(D!B1:B8*2)</f>
        <v>229.5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229.5</v>
      </c>
      <c r="D1" t="str">
        <f t="shared" ref="D1:D64" si="2">IF(ISTEXT(A1),A1,"")</f>
        <v/>
      </c>
      <c r="E1" t="s">
        <v>49</v>
      </c>
    </row>
    <row r="2" spans="1:5" x14ac:dyDescent="0.2">
      <c r="A2" cm="1">
        <f t="array" ref="A2">SUM(D!B1:B8*D!C1:C8)</f>
        <v>2791.75</v>
      </c>
      <c r="B2">
        <f t="shared" si="0"/>
        <v>0</v>
      </c>
      <c r="C2">
        <f t="shared" si="1"/>
        <v>2791.75</v>
      </c>
      <c r="D2" t="str">
        <f t="shared" si="2"/>
        <v/>
      </c>
      <c r="E2" t="s">
        <v>50</v>
      </c>
    </row>
    <row r="3" spans="1:5" x14ac:dyDescent="0.2">
      <c r="A3" cm="1">
        <f t="array" ref="A3">SUM(D!B1:B8-D!C1:C8)</f>
        <v>6.75</v>
      </c>
      <c r="B3">
        <f t="shared" si="0"/>
        <v>0</v>
      </c>
      <c r="C3">
        <f t="shared" si="1"/>
        <v>6.75</v>
      </c>
      <c r="D3" t="str">
        <f t="shared" si="2"/>
        <v/>
      </c>
      <c r="E3" t="s">
        <v>51</v>
      </c>
    </row>
    <row r="4" spans="1:5" x14ac:dyDescent="0.2">
      <c r="A4" cm="1">
        <f t="array" ref="A4">SUM(D!B1:B8/D!C1:C8)</f>
        <v>12.132725753778384</v>
      </c>
      <c r="B4">
        <f t="shared" si="0"/>
        <v>0</v>
      </c>
      <c r="C4">
        <f t="shared" si="1"/>
        <v>12.132725753778384</v>
      </c>
      <c r="D4" t="str">
        <f t="shared" si="2"/>
        <v/>
      </c>
      <c r="E4" t="s">
        <v>52</v>
      </c>
    </row>
    <row r="5" spans="1:5" x14ac:dyDescent="0.2">
      <c r="A5" cm="1">
        <f t="array" ref="A5">SUM(D!B1:B8^2)</f>
        <v>2971.3125</v>
      </c>
      <c r="B5">
        <f t="shared" si="0"/>
        <v>0</v>
      </c>
      <c r="C5">
        <f t="shared" si="1"/>
        <v>2971.3125</v>
      </c>
      <c r="D5" t="str">
        <f t="shared" si="2"/>
        <v/>
      </c>
      <c r="E5" t="s">
        <v>53</v>
      </c>
    </row>
    <row r="6" spans="1:5" x14ac:dyDescent="0.2">
      <c r="A6" cm="1">
        <f t="array" ref="A6">SUM(-D!B1:B8)</f>
        <v>-114.75</v>
      </c>
      <c r="B6">
        <f t="shared" si="0"/>
        <v>0</v>
      </c>
      <c r="C6">
        <f t="shared" si="1"/>
        <v>-114.75</v>
      </c>
      <c r="D6" t="str">
        <f t="shared" si="2"/>
        <v/>
      </c>
      <c r="E6" t="s">
        <v>54</v>
      </c>
    </row>
    <row r="7" spans="1:5" x14ac:dyDescent="0.2">
      <c r="A7" cm="1">
        <f t="array" ref="A7">SUM(D!B1:B8%)</f>
        <v>1.1475000000000002</v>
      </c>
      <c r="B7">
        <f t="shared" si="0"/>
        <v>0</v>
      </c>
      <c r="C7">
        <f t="shared" si="1"/>
        <v>1.1475000000000002</v>
      </c>
      <c r="D7" t="str">
        <f t="shared" si="2"/>
        <v/>
      </c>
      <c r="E7" t="s">
        <v>55</v>
      </c>
    </row>
    <row r="8" spans="1:5" x14ac:dyDescent="0.2">
      <c r="A8" cm="1">
        <f t="array" ref="A8">SUM(+D!B1:B8)</f>
        <v>114.75</v>
      </c>
      <c r="B8">
        <f t="shared" si="0"/>
        <v>0</v>
      </c>
      <c r="C8">
        <f t="shared" si="1"/>
        <v>114.75</v>
      </c>
      <c r="D8" t="str">
        <f t="shared" si="2"/>
        <v/>
      </c>
      <c r="E8" t="s">
        <v>56</v>
      </c>
    </row>
    <row r="9" spans="1:5" x14ac:dyDescent="0.2">
      <c r="A9" cm="1">
        <f t="array" ref="A9">INDEX(D!B1:B8%,1)</f>
        <v>0.04</v>
      </c>
      <c r="B9">
        <f t="shared" si="0"/>
        <v>0</v>
      </c>
      <c r="C9">
        <f t="shared" si="1"/>
        <v>0.04</v>
      </c>
      <c r="D9" t="str">
        <f t="shared" si="2"/>
        <v/>
      </c>
      <c r="E9" t="s">
        <v>57</v>
      </c>
    </row>
    <row r="10" spans="1:5" x14ac:dyDescent="0.2">
      <c r="A10" cm="1">
        <f t="array" ref="A10">SUM(D!B1:B8*D!B1)</f>
        <v>459</v>
      </c>
      <c r="B10">
        <f t="shared" si="0"/>
        <v>0</v>
      </c>
      <c r="C10">
        <f t="shared" si="1"/>
        <v>459</v>
      </c>
      <c r="D10" t="str">
        <f t="shared" si="2"/>
        <v/>
      </c>
      <c r="E10" t="s">
        <v>58</v>
      </c>
    </row>
    <row r="11" spans="1:5" x14ac:dyDescent="0.2">
      <c r="A11" cm="1">
        <f t="array" ref="A11">SUM(2^{1,2,3})</f>
        <v>14</v>
      </c>
      <c r="B11">
        <f t="shared" si="0"/>
        <v>0</v>
      </c>
      <c r="C11">
        <f t="shared" si="1"/>
        <v>14</v>
      </c>
      <c r="D11" t="str">
        <f t="shared" si="2"/>
        <v/>
      </c>
      <c r="E11" t="s">
        <v>59</v>
      </c>
    </row>
    <row r="12" spans="1:5" x14ac:dyDescent="0.2">
      <c r="A12" cm="1">
        <f t="array" ref="A12">SUM({2,3}^{2;3})</f>
        <v>48</v>
      </c>
      <c r="B12">
        <f t="shared" si="0"/>
        <v>0</v>
      </c>
      <c r="C12">
        <f t="shared" si="1"/>
        <v>48</v>
      </c>
      <c r="D12" t="str">
        <f t="shared" si="2"/>
        <v/>
      </c>
      <c r="E12" t="s">
        <v>60</v>
      </c>
    </row>
    <row r="13" spans="1:5" x14ac:dyDescent="0.2">
      <c r="A13" t="e" cm="1">
        <f t="array" ref="A13">INDEX({0}^{0},1)</f>
        <v>#NUM!</v>
      </c>
      <c r="B13">
        <f t="shared" si="0"/>
        <v>6</v>
      </c>
      <c r="C13">
        <f t="shared" si="1"/>
        <v>0</v>
      </c>
      <c r="D13" t="str">
        <f t="shared" si="2"/>
        <v/>
      </c>
      <c r="E13" t="s">
        <v>61</v>
      </c>
    </row>
    <row r="14" spans="1:5" x14ac:dyDescent="0.2">
      <c r="A14" t="e" cm="1">
        <f t="array" ref="A14">INDEX(1/{1,0,2},1,2)</f>
        <v>#DIV/0!</v>
      </c>
      <c r="B14">
        <f t="shared" si="0"/>
        <v>2</v>
      </c>
      <c r="C14">
        <f t="shared" si="1"/>
        <v>0</v>
      </c>
      <c r="D14" t="str">
        <f t="shared" si="2"/>
        <v/>
      </c>
      <c r="E14" t="s">
        <v>62</v>
      </c>
    </row>
    <row r="15" spans="1:5" x14ac:dyDescent="0.2">
      <c r="A15" t="e" cm="1">
        <f t="array" ref="A15">SUM(1E+307*{100,1})</f>
        <v>#NUM!</v>
      </c>
      <c r="B15">
        <f t="shared" si="0"/>
        <v>6</v>
      </c>
      <c r="C15">
        <f t="shared" si="1"/>
        <v>0</v>
      </c>
      <c r="D15" t="str">
        <f t="shared" si="2"/>
        <v/>
      </c>
      <c r="E15" t="s">
        <v>63</v>
      </c>
    </row>
    <row r="16" spans="1:5" x14ac:dyDescent="0.2">
      <c r="A16" cm="1">
        <f t="array" ref="A16">INDEX(-{"1","a"},1,1)</f>
        <v>-1</v>
      </c>
      <c r="B16">
        <f t="shared" si="0"/>
        <v>0</v>
      </c>
      <c r="C16">
        <f t="shared" si="1"/>
        <v>-1</v>
      </c>
      <c r="D16" t="str">
        <f t="shared" si="2"/>
        <v/>
      </c>
      <c r="E16" t="s">
        <v>64</v>
      </c>
    </row>
    <row r="17" spans="1:5" x14ac:dyDescent="0.2">
      <c r="A17" t="e" cm="1">
        <f t="array" ref="A17">INDEX(-{"1","a"},1,2)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65</v>
      </c>
    </row>
    <row r="18" spans="1:5" x14ac:dyDescent="0.2">
      <c r="A18" cm="1">
        <f t="array" ref="A18">SUM({1,2,3}+{10;20})</f>
        <v>102</v>
      </c>
      <c r="B18">
        <f t="shared" si="0"/>
        <v>0</v>
      </c>
      <c r="C18">
        <f t="shared" si="1"/>
        <v>102</v>
      </c>
      <c r="D18" t="str">
        <f t="shared" si="2"/>
        <v/>
      </c>
      <c r="E18" t="s">
        <v>66</v>
      </c>
    </row>
    <row r="19" spans="1:5" x14ac:dyDescent="0.2">
      <c r="A19" cm="1">
        <f t="array" ref="A19">ROWS({1,2,3}+{10;20})</f>
        <v>2</v>
      </c>
      <c r="B19">
        <f t="shared" si="0"/>
        <v>0</v>
      </c>
      <c r="C19">
        <f t="shared" si="1"/>
        <v>2</v>
      </c>
      <c r="D19" t="str">
        <f t="shared" si="2"/>
        <v/>
      </c>
      <c r="E19" t="s">
        <v>67</v>
      </c>
    </row>
    <row r="20" spans="1:5" x14ac:dyDescent="0.2">
      <c r="A20" cm="1">
        <f t="array" ref="A20">COLUMNS({1,2,3}+{10;20})</f>
        <v>3</v>
      </c>
      <c r="B20">
        <f t="shared" si="0"/>
        <v>0</v>
      </c>
      <c r="C20">
        <f t="shared" si="1"/>
        <v>3</v>
      </c>
      <c r="D20" t="str">
        <f t="shared" si="2"/>
        <v/>
      </c>
      <c r="E20" t="s">
        <v>68</v>
      </c>
    </row>
    <row r="21" spans="1:5" x14ac:dyDescent="0.2">
      <c r="A21" t="e" cm="1">
        <f t="array" ref="A21">SUM({1,2,3}+{1,2})</f>
        <v>#N/A</v>
      </c>
      <c r="B21">
        <f t="shared" si="0"/>
        <v>7</v>
      </c>
      <c r="C21">
        <f t="shared" si="1"/>
        <v>0</v>
      </c>
      <c r="D21" t="str">
        <f t="shared" si="2"/>
        <v/>
      </c>
      <c r="E21" t="s">
        <v>69</v>
      </c>
    </row>
    <row r="22" spans="1:5" x14ac:dyDescent="0.2">
      <c r="A22" t="e" cm="1">
        <f t="array" ref="A22">INDEX({1,2,3}+{1,2},1,3)</f>
        <v>#N/A</v>
      </c>
      <c r="B22">
        <f t="shared" si="0"/>
        <v>7</v>
      </c>
      <c r="C22">
        <f t="shared" si="1"/>
        <v>0</v>
      </c>
      <c r="D22" t="str">
        <f t="shared" si="2"/>
        <v/>
      </c>
      <c r="E22" t="s">
        <v>70</v>
      </c>
    </row>
    <row r="23" spans="1:5" x14ac:dyDescent="0.2">
      <c r="A23" cm="1">
        <f t="array" ref="A23">INDEX({1,2,3}+{1,2},1,2)</f>
        <v>4</v>
      </c>
      <c r="B23">
        <f t="shared" si="0"/>
        <v>0</v>
      </c>
      <c r="C23">
        <f t="shared" si="1"/>
        <v>4</v>
      </c>
      <c r="D23" t="str">
        <f t="shared" si="2"/>
        <v/>
      </c>
      <c r="E23" t="s">
        <v>71</v>
      </c>
    </row>
    <row r="24" spans="1:5" x14ac:dyDescent="0.2">
      <c r="A24" cm="1">
        <f t="array" ref="A24">COLUMNS({1,2,3}+{1,2})</f>
        <v>3</v>
      </c>
      <c r="B24">
        <f t="shared" si="0"/>
        <v>0</v>
      </c>
      <c r="C24">
        <f t="shared" si="1"/>
        <v>3</v>
      </c>
      <c r="D24" t="str">
        <f t="shared" si="2"/>
        <v/>
      </c>
      <c r="E24" t="s">
        <v>72</v>
      </c>
    </row>
    <row r="25" spans="1:5" x14ac:dyDescent="0.2">
      <c r="A25" t="e" cm="1">
        <f t="array" ref="A25">INDEX({1,2;3,4}+{10,20,30},2,3)</f>
        <v>#N/A</v>
      </c>
      <c r="B25">
        <f t="shared" si="0"/>
        <v>7</v>
      </c>
      <c r="C25">
        <f t="shared" si="1"/>
        <v>0</v>
      </c>
      <c r="D25" t="str">
        <f t="shared" si="2"/>
        <v/>
      </c>
      <c r="E25" t="s">
        <v>73</v>
      </c>
    </row>
    <row r="26" spans="1:5" x14ac:dyDescent="0.2">
      <c r="A26" cm="1">
        <f t="array" ref="A26">INDEX({1,2;3,4}+{10,20,30},2,2)</f>
        <v>24</v>
      </c>
      <c r="B26">
        <f t="shared" si="0"/>
        <v>0</v>
      </c>
      <c r="C26">
        <f t="shared" si="1"/>
        <v>24</v>
      </c>
      <c r="D26" t="str">
        <f t="shared" si="2"/>
        <v/>
      </c>
      <c r="E26" t="s">
        <v>74</v>
      </c>
    </row>
    <row r="27" spans="1:5" x14ac:dyDescent="0.2">
      <c r="A27" t="e" cm="1">
        <f t="array" ref="A27">INDEX({1;2}*{1;2;3},3)</f>
        <v>#N/A</v>
      </c>
      <c r="B27">
        <f t="shared" si="0"/>
        <v>7</v>
      </c>
      <c r="C27">
        <f t="shared" si="1"/>
        <v>0</v>
      </c>
      <c r="D27" t="str">
        <f t="shared" si="2"/>
        <v/>
      </c>
      <c r="E27" t="s">
        <v>75</v>
      </c>
    </row>
    <row r="28" spans="1:5" x14ac:dyDescent="0.2">
      <c r="A28" cm="1">
        <f t="array" ref="A28">ROWS(D!B1:B3*D!C1:C2)</f>
        <v>3</v>
      </c>
      <c r="B28">
        <f t="shared" si="0"/>
        <v>0</v>
      </c>
      <c r="C28">
        <f t="shared" si="1"/>
        <v>3</v>
      </c>
      <c r="D28" t="str">
        <f t="shared" si="2"/>
        <v/>
      </c>
      <c r="E28" t="s">
        <v>76</v>
      </c>
    </row>
    <row r="29" spans="1:5" x14ac:dyDescent="0.2">
      <c r="A29" t="e" cm="1">
        <f t="array" ref="A29">INDEX(D!B1:B3*D!C1:C2,3)</f>
        <v>#N/A</v>
      </c>
      <c r="B29">
        <f t="shared" si="0"/>
        <v>7</v>
      </c>
      <c r="C29">
        <f t="shared" si="1"/>
        <v>0</v>
      </c>
      <c r="D29" t="str">
        <f t="shared" si="2"/>
        <v/>
      </c>
      <c r="E29" t="s">
        <v>77</v>
      </c>
    </row>
    <row r="30" spans="1:5" x14ac:dyDescent="0.2">
      <c r="A30" cm="1">
        <f t="array" ref="A30">INDEX(D!B1:B3*D!C1:C2,2)</f>
        <v>56</v>
      </c>
      <c r="B30">
        <f t="shared" si="0"/>
        <v>0</v>
      </c>
      <c r="C30">
        <f t="shared" si="1"/>
        <v>56</v>
      </c>
      <c r="D30" t="str">
        <f t="shared" si="2"/>
        <v/>
      </c>
      <c r="E30" t="s">
        <v>78</v>
      </c>
    </row>
    <row r="31" spans="1:5" x14ac:dyDescent="0.2">
      <c r="A31" cm="1">
        <f t="array" ref="A31">SUM(D!P1:Q2*D!B1:B2)</f>
        <v>68</v>
      </c>
      <c r="B31">
        <f t="shared" si="0"/>
        <v>0</v>
      </c>
      <c r="C31">
        <f t="shared" si="1"/>
        <v>68</v>
      </c>
      <c r="D31" t="str">
        <f t="shared" si="2"/>
        <v/>
      </c>
      <c r="E31" t="s">
        <v>79</v>
      </c>
    </row>
    <row r="32" spans="1:5" x14ac:dyDescent="0.2">
      <c r="A32" cm="1">
        <f t="array" ref="A32">SUM(D!B1:B2*D!P1:Q1)</f>
        <v>36</v>
      </c>
      <c r="B32">
        <f t="shared" si="0"/>
        <v>0</v>
      </c>
      <c r="C32">
        <f t="shared" si="1"/>
        <v>36</v>
      </c>
      <c r="D32" t="str">
        <f t="shared" si="2"/>
        <v/>
      </c>
      <c r="E32" t="s">
        <v>80</v>
      </c>
    </row>
    <row r="33" spans="1:5" x14ac:dyDescent="0.2">
      <c r="A33" cm="1">
        <f t="array" ref="A33">ROWS(D!B1:B2*D!P1:Q1)</f>
        <v>2</v>
      </c>
      <c r="B33">
        <f t="shared" si="0"/>
        <v>0</v>
      </c>
      <c r="C33">
        <f t="shared" si="1"/>
        <v>2</v>
      </c>
      <c r="D33" t="str">
        <f t="shared" si="2"/>
        <v/>
      </c>
      <c r="E33" t="s">
        <v>81</v>
      </c>
    </row>
    <row r="34" spans="1:5" x14ac:dyDescent="0.2">
      <c r="A34" cm="1">
        <f t="array" ref="A34">COLUMNS(D!B1:B2*D!P1:Q1)</f>
        <v>2</v>
      </c>
      <c r="B34">
        <f t="shared" si="0"/>
        <v>0</v>
      </c>
      <c r="C34">
        <f t="shared" si="1"/>
        <v>2</v>
      </c>
      <c r="D34" t="str">
        <f t="shared" si="2"/>
        <v/>
      </c>
      <c r="E34" t="s">
        <v>82</v>
      </c>
    </row>
    <row r="35" spans="1:5" x14ac:dyDescent="0.2">
      <c r="A35" cm="1">
        <f t="array" ref="A35">INDEX(D!P4:R5*{10;100},2,3)</f>
        <v>600</v>
      </c>
      <c r="B35">
        <f t="shared" si="0"/>
        <v>0</v>
      </c>
      <c r="C35">
        <f t="shared" si="1"/>
        <v>600</v>
      </c>
      <c r="D35" t="str">
        <f t="shared" si="2"/>
        <v/>
      </c>
      <c r="E35" t="s">
        <v>83</v>
      </c>
    </row>
    <row r="36" spans="1:5" x14ac:dyDescent="0.2">
      <c r="A36" t="e" cm="1">
        <f t="array" ref="A36">INDEX(D!P4:R5+{1,2},1,3)</f>
        <v>#N/A</v>
      </c>
      <c r="B36">
        <f t="shared" si="0"/>
        <v>7</v>
      </c>
      <c r="C36">
        <f t="shared" si="1"/>
        <v>0</v>
      </c>
      <c r="D36" t="str">
        <f t="shared" si="2"/>
        <v/>
      </c>
      <c r="E36" t="s">
        <v>84</v>
      </c>
    </row>
    <row r="37" spans="1:5" x14ac:dyDescent="0.2">
      <c r="A37" cm="1">
        <f t="array" ref="A37">INDEX(D!D1:D8*1,2)</f>
        <v>2</v>
      </c>
      <c r="B37">
        <f t="shared" si="0"/>
        <v>0</v>
      </c>
      <c r="C37">
        <f t="shared" si="1"/>
        <v>2</v>
      </c>
      <c r="D37" t="str">
        <f t="shared" si="2"/>
        <v/>
      </c>
      <c r="E37" t="s">
        <v>85</v>
      </c>
    </row>
    <row r="38" spans="1:5" x14ac:dyDescent="0.2">
      <c r="A38" t="e" cm="1">
        <f t="array" ref="A38">INDEX(D!D1:D8*1,3)</f>
        <v>#VALUE!</v>
      </c>
      <c r="B38">
        <f t="shared" si="0"/>
        <v>3</v>
      </c>
      <c r="C38">
        <f t="shared" si="1"/>
        <v>0</v>
      </c>
      <c r="D38" t="str">
        <f t="shared" si="2"/>
        <v/>
      </c>
      <c r="E38" t="s">
        <v>86</v>
      </c>
    </row>
    <row r="39" spans="1:5" x14ac:dyDescent="0.2">
      <c r="A39" cm="1">
        <f t="array" ref="A39">INDEX(D!D1:D8*1,4)</f>
        <v>1</v>
      </c>
      <c r="B39">
        <f t="shared" si="0"/>
        <v>0</v>
      </c>
      <c r="C39">
        <f t="shared" si="1"/>
        <v>1</v>
      </c>
      <c r="D39" t="str">
        <f t="shared" si="2"/>
        <v/>
      </c>
      <c r="E39" t="s">
        <v>87</v>
      </c>
    </row>
    <row r="40" spans="1:5" x14ac:dyDescent="0.2">
      <c r="A40" cm="1">
        <f t="array" ref="A40">INDEX(D!D1:D8*1,5)</f>
        <v>0</v>
      </c>
      <c r="B40">
        <f t="shared" si="0"/>
        <v>0</v>
      </c>
      <c r="C40">
        <f t="shared" si="1"/>
        <v>0</v>
      </c>
      <c r="D40" t="str">
        <f t="shared" si="2"/>
        <v/>
      </c>
      <c r="E40" t="s">
        <v>88</v>
      </c>
    </row>
    <row r="41" spans="1:5" x14ac:dyDescent="0.2">
      <c r="A41" cm="1">
        <f t="array" ref="A41">SUM(IFERROR(D!D1:D8*1,0))</f>
        <v>12.5</v>
      </c>
      <c r="B41">
        <f t="shared" si="0"/>
        <v>0</v>
      </c>
      <c r="C41">
        <f t="shared" si="1"/>
        <v>12.5</v>
      </c>
      <c r="D41" t="str">
        <f t="shared" si="2"/>
        <v/>
      </c>
      <c r="E41" t="s">
        <v>89</v>
      </c>
    </row>
    <row r="42" spans="1:5" x14ac:dyDescent="0.2">
      <c r="A42" t="e" cm="1">
        <f t="array" ref="A42">SUM(D!D1:D8*1)</f>
        <v>#VALUE!</v>
      </c>
      <c r="B42">
        <f t="shared" si="0"/>
        <v>3</v>
      </c>
      <c r="C42">
        <f t="shared" si="1"/>
        <v>0</v>
      </c>
      <c r="D42" t="str">
        <f t="shared" si="2"/>
        <v/>
      </c>
      <c r="E42" t="s">
        <v>90</v>
      </c>
    </row>
    <row r="43" spans="1:5" x14ac:dyDescent="0.2">
      <c r="A43" t="e" cm="1">
        <f t="array" ref="A43">SUM(D!E1:E8*1)</f>
        <v>#DIV/0!</v>
      </c>
      <c r="B43">
        <f t="shared" si="0"/>
        <v>2</v>
      </c>
      <c r="C43">
        <f t="shared" si="1"/>
        <v>0</v>
      </c>
      <c r="D43" t="str">
        <f t="shared" si="2"/>
        <v/>
      </c>
      <c r="E43" t="s">
        <v>91</v>
      </c>
    </row>
    <row r="44" spans="1:5" x14ac:dyDescent="0.2">
      <c r="A44" cm="1">
        <f t="array" ref="A44">INDEX(D!E1:E8*1,2)</f>
        <v>2</v>
      </c>
      <c r="B44">
        <f t="shared" si="0"/>
        <v>0</v>
      </c>
      <c r="C44">
        <f t="shared" si="1"/>
        <v>2</v>
      </c>
      <c r="D44" t="str">
        <f t="shared" si="2"/>
        <v/>
      </c>
      <c r="E44" t="s">
        <v>92</v>
      </c>
    </row>
    <row r="45" spans="1:5" x14ac:dyDescent="0.2">
      <c r="A45" cm="1">
        <f t="array" ref="A45">COUNT(D!E1:E8*1)</f>
        <v>7</v>
      </c>
      <c r="B45">
        <f t="shared" si="0"/>
        <v>0</v>
      </c>
      <c r="C45">
        <f t="shared" si="1"/>
        <v>7</v>
      </c>
      <c r="D45" t="str">
        <f t="shared" si="2"/>
        <v/>
      </c>
      <c r="E45" t="s">
        <v>93</v>
      </c>
    </row>
    <row r="46" spans="1:5" x14ac:dyDescent="0.2">
      <c r="A46" cm="1">
        <f t="array" ref="A46">INDEX(D!K1:K8+D!K1:K8,1)</f>
        <v>0</v>
      </c>
      <c r="B46">
        <f t="shared" si="0"/>
        <v>0</v>
      </c>
      <c r="C46">
        <f t="shared" si="1"/>
        <v>0</v>
      </c>
      <c r="D46" t="str">
        <f t="shared" si="2"/>
        <v/>
      </c>
      <c r="E46" t="s">
        <v>94</v>
      </c>
    </row>
    <row r="47" spans="1:5" x14ac:dyDescent="0.2">
      <c r="A47" t="str" cm="1">
        <f t="array" ref="A47">INDEX(D!K1:K8&amp;"",1)</f>
        <v/>
      </c>
      <c r="B47">
        <f t="shared" si="0"/>
        <v>-3</v>
      </c>
      <c r="C47">
        <f t="shared" si="1"/>
        <v>0</v>
      </c>
      <c r="D47" t="str">
        <f t="shared" si="2"/>
        <v/>
      </c>
      <c r="E47" t="s">
        <v>95</v>
      </c>
    </row>
    <row r="48" spans="1:5" x14ac:dyDescent="0.2">
      <c r="A48" cm="1">
        <f t="array" ref="A48">LEN(_xlfn.CONCAT(D!K1:K8&amp;"x"))</f>
        <v>8</v>
      </c>
      <c r="B48">
        <f t="shared" si="0"/>
        <v>0</v>
      </c>
      <c r="C48">
        <f t="shared" si="1"/>
        <v>8</v>
      </c>
      <c r="D48" t="str">
        <f t="shared" si="2"/>
        <v/>
      </c>
      <c r="E48" t="s">
        <v>96</v>
      </c>
    </row>
    <row r="49" spans="1:5" x14ac:dyDescent="0.2">
      <c r="A49" cm="1">
        <f t="array" ref="A49">SUM((D!B1:B8&gt;10)*1)</f>
        <v>5</v>
      </c>
      <c r="B49">
        <f t="shared" si="0"/>
        <v>0</v>
      </c>
      <c r="C49">
        <f t="shared" si="1"/>
        <v>5</v>
      </c>
      <c r="D49" t="str">
        <f t="shared" si="2"/>
        <v/>
      </c>
      <c r="E49" t="s">
        <v>97</v>
      </c>
    </row>
    <row r="50" spans="1:5" x14ac:dyDescent="0.2">
      <c r="A50" cm="1">
        <f t="array" ref="A50">SUM(--(D!F1:F7="аренда"))</f>
        <v>2</v>
      </c>
      <c r="B50">
        <f t="shared" si="0"/>
        <v>0</v>
      </c>
      <c r="C50">
        <f t="shared" si="1"/>
        <v>2</v>
      </c>
      <c r="D50" t="str">
        <f t="shared" si="2"/>
        <v/>
      </c>
      <c r="E50" t="s">
        <v>98</v>
      </c>
    </row>
    <row r="51" spans="1:5" x14ac:dyDescent="0.2">
      <c r="A51" cm="1">
        <f t="array" ref="A51">SUM(--(D!D1:D8=""))</f>
        <v>1</v>
      </c>
      <c r="B51">
        <f t="shared" si="0"/>
        <v>0</v>
      </c>
      <c r="C51">
        <f t="shared" si="1"/>
        <v>1</v>
      </c>
      <c r="D51" t="str">
        <f t="shared" si="2"/>
        <v/>
      </c>
      <c r="E51" t="s">
        <v>99</v>
      </c>
    </row>
    <row r="52" spans="1:5" x14ac:dyDescent="0.2">
      <c r="A52" cm="1">
        <f t="array" ref="A52">SUM(--(D!D1:D8=0))</f>
        <v>1</v>
      </c>
      <c r="B52">
        <f t="shared" si="0"/>
        <v>0</v>
      </c>
      <c r="C52">
        <f t="shared" si="1"/>
        <v>1</v>
      </c>
      <c r="D52" t="str">
        <f t="shared" si="2"/>
        <v/>
      </c>
      <c r="E52" t="s">
        <v>100</v>
      </c>
    </row>
    <row r="53" spans="1:5" x14ac:dyDescent="0.2">
      <c r="A53" cm="1">
        <f t="array" ref="A53">SUM(--(D!D1:D8&gt;2))</f>
        <v>6</v>
      </c>
      <c r="B53">
        <f t="shared" si="0"/>
        <v>0</v>
      </c>
      <c r="C53">
        <f t="shared" si="1"/>
        <v>6</v>
      </c>
      <c r="D53" t="str">
        <f t="shared" si="2"/>
        <v/>
      </c>
      <c r="E53" t="s">
        <v>101</v>
      </c>
    </row>
    <row r="54" spans="1:5" x14ac:dyDescent="0.2">
      <c r="A54" cm="1">
        <f t="array" ref="A54">SUM(--(D!D1:D8=FALSE))</f>
        <v>2</v>
      </c>
      <c r="B54">
        <f t="shared" si="0"/>
        <v>0</v>
      </c>
      <c r="C54">
        <f t="shared" si="1"/>
        <v>2</v>
      </c>
      <c r="D54" t="str">
        <f t="shared" si="2"/>
        <v/>
      </c>
      <c r="E54" t="s">
        <v>102</v>
      </c>
    </row>
    <row r="55" spans="1:5" x14ac:dyDescent="0.2">
      <c r="A55" t="e" cm="1">
        <f t="array" ref="A55">SUM(--(D!E1:E8&gt;3))</f>
        <v>#DIV/0!</v>
      </c>
      <c r="B55">
        <f t="shared" si="0"/>
        <v>2</v>
      </c>
      <c r="C55">
        <f t="shared" si="1"/>
        <v>0</v>
      </c>
      <c r="D55" t="str">
        <f t="shared" si="2"/>
        <v/>
      </c>
      <c r="E55" t="s">
        <v>103</v>
      </c>
    </row>
    <row r="56" spans="1:5" x14ac:dyDescent="0.2">
      <c r="A56" cm="1">
        <f t="array" ref="A56">SUM(--({"a","B","c"}&lt;"b"))</f>
        <v>1</v>
      </c>
      <c r="B56">
        <f t="shared" si="0"/>
        <v>0</v>
      </c>
      <c r="C56">
        <f t="shared" si="1"/>
        <v>1</v>
      </c>
      <c r="D56" t="str">
        <f t="shared" si="2"/>
        <v/>
      </c>
      <c r="E56" t="s">
        <v>104</v>
      </c>
    </row>
    <row r="57" spans="1:5" x14ac:dyDescent="0.2">
      <c r="A57" t="str" cm="1">
        <f t="array" ref="A57">INDEX(D!F1:F7&amp;"!",2)</f>
        <v>аренда!</v>
      </c>
      <c r="B57">
        <f t="shared" si="0"/>
        <v>-3</v>
      </c>
      <c r="C57">
        <f t="shared" si="1"/>
        <v>0</v>
      </c>
      <c r="D57" t="str">
        <f t="shared" si="2"/>
        <v>аренда!</v>
      </c>
      <c r="E57" t="s">
        <v>105</v>
      </c>
    </row>
    <row r="58" spans="1:5" x14ac:dyDescent="0.2">
      <c r="A58" t="str" cm="1">
        <f t="array" ref="A58">INDEX("&lt;"&amp;D!B1:B8&amp;"&gt;",7)</f>
        <v>&lt;-3.5&gt;</v>
      </c>
      <c r="B58">
        <f t="shared" si="0"/>
        <v>-3</v>
      </c>
      <c r="C58">
        <f t="shared" si="1"/>
        <v>0</v>
      </c>
      <c r="D58" t="str">
        <f t="shared" si="2"/>
        <v>&lt;-3.5&gt;</v>
      </c>
      <c r="E58" t="s">
        <v>106</v>
      </c>
    </row>
    <row r="59" spans="1:5" x14ac:dyDescent="0.2">
      <c r="A59" t="str" cm="1">
        <f t="array" ref="A59">_xlfn.CONCAT(D!B1:B3&amp;",")</f>
        <v>4,8,15,</v>
      </c>
      <c r="B59">
        <f t="shared" si="0"/>
        <v>-3</v>
      </c>
      <c r="C59">
        <f t="shared" si="1"/>
        <v>0</v>
      </c>
      <c r="D59" t="str">
        <f t="shared" si="2"/>
        <v>4,8,15,</v>
      </c>
      <c r="E59" t="s">
        <v>107</v>
      </c>
    </row>
    <row r="60" spans="1:5" x14ac:dyDescent="0.2">
      <c r="A60" t="str" cm="1">
        <f t="array" ref="A60">INDEX(D!D1:D8&amp;"",4)</f>
        <v>TRUE</v>
      </c>
      <c r="B60">
        <f t="shared" si="0"/>
        <v>-3</v>
      </c>
      <c r="C60">
        <f t="shared" si="1"/>
        <v>0</v>
      </c>
      <c r="D60" t="str">
        <f t="shared" si="2"/>
        <v>TRUE</v>
      </c>
      <c r="E60" t="s">
        <v>108</v>
      </c>
    </row>
    <row r="61" spans="1:5" x14ac:dyDescent="0.2">
      <c r="A61" t="str" cm="1">
        <f t="array" ref="A61">INDEX({1,2}&amp;{"a";"b"},2,1)</f>
        <v>1b</v>
      </c>
      <c r="B61">
        <f t="shared" si="0"/>
        <v>-3</v>
      </c>
      <c r="C61">
        <f t="shared" si="1"/>
        <v>0</v>
      </c>
      <c r="D61" t="str">
        <f t="shared" si="2"/>
        <v>1b</v>
      </c>
      <c r="E61" t="s">
        <v>109</v>
      </c>
    </row>
    <row r="62" spans="1:5" x14ac:dyDescent="0.2">
      <c r="A62" cm="1">
        <f t="array" ref="A62">SUM(D!B:B*1)</f>
        <v>114.75</v>
      </c>
      <c r="B62">
        <f t="shared" si="0"/>
        <v>0</v>
      </c>
      <c r="C62">
        <f t="shared" si="1"/>
        <v>114.75</v>
      </c>
      <c r="D62" t="str">
        <f t="shared" si="2"/>
        <v/>
      </c>
      <c r="E62" t="s">
        <v>110</v>
      </c>
    </row>
    <row r="63" spans="1:5" x14ac:dyDescent="0.2">
      <c r="A63" cm="1">
        <f t="array" ref="A63">SUM(D!B:B+1)</f>
        <v>1048690.75</v>
      </c>
      <c r="B63">
        <f t="shared" si="0"/>
        <v>0</v>
      </c>
      <c r="C63">
        <f t="shared" si="1"/>
        <v>1048690.75</v>
      </c>
      <c r="D63" t="str">
        <f t="shared" si="2"/>
        <v/>
      </c>
      <c r="E63" t="s">
        <v>111</v>
      </c>
    </row>
    <row r="64" spans="1:5" x14ac:dyDescent="0.2">
      <c r="A64" cm="1">
        <f t="array" ref="A64">COUNT(D!B:B*1)</f>
        <v>1048576</v>
      </c>
      <c r="B64">
        <f t="shared" si="0"/>
        <v>0</v>
      </c>
      <c r="C64">
        <f t="shared" si="1"/>
        <v>1048576</v>
      </c>
      <c r="D64" t="str">
        <f t="shared" si="2"/>
        <v/>
      </c>
      <c r="E64" t="s">
        <v>112</v>
      </c>
    </row>
    <row r="65" spans="1:5" x14ac:dyDescent="0.2">
      <c r="A65" cm="1">
        <f t="array" ref="A65">ROWS(D!B:B*1)</f>
        <v>1048576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1048576</v>
      </c>
      <c r="D65" t="str">
        <f t="shared" ref="D65:D128" si="5">IF(ISTEXT(A65),A65,"")</f>
        <v/>
      </c>
      <c r="E65" t="s">
        <v>113</v>
      </c>
    </row>
    <row r="66" spans="1:5" x14ac:dyDescent="0.2">
      <c r="A66" cm="1">
        <f t="array" ref="A66">SUM(D!B:B*D!C:C)</f>
        <v>2791.75</v>
      </c>
      <c r="B66">
        <f t="shared" si="3"/>
        <v>0</v>
      </c>
      <c r="C66">
        <f t="shared" si="4"/>
        <v>2791.75</v>
      </c>
      <c r="D66" t="str">
        <f t="shared" si="5"/>
        <v/>
      </c>
      <c r="E66" t="s">
        <v>114</v>
      </c>
    </row>
    <row r="67" spans="1:5" x14ac:dyDescent="0.2">
      <c r="A67" cm="1">
        <f t="array" ref="A67">SUMPRODUCT((D!B:B&gt;10)*D!C:C)</f>
        <v>100</v>
      </c>
      <c r="B67">
        <f t="shared" si="3"/>
        <v>0</v>
      </c>
      <c r="C67">
        <f t="shared" si="4"/>
        <v>100</v>
      </c>
      <c r="D67" t="str">
        <f t="shared" si="5"/>
        <v/>
      </c>
      <c r="E67" t="s">
        <v>115</v>
      </c>
    </row>
    <row r="68" spans="1:5" x14ac:dyDescent="0.2">
      <c r="A68" cm="1">
        <f t="array" ref="A68">MAX(D!B:B*2)</f>
        <v>84</v>
      </c>
      <c r="B68">
        <f t="shared" si="3"/>
        <v>0</v>
      </c>
      <c r="C68">
        <f t="shared" si="4"/>
        <v>84</v>
      </c>
      <c r="D68" t="str">
        <f t="shared" si="5"/>
        <v/>
      </c>
      <c r="E68" t="s">
        <v>116</v>
      </c>
    </row>
    <row r="69" spans="1:5" x14ac:dyDescent="0.2">
      <c r="A69" cm="1">
        <f t="array" ref="A69">MIN(D!B:B*2)</f>
        <v>-7</v>
      </c>
      <c r="B69">
        <f t="shared" si="3"/>
        <v>0</v>
      </c>
      <c r="C69">
        <f t="shared" si="4"/>
        <v>-7</v>
      </c>
      <c r="D69" t="str">
        <f t="shared" si="5"/>
        <v/>
      </c>
      <c r="E69" t="s">
        <v>117</v>
      </c>
    </row>
    <row r="70" spans="1:5" x14ac:dyDescent="0.2">
      <c r="A70" cm="1">
        <f t="array" ref="A70">MIN(D!B:B+100)</f>
        <v>96.5</v>
      </c>
      <c r="B70">
        <f t="shared" si="3"/>
        <v>0</v>
      </c>
      <c r="C70">
        <f t="shared" si="4"/>
        <v>96.5</v>
      </c>
      <c r="D70" t="str">
        <f t="shared" si="5"/>
        <v/>
      </c>
      <c r="E70" t="s">
        <v>118</v>
      </c>
    </row>
    <row r="71" spans="1:5" x14ac:dyDescent="0.2">
      <c r="A71" cm="1">
        <f t="array" ref="A71">COUNTA(D!B:B*1)</f>
        <v>1048576</v>
      </c>
      <c r="B71">
        <f t="shared" si="3"/>
        <v>0</v>
      </c>
      <c r="C71">
        <f t="shared" si="4"/>
        <v>1048576</v>
      </c>
      <c r="D71" t="str">
        <f t="shared" si="5"/>
        <v/>
      </c>
      <c r="E71" t="s">
        <v>119</v>
      </c>
    </row>
    <row r="72" spans="1:5" x14ac:dyDescent="0.2">
      <c r="A72" cm="1">
        <f t="array" ref="A72">COLUMNS(D!1:1*0)</f>
        <v>16384</v>
      </c>
      <c r="B72">
        <f t="shared" si="3"/>
        <v>0</v>
      </c>
      <c r="C72">
        <f t="shared" si="4"/>
        <v>16384</v>
      </c>
      <c r="D72" t="str">
        <f t="shared" si="5"/>
        <v/>
      </c>
      <c r="E72" t="s">
        <v>120</v>
      </c>
    </row>
    <row r="73" spans="1:5" x14ac:dyDescent="0.2">
      <c r="A73" cm="1">
        <f t="array" ref="A73">MATCH(1,(D!B:B&gt;20)*(D!C:C&gt;20),0)</f>
        <v>5</v>
      </c>
      <c r="B73">
        <f t="shared" si="3"/>
        <v>0</v>
      </c>
      <c r="C73">
        <f t="shared" si="4"/>
        <v>5</v>
      </c>
      <c r="D73" t="str">
        <f t="shared" si="5"/>
        <v/>
      </c>
      <c r="E73" t="s">
        <v>121</v>
      </c>
    </row>
    <row r="74" spans="1:5" x14ac:dyDescent="0.2">
      <c r="A74" cm="1">
        <f t="array" ref="A74">MATCH(0,(D!B:B&gt;20)*1,0)</f>
        <v>1</v>
      </c>
      <c r="B74">
        <f t="shared" si="3"/>
        <v>0</v>
      </c>
      <c r="C74">
        <f t="shared" si="4"/>
        <v>1</v>
      </c>
      <c r="D74" t="str">
        <f t="shared" si="5"/>
        <v/>
      </c>
      <c r="E74" t="s">
        <v>122</v>
      </c>
    </row>
    <row r="75" spans="1:5" x14ac:dyDescent="0.2">
      <c r="A75" cm="1">
        <f t="array" ref="A75">_xlfn.XMATCH(1,(D!B:B="")*1)</f>
        <v>9</v>
      </c>
      <c r="B75">
        <f t="shared" si="3"/>
        <v>0</v>
      </c>
      <c r="C75">
        <f t="shared" si="4"/>
        <v>9</v>
      </c>
      <c r="D75" t="str">
        <f t="shared" si="5"/>
        <v/>
      </c>
      <c r="E75" t="s">
        <v>123</v>
      </c>
    </row>
    <row r="76" spans="1:5" x14ac:dyDescent="0.2">
      <c r="A76" cm="1">
        <f t="array" ref="A76">SUM(--(D!B:B=""))</f>
        <v>1048568</v>
      </c>
      <c r="B76">
        <f t="shared" si="3"/>
        <v>0</v>
      </c>
      <c r="C76">
        <f t="shared" si="4"/>
        <v>1048568</v>
      </c>
      <c r="D76" t="str">
        <f t="shared" si="5"/>
        <v/>
      </c>
      <c r="E76" t="s">
        <v>124</v>
      </c>
    </row>
    <row r="77" spans="1:5" x14ac:dyDescent="0.2">
      <c r="A77" cm="1">
        <f t="array" ref="A77">AVERAGE(D!B:B*1)</f>
        <v>1.0943412780761719E-4</v>
      </c>
      <c r="B77">
        <f t="shared" si="3"/>
        <v>0</v>
      </c>
      <c r="C77">
        <f t="shared" si="4"/>
        <v>1.0943412780761719E-4</v>
      </c>
      <c r="D77" t="str">
        <f t="shared" si="5"/>
        <v/>
      </c>
      <c r="E77" t="s">
        <v>125</v>
      </c>
    </row>
    <row r="78" spans="1:5" x14ac:dyDescent="0.2">
      <c r="A78" cm="1">
        <f t="array" ref="A78">SUM(--({"x*y","Арeнда*","z"}&lt;"Аренда"))</f>
        <v>3</v>
      </c>
      <c r="B78">
        <f t="shared" si="3"/>
        <v>0</v>
      </c>
      <c r="C78">
        <f t="shared" si="4"/>
        <v>3</v>
      </c>
      <c r="D78" t="str">
        <f t="shared" si="5"/>
        <v/>
      </c>
      <c r="E78" t="s">
        <v>126</v>
      </c>
    </row>
    <row r="79" spans="1:5" x14ac:dyDescent="0.2">
      <c r="A79" cm="1">
        <f t="array" ref="A79">SUM(--(D!F1:F7&gt;"x"))</f>
        <v>7</v>
      </c>
      <c r="B79">
        <f t="shared" si="3"/>
        <v>0</v>
      </c>
      <c r="C79">
        <f t="shared" si="4"/>
        <v>7</v>
      </c>
      <c r="D79" t="str">
        <f t="shared" si="5"/>
        <v/>
      </c>
      <c r="E79" t="s">
        <v>127</v>
      </c>
    </row>
    <row r="80" spans="1:5" x14ac:dyDescent="0.2">
      <c r="A80" t="e" cm="1">
        <f t="array" ref="A80">SUM(-(D!D1:D8))</f>
        <v>#VALUE!</v>
      </c>
      <c r="B80">
        <f t="shared" si="3"/>
        <v>3</v>
      </c>
      <c r="C80">
        <f t="shared" si="4"/>
        <v>0</v>
      </c>
      <c r="D80" t="str">
        <f t="shared" si="5"/>
        <v/>
      </c>
      <c r="E80" t="s">
        <v>128</v>
      </c>
    </row>
    <row r="81" spans="1:5" x14ac:dyDescent="0.2">
      <c r="A81" cm="1">
        <f t="array" ref="A81">SUM(D!B1:B8&gt;10)</f>
        <v>0</v>
      </c>
      <c r="B81">
        <f t="shared" si="3"/>
        <v>0</v>
      </c>
      <c r="C81">
        <f t="shared" si="4"/>
        <v>0</v>
      </c>
      <c r="D81" t="str">
        <f t="shared" si="5"/>
        <v/>
      </c>
      <c r="E81" t="s">
        <v>129</v>
      </c>
    </row>
    <row r="82" spans="1:5" x14ac:dyDescent="0.2">
      <c r="A82" cm="1">
        <f t="array" ref="A82">SUMPRODUCT(--(D!F:F="чай"))</f>
        <v>1</v>
      </c>
      <c r="B82">
        <f t="shared" si="3"/>
        <v>0</v>
      </c>
      <c r="C82">
        <f t="shared" si="4"/>
        <v>1</v>
      </c>
      <c r="D82" t="str">
        <f t="shared" si="5"/>
        <v/>
      </c>
      <c r="E82" t="s">
        <v>130</v>
      </c>
    </row>
    <row r="83" spans="1:5" x14ac:dyDescent="0.2">
      <c r="A83" cm="1">
        <f t="array" ref="A83">SUM({1,2;3,4})</f>
        <v>10</v>
      </c>
      <c r="B83">
        <f t="shared" si="3"/>
        <v>0</v>
      </c>
      <c r="C83">
        <f t="shared" si="4"/>
        <v>10</v>
      </c>
      <c r="D83" t="str">
        <f t="shared" si="5"/>
        <v/>
      </c>
      <c r="E83" t="s">
        <v>131</v>
      </c>
    </row>
    <row r="84" spans="1:5" x14ac:dyDescent="0.2">
      <c r="A84" cm="1">
        <f t="array" ref="A84">ROWS({1,2;3,4})</f>
        <v>2</v>
      </c>
      <c r="B84">
        <f t="shared" si="3"/>
        <v>0</v>
      </c>
      <c r="C84">
        <f t="shared" si="4"/>
        <v>2</v>
      </c>
      <c r="D84" t="str">
        <f t="shared" si="5"/>
        <v/>
      </c>
      <c r="E84" t="s">
        <v>132</v>
      </c>
    </row>
    <row r="85" spans="1:5" x14ac:dyDescent="0.2">
      <c r="A85" cm="1">
        <f t="array" ref="A85">COLUMNS({1,2,3})</f>
        <v>3</v>
      </c>
      <c r="B85">
        <f t="shared" si="3"/>
        <v>0</v>
      </c>
      <c r="C85">
        <f t="shared" si="4"/>
        <v>3</v>
      </c>
      <c r="D85" t="str">
        <f t="shared" si="5"/>
        <v/>
      </c>
      <c r="E85" t="s">
        <v>133</v>
      </c>
    </row>
    <row r="86" spans="1:5" x14ac:dyDescent="0.2">
      <c r="A86" cm="1">
        <f t="array" ref="A86">INDEX({1,2;3,4},2,1)</f>
        <v>3</v>
      </c>
      <c r="B86">
        <f t="shared" si="3"/>
        <v>0</v>
      </c>
      <c r="C86">
        <f t="shared" si="4"/>
        <v>3</v>
      </c>
      <c r="D86" t="str">
        <f t="shared" si="5"/>
        <v/>
      </c>
      <c r="E86" t="s">
        <v>134</v>
      </c>
    </row>
    <row r="87" spans="1:5" x14ac:dyDescent="0.2">
      <c r="A87" t="str" cm="1">
        <f t="array" ref="A87">INDEX({"a","b"},2)</f>
        <v>b</v>
      </c>
      <c r="B87">
        <f t="shared" si="3"/>
        <v>-3</v>
      </c>
      <c r="C87">
        <f t="shared" si="4"/>
        <v>0</v>
      </c>
      <c r="D87" t="str">
        <f t="shared" si="5"/>
        <v>b</v>
      </c>
      <c r="E87" t="s">
        <v>135</v>
      </c>
    </row>
    <row r="88" spans="1:5" x14ac:dyDescent="0.2">
      <c r="A88" t="b" cm="1">
        <f t="array" ref="A88">INDEX({TRUE,FALSE},2)</f>
        <v>0</v>
      </c>
      <c r="B88">
        <f t="shared" si="3"/>
        <v>-2</v>
      </c>
      <c r="C88">
        <f t="shared" si="4"/>
        <v>0</v>
      </c>
      <c r="D88" t="str">
        <f t="shared" si="5"/>
        <v/>
      </c>
      <c r="E88" t="s">
        <v>136</v>
      </c>
    </row>
    <row r="89" spans="1:5" x14ac:dyDescent="0.2">
      <c r="A89" t="e" cm="1">
        <f t="array" ref="A89">INDEX({1,#N/A},2)</f>
        <v>#N/A</v>
      </c>
      <c r="B89">
        <f t="shared" si="3"/>
        <v>7</v>
      </c>
      <c r="C89">
        <f t="shared" si="4"/>
        <v>0</v>
      </c>
      <c r="D89" t="str">
        <f t="shared" si="5"/>
        <v/>
      </c>
      <c r="E89" t="s">
        <v>137</v>
      </c>
    </row>
    <row r="90" spans="1:5" x14ac:dyDescent="0.2">
      <c r="A90" cm="1">
        <f t="array" ref="A90">INDEX({-1,-2.5},2)</f>
        <v>-2.5</v>
      </c>
      <c r="B90">
        <f t="shared" si="3"/>
        <v>0</v>
      </c>
      <c r="C90">
        <f t="shared" si="4"/>
        <v>-2.5</v>
      </c>
      <c r="D90" t="str">
        <f t="shared" si="5"/>
        <v/>
      </c>
      <c r="E90" t="s">
        <v>138</v>
      </c>
    </row>
    <row r="91" spans="1:5" x14ac:dyDescent="0.2">
      <c r="A91" cm="1">
        <f t="array" ref="A91">INDEX({1000,0.015},1)</f>
        <v>1000</v>
      </c>
      <c r="B91">
        <f t="shared" si="3"/>
        <v>0</v>
      </c>
      <c r="C91">
        <f t="shared" si="4"/>
        <v>1000</v>
      </c>
      <c r="D91" t="str">
        <f t="shared" si="5"/>
        <v/>
      </c>
      <c r="E91" t="s">
        <v>139</v>
      </c>
    </row>
    <row r="92" spans="1:5" x14ac:dyDescent="0.2">
      <c r="A92" cm="1">
        <f t="array" ref="A92">INDEX({1000,0.015},2)</f>
        <v>1.4999999999999999E-2</v>
      </c>
      <c r="B92">
        <f t="shared" si="3"/>
        <v>0</v>
      </c>
      <c r="C92">
        <f t="shared" si="4"/>
        <v>1.4999999999999999E-2</v>
      </c>
      <c r="D92" t="str">
        <f t="shared" si="5"/>
        <v/>
      </c>
      <c r="E92" t="s">
        <v>140</v>
      </c>
    </row>
    <row r="93" spans="1:5" x14ac:dyDescent="0.2">
      <c r="A93" cm="1">
        <f t="array" ref="A93">COUNTA({1,"a",TRUE,#N/A})</f>
        <v>4</v>
      </c>
      <c r="B93">
        <f t="shared" si="3"/>
        <v>0</v>
      </c>
      <c r="C93">
        <f t="shared" si="4"/>
        <v>4</v>
      </c>
      <c r="D93" t="str">
        <f t="shared" si="5"/>
        <v/>
      </c>
      <c r="E93" t="s">
        <v>141</v>
      </c>
    </row>
    <row r="94" spans="1:5" x14ac:dyDescent="0.2">
      <c r="A94" cm="1">
        <f t="array" ref="A94">COUNT({1,"2",TRUE})</f>
        <v>1</v>
      </c>
      <c r="B94">
        <f t="shared" si="3"/>
        <v>0</v>
      </c>
      <c r="C94">
        <f t="shared" si="4"/>
        <v>1</v>
      </c>
      <c r="D94" t="str">
        <f t="shared" si="5"/>
        <v/>
      </c>
      <c r="E94" t="s">
        <v>142</v>
      </c>
    </row>
    <row r="95" spans="1:5" x14ac:dyDescent="0.2">
      <c r="A95" cm="1">
        <f t="array" ref="A95">SUM({1,"2",TRUE})</f>
        <v>1</v>
      </c>
      <c r="B95">
        <f t="shared" si="3"/>
        <v>0</v>
      </c>
      <c r="C95">
        <f t="shared" si="4"/>
        <v>1</v>
      </c>
      <c r="D95" t="str">
        <f t="shared" si="5"/>
        <v/>
      </c>
      <c r="E95" t="s">
        <v>143</v>
      </c>
    </row>
    <row r="96" spans="1:5" x14ac:dyDescent="0.2">
      <c r="A96" cm="1">
        <f t="array" ref="A96">AVERAGE({1,2,"x"})</f>
        <v>1.5</v>
      </c>
      <c r="B96">
        <f t="shared" si="3"/>
        <v>0</v>
      </c>
      <c r="C96">
        <f t="shared" si="4"/>
        <v>1.5</v>
      </c>
      <c r="D96" t="str">
        <f t="shared" si="5"/>
        <v/>
      </c>
      <c r="E96" t="s">
        <v>144</v>
      </c>
    </row>
    <row r="97" spans="1:5" x14ac:dyDescent="0.2">
      <c r="A97" cm="1">
        <f t="array" ref="A97">SUM({5})</f>
        <v>5</v>
      </c>
      <c r="B97">
        <f t="shared" si="3"/>
        <v>0</v>
      </c>
      <c r="C97">
        <f t="shared" si="4"/>
        <v>5</v>
      </c>
      <c r="D97" t="str">
        <f t="shared" si="5"/>
        <v/>
      </c>
      <c r="E97" t="s">
        <v>145</v>
      </c>
    </row>
    <row r="98" spans="1:5" x14ac:dyDescent="0.2">
      <c r="A98" cm="1">
        <f t="array" ref="A98">{5}</f>
        <v>5</v>
      </c>
      <c r="B98">
        <f t="shared" si="3"/>
        <v>0</v>
      </c>
      <c r="C98">
        <f t="shared" si="4"/>
        <v>5</v>
      </c>
      <c r="D98" t="str">
        <f t="shared" si="5"/>
        <v/>
      </c>
      <c r="E98" t="s">
        <v>146</v>
      </c>
    </row>
    <row r="99" spans="1:5" x14ac:dyDescent="0.2">
      <c r="A99" t="e" cm="1" vm="1">
        <f t="array" aca="1" ref="A99" ca="1">{1,2}</f>
        <v>#VALUE!</v>
      </c>
      <c r="B99">
        <f t="shared" ca="1" si="3"/>
        <v>9</v>
      </c>
      <c r="C99">
        <f t="shared" ca="1" si="4"/>
        <v>0</v>
      </c>
      <c r="D99" t="str">
        <f t="shared" ca="1" si="5"/>
        <v/>
      </c>
      <c r="E99" t="s">
        <v>147</v>
      </c>
    </row>
    <row r="100" spans="1:5" x14ac:dyDescent="0.2">
      <c r="A100" t="e" cm="1" vm="2">
        <f t="array" aca="1" ref="A100" ca="1">{"a";"b"}</f>
        <v>#VALUE!</v>
      </c>
      <c r="B100">
        <f t="shared" ca="1" si="3"/>
        <v>9</v>
      </c>
      <c r="C100">
        <f t="shared" ca="1" si="4"/>
        <v>0</v>
      </c>
      <c r="D100" t="str">
        <f t="shared" ca="1" si="5"/>
        <v/>
      </c>
      <c r="E100" t="s">
        <v>148</v>
      </c>
    </row>
    <row r="101" spans="1:5" x14ac:dyDescent="0.2">
      <c r="A101" t="str" cm="1">
        <f t="array" ref="A101">INDEX({"a""b"},1)</f>
        <v>a"b</v>
      </c>
      <c r="B101">
        <f t="shared" si="3"/>
        <v>-3</v>
      </c>
      <c r="C101">
        <f t="shared" si="4"/>
        <v>0</v>
      </c>
      <c r="D101" t="str">
        <f t="shared" si="5"/>
        <v>a"b</v>
      </c>
      <c r="E101" t="s">
        <v>149</v>
      </c>
    </row>
    <row r="102" spans="1:5" x14ac:dyDescent="0.2">
      <c r="A102" cm="1">
        <f t="array" ref="A102">INDEX({1;2;3},3)</f>
        <v>3</v>
      </c>
      <c r="B102">
        <f t="shared" si="3"/>
        <v>0</v>
      </c>
      <c r="C102">
        <f t="shared" si="4"/>
        <v>3</v>
      </c>
      <c r="D102" t="str">
        <f t="shared" si="5"/>
        <v/>
      </c>
      <c r="E102" t="s">
        <v>150</v>
      </c>
    </row>
    <row r="103" spans="1:5" x14ac:dyDescent="0.2">
      <c r="A103" cm="1">
        <f t="array" ref="A103">TYPE({1,2})</f>
        <v>64</v>
      </c>
      <c r="B103">
        <f t="shared" si="3"/>
        <v>0</v>
      </c>
      <c r="C103">
        <f t="shared" si="4"/>
        <v>64</v>
      </c>
      <c r="D103" t="str">
        <f t="shared" si="5"/>
        <v/>
      </c>
      <c r="E103" t="s">
        <v>151</v>
      </c>
    </row>
    <row r="104" spans="1:5" x14ac:dyDescent="0.2">
      <c r="A104" cm="1">
        <f t="array" ref="A104">TYPE({1})</f>
        <v>64</v>
      </c>
      <c r="B104">
        <f t="shared" si="3"/>
        <v>0</v>
      </c>
      <c r="C104">
        <f t="shared" si="4"/>
        <v>64</v>
      </c>
      <c r="D104" t="str">
        <f t="shared" si="5"/>
        <v/>
      </c>
      <c r="E104" t="s">
        <v>152</v>
      </c>
    </row>
    <row r="105" spans="1:5" x14ac:dyDescent="0.2">
      <c r="A105" cm="1">
        <f t="array" ref="A105">INDEX({1,2},1,1)+INDEX({3;4},2,1)</f>
        <v>5</v>
      </c>
      <c r="B105">
        <f t="shared" si="3"/>
        <v>0</v>
      </c>
      <c r="C105">
        <f t="shared" si="4"/>
        <v>5</v>
      </c>
      <c r="D105" t="str">
        <f t="shared" si="5"/>
        <v/>
      </c>
      <c r="E105" t="s">
        <v>153</v>
      </c>
    </row>
    <row r="106" spans="1:5" x14ac:dyDescent="0.2">
      <c r="A106" t="e" cm="1">
        <f t="array" ref="A106">INDEX({#DIV/0!,#VALUE!},1,2)</f>
        <v>#VALUE!</v>
      </c>
      <c r="B106">
        <f t="shared" si="3"/>
        <v>3</v>
      </c>
      <c r="C106">
        <f t="shared" si="4"/>
        <v>0</v>
      </c>
      <c r="D106" t="str">
        <f t="shared" si="5"/>
        <v/>
      </c>
      <c r="E106" t="s">
        <v>154</v>
      </c>
    </row>
    <row r="107" spans="1:5" x14ac:dyDescent="0.2">
      <c r="A107" t="b" cm="1">
        <f t="array" ref="A107">ISERROR(INDEX({#N/A},1))</f>
        <v>1</v>
      </c>
      <c r="B107">
        <f t="shared" si="3"/>
        <v>-1</v>
      </c>
      <c r="C107">
        <f t="shared" si="4"/>
        <v>0</v>
      </c>
      <c r="D107" t="str">
        <f t="shared" si="5"/>
        <v/>
      </c>
      <c r="E107" t="s">
        <v>155</v>
      </c>
    </row>
    <row r="108" spans="1:5" x14ac:dyDescent="0.2">
      <c r="A108" t="b" cm="1">
        <f t="array" ref="A108">INDEX({TRUE,FALSE},1)</f>
        <v>1</v>
      </c>
      <c r="B108">
        <f t="shared" si="3"/>
        <v>-1</v>
      </c>
      <c r="C108">
        <f t="shared" si="4"/>
        <v>0</v>
      </c>
      <c r="D108" t="str">
        <f t="shared" si="5"/>
        <v/>
      </c>
      <c r="E108" t="s">
        <v>156</v>
      </c>
    </row>
    <row r="109" spans="1:5" x14ac:dyDescent="0.2">
      <c r="A109" cm="1">
        <f t="array" ref="A109">MAX({"a",TRUE})</f>
        <v>0</v>
      </c>
      <c r="B109">
        <f t="shared" si="3"/>
        <v>0</v>
      </c>
      <c r="C109">
        <f t="shared" si="4"/>
        <v>0</v>
      </c>
      <c r="D109" t="str">
        <f t="shared" si="5"/>
        <v/>
      </c>
      <c r="E109" t="s">
        <v>157</v>
      </c>
    </row>
    <row r="110" spans="1:5" x14ac:dyDescent="0.2">
      <c r="A110" cm="1">
        <f t="array" ref="A110">MIN({-1,"-5",FALSE})</f>
        <v>-1</v>
      </c>
      <c r="B110">
        <f t="shared" si="3"/>
        <v>0</v>
      </c>
      <c r="C110">
        <f t="shared" si="4"/>
        <v>-1</v>
      </c>
      <c r="D110" t="str">
        <f t="shared" si="5"/>
        <v/>
      </c>
      <c r="E110" t="s">
        <v>158</v>
      </c>
    </row>
    <row r="111" spans="1:5" x14ac:dyDescent="0.2">
      <c r="A111" cm="1">
        <f t="array" ref="A111">PRODUCT({2,3,4})</f>
        <v>24</v>
      </c>
      <c r="B111">
        <f t="shared" si="3"/>
        <v>0</v>
      </c>
      <c r="C111">
        <f t="shared" si="4"/>
        <v>24</v>
      </c>
      <c r="D111" t="str">
        <f t="shared" si="5"/>
        <v/>
      </c>
      <c r="E111" t="s">
        <v>159</v>
      </c>
    </row>
    <row r="112" spans="1:5" x14ac:dyDescent="0.2">
      <c r="A112" cm="1">
        <f t="array" ref="A112">COUNTA({""})</f>
        <v>1</v>
      </c>
      <c r="B112">
        <f t="shared" si="3"/>
        <v>0</v>
      </c>
      <c r="C112">
        <f t="shared" si="4"/>
        <v>1</v>
      </c>
      <c r="D112" t="str">
        <f t="shared" si="5"/>
        <v/>
      </c>
      <c r="E112" t="s">
        <v>160</v>
      </c>
    </row>
    <row r="113" spans="1:5" x14ac:dyDescent="0.2">
      <c r="A113" cm="1">
        <f t="array" ref="A113">LEN(INDEX({""},1))</f>
        <v>0</v>
      </c>
      <c r="B113">
        <f t="shared" si="3"/>
        <v>0</v>
      </c>
      <c r="C113">
        <f t="shared" si="4"/>
        <v>0</v>
      </c>
      <c r="D113" t="str">
        <f t="shared" si="5"/>
        <v/>
      </c>
      <c r="E113" t="s">
        <v>161</v>
      </c>
    </row>
    <row r="114" spans="1:5" x14ac:dyDescent="0.2">
      <c r="A114" cm="1">
        <f t="array" ref="A114">INDEX({0.1,0},1,2)</f>
        <v>0</v>
      </c>
      <c r="B114">
        <f t="shared" si="3"/>
        <v>0</v>
      </c>
      <c r="C114">
        <f t="shared" si="4"/>
        <v>0</v>
      </c>
      <c r="D114" t="str">
        <f t="shared" si="5"/>
        <v/>
      </c>
      <c r="E114" t="s">
        <v>162</v>
      </c>
    </row>
    <row r="115" spans="1:5" x14ac:dyDescent="0.2">
      <c r="A115" cm="1">
        <f t="array" ref="A115">SUM({1,2,3}*{1,2,3})</f>
        <v>14</v>
      </c>
      <c r="B115">
        <f t="shared" si="3"/>
        <v>0</v>
      </c>
      <c r="C115">
        <f t="shared" si="4"/>
        <v>14</v>
      </c>
      <c r="D115" t="str">
        <f t="shared" si="5"/>
        <v/>
      </c>
      <c r="E115" t="s">
        <v>163</v>
      </c>
    </row>
    <row r="116" spans="1:5" x14ac:dyDescent="0.2">
      <c r="A116" t="e" cm="1" vm="2">
        <f t="array" aca="1" ref="A116" ca="1">INDEX({1,2;3,4},0,1)</f>
        <v>#VALUE!</v>
      </c>
      <c r="B116">
        <f t="shared" ca="1" si="3"/>
        <v>9</v>
      </c>
      <c r="C116">
        <f t="shared" ca="1" si="4"/>
        <v>0</v>
      </c>
      <c r="D116" t="str">
        <f t="shared" ca="1" si="5"/>
        <v/>
      </c>
      <c r="E116" t="s">
        <v>164</v>
      </c>
    </row>
    <row r="117" spans="1:5" x14ac:dyDescent="0.2">
      <c r="A117" t="e" cm="1" vm="3">
        <f t="array" aca="1" ref="A117" ca="1">D!B1:B3</f>
        <v>#VALUE!</v>
      </c>
      <c r="B117">
        <f t="shared" ca="1" si="3"/>
        <v>9</v>
      </c>
      <c r="C117">
        <f t="shared" ca="1" si="4"/>
        <v>0</v>
      </c>
      <c r="D117" t="str">
        <f t="shared" ca="1" si="5"/>
        <v/>
      </c>
      <c r="E117" t="s">
        <v>165</v>
      </c>
    </row>
    <row r="118" spans="1:5" x14ac:dyDescent="0.2">
      <c r="A118" cm="1">
        <f t="array" ref="A118">D!B1:B1</f>
        <v>4</v>
      </c>
      <c r="B118">
        <f t="shared" si="3"/>
        <v>0</v>
      </c>
      <c r="C118">
        <f t="shared" si="4"/>
        <v>4</v>
      </c>
      <c r="D118" t="str">
        <f t="shared" si="5"/>
        <v/>
      </c>
      <c r="E118" t="s">
        <v>166</v>
      </c>
    </row>
    <row r="119" spans="1:5" x14ac:dyDescent="0.2">
      <c r="A119" t="e" cm="1" vm="4">
        <f t="array" aca="1" ref="A119" ca="1">D!B1:B8*1</f>
        <v>#VALUE!</v>
      </c>
      <c r="B119">
        <f t="shared" ca="1" si="3"/>
        <v>9</v>
      </c>
      <c r="C119">
        <f t="shared" ca="1" si="4"/>
        <v>0</v>
      </c>
      <c r="D119" t="str">
        <f t="shared" ca="1" si="5"/>
        <v/>
      </c>
      <c r="E119" t="s">
        <v>167</v>
      </c>
    </row>
    <row r="120" spans="1:5" x14ac:dyDescent="0.2">
      <c r="A120" t="e" cm="1" vm="2">
        <f t="array" aca="1" ref="A120" ca="1">{1;2}*{3}</f>
        <v>#VALUE!</v>
      </c>
      <c r="B120">
        <f t="shared" ca="1" si="3"/>
        <v>9</v>
      </c>
      <c r="C120">
        <f t="shared" ca="1" si="4"/>
        <v>0</v>
      </c>
      <c r="D120" t="str">
        <f t="shared" ca="1" si="5"/>
        <v/>
      </c>
      <c r="E120" t="s">
        <v>168</v>
      </c>
    </row>
    <row r="121" spans="1:5" x14ac:dyDescent="0.2">
      <c r="A121" cm="1">
        <f t="array" ref="A121">{7}*2</f>
        <v>14</v>
      </c>
      <c r="B121">
        <f t="shared" si="3"/>
        <v>0</v>
      </c>
      <c r="C121">
        <f t="shared" si="4"/>
        <v>14</v>
      </c>
      <c r="D121" t="str">
        <f t="shared" si="5"/>
        <v/>
      </c>
      <c r="E121" t="s">
        <v>169</v>
      </c>
    </row>
    <row r="122" spans="1:5" x14ac:dyDescent="0.2">
      <c r="A122" t="e" cm="1" vm="2">
        <f t="array" aca="1" ref="A122" ca="1">D!B1:B2+0</f>
        <v>#VALUE!</v>
      </c>
      <c r="B122">
        <f t="shared" ca="1" si="3"/>
        <v>9</v>
      </c>
      <c r="C122">
        <f t="shared" ca="1" si="4"/>
        <v>0</v>
      </c>
      <c r="D122" t="str">
        <f t="shared" ca="1" si="5"/>
        <v/>
      </c>
      <c r="E122" t="s">
        <v>170</v>
      </c>
    </row>
    <row r="123" spans="1:5" x14ac:dyDescent="0.2">
      <c r="A123" t="e" cm="1" vm="2">
        <f t="array" aca="1" ref="A123" ca="1">IF(TRUE,D!B1:B2)</f>
        <v>#VALUE!</v>
      </c>
      <c r="B123">
        <f t="shared" ca="1" si="3"/>
        <v>9</v>
      </c>
      <c r="C123">
        <f t="shared" ca="1" si="4"/>
        <v>0</v>
      </c>
      <c r="D123" t="str">
        <f t="shared" ca="1" si="5"/>
        <v/>
      </c>
      <c r="E123" t="s">
        <v>171</v>
      </c>
    </row>
    <row r="124" spans="1:5" x14ac:dyDescent="0.2">
      <c r="A124" cm="1">
        <f t="array" ref="A124">IF(TRUE,D!B1)</f>
        <v>4</v>
      </c>
      <c r="B124">
        <f t="shared" si="3"/>
        <v>0</v>
      </c>
      <c r="C124">
        <f t="shared" si="4"/>
        <v>4</v>
      </c>
      <c r="D124" t="str">
        <f t="shared" si="5"/>
        <v/>
      </c>
      <c r="E124" t="s">
        <v>172</v>
      </c>
    </row>
    <row r="125" spans="1:5" x14ac:dyDescent="0.2">
      <c r="A125" cm="1">
        <f t="array" ref="A125">IF({TRUE},1,2)</f>
        <v>1</v>
      </c>
      <c r="B125">
        <f t="shared" si="3"/>
        <v>0</v>
      </c>
      <c r="C125">
        <f t="shared" si="4"/>
        <v>1</v>
      </c>
      <c r="D125" t="str">
        <f t="shared" si="5"/>
        <v/>
      </c>
      <c r="E125" t="s">
        <v>173</v>
      </c>
    </row>
    <row r="126" spans="1:5" x14ac:dyDescent="0.2">
      <c r="A126" t="e" cm="1" vm="1">
        <f t="array" aca="1" ref="A126" ca="1">IF({TRUE,FALSE},1,2)</f>
        <v>#VALUE!</v>
      </c>
      <c r="B126">
        <f t="shared" ca="1" si="3"/>
        <v>9</v>
      </c>
      <c r="C126">
        <f t="shared" ca="1" si="4"/>
        <v>0</v>
      </c>
      <c r="D126" t="str">
        <f t="shared" ca="1" si="5"/>
        <v/>
      </c>
      <c r="E126" t="s">
        <v>174</v>
      </c>
    </row>
    <row r="127" spans="1:5" x14ac:dyDescent="0.2">
      <c r="A127" t="e" cm="1" vm="5">
        <f t="array" aca="1" ref="A127" ca="1">INDEX(D!L1:N6,0,1)</f>
        <v>#VALUE!</v>
      </c>
      <c r="B127">
        <f t="shared" ca="1" si="3"/>
        <v>9</v>
      </c>
      <c r="C127">
        <f t="shared" ca="1" si="4"/>
        <v>0</v>
      </c>
      <c r="D127" t="str">
        <f t="shared" ca="1" si="5"/>
        <v/>
      </c>
      <c r="E127" t="s">
        <v>175</v>
      </c>
    </row>
    <row r="128" spans="1:5" x14ac:dyDescent="0.2">
      <c r="A128" cm="1">
        <f t="array" ref="A128">INDEX(D!L1:N1,0,1)</f>
        <v>1</v>
      </c>
      <c r="B128">
        <f t="shared" si="3"/>
        <v>0</v>
      </c>
      <c r="C128">
        <f t="shared" si="4"/>
        <v>1</v>
      </c>
      <c r="D128" t="str">
        <f t="shared" si="5"/>
        <v/>
      </c>
      <c r="E128" t="s">
        <v>176</v>
      </c>
    </row>
    <row r="129" spans="1:5" x14ac:dyDescent="0.2">
      <c r="A129" t="e" cm="1" vm="5">
        <f t="array" aca="1" ref="A129" ca="1">INDEX(D!L1:L6,0,1)</f>
        <v>#VALUE!</v>
      </c>
      <c r="B129">
        <f t="shared" ref="B129:B192" ca="1" si="6">IF(ISERROR(A129),ERROR.TYPE(A129),IF(ISNUMBER(A129),0,IF(ISLOGICAL(A129),IF(A129,-1,-2),IF(ISTEXT(A129),-3,-4))))</f>
        <v>9</v>
      </c>
      <c r="C129">
        <f t="shared" ref="C129:C192" ca="1" si="7">IF(ISNUMBER(A129),A129,0)</f>
        <v>0</v>
      </c>
      <c r="D129" t="str">
        <f t="shared" ref="D129:D192" ca="1" si="8">IF(ISTEXT(A129),A129,"")</f>
        <v/>
      </c>
      <c r="E129" t="s">
        <v>177</v>
      </c>
    </row>
    <row r="130" spans="1:5" x14ac:dyDescent="0.2">
      <c r="A130" t="e" cm="1" vm="3">
        <f t="array" aca="1" ref="A130" ca="1">ROW(D!A1:A3)</f>
        <v>#VALUE!</v>
      </c>
      <c r="B130">
        <f t="shared" ca="1" si="6"/>
        <v>9</v>
      </c>
      <c r="C130">
        <f t="shared" ca="1" si="7"/>
        <v>0</v>
      </c>
      <c r="D130" t="str">
        <f t="shared" ca="1" si="8"/>
        <v/>
      </c>
      <c r="E130" t="s">
        <v>178</v>
      </c>
    </row>
    <row r="131" spans="1:5" x14ac:dyDescent="0.2">
      <c r="A131" cm="1">
        <f t="array" ref="A131">ROW(D!A3:C3)</f>
        <v>3</v>
      </c>
      <c r="B131">
        <f t="shared" si="6"/>
        <v>0</v>
      </c>
      <c r="C131">
        <f t="shared" si="7"/>
        <v>3</v>
      </c>
      <c r="D131" t="str">
        <f t="shared" si="8"/>
        <v/>
      </c>
      <c r="E131" t="s">
        <v>179</v>
      </c>
    </row>
    <row r="132" spans="1:5" x14ac:dyDescent="0.2">
      <c r="A132" cm="1">
        <f t="array" ref="A132">COLUMN(D!A1:A3)</f>
        <v>1</v>
      </c>
      <c r="B132">
        <f t="shared" si="6"/>
        <v>0</v>
      </c>
      <c r="C132">
        <f t="shared" si="7"/>
        <v>1</v>
      </c>
      <c r="D132" t="str">
        <f t="shared" si="8"/>
        <v/>
      </c>
      <c r="E132" t="s">
        <v>180</v>
      </c>
    </row>
    <row r="133" spans="1:5" x14ac:dyDescent="0.2">
      <c r="A133" t="e" cm="1" vm="6">
        <f t="array" aca="1" ref="A133" ca="1">COLUMN(D!A1:C1)</f>
        <v>#VALUE!</v>
      </c>
      <c r="B133">
        <f t="shared" ca="1" si="6"/>
        <v>9</v>
      </c>
      <c r="C133">
        <f t="shared" ca="1" si="7"/>
        <v>0</v>
      </c>
      <c r="D133" t="str">
        <f t="shared" ca="1" si="8"/>
        <v/>
      </c>
      <c r="E133" t="s">
        <v>181</v>
      </c>
    </row>
    <row r="134" spans="1:5" x14ac:dyDescent="0.2">
      <c r="A134" cm="1">
        <f t="array" ref="A134">CHOOSE(2,D!B1:B2,D!C1)</f>
        <v>2</v>
      </c>
      <c r="B134">
        <f t="shared" si="6"/>
        <v>0</v>
      </c>
      <c r="C134">
        <f t="shared" si="7"/>
        <v>2</v>
      </c>
      <c r="D134" t="str">
        <f t="shared" si="8"/>
        <v/>
      </c>
      <c r="E134" t="s">
        <v>182</v>
      </c>
    </row>
    <row r="135" spans="1:5" x14ac:dyDescent="0.2">
      <c r="A135" t="e" cm="1" vm="2">
        <f t="array" aca="1" ref="A135" ca="1">CHOOSE(1,D!B1:B2,D!C1)</f>
        <v>#VALUE!</v>
      </c>
      <c r="B135">
        <f t="shared" ca="1" si="6"/>
        <v>9</v>
      </c>
      <c r="C135">
        <f t="shared" ca="1" si="7"/>
        <v>0</v>
      </c>
      <c r="D135" t="str">
        <f t="shared" ca="1" si="8"/>
        <v/>
      </c>
      <c r="E135" t="s">
        <v>183</v>
      </c>
    </row>
    <row r="136" spans="1:5" x14ac:dyDescent="0.2">
      <c r="A136" t="e" cm="1" vm="2">
        <f t="array" aca="1" ref="A136" ca="1">D!K1:K2</f>
        <v>#VALUE!</v>
      </c>
      <c r="B136">
        <f t="shared" ca="1" si="6"/>
        <v>9</v>
      </c>
      <c r="C136">
        <f t="shared" ca="1" si="7"/>
        <v>0</v>
      </c>
      <c r="D136" t="str">
        <f t="shared" ca="1" si="8"/>
        <v/>
      </c>
      <c r="E136" t="s">
        <v>184</v>
      </c>
    </row>
    <row r="137" spans="1:5" x14ac:dyDescent="0.2">
      <c r="A137" cm="1">
        <f t="array" ref="A137">D!K1</f>
        <v>0</v>
      </c>
      <c r="B137">
        <f t="shared" si="6"/>
        <v>0</v>
      </c>
      <c r="C137">
        <f t="shared" si="7"/>
        <v>0</v>
      </c>
      <c r="D137" t="str">
        <f t="shared" si="8"/>
        <v/>
      </c>
      <c r="E137" t="s">
        <v>185</v>
      </c>
    </row>
    <row r="138" spans="1:5" x14ac:dyDescent="0.2">
      <c r="A138" t="e" cm="1" vm="2">
        <f t="array" aca="1" ref="A138" ca="1">D!E3:E4</f>
        <v>#VALUE!</v>
      </c>
      <c r="B138">
        <f t="shared" ca="1" si="6"/>
        <v>9</v>
      </c>
      <c r="C138">
        <f t="shared" ca="1" si="7"/>
        <v>0</v>
      </c>
      <c r="D138" t="str">
        <f t="shared" ca="1" si="8"/>
        <v/>
      </c>
      <c r="E138" t="s">
        <v>186</v>
      </c>
    </row>
    <row r="139" spans="1:5" x14ac:dyDescent="0.2">
      <c r="A139" cm="1">
        <f t="array" ref="A139">D!A1:A1</f>
        <v>0</v>
      </c>
      <c r="B139">
        <f t="shared" si="6"/>
        <v>0</v>
      </c>
      <c r="C139">
        <f t="shared" si="7"/>
        <v>0</v>
      </c>
      <c r="D139" t="str">
        <f t="shared" si="8"/>
        <v/>
      </c>
      <c r="E139" t="s">
        <v>187</v>
      </c>
    </row>
    <row r="140" spans="1:5" x14ac:dyDescent="0.2">
      <c r="A140" t="e" cm="1" vm="7">
        <f t="array" aca="1" ref="A140" ca="1">D!B:B</f>
        <v>#VALUE!</v>
      </c>
      <c r="B140">
        <f t="shared" ca="1" si="6"/>
        <v>9</v>
      </c>
      <c r="C140">
        <f t="shared" ca="1" si="7"/>
        <v>0</v>
      </c>
      <c r="D140" t="str">
        <f t="shared" ca="1" si="8"/>
        <v/>
      </c>
      <c r="E140" t="s">
        <v>188</v>
      </c>
    </row>
    <row r="141" spans="1:5" x14ac:dyDescent="0.2">
      <c r="A141" t="e" cm="1" vm="8">
        <f t="array" aca="1" ref="A141" ca="1">D!1:1</f>
        <v>#VALUE!</v>
      </c>
      <c r="B141">
        <f t="shared" ca="1" si="6"/>
        <v>9</v>
      </c>
      <c r="C141">
        <f t="shared" ca="1" si="7"/>
        <v>0</v>
      </c>
      <c r="D141" t="str">
        <f t="shared" ca="1" si="8"/>
        <v/>
      </c>
      <c r="E141" t="s">
        <v>189</v>
      </c>
    </row>
    <row r="142" spans="1:5" x14ac:dyDescent="0.2">
      <c r="A142" t="e" cm="1" vm="2">
        <f t="array" aca="1" ref="A142" ca="1">IF(D!B1&gt;0,D!B1:B2,0)</f>
        <v>#VALUE!</v>
      </c>
      <c r="B142">
        <f t="shared" ca="1" si="6"/>
        <v>9</v>
      </c>
      <c r="C142">
        <f t="shared" ca="1" si="7"/>
        <v>0</v>
      </c>
      <c r="D142" t="str">
        <f t="shared" ca="1" si="8"/>
        <v/>
      </c>
      <c r="E142" t="s">
        <v>190</v>
      </c>
    </row>
    <row r="143" spans="1:5" x14ac:dyDescent="0.2">
      <c r="A143" cm="1">
        <f t="array" ref="A143">IF(D!B1&gt;100,D!B1:B2,0)</f>
        <v>0</v>
      </c>
      <c r="B143">
        <f t="shared" si="6"/>
        <v>0</v>
      </c>
      <c r="C143">
        <f t="shared" si="7"/>
        <v>0</v>
      </c>
      <c r="D143" t="str">
        <f t="shared" si="8"/>
        <v/>
      </c>
      <c r="E143" t="s">
        <v>191</v>
      </c>
    </row>
    <row r="144" spans="1:5" x14ac:dyDescent="0.2">
      <c r="A144" cm="1">
        <f t="array" ref="A144">ABS(D!B7:B7)</f>
        <v>3.5</v>
      </c>
      <c r="B144">
        <f t="shared" si="6"/>
        <v>0</v>
      </c>
      <c r="C144">
        <f t="shared" si="7"/>
        <v>3.5</v>
      </c>
      <c r="D144" t="str">
        <f t="shared" si="8"/>
        <v/>
      </c>
      <c r="E144" t="s">
        <v>192</v>
      </c>
    </row>
    <row r="145" spans="1:5" x14ac:dyDescent="0.2">
      <c r="A145" t="e" cm="1" vm="2">
        <f t="array" aca="1" ref="A145" ca="1">ABS(D!B7:B8)</f>
        <v>#VALUE!</v>
      </c>
      <c r="B145">
        <f t="shared" ca="1" si="6"/>
        <v>9</v>
      </c>
      <c r="C145">
        <f t="shared" ca="1" si="7"/>
        <v>0</v>
      </c>
      <c r="D145" t="str">
        <f t="shared" ca="1" si="8"/>
        <v/>
      </c>
      <c r="E145" t="s">
        <v>193</v>
      </c>
    </row>
    <row r="146" spans="1:5" x14ac:dyDescent="0.2">
      <c r="A146" cm="1">
        <f t="array" ref="A146">SUM(D!B1:B8*{1;0;1;0;1;0;1;0})</f>
        <v>38.5</v>
      </c>
      <c r="B146">
        <f t="shared" si="6"/>
        <v>0</v>
      </c>
      <c r="C146">
        <f t="shared" si="7"/>
        <v>38.5</v>
      </c>
      <c r="D146" t="str">
        <f t="shared" si="8"/>
        <v/>
      </c>
      <c r="E146" t="s">
        <v>194</v>
      </c>
    </row>
    <row r="147" spans="1:5" x14ac:dyDescent="0.2">
      <c r="A147" cm="1">
        <f t="array" ref="A147">SUM(IF(D!B1:B8&gt;10,D!B1:B8))</f>
        <v>106.25</v>
      </c>
      <c r="B147">
        <f t="shared" si="6"/>
        <v>0</v>
      </c>
      <c r="C147">
        <f t="shared" si="7"/>
        <v>106.25</v>
      </c>
      <c r="D147" t="str">
        <f t="shared" si="8"/>
        <v/>
      </c>
      <c r="E147" t="s">
        <v>195</v>
      </c>
    </row>
    <row r="148" spans="1:5" x14ac:dyDescent="0.2">
      <c r="A148" cm="1">
        <f t="array" ref="A148">SUM(IF(D!B1:B8&gt;10,D!B1:B8,0))</f>
        <v>106.25</v>
      </c>
      <c r="B148">
        <f t="shared" si="6"/>
        <v>0</v>
      </c>
      <c r="C148">
        <f t="shared" si="7"/>
        <v>106.25</v>
      </c>
      <c r="D148" t="str">
        <f t="shared" si="8"/>
        <v/>
      </c>
      <c r="E148" t="s">
        <v>196</v>
      </c>
    </row>
    <row r="149" spans="1:5" x14ac:dyDescent="0.2">
      <c r="A149" cm="1">
        <f t="array" ref="A149">SUM(ROUND(D!B1:B8/3,1))</f>
        <v>38.199999999999996</v>
      </c>
      <c r="B149">
        <f t="shared" si="6"/>
        <v>0</v>
      </c>
      <c r="C149">
        <f t="shared" si="7"/>
        <v>38.199999999999996</v>
      </c>
      <c r="D149" t="str">
        <f t="shared" si="8"/>
        <v/>
      </c>
      <c r="E149" t="s">
        <v>197</v>
      </c>
    </row>
    <row r="150" spans="1:5" x14ac:dyDescent="0.2">
      <c r="A150" cm="1">
        <f t="array" ref="A150">SUM(LEN(D!F1:F7))</f>
        <v>34</v>
      </c>
      <c r="B150">
        <f t="shared" si="6"/>
        <v>0</v>
      </c>
      <c r="C150">
        <f t="shared" si="7"/>
        <v>34</v>
      </c>
      <c r="D150" t="str">
        <f t="shared" si="8"/>
        <v/>
      </c>
      <c r="E150" t="s">
        <v>198</v>
      </c>
    </row>
    <row r="151" spans="1:5" x14ac:dyDescent="0.2">
      <c r="A151" cm="1">
        <f t="array" ref="A151">SUM(YEAR(D!H1:H7))</f>
        <v>14173</v>
      </c>
      <c r="B151">
        <f t="shared" si="6"/>
        <v>0</v>
      </c>
      <c r="C151">
        <f t="shared" si="7"/>
        <v>14173</v>
      </c>
      <c r="D151" t="str">
        <f t="shared" si="8"/>
        <v/>
      </c>
      <c r="E151" t="s">
        <v>199</v>
      </c>
    </row>
    <row r="152" spans="1:5" x14ac:dyDescent="0.2">
      <c r="A152" cm="1">
        <f t="array" ref="A152">MAX(ABS(D!B1:B8))</f>
        <v>42</v>
      </c>
      <c r="B152">
        <f t="shared" si="6"/>
        <v>0</v>
      </c>
      <c r="C152">
        <f t="shared" si="7"/>
        <v>42</v>
      </c>
      <c r="D152" t="str">
        <f t="shared" si="8"/>
        <v/>
      </c>
      <c r="E152" t="s">
        <v>200</v>
      </c>
    </row>
    <row r="153" spans="1:5" x14ac:dyDescent="0.2">
      <c r="A153" cm="1">
        <f t="array" ref="A153">MAX(IF(D!B1:B8&lt;20,D!B1:B8))</f>
        <v>16</v>
      </c>
      <c r="B153">
        <f t="shared" si="6"/>
        <v>0</v>
      </c>
      <c r="C153">
        <f t="shared" si="7"/>
        <v>16</v>
      </c>
      <c r="D153" t="str">
        <f t="shared" si="8"/>
        <v/>
      </c>
      <c r="E153" t="s">
        <v>201</v>
      </c>
    </row>
    <row r="154" spans="1:5" x14ac:dyDescent="0.2">
      <c r="A154" cm="1">
        <f t="array" ref="A154">MAX(D!F1:F7&amp;"")</f>
        <v>0</v>
      </c>
      <c r="B154">
        <f t="shared" si="6"/>
        <v>0</v>
      </c>
      <c r="C154">
        <f t="shared" si="7"/>
        <v>0</v>
      </c>
      <c r="D154" t="str">
        <f t="shared" si="8"/>
        <v/>
      </c>
      <c r="E154" t="s">
        <v>202</v>
      </c>
    </row>
    <row r="155" spans="1:5" x14ac:dyDescent="0.2">
      <c r="A155" cm="1">
        <f t="array" ref="A155">MAX(IF(D!B1:B8&gt;20,ROW(D!B1:B8)))</f>
        <v>6</v>
      </c>
      <c r="B155">
        <f t="shared" si="6"/>
        <v>0</v>
      </c>
      <c r="C155">
        <f t="shared" si="7"/>
        <v>6</v>
      </c>
      <c r="D155" t="str">
        <f t="shared" si="8"/>
        <v/>
      </c>
      <c r="E155" t="s">
        <v>203</v>
      </c>
    </row>
    <row r="156" spans="1:5" x14ac:dyDescent="0.2">
      <c r="A156" cm="1">
        <f t="array" ref="A156">MIN(IF(D!B1:B8&gt;0,D!B1:B8))</f>
        <v>4</v>
      </c>
      <c r="B156">
        <f t="shared" si="6"/>
        <v>0</v>
      </c>
      <c r="C156">
        <f t="shared" si="7"/>
        <v>4</v>
      </c>
      <c r="D156" t="str">
        <f t="shared" si="8"/>
        <v/>
      </c>
      <c r="E156" t="s">
        <v>204</v>
      </c>
    </row>
    <row r="157" spans="1:5" x14ac:dyDescent="0.2">
      <c r="A157" cm="1">
        <f t="array" ref="A157">MIN(IF(D!B1:B8&gt;100,D!B1:B8))</f>
        <v>0</v>
      </c>
      <c r="B157">
        <f t="shared" si="6"/>
        <v>0</v>
      </c>
      <c r="C157">
        <f t="shared" si="7"/>
        <v>0</v>
      </c>
      <c r="D157" t="str">
        <f t="shared" si="8"/>
        <v/>
      </c>
      <c r="E157" t="s">
        <v>205</v>
      </c>
    </row>
    <row r="158" spans="1:5" x14ac:dyDescent="0.2">
      <c r="A158" cm="1">
        <f t="array" ref="A158">AVERAGE(IF(D!B1:B8&gt;0,D!B1:B8))</f>
        <v>16.892857142857142</v>
      </c>
      <c r="B158">
        <f t="shared" si="6"/>
        <v>0</v>
      </c>
      <c r="C158">
        <f t="shared" si="7"/>
        <v>16.892857142857142</v>
      </c>
      <c r="D158" t="str">
        <f t="shared" si="8"/>
        <v/>
      </c>
      <c r="E158" t="s">
        <v>206</v>
      </c>
    </row>
    <row r="159" spans="1:5" x14ac:dyDescent="0.2">
      <c r="A159" t="e" cm="1">
        <f t="array" ref="A159">AVERAGE(IF(D!B1:B8&gt;100,D!B1:B8))</f>
        <v>#DIV/0!</v>
      </c>
      <c r="B159">
        <f t="shared" si="6"/>
        <v>2</v>
      </c>
      <c r="C159">
        <f t="shared" si="7"/>
        <v>0</v>
      </c>
      <c r="D159" t="str">
        <f t="shared" si="8"/>
        <v/>
      </c>
      <c r="E159" t="s">
        <v>207</v>
      </c>
    </row>
    <row r="160" spans="1:5" x14ac:dyDescent="0.2">
      <c r="A160" cm="1">
        <f t="array" ref="A160">AVERAGE(D!B1:B8*1)</f>
        <v>14.34375</v>
      </c>
      <c r="B160">
        <f t="shared" si="6"/>
        <v>0</v>
      </c>
      <c r="C160">
        <f t="shared" si="7"/>
        <v>14.34375</v>
      </c>
      <c r="D160" t="str">
        <f t="shared" si="8"/>
        <v/>
      </c>
      <c r="E160" t="s">
        <v>208</v>
      </c>
    </row>
    <row r="161" spans="1:5" x14ac:dyDescent="0.2">
      <c r="A161" cm="1">
        <f t="array" ref="A161">AVERAGEA(IF(D!B1:B8&gt;10,D!B1:B8))</f>
        <v>21.25</v>
      </c>
      <c r="B161">
        <f t="shared" si="6"/>
        <v>0</v>
      </c>
      <c r="C161">
        <f t="shared" si="7"/>
        <v>21.25</v>
      </c>
      <c r="D161" t="str">
        <f t="shared" si="8"/>
        <v/>
      </c>
      <c r="E161" t="s">
        <v>209</v>
      </c>
    </row>
    <row r="162" spans="1:5" x14ac:dyDescent="0.2">
      <c r="A162" cm="1">
        <f t="array" ref="A162">AVERAGEA({1,"a",TRUE})</f>
        <v>0.5</v>
      </c>
      <c r="B162">
        <f t="shared" si="6"/>
        <v>0</v>
      </c>
      <c r="C162">
        <f t="shared" si="7"/>
        <v>0.5</v>
      </c>
      <c r="D162" t="str">
        <f t="shared" si="8"/>
        <v/>
      </c>
      <c r="E162" t="s">
        <v>210</v>
      </c>
    </row>
    <row r="163" spans="1:5" x14ac:dyDescent="0.2">
      <c r="A163" cm="1">
        <f t="array" ref="A163">COUNT(IF(D!B1:B8&gt;10,D!B1:B8))</f>
        <v>5</v>
      </c>
      <c r="B163">
        <f t="shared" si="6"/>
        <v>0</v>
      </c>
      <c r="C163">
        <f t="shared" si="7"/>
        <v>5</v>
      </c>
      <c r="D163" t="str">
        <f t="shared" si="8"/>
        <v/>
      </c>
      <c r="E163" t="s">
        <v>211</v>
      </c>
    </row>
    <row r="164" spans="1:5" x14ac:dyDescent="0.2">
      <c r="A164" cm="1">
        <f t="array" ref="A164">COUNT(1/{1,0,2})</f>
        <v>2</v>
      </c>
      <c r="B164">
        <f t="shared" si="6"/>
        <v>0</v>
      </c>
      <c r="C164">
        <f t="shared" si="7"/>
        <v>2</v>
      </c>
      <c r="D164" t="str">
        <f t="shared" si="8"/>
        <v/>
      </c>
      <c r="E164" t="s">
        <v>212</v>
      </c>
    </row>
    <row r="165" spans="1:5" x14ac:dyDescent="0.2">
      <c r="A165" cm="1">
        <f t="array" ref="A165">COUNTA(IF(D!B1:B8&gt;10,D!B1:B8))</f>
        <v>8</v>
      </c>
      <c r="B165">
        <f t="shared" si="6"/>
        <v>0</v>
      </c>
      <c r="C165">
        <f t="shared" si="7"/>
        <v>8</v>
      </c>
      <c r="D165" t="str">
        <f t="shared" si="8"/>
        <v/>
      </c>
      <c r="E165" t="s">
        <v>213</v>
      </c>
    </row>
    <row r="166" spans="1:5" x14ac:dyDescent="0.2">
      <c r="A166" cm="1">
        <f t="array" ref="A166">COUNTA(IF(D!B1:B8&gt;10,D!B1:B8,""))</f>
        <v>8</v>
      </c>
      <c r="B166">
        <f t="shared" si="6"/>
        <v>0</v>
      </c>
      <c r="C166">
        <f t="shared" si="7"/>
        <v>8</v>
      </c>
      <c r="D166" t="str">
        <f t="shared" si="8"/>
        <v/>
      </c>
      <c r="E166" t="s">
        <v>214</v>
      </c>
    </row>
    <row r="167" spans="1:5" x14ac:dyDescent="0.2">
      <c r="A167" cm="1">
        <f t="array" ref="A167">COUNTA(D!K1:K8&amp;"")</f>
        <v>8</v>
      </c>
      <c r="B167">
        <f t="shared" si="6"/>
        <v>0</v>
      </c>
      <c r="C167">
        <f t="shared" si="7"/>
        <v>8</v>
      </c>
      <c r="D167" t="str">
        <f t="shared" si="8"/>
        <v/>
      </c>
      <c r="E167" t="s">
        <v>215</v>
      </c>
    </row>
    <row r="168" spans="1:5" x14ac:dyDescent="0.2">
      <c r="A168" cm="1">
        <f t="array" ref="A168">COUNTA(IF(D!K1:K8="",D!K1:K8))</f>
        <v>8</v>
      </c>
      <c r="B168">
        <f t="shared" si="6"/>
        <v>0</v>
      </c>
      <c r="C168">
        <f t="shared" si="7"/>
        <v>8</v>
      </c>
      <c r="D168" t="str">
        <f t="shared" si="8"/>
        <v/>
      </c>
      <c r="E168" t="s">
        <v>216</v>
      </c>
    </row>
    <row r="169" spans="1:5" x14ac:dyDescent="0.2">
      <c r="A169" cm="1">
        <f t="array" ref="A169">COUNTA(IF({1;1},D!K1:K2))</f>
        <v>2</v>
      </c>
      <c r="B169">
        <f t="shared" si="6"/>
        <v>0</v>
      </c>
      <c r="C169">
        <f t="shared" si="7"/>
        <v>2</v>
      </c>
      <c r="D169" t="str">
        <f t="shared" si="8"/>
        <v/>
      </c>
      <c r="E169" t="s">
        <v>217</v>
      </c>
    </row>
    <row r="170" spans="1:5" x14ac:dyDescent="0.2">
      <c r="A170" cm="1">
        <f t="array" ref="A170">COUNTA(TRANSPOSE(D!K1:K2))</f>
        <v>2</v>
      </c>
      <c r="B170">
        <f t="shared" si="6"/>
        <v>0</v>
      </c>
      <c r="C170">
        <f t="shared" si="7"/>
        <v>2</v>
      </c>
      <c r="D170" t="str">
        <f t="shared" si="8"/>
        <v/>
      </c>
      <c r="E170" t="s">
        <v>218</v>
      </c>
    </row>
    <row r="171" spans="1:5" x14ac:dyDescent="0.2">
      <c r="A171" cm="1">
        <f t="array" ref="A171">COUNTA(_xlfn.TAKE(D!K1:K8,2))</f>
        <v>0</v>
      </c>
      <c r="B171">
        <f t="shared" si="6"/>
        <v>0</v>
      </c>
      <c r="C171">
        <f t="shared" si="7"/>
        <v>0</v>
      </c>
      <c r="D171" t="str">
        <f t="shared" si="8"/>
        <v/>
      </c>
      <c r="E171" t="s">
        <v>219</v>
      </c>
    </row>
    <row r="172" spans="1:5" x14ac:dyDescent="0.2">
      <c r="A172" cm="1">
        <f t="array" ref="A172">COUNTA(_xlfn.VSTACK(D!K1:K2))</f>
        <v>2</v>
      </c>
      <c r="B172">
        <f t="shared" si="6"/>
        <v>0</v>
      </c>
      <c r="C172">
        <f t="shared" si="7"/>
        <v>2</v>
      </c>
      <c r="D172" t="str">
        <f t="shared" si="8"/>
        <v/>
      </c>
      <c r="E172" t="s">
        <v>220</v>
      </c>
    </row>
    <row r="173" spans="1:5" x14ac:dyDescent="0.2">
      <c r="A173" cm="1">
        <f t="array" ref="A173">COUNTA(_xlfn._xlws.SORT(D!D1:D8))</f>
        <v>8</v>
      </c>
      <c r="B173">
        <f t="shared" si="6"/>
        <v>0</v>
      </c>
      <c r="C173">
        <f t="shared" si="7"/>
        <v>8</v>
      </c>
      <c r="D173" t="str">
        <f t="shared" si="8"/>
        <v/>
      </c>
      <c r="E173" t="s">
        <v>221</v>
      </c>
    </row>
    <row r="174" spans="1:5" x14ac:dyDescent="0.2">
      <c r="A174" cm="1">
        <f t="array" ref="A174">COUNTA(_xlfn._xlws.FILTER(D!D1:D8,{1;1;1;1;1;1;1;1}))</f>
        <v>8</v>
      </c>
      <c r="B174">
        <f t="shared" si="6"/>
        <v>0</v>
      </c>
      <c r="C174">
        <f t="shared" si="7"/>
        <v>8</v>
      </c>
      <c r="D174" t="str">
        <f t="shared" si="8"/>
        <v/>
      </c>
      <c r="E174" t="s">
        <v>222</v>
      </c>
    </row>
    <row r="175" spans="1:5" x14ac:dyDescent="0.2">
      <c r="A175" cm="1">
        <f t="array" ref="A175">COUNTA(_xlfn.CHOOSECOLS(D!K1:K2,1))</f>
        <v>2</v>
      </c>
      <c r="B175">
        <f t="shared" si="6"/>
        <v>0</v>
      </c>
      <c r="C175">
        <f t="shared" si="7"/>
        <v>2</v>
      </c>
      <c r="D175" t="str">
        <f t="shared" si="8"/>
        <v/>
      </c>
      <c r="E175" t="s">
        <v>223</v>
      </c>
    </row>
    <row r="176" spans="1:5" x14ac:dyDescent="0.2">
      <c r="A176" cm="1">
        <f t="array" ref="A176">COUNTA(INDEX(D!K1:K8,{1;2}))</f>
        <v>2</v>
      </c>
      <c r="B176">
        <f t="shared" si="6"/>
        <v>0</v>
      </c>
      <c r="C176">
        <f t="shared" si="7"/>
        <v>2</v>
      </c>
      <c r="D176" t="str">
        <f t="shared" si="8"/>
        <v/>
      </c>
      <c r="E176" t="s">
        <v>224</v>
      </c>
    </row>
    <row r="177" spans="1:5" x14ac:dyDescent="0.2">
      <c r="A177" cm="1">
        <f t="array" ref="A177">COUNTA(INDEX(D!K1:K8,0,1))</f>
        <v>0</v>
      </c>
      <c r="B177">
        <f t="shared" si="6"/>
        <v>0</v>
      </c>
      <c r="C177">
        <f t="shared" si="7"/>
        <v>0</v>
      </c>
      <c r="D177" t="str">
        <f t="shared" si="8"/>
        <v/>
      </c>
      <c r="E177" t="s">
        <v>225</v>
      </c>
    </row>
    <row r="178" spans="1:5" x14ac:dyDescent="0.2">
      <c r="A178" cm="1">
        <f t="array" ref="A178">COUNTA(_xlfn.UNIQUE(D!K1:K8))</f>
        <v>1</v>
      </c>
      <c r="B178">
        <f t="shared" si="6"/>
        <v>0</v>
      </c>
      <c r="C178">
        <f t="shared" si="7"/>
        <v>1</v>
      </c>
      <c r="D178" t="str">
        <f t="shared" si="8"/>
        <v/>
      </c>
      <c r="E178" t="s">
        <v>226</v>
      </c>
    </row>
    <row r="179" spans="1:5" x14ac:dyDescent="0.2">
      <c r="A179" cm="1">
        <f t="array" ref="A179">COUNTA(_xlfn.TOCOL(D!K1:K3))</f>
        <v>3</v>
      </c>
      <c r="B179">
        <f t="shared" si="6"/>
        <v>0</v>
      </c>
      <c r="C179">
        <f t="shared" si="7"/>
        <v>3</v>
      </c>
      <c r="D179" t="str">
        <f t="shared" si="8"/>
        <v/>
      </c>
      <c r="E179" t="s">
        <v>227</v>
      </c>
    </row>
    <row r="180" spans="1:5" x14ac:dyDescent="0.2">
      <c r="A180" cm="1">
        <f t="array" ref="A180">COUNTA(_xlfn.EXPAND(D!K1,2,1,1))</f>
        <v>2</v>
      </c>
      <c r="B180">
        <f t="shared" si="6"/>
        <v>0</v>
      </c>
      <c r="C180">
        <f t="shared" si="7"/>
        <v>2</v>
      </c>
      <c r="D180" t="str">
        <f t="shared" si="8"/>
        <v/>
      </c>
      <c r="E180" t="s">
        <v>228</v>
      </c>
    </row>
    <row r="181" spans="1:5" x14ac:dyDescent="0.2">
      <c r="A181" cm="1">
        <f t="array" ref="A181">COUNTA(D!K1:K8*1)</f>
        <v>8</v>
      </c>
      <c r="B181">
        <f t="shared" si="6"/>
        <v>0</v>
      </c>
      <c r="C181">
        <f t="shared" si="7"/>
        <v>8</v>
      </c>
      <c r="D181" t="str">
        <f t="shared" si="8"/>
        <v/>
      </c>
      <c r="E181" t="s">
        <v>229</v>
      </c>
    </row>
    <row r="182" spans="1:5" x14ac:dyDescent="0.2">
      <c r="A182" cm="1">
        <f t="array" ref="A182">SUM(--ISNUMBER(IF({1;1},D!K1:K2)))</f>
        <v>2</v>
      </c>
      <c r="B182">
        <f t="shared" si="6"/>
        <v>0</v>
      </c>
      <c r="C182">
        <f t="shared" si="7"/>
        <v>2</v>
      </c>
      <c r="D182" t="str">
        <f t="shared" si="8"/>
        <v/>
      </c>
      <c r="E182" t="s">
        <v>230</v>
      </c>
    </row>
    <row r="183" spans="1:5" x14ac:dyDescent="0.2">
      <c r="A183" t="str" cm="1">
        <f t="array" ref="A183">INDEX(IF({1;1},D!K1:K2),1)&amp;"x"</f>
        <v>0x</v>
      </c>
      <c r="B183">
        <f t="shared" si="6"/>
        <v>-3</v>
      </c>
      <c r="C183">
        <f t="shared" si="7"/>
        <v>0</v>
      </c>
      <c r="D183" t="str">
        <f t="shared" si="8"/>
        <v>0x</v>
      </c>
      <c r="E183" t="s">
        <v>231</v>
      </c>
    </row>
    <row r="184" spans="1:5" x14ac:dyDescent="0.2">
      <c r="A184" t="str" cm="1">
        <f t="array" ref="A184">INDEX(TRANSPOSE(D!K1:K2),1,1)&amp;"x"</f>
        <v>x</v>
      </c>
      <c r="B184">
        <f t="shared" si="6"/>
        <v>-3</v>
      </c>
      <c r="C184">
        <f t="shared" si="7"/>
        <v>0</v>
      </c>
      <c r="D184" t="str">
        <f t="shared" si="8"/>
        <v>x</v>
      </c>
      <c r="E184" t="s">
        <v>232</v>
      </c>
    </row>
    <row r="185" spans="1:5" x14ac:dyDescent="0.2">
      <c r="A185" cm="1">
        <f t="array" ref="A185">SUM(--ISBLANK(TRANSPOSE(D!K1:K2)))</f>
        <v>2</v>
      </c>
      <c r="B185">
        <f t="shared" si="6"/>
        <v>0</v>
      </c>
      <c r="C185">
        <f t="shared" si="7"/>
        <v>2</v>
      </c>
      <c r="D185" t="str">
        <f t="shared" si="8"/>
        <v/>
      </c>
      <c r="E185" t="s">
        <v>233</v>
      </c>
    </row>
    <row r="186" spans="1:5" x14ac:dyDescent="0.2">
      <c r="A186" cm="1">
        <f t="array" ref="A186">SUM(--ISBLANK(_xlfn._xlws.SORT(D!D1:D8)))</f>
        <v>1</v>
      </c>
      <c r="B186">
        <f t="shared" si="6"/>
        <v>0</v>
      </c>
      <c r="C186">
        <f t="shared" si="7"/>
        <v>1</v>
      </c>
      <c r="D186" t="str">
        <f t="shared" si="8"/>
        <v/>
      </c>
      <c r="E186" t="s">
        <v>234</v>
      </c>
    </row>
    <row r="187" spans="1:5" x14ac:dyDescent="0.2">
      <c r="A187" cm="1">
        <f t="array" ref="A187">SUM(--ISBLANK(INDEX(D!K1:K8,{1;2})))</f>
        <v>2</v>
      </c>
      <c r="B187">
        <f t="shared" si="6"/>
        <v>0</v>
      </c>
      <c r="C187">
        <f t="shared" si="7"/>
        <v>2</v>
      </c>
      <c r="D187" t="str">
        <f t="shared" si="8"/>
        <v/>
      </c>
      <c r="E187" t="s">
        <v>235</v>
      </c>
    </row>
    <row r="188" spans="1:5" x14ac:dyDescent="0.2">
      <c r="A188" cm="1">
        <f t="array" ref="A188">MAXA({TRUE,-1})</f>
        <v>-1</v>
      </c>
      <c r="B188">
        <f t="shared" si="6"/>
        <v>0</v>
      </c>
      <c r="C188">
        <f t="shared" si="7"/>
        <v>-1</v>
      </c>
      <c r="D188" t="str">
        <f t="shared" si="8"/>
        <v/>
      </c>
      <c r="E188" t="s">
        <v>236</v>
      </c>
    </row>
    <row r="189" spans="1:5" x14ac:dyDescent="0.2">
      <c r="A189" cm="1">
        <f t="array" ref="A189">MAXA(IF(D!B1:B2&gt;0,TRUE))</f>
        <v>0</v>
      </c>
      <c r="B189">
        <f t="shared" si="6"/>
        <v>0</v>
      </c>
      <c r="C189">
        <f t="shared" si="7"/>
        <v>0</v>
      </c>
      <c r="D189" t="str">
        <f t="shared" si="8"/>
        <v/>
      </c>
      <c r="E189" t="s">
        <v>237</v>
      </c>
    </row>
    <row r="190" spans="1:5" x14ac:dyDescent="0.2">
      <c r="A190" cm="1">
        <f t="array" ref="A190">MAXA({"a",-1})</f>
        <v>-1</v>
      </c>
      <c r="B190">
        <f t="shared" si="6"/>
        <v>0</v>
      </c>
      <c r="C190">
        <f t="shared" si="7"/>
        <v>-1</v>
      </c>
      <c r="D190" t="str">
        <f t="shared" si="8"/>
        <v/>
      </c>
      <c r="E190" t="s">
        <v>238</v>
      </c>
    </row>
    <row r="191" spans="1:5" x14ac:dyDescent="0.2">
      <c r="A191" cm="1">
        <f t="array" ref="A191">MINA({FALSE,1})</f>
        <v>1</v>
      </c>
      <c r="B191">
        <f t="shared" si="6"/>
        <v>0</v>
      </c>
      <c r="C191">
        <f t="shared" si="7"/>
        <v>1</v>
      </c>
      <c r="D191" t="str">
        <f t="shared" si="8"/>
        <v/>
      </c>
      <c r="E191" t="s">
        <v>239</v>
      </c>
    </row>
    <row r="192" spans="1:5" x14ac:dyDescent="0.2">
      <c r="A192" cm="1">
        <f t="array" ref="A192">MINA({"a",1})</f>
        <v>1</v>
      </c>
      <c r="B192">
        <f t="shared" si="6"/>
        <v>0</v>
      </c>
      <c r="C192">
        <f t="shared" si="7"/>
        <v>1</v>
      </c>
      <c r="D192" t="str">
        <f t="shared" si="8"/>
        <v/>
      </c>
      <c r="E192" t="s">
        <v>240</v>
      </c>
    </row>
    <row r="193" spans="1:5" x14ac:dyDescent="0.2">
      <c r="A193" cm="1">
        <f t="array" ref="A193">STDEVA({1,TRUE,3})</f>
        <v>1.4142135623730951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1.4142135623730951</v>
      </c>
      <c r="D193" t="str">
        <f t="shared" ref="D193:D256" si="11">IF(ISTEXT(A193),A193,"")</f>
        <v/>
      </c>
      <c r="E193" t="s">
        <v>241</v>
      </c>
    </row>
    <row r="194" spans="1:5" x14ac:dyDescent="0.2">
      <c r="A194" cm="1">
        <f t="array" ref="A194">STDEVA({"a",2,4})</f>
        <v>1.4142135623730951</v>
      </c>
      <c r="B194">
        <f t="shared" si="9"/>
        <v>0</v>
      </c>
      <c r="C194">
        <f t="shared" si="10"/>
        <v>1.4142135623730951</v>
      </c>
      <c r="D194" t="str">
        <f t="shared" si="11"/>
        <v/>
      </c>
      <c r="E194" t="s">
        <v>242</v>
      </c>
    </row>
    <row r="195" spans="1:5" x14ac:dyDescent="0.2">
      <c r="A195" cm="1">
        <f t="array" ref="A195">STDEVPA({"a",2,4})</f>
        <v>1</v>
      </c>
      <c r="B195">
        <f t="shared" si="9"/>
        <v>0</v>
      </c>
      <c r="C195">
        <f t="shared" si="10"/>
        <v>1</v>
      </c>
      <c r="D195" t="str">
        <f t="shared" si="11"/>
        <v/>
      </c>
      <c r="E195" t="s">
        <v>243</v>
      </c>
    </row>
    <row r="196" spans="1:5" x14ac:dyDescent="0.2">
      <c r="A196" cm="1">
        <f t="array" ref="A196">STDEVPA({TRUE,2,4})</f>
        <v>1</v>
      </c>
      <c r="B196">
        <f t="shared" si="9"/>
        <v>0</v>
      </c>
      <c r="C196">
        <f t="shared" si="10"/>
        <v>1</v>
      </c>
      <c r="D196" t="str">
        <f t="shared" si="11"/>
        <v/>
      </c>
      <c r="E196" t="s">
        <v>244</v>
      </c>
    </row>
    <row r="197" spans="1:5" x14ac:dyDescent="0.2">
      <c r="A197" cm="1">
        <f t="array" ref="A197">VARA({"a",2,4})</f>
        <v>2</v>
      </c>
      <c r="B197">
        <f t="shared" si="9"/>
        <v>0</v>
      </c>
      <c r="C197">
        <f t="shared" si="10"/>
        <v>2</v>
      </c>
      <c r="D197" t="str">
        <f t="shared" si="11"/>
        <v/>
      </c>
      <c r="E197" t="s">
        <v>245</v>
      </c>
    </row>
    <row r="198" spans="1:5" x14ac:dyDescent="0.2">
      <c r="A198" cm="1">
        <f t="array" ref="A198">VARA({TRUE,2,4})</f>
        <v>2</v>
      </c>
      <c r="B198">
        <f t="shared" si="9"/>
        <v>0</v>
      </c>
      <c r="C198">
        <f t="shared" si="10"/>
        <v>2</v>
      </c>
      <c r="D198" t="str">
        <f t="shared" si="11"/>
        <v/>
      </c>
      <c r="E198" t="s">
        <v>246</v>
      </c>
    </row>
    <row r="199" spans="1:5" x14ac:dyDescent="0.2">
      <c r="A199" cm="1">
        <f t="array" ref="A199">VARPA({"a",2,4})</f>
        <v>1</v>
      </c>
      <c r="B199">
        <f t="shared" si="9"/>
        <v>0</v>
      </c>
      <c r="C199">
        <f t="shared" si="10"/>
        <v>1</v>
      </c>
      <c r="D199" t="str">
        <f t="shared" si="11"/>
        <v/>
      </c>
      <c r="E199" t="s">
        <v>247</v>
      </c>
    </row>
    <row r="200" spans="1:5" x14ac:dyDescent="0.2">
      <c r="A200" t="e" cm="1">
        <f t="array" ref="A200">AVERAGEA({TRUE})</f>
        <v>#DIV/0!</v>
      </c>
      <c r="B200">
        <f t="shared" si="9"/>
        <v>2</v>
      </c>
      <c r="C200">
        <f t="shared" si="10"/>
        <v>0</v>
      </c>
      <c r="D200" t="str">
        <f t="shared" si="11"/>
        <v/>
      </c>
      <c r="E200" t="s">
        <v>248</v>
      </c>
    </row>
    <row r="201" spans="1:5" x14ac:dyDescent="0.2">
      <c r="A201" cm="1">
        <f t="array" ref="A201">AVERAGEA({TRUE,"x"})</f>
        <v>0</v>
      </c>
      <c r="B201">
        <f t="shared" si="9"/>
        <v>0</v>
      </c>
      <c r="C201">
        <f t="shared" si="10"/>
        <v>0</v>
      </c>
      <c r="D201" t="str">
        <f t="shared" si="11"/>
        <v/>
      </c>
      <c r="E201" t="s">
        <v>249</v>
      </c>
    </row>
    <row r="202" spans="1:5" x14ac:dyDescent="0.2">
      <c r="A202" cm="1">
        <f t="array" ref="A202">AVERAGEA({"a",2,4})</f>
        <v>2</v>
      </c>
      <c r="B202">
        <f t="shared" si="9"/>
        <v>0</v>
      </c>
      <c r="C202">
        <f t="shared" si="10"/>
        <v>2</v>
      </c>
      <c r="D202" t="str">
        <f t="shared" si="11"/>
        <v/>
      </c>
      <c r="E202" t="s">
        <v>250</v>
      </c>
    </row>
    <row r="203" spans="1:5" x14ac:dyDescent="0.2">
      <c r="A203" t="e" cm="1">
        <f t="array" ref="A203">AVERAGEA(D!D1:D8*1)</f>
        <v>#VALUE!</v>
      </c>
      <c r="B203">
        <f t="shared" si="9"/>
        <v>3</v>
      </c>
      <c r="C203">
        <f t="shared" si="10"/>
        <v>0</v>
      </c>
      <c r="D203" t="str">
        <f t="shared" si="11"/>
        <v/>
      </c>
      <c r="E203" t="s">
        <v>251</v>
      </c>
    </row>
    <row r="204" spans="1:5" x14ac:dyDescent="0.2">
      <c r="A204" cm="1">
        <f t="array" ref="A204">AVERAGEA(IFERROR(D!D1:D8*1,"t"))</f>
        <v>1.5625</v>
      </c>
      <c r="B204">
        <f t="shared" si="9"/>
        <v>0</v>
      </c>
      <c r="C204">
        <f t="shared" si="10"/>
        <v>1.5625</v>
      </c>
      <c r="D204" t="str">
        <f t="shared" si="11"/>
        <v/>
      </c>
      <c r="E204" t="s">
        <v>252</v>
      </c>
    </row>
    <row r="205" spans="1:5" x14ac:dyDescent="0.2">
      <c r="A205" t="str" cm="1">
        <f t="array" ref="A205">_xlfn.TEXTJOIN(",",FALSE,TRANSPOSE(D!K1:K2))</f>
        <v>,</v>
      </c>
      <c r="B205">
        <f t="shared" si="9"/>
        <v>-3</v>
      </c>
      <c r="C205">
        <f t="shared" si="10"/>
        <v>0</v>
      </c>
      <c r="D205" t="str">
        <f t="shared" si="11"/>
        <v>,</v>
      </c>
      <c r="E205" t="s">
        <v>253</v>
      </c>
    </row>
    <row r="206" spans="1:5" x14ac:dyDescent="0.2">
      <c r="A206" t="str" cm="1">
        <f t="array" ref="A206">_xlfn.TEXTJOIN(",",TRUE,TRANSPOSE(D!K1:K2))</f>
        <v/>
      </c>
      <c r="B206">
        <f t="shared" si="9"/>
        <v>-3</v>
      </c>
      <c r="C206">
        <f t="shared" si="10"/>
        <v>0</v>
      </c>
      <c r="D206" t="str">
        <f t="shared" si="11"/>
        <v/>
      </c>
      <c r="E206" t="s">
        <v>254</v>
      </c>
    </row>
    <row r="207" spans="1:5" x14ac:dyDescent="0.2">
      <c r="A207" cm="1">
        <f t="array" ref="A207">COUNT(TRANSPOSE(D!K1:K2))</f>
        <v>0</v>
      </c>
      <c r="B207">
        <f t="shared" si="9"/>
        <v>0</v>
      </c>
      <c r="C207">
        <f t="shared" si="10"/>
        <v>0</v>
      </c>
      <c r="D207" t="str">
        <f t="shared" si="11"/>
        <v/>
      </c>
      <c r="E207" t="s">
        <v>255</v>
      </c>
    </row>
    <row r="208" spans="1:5" x14ac:dyDescent="0.2">
      <c r="A208" cm="1">
        <f t="array" ref="A208">SUM(TRANSPOSE(D!K1:K2)+1)</f>
        <v>2</v>
      </c>
      <c r="B208">
        <f t="shared" si="9"/>
        <v>0</v>
      </c>
      <c r="C208">
        <f t="shared" si="10"/>
        <v>2</v>
      </c>
      <c r="D208" t="str">
        <f t="shared" si="11"/>
        <v/>
      </c>
      <c r="E208" t="s">
        <v>256</v>
      </c>
    </row>
    <row r="209" spans="1:5" x14ac:dyDescent="0.2">
      <c r="A209" t="b" cm="1">
        <f t="array" ref="A209">AND(TRANSPOSE(D!AW1:AW4))</f>
        <v>0</v>
      </c>
      <c r="B209">
        <f t="shared" si="9"/>
        <v>-2</v>
      </c>
      <c r="C209">
        <f t="shared" si="10"/>
        <v>0</v>
      </c>
      <c r="D209" t="str">
        <f t="shared" si="11"/>
        <v/>
      </c>
      <c r="E209" t="s">
        <v>257</v>
      </c>
    </row>
    <row r="210" spans="1:5" x14ac:dyDescent="0.2">
      <c r="A210" cm="1">
        <f t="array" ref="A210">COUNTA(CHOOSE({1;1},D!K1:K2))</f>
        <v>2</v>
      </c>
      <c r="B210">
        <f t="shared" si="9"/>
        <v>0</v>
      </c>
      <c r="C210">
        <f t="shared" si="10"/>
        <v>2</v>
      </c>
      <c r="D210" t="str">
        <f t="shared" si="11"/>
        <v/>
      </c>
      <c r="E210" t="s">
        <v>258</v>
      </c>
    </row>
    <row r="211" spans="1:5" x14ac:dyDescent="0.2">
      <c r="A211" t="str" cm="1">
        <f t="array" ref="A211">INDEX(CHOOSE({1;1},D!K1:K2),1)&amp;"x"</f>
        <v>0x</v>
      </c>
      <c r="B211">
        <f t="shared" si="9"/>
        <v>-3</v>
      </c>
      <c r="C211">
        <f t="shared" si="10"/>
        <v>0</v>
      </c>
      <c r="D211" t="str">
        <f t="shared" si="11"/>
        <v>0x</v>
      </c>
      <c r="E211" t="s">
        <v>259</v>
      </c>
    </row>
    <row r="212" spans="1:5" x14ac:dyDescent="0.2">
      <c r="A212" cm="1">
        <f t="array" ref="A212">PRODUCT(D!B1:B2*{1;2})</f>
        <v>64</v>
      </c>
      <c r="B212">
        <f t="shared" si="9"/>
        <v>0</v>
      </c>
      <c r="C212">
        <f t="shared" si="10"/>
        <v>64</v>
      </c>
      <c r="D212" t="str">
        <f t="shared" si="11"/>
        <v/>
      </c>
      <c r="E212" t="s">
        <v>260</v>
      </c>
    </row>
    <row r="213" spans="1:5" x14ac:dyDescent="0.2">
      <c r="A213" t="b" cm="1">
        <f t="array" ref="A213">AND(D!B1:B8&gt;0)</f>
        <v>0</v>
      </c>
      <c r="B213">
        <f t="shared" si="9"/>
        <v>-2</v>
      </c>
      <c r="C213">
        <f t="shared" si="10"/>
        <v>0</v>
      </c>
      <c r="D213" t="str">
        <f t="shared" si="11"/>
        <v/>
      </c>
      <c r="E213" t="s">
        <v>261</v>
      </c>
    </row>
    <row r="214" spans="1:5" x14ac:dyDescent="0.2">
      <c r="A214" t="b" cm="1">
        <f t="array" ref="A214">AND({TRUE,1,"x"})</f>
        <v>1</v>
      </c>
      <c r="B214">
        <f t="shared" si="9"/>
        <v>-1</v>
      </c>
      <c r="C214">
        <f t="shared" si="10"/>
        <v>0</v>
      </c>
      <c r="D214" t="str">
        <f t="shared" si="11"/>
        <v/>
      </c>
      <c r="E214" t="s">
        <v>262</v>
      </c>
    </row>
    <row r="215" spans="1:5" x14ac:dyDescent="0.2">
      <c r="A215" t="b" cm="1">
        <f t="array" ref="A215">AND(IF(D!B1:B8&gt;0,TRUE,"x"))</f>
        <v>1</v>
      </c>
      <c r="B215">
        <f t="shared" si="9"/>
        <v>-1</v>
      </c>
      <c r="C215">
        <f t="shared" si="10"/>
        <v>0</v>
      </c>
      <c r="D215" t="str">
        <f t="shared" si="11"/>
        <v/>
      </c>
      <c r="E215" t="s">
        <v>263</v>
      </c>
    </row>
    <row r="216" spans="1:5" x14ac:dyDescent="0.2">
      <c r="A216" t="b" cm="1">
        <f t="array" ref="A216">OR(D!B1:B8&gt;40)</f>
        <v>1</v>
      </c>
      <c r="B216">
        <f t="shared" si="9"/>
        <v>-1</v>
      </c>
      <c r="C216">
        <f t="shared" si="10"/>
        <v>0</v>
      </c>
      <c r="D216" t="str">
        <f t="shared" si="11"/>
        <v/>
      </c>
      <c r="E216" t="s">
        <v>264</v>
      </c>
    </row>
    <row r="217" spans="1:5" x14ac:dyDescent="0.2">
      <c r="A217" t="b" cm="1">
        <f t="array" ref="A217">OR({FALSE,0})</f>
        <v>0</v>
      </c>
      <c r="B217">
        <f t="shared" si="9"/>
        <v>-2</v>
      </c>
      <c r="C217">
        <f t="shared" si="10"/>
        <v>0</v>
      </c>
      <c r="D217" t="str">
        <f t="shared" si="11"/>
        <v/>
      </c>
      <c r="E217" t="s">
        <v>265</v>
      </c>
    </row>
    <row r="218" spans="1:5" x14ac:dyDescent="0.2">
      <c r="A218" t="b" cm="1">
        <f t="array" ref="A218">_xlfn.XOR({TRUE,TRUE,FALSE})</f>
        <v>0</v>
      </c>
      <c r="B218">
        <f t="shared" si="9"/>
        <v>-2</v>
      </c>
      <c r="C218">
        <f t="shared" si="10"/>
        <v>0</v>
      </c>
      <c r="D218" t="str">
        <f t="shared" si="11"/>
        <v/>
      </c>
      <c r="E218" t="s">
        <v>266</v>
      </c>
    </row>
    <row r="219" spans="1:5" x14ac:dyDescent="0.2">
      <c r="A219" t="str" cm="1">
        <f t="array" ref="A219">_xlfn.CONCAT({"a","b";"c","d"})</f>
        <v>abcd</v>
      </c>
      <c r="B219">
        <f t="shared" si="9"/>
        <v>-3</v>
      </c>
      <c r="C219">
        <f t="shared" si="10"/>
        <v>0</v>
      </c>
      <c r="D219" t="str">
        <f t="shared" si="11"/>
        <v>abcd</v>
      </c>
      <c r="E219" t="s">
        <v>267</v>
      </c>
    </row>
    <row r="220" spans="1:5" x14ac:dyDescent="0.2">
      <c r="A220" t="str" cm="1">
        <f t="array" ref="A220">_xlfn.CONCAT(LEFT(D!F1:F7,1))</f>
        <v>АаААxЧЧ</v>
      </c>
      <c r="B220">
        <f t="shared" si="9"/>
        <v>-3</v>
      </c>
      <c r="C220">
        <f t="shared" si="10"/>
        <v>0</v>
      </c>
      <c r="D220" t="str">
        <f t="shared" si="11"/>
        <v>АаААxЧЧ</v>
      </c>
      <c r="E220" t="s">
        <v>268</v>
      </c>
    </row>
    <row r="221" spans="1:5" x14ac:dyDescent="0.2">
      <c r="A221" t="str" cm="1">
        <f t="array" ref="A221">_xlfn.CONCAT(UPPER({"a","b"}))</f>
        <v>AB</v>
      </c>
      <c r="B221">
        <f t="shared" si="9"/>
        <v>-3</v>
      </c>
      <c r="C221">
        <f t="shared" si="10"/>
        <v>0</v>
      </c>
      <c r="D221" t="str">
        <f t="shared" si="11"/>
        <v>AB</v>
      </c>
      <c r="E221" t="s">
        <v>269</v>
      </c>
    </row>
    <row r="222" spans="1:5" x14ac:dyDescent="0.2">
      <c r="A222" t="str" cm="1">
        <f t="array" ref="A222">_xlfn.CONCAT(D!K1:K3&amp;"-")</f>
        <v>---</v>
      </c>
      <c r="B222">
        <f t="shared" si="9"/>
        <v>-3</v>
      </c>
      <c r="C222">
        <f t="shared" si="10"/>
        <v>0</v>
      </c>
      <c r="D222" t="str">
        <f t="shared" si="11"/>
        <v>---</v>
      </c>
      <c r="E222" t="s">
        <v>270</v>
      </c>
    </row>
    <row r="223" spans="1:5" x14ac:dyDescent="0.2">
      <c r="A223" t="str" cm="1">
        <f t="array" ref="A223">_xlfn.TEXTJOIN(",",TRUE,{1,2;3,4})</f>
        <v>1,2,3,4</v>
      </c>
      <c r="B223">
        <f t="shared" si="9"/>
        <v>-3</v>
      </c>
      <c r="C223">
        <f t="shared" si="10"/>
        <v>0</v>
      </c>
      <c r="D223" t="str">
        <f t="shared" si="11"/>
        <v>1,2,3,4</v>
      </c>
      <c r="E223" t="s">
        <v>271</v>
      </c>
    </row>
    <row r="224" spans="1:5" x14ac:dyDescent="0.2">
      <c r="A224" t="str" cm="1">
        <f t="array" ref="A224">_xlfn.TEXTJOIN("-",FALSE,IF(D!B1:B8&gt;10,D!B1:B8,""))</f>
        <v>--15-16-23-42--10.25</v>
      </c>
      <c r="B224">
        <f t="shared" si="9"/>
        <v>-3</v>
      </c>
      <c r="C224">
        <f t="shared" si="10"/>
        <v>0</v>
      </c>
      <c r="D224" t="str">
        <f t="shared" si="11"/>
        <v>--15-16-23-42--10.25</v>
      </c>
      <c r="E224" t="s">
        <v>272</v>
      </c>
    </row>
    <row r="225" spans="1:5" x14ac:dyDescent="0.2">
      <c r="A225" t="str" cm="1">
        <f t="array" ref="A225">_xlfn.TEXTJOIN(",",TRUE,D!AS1:AS8&amp;"")</f>
        <v>1,2,2,a,A,3,1,b</v>
      </c>
      <c r="B225">
        <f t="shared" si="9"/>
        <v>-3</v>
      </c>
      <c r="C225">
        <f t="shared" si="10"/>
        <v>0</v>
      </c>
      <c r="D225" t="str">
        <f t="shared" si="11"/>
        <v>1,2,2,a,A,3,1,b</v>
      </c>
      <c r="E225" t="s">
        <v>273</v>
      </c>
    </row>
    <row r="226" spans="1:5" x14ac:dyDescent="0.2">
      <c r="A226" t="str" cm="1">
        <f t="array" ref="A226">_xlfn.TEXTJOIN(",",TRUE,TEXT(D!B1:B3,"0.0"))</f>
        <v>4.0,8.0,15.0</v>
      </c>
      <c r="B226">
        <f t="shared" si="9"/>
        <v>-3</v>
      </c>
      <c r="C226">
        <f t="shared" si="10"/>
        <v>0</v>
      </c>
      <c r="D226" t="str">
        <f t="shared" si="11"/>
        <v>4.0,8.0,15.0</v>
      </c>
      <c r="E226" t="s">
        <v>274</v>
      </c>
    </row>
    <row r="227" spans="1:5" x14ac:dyDescent="0.2">
      <c r="A227" t="str" cm="1">
        <f t="array" ref="A227">_xlfn.TEXTJOIN({"-","+"},TRUE,{1,2,3})</f>
        <v>1-2+3</v>
      </c>
      <c r="B227">
        <f t="shared" si="9"/>
        <v>-3</v>
      </c>
      <c r="C227">
        <f t="shared" si="10"/>
        <v>0</v>
      </c>
      <c r="D227" t="str">
        <f t="shared" si="11"/>
        <v>1-2+3</v>
      </c>
      <c r="E227" t="s">
        <v>275</v>
      </c>
    </row>
    <row r="228" spans="1:5" x14ac:dyDescent="0.2">
      <c r="A228" cm="1">
        <f t="array" ref="A228">SUMPRODUCT((D!B1:B8&gt;10)*D!C1:C8)</f>
        <v>100</v>
      </c>
      <c r="B228">
        <f t="shared" si="9"/>
        <v>0</v>
      </c>
      <c r="C228">
        <f t="shared" si="10"/>
        <v>100</v>
      </c>
      <c r="D228" t="str">
        <f t="shared" si="11"/>
        <v/>
      </c>
      <c r="E228" t="s">
        <v>276</v>
      </c>
    </row>
    <row r="229" spans="1:5" x14ac:dyDescent="0.2">
      <c r="A229" cm="1">
        <f t="array" ref="A229">SUMPRODUCT(--(D!F1:F7="чай"),D!G1:G7)</f>
        <v>32</v>
      </c>
      <c r="B229">
        <f t="shared" si="9"/>
        <v>0</v>
      </c>
      <c r="C229">
        <f t="shared" si="10"/>
        <v>32</v>
      </c>
      <c r="D229" t="str">
        <f t="shared" si="11"/>
        <v/>
      </c>
      <c r="E229" t="s">
        <v>277</v>
      </c>
    </row>
    <row r="230" spans="1:5" x14ac:dyDescent="0.2">
      <c r="A230" cm="1">
        <f t="array" ref="A230">SUMPRODUCT(D!B1:B8&gt;10)</f>
        <v>0</v>
      </c>
      <c r="B230">
        <f t="shared" si="9"/>
        <v>0</v>
      </c>
      <c r="C230">
        <f t="shared" si="10"/>
        <v>0</v>
      </c>
      <c r="D230" t="str">
        <f t="shared" si="11"/>
        <v/>
      </c>
      <c r="E230" t="s">
        <v>278</v>
      </c>
    </row>
    <row r="231" spans="1:5" x14ac:dyDescent="0.2">
      <c r="A231" cm="1">
        <f t="array" ref="A231">SUMPRODUCT((D!L1:L6&gt;2)*(D!N1:N6))</f>
        <v>290</v>
      </c>
      <c r="B231">
        <f t="shared" si="9"/>
        <v>0</v>
      </c>
      <c r="C231">
        <f t="shared" si="10"/>
        <v>290</v>
      </c>
      <c r="D231" t="str">
        <f t="shared" si="11"/>
        <v/>
      </c>
      <c r="E231" t="s">
        <v>279</v>
      </c>
    </row>
    <row r="232" spans="1:5" x14ac:dyDescent="0.2">
      <c r="A232" cm="1">
        <f t="array" ref="A232">SUMPRODUCT(D!B1:B8,D!C1:C8*2)</f>
        <v>5583.5</v>
      </c>
      <c r="B232">
        <f t="shared" si="9"/>
        <v>0</v>
      </c>
      <c r="C232">
        <f t="shared" si="10"/>
        <v>5583.5</v>
      </c>
      <c r="D232" t="str">
        <f t="shared" si="11"/>
        <v/>
      </c>
      <c r="E232" t="s">
        <v>280</v>
      </c>
    </row>
    <row r="233" spans="1:5" x14ac:dyDescent="0.2">
      <c r="A233" cm="1">
        <f t="array" ref="A233">SUMPRODUCT({1,2}*{3;4})</f>
        <v>21</v>
      </c>
      <c r="B233">
        <f t="shared" si="9"/>
        <v>0</v>
      </c>
      <c r="C233">
        <f t="shared" si="10"/>
        <v>21</v>
      </c>
      <c r="D233" t="str">
        <f t="shared" si="11"/>
        <v/>
      </c>
      <c r="E233" t="s">
        <v>281</v>
      </c>
    </row>
    <row r="234" spans="1:5" x14ac:dyDescent="0.2">
      <c r="A234" t="e" cm="1">
        <f t="array" ref="A234">SUMPRODUCT({1,2},{3;4})</f>
        <v>#VALUE!</v>
      </c>
      <c r="B234">
        <f t="shared" si="9"/>
        <v>3</v>
      </c>
      <c r="C234">
        <f t="shared" si="10"/>
        <v>0</v>
      </c>
      <c r="D234" t="str">
        <f t="shared" si="11"/>
        <v/>
      </c>
      <c r="E234" t="s">
        <v>282</v>
      </c>
    </row>
    <row r="235" spans="1:5" x14ac:dyDescent="0.2">
      <c r="A235" cm="1">
        <f t="array" ref="A235">SUMPRODUCT((D!L1:L6&gt;2)*ROW(D!L1:L6))</f>
        <v>18</v>
      </c>
      <c r="B235">
        <f t="shared" si="9"/>
        <v>0</v>
      </c>
      <c r="C235">
        <f t="shared" si="10"/>
        <v>18</v>
      </c>
      <c r="D235" t="str">
        <f t="shared" si="11"/>
        <v/>
      </c>
      <c r="E235" t="s">
        <v>283</v>
      </c>
    </row>
    <row r="236" spans="1:5" x14ac:dyDescent="0.2">
      <c r="A236" cm="1">
        <f t="array" ref="A236">LARGE(D!B1:B8*2,2)</f>
        <v>46</v>
      </c>
      <c r="B236">
        <f t="shared" si="9"/>
        <v>0</v>
      </c>
      <c r="C236">
        <f t="shared" si="10"/>
        <v>46</v>
      </c>
      <c r="D236" t="str">
        <f t="shared" si="11"/>
        <v/>
      </c>
      <c r="E236" t="s">
        <v>284</v>
      </c>
    </row>
    <row r="237" spans="1:5" x14ac:dyDescent="0.2">
      <c r="A237" t="e" cm="1" vm="1">
        <f t="array" aca="1" ref="A237" ca="1">LARGE({3,1,2},{1,2})</f>
        <v>#VALUE!</v>
      </c>
      <c r="B237">
        <f t="shared" ca="1" si="9"/>
        <v>9</v>
      </c>
      <c r="C237">
        <f t="shared" ca="1" si="10"/>
        <v>0</v>
      </c>
      <c r="D237" t="str">
        <f t="shared" ca="1" si="11"/>
        <v/>
      </c>
      <c r="E237" t="s">
        <v>285</v>
      </c>
    </row>
    <row r="238" spans="1:5" x14ac:dyDescent="0.2">
      <c r="A238" cm="1">
        <f t="array" ref="A238">SUM(LARGE(D!B1:B8,{1,2,3}))</f>
        <v>81</v>
      </c>
      <c r="B238">
        <f t="shared" si="9"/>
        <v>0</v>
      </c>
      <c r="C238">
        <f t="shared" si="10"/>
        <v>81</v>
      </c>
      <c r="D238" t="str">
        <f t="shared" si="11"/>
        <v/>
      </c>
      <c r="E238" t="s">
        <v>286</v>
      </c>
    </row>
    <row r="239" spans="1:5" x14ac:dyDescent="0.2">
      <c r="A239" cm="1">
        <f t="array" ref="A239">SMALL(IF(D!B1:B8&gt;5,D!B1:B8),2)</f>
        <v>10.25</v>
      </c>
      <c r="B239">
        <f t="shared" si="9"/>
        <v>0</v>
      </c>
      <c r="C239">
        <f t="shared" si="10"/>
        <v>10.25</v>
      </c>
      <c r="D239" t="str">
        <f t="shared" si="11"/>
        <v/>
      </c>
      <c r="E239" t="s">
        <v>287</v>
      </c>
    </row>
    <row r="240" spans="1:5" x14ac:dyDescent="0.2">
      <c r="A240" cm="1">
        <f t="array" ref="A240">MEDIAN(D!B1:B8-D!C1:C8)</f>
        <v>1.625</v>
      </c>
      <c r="B240">
        <f t="shared" si="9"/>
        <v>0</v>
      </c>
      <c r="C240">
        <f t="shared" si="10"/>
        <v>1.625</v>
      </c>
      <c r="D240" t="str">
        <f t="shared" si="11"/>
        <v/>
      </c>
      <c r="E240" t="s">
        <v>288</v>
      </c>
    </row>
    <row r="241" spans="1:5" x14ac:dyDescent="0.2">
      <c r="A241" cm="1">
        <f t="array" ref="A241">_xlfn.STDEV.S(IF(D!B1:B8&gt;0,D!B1:B8))</f>
        <v>12.658871348170177</v>
      </c>
      <c r="B241">
        <f t="shared" si="9"/>
        <v>0</v>
      </c>
      <c r="C241">
        <f t="shared" si="10"/>
        <v>12.658871348170177</v>
      </c>
      <c r="D241" t="str">
        <f t="shared" si="11"/>
        <v/>
      </c>
      <c r="E241" t="s">
        <v>289</v>
      </c>
    </row>
    <row r="242" spans="1:5" x14ac:dyDescent="0.2">
      <c r="A242" cm="1">
        <f t="array" ref="A242">_xlfn.VAR.P({1,2,3,4}*2)</f>
        <v>5</v>
      </c>
      <c r="B242">
        <f t="shared" si="9"/>
        <v>0</v>
      </c>
      <c r="C242">
        <f t="shared" si="10"/>
        <v>5</v>
      </c>
      <c r="D242" t="str">
        <f t="shared" si="11"/>
        <v/>
      </c>
      <c r="E242" t="s">
        <v>290</v>
      </c>
    </row>
    <row r="243" spans="1:5" x14ac:dyDescent="0.2">
      <c r="A243" t="e" cm="1">
        <f t="array" ref="A243">_xlfn.MODE.SNGL(D!AS1:AS8*1)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291</v>
      </c>
    </row>
    <row r="244" spans="1:5" x14ac:dyDescent="0.2">
      <c r="A244" cm="1">
        <f t="array" ref="A244">_xlfn.MODE.SNGL(IFERROR(D!AS1:AS8*1,""))</f>
        <v>1</v>
      </c>
      <c r="B244">
        <f t="shared" si="9"/>
        <v>0</v>
      </c>
      <c r="C244">
        <f t="shared" si="10"/>
        <v>1</v>
      </c>
      <c r="D244" t="str">
        <f t="shared" si="11"/>
        <v/>
      </c>
      <c r="E244" t="s">
        <v>292</v>
      </c>
    </row>
    <row r="245" spans="1:5" x14ac:dyDescent="0.2">
      <c r="A245" cm="1">
        <f t="array" ref="A245">GCD({12,18,24})</f>
        <v>6</v>
      </c>
      <c r="B245">
        <f t="shared" si="9"/>
        <v>0</v>
      </c>
      <c r="C245">
        <f t="shared" si="10"/>
        <v>6</v>
      </c>
      <c r="D245" t="str">
        <f t="shared" si="11"/>
        <v/>
      </c>
      <c r="E245" t="s">
        <v>293</v>
      </c>
    </row>
    <row r="246" spans="1:5" x14ac:dyDescent="0.2">
      <c r="A246" cm="1">
        <f t="array" ref="A246">CORREL(D!B1:B8*2,D!C1:C8)</f>
        <v>0.98532920764409482</v>
      </c>
      <c r="B246">
        <f t="shared" si="9"/>
        <v>0</v>
      </c>
      <c r="C246">
        <f t="shared" si="10"/>
        <v>0.98532920764409482</v>
      </c>
      <c r="D246" t="str">
        <f t="shared" si="11"/>
        <v/>
      </c>
      <c r="E246" t="s">
        <v>294</v>
      </c>
    </row>
    <row r="247" spans="1:5" x14ac:dyDescent="0.2">
      <c r="A247" cm="1">
        <f t="array" ref="A247">NPV(0.1,{-100,50,60})</f>
        <v>-4.5078888054094719</v>
      </c>
      <c r="B247">
        <f t="shared" si="9"/>
        <v>0</v>
      </c>
      <c r="C247">
        <f t="shared" si="10"/>
        <v>-4.5078888054094719</v>
      </c>
      <c r="D247" t="str">
        <f t="shared" si="11"/>
        <v/>
      </c>
      <c r="E247" t="s">
        <v>295</v>
      </c>
    </row>
    <row r="248" spans="1:5" x14ac:dyDescent="0.2">
      <c r="A248" cm="1">
        <f t="array" ref="A248">IRR({-100,50,60})</f>
        <v>6.3941029804984284E-2</v>
      </c>
      <c r="B248">
        <f t="shared" si="9"/>
        <v>0</v>
      </c>
      <c r="C248">
        <f t="shared" si="10"/>
        <v>6.3941029804984284E-2</v>
      </c>
      <c r="D248" t="str">
        <f t="shared" si="11"/>
        <v/>
      </c>
      <c r="E248" t="s">
        <v>296</v>
      </c>
    </row>
    <row r="249" spans="1:5" x14ac:dyDescent="0.2">
      <c r="A249" cm="1">
        <f t="array" ref="A249">SUM(IF({TRUE,FALSE,TRUE},{1,2,3},{10,20,30}))</f>
        <v>24</v>
      </c>
      <c r="B249">
        <f t="shared" si="9"/>
        <v>0</v>
      </c>
      <c r="C249">
        <f t="shared" si="10"/>
        <v>24</v>
      </c>
      <c r="D249" t="str">
        <f t="shared" si="11"/>
        <v/>
      </c>
      <c r="E249" t="s">
        <v>297</v>
      </c>
    </row>
    <row r="250" spans="1:5" x14ac:dyDescent="0.2">
      <c r="A250" cm="1">
        <f t="array" ref="A250">SUM(IF(D!B1:B8&gt;10,1,0))</f>
        <v>5</v>
      </c>
      <c r="B250">
        <f t="shared" si="9"/>
        <v>0</v>
      </c>
      <c r="C250">
        <f t="shared" si="10"/>
        <v>5</v>
      </c>
      <c r="D250" t="str">
        <f t="shared" si="11"/>
        <v/>
      </c>
      <c r="E250" t="s">
        <v>298</v>
      </c>
    </row>
    <row r="251" spans="1:5" x14ac:dyDescent="0.2">
      <c r="A251" cm="1">
        <f t="array" ref="A251">SUM(IF(D!B1:B8&gt;10,{1;2;3;4;5;6;7;8}))</f>
        <v>26</v>
      </c>
      <c r="B251">
        <f t="shared" si="9"/>
        <v>0</v>
      </c>
      <c r="C251">
        <f t="shared" si="10"/>
        <v>26</v>
      </c>
      <c r="D251" t="str">
        <f t="shared" si="11"/>
        <v/>
      </c>
      <c r="E251" t="s">
        <v>299</v>
      </c>
    </row>
    <row r="252" spans="1:5" x14ac:dyDescent="0.2">
      <c r="A252" cm="1">
        <f t="array" ref="A252">INDEX(IF({1,0},D!B1:B2,D!C1:C2),2,2)</f>
        <v>7</v>
      </c>
      <c r="B252">
        <f t="shared" si="9"/>
        <v>0</v>
      </c>
      <c r="C252">
        <f t="shared" si="10"/>
        <v>7</v>
      </c>
      <c r="D252" t="str">
        <f t="shared" si="11"/>
        <v/>
      </c>
      <c r="E252" t="s">
        <v>300</v>
      </c>
    </row>
    <row r="253" spans="1:5" x14ac:dyDescent="0.2">
      <c r="A253" t="e" cm="1">
        <f t="array" ref="A253">SUM(IF(D!E1:E8&gt;3,D!E1:E8))</f>
        <v>#DIV/0!</v>
      </c>
      <c r="B253">
        <f t="shared" si="9"/>
        <v>2</v>
      </c>
      <c r="C253">
        <f t="shared" si="10"/>
        <v>0</v>
      </c>
      <c r="D253" t="str">
        <f t="shared" si="11"/>
        <v/>
      </c>
      <c r="E253" t="s">
        <v>301</v>
      </c>
    </row>
    <row r="254" spans="1:5" x14ac:dyDescent="0.2">
      <c r="A254" cm="1">
        <f t="array" ref="A254">ROWS(IF(TRUE,D!B1:B3))</f>
        <v>3</v>
      </c>
      <c r="B254">
        <f t="shared" si="9"/>
        <v>0</v>
      </c>
      <c r="C254">
        <f t="shared" si="10"/>
        <v>3</v>
      </c>
      <c r="D254" t="str">
        <f t="shared" si="11"/>
        <v/>
      </c>
      <c r="E254" t="s">
        <v>302</v>
      </c>
    </row>
    <row r="255" spans="1:5" x14ac:dyDescent="0.2">
      <c r="A255" t="str" cm="1">
        <f t="array" ref="A255">INDEX(IF(D!B1:B2&gt;5,"y","n"),1)</f>
        <v>n</v>
      </c>
      <c r="B255">
        <f t="shared" si="9"/>
        <v>-3</v>
      </c>
      <c r="C255">
        <f t="shared" si="10"/>
        <v>0</v>
      </c>
      <c r="D255" t="str">
        <f t="shared" si="11"/>
        <v>n</v>
      </c>
      <c r="E255" t="s">
        <v>303</v>
      </c>
    </row>
    <row r="256" spans="1:5" x14ac:dyDescent="0.2">
      <c r="A256" t="e" cm="1">
        <f t="array" ref="A256">SUM(IF(D!B1:B3&gt;5,D!C1:C2,100))</f>
        <v>#N/A</v>
      </c>
      <c r="B256">
        <f t="shared" si="9"/>
        <v>7</v>
      </c>
      <c r="C256">
        <f t="shared" si="10"/>
        <v>0</v>
      </c>
      <c r="D256" t="str">
        <f t="shared" si="11"/>
        <v/>
      </c>
      <c r="E256" t="s">
        <v>304</v>
      </c>
    </row>
    <row r="257" spans="1:5" x14ac:dyDescent="0.2">
      <c r="A257" t="e" cm="1">
        <f t="array" ref="A257">SUM(IF({1;0},{1,2},{3,4,5}))</f>
        <v>#N/A</v>
      </c>
      <c r="B257">
        <f t="shared" ref="B257:B320" si="12">IF(ISERROR(A257),ERROR.TYPE(A257),IF(ISNUMBER(A257),0,IF(ISLOGICAL(A257),IF(A257,-1,-2),IF(ISTEXT(A257),-3,-4))))</f>
        <v>7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305</v>
      </c>
    </row>
    <row r="258" spans="1:5" x14ac:dyDescent="0.2">
      <c r="A258" cm="1">
        <f t="array" ref="A258">SUM(--ISBLANK(IF(TRUE,D!K1:K8)))</f>
        <v>8</v>
      </c>
      <c r="B258">
        <f t="shared" si="12"/>
        <v>0</v>
      </c>
      <c r="C258">
        <f t="shared" si="13"/>
        <v>8</v>
      </c>
      <c r="D258" t="str">
        <f t="shared" si="14"/>
        <v/>
      </c>
      <c r="E258" t="s">
        <v>306</v>
      </c>
    </row>
    <row r="259" spans="1:5" x14ac:dyDescent="0.2">
      <c r="A259" cm="1">
        <f t="array" ref="A259">SUM(--ISBLANK(IF({1;1;1;1;1;1;1;1},D!K1:K8)))</f>
        <v>0</v>
      </c>
      <c r="B259">
        <f t="shared" si="12"/>
        <v>0</v>
      </c>
      <c r="C259">
        <f t="shared" si="13"/>
        <v>0</v>
      </c>
      <c r="D259" t="str">
        <f t="shared" si="14"/>
        <v/>
      </c>
      <c r="E259" t="s">
        <v>307</v>
      </c>
    </row>
    <row r="260" spans="1:5" x14ac:dyDescent="0.2">
      <c r="A260" t="e" cm="1" vm="2">
        <f t="array" aca="1" ref="A260" ca="1">IF(D!B1:B2&gt;5,"y")</f>
        <v>#VALUE!</v>
      </c>
      <c r="B260">
        <f t="shared" ca="1" si="12"/>
        <v>9</v>
      </c>
      <c r="C260">
        <f t="shared" ca="1" si="13"/>
        <v>0</v>
      </c>
      <c r="D260" t="str">
        <f t="shared" ca="1" si="14"/>
        <v/>
      </c>
      <c r="E260" t="s">
        <v>308</v>
      </c>
    </row>
    <row r="261" spans="1:5" x14ac:dyDescent="0.2">
      <c r="A261" cm="1">
        <f t="array" ref="A261">SUM(IFERROR(IF(D!E1:E8&gt;3,D!E1:E8),0))</f>
        <v>30</v>
      </c>
      <c r="B261">
        <f t="shared" si="12"/>
        <v>0</v>
      </c>
      <c r="C261">
        <f t="shared" si="13"/>
        <v>30</v>
      </c>
      <c r="D261" t="str">
        <f t="shared" si="14"/>
        <v/>
      </c>
      <c r="E261" t="s">
        <v>309</v>
      </c>
    </row>
    <row r="262" spans="1:5" x14ac:dyDescent="0.2">
      <c r="A262" cm="1">
        <f t="array" ref="A262">SUM(IFERROR(D!E1:E8,100))</f>
        <v>133</v>
      </c>
      <c r="B262">
        <f t="shared" si="12"/>
        <v>0</v>
      </c>
      <c r="C262">
        <f t="shared" si="13"/>
        <v>133</v>
      </c>
      <c r="D262" t="str">
        <f t="shared" si="14"/>
        <v/>
      </c>
      <c r="E262" t="s">
        <v>310</v>
      </c>
    </row>
    <row r="263" spans="1:5" x14ac:dyDescent="0.2">
      <c r="A263" cm="1">
        <f t="array" ref="A263">SUM(IFERROR(1/{1,0,2},100))</f>
        <v>101.5</v>
      </c>
      <c r="B263">
        <f t="shared" si="12"/>
        <v>0</v>
      </c>
      <c r="C263">
        <f t="shared" si="13"/>
        <v>101.5</v>
      </c>
      <c r="D263" t="str">
        <f t="shared" si="14"/>
        <v/>
      </c>
      <c r="E263" t="s">
        <v>311</v>
      </c>
    </row>
    <row r="264" spans="1:5" x14ac:dyDescent="0.2">
      <c r="A264" cm="1">
        <f t="array" ref="A264">SUM(IFERROR(1/{1,0,2},{10,20,30}))</f>
        <v>21.5</v>
      </c>
      <c r="B264">
        <f t="shared" si="12"/>
        <v>0</v>
      </c>
      <c r="C264">
        <f t="shared" si="13"/>
        <v>21.5</v>
      </c>
      <c r="D264" t="str">
        <f t="shared" si="14"/>
        <v/>
      </c>
      <c r="E264" t="s">
        <v>312</v>
      </c>
    </row>
    <row r="265" spans="1:5" x14ac:dyDescent="0.2">
      <c r="A265" cm="1">
        <f t="array" ref="A265">ROWS(IFERROR(D!B1:B3,0))</f>
        <v>3</v>
      </c>
      <c r="B265">
        <f t="shared" si="12"/>
        <v>0</v>
      </c>
      <c r="C265">
        <f t="shared" si="13"/>
        <v>3</v>
      </c>
      <c r="D265" t="str">
        <f t="shared" si="14"/>
        <v/>
      </c>
      <c r="E265" t="s">
        <v>313</v>
      </c>
    </row>
    <row r="266" spans="1:5" x14ac:dyDescent="0.2">
      <c r="A266" cm="1">
        <f t="array" ref="A266">ROWS(IFERROR(1,D!B1:B3))</f>
        <v>1</v>
      </c>
      <c r="B266">
        <f t="shared" si="12"/>
        <v>0</v>
      </c>
      <c r="C266">
        <f t="shared" si="13"/>
        <v>1</v>
      </c>
      <c r="D266" t="str">
        <f t="shared" si="14"/>
        <v/>
      </c>
      <c r="E266" t="s">
        <v>314</v>
      </c>
    </row>
    <row r="267" spans="1:5" x14ac:dyDescent="0.2">
      <c r="A267" cm="1">
        <f t="array" ref="A267">SUM(_xlfn.IFNA({1,#N/A,3},10))</f>
        <v>14</v>
      </c>
      <c r="B267">
        <f t="shared" si="12"/>
        <v>0</v>
      </c>
      <c r="C267">
        <f t="shared" si="13"/>
        <v>14</v>
      </c>
      <c r="D267" t="str">
        <f t="shared" si="14"/>
        <v/>
      </c>
      <c r="E267" t="s">
        <v>315</v>
      </c>
    </row>
    <row r="268" spans="1:5" x14ac:dyDescent="0.2">
      <c r="A268" cm="1">
        <f t="array" ref="A268">SUM(_xlfn.IFNA(MATCH({2,4,8},D!L1:L6,0),0))</f>
        <v>7</v>
      </c>
      <c r="B268">
        <f t="shared" si="12"/>
        <v>0</v>
      </c>
      <c r="C268">
        <f t="shared" si="13"/>
        <v>7</v>
      </c>
      <c r="D268" t="str">
        <f t="shared" si="14"/>
        <v/>
      </c>
      <c r="E268" t="s">
        <v>316</v>
      </c>
    </row>
    <row r="269" spans="1:5" x14ac:dyDescent="0.2">
      <c r="A269" cm="1">
        <f t="array" ref="A269">SUM(_xlfn.IFS(D!B1:B8&gt;20,1,TRUE,0))</f>
        <v>2</v>
      </c>
      <c r="B269">
        <f t="shared" si="12"/>
        <v>0</v>
      </c>
      <c r="C269">
        <f t="shared" si="13"/>
        <v>2</v>
      </c>
      <c r="D269" t="str">
        <f t="shared" si="14"/>
        <v/>
      </c>
      <c r="E269" t="s">
        <v>317</v>
      </c>
    </row>
    <row r="270" spans="1:5" x14ac:dyDescent="0.2">
      <c r="A270" t="str" cm="1">
        <f t="array" ref="A270">INDEX(_xlfn.IFS({TRUE,FALSE},"a",{FALSE,TRUE},"b"),1,2)</f>
        <v>b</v>
      </c>
      <c r="B270">
        <f t="shared" si="12"/>
        <v>-3</v>
      </c>
      <c r="C270">
        <f t="shared" si="13"/>
        <v>0</v>
      </c>
      <c r="D270" t="str">
        <f t="shared" si="14"/>
        <v>b</v>
      </c>
      <c r="E270" t="s">
        <v>318</v>
      </c>
    </row>
    <row r="271" spans="1:5" x14ac:dyDescent="0.2">
      <c r="A271" cm="1">
        <f t="array" ref="A271">SUM(_xlfn.SWITCH(D!L1:L6,1,10,2,20,0))</f>
        <v>30</v>
      </c>
      <c r="B271">
        <f t="shared" si="12"/>
        <v>0</v>
      </c>
      <c r="C271">
        <f t="shared" si="13"/>
        <v>30</v>
      </c>
      <c r="D271" t="str">
        <f t="shared" si="14"/>
        <v/>
      </c>
      <c r="E271" t="s">
        <v>319</v>
      </c>
    </row>
    <row r="272" spans="1:5" x14ac:dyDescent="0.2">
      <c r="A272" t="str" cm="1">
        <f t="array" ref="A272">INDEX(_xlfn.SWITCH({1,2},1,"one","other"),1,2)</f>
        <v>other</v>
      </c>
      <c r="B272">
        <f t="shared" si="12"/>
        <v>-3</v>
      </c>
      <c r="C272">
        <f t="shared" si="13"/>
        <v>0</v>
      </c>
      <c r="D272" t="str">
        <f t="shared" si="14"/>
        <v>other</v>
      </c>
      <c r="E272" t="s">
        <v>320</v>
      </c>
    </row>
    <row r="273" spans="1:5" x14ac:dyDescent="0.2">
      <c r="A273" cm="1">
        <f t="array" ref="A273">SUM(--NOT(D!B1:B8&gt;10))</f>
        <v>3</v>
      </c>
      <c r="B273">
        <f t="shared" si="12"/>
        <v>0</v>
      </c>
      <c r="C273">
        <f t="shared" si="13"/>
        <v>3</v>
      </c>
      <c r="D273" t="str">
        <f t="shared" si="14"/>
        <v/>
      </c>
      <c r="E273" t="s">
        <v>321</v>
      </c>
    </row>
    <row r="274" spans="1:5" x14ac:dyDescent="0.2">
      <c r="A274" cm="1">
        <f t="array" ref="A274">SUM(CHOOSE(2,D!B1:B8,D!C1:C8))</f>
        <v>108</v>
      </c>
      <c r="B274">
        <f t="shared" si="12"/>
        <v>0</v>
      </c>
      <c r="C274">
        <f t="shared" si="13"/>
        <v>108</v>
      </c>
      <c r="D274" t="str">
        <f t="shared" si="14"/>
        <v/>
      </c>
      <c r="E274" t="s">
        <v>322</v>
      </c>
    </row>
    <row r="275" spans="1:5" x14ac:dyDescent="0.2">
      <c r="A275" cm="1">
        <f t="array" ref="A275">SUM(CHOOSE({1,2},10,20))</f>
        <v>30</v>
      </c>
      <c r="B275">
        <f t="shared" si="12"/>
        <v>0</v>
      </c>
      <c r="C275">
        <f t="shared" si="13"/>
        <v>30</v>
      </c>
      <c r="D275" t="str">
        <f t="shared" si="14"/>
        <v/>
      </c>
      <c r="E275" t="s">
        <v>323</v>
      </c>
    </row>
    <row r="276" spans="1:5" x14ac:dyDescent="0.2">
      <c r="A276" cm="1">
        <f t="array" ref="A276">SUMIF(CHOOSE(1,D!L1:L6,D!N1:N6),"&gt;2")</f>
        <v>29</v>
      </c>
      <c r="B276">
        <f t="shared" si="12"/>
        <v>0</v>
      </c>
      <c r="C276">
        <f t="shared" si="13"/>
        <v>29</v>
      </c>
      <c r="D276" t="str">
        <f t="shared" si="14"/>
        <v/>
      </c>
      <c r="E276" t="s">
        <v>324</v>
      </c>
    </row>
    <row r="277" spans="1:5" x14ac:dyDescent="0.2">
      <c r="A277" cm="1">
        <f t="array" ref="A277">ROWS(CHOOSE(1,D!B1:B8,1))</f>
        <v>8</v>
      </c>
      <c r="B277">
        <f t="shared" si="12"/>
        <v>0</v>
      </c>
      <c r="C277">
        <f t="shared" si="13"/>
        <v>8</v>
      </c>
      <c r="D277" t="str">
        <f t="shared" si="14"/>
        <v/>
      </c>
      <c r="E277" t="s">
        <v>325</v>
      </c>
    </row>
    <row r="278" spans="1:5" x14ac:dyDescent="0.2">
      <c r="A278" cm="1">
        <f t="array" ref="A278">INDEX(CHOOSE({1,2},D!B1:B2,D!C1:C2),2,2)</f>
        <v>7</v>
      </c>
      <c r="B278">
        <f t="shared" si="12"/>
        <v>0</v>
      </c>
      <c r="C278">
        <f t="shared" si="13"/>
        <v>7</v>
      </c>
      <c r="D278" t="str">
        <f t="shared" si="14"/>
        <v/>
      </c>
      <c r="E278" t="s">
        <v>326</v>
      </c>
    </row>
    <row r="279" spans="1:5" x14ac:dyDescent="0.2">
      <c r="A279" cm="1">
        <f t="array" ref="A279">SUM(COUNTIF(D!F1:F7,{"аренда","чай"}))</f>
        <v>3</v>
      </c>
      <c r="B279">
        <f t="shared" si="12"/>
        <v>0</v>
      </c>
      <c r="C279">
        <f t="shared" si="13"/>
        <v>3</v>
      </c>
      <c r="D279" t="str">
        <f t="shared" si="14"/>
        <v/>
      </c>
      <c r="E279" t="s">
        <v>327</v>
      </c>
    </row>
    <row r="280" spans="1:5" x14ac:dyDescent="0.2">
      <c r="A280" cm="1">
        <f t="array" ref="A280">INDEX(COUNTIF(D!B1:B8,D!B1:B8),3)</f>
        <v>1</v>
      </c>
      <c r="B280">
        <f t="shared" si="12"/>
        <v>0</v>
      </c>
      <c r="C280">
        <f t="shared" si="13"/>
        <v>1</v>
      </c>
      <c r="D280" t="str">
        <f t="shared" si="14"/>
        <v/>
      </c>
      <c r="E280" t="s">
        <v>328</v>
      </c>
    </row>
    <row r="281" spans="1:5" x14ac:dyDescent="0.2">
      <c r="A281" cm="1">
        <f t="array" ref="A281">SUM(COUNTIF(D!AS1:AS8,D!AS1:AS8))</f>
        <v>14</v>
      </c>
      <c r="B281">
        <f t="shared" si="12"/>
        <v>0</v>
      </c>
      <c r="C281">
        <f t="shared" si="13"/>
        <v>14</v>
      </c>
      <c r="D281" t="str">
        <f t="shared" si="14"/>
        <v/>
      </c>
      <c r="E281" t="s">
        <v>329</v>
      </c>
    </row>
    <row r="282" spans="1:5" x14ac:dyDescent="0.2">
      <c r="A282" cm="1">
        <f t="array" ref="A282">SUM(1/COUNTIF(D!AS1:AS8,D!AS1:AS8))</f>
        <v>5</v>
      </c>
      <c r="B282">
        <f t="shared" si="12"/>
        <v>0</v>
      </c>
      <c r="C282">
        <f t="shared" si="13"/>
        <v>5</v>
      </c>
      <c r="D282" t="str">
        <f t="shared" si="14"/>
        <v/>
      </c>
      <c r="E282" t="s">
        <v>330</v>
      </c>
    </row>
    <row r="283" spans="1:5" x14ac:dyDescent="0.2">
      <c r="A283" cm="1">
        <f t="array" ref="A283">SUM(SUMIF(D!L1:L6,{1,3},D!N1:N6))</f>
        <v>40</v>
      </c>
      <c r="B283">
        <f t="shared" si="12"/>
        <v>0</v>
      </c>
      <c r="C283">
        <f t="shared" si="13"/>
        <v>40</v>
      </c>
      <c r="D283" t="str">
        <f t="shared" si="14"/>
        <v/>
      </c>
      <c r="E283" t="s">
        <v>331</v>
      </c>
    </row>
    <row r="284" spans="1:5" x14ac:dyDescent="0.2">
      <c r="A284" cm="1">
        <f t="array" ref="A284">SUM(SUMIFS(D!N1:N6,D!L1:L6,{"&gt;2","&lt;2"}))</f>
        <v>300</v>
      </c>
      <c r="B284">
        <f t="shared" si="12"/>
        <v>0</v>
      </c>
      <c r="C284">
        <f t="shared" si="13"/>
        <v>300</v>
      </c>
      <c r="D284" t="str">
        <f t="shared" si="14"/>
        <v/>
      </c>
      <c r="E284" t="s">
        <v>332</v>
      </c>
    </row>
    <row r="285" spans="1:5" x14ac:dyDescent="0.2">
      <c r="A285" t="e" cm="1" vm="1">
        <f t="array" aca="1" ref="A285" ca="1">COUNTIFS(D!L1:L6,"&gt;"&amp;{1,5})</f>
        <v>#VALUE!</v>
      </c>
      <c r="B285">
        <f t="shared" ca="1" si="12"/>
        <v>9</v>
      </c>
      <c r="C285">
        <f t="shared" ca="1" si="13"/>
        <v>0</v>
      </c>
      <c r="D285" t="str">
        <f t="shared" ca="1" si="14"/>
        <v/>
      </c>
      <c r="E285" t="s">
        <v>333</v>
      </c>
    </row>
    <row r="286" spans="1:5" x14ac:dyDescent="0.2">
      <c r="A286" cm="1">
        <f t="array" ref="A286">SUM(COUNTIFS(D!L1:L6,"&gt;"&amp;{1,5}))</f>
        <v>7</v>
      </c>
      <c r="B286">
        <f t="shared" si="12"/>
        <v>0</v>
      </c>
      <c r="C286">
        <f t="shared" si="13"/>
        <v>7</v>
      </c>
      <c r="D286" t="str">
        <f t="shared" si="14"/>
        <v/>
      </c>
      <c r="E286" t="s">
        <v>334</v>
      </c>
    </row>
    <row r="287" spans="1:5" x14ac:dyDescent="0.2">
      <c r="A287" cm="1">
        <f t="array" ref="A287">SUM(COUNTIFS(D!L1:L6,{"&gt;1","&gt;5"},D!N1:N6,"&lt;100"))</f>
        <v>5</v>
      </c>
      <c r="B287">
        <f t="shared" si="12"/>
        <v>0</v>
      </c>
      <c r="C287">
        <f t="shared" si="13"/>
        <v>5</v>
      </c>
      <c r="D287" t="str">
        <f t="shared" si="14"/>
        <v/>
      </c>
      <c r="E287" t="s">
        <v>335</v>
      </c>
    </row>
    <row r="288" spans="1:5" x14ac:dyDescent="0.2">
      <c r="A288" cm="1">
        <f t="array" ref="A288">SUM(AVERAGEIF(D!L1:L6,{"&gt;2","&lt;3"},D!N1:N6))</f>
        <v>87.5</v>
      </c>
      <c r="B288">
        <f t="shared" si="12"/>
        <v>0</v>
      </c>
      <c r="C288">
        <f t="shared" si="13"/>
        <v>87.5</v>
      </c>
      <c r="D288" t="str">
        <f t="shared" si="14"/>
        <v/>
      </c>
      <c r="E288" t="s">
        <v>336</v>
      </c>
    </row>
    <row r="289" spans="1:5" x14ac:dyDescent="0.2">
      <c r="A289" cm="1">
        <f t="array" ref="A289">SUM(VLOOKUP({1,3},D!L1:N6,3,FALSE))</f>
        <v>40</v>
      </c>
      <c r="B289">
        <f t="shared" si="12"/>
        <v>0</v>
      </c>
      <c r="C289">
        <f t="shared" si="13"/>
        <v>40</v>
      </c>
      <c r="D289" t="str">
        <f t="shared" si="14"/>
        <v/>
      </c>
      <c r="E289" t="s">
        <v>337</v>
      </c>
    </row>
    <row r="290" spans="1:5" x14ac:dyDescent="0.2">
      <c r="A290" cm="1">
        <f t="array" ref="A290">INDEX(VLOOKUP(2,D!L1:N6,{2,3},FALSE),1,2)</f>
        <v>20</v>
      </c>
      <c r="B290">
        <f t="shared" si="12"/>
        <v>0</v>
      </c>
      <c r="C290">
        <f t="shared" si="13"/>
        <v>20</v>
      </c>
      <c r="D290" t="str">
        <f t="shared" si="14"/>
        <v/>
      </c>
      <c r="E290" t="s">
        <v>338</v>
      </c>
    </row>
    <row r="291" spans="1:5" x14ac:dyDescent="0.2">
      <c r="A291" t="e" cm="1" vm="1">
        <f t="array" aca="1" ref="A291" ca="1">VLOOKUP(2,D!L1:N6,{2,3},FALSE)</f>
        <v>#VALUE!</v>
      </c>
      <c r="B291">
        <f t="shared" ca="1" si="12"/>
        <v>9</v>
      </c>
      <c r="C291">
        <f t="shared" ca="1" si="13"/>
        <v>0</v>
      </c>
      <c r="D291" t="str">
        <f t="shared" ca="1" si="14"/>
        <v/>
      </c>
      <c r="E291" t="s">
        <v>339</v>
      </c>
    </row>
    <row r="292" spans="1:5" x14ac:dyDescent="0.2">
      <c r="A292" cm="1">
        <f t="array" ref="A292">SUM(VLOOKUP(D!L1:L3,D!L1:N6,3))</f>
        <v>60</v>
      </c>
      <c r="B292">
        <f t="shared" si="12"/>
        <v>0</v>
      </c>
      <c r="C292">
        <f t="shared" si="13"/>
        <v>60</v>
      </c>
      <c r="D292" t="str">
        <f t="shared" si="14"/>
        <v/>
      </c>
      <c r="E292" t="s">
        <v>340</v>
      </c>
    </row>
    <row r="293" spans="1:5" x14ac:dyDescent="0.2">
      <c r="A293" cm="1">
        <f t="array" ref="A293">SUM(HLOOKUP({2,3},D!L8:Q10,3,FALSE))</f>
        <v>50</v>
      </c>
      <c r="B293">
        <f t="shared" si="12"/>
        <v>0</v>
      </c>
      <c r="C293">
        <f t="shared" si="13"/>
        <v>50</v>
      </c>
      <c r="D293" t="str">
        <f t="shared" si="14"/>
        <v/>
      </c>
      <c r="E293" t="s">
        <v>341</v>
      </c>
    </row>
    <row r="294" spans="1:5" x14ac:dyDescent="0.2">
      <c r="A294" t="e" cm="1" vm="2">
        <f t="array" aca="1" ref="A294" ca="1">VLOOKUP(5,D!L1:N6,D!AH2:AH3,FALSE)</f>
        <v>#VALUE!</v>
      </c>
      <c r="B294">
        <f t="shared" ca="1" si="12"/>
        <v>9</v>
      </c>
      <c r="C294">
        <f t="shared" ca="1" si="13"/>
        <v>0</v>
      </c>
      <c r="D294" t="str">
        <f t="shared" ca="1" si="14"/>
        <v/>
      </c>
      <c r="E294" t="s">
        <v>342</v>
      </c>
    </row>
    <row r="295" spans="1:5" x14ac:dyDescent="0.2">
      <c r="A295" t="str" cm="1">
        <f t="array" ref="A295">INDEX(VLOOKUP(5,D!L1:N6,D!AH2:AH3,FALSE),2)</f>
        <v>five</v>
      </c>
      <c r="B295">
        <f t="shared" si="12"/>
        <v>-3</v>
      </c>
      <c r="C295">
        <f t="shared" si="13"/>
        <v>0</v>
      </c>
      <c r="D295" t="str">
        <f t="shared" si="14"/>
        <v>five</v>
      </c>
      <c r="E295" t="s">
        <v>343</v>
      </c>
    </row>
    <row r="296" spans="1:5" x14ac:dyDescent="0.2">
      <c r="A296" cm="1">
        <f t="array" ref="A296">INDEX(VLOOKUP(5,D!L1:N6,D!AH2:AH4,FALSE),3)</f>
        <v>50</v>
      </c>
      <c r="B296">
        <f t="shared" si="12"/>
        <v>0</v>
      </c>
      <c r="C296">
        <f t="shared" si="13"/>
        <v>50</v>
      </c>
      <c r="D296" t="str">
        <f t="shared" si="14"/>
        <v/>
      </c>
      <c r="E296" t="s">
        <v>344</v>
      </c>
    </row>
    <row r="297" spans="1:5" x14ac:dyDescent="0.2">
      <c r="A297" cm="1">
        <f t="array" ref="A297">SUM(VLOOKUP(5,D!L1:N6,D!AH2:AH4,FALSE))</f>
        <v>55</v>
      </c>
      <c r="B297">
        <f t="shared" si="12"/>
        <v>0</v>
      </c>
      <c r="C297">
        <f t="shared" si="13"/>
        <v>55</v>
      </c>
      <c r="D297" t="str">
        <f t="shared" si="14"/>
        <v/>
      </c>
      <c r="E297" t="s">
        <v>345</v>
      </c>
    </row>
    <row r="298" spans="1:5" x14ac:dyDescent="0.2">
      <c r="A298" cm="1">
        <f t="array" ref="A298">TYPE(VLOOKUP(5,D!L1:N6,D!AH2:AH3,FALSE))</f>
        <v>64</v>
      </c>
      <c r="B298">
        <f t="shared" si="12"/>
        <v>0</v>
      </c>
      <c r="C298">
        <f t="shared" si="13"/>
        <v>64</v>
      </c>
      <c r="D298" t="str">
        <f t="shared" si="14"/>
        <v/>
      </c>
      <c r="E298" t="s">
        <v>346</v>
      </c>
    </row>
    <row r="299" spans="1:5" x14ac:dyDescent="0.2">
      <c r="A299" cm="1">
        <f t="array" ref="A299">VLOOKUP(5,D!L1:N6,D!AH2,FALSE)</f>
        <v>5</v>
      </c>
      <c r="B299">
        <f t="shared" si="12"/>
        <v>0</v>
      </c>
      <c r="C299">
        <f t="shared" si="13"/>
        <v>5</v>
      </c>
      <c r="D299" t="str">
        <f t="shared" si="14"/>
        <v/>
      </c>
      <c r="E299" t="s">
        <v>347</v>
      </c>
    </row>
    <row r="300" spans="1:5" x14ac:dyDescent="0.2">
      <c r="A300" t="str" cm="1">
        <f t="array" ref="A300">VLOOKUP(5,D!L1:N6,{2},FALSE)</f>
        <v>five</v>
      </c>
      <c r="B300">
        <f t="shared" si="12"/>
        <v>-3</v>
      </c>
      <c r="C300">
        <f t="shared" si="13"/>
        <v>0</v>
      </c>
      <c r="D300" t="str">
        <f t="shared" si="14"/>
        <v>five</v>
      </c>
      <c r="E300" t="s">
        <v>348</v>
      </c>
    </row>
    <row r="301" spans="1:5" x14ac:dyDescent="0.2">
      <c r="A301" cm="1">
        <f t="array" ref="A301">TYPE(VLOOKUP(5,D!L1:N6,{2},FALSE))</f>
        <v>64</v>
      </c>
      <c r="B301">
        <f t="shared" si="12"/>
        <v>0</v>
      </c>
      <c r="C301">
        <f t="shared" si="13"/>
        <v>64</v>
      </c>
      <c r="D301" t="str">
        <f t="shared" si="14"/>
        <v/>
      </c>
      <c r="E301" t="s">
        <v>349</v>
      </c>
    </row>
    <row r="302" spans="1:5" x14ac:dyDescent="0.2">
      <c r="A302" t="e" cm="1" vm="2">
        <f t="array" aca="1" ref="A302" ca="1">VLOOKUP(5,D!L1:N6,D!B1:B2/4,FALSE)</f>
        <v>#VALUE!</v>
      </c>
      <c r="B302">
        <f t="shared" ca="1" si="12"/>
        <v>9</v>
      </c>
      <c r="C302">
        <f t="shared" ca="1" si="13"/>
        <v>0</v>
      </c>
      <c r="D302" t="str">
        <f t="shared" ca="1" si="14"/>
        <v/>
      </c>
      <c r="E302" t="s">
        <v>350</v>
      </c>
    </row>
    <row r="303" spans="1:5" x14ac:dyDescent="0.2">
      <c r="A303" cm="1">
        <f t="array" ref="A303">INDEX(VLOOKUP(5,D!L1:N6,{3;2;1},FALSE),3)</f>
        <v>5</v>
      </c>
      <c r="B303">
        <f t="shared" si="12"/>
        <v>0</v>
      </c>
      <c r="C303">
        <f t="shared" si="13"/>
        <v>5</v>
      </c>
      <c r="D303" t="str">
        <f t="shared" si="14"/>
        <v/>
      </c>
      <c r="E303" t="s">
        <v>351</v>
      </c>
    </row>
    <row r="304" spans="1:5" x14ac:dyDescent="0.2">
      <c r="A304" cm="1">
        <f t="array" ref="A304">INDEX(VLOOKUP(5,D!L1:N6,{2,3},FALSE),1,2)</f>
        <v>50</v>
      </c>
      <c r="B304">
        <f t="shared" si="12"/>
        <v>0</v>
      </c>
      <c r="C304">
        <f t="shared" si="13"/>
        <v>50</v>
      </c>
      <c r="D304" t="str">
        <f t="shared" si="14"/>
        <v/>
      </c>
      <c r="E304" t="s">
        <v>352</v>
      </c>
    </row>
    <row r="305" spans="1:5" x14ac:dyDescent="0.2">
      <c r="A305" cm="1">
        <f t="array" ref="A305">COLUMNS(VLOOKUP(5,D!L1:N6,{2,3},FALSE))</f>
        <v>2</v>
      </c>
      <c r="B305">
        <f t="shared" si="12"/>
        <v>0</v>
      </c>
      <c r="C305">
        <f t="shared" si="13"/>
        <v>2</v>
      </c>
      <c r="D305" t="str">
        <f t="shared" si="14"/>
        <v/>
      </c>
      <c r="E305" t="s">
        <v>353</v>
      </c>
    </row>
    <row r="306" spans="1:5" x14ac:dyDescent="0.2">
      <c r="A306" cm="1">
        <f t="array" ref="A306">INDEX(VLOOKUP(5,D!L1:N6,{2,3;1,2},FALSE),2,1)</f>
        <v>5</v>
      </c>
      <c r="B306">
        <f t="shared" si="12"/>
        <v>0</v>
      </c>
      <c r="C306">
        <f t="shared" si="13"/>
        <v>5</v>
      </c>
      <c r="D306" t="str">
        <f t="shared" si="14"/>
        <v/>
      </c>
      <c r="E306" t="s">
        <v>354</v>
      </c>
    </row>
    <row r="307" spans="1:5" x14ac:dyDescent="0.2">
      <c r="A307" cm="1">
        <f t="array" ref="A307">ROWS(VLOOKUP(5,D!L1:N6,{2,3;1,2},FALSE))</f>
        <v>2</v>
      </c>
      <c r="B307">
        <f t="shared" si="12"/>
        <v>0</v>
      </c>
      <c r="C307">
        <f t="shared" si="13"/>
        <v>2</v>
      </c>
      <c r="D307" t="str">
        <f t="shared" si="14"/>
        <v/>
      </c>
      <c r="E307" t="s">
        <v>355</v>
      </c>
    </row>
    <row r="308" spans="1:5" x14ac:dyDescent="0.2">
      <c r="A308" cm="1">
        <f t="array" ref="A308">INDEX(VLOOKUP(5,D!L1:N6,{2;"3"},FALSE),2)</f>
        <v>50</v>
      </c>
      <c r="B308">
        <f t="shared" si="12"/>
        <v>0</v>
      </c>
      <c r="C308">
        <f t="shared" si="13"/>
        <v>50</v>
      </c>
      <c r="D308" t="str">
        <f t="shared" si="14"/>
        <v/>
      </c>
      <c r="E308" t="s">
        <v>356</v>
      </c>
    </row>
    <row r="309" spans="1:5" x14ac:dyDescent="0.2">
      <c r="A309" cm="1">
        <f t="array" ref="A309">INDEX(VLOOKUP(5,D!L1:N6,{2;TRUE},FALSE),2)</f>
        <v>5</v>
      </c>
      <c r="B309">
        <f t="shared" si="12"/>
        <v>0</v>
      </c>
      <c r="C309">
        <f t="shared" si="13"/>
        <v>5</v>
      </c>
      <c r="D309" t="str">
        <f t="shared" si="14"/>
        <v/>
      </c>
      <c r="E309" t="s">
        <v>357</v>
      </c>
    </row>
    <row r="310" spans="1:5" x14ac:dyDescent="0.2">
      <c r="A310" t="str" cm="1">
        <f t="array" ref="A310">INDEX(VLOOKUP(5,D!L1:N6,{2;2.9},FALSE),2)</f>
        <v>five</v>
      </c>
      <c r="B310">
        <f t="shared" si="12"/>
        <v>-3</v>
      </c>
      <c r="C310">
        <f t="shared" si="13"/>
        <v>0</v>
      </c>
      <c r="D310" t="str">
        <f t="shared" si="14"/>
        <v>five</v>
      </c>
      <c r="E310" t="s">
        <v>358</v>
      </c>
    </row>
    <row r="311" spans="1:5" x14ac:dyDescent="0.2">
      <c r="A311" t="str" cm="1">
        <f t="array" ref="A311">INDEX(VLOOKUP(4,D!L1:N6,{2;3}),1)</f>
        <v>three</v>
      </c>
      <c r="B311">
        <f t="shared" si="12"/>
        <v>-3</v>
      </c>
      <c r="C311">
        <f t="shared" si="13"/>
        <v>0</v>
      </c>
      <c r="D311" t="str">
        <f t="shared" si="14"/>
        <v>three</v>
      </c>
      <c r="E311" t="s">
        <v>359</v>
      </c>
    </row>
    <row r="312" spans="1:5" x14ac:dyDescent="0.2">
      <c r="A312" cm="1">
        <f t="array" ref="A312">INDEX(VLOOKUP("five",D!M1:N6,D!AH2:AH3,FALSE),2)</f>
        <v>50</v>
      </c>
      <c r="B312">
        <f t="shared" si="12"/>
        <v>0</v>
      </c>
      <c r="C312">
        <f t="shared" si="13"/>
        <v>50</v>
      </c>
      <c r="D312" t="str">
        <f t="shared" si="14"/>
        <v/>
      </c>
      <c r="E312" t="s">
        <v>360</v>
      </c>
    </row>
    <row r="313" spans="1:5" x14ac:dyDescent="0.2">
      <c r="A313" cm="1">
        <f t="array" ref="A313">INDEX(VLOOKUP(11,D!AK5:AL7,{1,2},FALSE),1,2)</f>
        <v>0</v>
      </c>
      <c r="B313">
        <f t="shared" si="12"/>
        <v>0</v>
      </c>
      <c r="C313">
        <f t="shared" si="13"/>
        <v>0</v>
      </c>
      <c r="D313" t="str">
        <f t="shared" si="14"/>
        <v/>
      </c>
      <c r="E313" t="s">
        <v>361</v>
      </c>
    </row>
    <row r="314" spans="1:5" x14ac:dyDescent="0.2">
      <c r="A314" t="b" cm="1">
        <f t="array" ref="A314">ISBLANK(INDEX(VLOOKUP(11,D!AK5:AL7,{1,2},FALSE),1,2))</f>
        <v>1</v>
      </c>
      <c r="B314">
        <f t="shared" si="12"/>
        <v>-1</v>
      </c>
      <c r="C314">
        <f t="shared" si="13"/>
        <v>0</v>
      </c>
      <c r="D314" t="str">
        <f t="shared" si="14"/>
        <v/>
      </c>
      <c r="E314" t="s">
        <v>362</v>
      </c>
    </row>
    <row r="315" spans="1:5" x14ac:dyDescent="0.2">
      <c r="A315" cm="1">
        <f t="array" ref="A315">COUNTA(VLOOKUP(11,D!AK5:AL7,{1,2},FALSE))</f>
        <v>2</v>
      </c>
      <c r="B315">
        <f t="shared" si="12"/>
        <v>0</v>
      </c>
      <c r="C315">
        <f t="shared" si="13"/>
        <v>2</v>
      </c>
      <c r="D315" t="str">
        <f t="shared" si="14"/>
        <v/>
      </c>
      <c r="E315" t="s">
        <v>363</v>
      </c>
    </row>
    <row r="316" spans="1:5" x14ac:dyDescent="0.2">
      <c r="A316" t="b" cm="1">
        <f t="array" ref="A316">ISBLANK(VLOOKUP(11,D!AK5:AL7,2,FALSE))</f>
        <v>1</v>
      </c>
      <c r="B316">
        <f t="shared" si="12"/>
        <v>-1</v>
      </c>
      <c r="C316">
        <f t="shared" si="13"/>
        <v>0</v>
      </c>
      <c r="D316" t="str">
        <f t="shared" si="14"/>
        <v/>
      </c>
      <c r="E316" t="s">
        <v>364</v>
      </c>
    </row>
    <row r="317" spans="1:5" x14ac:dyDescent="0.2">
      <c r="A317" t="e" cm="1" vm="2">
        <f t="array" aca="1" ref="A317" ca="1">VLOOKUP(5,D!L1:N6,D!L1:L2,FALSE)</f>
        <v>#VALUE!</v>
      </c>
      <c r="B317">
        <f t="shared" ca="1" si="12"/>
        <v>9</v>
      </c>
      <c r="C317">
        <f t="shared" ca="1" si="13"/>
        <v>0</v>
      </c>
      <c r="D317" t="str">
        <f t="shared" ca="1" si="14"/>
        <v/>
      </c>
      <c r="E317" t="s">
        <v>365</v>
      </c>
    </row>
    <row r="318" spans="1:5" x14ac:dyDescent="0.2">
      <c r="A318" t="e" cm="1">
        <f t="array" ref="A318">VLOOKUP(5,D!L1:N6,{1;4},FALSE)</f>
        <v>#REF!</v>
      </c>
      <c r="B318">
        <f t="shared" si="12"/>
        <v>4</v>
      </c>
      <c r="C318">
        <f t="shared" si="13"/>
        <v>0</v>
      </c>
      <c r="D318" t="str">
        <f t="shared" si="14"/>
        <v/>
      </c>
      <c r="E318" t="s">
        <v>366</v>
      </c>
    </row>
    <row r="319" spans="1:5" x14ac:dyDescent="0.2">
      <c r="A319" t="e" cm="1">
        <f t="array" ref="A319">INDEX(VLOOKUP(5,D!L1:N6,{1;4},FALSE),1)</f>
        <v>#REF!</v>
      </c>
      <c r="B319">
        <f t="shared" si="12"/>
        <v>4</v>
      </c>
      <c r="C319">
        <f t="shared" si="13"/>
        <v>0</v>
      </c>
      <c r="D319" t="str">
        <f t="shared" si="14"/>
        <v/>
      </c>
      <c r="E319" t="s">
        <v>367</v>
      </c>
    </row>
    <row r="320" spans="1:5" x14ac:dyDescent="0.2">
      <c r="A320" t="e" cm="1">
        <f t="array" ref="A320">ROWS(VLOOKUP(5,D!L1:N6,D!B1:B2,FALSE))</f>
        <v>#REF!</v>
      </c>
      <c r="B320">
        <f t="shared" si="12"/>
        <v>4</v>
      </c>
      <c r="C320">
        <f t="shared" si="13"/>
        <v>0</v>
      </c>
      <c r="D320" t="str">
        <f t="shared" si="14"/>
        <v/>
      </c>
      <c r="E320" t="s">
        <v>368</v>
      </c>
    </row>
    <row r="321" spans="1:5" x14ac:dyDescent="0.2">
      <c r="A321" t="e" cm="1">
        <f t="array" ref="A321">VLOOKUP(5,D!L1:N6,D!B1:B2-3,FALSE)</f>
        <v>#REF!</v>
      </c>
      <c r="B321">
        <f t="shared" ref="B321:B384" si="15">IF(ISERROR(A321),ERROR.TYPE(A321),IF(ISNUMBER(A321),0,IF(ISLOGICAL(A321),IF(A321,-1,-2),IF(ISTEXT(A321),-3,-4))))</f>
        <v>4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369</v>
      </c>
    </row>
    <row r="322" spans="1:5" x14ac:dyDescent="0.2">
      <c r="A322" t="e" cm="1" vm="9">
        <f t="array" ref="A322">VLOOKUP(5,D!L1:N6,{1;0},FALSE)</f>
        <v>#VALUE!</v>
      </c>
      <c r="B322">
        <f t="shared" si="15"/>
        <v>3</v>
      </c>
      <c r="C322">
        <f t="shared" si="16"/>
        <v>0</v>
      </c>
      <c r="D322" t="str">
        <f t="shared" si="17"/>
        <v/>
      </c>
      <c r="E322" t="s">
        <v>370</v>
      </c>
    </row>
    <row r="323" spans="1:5" x14ac:dyDescent="0.2">
      <c r="A323" t="e" cm="1" vm="9">
        <f t="array" ref="A323">VLOOKUP(5,D!L1:N6,{0;4},FALSE)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371</v>
      </c>
    </row>
    <row r="324" spans="1:5" x14ac:dyDescent="0.2">
      <c r="A324" t="e" cm="1">
        <f t="array" ref="A324">VLOOKUP(5,D!L1:N6,{4;0},FALSE)</f>
        <v>#REF!</v>
      </c>
      <c r="B324">
        <f t="shared" si="15"/>
        <v>4</v>
      </c>
      <c r="C324">
        <f t="shared" si="16"/>
        <v>0</v>
      </c>
      <c r="D324" t="str">
        <f t="shared" si="17"/>
        <v/>
      </c>
      <c r="E324" t="s">
        <v>372</v>
      </c>
    </row>
    <row r="325" spans="1:5" x14ac:dyDescent="0.2">
      <c r="A325" t="e" cm="1" vm="9">
        <f t="array" ref="A325">VLOOKUP(5,D!L1:N6,{2;-1},FALSE)</f>
        <v>#VALUE!</v>
      </c>
      <c r="B325">
        <f t="shared" si="15"/>
        <v>3</v>
      </c>
      <c r="C325">
        <f t="shared" si="16"/>
        <v>0</v>
      </c>
      <c r="D325" t="str">
        <f t="shared" si="17"/>
        <v/>
      </c>
      <c r="E325" t="s">
        <v>373</v>
      </c>
    </row>
    <row r="326" spans="1:5" x14ac:dyDescent="0.2">
      <c r="A326" t="e" cm="1" vm="9">
        <f t="array" ref="A326">VLOOKUP(5,D!L1:N6,D!AH1:AH2,FALSE)</f>
        <v>#VALUE!</v>
      </c>
      <c r="B326">
        <f t="shared" si="15"/>
        <v>3</v>
      </c>
      <c r="C326">
        <f t="shared" si="16"/>
        <v>0</v>
      </c>
      <c r="D326" t="str">
        <f t="shared" si="17"/>
        <v/>
      </c>
      <c r="E326" t="s">
        <v>374</v>
      </c>
    </row>
    <row r="327" spans="1:5" x14ac:dyDescent="0.2">
      <c r="A327" t="e" cm="1" vm="9">
        <f t="array" ref="A327">INDEX(VLOOKUP(5,D!L1:N6,D!AH3:AH5,FALSE),1)</f>
        <v>#VALUE!</v>
      </c>
      <c r="B327">
        <f t="shared" si="15"/>
        <v>3</v>
      </c>
      <c r="C327">
        <f t="shared" si="16"/>
        <v>0</v>
      </c>
      <c r="D327" t="str">
        <f t="shared" si="17"/>
        <v/>
      </c>
      <c r="E327" t="s">
        <v>375</v>
      </c>
    </row>
    <row r="328" spans="1:5" x14ac:dyDescent="0.2">
      <c r="A328" t="e" cm="1" vm="9">
        <f t="array" ref="A328">VLOOKUP(5,D!L1:N6,D!AH2:AI2,FALSE)</f>
        <v>#VALUE!</v>
      </c>
      <c r="B328">
        <f t="shared" si="15"/>
        <v>3</v>
      </c>
      <c r="C328">
        <f t="shared" si="16"/>
        <v>0</v>
      </c>
      <c r="D328" t="str">
        <f t="shared" si="17"/>
        <v/>
      </c>
      <c r="E328" t="s">
        <v>376</v>
      </c>
    </row>
    <row r="329" spans="1:5" x14ac:dyDescent="0.2">
      <c r="A329" t="e" cm="1" vm="9">
        <f t="array" ref="A329">VLOOKUP(5,D!L1:N6,D!AH:AH,FALSE)</f>
        <v>#VALUE!</v>
      </c>
      <c r="B329">
        <f t="shared" si="15"/>
        <v>3</v>
      </c>
      <c r="C329">
        <f t="shared" si="16"/>
        <v>0</v>
      </c>
      <c r="D329" t="str">
        <f t="shared" si="17"/>
        <v/>
      </c>
      <c r="E329" t="s">
        <v>377</v>
      </c>
    </row>
    <row r="330" spans="1:5" x14ac:dyDescent="0.2">
      <c r="A330" t="e" cm="1">
        <f t="array" ref="A330">VLOOKUP(5,D!L1:N6,{2;"x"},FALSE)</f>
        <v>#REF!</v>
      </c>
      <c r="B330">
        <f t="shared" si="15"/>
        <v>4</v>
      </c>
      <c r="C330">
        <f t="shared" si="16"/>
        <v>0</v>
      </c>
      <c r="D330" t="str">
        <f t="shared" si="17"/>
        <v/>
      </c>
      <c r="E330" t="s">
        <v>378</v>
      </c>
    </row>
    <row r="331" spans="1:5" x14ac:dyDescent="0.2">
      <c r="A331" t="e" cm="1">
        <f t="array" ref="A331">VLOOKUP(5,D!L1:N6,{"x";0},FALSE)</f>
        <v>#REF!</v>
      </c>
      <c r="B331">
        <f t="shared" si="15"/>
        <v>4</v>
      </c>
      <c r="C331">
        <f t="shared" si="16"/>
        <v>0</v>
      </c>
      <c r="D331" t="str">
        <f t="shared" si="17"/>
        <v/>
      </c>
      <c r="E331" t="s">
        <v>379</v>
      </c>
    </row>
    <row r="332" spans="1:5" x14ac:dyDescent="0.2">
      <c r="A332" t="e" cm="1" vm="9">
        <f t="array" ref="A332">VLOOKUP(5,D!L1:N6,{0;"x"},FALSE)</f>
        <v>#VALUE!</v>
      </c>
      <c r="B332">
        <f t="shared" si="15"/>
        <v>3</v>
      </c>
      <c r="C332">
        <f t="shared" si="16"/>
        <v>0</v>
      </c>
      <c r="D332" t="str">
        <f t="shared" si="17"/>
        <v/>
      </c>
      <c r="E332" t="s">
        <v>380</v>
      </c>
    </row>
    <row r="333" spans="1:5" x14ac:dyDescent="0.2">
      <c r="A333" t="e" cm="1">
        <f t="array" ref="A333">VLOOKUP(5,D!L1:N6,D!A2:A3,FALSE)</f>
        <v>#REF!</v>
      </c>
      <c r="B333">
        <f t="shared" si="15"/>
        <v>4</v>
      </c>
      <c r="C333">
        <f t="shared" si="16"/>
        <v>0</v>
      </c>
      <c r="D333" t="str">
        <f t="shared" si="17"/>
        <v/>
      </c>
      <c r="E333" t="s">
        <v>381</v>
      </c>
    </row>
    <row r="334" spans="1:5" x14ac:dyDescent="0.2">
      <c r="A334" t="e" cm="1">
        <f t="array" ref="A334">VLOOKUP(5,D!L1:N6,{2;#N/A},FALSE)</f>
        <v>#REF!</v>
      </c>
      <c r="B334">
        <f t="shared" si="15"/>
        <v>4</v>
      </c>
      <c r="C334">
        <f t="shared" si="16"/>
        <v>0</v>
      </c>
      <c r="D334" t="str">
        <f t="shared" si="17"/>
        <v/>
      </c>
      <c r="E334" t="s">
        <v>382</v>
      </c>
    </row>
    <row r="335" spans="1:5" x14ac:dyDescent="0.2">
      <c r="A335" t="e" cm="1">
        <f t="array" ref="A335">VLOOKUP(5,D!L1:N6,{2;#N/A;0},FALSE)</f>
        <v>#REF!</v>
      </c>
      <c r="B335">
        <f t="shared" si="15"/>
        <v>4</v>
      </c>
      <c r="C335">
        <f t="shared" si="16"/>
        <v>0</v>
      </c>
      <c r="D335" t="str">
        <f t="shared" si="17"/>
        <v/>
      </c>
      <c r="E335" t="s">
        <v>383</v>
      </c>
    </row>
    <row r="336" spans="1:5" x14ac:dyDescent="0.2">
      <c r="A336" t="e" cm="1" vm="9">
        <f t="array" ref="A336">VLOOKUP(5,D!L1:N6,{2;0;#N/A},FALSE)</f>
        <v>#VALUE!</v>
      </c>
      <c r="B336">
        <f t="shared" si="15"/>
        <v>3</v>
      </c>
      <c r="C336">
        <f t="shared" si="16"/>
        <v>0</v>
      </c>
      <c r="D336" t="str">
        <f t="shared" si="17"/>
        <v/>
      </c>
      <c r="E336" t="s">
        <v>384</v>
      </c>
    </row>
    <row r="337" spans="1:5" x14ac:dyDescent="0.2">
      <c r="A337" t="e" cm="1">
        <f t="array" ref="A337">VLOOKUP(5,D!L1:N6,{2,#DIV/0!,4},FALSE)</f>
        <v>#REF!</v>
      </c>
      <c r="B337">
        <f t="shared" si="15"/>
        <v>4</v>
      </c>
      <c r="C337">
        <f t="shared" si="16"/>
        <v>0</v>
      </c>
      <c r="D337" t="str">
        <f t="shared" si="17"/>
        <v/>
      </c>
      <c r="E337" t="s">
        <v>385</v>
      </c>
    </row>
    <row r="338" spans="1:5" x14ac:dyDescent="0.2">
      <c r="A338" t="e" cm="1">
        <f t="array" ref="A338">VLOOKUP(5,D!L1:N6,{1;2;3;"x"},FALSE)</f>
        <v>#REF!</v>
      </c>
      <c r="B338">
        <f t="shared" si="15"/>
        <v>4</v>
      </c>
      <c r="C338">
        <f t="shared" si="16"/>
        <v>0</v>
      </c>
      <c r="D338" t="str">
        <f t="shared" si="17"/>
        <v/>
      </c>
      <c r="E338" t="s">
        <v>386</v>
      </c>
    </row>
    <row r="339" spans="1:5" x14ac:dyDescent="0.2">
      <c r="A339" t="e" cm="1">
        <f t="array" ref="A339">INDEX(VLOOKUP(5,D!L1:N6,{1;4},TRUE),1)</f>
        <v>#REF!</v>
      </c>
      <c r="B339">
        <f t="shared" si="15"/>
        <v>4</v>
      </c>
      <c r="C339">
        <f t="shared" si="16"/>
        <v>0</v>
      </c>
      <c r="D339" t="str">
        <f t="shared" si="17"/>
        <v/>
      </c>
      <c r="E339" t="s">
        <v>387</v>
      </c>
    </row>
    <row r="340" spans="1:5" x14ac:dyDescent="0.2">
      <c r="A340" t="e" cm="1">
        <f t="array" ref="A340">VLOOKUP(7,D!L1:N6,D!B1:B2,FALSE)</f>
        <v>#N/A</v>
      </c>
      <c r="B340">
        <f t="shared" si="15"/>
        <v>7</v>
      </c>
      <c r="C340">
        <f t="shared" si="16"/>
        <v>0</v>
      </c>
      <c r="D340" t="str">
        <f t="shared" si="17"/>
        <v/>
      </c>
      <c r="E340" t="s">
        <v>388</v>
      </c>
    </row>
    <row r="341" spans="1:5" x14ac:dyDescent="0.2">
      <c r="A341" t="e" cm="1">
        <f t="array" ref="A341">VLOOKUP(7,D!L1:N6,D!AH2:AH3,FALSE)</f>
        <v>#N/A</v>
      </c>
      <c r="B341">
        <f t="shared" si="15"/>
        <v>7</v>
      </c>
      <c r="C341">
        <f t="shared" si="16"/>
        <v>0</v>
      </c>
      <c r="D341" t="str">
        <f t="shared" si="17"/>
        <v/>
      </c>
      <c r="E341" t="s">
        <v>389</v>
      </c>
    </row>
    <row r="342" spans="1:5" x14ac:dyDescent="0.2">
      <c r="A342" t="e" cm="1">
        <f t="array" ref="A342">VLOOKUP(#N/A,D!L1:N6,{2;4},FALSE)</f>
        <v>#N/A</v>
      </c>
      <c r="B342">
        <f t="shared" si="15"/>
        <v>7</v>
      </c>
      <c r="C342">
        <f t="shared" si="16"/>
        <v>0</v>
      </c>
      <c r="D342" t="str">
        <f t="shared" si="17"/>
        <v/>
      </c>
      <c r="E342" t="s">
        <v>390</v>
      </c>
    </row>
    <row r="343" spans="1:5" x14ac:dyDescent="0.2">
      <c r="A343" t="e" cm="1">
        <f t="array" ref="A343">VLOOKUP("x",D!L1:N6,{2;4},FALSE)</f>
        <v>#N/A</v>
      </c>
      <c r="B343">
        <f t="shared" si="15"/>
        <v>7</v>
      </c>
      <c r="C343">
        <f t="shared" si="16"/>
        <v>0</v>
      </c>
      <c r="D343" t="str">
        <f t="shared" si="17"/>
        <v/>
      </c>
      <c r="E343" t="s">
        <v>391</v>
      </c>
    </row>
    <row r="344" spans="1:5" x14ac:dyDescent="0.2">
      <c r="A344" t="e" cm="1">
        <f t="array" ref="A344">VLOOKUP(5,D!L1:N6,{2;"x"},"x")</f>
        <v>#VALUE!</v>
      </c>
      <c r="B344">
        <f t="shared" si="15"/>
        <v>3</v>
      </c>
      <c r="C344">
        <f t="shared" si="16"/>
        <v>0</v>
      </c>
      <c r="D344" t="str">
        <f t="shared" si="17"/>
        <v/>
      </c>
      <c r="E344" t="s">
        <v>392</v>
      </c>
    </row>
    <row r="345" spans="1:5" x14ac:dyDescent="0.2">
      <c r="A345" t="e" cm="1">
        <f t="array" ref="A345">VLOOKUP(5,D!L1:N6,D!AH2:AH3,"x")</f>
        <v>#VALUE!</v>
      </c>
      <c r="B345">
        <f t="shared" si="15"/>
        <v>3</v>
      </c>
      <c r="C345">
        <f t="shared" si="16"/>
        <v>0</v>
      </c>
      <c r="D345" t="str">
        <f t="shared" si="17"/>
        <v/>
      </c>
      <c r="E345" t="s">
        <v>393</v>
      </c>
    </row>
    <row r="346" spans="1:5" x14ac:dyDescent="0.2">
      <c r="A346" cm="1">
        <f t="array" ref="A346">ROWS(VLOOKUP({5;8},D!L1:N6,{2,3},FALSE))</f>
        <v>2</v>
      </c>
      <c r="B346">
        <f t="shared" si="15"/>
        <v>0</v>
      </c>
      <c r="C346">
        <f t="shared" si="16"/>
        <v>2</v>
      </c>
      <c r="D346" t="str">
        <f t="shared" si="17"/>
        <v/>
      </c>
      <c r="E346" t="s">
        <v>394</v>
      </c>
    </row>
    <row r="347" spans="1:5" x14ac:dyDescent="0.2">
      <c r="A347" cm="1">
        <f t="array" ref="A347">COLUMNS(VLOOKUP({5;8},D!L1:N6,{2,3},FALSE))</f>
        <v>1</v>
      </c>
      <c r="B347">
        <f t="shared" si="15"/>
        <v>0</v>
      </c>
      <c r="C347">
        <f t="shared" si="16"/>
        <v>1</v>
      </c>
      <c r="D347" t="str">
        <f t="shared" si="17"/>
        <v/>
      </c>
      <c r="E347" t="s">
        <v>395</v>
      </c>
    </row>
    <row r="348" spans="1:5" x14ac:dyDescent="0.2">
      <c r="A348" t="str" cm="1">
        <f t="array" ref="A348">INDEX(VLOOKUP({5;8},D!L1:N6,{2;3},FALSE),2)</f>
        <v>eight</v>
      </c>
      <c r="B348">
        <f t="shared" si="15"/>
        <v>-3</v>
      </c>
      <c r="C348">
        <f t="shared" si="16"/>
        <v>0</v>
      </c>
      <c r="D348" t="str">
        <f t="shared" si="17"/>
        <v>eight</v>
      </c>
      <c r="E348" t="s">
        <v>396</v>
      </c>
    </row>
    <row r="349" spans="1:5" x14ac:dyDescent="0.2">
      <c r="A349" cm="1">
        <f t="array" ref="A349">INDEX(VLOOKUP({5;8},D!L1:N6,D!B1:B2/4,FALSE),2)</f>
        <v>8</v>
      </c>
      <c r="B349">
        <f t="shared" si="15"/>
        <v>0</v>
      </c>
      <c r="C349">
        <f t="shared" si="16"/>
        <v>8</v>
      </c>
      <c r="D349" t="str">
        <f t="shared" si="17"/>
        <v/>
      </c>
      <c r="E349" t="s">
        <v>397</v>
      </c>
    </row>
    <row r="350" spans="1:5" x14ac:dyDescent="0.2">
      <c r="A350" t="e" cm="1">
        <f t="array" ref="A350">INDEX(VLOOKUP({5;7},D!L1:N6,{2,3},FALSE),2,1)</f>
        <v>#N/A</v>
      </c>
      <c r="B350">
        <f t="shared" si="15"/>
        <v>7</v>
      </c>
      <c r="C350">
        <f t="shared" si="16"/>
        <v>0</v>
      </c>
      <c r="D350" t="str">
        <f t="shared" si="17"/>
        <v/>
      </c>
      <c r="E350" t="s">
        <v>398</v>
      </c>
    </row>
    <row r="351" spans="1:5" x14ac:dyDescent="0.2">
      <c r="A351" cm="1">
        <f t="array" ref="A351">INDEX(VLOOKUP(D!L1:L2,D!L1:N6,D!AH2:AH3,FALSE),2,1)</f>
        <v>2</v>
      </c>
      <c r="B351">
        <f t="shared" si="15"/>
        <v>0</v>
      </c>
      <c r="C351">
        <f t="shared" si="16"/>
        <v>2</v>
      </c>
      <c r="D351" t="str">
        <f t="shared" si="17"/>
        <v/>
      </c>
      <c r="E351" t="s">
        <v>399</v>
      </c>
    </row>
    <row r="352" spans="1:5" x14ac:dyDescent="0.2">
      <c r="A352" t="str" cm="1">
        <f t="array" ref="A352">INDEX(VLOOKUP(5,D!L1:N6,{2;3},{FALSE;TRUE}),2)</f>
        <v>five</v>
      </c>
      <c r="B352">
        <f t="shared" si="15"/>
        <v>-3</v>
      </c>
      <c r="C352">
        <f t="shared" si="16"/>
        <v>0</v>
      </c>
      <c r="D352" t="str">
        <f t="shared" si="17"/>
        <v>five</v>
      </c>
      <c r="E352" t="s">
        <v>400</v>
      </c>
    </row>
    <row r="353" spans="1:5" x14ac:dyDescent="0.2">
      <c r="A353" cm="1">
        <f t="array" ref="A353">INDEX(VLOOKUP(5,D!L1:N6,D!AH2:AH3,{FALSE;TRUE}),2)</f>
        <v>5</v>
      </c>
      <c r="B353">
        <f t="shared" si="15"/>
        <v>0</v>
      </c>
      <c r="C353">
        <f t="shared" si="16"/>
        <v>5</v>
      </c>
      <c r="D353" t="str">
        <f t="shared" si="17"/>
        <v/>
      </c>
      <c r="E353" t="s">
        <v>401</v>
      </c>
    </row>
    <row r="354" spans="1:5" x14ac:dyDescent="0.2">
      <c r="A354" t="str" cm="1">
        <f t="array" ref="A354">INDEX(VLOOKUP({5;8},D!L1:N6,{2;4},FALSE),1)</f>
        <v>five</v>
      </c>
      <c r="B354">
        <f t="shared" si="15"/>
        <v>-3</v>
      </c>
      <c r="C354">
        <f t="shared" si="16"/>
        <v>0</v>
      </c>
      <c r="D354" t="str">
        <f t="shared" si="17"/>
        <v>five</v>
      </c>
      <c r="E354" t="s">
        <v>402</v>
      </c>
    </row>
    <row r="355" spans="1:5" x14ac:dyDescent="0.2">
      <c r="A355" t="str" cm="1">
        <f t="array" ref="A355">INDEX(VLOOKUP({5;8},D!L1:N6,{2;4},FALSE),2)</f>
        <v>eight</v>
      </c>
      <c r="B355">
        <f t="shared" si="15"/>
        <v>-3</v>
      </c>
      <c r="C355">
        <f t="shared" si="16"/>
        <v>0</v>
      </c>
      <c r="D355" t="str">
        <f t="shared" si="17"/>
        <v>eight</v>
      </c>
      <c r="E355" t="s">
        <v>403</v>
      </c>
    </row>
    <row r="356" spans="1:5" x14ac:dyDescent="0.2">
      <c r="A356" t="str" cm="1">
        <f t="array" ref="A356">INDEX(VLOOKUP({5;8},D!L1:N6,{2;0},FALSE),1)</f>
        <v>five</v>
      </c>
      <c r="B356">
        <f t="shared" si="15"/>
        <v>-3</v>
      </c>
      <c r="C356">
        <f t="shared" si="16"/>
        <v>0</v>
      </c>
      <c r="D356" t="str">
        <f t="shared" si="17"/>
        <v>five</v>
      </c>
      <c r="E356" t="s">
        <v>404</v>
      </c>
    </row>
    <row r="357" spans="1:5" x14ac:dyDescent="0.2">
      <c r="A357" t="e" cm="1" vm="9">
        <f t="array" ref="A357">INDEX(VLOOKUP({5;8},D!L1:N6,{0;2},FALSE),1)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405</v>
      </c>
    </row>
    <row r="358" spans="1:5" x14ac:dyDescent="0.2">
      <c r="A358" t="e" cm="1">
        <f t="array" ref="A358">INDEX(VLOOKUP(D!L4:L5,D!L1:N6,{4;2},FALSE),1)</f>
        <v>#REF!</v>
      </c>
      <c r="B358">
        <f t="shared" si="15"/>
        <v>4</v>
      </c>
      <c r="C358">
        <f t="shared" si="16"/>
        <v>0</v>
      </c>
      <c r="D358" t="str">
        <f t="shared" si="17"/>
        <v/>
      </c>
      <c r="E358" t="s">
        <v>406</v>
      </c>
    </row>
    <row r="359" spans="1:5" x14ac:dyDescent="0.2">
      <c r="A359" t="e" cm="1" vm="2">
        <f t="array" aca="1" ref="A359" ca="1">HLOOKUP(5,D!L8:Q10,D!AH2:AH3,FALSE)</f>
        <v>#VALUE!</v>
      </c>
      <c r="B359">
        <f t="shared" ca="1" si="15"/>
        <v>9</v>
      </c>
      <c r="C359">
        <f t="shared" ca="1" si="16"/>
        <v>0</v>
      </c>
      <c r="D359" t="str">
        <f t="shared" ca="1" si="17"/>
        <v/>
      </c>
      <c r="E359" t="s">
        <v>407</v>
      </c>
    </row>
    <row r="360" spans="1:5" x14ac:dyDescent="0.2">
      <c r="A360" t="str" cm="1">
        <f t="array" ref="A360">INDEX(HLOOKUP(5,D!L8:Q10,D!AH2:AH3,FALSE),2)</f>
        <v>five</v>
      </c>
      <c r="B360">
        <f t="shared" si="15"/>
        <v>-3</v>
      </c>
      <c r="C360">
        <f t="shared" si="16"/>
        <v>0</v>
      </c>
      <c r="D360" t="str">
        <f t="shared" si="17"/>
        <v>five</v>
      </c>
      <c r="E360" t="s">
        <v>408</v>
      </c>
    </row>
    <row r="361" spans="1:5" x14ac:dyDescent="0.2">
      <c r="A361" t="e" cm="1">
        <f t="array" ref="A361">HLOOKUP(5,D!L8:Q10,{1;4},FALSE)</f>
        <v>#REF!</v>
      </c>
      <c r="B361">
        <f t="shared" si="15"/>
        <v>4</v>
      </c>
      <c r="C361">
        <f t="shared" si="16"/>
        <v>0</v>
      </c>
      <c r="D361" t="str">
        <f t="shared" si="17"/>
        <v/>
      </c>
      <c r="E361" t="s">
        <v>409</v>
      </c>
    </row>
    <row r="362" spans="1:5" x14ac:dyDescent="0.2">
      <c r="A362" t="e" cm="1" vm="10">
        <f t="array" ref="A362">HLOOKUP(5,D!L8:Q10,{0;1},FALSE)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410</v>
      </c>
    </row>
    <row r="363" spans="1:5" x14ac:dyDescent="0.2">
      <c r="A363" t="e" cm="1">
        <f t="array" ref="A363">HLOOKUP(5,D!L8:Q10,D!AH2:AH3,"x")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411</v>
      </c>
    </row>
    <row r="364" spans="1:5" x14ac:dyDescent="0.2">
      <c r="A364" t="str" cm="1">
        <f t="array" ref="A364">INDEX(HLOOKUP({5,8},D!L8:Q10,{2;4},FALSE),1,2)</f>
        <v>eight</v>
      </c>
      <c r="B364">
        <f t="shared" si="15"/>
        <v>-3</v>
      </c>
      <c r="C364">
        <f t="shared" si="16"/>
        <v>0</v>
      </c>
      <c r="D364" t="str">
        <f t="shared" si="17"/>
        <v>eight</v>
      </c>
      <c r="E364" t="s">
        <v>412</v>
      </c>
    </row>
    <row r="365" spans="1:5" x14ac:dyDescent="0.2">
      <c r="A365" cm="1">
        <f t="array" ref="A365">MATCH(5,D!L1:L6,D!AH1:AH2)</f>
        <v>4</v>
      </c>
      <c r="B365">
        <f t="shared" si="15"/>
        <v>0</v>
      </c>
      <c r="C365">
        <f t="shared" si="16"/>
        <v>4</v>
      </c>
      <c r="D365" t="str">
        <f t="shared" si="17"/>
        <v/>
      </c>
      <c r="E365" t="s">
        <v>413</v>
      </c>
    </row>
    <row r="366" spans="1:5" x14ac:dyDescent="0.2">
      <c r="A366" cm="1">
        <f t="array" ref="A366">SUM(MATCH({2,8},D!L1:L6,0))</f>
        <v>7</v>
      </c>
      <c r="B366">
        <f t="shared" si="15"/>
        <v>0</v>
      </c>
      <c r="C366">
        <f t="shared" si="16"/>
        <v>7</v>
      </c>
      <c r="D366" t="str">
        <f t="shared" si="17"/>
        <v/>
      </c>
      <c r="E366" t="s">
        <v>414</v>
      </c>
    </row>
    <row r="367" spans="1:5" x14ac:dyDescent="0.2">
      <c r="A367" cm="1">
        <f t="array" ref="A367">MATCH(1,(D!L1:L6&gt;2)*(D!N1:N6&gt;40),0)</f>
        <v>4</v>
      </c>
      <c r="B367">
        <f t="shared" si="15"/>
        <v>0</v>
      </c>
      <c r="C367">
        <f t="shared" si="16"/>
        <v>4</v>
      </c>
      <c r="D367" t="str">
        <f t="shared" si="17"/>
        <v/>
      </c>
      <c r="E367" t="s">
        <v>415</v>
      </c>
    </row>
    <row r="368" spans="1:5" x14ac:dyDescent="0.2">
      <c r="A368" cm="1">
        <f t="array" ref="A368">MATCH(1,{0,0,1},0)</f>
        <v>3</v>
      </c>
      <c r="B368">
        <f t="shared" si="15"/>
        <v>0</v>
      </c>
      <c r="C368">
        <f t="shared" si="16"/>
        <v>3</v>
      </c>
      <c r="D368" t="str">
        <f t="shared" si="17"/>
        <v/>
      </c>
      <c r="E368" t="s">
        <v>416</v>
      </c>
    </row>
    <row r="369" spans="1:5" x14ac:dyDescent="0.2">
      <c r="A369" cm="1">
        <f t="array" ref="A369">MATCH("b*",{"a","bc"},0)</f>
        <v>2</v>
      </c>
      <c r="B369">
        <f t="shared" si="15"/>
        <v>0</v>
      </c>
      <c r="C369">
        <f t="shared" si="16"/>
        <v>2</v>
      </c>
      <c r="D369" t="str">
        <f t="shared" si="17"/>
        <v/>
      </c>
      <c r="E369" t="s">
        <v>417</v>
      </c>
    </row>
    <row r="370" spans="1:5" x14ac:dyDescent="0.2">
      <c r="A370" cm="1">
        <f t="array" ref="A370">SUM(_xlfn.XLOOKUP(2,D!L1:L6,D!D1:D6))</f>
        <v>0</v>
      </c>
      <c r="B370">
        <f t="shared" si="15"/>
        <v>0</v>
      </c>
      <c r="C370">
        <f t="shared" si="16"/>
        <v>0</v>
      </c>
      <c r="D370" t="str">
        <f t="shared" si="17"/>
        <v/>
      </c>
      <c r="E370" t="s">
        <v>418</v>
      </c>
    </row>
    <row r="371" spans="1:5" x14ac:dyDescent="0.2">
      <c r="A371" cm="1">
        <f t="array" ref="A371">ROWS(_xlfn.XLOOKUP(9,D!L1:L6,D!M1:M6,D!B1:B2))</f>
        <v>2</v>
      </c>
      <c r="B371">
        <f t="shared" si="15"/>
        <v>0</v>
      </c>
      <c r="C371">
        <f t="shared" si="16"/>
        <v>2</v>
      </c>
      <c r="D371" t="str">
        <f t="shared" si="17"/>
        <v/>
      </c>
      <c r="E371" t="s">
        <v>419</v>
      </c>
    </row>
    <row r="372" spans="1:5" x14ac:dyDescent="0.2">
      <c r="A372" cm="1">
        <f t="array" ref="A372">SUM(_xlfn.XLOOKUP({2,8},D!L1:L6,D!N1:N6))</f>
        <v>100</v>
      </c>
      <c r="B372">
        <f t="shared" si="15"/>
        <v>0</v>
      </c>
      <c r="C372">
        <f t="shared" si="16"/>
        <v>100</v>
      </c>
      <c r="D372" t="str">
        <f t="shared" si="17"/>
        <v/>
      </c>
      <c r="E372" t="s">
        <v>420</v>
      </c>
    </row>
    <row r="373" spans="1:5" x14ac:dyDescent="0.2">
      <c r="A373" cm="1">
        <f t="array" ref="A373">INDEX(_xlfn.XLOOKUP(2,D!L1:L6,D!M1:N6),1,2)</f>
        <v>20</v>
      </c>
      <c r="B373">
        <f t="shared" si="15"/>
        <v>0</v>
      </c>
      <c r="C373">
        <f t="shared" si="16"/>
        <v>20</v>
      </c>
      <c r="D373" t="str">
        <f t="shared" si="17"/>
        <v/>
      </c>
      <c r="E373" t="s">
        <v>421</v>
      </c>
    </row>
    <row r="374" spans="1:5" x14ac:dyDescent="0.2">
      <c r="A374" cm="1">
        <f t="array" ref="A374">COLUMNS(_xlfn.XLOOKUP(2,D!L1:L6,D!M1:N6))</f>
        <v>2</v>
      </c>
      <c r="B374">
        <f t="shared" si="15"/>
        <v>0</v>
      </c>
      <c r="C374">
        <f t="shared" si="16"/>
        <v>2</v>
      </c>
      <c r="D374" t="str">
        <f t="shared" si="17"/>
        <v/>
      </c>
      <c r="E374" t="s">
        <v>422</v>
      </c>
    </row>
    <row r="375" spans="1:5" x14ac:dyDescent="0.2">
      <c r="A375" t="e" cm="1" vm="1">
        <f t="array" aca="1" ref="A375" ca="1">_xlfn.XLOOKUP(2,D!L1:L6,D!M1:N6)</f>
        <v>#VALUE!</v>
      </c>
      <c r="B375">
        <f t="shared" ca="1" si="15"/>
        <v>9</v>
      </c>
      <c r="C375">
        <f t="shared" ca="1" si="16"/>
        <v>0</v>
      </c>
      <c r="D375" t="str">
        <f t="shared" ca="1" si="17"/>
        <v/>
      </c>
      <c r="E375" t="s">
        <v>423</v>
      </c>
    </row>
    <row r="376" spans="1:5" x14ac:dyDescent="0.2">
      <c r="A376" cm="1">
        <f t="array" ref="A376">INDEX(_xlfn.XLOOKUP(2,D!L8:Q8,D!L9:Q10),2,1)</f>
        <v>20</v>
      </c>
      <c r="B376">
        <f t="shared" si="15"/>
        <v>0</v>
      </c>
      <c r="C376">
        <f t="shared" si="16"/>
        <v>20</v>
      </c>
      <c r="D376" t="str">
        <f t="shared" si="17"/>
        <v/>
      </c>
      <c r="E376" t="s">
        <v>424</v>
      </c>
    </row>
    <row r="377" spans="1:5" x14ac:dyDescent="0.2">
      <c r="A377" t="e" cm="1">
        <f t="array" ref="A377">_xlfn.XLOOKUP(9,D!L1:L6,D!M1:N6)</f>
        <v>#N/A</v>
      </c>
      <c r="B377">
        <f t="shared" si="15"/>
        <v>7</v>
      </c>
      <c r="C377">
        <f t="shared" si="16"/>
        <v>0</v>
      </c>
      <c r="D377" t="str">
        <f t="shared" si="17"/>
        <v/>
      </c>
      <c r="E377" t="s">
        <v>425</v>
      </c>
    </row>
    <row r="378" spans="1:5" x14ac:dyDescent="0.2">
      <c r="A378" t="str" cm="1">
        <f t="array" ref="A378">INDEX(_xlfn.XLOOKUP(9,D!L1:L6,D!M1:N6,{"x","y"}),1,2)</f>
        <v>y</v>
      </c>
      <c r="B378">
        <f t="shared" si="15"/>
        <v>-3</v>
      </c>
      <c r="C378">
        <f t="shared" si="16"/>
        <v>0</v>
      </c>
      <c r="D378" t="str">
        <f t="shared" si="17"/>
        <v>y</v>
      </c>
      <c r="E378" t="s">
        <v>426</v>
      </c>
    </row>
    <row r="379" spans="1:5" x14ac:dyDescent="0.2">
      <c r="A379" cm="1">
        <f t="array" ref="A379">SUM(_xlfn.XMATCH({3,5},D!L1:L6))</f>
        <v>7</v>
      </c>
      <c r="B379">
        <f t="shared" si="15"/>
        <v>0</v>
      </c>
      <c r="C379">
        <f t="shared" si="16"/>
        <v>7</v>
      </c>
      <c r="D379" t="str">
        <f t="shared" si="17"/>
        <v/>
      </c>
      <c r="E379" t="s">
        <v>427</v>
      </c>
    </row>
    <row r="380" spans="1:5" x14ac:dyDescent="0.2">
      <c r="A380" cm="1">
        <f t="array" ref="A380">_xlfn.XMATCH(3,{1,3,5})</f>
        <v>2</v>
      </c>
      <c r="B380">
        <f t="shared" si="15"/>
        <v>0</v>
      </c>
      <c r="C380">
        <f t="shared" si="16"/>
        <v>2</v>
      </c>
      <c r="D380" t="str">
        <f t="shared" si="17"/>
        <v/>
      </c>
      <c r="E380" t="s">
        <v>428</v>
      </c>
    </row>
    <row r="381" spans="1:5" x14ac:dyDescent="0.2">
      <c r="A381" cm="1">
        <f t="array" ref="A381">SUM(LOOKUP({2,6},D!L1:L6,D!N1:N6))</f>
        <v>70</v>
      </c>
      <c r="B381">
        <f t="shared" si="15"/>
        <v>0</v>
      </c>
      <c r="C381">
        <f t="shared" si="16"/>
        <v>70</v>
      </c>
      <c r="D381" t="str">
        <f t="shared" si="17"/>
        <v/>
      </c>
      <c r="E381" t="s">
        <v>429</v>
      </c>
    </row>
    <row r="382" spans="1:5" x14ac:dyDescent="0.2">
      <c r="A382" t="str" cm="1">
        <f t="array" ref="A382">LOOKUP(2,{1,2,3},{"a","b","c"})</f>
        <v>b</v>
      </c>
      <c r="B382">
        <f t="shared" si="15"/>
        <v>-3</v>
      </c>
      <c r="C382">
        <f t="shared" si="16"/>
        <v>0</v>
      </c>
      <c r="D382" t="str">
        <f t="shared" si="17"/>
        <v>b</v>
      </c>
      <c r="E382" t="s">
        <v>430</v>
      </c>
    </row>
    <row r="383" spans="1:5" x14ac:dyDescent="0.2">
      <c r="A383" cm="1">
        <f t="array" ref="A383">SUM(--ISBLANK(D!K1:K8))</f>
        <v>8</v>
      </c>
      <c r="B383">
        <f t="shared" si="15"/>
        <v>0</v>
      </c>
      <c r="C383">
        <f t="shared" si="16"/>
        <v>8</v>
      </c>
      <c r="D383" t="str">
        <f t="shared" si="17"/>
        <v/>
      </c>
      <c r="E383" t="s">
        <v>431</v>
      </c>
    </row>
    <row r="384" spans="1:5" x14ac:dyDescent="0.2">
      <c r="A384" cm="1">
        <f t="array" ref="A384">SUM(--ISBLANK(D!K1:K8&amp;""))</f>
        <v>0</v>
      </c>
      <c r="B384">
        <f t="shared" si="15"/>
        <v>0</v>
      </c>
      <c r="C384">
        <f t="shared" si="16"/>
        <v>0</v>
      </c>
      <c r="D384" t="str">
        <f t="shared" si="17"/>
        <v/>
      </c>
      <c r="E384" t="s">
        <v>432</v>
      </c>
    </row>
    <row r="385" spans="1:5" x14ac:dyDescent="0.2">
      <c r="A385" cm="1">
        <f t="array" ref="A385">SUM(--ISBLANK(D!D1:D8))</f>
        <v>1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1</v>
      </c>
      <c r="D385" t="str">
        <f t="shared" ref="D385:D400" si="20">IF(ISTEXT(A385),A385,"")</f>
        <v/>
      </c>
      <c r="E385" t="s">
        <v>433</v>
      </c>
    </row>
    <row r="386" spans="1:5" x14ac:dyDescent="0.2">
      <c r="A386" cm="1">
        <f t="array" ref="A386">SUM(--ISNUMBER(D!D1:D8))</f>
        <v>3</v>
      </c>
      <c r="B386">
        <f t="shared" si="18"/>
        <v>0</v>
      </c>
      <c r="C386">
        <f t="shared" si="19"/>
        <v>3</v>
      </c>
      <c r="D386" t="str">
        <f t="shared" si="20"/>
        <v/>
      </c>
      <c r="E386" t="s">
        <v>434</v>
      </c>
    </row>
    <row r="387" spans="1:5" x14ac:dyDescent="0.2">
      <c r="A387" cm="1">
        <f t="array" ref="A387">SUM(--ISNUMBER(D!D1:D8*1))</f>
        <v>7</v>
      </c>
      <c r="B387">
        <f t="shared" si="18"/>
        <v>0</v>
      </c>
      <c r="C387">
        <f t="shared" si="19"/>
        <v>7</v>
      </c>
      <c r="D387" t="str">
        <f t="shared" si="20"/>
        <v/>
      </c>
      <c r="E387" t="s">
        <v>435</v>
      </c>
    </row>
    <row r="388" spans="1:5" x14ac:dyDescent="0.2">
      <c r="A388" cm="1">
        <f t="array" ref="A388">SUM(--ISTEXT(D!D1:D8))</f>
        <v>2</v>
      </c>
      <c r="B388">
        <f t="shared" si="18"/>
        <v>0</v>
      </c>
      <c r="C388">
        <f t="shared" si="19"/>
        <v>2</v>
      </c>
      <c r="D388" t="str">
        <f t="shared" si="20"/>
        <v/>
      </c>
      <c r="E388" t="s">
        <v>436</v>
      </c>
    </row>
    <row r="389" spans="1:5" x14ac:dyDescent="0.2">
      <c r="A389" cm="1">
        <f t="array" ref="A389">SUM(--ISERROR(D!E1:E8))</f>
        <v>1</v>
      </c>
      <c r="B389">
        <f t="shared" si="18"/>
        <v>0</v>
      </c>
      <c r="C389">
        <f t="shared" si="19"/>
        <v>1</v>
      </c>
      <c r="D389" t="str">
        <f t="shared" si="20"/>
        <v/>
      </c>
      <c r="E389" t="s">
        <v>437</v>
      </c>
    </row>
    <row r="390" spans="1:5" x14ac:dyDescent="0.2">
      <c r="A390" cm="1">
        <f t="array" ref="A390">TYPE(D!B1:B2)</f>
        <v>64</v>
      </c>
      <c r="B390">
        <f t="shared" si="18"/>
        <v>0</v>
      </c>
      <c r="C390">
        <f t="shared" si="19"/>
        <v>64</v>
      </c>
      <c r="D390" t="str">
        <f t="shared" si="20"/>
        <v/>
      </c>
      <c r="E390" t="s">
        <v>438</v>
      </c>
    </row>
    <row r="391" spans="1:5" x14ac:dyDescent="0.2">
      <c r="A391" cm="1">
        <f t="array" ref="A391">TYPE(D!B1:B2*1)</f>
        <v>64</v>
      </c>
      <c r="B391">
        <f t="shared" si="18"/>
        <v>0</v>
      </c>
      <c r="C391">
        <f t="shared" si="19"/>
        <v>64</v>
      </c>
      <c r="D391" t="str">
        <f t="shared" si="20"/>
        <v/>
      </c>
      <c r="E391" t="s">
        <v>439</v>
      </c>
    </row>
    <row r="392" spans="1:5" x14ac:dyDescent="0.2">
      <c r="A392" cm="1">
        <f t="array" ref="A392">TYPE(D!B1)</f>
        <v>1</v>
      </c>
      <c r="B392">
        <f t="shared" si="18"/>
        <v>0</v>
      </c>
      <c r="C392">
        <f t="shared" si="19"/>
        <v>1</v>
      </c>
      <c r="D392" t="str">
        <f t="shared" si="20"/>
        <v/>
      </c>
      <c r="E392" t="s">
        <v>440</v>
      </c>
    </row>
    <row r="393" spans="1:5" x14ac:dyDescent="0.2">
      <c r="A393" cm="1">
        <f t="array" ref="A393">TYPE(D!K1:K2)</f>
        <v>64</v>
      </c>
      <c r="B393">
        <f t="shared" si="18"/>
        <v>0</v>
      </c>
      <c r="C393">
        <f t="shared" si="19"/>
        <v>64</v>
      </c>
      <c r="D393" t="str">
        <f t="shared" si="20"/>
        <v/>
      </c>
      <c r="E393" t="s">
        <v>441</v>
      </c>
    </row>
    <row r="394" spans="1:5" x14ac:dyDescent="0.2">
      <c r="A394" cm="1">
        <f t="array" ref="A394">N(D!B1:B3)</f>
        <v>4</v>
      </c>
      <c r="B394">
        <f t="shared" si="18"/>
        <v>0</v>
      </c>
      <c r="C394">
        <f t="shared" si="19"/>
        <v>4</v>
      </c>
      <c r="D394" t="str">
        <f t="shared" si="20"/>
        <v/>
      </c>
      <c r="E394" t="s">
        <v>442</v>
      </c>
    </row>
    <row r="395" spans="1:5" x14ac:dyDescent="0.2">
      <c r="A395" cm="1">
        <f t="array" ref="A395">SUM(N(D!B1:B3))</f>
        <v>4</v>
      </c>
      <c r="B395">
        <f t="shared" si="18"/>
        <v>0</v>
      </c>
      <c r="C395">
        <f t="shared" si="19"/>
        <v>4</v>
      </c>
      <c r="D395" t="str">
        <f t="shared" si="20"/>
        <v/>
      </c>
      <c r="E395" t="s">
        <v>443</v>
      </c>
    </row>
    <row r="396" spans="1:5" x14ac:dyDescent="0.2">
      <c r="A396" t="e" cm="1" vm="1">
        <f t="array" aca="1" ref="A396" ca="1">N({1,2})</f>
        <v>#VALUE!</v>
      </c>
      <c r="B396">
        <f t="shared" ca="1" si="18"/>
        <v>9</v>
      </c>
      <c r="C396">
        <f t="shared" ca="1" si="19"/>
        <v>0</v>
      </c>
      <c r="D396" t="str">
        <f t="shared" ca="1" si="20"/>
        <v/>
      </c>
      <c r="E396" t="s">
        <v>444</v>
      </c>
    </row>
    <row r="397" spans="1:5" x14ac:dyDescent="0.2">
      <c r="A397" t="str" cm="1">
        <f t="array" ref="A397">T(D!F1:F2)</f>
        <v>Аренда</v>
      </c>
      <c r="B397">
        <f t="shared" si="18"/>
        <v>-3</v>
      </c>
      <c r="C397">
        <f t="shared" si="19"/>
        <v>0</v>
      </c>
      <c r="D397" t="str">
        <f t="shared" si="20"/>
        <v>Аренда</v>
      </c>
      <c r="E397" t="s">
        <v>445</v>
      </c>
    </row>
    <row r="398" spans="1:5" x14ac:dyDescent="0.2">
      <c r="A398" t="e" cm="1" vm="1">
        <f t="array" aca="1" ref="A398" ca="1">T({"a","b"})</f>
        <v>#VALUE!</v>
      </c>
      <c r="B398">
        <f t="shared" ca="1" si="18"/>
        <v>9</v>
      </c>
      <c r="C398">
        <f t="shared" ca="1" si="19"/>
        <v>0</v>
      </c>
      <c r="D398" t="str">
        <f t="shared" ca="1" si="20"/>
        <v/>
      </c>
      <c r="E398" t="s">
        <v>446</v>
      </c>
    </row>
    <row r="399" spans="1:5" x14ac:dyDescent="0.2">
      <c r="A399" cm="1">
        <f t="array" ref="A399">SUM(--EXACT(D!F1:F7,"аренда"))</f>
        <v>1</v>
      </c>
      <c r="B399">
        <f t="shared" si="18"/>
        <v>0</v>
      </c>
      <c r="C399">
        <f t="shared" si="19"/>
        <v>1</v>
      </c>
      <c r="D399" t="str">
        <f t="shared" si="20"/>
        <v/>
      </c>
      <c r="E399" t="s">
        <v>447</v>
      </c>
    </row>
    <row r="400" spans="1:5" x14ac:dyDescent="0.2">
      <c r="A400" t="str" cm="1">
        <f t="array" ref="A400">INDEX(MID("abcdef",{1,3,5},2),1,3)</f>
        <v>ef</v>
      </c>
      <c r="B400">
        <f t="shared" si="18"/>
        <v>-3</v>
      </c>
      <c r="C400">
        <f t="shared" si="19"/>
        <v>0</v>
      </c>
      <c r="D400" t="str">
        <f t="shared" si="20"/>
        <v>ef</v>
      </c>
      <c r="E400" t="s">
        <v>448</v>
      </c>
    </row>
    <row r="401" spans="1:1" x14ac:dyDescent="0.2">
      <c r="A401" t="s">
        <v>449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2026-10-07T05:15:14Z</dcterms:created>
  <dcterms:modified xsi:type="dcterms:W3CDTF">2026-10-07T05:15:15Z</dcterms:modified>
  <cp:category/>
</cp:coreProperties>
</file>