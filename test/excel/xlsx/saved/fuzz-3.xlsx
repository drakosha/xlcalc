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FCD4F94-18D1-4047-B6F6-1E710379F7C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D399" i="2" s="1"/>
  <c r="A398" i="2" a="1"/>
  <c r="A398" i="2" s="1"/>
  <c r="A397" i="2" a="1"/>
  <c r="A397" i="2" s="1"/>
  <c r="A396" i="2" a="1"/>
  <c r="A396" i="2" s="1"/>
  <c r="A395" i="2" a="1"/>
  <c r="A395" i="2" s="1"/>
  <c r="A394" i="2" a="1"/>
  <c r="A394" i="2" s="1"/>
  <c r="A393" i="2" a="1"/>
  <c r="A393" i="2" s="1"/>
  <c r="A392" i="2" a="1"/>
  <c r="A392" i="2" s="1"/>
  <c r="D392" i="2" s="1"/>
  <c r="A391" i="2" a="1"/>
  <c r="A391" i="2" s="1"/>
  <c r="D391" i="2" s="1"/>
  <c r="A390" i="2" a="1"/>
  <c r="A390" i="2" s="1"/>
  <c r="D390" i="2" s="1"/>
  <c r="A389" i="2" a="1"/>
  <c r="A389" i="2"/>
  <c r="A388" i="2" a="1"/>
  <c r="A388" i="2" s="1"/>
  <c r="B388" i="2" s="1"/>
  <c r="A387" i="2" a="1"/>
  <c r="A387" i="2" s="1"/>
  <c r="A386" i="2" a="1"/>
  <c r="A386" i="2" s="1"/>
  <c r="A385" i="2" a="1"/>
  <c r="A385" i="2"/>
  <c r="A384" i="2" a="1"/>
  <c r="A384" i="2"/>
  <c r="D384" i="2" s="1"/>
  <c r="A383" i="2" a="1"/>
  <c r="A383" i="2" s="1"/>
  <c r="A382" i="2" a="1"/>
  <c r="A382" i="2" s="1"/>
  <c r="A381" i="2" a="1"/>
  <c r="A381" i="2" s="1"/>
  <c r="A380" i="2" a="1"/>
  <c r="A380" i="2" s="1"/>
  <c r="A379" i="2" a="1"/>
  <c r="A379" i="2"/>
  <c r="D379" i="2" s="1"/>
  <c r="A378" i="2" a="1"/>
  <c r="A378" i="2" s="1"/>
  <c r="A377" i="2" a="1"/>
  <c r="A377" i="2" s="1"/>
  <c r="A376" i="2" a="1"/>
  <c r="A376" i="2" s="1"/>
  <c r="A375" i="2" a="1"/>
  <c r="A375" i="2" s="1"/>
  <c r="A373" i="2" a="1"/>
  <c r="A373" i="2" s="1"/>
  <c r="A372" i="2" a="1"/>
  <c r="A372" i="2" s="1"/>
  <c r="D372" i="2" s="1"/>
  <c r="A371" i="2" a="1"/>
  <c r="A371" i="2" s="1"/>
  <c r="A370" i="2" a="1"/>
  <c r="A370" i="2" s="1"/>
  <c r="B370" i="2" s="1"/>
  <c r="A369" i="2" a="1"/>
  <c r="A369" i="2" s="1"/>
  <c r="A368" i="2" a="1"/>
  <c r="A368" i="2"/>
  <c r="B368" i="2" s="1"/>
  <c r="A367" i="2" a="1"/>
  <c r="A367" i="2" s="1"/>
  <c r="A366" i="2" a="1"/>
  <c r="A366" i="2" s="1"/>
  <c r="A365" i="2" a="1"/>
  <c r="A365" i="2" s="1"/>
  <c r="A364" i="2" a="1"/>
  <c r="A364" i="2" s="1"/>
  <c r="A363" i="2" a="1"/>
  <c r="A363" i="2" s="1"/>
  <c r="A362" i="2" a="1"/>
  <c r="A362" i="2" s="1"/>
  <c r="A360" i="2" a="1"/>
  <c r="A360" i="2" s="1"/>
  <c r="A359" i="2" a="1"/>
  <c r="A359" i="2" s="1"/>
  <c r="D359" i="2" s="1"/>
  <c r="A358" i="2" a="1"/>
  <c r="A358" i="2" s="1"/>
  <c r="A357" i="2" a="1"/>
  <c r="A357" i="2"/>
  <c r="A356" i="2" a="1"/>
  <c r="A356" i="2" s="1"/>
  <c r="D356" i="2" s="1"/>
  <c r="A355" i="2" a="1"/>
  <c r="A355" i="2" s="1"/>
  <c r="A354" i="2" a="1"/>
  <c r="A354" i="2" s="1"/>
  <c r="D354" i="2" s="1"/>
  <c r="A353" i="2" a="1"/>
  <c r="A353" i="2" s="1"/>
  <c r="B353" i="2" s="1"/>
  <c r="A352" i="2" a="1"/>
  <c r="A352" i="2" s="1"/>
  <c r="A351" i="2" a="1"/>
  <c r="A351" i="2" s="1"/>
  <c r="D351" i="2" s="1"/>
  <c r="A350" i="2" a="1"/>
  <c r="A350" i="2"/>
  <c r="B350" i="2" s="1"/>
  <c r="A349" i="2" a="1"/>
  <c r="A349" i="2"/>
  <c r="A348" i="2" a="1"/>
  <c r="A348" i="2" s="1"/>
  <c r="A347" i="2" a="1"/>
  <c r="A347" i="2" s="1"/>
  <c r="D347" i="2" s="1"/>
  <c r="A346" i="2" a="1"/>
  <c r="A346" i="2" s="1"/>
  <c r="A345" i="2" a="1"/>
  <c r="A345" i="2" s="1"/>
  <c r="A344" i="2" a="1"/>
  <c r="A344" i="2" s="1"/>
  <c r="A343" i="2" a="1"/>
  <c r="A343" i="2"/>
  <c r="D343" i="2" s="1"/>
  <c r="A342" i="2" a="1"/>
  <c r="A342" i="2" s="1"/>
  <c r="A341" i="2" a="1"/>
  <c r="A341" i="2" s="1"/>
  <c r="A340" i="2" a="1"/>
  <c r="A340" i="2" s="1"/>
  <c r="A339" i="2" a="1"/>
  <c r="A339" i="2" s="1"/>
  <c r="A338" i="2" a="1"/>
  <c r="A338" i="2" s="1"/>
  <c r="A337" i="2" a="1"/>
  <c r="A337" i="2" s="1"/>
  <c r="A336" i="2" a="1"/>
  <c r="A336" i="2" s="1"/>
  <c r="D336" i="2" s="1"/>
  <c r="A335" i="2" a="1"/>
  <c r="A335" i="2" s="1"/>
  <c r="B335" i="2" s="1"/>
  <c r="D334" i="2"/>
  <c r="A334" i="2" a="1"/>
  <c r="A334" i="2"/>
  <c r="B334" i="2" s="1"/>
  <c r="A333" i="2" a="1"/>
  <c r="A333" i="2"/>
  <c r="A332" i="2" a="1"/>
  <c r="A332" i="2" s="1"/>
  <c r="A331" i="2" a="1"/>
  <c r="A331" i="2" s="1"/>
  <c r="A330" i="2" a="1"/>
  <c r="A330" i="2" s="1"/>
  <c r="A329" i="2" a="1"/>
  <c r="A329" i="2" s="1"/>
  <c r="A328" i="2" a="1"/>
  <c r="A328" i="2" s="1"/>
  <c r="A327" i="2" a="1"/>
  <c r="A327" i="2" s="1"/>
  <c r="A326" i="2" a="1"/>
  <c r="A326" i="2" s="1"/>
  <c r="A325" i="2" a="1"/>
  <c r="A325" i="2" s="1"/>
  <c r="A324" i="2" a="1"/>
  <c r="A324" i="2" s="1"/>
  <c r="D323" i="2"/>
  <c r="A323" i="2" a="1"/>
  <c r="A323" i="2" s="1"/>
  <c r="A322" i="2" a="1"/>
  <c r="A322" i="2" s="1"/>
  <c r="A321" i="2" a="1"/>
  <c r="A321" i="2" s="1"/>
  <c r="A320" i="2" a="1"/>
  <c r="A320" i="2" s="1"/>
  <c r="A319" i="2" a="1"/>
  <c r="A319" i="2" s="1"/>
  <c r="A318" i="2" a="1"/>
  <c r="A318" i="2" s="1"/>
  <c r="A317" i="2" a="1"/>
  <c r="A317" i="2" s="1"/>
  <c r="D316" i="2"/>
  <c r="A316" i="2" a="1"/>
  <c r="A316" i="2"/>
  <c r="B316" i="2" s="1"/>
  <c r="A315" i="2" a="1"/>
  <c r="A315" i="2"/>
  <c r="A314" i="2" a="1"/>
  <c r="A314" i="2"/>
  <c r="B314" i="2" s="1"/>
  <c r="A313" i="2" a="1"/>
  <c r="A313" i="2" s="1"/>
  <c r="A312" i="2" a="1"/>
  <c r="A312" i="2" s="1"/>
  <c r="A311" i="2" a="1"/>
  <c r="A311" i="2" s="1"/>
  <c r="A310" i="2" a="1"/>
  <c r="A310" i="2" s="1"/>
  <c r="A309" i="2" a="1"/>
  <c r="A309" i="2" s="1"/>
  <c r="A308" i="2" a="1"/>
  <c r="A308" i="2" s="1"/>
  <c r="A307" i="2" a="1"/>
  <c r="A307" i="2"/>
  <c r="C307" i="2" s="1"/>
  <c r="A306" i="2" a="1"/>
  <c r="A306" i="2" s="1"/>
  <c r="A305" i="2" a="1"/>
  <c r="A305" i="2" s="1"/>
  <c r="A304" i="2" a="1"/>
  <c r="A304" i="2" s="1"/>
  <c r="D304" i="2" s="1"/>
  <c r="A303" i="2" a="1"/>
  <c r="A303" i="2" s="1"/>
  <c r="A302" i="2" a="1"/>
  <c r="A302" i="2" s="1"/>
  <c r="A301" i="2" a="1"/>
  <c r="A301" i="2" s="1"/>
  <c r="A300" i="2" a="1"/>
  <c r="A300" i="2" s="1"/>
  <c r="D300" i="2" s="1"/>
  <c r="C299" i="2"/>
  <c r="A299" i="2" a="1"/>
  <c r="A299" i="2"/>
  <c r="D299" i="2" s="1"/>
  <c r="A298" i="2" a="1"/>
  <c r="A298" i="2"/>
  <c r="B298" i="2" s="1"/>
  <c r="A295" i="2" a="1"/>
  <c r="A295" i="2" s="1"/>
  <c r="A294" i="2" a="1"/>
  <c r="A294" i="2" s="1"/>
  <c r="A293" i="2" a="1"/>
  <c r="A293" i="2" s="1"/>
  <c r="A292" i="2" a="1"/>
  <c r="A292" i="2" s="1"/>
  <c r="A291" i="2" a="1"/>
  <c r="A291" i="2"/>
  <c r="D291" i="2" s="1"/>
  <c r="A290" i="2" a="1"/>
  <c r="A290" i="2"/>
  <c r="A289" i="2" a="1"/>
  <c r="A289" i="2"/>
  <c r="D289" i="2" s="1"/>
  <c r="A288" i="2" a="1"/>
  <c r="A288" i="2" s="1"/>
  <c r="B288" i="2" s="1"/>
  <c r="A287" i="2" a="1"/>
  <c r="A287" i="2" s="1"/>
  <c r="D287" i="2" s="1"/>
  <c r="A286" i="2" a="1"/>
  <c r="A286" i="2" s="1"/>
  <c r="A285" i="2" a="1"/>
  <c r="A285" i="2" s="1"/>
  <c r="B285" i="2" s="1"/>
  <c r="A284" i="2" a="1"/>
  <c r="A284" i="2" s="1"/>
  <c r="D284" i="2" s="1"/>
  <c r="A283" i="2" a="1"/>
  <c r="A283" i="2"/>
  <c r="A282" i="2" a="1"/>
  <c r="A282" i="2" s="1"/>
  <c r="A281" i="2" a="1"/>
  <c r="A281" i="2"/>
  <c r="D281" i="2" s="1"/>
  <c r="A280" i="2" a="1"/>
  <c r="A280" i="2" s="1"/>
  <c r="A279" i="2" a="1"/>
  <c r="A279" i="2" s="1"/>
  <c r="A278" i="2" a="1"/>
  <c r="A278" i="2" s="1"/>
  <c r="A277" i="2" a="1"/>
  <c r="A277" i="2"/>
  <c r="C277" i="2" s="1"/>
  <c r="A276" i="2" a="1"/>
  <c r="A276" i="2"/>
  <c r="A275" i="2" a="1"/>
  <c r="A275" i="2" s="1"/>
  <c r="D275" i="2" s="1"/>
  <c r="C274" i="2"/>
  <c r="A274" i="2" a="1"/>
  <c r="A274" i="2" s="1"/>
  <c r="D274" i="2" s="1"/>
  <c r="A273" i="2" a="1"/>
  <c r="A273" i="2"/>
  <c r="D273" i="2" s="1"/>
  <c r="A272" i="2" a="1"/>
  <c r="A272" i="2"/>
  <c r="A271" i="2" a="1"/>
  <c r="A271" i="2" s="1"/>
  <c r="A270" i="2" a="1"/>
  <c r="A270" i="2" s="1"/>
  <c r="A269" i="2" a="1"/>
  <c r="A269" i="2" s="1"/>
  <c r="D269" i="2" s="1"/>
  <c r="A268" i="2" a="1"/>
  <c r="A268" i="2" s="1"/>
  <c r="A267" i="2" a="1"/>
  <c r="A267" i="2" s="1"/>
  <c r="A266" i="2" a="1"/>
  <c r="A266" i="2" s="1"/>
  <c r="A265" i="2" a="1"/>
  <c r="A265" i="2" s="1"/>
  <c r="A264" i="2" a="1"/>
  <c r="A264" i="2" s="1"/>
  <c r="C263" i="2"/>
  <c r="A263" i="2" a="1"/>
  <c r="A263" i="2"/>
  <c r="D263" i="2" s="1"/>
  <c r="A262" i="2" a="1"/>
  <c r="A262" i="2" s="1"/>
  <c r="B262" i="2" s="1"/>
  <c r="A261" i="2" a="1"/>
  <c r="A261" i="2" s="1"/>
  <c r="A260" i="2" a="1"/>
  <c r="A260" i="2" s="1"/>
  <c r="A259" i="2" a="1"/>
  <c r="A259" i="2" s="1"/>
  <c r="C259" i="2" s="1"/>
  <c r="A258" i="2" a="1"/>
  <c r="A258" i="2"/>
  <c r="A257" i="2" a="1"/>
  <c r="A257" i="2" s="1"/>
  <c r="A256" i="2" a="1"/>
  <c r="A256" i="2" s="1"/>
  <c r="B256" i="2" s="1"/>
  <c r="A254" i="2" a="1"/>
  <c r="A254" i="2"/>
  <c r="A253" i="2" a="1"/>
  <c r="A253" i="2" s="1"/>
  <c r="A252" i="2" a="1"/>
  <c r="A252" i="2" s="1"/>
  <c r="A251" i="2" a="1"/>
  <c r="A251" i="2"/>
  <c r="C251" i="2" s="1"/>
  <c r="A250" i="2" a="1"/>
  <c r="A250" i="2"/>
  <c r="D250" i="2" s="1"/>
  <c r="A249" i="2" a="1"/>
  <c r="A249" i="2"/>
  <c r="A248" i="2" a="1"/>
  <c r="A248" i="2" s="1"/>
  <c r="D248" i="2" s="1"/>
  <c r="A247" i="2" a="1"/>
  <c r="A247" i="2" s="1"/>
  <c r="A246" i="2" a="1"/>
  <c r="A246" i="2" s="1"/>
  <c r="A245" i="2" a="1"/>
  <c r="A245" i="2" s="1"/>
  <c r="A244" i="2" a="1"/>
  <c r="A244" i="2" s="1"/>
  <c r="A243" i="2" a="1"/>
  <c r="A243" i="2"/>
  <c r="D243" i="2" s="1"/>
  <c r="A242" i="2" a="1"/>
  <c r="A242" i="2"/>
  <c r="B242" i="2" s="1"/>
  <c r="A241" i="2" a="1"/>
  <c r="A241" i="2" s="1"/>
  <c r="C241" i="2" s="1"/>
  <c r="A240" i="2" a="1"/>
  <c r="A240" i="2"/>
  <c r="A239" i="2" a="1"/>
  <c r="A239" i="2" s="1"/>
  <c r="A238" i="2" a="1"/>
  <c r="A238" i="2" s="1"/>
  <c r="D238" i="2" s="1"/>
  <c r="A237" i="2" a="1"/>
  <c r="A237" i="2" s="1"/>
  <c r="A236" i="2" a="1"/>
  <c r="A236" i="2" s="1"/>
  <c r="B236" i="2" s="1"/>
  <c r="A235" i="2" a="1"/>
  <c r="A235" i="2"/>
  <c r="C235" i="2" s="1"/>
  <c r="A234" i="2" a="1"/>
  <c r="A234" i="2" s="1"/>
  <c r="B234" i="2" s="1"/>
  <c r="A233" i="2" a="1"/>
  <c r="A233" i="2"/>
  <c r="C233" i="2" s="1"/>
  <c r="A232" i="2" a="1"/>
  <c r="A232" i="2" s="1"/>
  <c r="D232" i="2" s="1"/>
  <c r="A231" i="2" a="1"/>
  <c r="A231" i="2" s="1"/>
  <c r="D231" i="2" s="1"/>
  <c r="B230" i="2"/>
  <c r="A230" i="2" a="1"/>
  <c r="A230" i="2" s="1"/>
  <c r="A229" i="2" a="1"/>
  <c r="A229" i="2" s="1"/>
  <c r="A227" i="2" a="1"/>
  <c r="A227" i="2"/>
  <c r="D227" i="2" s="1"/>
  <c r="A226" i="2" a="1"/>
  <c r="A226" i="2" s="1"/>
  <c r="B226" i="2" s="1"/>
  <c r="A225" i="2" a="1"/>
  <c r="A225" i="2"/>
  <c r="A224" i="2" a="1"/>
  <c r="A224" i="2" s="1"/>
  <c r="A223" i="2" a="1"/>
  <c r="A223" i="2" s="1"/>
  <c r="A222" i="2" a="1"/>
  <c r="A222" i="2" s="1"/>
  <c r="C221" i="2"/>
  <c r="A221" i="2" a="1"/>
  <c r="A221" i="2" s="1"/>
  <c r="A220" i="2" a="1"/>
  <c r="A220" i="2" s="1"/>
  <c r="A219" i="2" a="1"/>
  <c r="A219" i="2"/>
  <c r="D219" i="2" s="1"/>
  <c r="A218" i="2" a="1"/>
  <c r="A218" i="2"/>
  <c r="A217" i="2" a="1"/>
  <c r="A217" i="2"/>
  <c r="D217" i="2" s="1"/>
  <c r="A216" i="2" a="1"/>
  <c r="A216" i="2" s="1"/>
  <c r="A215" i="2" a="1"/>
  <c r="A215" i="2" s="1"/>
  <c r="A214" i="2" a="1"/>
  <c r="A214" i="2" s="1"/>
  <c r="D214" i="2" s="1"/>
  <c r="A213" i="2" a="1"/>
  <c r="A213" i="2" s="1"/>
  <c r="A212" i="2" a="1"/>
  <c r="A212" i="2" s="1"/>
  <c r="D212" i="2" s="1"/>
  <c r="A211" i="2" a="1"/>
  <c r="A211" i="2"/>
  <c r="A209" i="2" a="1"/>
  <c r="A209" i="2"/>
  <c r="D209" i="2" s="1"/>
  <c r="A208" i="2" a="1"/>
  <c r="A208" i="2" s="1"/>
  <c r="B208" i="2" s="1"/>
  <c r="A206" i="2" a="1"/>
  <c r="A206" i="2" s="1"/>
  <c r="A205" i="2" a="1"/>
  <c r="A205" i="2"/>
  <c r="C205" i="2" s="1"/>
  <c r="A204" i="2" a="1"/>
  <c r="A204" i="2" s="1"/>
  <c r="C203" i="2"/>
  <c r="A203" i="2" a="1"/>
  <c r="A203" i="2" s="1"/>
  <c r="D203" i="2" s="1"/>
  <c r="A202" i="2" a="1"/>
  <c r="A202" i="2" s="1"/>
  <c r="D202" i="2" s="1"/>
  <c r="A201" i="2" a="1"/>
  <c r="A201" i="2"/>
  <c r="B201" i="2" s="1"/>
  <c r="A200" i="2" a="1"/>
  <c r="A200" i="2"/>
  <c r="D200" i="2" s="1"/>
  <c r="A199" i="2" a="1"/>
  <c r="A199" i="2"/>
  <c r="A198" i="2" a="1"/>
  <c r="A198" i="2"/>
  <c r="B198" i="2" s="1"/>
  <c r="A197" i="2" a="1"/>
  <c r="A197" i="2"/>
  <c r="A196" i="2" a="1"/>
  <c r="A196" i="2"/>
  <c r="B196" i="2" s="1"/>
  <c r="A195" i="2" a="1"/>
  <c r="A195" i="2"/>
  <c r="A194" i="2" a="1"/>
  <c r="A194" i="2" s="1"/>
  <c r="D194" i="2" s="1"/>
  <c r="A193" i="2" a="1"/>
  <c r="A193" i="2"/>
  <c r="B193" i="2" s="1"/>
  <c r="A192" i="2" a="1"/>
  <c r="A192" i="2" s="1"/>
  <c r="B192" i="2" s="1"/>
  <c r="A191" i="2" a="1"/>
  <c r="A191" i="2"/>
  <c r="C191" i="2" s="1"/>
  <c r="A190" i="2" a="1"/>
  <c r="A190" i="2" s="1"/>
  <c r="A189" i="2" a="1"/>
  <c r="A189" i="2" s="1"/>
  <c r="D189" i="2" s="1"/>
  <c r="A188" i="2" a="1"/>
  <c r="A188" i="2" s="1"/>
  <c r="A187" i="2" a="1"/>
  <c r="A187" i="2"/>
  <c r="C187" i="2" s="1"/>
  <c r="A186" i="2" a="1"/>
  <c r="A186" i="2" s="1"/>
  <c r="A185" i="2" a="1"/>
  <c r="A185" i="2"/>
  <c r="D185" i="2" s="1"/>
  <c r="A184" i="2" a="1"/>
  <c r="A184" i="2" s="1"/>
  <c r="D184" i="2" s="1"/>
  <c r="A183" i="2" a="1"/>
  <c r="A183" i="2" s="1"/>
  <c r="A182" i="2" a="1"/>
  <c r="A182" i="2"/>
  <c r="D182" i="2" s="1"/>
  <c r="A181" i="2" a="1"/>
  <c r="A181" i="2" s="1"/>
  <c r="B181" i="2" s="1"/>
  <c r="A180" i="2" a="1"/>
  <c r="A180" i="2"/>
  <c r="B180" i="2" s="1"/>
  <c r="A179" i="2" a="1"/>
  <c r="A179" i="2"/>
  <c r="A178" i="2" a="1"/>
  <c r="A178" i="2"/>
  <c r="C178" i="2" s="1"/>
  <c r="A177" i="2" a="1"/>
  <c r="A177" i="2"/>
  <c r="A176" i="2" a="1"/>
  <c r="A176" i="2" s="1"/>
  <c r="A175" i="2" a="1"/>
  <c r="A175" i="2" s="1"/>
  <c r="C175" i="2" s="1"/>
  <c r="D174" i="2"/>
  <c r="C174" i="2"/>
  <c r="A174" i="2" a="1"/>
  <c r="A174" i="2" s="1"/>
  <c r="B174" i="2" s="1"/>
  <c r="A173" i="2" a="1"/>
  <c r="A173" i="2" s="1"/>
  <c r="D173" i="2" s="1"/>
  <c r="A171" i="2" a="1"/>
  <c r="A171" i="2"/>
  <c r="B171" i="2" s="1"/>
  <c r="A170" i="2" a="1"/>
  <c r="A170" i="2"/>
  <c r="C170" i="2" s="1"/>
  <c r="A169" i="2" a="1"/>
  <c r="A169" i="2"/>
  <c r="C169" i="2" s="1"/>
  <c r="A168" i="2" a="1"/>
  <c r="A168" i="2" s="1"/>
  <c r="A167" i="2" a="1"/>
  <c r="A167" i="2" s="1"/>
  <c r="A166" i="2" a="1"/>
  <c r="A166" i="2" s="1"/>
  <c r="A165" i="2" a="1"/>
  <c r="A165" i="2" s="1"/>
  <c r="A164" i="2" a="1"/>
  <c r="A164" i="2"/>
  <c r="D164" i="2" s="1"/>
  <c r="A163" i="2" a="1"/>
  <c r="A163" i="2"/>
  <c r="C163" i="2" s="1"/>
  <c r="A162" i="2" a="1"/>
  <c r="A162" i="2"/>
  <c r="B162" i="2" s="1"/>
  <c r="A161" i="2" a="1"/>
  <c r="A161" i="2" s="1"/>
  <c r="A160" i="2" a="1"/>
  <c r="A160" i="2" s="1"/>
  <c r="D160" i="2" s="1"/>
  <c r="C158" i="2"/>
  <c r="A158" i="2" a="1"/>
  <c r="A158" i="2" s="1"/>
  <c r="D158" i="2" s="1"/>
  <c r="A157" i="2" a="1"/>
  <c r="A157" i="2" s="1"/>
  <c r="A156" i="2" a="1"/>
  <c r="A156" i="2" s="1"/>
  <c r="C156" i="2" s="1"/>
  <c r="A155" i="2" a="1"/>
  <c r="A155" i="2" s="1"/>
  <c r="A154" i="2" a="1"/>
  <c r="A154" i="2" s="1"/>
  <c r="B154" i="2" s="1"/>
  <c r="A153" i="2" a="1"/>
  <c r="A153" i="2"/>
  <c r="A152" i="2" a="1"/>
  <c r="A152" i="2" s="1"/>
  <c r="B152" i="2" s="1"/>
  <c r="A151" i="2" a="1"/>
  <c r="A151" i="2" s="1"/>
  <c r="C151" i="2" s="1"/>
  <c r="A150" i="2" a="1"/>
  <c r="A150" i="2"/>
  <c r="C150" i="2" s="1"/>
  <c r="A149" i="2" a="1"/>
  <c r="A149" i="2" s="1"/>
  <c r="B149" i="2" s="1"/>
  <c r="B148" i="2"/>
  <c r="A148" i="2" a="1"/>
  <c r="A148" i="2" s="1"/>
  <c r="A147" i="2" a="1"/>
  <c r="A147" i="2"/>
  <c r="C147" i="2" s="1"/>
  <c r="A146" i="2" a="1"/>
  <c r="A146" i="2"/>
  <c r="A145" i="2" a="1"/>
  <c r="A145" i="2"/>
  <c r="D145" i="2" s="1"/>
  <c r="A144" i="2" a="1"/>
  <c r="A144" i="2" s="1"/>
  <c r="A143" i="2" a="1"/>
  <c r="A143" i="2" s="1"/>
  <c r="A142" i="2" a="1"/>
  <c r="A142" i="2" s="1"/>
  <c r="A141" i="2" a="1"/>
  <c r="A141" i="2" s="1"/>
  <c r="C141" i="2" s="1"/>
  <c r="A140" i="2" a="1"/>
  <c r="A140" i="2" s="1"/>
  <c r="D140" i="2" s="1"/>
  <c r="A139" i="2" a="1"/>
  <c r="A139" i="2" s="1"/>
  <c r="B139" i="2" s="1"/>
  <c r="A138" i="2" a="1"/>
  <c r="A138" i="2" s="1"/>
  <c r="A137" i="2" a="1"/>
  <c r="A137" i="2"/>
  <c r="D137" i="2" s="1"/>
  <c r="A136" i="2" a="1"/>
  <c r="A136" i="2"/>
  <c r="B136" i="2" s="1"/>
  <c r="A135" i="2" a="1"/>
  <c r="A135" i="2" s="1"/>
  <c r="C135" i="2" s="1"/>
  <c r="A134" i="2" a="1"/>
  <c r="A134" i="2"/>
  <c r="B134" i="2" s="1"/>
  <c r="A133" i="2" a="1"/>
  <c r="A133" i="2" s="1"/>
  <c r="C133" i="2" s="1"/>
  <c r="A132" i="2" a="1"/>
  <c r="A132" i="2"/>
  <c r="D132" i="2" s="1"/>
  <c r="A131" i="2" a="1"/>
  <c r="A131" i="2" s="1"/>
  <c r="D131" i="2" s="1"/>
  <c r="A130" i="2" a="1"/>
  <c r="A130" i="2" s="1"/>
  <c r="D130" i="2" s="1"/>
  <c r="A129" i="2" a="1"/>
  <c r="A129" i="2"/>
  <c r="D129" i="2" s="1"/>
  <c r="A128" i="2" a="1"/>
  <c r="A128" i="2"/>
  <c r="A127" i="2" a="1"/>
  <c r="A127" i="2"/>
  <c r="B127" i="2" s="1"/>
  <c r="A126" i="2" a="1"/>
  <c r="A126" i="2" s="1"/>
  <c r="A125" i="2" a="1"/>
  <c r="A125" i="2" s="1"/>
  <c r="C125" i="2" s="1"/>
  <c r="A124" i="2" a="1"/>
  <c r="A124" i="2" s="1"/>
  <c r="A123" i="2" a="1"/>
  <c r="A123" i="2" s="1"/>
  <c r="A122" i="2" a="1"/>
  <c r="A122" i="2" s="1"/>
  <c r="A121" i="2" a="1"/>
  <c r="A121" i="2" s="1"/>
  <c r="B121" i="2" s="1"/>
  <c r="A120" i="2" a="1"/>
  <c r="A120" i="2" s="1"/>
  <c r="A118" i="2" a="1"/>
  <c r="A118" i="2"/>
  <c r="A117" i="2" a="1"/>
  <c r="A117" i="2" s="1"/>
  <c r="D117" i="2" s="1"/>
  <c r="A116" i="2" a="1"/>
  <c r="A116" i="2" s="1"/>
  <c r="A115" i="2" a="1"/>
  <c r="A115" i="2" s="1"/>
  <c r="A114" i="2" a="1"/>
  <c r="A114" i="2" s="1"/>
  <c r="A113" i="2" a="1"/>
  <c r="A113" i="2" s="1"/>
  <c r="D113" i="2" s="1"/>
  <c r="A112" i="2" a="1"/>
  <c r="A112" i="2"/>
  <c r="A111" i="2" a="1"/>
  <c r="A111" i="2"/>
  <c r="B111" i="2" s="1"/>
  <c r="A110" i="2" a="1"/>
  <c r="A110" i="2" s="1"/>
  <c r="A109" i="2" a="1"/>
  <c r="A109" i="2" s="1"/>
  <c r="A108" i="2" a="1"/>
  <c r="A108" i="2" s="1"/>
  <c r="A107" i="2" a="1"/>
  <c r="A107" i="2" s="1"/>
  <c r="A106" i="2" a="1"/>
  <c r="A106" i="2"/>
  <c r="A105" i="2" a="1"/>
  <c r="A105" i="2"/>
  <c r="B105" i="2" s="1"/>
  <c r="A104" i="2" a="1"/>
  <c r="A104" i="2" s="1"/>
  <c r="C104" i="2" s="1"/>
  <c r="A103" i="2" a="1"/>
  <c r="A103" i="2" s="1"/>
  <c r="A102" i="2" a="1"/>
  <c r="A102" i="2" s="1"/>
  <c r="D102" i="2" s="1"/>
  <c r="A101" i="2" a="1"/>
  <c r="A101" i="2"/>
  <c r="C101" i="2" s="1"/>
  <c r="A100" i="2" a="1"/>
  <c r="A100" i="2" s="1"/>
  <c r="B100" i="2" s="1"/>
  <c r="A99" i="2" a="1"/>
  <c r="A99" i="2" s="1"/>
  <c r="A98" i="2" a="1"/>
  <c r="A98" i="2"/>
  <c r="B98" i="2" s="1"/>
  <c r="A97" i="2" a="1"/>
  <c r="A97" i="2"/>
  <c r="A96" i="2" a="1"/>
  <c r="A96" i="2" s="1"/>
  <c r="D96" i="2" s="1"/>
  <c r="A95" i="2" a="1"/>
  <c r="A95" i="2"/>
  <c r="A94" i="2" a="1"/>
  <c r="A94" i="2" s="1"/>
  <c r="D94" i="2" s="1"/>
  <c r="A93" i="2" a="1"/>
  <c r="A93" i="2" s="1"/>
  <c r="A92" i="2" a="1"/>
  <c r="A92" i="2"/>
  <c r="C92" i="2" s="1"/>
  <c r="A91" i="2" a="1"/>
  <c r="A91" i="2" s="1"/>
  <c r="A90" i="2" a="1"/>
  <c r="A90" i="2"/>
  <c r="B90" i="2" s="1"/>
  <c r="A89" i="2" a="1"/>
  <c r="A89" i="2"/>
  <c r="C89" i="2" s="1"/>
  <c r="A88" i="2" a="1"/>
  <c r="A88" i="2" s="1"/>
  <c r="A87" i="2" a="1"/>
  <c r="A87" i="2" s="1"/>
  <c r="A86" i="2" a="1"/>
  <c r="A86" i="2" s="1"/>
  <c r="C86" i="2" s="1"/>
  <c r="A85" i="2" a="1"/>
  <c r="A85" i="2" s="1"/>
  <c r="D85" i="2" s="1"/>
  <c r="A84" i="2" a="1"/>
  <c r="A84" i="2" s="1"/>
  <c r="A83" i="2" a="1"/>
  <c r="A83" i="2"/>
  <c r="D83" i="2" s="1"/>
  <c r="A82" i="2" a="1"/>
  <c r="A82" i="2" s="1"/>
  <c r="A81" i="2" a="1"/>
  <c r="A81" i="2" s="1"/>
  <c r="D81" i="2" s="1"/>
  <c r="A80" i="2" a="1"/>
  <c r="A80" i="2"/>
  <c r="A79" i="2" a="1"/>
  <c r="A79" i="2" s="1"/>
  <c r="D79" i="2" s="1"/>
  <c r="A78" i="2" a="1"/>
  <c r="A78" i="2"/>
  <c r="A77" i="2" a="1"/>
  <c r="A77" i="2"/>
  <c r="B77" i="2" s="1"/>
  <c r="A76" i="2" a="1"/>
  <c r="A76" i="2" s="1"/>
  <c r="D75" i="2"/>
  <c r="C75" i="2"/>
  <c r="B75" i="2"/>
  <c r="A75" i="2" a="1"/>
  <c r="A75" i="2"/>
  <c r="A74" i="2" a="1"/>
  <c r="A74" i="2" s="1"/>
  <c r="D74" i="2" s="1"/>
  <c r="A73" i="2" a="1"/>
  <c r="A73" i="2" s="1"/>
  <c r="A72" i="2" a="1"/>
  <c r="A72" i="2"/>
  <c r="C72" i="2" s="1"/>
  <c r="A71" i="2" a="1"/>
  <c r="A71" i="2"/>
  <c r="C71" i="2" s="1"/>
  <c r="A70" i="2" a="1"/>
  <c r="A70" i="2" s="1"/>
  <c r="A69" i="2" a="1"/>
  <c r="A69" i="2"/>
  <c r="A68" i="2" a="1"/>
  <c r="A68" i="2" s="1"/>
  <c r="C68" i="2" s="1"/>
  <c r="A67" i="2" a="1"/>
  <c r="A67" i="2"/>
  <c r="D67" i="2" s="1"/>
  <c r="A66" i="2" a="1"/>
  <c r="A66" i="2" s="1"/>
  <c r="D66" i="2" s="1"/>
  <c r="A65" i="2" a="1"/>
  <c r="A65" i="2" s="1"/>
  <c r="A63" i="2" a="1"/>
  <c r="A63" i="2"/>
  <c r="A62" i="2" a="1"/>
  <c r="A62" i="2"/>
  <c r="B62" i="2" s="1"/>
  <c r="A61" i="2" a="1"/>
  <c r="A61" i="2"/>
  <c r="A60" i="2" a="1"/>
  <c r="A60" i="2" s="1"/>
  <c r="D60" i="2" s="1"/>
  <c r="A59" i="2" a="1"/>
  <c r="A59" i="2" s="1"/>
  <c r="A58" i="2" a="1"/>
  <c r="A58" i="2" s="1"/>
  <c r="D58" i="2" s="1"/>
  <c r="A57" i="2" a="1"/>
  <c r="A57" i="2"/>
  <c r="D57" i="2" s="1"/>
  <c r="A56" i="2" a="1"/>
  <c r="A56" i="2" s="1"/>
  <c r="B56" i="2" s="1"/>
  <c r="A55" i="2" a="1"/>
  <c r="A55" i="2" s="1"/>
  <c r="D55" i="2" s="1"/>
  <c r="A53" i="2" a="1"/>
  <c r="A53" i="2" s="1"/>
  <c r="A52" i="2" a="1"/>
  <c r="A52" i="2" s="1"/>
  <c r="A51" i="2" a="1"/>
  <c r="A51" i="2" s="1"/>
  <c r="D51" i="2" s="1"/>
  <c r="A50" i="2" a="1"/>
  <c r="A50" i="2" s="1"/>
  <c r="A49" i="2" a="1"/>
  <c r="A49" i="2"/>
  <c r="C49" i="2" s="1"/>
  <c r="A48" i="2" a="1"/>
  <c r="A48" i="2" s="1"/>
  <c r="A47" i="2" a="1"/>
  <c r="A47" i="2"/>
  <c r="B47" i="2" s="1"/>
  <c r="A46" i="2" a="1"/>
  <c r="A46" i="2" s="1"/>
  <c r="A45" i="2" a="1"/>
  <c r="A45" i="2" s="1"/>
  <c r="D45" i="2" s="1"/>
  <c r="A44" i="2" a="1"/>
  <c r="A44" i="2" s="1"/>
  <c r="A43" i="2" a="1"/>
  <c r="A43" i="2" s="1"/>
  <c r="A42" i="2" a="1"/>
  <c r="A42" i="2" s="1"/>
  <c r="A41" i="2" a="1"/>
  <c r="A41" i="2"/>
  <c r="B41" i="2" s="1"/>
  <c r="A40" i="2" a="1"/>
  <c r="A40" i="2"/>
  <c r="D40" i="2" s="1"/>
  <c r="A39" i="2" a="1"/>
  <c r="A39" i="2" s="1"/>
  <c r="A38" i="2" a="1"/>
  <c r="A38" i="2" s="1"/>
  <c r="A37" i="2" a="1"/>
  <c r="A37" i="2" s="1"/>
  <c r="D37" i="2" s="1"/>
  <c r="D36" i="2"/>
  <c r="C36" i="2"/>
  <c r="A36" i="2" a="1"/>
  <c r="A36" i="2" s="1"/>
  <c r="B36" i="2" s="1"/>
  <c r="A35" i="2" a="1"/>
  <c r="A35" i="2"/>
  <c r="A34" i="2" a="1"/>
  <c r="A34" i="2"/>
  <c r="D34" i="2" s="1"/>
  <c r="A33" i="2" a="1"/>
  <c r="A33" i="2"/>
  <c r="A32" i="2" a="1"/>
  <c r="A32" i="2" s="1"/>
  <c r="D32" i="2" s="1"/>
  <c r="A31" i="2" a="1"/>
  <c r="A31" i="2" s="1"/>
  <c r="A30" i="2" a="1"/>
  <c r="A30" i="2" s="1"/>
  <c r="D30" i="2" s="1"/>
  <c r="A29" i="2" a="1"/>
  <c r="A29" i="2" s="1"/>
  <c r="A28" i="2" a="1"/>
  <c r="A28" i="2" s="1"/>
  <c r="A27" i="2" a="1"/>
  <c r="A27" i="2"/>
  <c r="A26" i="2" a="1"/>
  <c r="A26" i="2"/>
  <c r="C26" i="2" s="1"/>
  <c r="A25" i="2" a="1"/>
  <c r="A25" i="2"/>
  <c r="D25" i="2" s="1"/>
  <c r="A24" i="2" a="1"/>
  <c r="A24" i="2" s="1"/>
  <c r="D24" i="2" s="1"/>
  <c r="A23" i="2" a="1"/>
  <c r="A23" i="2"/>
  <c r="D23" i="2" s="1"/>
  <c r="A22" i="2" a="1"/>
  <c r="A22" i="2" s="1"/>
  <c r="A21" i="2" a="1"/>
  <c r="A21" i="2" s="1"/>
  <c r="C21" i="2" s="1"/>
  <c r="A20" i="2" a="1"/>
  <c r="A20" i="2"/>
  <c r="A19" i="2" a="1"/>
  <c r="A19" i="2"/>
  <c r="B19" i="2" s="1"/>
  <c r="A18" i="2" a="1"/>
  <c r="A18" i="2"/>
  <c r="A17" i="2" a="1"/>
  <c r="A17" i="2" s="1"/>
  <c r="A16" i="2" a="1"/>
  <c r="A16" i="2" s="1"/>
  <c r="A15" i="2" a="1"/>
  <c r="A15" i="2" s="1"/>
  <c r="A14" i="2" a="1"/>
  <c r="A14" i="2"/>
  <c r="D14" i="2" s="1"/>
  <c r="A13" i="2" a="1"/>
  <c r="A13" i="2" s="1"/>
  <c r="A12" i="2" a="1"/>
  <c r="A12" i="2" s="1"/>
  <c r="A11" i="2" a="1"/>
  <c r="A11" i="2"/>
  <c r="D11" i="2" s="1"/>
  <c r="A10" i="2" a="1"/>
  <c r="A10" i="2" s="1"/>
  <c r="D10" i="2" s="1"/>
  <c r="A9" i="2" a="1"/>
  <c r="A9" i="2" s="1"/>
  <c r="D8" i="2"/>
  <c r="C8" i="2"/>
  <c r="A8" i="2" a="1"/>
  <c r="A8" i="2" s="1"/>
  <c r="B8" i="2" s="1"/>
  <c r="A7" i="2" a="1"/>
  <c r="A7" i="2" s="1"/>
  <c r="A6" i="2" a="1"/>
  <c r="A6" i="2"/>
  <c r="C6" i="2" s="1"/>
  <c r="A5" i="2" a="1"/>
  <c r="A5" i="2"/>
  <c r="D5" i="2" s="1"/>
  <c r="A4" i="2" a="1"/>
  <c r="A4" i="2"/>
  <c r="B4" i="2" s="1"/>
  <c r="A3" i="2" a="1"/>
  <c r="A3" i="2" s="1"/>
  <c r="B3" i="2" s="1"/>
  <c r="A2" i="2" a="1"/>
  <c r="A2" i="2"/>
  <c r="A1" i="2" a="1"/>
  <c r="A1" i="2" s="1"/>
  <c r="I15" i="1"/>
  <c r="A14" i="1"/>
  <c r="A13" i="1"/>
  <c r="A255" i="2" s="1" a="1"/>
  <c r="A255" i="2" s="1"/>
  <c r="D255" i="2" s="1"/>
  <c r="AL10" i="1"/>
  <c r="A8" i="1"/>
  <c r="A7" i="1"/>
  <c r="A159" i="2" s="1" a="1"/>
  <c r="A159" i="2" s="1"/>
  <c r="E3" i="1"/>
  <c r="D279" i="2" l="1"/>
  <c r="C279" i="2"/>
  <c r="B279" i="2"/>
  <c r="B293" i="2"/>
  <c r="D293" i="2"/>
  <c r="C293" i="2"/>
  <c r="B280" i="2"/>
  <c r="D280" i="2"/>
  <c r="C280" i="2"/>
  <c r="B352" i="2"/>
  <c r="D352" i="2"/>
  <c r="C352" i="2"/>
  <c r="B332" i="2"/>
  <c r="D332" i="2"/>
  <c r="C332" i="2"/>
  <c r="D363" i="2"/>
  <c r="C363" i="2"/>
  <c r="B363" i="2"/>
  <c r="C123" i="2"/>
  <c r="D123" i="2"/>
  <c r="C43" i="2"/>
  <c r="D43" i="2"/>
  <c r="C143" i="2"/>
  <c r="D143" i="2"/>
  <c r="D345" i="2"/>
  <c r="C345" i="2"/>
  <c r="B345" i="2"/>
  <c r="D397" i="2"/>
  <c r="C397" i="2"/>
  <c r="B397" i="2"/>
  <c r="C309" i="2"/>
  <c r="B309" i="2"/>
  <c r="D309" i="2"/>
  <c r="D109" i="2"/>
  <c r="C109" i="2"/>
  <c r="B109" i="2"/>
  <c r="C215" i="2"/>
  <c r="D215" i="2"/>
  <c r="D325" i="2"/>
  <c r="B325" i="2"/>
  <c r="C325" i="2"/>
  <c r="B22" i="2"/>
  <c r="D22" i="2"/>
  <c r="C22" i="2"/>
  <c r="C375" i="2"/>
  <c r="D375" i="2"/>
  <c r="C245" i="2"/>
  <c r="B245" i="2"/>
  <c r="D245" i="2"/>
  <c r="B115" i="2"/>
  <c r="D115" i="2"/>
  <c r="C115" i="2"/>
  <c r="C161" i="2"/>
  <c r="D161" i="2"/>
  <c r="B161" i="2"/>
  <c r="B386" i="2"/>
  <c r="D386" i="2"/>
  <c r="C386" i="2"/>
  <c r="C311" i="2"/>
  <c r="D311" i="2"/>
  <c r="C165" i="2"/>
  <c r="B165" i="2"/>
  <c r="D165" i="2"/>
  <c r="C39" i="2"/>
  <c r="D39" i="2"/>
  <c r="B39" i="2"/>
  <c r="D381" i="2"/>
  <c r="C381" i="2"/>
  <c r="B381" i="2"/>
  <c r="B17" i="2"/>
  <c r="D17" i="2"/>
  <c r="C17" i="2"/>
  <c r="C237" i="2"/>
  <c r="B237" i="2"/>
  <c r="D237" i="2"/>
  <c r="D253" i="2"/>
  <c r="C253" i="2"/>
  <c r="B253" i="2"/>
  <c r="C327" i="2"/>
  <c r="B327" i="2"/>
  <c r="D327" i="2"/>
  <c r="C15" i="2"/>
  <c r="B15" i="2"/>
  <c r="D15" i="2"/>
  <c r="B28" i="2"/>
  <c r="D28" i="2"/>
  <c r="B224" i="2"/>
  <c r="D224" i="2"/>
  <c r="C3" i="2"/>
  <c r="C23" i="2"/>
  <c r="D92" i="2"/>
  <c r="D101" i="2"/>
  <c r="B125" i="2"/>
  <c r="C198" i="2"/>
  <c r="C238" i="2"/>
  <c r="B273" i="2"/>
  <c r="B372" i="2"/>
  <c r="D191" i="2"/>
  <c r="D198" i="2"/>
  <c r="D205" i="2"/>
  <c r="B263" i="2"/>
  <c r="C273" i="2"/>
  <c r="C372" i="2"/>
  <c r="D3" i="2"/>
  <c r="C248" i="2"/>
  <c r="C47" i="2"/>
  <c r="B117" i="2"/>
  <c r="C208" i="2"/>
  <c r="B233" i="2"/>
  <c r="B289" i="2"/>
  <c r="B60" i="2"/>
  <c r="B217" i="2"/>
  <c r="C127" i="2"/>
  <c r="C217" i="2"/>
  <c r="D233" i="2"/>
  <c r="C289" i="2"/>
  <c r="B32" i="2"/>
  <c r="B10" i="2"/>
  <c r="C32" i="2"/>
  <c r="C10" i="2"/>
  <c r="B145" i="2"/>
  <c r="B26" i="2"/>
  <c r="D135" i="2"/>
  <c r="C34" i="2"/>
  <c r="C250" i="2"/>
  <c r="B343" i="2"/>
  <c r="C368" i="2"/>
  <c r="D4" i="2"/>
  <c r="D47" i="2"/>
  <c r="D86" i="2"/>
  <c r="D208" i="2"/>
  <c r="C255" i="2"/>
  <c r="D111" i="2"/>
  <c r="D127" i="2"/>
  <c r="C154" i="2"/>
  <c r="B275" i="2"/>
  <c r="A297" i="2" a="1"/>
  <c r="A297" i="2" s="1"/>
  <c r="C201" i="2"/>
  <c r="D171" i="2"/>
  <c r="C98" i="2"/>
  <c r="B129" i="2"/>
  <c r="B291" i="2"/>
  <c r="C343" i="2"/>
  <c r="C350" i="2"/>
  <c r="D368" i="2"/>
  <c r="B379" i="2"/>
  <c r="C184" i="2"/>
  <c r="C117" i="2"/>
  <c r="B281" i="2"/>
  <c r="C105" i="2"/>
  <c r="B250" i="2"/>
  <c r="D314" i="2"/>
  <c r="D163" i="2"/>
  <c r="C171" i="2"/>
  <c r="D226" i="2"/>
  <c r="D235" i="2"/>
  <c r="B243" i="2"/>
  <c r="C298" i="2"/>
  <c r="B113" i="2"/>
  <c r="B187" i="2"/>
  <c r="D201" i="2"/>
  <c r="D21" i="2"/>
  <c r="D41" i="2"/>
  <c r="C113" i="2"/>
  <c r="D147" i="2"/>
  <c r="D156" i="2"/>
  <c r="A172" i="2" a="1"/>
  <c r="A172" i="2" s="1"/>
  <c r="B172" i="2" s="1"/>
  <c r="D187" i="2"/>
  <c r="C212" i="2"/>
  <c r="B219" i="2"/>
  <c r="B81" i="2"/>
  <c r="D98" i="2"/>
  <c r="C180" i="2"/>
  <c r="C196" i="2"/>
  <c r="C202" i="2"/>
  <c r="C219" i="2"/>
  <c r="B227" i="2"/>
  <c r="D277" i="2"/>
  <c r="B284" i="2"/>
  <c r="C291" i="2"/>
  <c r="D350" i="2"/>
  <c r="C379" i="2"/>
  <c r="D307" i="2"/>
  <c r="D6" i="2"/>
  <c r="C81" i="2"/>
  <c r="C90" i="2"/>
  <c r="D180" i="2"/>
  <c r="D196" i="2"/>
  <c r="C227" i="2"/>
  <c r="D251" i="2"/>
  <c r="C284" i="2"/>
  <c r="B299" i="2"/>
  <c r="C316" i="2"/>
  <c r="C334" i="2"/>
  <c r="C77" i="2"/>
  <c r="B255" i="2"/>
  <c r="D71" i="2"/>
  <c r="D154" i="2"/>
  <c r="B163" i="2"/>
  <c r="D178" i="2"/>
  <c r="C194" i="2"/>
  <c r="B307" i="2"/>
  <c r="D26" i="2"/>
  <c r="D49" i="2"/>
  <c r="C62" i="2"/>
  <c r="C41" i="2"/>
  <c r="D62" i="2"/>
  <c r="D72" i="2"/>
  <c r="D89" i="2"/>
  <c r="C4" i="2"/>
  <c r="D77" i="2"/>
  <c r="D104" i="2"/>
  <c r="C111" i="2"/>
  <c r="C145" i="2"/>
  <c r="C275" i="2"/>
  <c r="C5" i="2"/>
  <c r="D105" i="2"/>
  <c r="C243" i="2"/>
  <c r="D298" i="2"/>
  <c r="D90" i="2"/>
  <c r="B66" i="2"/>
  <c r="B131" i="2"/>
  <c r="D149" i="2"/>
  <c r="B189" i="2"/>
  <c r="D388" i="2"/>
  <c r="B110" i="2"/>
  <c r="D110" i="2"/>
  <c r="C110" i="2"/>
  <c r="D44" i="2"/>
  <c r="C44" i="2"/>
  <c r="B44" i="2"/>
  <c r="D16" i="2"/>
  <c r="C16" i="2"/>
  <c r="B16" i="2"/>
  <c r="B206" i="2"/>
  <c r="D206" i="2"/>
  <c r="C206" i="2"/>
  <c r="D48" i="2"/>
  <c r="C48" i="2"/>
  <c r="B48" i="2"/>
  <c r="D167" i="2"/>
  <c r="C167" i="2"/>
  <c r="B167" i="2"/>
  <c r="D59" i="2"/>
  <c r="C59" i="2"/>
  <c r="B59" i="2"/>
  <c r="D268" i="2"/>
  <c r="C268" i="2"/>
  <c r="B268" i="2"/>
  <c r="C70" i="2"/>
  <c r="B70" i="2"/>
  <c r="D70" i="2"/>
  <c r="D87" i="2"/>
  <c r="C87" i="2"/>
  <c r="B87" i="2"/>
  <c r="C12" i="2"/>
  <c r="D12" i="2"/>
  <c r="B12" i="2"/>
  <c r="D42" i="2"/>
  <c r="C42" i="2"/>
  <c r="B42" i="2"/>
  <c r="C157" i="2"/>
  <c r="D157" i="2"/>
  <c r="B157" i="2"/>
  <c r="C213" i="2"/>
  <c r="D213" i="2"/>
  <c r="B213" i="2"/>
  <c r="D31" i="2"/>
  <c r="C31" i="2"/>
  <c r="B31" i="2"/>
  <c r="D76" i="2"/>
  <c r="C76" i="2"/>
  <c r="B76" i="2"/>
  <c r="C159" i="2"/>
  <c r="B159" i="2"/>
  <c r="D159" i="2"/>
  <c r="D120" i="2"/>
  <c r="C120" i="2"/>
  <c r="B120" i="2"/>
  <c r="B1" i="2"/>
  <c r="D1" i="2"/>
  <c r="C1" i="2"/>
  <c r="D65" i="2"/>
  <c r="C65" i="2"/>
  <c r="B65" i="2"/>
  <c r="D38" i="2"/>
  <c r="C38" i="2"/>
  <c r="B38" i="2"/>
  <c r="C53" i="2"/>
  <c r="D53" i="2"/>
  <c r="B53" i="2"/>
  <c r="D142" i="2"/>
  <c r="C142" i="2"/>
  <c r="B142" i="2"/>
  <c r="D319" i="2"/>
  <c r="C319" i="2"/>
  <c r="B319" i="2"/>
  <c r="D239" i="2"/>
  <c r="C239" i="2"/>
  <c r="B239" i="2"/>
  <c r="D176" i="2"/>
  <c r="C176" i="2"/>
  <c r="B176" i="2"/>
  <c r="D91" i="2"/>
  <c r="B91" i="2"/>
  <c r="C91" i="2"/>
  <c r="D261" i="2"/>
  <c r="C261" i="2"/>
  <c r="B261" i="2"/>
  <c r="D315" i="2"/>
  <c r="C315" i="2"/>
  <c r="B315" i="2"/>
  <c r="B278" i="2"/>
  <c r="C278" i="2"/>
  <c r="D278" i="2"/>
  <c r="B68" i="2"/>
  <c r="D124" i="2"/>
  <c r="B124" i="2"/>
  <c r="C124" i="2"/>
  <c r="B188" i="2"/>
  <c r="D188" i="2"/>
  <c r="C188" i="2"/>
  <c r="C195" i="2"/>
  <c r="D195" i="2"/>
  <c r="B195" i="2"/>
  <c r="D266" i="2"/>
  <c r="C266" i="2"/>
  <c r="D320" i="2"/>
  <c r="C320" i="2"/>
  <c r="B320" i="2"/>
  <c r="D329" i="2"/>
  <c r="C329" i="2"/>
  <c r="B329" i="2"/>
  <c r="D271" i="2"/>
  <c r="C271" i="2"/>
  <c r="B271" i="2"/>
  <c r="C56" i="2"/>
  <c r="C152" i="2"/>
  <c r="C149" i="2"/>
  <c r="B216" i="2"/>
  <c r="D216" i="2"/>
  <c r="C216" i="2"/>
  <c r="D222" i="2"/>
  <c r="C222" i="2"/>
  <c r="B222" i="2"/>
  <c r="C231" i="2"/>
  <c r="B231" i="2"/>
  <c r="D257" i="2"/>
  <c r="C257" i="2"/>
  <c r="B257" i="2"/>
  <c r="B266" i="2"/>
  <c r="C295" i="2"/>
  <c r="D295" i="2"/>
  <c r="B295" i="2"/>
  <c r="C304" i="2"/>
  <c r="B304" i="2"/>
  <c r="D337" i="2"/>
  <c r="C337" i="2"/>
  <c r="B337" i="2"/>
  <c r="D27" i="2"/>
  <c r="C27" i="2"/>
  <c r="B82" i="2"/>
  <c r="D82" i="2"/>
  <c r="C82" i="2"/>
  <c r="B93" i="2"/>
  <c r="D93" i="2"/>
  <c r="C93" i="2"/>
  <c r="D99" i="2"/>
  <c r="B99" i="2"/>
  <c r="C99" i="2"/>
  <c r="B244" i="2"/>
  <c r="C244" i="2"/>
  <c r="D244" i="2"/>
  <c r="D258" i="2"/>
  <c r="C258" i="2"/>
  <c r="B258" i="2"/>
  <c r="C267" i="2"/>
  <c r="D267" i="2"/>
  <c r="B267" i="2"/>
  <c r="D312" i="2"/>
  <c r="C312" i="2"/>
  <c r="B312" i="2"/>
  <c r="D338" i="2"/>
  <c r="C338" i="2"/>
  <c r="C223" i="2"/>
  <c r="D223" i="2"/>
  <c r="B223" i="2"/>
  <c r="D297" i="2"/>
  <c r="C297" i="2"/>
  <c r="B297" i="2"/>
  <c r="C305" i="2"/>
  <c r="B305" i="2"/>
  <c r="D305" i="2"/>
  <c r="D322" i="2"/>
  <c r="C322" i="2"/>
  <c r="C331" i="2"/>
  <c r="D331" i="2"/>
  <c r="B331" i="2"/>
  <c r="B338" i="2"/>
  <c r="D33" i="2"/>
  <c r="C33" i="2"/>
  <c r="B33" i="2"/>
  <c r="C60" i="2"/>
  <c r="C131" i="2"/>
  <c r="B144" i="2"/>
  <c r="D144" i="2"/>
  <c r="C144" i="2"/>
  <c r="C183" i="2"/>
  <c r="D183" i="2"/>
  <c r="C189" i="2"/>
  <c r="B232" i="2"/>
  <c r="D282" i="2"/>
  <c r="C282" i="2"/>
  <c r="B306" i="2"/>
  <c r="D306" i="2"/>
  <c r="C306" i="2"/>
  <c r="C313" i="2"/>
  <c r="D313" i="2"/>
  <c r="B313" i="2"/>
  <c r="B322" i="2"/>
  <c r="D346" i="2"/>
  <c r="C346" i="2"/>
  <c r="B346" i="2"/>
  <c r="D7" i="2"/>
  <c r="C7" i="2"/>
  <c r="B27" i="2"/>
  <c r="C66" i="2"/>
  <c r="D88" i="2"/>
  <c r="C88" i="2"/>
  <c r="B88" i="2"/>
  <c r="D125" i="2"/>
  <c r="B55" i="2"/>
  <c r="D61" i="2"/>
  <c r="C61" i="2"/>
  <c r="B94" i="2"/>
  <c r="C100" i="2"/>
  <c r="C106" i="2"/>
  <c r="D106" i="2"/>
  <c r="D112" i="2"/>
  <c r="C112" i="2"/>
  <c r="B112" i="2"/>
  <c r="B118" i="2"/>
  <c r="D118" i="2"/>
  <c r="C118" i="2"/>
  <c r="D126" i="2"/>
  <c r="C126" i="2"/>
  <c r="B126" i="2"/>
  <c r="B137" i="2"/>
  <c r="C232" i="2"/>
  <c r="B282" i="2"/>
  <c r="D290" i="2"/>
  <c r="C290" i="2"/>
  <c r="B290" i="2"/>
  <c r="D383" i="2"/>
  <c r="C383" i="2"/>
  <c r="B383" i="2"/>
  <c r="D150" i="2"/>
  <c r="B150" i="2"/>
  <c r="B7" i="2"/>
  <c r="D18" i="2"/>
  <c r="C18" i="2"/>
  <c r="B18" i="2"/>
  <c r="C67" i="2"/>
  <c r="B67" i="2"/>
  <c r="B83" i="2"/>
  <c r="D100" i="2"/>
  <c r="B2" i="2"/>
  <c r="D2" i="2"/>
  <c r="C2" i="2"/>
  <c r="B49" i="2"/>
  <c r="C55" i="2"/>
  <c r="B72" i="2"/>
  <c r="C94" i="2"/>
  <c r="C137" i="2"/>
  <c r="C177" i="2"/>
  <c r="D177" i="2"/>
  <c r="B177" i="2"/>
  <c r="B183" i="2"/>
  <c r="B190" i="2"/>
  <c r="D190" i="2"/>
  <c r="C190" i="2"/>
  <c r="C197" i="2"/>
  <c r="B197" i="2"/>
  <c r="D197" i="2"/>
  <c r="B252" i="2"/>
  <c r="D252" i="2"/>
  <c r="C252" i="2"/>
  <c r="B260" i="2"/>
  <c r="D260" i="2"/>
  <c r="C260" i="2"/>
  <c r="C340" i="2"/>
  <c r="B340" i="2"/>
  <c r="C393" i="2"/>
  <c r="B393" i="2"/>
  <c r="D393" i="2"/>
  <c r="D13" i="2"/>
  <c r="C13" i="2"/>
  <c r="B13" i="2"/>
  <c r="B23" i="2"/>
  <c r="B34" i="2"/>
  <c r="B61" i="2"/>
  <c r="C83" i="2"/>
  <c r="B89" i="2"/>
  <c r="B106" i="2"/>
  <c r="B203" i="2"/>
  <c r="B270" i="2"/>
  <c r="D270" i="2"/>
  <c r="C270" i="2"/>
  <c r="D324" i="2"/>
  <c r="B324" i="2"/>
  <c r="C324" i="2"/>
  <c r="D340" i="2"/>
  <c r="D355" i="2"/>
  <c r="C355" i="2"/>
  <c r="B355" i="2"/>
  <c r="D366" i="2"/>
  <c r="C366" i="2"/>
  <c r="B366" i="2"/>
  <c r="D394" i="2"/>
  <c r="C394" i="2"/>
  <c r="B394" i="2"/>
  <c r="C341" i="2"/>
  <c r="B341" i="2"/>
  <c r="D341" i="2"/>
  <c r="D376" i="2"/>
  <c r="C376" i="2"/>
  <c r="B376" i="2"/>
  <c r="D138" i="2"/>
  <c r="C138" i="2"/>
  <c r="B138" i="2"/>
  <c r="D246" i="2"/>
  <c r="C246" i="2"/>
  <c r="B246" i="2"/>
  <c r="D333" i="2"/>
  <c r="C333" i="2"/>
  <c r="B333" i="2"/>
  <c r="D342" i="2"/>
  <c r="B342" i="2"/>
  <c r="C342" i="2"/>
  <c r="C349" i="2"/>
  <c r="B349" i="2"/>
  <c r="D349" i="2"/>
  <c r="C357" i="2"/>
  <c r="B357" i="2"/>
  <c r="D357" i="2"/>
  <c r="D367" i="2"/>
  <c r="C367" i="2"/>
  <c r="B367" i="2"/>
  <c r="D396" i="2"/>
  <c r="C396" i="2"/>
  <c r="B396" i="2"/>
  <c r="D78" i="2"/>
  <c r="C78" i="2"/>
  <c r="B78" i="2"/>
  <c r="D50" i="2"/>
  <c r="C50" i="2"/>
  <c r="B50" i="2"/>
  <c r="D73" i="2"/>
  <c r="C73" i="2"/>
  <c r="B73" i="2"/>
  <c r="C108" i="2"/>
  <c r="D108" i="2"/>
  <c r="D29" i="2"/>
  <c r="C29" i="2"/>
  <c r="A119" i="2" a="1"/>
  <c r="A119" i="2" s="1"/>
  <c r="A228" i="2" a="1"/>
  <c r="A228" i="2" s="1"/>
  <c r="B79" i="2"/>
  <c r="D114" i="2"/>
  <c r="C114" i="2"/>
  <c r="B114" i="2"/>
  <c r="C234" i="2"/>
  <c r="A296" i="2" a="1"/>
  <c r="A296" i="2" s="1"/>
  <c r="A210" i="2" a="1"/>
  <c r="A210" i="2" s="1"/>
  <c r="B30" i="2"/>
  <c r="B40" i="2"/>
  <c r="C45" i="2"/>
  <c r="C51" i="2"/>
  <c r="D63" i="2"/>
  <c r="C63" i="2"/>
  <c r="B63" i="2"/>
  <c r="D68" i="2"/>
  <c r="B74" i="2"/>
  <c r="C79" i="2"/>
  <c r="B85" i="2"/>
  <c r="C96" i="2"/>
  <c r="B102" i="2"/>
  <c r="C121" i="2"/>
  <c r="D133" i="2"/>
  <c r="D139" i="2"/>
  <c r="D166" i="2"/>
  <c r="C166" i="2"/>
  <c r="B166" i="2"/>
  <c r="D172" i="2"/>
  <c r="C185" i="2"/>
  <c r="D199" i="2"/>
  <c r="C199" i="2"/>
  <c r="D234" i="2"/>
  <c r="B241" i="2"/>
  <c r="D292" i="2"/>
  <c r="C292" i="2"/>
  <c r="B292" i="2"/>
  <c r="B133" i="2"/>
  <c r="D308" i="2"/>
  <c r="C308" i="2"/>
  <c r="B308" i="2"/>
  <c r="D378" i="2"/>
  <c r="C378" i="2"/>
  <c r="B378" i="2"/>
  <c r="B45" i="2"/>
  <c r="B51" i="2"/>
  <c r="B108" i="2"/>
  <c r="D128" i="2"/>
  <c r="C128" i="2"/>
  <c r="B128" i="2"/>
  <c r="C139" i="2"/>
  <c r="D146" i="2"/>
  <c r="C146" i="2"/>
  <c r="B146" i="2"/>
  <c r="D153" i="2"/>
  <c r="C153" i="2"/>
  <c r="B153" i="2"/>
  <c r="C179" i="2"/>
  <c r="B179" i="2"/>
  <c r="D179" i="2"/>
  <c r="B185" i="2"/>
  <c r="D326" i="2"/>
  <c r="C326" i="2"/>
  <c r="B326" i="2"/>
  <c r="B358" i="2"/>
  <c r="D358" i="2"/>
  <c r="C358" i="2"/>
  <c r="D19" i="2"/>
  <c r="A361" i="2" a="1"/>
  <c r="A361" i="2" s="1"/>
  <c r="A207" i="2" a="1"/>
  <c r="A207" i="2" s="1"/>
  <c r="A374" i="2" a="1"/>
  <c r="A374" i="2" s="1"/>
  <c r="D20" i="2"/>
  <c r="C20" i="2"/>
  <c r="B20" i="2"/>
  <c r="B25" i="2"/>
  <c r="C30" i="2"/>
  <c r="C40" i="2"/>
  <c r="B57" i="2"/>
  <c r="D69" i="2"/>
  <c r="C69" i="2"/>
  <c r="B69" i="2"/>
  <c r="C74" i="2"/>
  <c r="C85" i="2"/>
  <c r="D97" i="2"/>
  <c r="C97" i="2"/>
  <c r="B97" i="2"/>
  <c r="C102" i="2"/>
  <c r="D121" i="2"/>
  <c r="D186" i="2"/>
  <c r="B186" i="2"/>
  <c r="C186" i="2"/>
  <c r="D241" i="2"/>
  <c r="D286" i="2"/>
  <c r="C286" i="2"/>
  <c r="B286" i="2"/>
  <c r="C107" i="2"/>
  <c r="D107" i="2"/>
  <c r="B107" i="2"/>
  <c r="D225" i="2"/>
  <c r="C225" i="2"/>
  <c r="B225" i="2"/>
  <c r="B199" i="2"/>
  <c r="C249" i="2"/>
  <c r="D249" i="2"/>
  <c r="B249" i="2"/>
  <c r="C287" i="2"/>
  <c r="B287" i="2"/>
  <c r="D301" i="2"/>
  <c r="C301" i="2"/>
  <c r="B301" i="2"/>
  <c r="D317" i="2"/>
  <c r="C317" i="2"/>
  <c r="B317" i="2"/>
  <c r="B96" i="2"/>
  <c r="C285" i="2"/>
  <c r="D285" i="2"/>
  <c r="A64" i="2" a="1"/>
  <c r="A64" i="2" s="1"/>
  <c r="B141" i="2"/>
  <c r="D220" i="2"/>
  <c r="C220" i="2"/>
  <c r="C264" i="2"/>
  <c r="B264" i="2"/>
  <c r="D302" i="2"/>
  <c r="C302" i="2"/>
  <c r="B170" i="2"/>
  <c r="D170" i="2"/>
  <c r="D95" i="2"/>
  <c r="C95" i="2"/>
  <c r="B95" i="2"/>
  <c r="D218" i="2"/>
  <c r="C218" i="2"/>
  <c r="B218" i="2"/>
  <c r="D84" i="2"/>
  <c r="C84" i="2"/>
  <c r="B84" i="2"/>
  <c r="D9" i="2"/>
  <c r="C9" i="2"/>
  <c r="B9" i="2"/>
  <c r="C14" i="2"/>
  <c r="C19" i="2"/>
  <c r="C25" i="2"/>
  <c r="C52" i="2"/>
  <c r="B52" i="2"/>
  <c r="C57" i="2"/>
  <c r="D80" i="2"/>
  <c r="C80" i="2"/>
  <c r="B80" i="2"/>
  <c r="B21" i="2"/>
  <c r="C37" i="2"/>
  <c r="B37" i="2"/>
  <c r="D52" i="2"/>
  <c r="B104" i="2"/>
  <c r="C129" i="2"/>
  <c r="B135" i="2"/>
  <c r="D141" i="2"/>
  <c r="D148" i="2"/>
  <c r="C148" i="2"/>
  <c r="D155" i="2"/>
  <c r="C155" i="2"/>
  <c r="B155" i="2"/>
  <c r="B194" i="2"/>
  <c r="B220" i="2"/>
  <c r="D229" i="2"/>
  <c r="C229" i="2"/>
  <c r="B229" i="2"/>
  <c r="D236" i="2"/>
  <c r="C236" i="2"/>
  <c r="D264" i="2"/>
  <c r="B302" i="2"/>
  <c r="D318" i="2"/>
  <c r="C318" i="2"/>
  <c r="B318" i="2"/>
  <c r="B14" i="2"/>
  <c r="B29" i="2"/>
  <c r="C35" i="2"/>
  <c r="D35" i="2"/>
  <c r="B35" i="2"/>
  <c r="D56" i="2"/>
  <c r="D152" i="2"/>
  <c r="C192" i="2"/>
  <c r="D192" i="2"/>
  <c r="B46" i="2"/>
  <c r="D46" i="2"/>
  <c r="C46" i="2"/>
  <c r="D103" i="2"/>
  <c r="C103" i="2"/>
  <c r="B103" i="2"/>
  <c r="D122" i="2"/>
  <c r="C122" i="2"/>
  <c r="B122" i="2"/>
  <c r="C58" i="2"/>
  <c r="B58" i="2"/>
  <c r="B5" i="2"/>
  <c r="C11" i="2"/>
  <c r="B11" i="2"/>
  <c r="B116" i="2"/>
  <c r="D116" i="2"/>
  <c r="C116" i="2"/>
  <c r="D168" i="2"/>
  <c r="B168" i="2"/>
  <c r="C168" i="2"/>
  <c r="D181" i="2"/>
  <c r="C181" i="2"/>
  <c r="D221" i="2"/>
  <c r="B221" i="2"/>
  <c r="D230" i="2"/>
  <c r="C230" i="2"/>
  <c r="D256" i="2"/>
  <c r="C256" i="2"/>
  <c r="D265" i="2"/>
  <c r="C265" i="2"/>
  <c r="B265" i="2"/>
  <c r="D360" i="2"/>
  <c r="B360" i="2"/>
  <c r="D373" i="2"/>
  <c r="C373" i="2"/>
  <c r="B373" i="2"/>
  <c r="D380" i="2"/>
  <c r="C380" i="2"/>
  <c r="B380" i="2"/>
  <c r="D211" i="2"/>
  <c r="C211" i="2"/>
  <c r="B211" i="2"/>
  <c r="C303" i="2"/>
  <c r="B303" i="2"/>
  <c r="D328" i="2"/>
  <c r="C328" i="2"/>
  <c r="B328" i="2"/>
  <c r="C339" i="2"/>
  <c r="B339" i="2"/>
  <c r="D344" i="2"/>
  <c r="C344" i="2"/>
  <c r="B354" i="2"/>
  <c r="D387" i="2"/>
  <c r="C387" i="2"/>
  <c r="B387" i="2"/>
  <c r="C360" i="2"/>
  <c r="B140" i="2"/>
  <c r="D254" i="2"/>
  <c r="C254" i="2"/>
  <c r="B259" i="2"/>
  <c r="C269" i="2"/>
  <c r="B269" i="2"/>
  <c r="D283" i="2"/>
  <c r="C283" i="2"/>
  <c r="B283" i="2"/>
  <c r="C288" i="2"/>
  <c r="C323" i="2"/>
  <c r="B323" i="2"/>
  <c r="C354" i="2"/>
  <c r="C395" i="2"/>
  <c r="B395" i="2"/>
  <c r="B132" i="2"/>
  <c r="C136" i="2"/>
  <c r="C140" i="2"/>
  <c r="C162" i="2"/>
  <c r="B175" i="2"/>
  <c r="D193" i="2"/>
  <c r="C193" i="2"/>
  <c r="B235" i="2"/>
  <c r="D259" i="2"/>
  <c r="D288" i="2"/>
  <c r="D303" i="2"/>
  <c r="D339" i="2"/>
  <c r="B344" i="2"/>
  <c r="D395" i="2"/>
  <c r="B86" i="2"/>
  <c r="B101" i="2"/>
  <c r="B71" i="2"/>
  <c r="C132" i="2"/>
  <c r="D136" i="2"/>
  <c r="B158" i="2"/>
  <c r="D162" i="2"/>
  <c r="D175" i="2"/>
  <c r="B184" i="2"/>
  <c r="B202" i="2"/>
  <c r="B212" i="2"/>
  <c r="C226" i="2"/>
  <c r="D240" i="2"/>
  <c r="C240" i="2"/>
  <c r="B240" i="2"/>
  <c r="B254" i="2"/>
  <c r="B274" i="2"/>
  <c r="C388" i="2"/>
  <c r="D362" i="2"/>
  <c r="C362" i="2"/>
  <c r="B356" i="2"/>
  <c r="B362" i="2"/>
  <c r="D382" i="2"/>
  <c r="C382" i="2"/>
  <c r="B382" i="2"/>
  <c r="D389" i="2"/>
  <c r="C389" i="2"/>
  <c r="B389" i="2"/>
  <c r="D294" i="2"/>
  <c r="C294" i="2"/>
  <c r="B294" i="2"/>
  <c r="C314" i="2"/>
  <c r="D330" i="2"/>
  <c r="C330" i="2"/>
  <c r="B330" i="2"/>
  <c r="D335" i="2"/>
  <c r="C335" i="2"/>
  <c r="C356" i="2"/>
  <c r="D369" i="2"/>
  <c r="B369" i="2"/>
  <c r="B351" i="2"/>
  <c r="C369" i="2"/>
  <c r="C377" i="2"/>
  <c r="B377" i="2"/>
  <c r="B390" i="2"/>
  <c r="D310" i="2"/>
  <c r="C310" i="2"/>
  <c r="C351" i="2"/>
  <c r="D377" i="2"/>
  <c r="C390" i="2"/>
  <c r="A54" i="2" a="1"/>
  <c r="A54" i="2" s="1"/>
  <c r="D204" i="2"/>
  <c r="C204" i="2"/>
  <c r="B204" i="2"/>
  <c r="D276" i="2"/>
  <c r="C276" i="2"/>
  <c r="B276" i="2"/>
  <c r="B300" i="2"/>
  <c r="B310" i="2"/>
  <c r="B336" i="2"/>
  <c r="C370" i="2"/>
  <c r="D398" i="2"/>
  <c r="C398" i="2"/>
  <c r="B398" i="2"/>
  <c r="B130" i="2"/>
  <c r="C134" i="2"/>
  <c r="B151" i="2"/>
  <c r="B160" i="2"/>
  <c r="B164" i="2"/>
  <c r="B173" i="2"/>
  <c r="B209" i="2"/>
  <c r="B214" i="2"/>
  <c r="C242" i="2"/>
  <c r="D247" i="2"/>
  <c r="C247" i="2"/>
  <c r="B247" i="2"/>
  <c r="C300" i="2"/>
  <c r="C321" i="2"/>
  <c r="B321" i="2"/>
  <c r="C336" i="2"/>
  <c r="B347" i="2"/>
  <c r="D364" i="2"/>
  <c r="C364" i="2"/>
  <c r="B364" i="2"/>
  <c r="D370" i="2"/>
  <c r="D385" i="2"/>
  <c r="C385" i="2"/>
  <c r="C130" i="2"/>
  <c r="D151" i="2"/>
  <c r="C173" i="2"/>
  <c r="C209" i="2"/>
  <c r="C214" i="2"/>
  <c r="C262" i="2"/>
  <c r="D272" i="2"/>
  <c r="C272" i="2"/>
  <c r="C347" i="2"/>
  <c r="D365" i="2"/>
  <c r="C365" i="2"/>
  <c r="D371" i="2"/>
  <c r="C371" i="2"/>
  <c r="B371" i="2"/>
  <c r="B399" i="2"/>
  <c r="C160" i="2"/>
  <c r="C164" i="2"/>
  <c r="D242" i="2"/>
  <c r="B6" i="2"/>
  <c r="B24" i="2"/>
  <c r="B43" i="2"/>
  <c r="B92" i="2"/>
  <c r="B147" i="2"/>
  <c r="B156" i="2"/>
  <c r="B169" i="2"/>
  <c r="B178" i="2"/>
  <c r="B182" i="2"/>
  <c r="B191" i="2"/>
  <c r="B200" i="2"/>
  <c r="D262" i="2"/>
  <c r="C281" i="2"/>
  <c r="B311" i="2"/>
  <c r="D321" i="2"/>
  <c r="B385" i="2"/>
  <c r="B392" i="2"/>
  <c r="C399" i="2"/>
  <c r="D134" i="2"/>
  <c r="C24" i="2"/>
  <c r="C28" i="2"/>
  <c r="B123" i="2"/>
  <c r="B143" i="2"/>
  <c r="D169" i="2"/>
  <c r="C182" i="2"/>
  <c r="C200" i="2"/>
  <c r="B205" i="2"/>
  <c r="C224" i="2"/>
  <c r="B238" i="2"/>
  <c r="B248" i="2"/>
  <c r="B272" i="2"/>
  <c r="B277" i="2"/>
  <c r="D348" i="2"/>
  <c r="C348" i="2"/>
  <c r="B348" i="2"/>
  <c r="D353" i="2"/>
  <c r="C353" i="2"/>
  <c r="C359" i="2"/>
  <c r="B359" i="2"/>
  <c r="B365" i="2"/>
  <c r="C392" i="2"/>
  <c r="D400" i="2"/>
  <c r="C400" i="2"/>
  <c r="B400" i="2"/>
  <c r="B391" i="2"/>
  <c r="B384" i="2"/>
  <c r="C391" i="2"/>
  <c r="B215" i="2"/>
  <c r="B251" i="2"/>
  <c r="C384" i="2"/>
  <c r="B375" i="2"/>
  <c r="C172" i="2" l="1"/>
  <c r="B119" i="2"/>
  <c r="D119" i="2"/>
  <c r="C119" i="2"/>
  <c r="D374" i="2"/>
  <c r="C374" i="2"/>
  <c r="B374" i="2"/>
  <c r="D228" i="2"/>
  <c r="C228" i="2"/>
  <c r="B228" i="2"/>
  <c r="D207" i="2"/>
  <c r="C207" i="2"/>
  <c r="B207" i="2"/>
  <c r="D361" i="2"/>
  <c r="C361" i="2"/>
  <c r="B361" i="2"/>
  <c r="D54" i="2"/>
  <c r="C54" i="2"/>
  <c r="B54" i="2"/>
  <c r="B64" i="2"/>
  <c r="D64" i="2"/>
  <c r="C64" i="2"/>
  <c r="D210" i="2"/>
  <c r="C210" i="2"/>
  <c r="B210" i="2"/>
  <c r="B296" i="2"/>
  <c r="D296" i="2"/>
  <c r="C29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1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<sst xmlns="http://schemas.openxmlformats.org/spreadsheetml/2006/main" count="459" uniqueCount="436">
  <si>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</si>
  <si>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</si>
  <si>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</si>
  <si>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</si>
  <si>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</si>
  <si>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</si>
  <si>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</si>
  <si>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</si>
  <si>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</si>
  <si>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</si>
  <si>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</si>
  <si>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</si>
  <si>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</si>
  <si>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</si>
  <si>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</si>
  <si>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</si>
  <si>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</si>
  <si>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</si>
  <si>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</si>
  <si>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</si>
  <si>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</si>
  <si>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</si>
  <si>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</si>
  <si>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</si>
  <si>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</si>
  <si>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</si>
  <si>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</si>
  <si>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</si>
  <si>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</si>
  <si>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</si>
  <si>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</si>
  <si>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</si>
  <si>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</si>
  <si>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</si>
  <si>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</si>
  <si>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1#801</t>
  </si>
  <si>
    <t>1#802</t>
  </si>
  <si>
    <t>1#803</t>
  </si>
  <si>
    <t>1#804</t>
  </si>
  <si>
    <t>1#805</t>
  </si>
  <si>
    <t>1#806</t>
  </si>
  <si>
    <t>1#807</t>
  </si>
  <si>
    <t>1#808</t>
  </si>
  <si>
    <t>1#809</t>
  </si>
  <si>
    <t>1#810</t>
  </si>
  <si>
    <t>1#811</t>
  </si>
  <si>
    <t>1#812</t>
  </si>
  <si>
    <t>1#813</t>
  </si>
  <si>
    <t>1#814</t>
  </si>
  <si>
    <t>1#815</t>
  </si>
  <si>
    <t>1#816</t>
  </si>
  <si>
    <t>1#817</t>
  </si>
  <si>
    <t>1#818</t>
  </si>
  <si>
    <t>1#819</t>
  </si>
  <si>
    <t>1#820</t>
  </si>
  <si>
    <t>1#821</t>
  </si>
  <si>
    <t>1#822</t>
  </si>
  <si>
    <t>1#823</t>
  </si>
  <si>
    <t>1#824</t>
  </si>
  <si>
    <t>1#825</t>
  </si>
  <si>
    <t>1#826</t>
  </si>
  <si>
    <t>1#827</t>
  </si>
  <si>
    <t>1#828</t>
  </si>
  <si>
    <t>1#829</t>
  </si>
  <si>
    <t>1#830</t>
  </si>
  <si>
    <t>1#831</t>
  </si>
  <si>
    <t>1#832</t>
  </si>
  <si>
    <t>1#833</t>
  </si>
  <si>
    <t>1#834</t>
  </si>
  <si>
    <t>1#835</t>
  </si>
  <si>
    <t>1#836</t>
  </si>
  <si>
    <t>1#837</t>
  </si>
  <si>
    <t>1#838</t>
  </si>
  <si>
    <t>1#839</t>
  </si>
  <si>
    <t>1#840</t>
  </si>
  <si>
    <t>1#841</t>
  </si>
  <si>
    <t>1#842</t>
  </si>
  <si>
    <t>1#843</t>
  </si>
  <si>
    <t>1#844</t>
  </si>
  <si>
    <t>1#845</t>
  </si>
  <si>
    <t>1#846</t>
  </si>
  <si>
    <t>1#847</t>
  </si>
  <si>
    <t>1#848</t>
  </si>
  <si>
    <t>1#849</t>
  </si>
  <si>
    <t>1#850</t>
  </si>
  <si>
    <t>1#851</t>
  </si>
  <si>
    <t>1#852</t>
  </si>
  <si>
    <t>1#853</t>
  </si>
  <si>
    <t>1#854</t>
  </si>
  <si>
    <t>1#855</t>
  </si>
  <si>
    <t>1#856</t>
  </si>
  <si>
    <t>1#857</t>
  </si>
  <si>
    <t>1#858</t>
  </si>
  <si>
    <t>1#859</t>
  </si>
  <si>
    <t>1#860</t>
  </si>
  <si>
    <t>1#861</t>
  </si>
  <si>
    <t>1#862</t>
  </si>
  <si>
    <t>1#863</t>
  </si>
  <si>
    <t>1#864</t>
  </si>
  <si>
    <t>1#865</t>
  </si>
  <si>
    <t>1#866</t>
  </si>
  <si>
    <t>1#867</t>
  </si>
  <si>
    <t>1#868</t>
  </si>
  <si>
    <t>1#869</t>
  </si>
  <si>
    <t>1#870</t>
  </si>
  <si>
    <t>1#871</t>
  </si>
  <si>
    <t>1#872</t>
  </si>
  <si>
    <t>1#873</t>
  </si>
  <si>
    <t>1#874</t>
  </si>
  <si>
    <t>1#875</t>
  </si>
  <si>
    <t>1#876</t>
  </si>
  <si>
    <t>1#877</t>
  </si>
  <si>
    <t>1#878</t>
  </si>
  <si>
    <t>1#879</t>
  </si>
  <si>
    <t>1#880</t>
  </si>
  <si>
    <t>1#881</t>
  </si>
  <si>
    <t>1#882</t>
  </si>
  <si>
    <t>1#883</t>
  </si>
  <si>
    <t>1#884</t>
  </si>
  <si>
    <t>1#885</t>
  </si>
  <si>
    <t>1#886</t>
  </si>
  <si>
    <t>1#887</t>
  </si>
  <si>
    <t>1#888</t>
  </si>
  <si>
    <t>1#889</t>
  </si>
  <si>
    <t>1#890</t>
  </si>
  <si>
    <t>1#891</t>
  </si>
  <si>
    <t>1#892</t>
  </si>
  <si>
    <t>1#893</t>
  </si>
  <si>
    <t>1#894</t>
  </si>
  <si>
    <t>1#895</t>
  </si>
  <si>
    <t>1#896</t>
  </si>
  <si>
    <t>1#897</t>
  </si>
  <si>
    <t>1#898</t>
  </si>
  <si>
    <t>1#899</t>
  </si>
  <si>
    <t>1#900</t>
  </si>
  <si>
    <t>1#901</t>
  </si>
  <si>
    <t>1#902</t>
  </si>
  <si>
    <t>1#903</t>
  </si>
  <si>
    <t>1#904</t>
  </si>
  <si>
    <t>1#905</t>
  </si>
  <si>
    <t>1#906</t>
  </si>
  <si>
    <t>1#907</t>
  </si>
  <si>
    <t>1#908</t>
  </si>
  <si>
    <t>1#909</t>
  </si>
  <si>
    <t>1#910</t>
  </si>
  <si>
    <t>1#911</t>
  </si>
  <si>
    <t>1#912</t>
  </si>
  <si>
    <t>1#913</t>
  </si>
  <si>
    <t>1#914</t>
  </si>
  <si>
    <t>1#915</t>
  </si>
  <si>
    <t>1#916</t>
  </si>
  <si>
    <t>1#917</t>
  </si>
  <si>
    <t>1#918</t>
  </si>
  <si>
    <t>1#919</t>
  </si>
  <si>
    <t>1#920</t>
  </si>
  <si>
    <t>1#921</t>
  </si>
  <si>
    <t>1#922</t>
  </si>
  <si>
    <t>1#923</t>
  </si>
  <si>
    <t>1#924</t>
  </si>
  <si>
    <t>1#925</t>
  </si>
  <si>
    <t>1#926</t>
  </si>
  <si>
    <t>1#927</t>
  </si>
  <si>
    <t>1#928</t>
  </si>
  <si>
    <t>1#929</t>
  </si>
  <si>
    <t>1#930</t>
  </si>
  <si>
    <t>1#931</t>
  </si>
  <si>
    <t>1#932</t>
  </si>
  <si>
    <t>1#933</t>
  </si>
  <si>
    <t>1#934</t>
  </si>
  <si>
    <t>1#935</t>
  </si>
  <si>
    <t>1#936</t>
  </si>
  <si>
    <t>1#937</t>
  </si>
  <si>
    <t>1#938</t>
  </si>
  <si>
    <t>1#939</t>
  </si>
  <si>
    <t>1#940</t>
  </si>
  <si>
    <t>1#941</t>
  </si>
  <si>
    <t>1#942</t>
  </si>
  <si>
    <t>1#943</t>
  </si>
  <si>
    <t>1#944</t>
  </si>
  <si>
    <t>1#945</t>
  </si>
  <si>
    <t>1#946</t>
  </si>
  <si>
    <t>1#947</t>
  </si>
  <si>
    <t>1#948</t>
  </si>
  <si>
    <t>1#949</t>
  </si>
  <si>
    <t>1#950</t>
  </si>
  <si>
    <t>1#951</t>
  </si>
  <si>
    <t>1#952</t>
  </si>
  <si>
    <t>1#953</t>
  </si>
  <si>
    <t>1#954</t>
  </si>
  <si>
    <t>1#955</t>
  </si>
  <si>
    <t>1#956</t>
  </si>
  <si>
    <t>1#957</t>
  </si>
  <si>
    <t>1#958</t>
  </si>
  <si>
    <t>1#959</t>
  </si>
  <si>
    <t>1#960</t>
  </si>
  <si>
    <t>1#961</t>
  </si>
  <si>
    <t>1#962</t>
  </si>
  <si>
    <t>1#963</t>
  </si>
  <si>
    <t>1#964</t>
  </si>
  <si>
    <t>1#965</t>
  </si>
  <si>
    <t>1#966</t>
  </si>
  <si>
    <t>1#967</t>
  </si>
  <si>
    <t>1#968</t>
  </si>
  <si>
    <t>1#969</t>
  </si>
  <si>
    <t>1#970</t>
  </si>
  <si>
    <t>1#971</t>
  </si>
  <si>
    <t>1#972</t>
  </si>
  <si>
    <t>1#973</t>
  </si>
  <si>
    <t>1#974</t>
  </si>
  <si>
    <t>1#975</t>
  </si>
  <si>
    <t>1#976</t>
  </si>
  <si>
    <t>1#977</t>
  </si>
  <si>
    <t>1#978</t>
  </si>
  <si>
    <t>1#979</t>
  </si>
  <si>
    <t>1#980</t>
  </si>
  <si>
    <t>1#981</t>
  </si>
  <si>
    <t>1#982</t>
  </si>
  <si>
    <t>1#983</t>
  </si>
  <si>
    <t>1#984</t>
  </si>
  <si>
    <t>1#985</t>
  </si>
  <si>
    <t>1#986</t>
  </si>
  <si>
    <t>1#987</t>
  </si>
  <si>
    <t>1#988</t>
  </si>
  <si>
    <t>1#989</t>
  </si>
  <si>
    <t>1#990</t>
  </si>
  <si>
    <t>1#991</t>
  </si>
  <si>
    <t>1#992</t>
  </si>
  <si>
    <t>1#993</t>
  </si>
  <si>
    <t>1#994</t>
  </si>
  <si>
    <t>1#995</t>
  </si>
  <si>
    <t>1#996</t>
  </si>
  <si>
    <t>1#997</t>
  </si>
  <si>
    <t>1#998</t>
  </si>
  <si>
    <t>1#999</t>
  </si>
  <si>
    <t>1#1000</t>
  </si>
  <si>
    <t>1#1001</t>
  </si>
  <si>
    <t>1#1002</t>
  </si>
  <si>
    <t>1#1003</t>
  </si>
  <si>
    <t>1#1004</t>
  </si>
  <si>
    <t>1#1005</t>
  </si>
  <si>
    <t>1#1006</t>
  </si>
  <si>
    <t>1#1007</t>
  </si>
  <si>
    <t>1#1008</t>
  </si>
  <si>
    <t>1#1009</t>
  </si>
  <si>
    <t>1#1010</t>
  </si>
  <si>
    <t>1#1011</t>
  </si>
  <si>
    <t>1#1012</t>
  </si>
  <si>
    <t>1#1013</t>
  </si>
  <si>
    <t>1#1014</t>
  </si>
  <si>
    <t>1#1015</t>
  </si>
  <si>
    <t>1#1016</t>
  </si>
  <si>
    <t>1#1017</t>
  </si>
  <si>
    <t>1#1018</t>
  </si>
  <si>
    <t>1#1019</t>
  </si>
  <si>
    <t>1#1020</t>
  </si>
  <si>
    <t>1#1021</t>
  </si>
  <si>
    <t>1#1022</t>
  </si>
  <si>
    <t>1#1023</t>
  </si>
  <si>
    <t>1#1024</t>
  </si>
  <si>
    <t>1#1025</t>
  </si>
  <si>
    <t>1#1026</t>
  </si>
  <si>
    <t>1#1027</t>
  </si>
  <si>
    <t>1#1028</t>
  </si>
  <si>
    <t>1#1029</t>
  </si>
  <si>
    <t>1#1030</t>
  </si>
  <si>
    <t>1#1031</t>
  </si>
  <si>
    <t>1#1032</t>
  </si>
  <si>
    <t>1#1033</t>
  </si>
  <si>
    <t>1#1034</t>
  </si>
  <si>
    <t>1#1035</t>
  </si>
  <si>
    <t>1#1036</t>
  </si>
  <si>
    <t>1#1037</t>
  </si>
  <si>
    <t>1#1038</t>
  </si>
  <si>
    <t>1#1039</t>
  </si>
  <si>
    <t>1#1040</t>
  </si>
  <si>
    <t>1#1041</t>
  </si>
  <si>
    <t>1#1042</t>
  </si>
  <si>
    <t>1#1043</t>
  </si>
  <si>
    <t>1#1044</t>
  </si>
  <si>
    <t>1#1045</t>
  </si>
  <si>
    <t>1#1046</t>
  </si>
  <si>
    <t>1#1047</t>
  </si>
  <si>
    <t>1#1048</t>
  </si>
  <si>
    <t>1#1049</t>
  </si>
  <si>
    <t>1#1050</t>
  </si>
  <si>
    <t>1#1051</t>
  </si>
  <si>
    <t>1#1052</t>
  </si>
  <si>
    <t>1#1053</t>
  </si>
  <si>
    <t>1#1054</t>
  </si>
  <si>
    <t>1#1055</t>
  </si>
  <si>
    <t>1#1056</t>
  </si>
  <si>
    <t>1#1057</t>
  </si>
  <si>
    <t>1#1058</t>
  </si>
  <si>
    <t>1#1059</t>
  </si>
  <si>
    <t>1#1060</t>
  </si>
  <si>
    <t>1#1061</t>
  </si>
  <si>
    <t>1#1062</t>
  </si>
  <si>
    <t>1#1063</t>
  </si>
  <si>
    <t>1#1064</t>
  </si>
  <si>
    <t>1#1065</t>
  </si>
  <si>
    <t>1#1066</t>
  </si>
  <si>
    <t>1#1067</t>
  </si>
  <si>
    <t>1#1068</t>
  </si>
  <si>
    <t>1#1069</t>
  </si>
  <si>
    <t>1#1070</t>
  </si>
  <si>
    <t>1#1071</t>
  </si>
  <si>
    <t>1#1072</t>
  </si>
  <si>
    <t>1#1073</t>
  </si>
  <si>
    <t>1#1074</t>
  </si>
  <si>
    <t>1#1075</t>
  </si>
  <si>
    <t>1#1076</t>
  </si>
  <si>
    <t>1#1077</t>
  </si>
  <si>
    <t>1#1078</t>
  </si>
  <si>
    <t>1#1079</t>
  </si>
  <si>
    <t>1#1080</t>
  </si>
  <si>
    <t>1#1081</t>
  </si>
  <si>
    <t>1#1082</t>
  </si>
  <si>
    <t>1#1083</t>
  </si>
  <si>
    <t>1#1084</t>
  </si>
  <si>
    <t>1#1085</t>
  </si>
  <si>
    <t>1#1086</t>
  </si>
  <si>
    <t>1#1087</t>
  </si>
  <si>
    <t>1#1088</t>
  </si>
  <si>
    <t>1#1089</t>
  </si>
  <si>
    <t>1#1090</t>
  </si>
  <si>
    <t>1#1091</t>
  </si>
  <si>
    <t>1#1092</t>
  </si>
  <si>
    <t>1#1093</t>
  </si>
  <si>
    <t>1#1094</t>
  </si>
  <si>
    <t>1#1095</t>
  </si>
  <si>
    <t>1#1096</t>
  </si>
  <si>
    <t>1#1097</t>
  </si>
  <si>
    <t>1#1098</t>
  </si>
  <si>
    <t>1#1099</t>
  </si>
  <si>
    <t>1#1100</t>
  </si>
  <si>
    <t>1#1101</t>
  </si>
  <si>
    <t>1#1102</t>
  </si>
  <si>
    <t>1#1103</t>
  </si>
  <si>
    <t>1#1104</t>
  </si>
  <si>
    <t>1#1105</t>
  </si>
  <si>
    <t>1#1106</t>
  </si>
  <si>
    <t>1#1107</t>
  </si>
  <si>
    <t>1#1108</t>
  </si>
  <si>
    <t>1#1109</t>
  </si>
  <si>
    <t>1#1110</t>
  </si>
  <si>
    <t>1#1111</t>
  </si>
  <si>
    <t>1#1112</t>
  </si>
  <si>
    <t>1#1113</t>
  </si>
  <si>
    <t>1#1114</t>
  </si>
  <si>
    <t>1#1115</t>
  </si>
  <si>
    <t>1#1116</t>
  </si>
  <si>
    <t>1#1117</t>
  </si>
  <si>
    <t>1#1118</t>
  </si>
  <si>
    <t>1#1119</t>
  </si>
  <si>
    <t>1#1120</t>
  </si>
  <si>
    <t>1#1121</t>
  </si>
  <si>
    <t>1#1122</t>
  </si>
  <si>
    <t>1#1123</t>
  </si>
  <si>
    <t>1#1124</t>
  </si>
  <si>
    <t>1#1125</t>
  </si>
  <si>
    <t>1#1126</t>
  </si>
  <si>
    <t>1#1127</t>
  </si>
  <si>
    <t>1#1128</t>
  </si>
  <si>
    <t>1#1129</t>
  </si>
  <si>
    <t>1#1130</t>
  </si>
  <si>
    <t>1#1131</t>
  </si>
  <si>
    <t>1#1132</t>
  </si>
  <si>
    <t>1#1133</t>
  </si>
  <si>
    <t>1#1134</t>
  </si>
  <si>
    <t>1#1135</t>
  </si>
  <si>
    <t>1#1136</t>
  </si>
  <si>
    <t>1#1137</t>
  </si>
  <si>
    <t>1#1138</t>
  </si>
  <si>
    <t>1#1139</t>
  </si>
  <si>
    <t>1#1140</t>
  </si>
  <si>
    <t>1#1141</t>
  </si>
  <si>
    <t>1#1142</t>
  </si>
  <si>
    <t>1#1143</t>
  </si>
  <si>
    <t>1#1144</t>
  </si>
  <si>
    <t>1#1145</t>
  </si>
  <si>
    <t>1#1146</t>
  </si>
  <si>
    <t>1#1147</t>
  </si>
  <si>
    <t>1#1148</t>
  </si>
  <si>
    <t>1#1149</t>
  </si>
  <si>
    <t>1#1150</t>
  </si>
  <si>
    <t>1#1151</t>
  </si>
  <si>
    <t>1#1152</t>
  </si>
  <si>
    <t>1#1153</t>
  </si>
  <si>
    <t>1#1154</t>
  </si>
  <si>
    <t>1#1155</t>
  </si>
  <si>
    <t>1#1156</t>
  </si>
  <si>
    <t>1#1157</t>
  </si>
  <si>
    <t>1#1158</t>
  </si>
  <si>
    <t>1#1159</t>
  </si>
  <si>
    <t>1#1160</t>
  </si>
  <si>
    <t>1#1161</t>
  </si>
  <si>
    <t>1#1162</t>
  </si>
  <si>
    <t>1#1163</t>
  </si>
  <si>
    <t>1#1164</t>
  </si>
  <si>
    <t>1#1165</t>
  </si>
  <si>
    <t>1#1166</t>
  </si>
  <si>
    <t>1#1167</t>
  </si>
  <si>
    <t>1#1168</t>
  </si>
  <si>
    <t>1#1169</t>
  </si>
  <si>
    <t>1#1170</t>
  </si>
  <si>
    <t>1#1171</t>
  </si>
  <si>
    <t>1#1172</t>
  </si>
  <si>
    <t>1#1173</t>
  </si>
  <si>
    <t>1#1174</t>
  </si>
  <si>
    <t>1#1175</t>
  </si>
  <si>
    <t>1#1176</t>
  </si>
  <si>
    <t>1#1177</t>
  </si>
  <si>
    <t>1#1178</t>
  </si>
  <si>
    <t>1#1179</t>
  </si>
  <si>
    <t>1#1180</t>
  </si>
  <si>
    <t>1#1181</t>
  </si>
  <si>
    <t>1#1182</t>
  </si>
  <si>
    <t>1#1183</t>
  </si>
  <si>
    <t>1#1184</t>
  </si>
  <si>
    <t>1#1185</t>
  </si>
  <si>
    <t>1#1186</t>
  </si>
  <si>
    <t>1#1187</t>
  </si>
  <si>
    <t>1#1188</t>
  </si>
  <si>
    <t>1#1189</t>
  </si>
  <si>
    <t>1#1190</t>
  </si>
  <si>
    <t>1#1191</t>
  </si>
  <si>
    <t>1#1192</t>
  </si>
  <si>
    <t>1#1193</t>
  </si>
  <si>
    <t>1#1194</t>
  </si>
  <si>
    <t>1#1195</t>
  </si>
  <si>
    <t>1#1196</t>
  </si>
  <si>
    <t>1#1197</t>
  </si>
  <si>
    <t>1#1198</t>
  </si>
  <si>
    <t>1#1199</t>
  </si>
  <si>
    <t>1#1200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</si>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</sst>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8</v>
    <v>7</v>
    <v>1</v>
  </rv>
  <rv s="0">
    <v>0</v>
    <v>8</v>
    <v>4</v>
    <v>1</v>
  </rv>
  <rv s="0">
    <v>1</v>
    <v>8</v>
    <v>2</v>
    <v>1</v>
  </rv>
  <rv s="0">
    <v>0</v>
    <v>8</v>
    <v>1</v>
    <v>1</v>
  </rv>
  <rv s="0">
    <v>2</v>
    <v>8</v>
    <v>0</v>
    <v>1</v>
  </rv>
  <rv s="0">
    <v>1</v>
    <v>8</v>
    <v>0</v>
    <v>1</v>
  </rv>
  <rv s="0">
    <v>1</v>
    <v>8</v>
    <v>1</v>
    <v>1</v>
  </rv>
  <rv s="0">
    <v>0</v>
    <v>8</v>
    <v>6</v>
    <v>1</v>
  </rv>
  <rv s="0">
    <v>0</v>
    <v>8</v>
    <v>5</v>
    <v>1</v>
  </rv>
  <rv s="0">
    <v>0</v>
    <v>8</v>
    <v>3</v>
    <v>1</v>
  </rv>
  <rv s="0">
    <v>2</v>
    <v>8</v>
    <v>1</v>
    <v>1</v>
  </rv>
  <rv s="0">
    <v>1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_xlfn.NEGBINOM.DIST(10,#NAME?,FALSE,TRUE)+_xlfn.VAR.P(D!B1:B8)</f>
        <v>#NAME?</v>
      </c>
      <c r="B1">
        <f t="shared" ref="B1:B64" si="0">IF(ISERROR(A1),ERROR.TYPE(A1),IF(ISNUMBER(A1),0,IF(ISLOGICAL(A1),IF(A1,-1,-2),IF(ISTEXT(A1),-3,-4))))</f>
        <v>5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PERCENTILE(D!B2:B3,D!A12)</f>
        <v>8</v>
      </c>
      <c r="B2">
        <f t="shared" si="0"/>
        <v>0</v>
      </c>
      <c r="C2">
        <f t="shared" si="1"/>
        <v>8</v>
      </c>
      <c r="D2" t="str">
        <f t="shared" si="2"/>
        <v/>
      </c>
      <c r="E2" t="s">
        <v>36</v>
      </c>
    </row>
    <row r="3" spans="1:5" x14ac:dyDescent="0.2">
      <c r="A3" t="e" cm="1">
        <f t="array" ref="A3">DPRODUCT(D!B7,#VALUE!,D!A15)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SERIESSUM(TRUE,0,2.5,-1.5)&gt;WORKDAY(45351,0)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_xlfn.TEXTJOIN(";",FALSE,IMCOS(#NUM!))</f>
        <v>#NUM!</v>
      </c>
      <c r="B5">
        <f t="shared" si="0"/>
        <v>6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SUM(_xlfn.COTH(0))</f>
        <v>#DIV/0!</v>
      </c>
      <c r="B6">
        <f t="shared" si="0"/>
        <v>2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_xlfn.TEXTJOIN(";",FALSE,RECEIVED(DATE(2008,2,15),D!A10,1000000,0.0575,TRUE))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cm="1">
        <f t="array" ref="A8">INDEX(MROUND(3,3),1,1)</f>
        <v>3</v>
      </c>
      <c r="B8">
        <f t="shared" si="0"/>
        <v>0</v>
      </c>
      <c r="C8">
        <f t="shared" si="1"/>
        <v>3</v>
      </c>
      <c r="D8" t="str">
        <f t="shared" si="2"/>
        <v/>
      </c>
      <c r="E8" t="s">
        <v>42</v>
      </c>
    </row>
    <row r="9" spans="1:5" x14ac:dyDescent="0.2">
      <c r="A9" t="str" cm="1">
        <f t="array" ref="A9">FIXED(0,1)</f>
        <v>0.0</v>
      </c>
      <c r="B9">
        <f t="shared" si="0"/>
        <v>-3</v>
      </c>
      <c r="C9">
        <f t="shared" si="1"/>
        <v>0</v>
      </c>
      <c r="D9" t="str">
        <f t="shared" si="2"/>
        <v>0.0</v>
      </c>
      <c r="E9" t="s">
        <v>43</v>
      </c>
    </row>
    <row r="10" spans="1:5" x14ac:dyDescent="0.2">
      <c r="A10" t="e" cm="1">
        <f t="array" ref="A10">ROW(D!G4)^AVERAGEA(D!B1:B8,{3,1,2},{2,"a";TRUE,#N/A},D!AY1:AY5)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cm="1">
        <f t="array" ref="A11">HOUR(0.75)</f>
        <v>18</v>
      </c>
      <c r="B11">
        <f t="shared" si="0"/>
        <v>0</v>
      </c>
      <c r="C11">
        <f t="shared" si="1"/>
        <v>18</v>
      </c>
      <c r="D11" t="str">
        <f t="shared" si="2"/>
        <v/>
      </c>
      <c r="E11" t="s">
        <v>45</v>
      </c>
    </row>
    <row r="12" spans="1:5" x14ac:dyDescent="0.2">
      <c r="A12" cm="1">
        <f t="array" ref="A12">ROWS(SUMXMY2(D!B1:B8,D!C1:C8))</f>
        <v>1</v>
      </c>
      <c r="B12">
        <f t="shared" si="0"/>
        <v>0</v>
      </c>
      <c r="C12">
        <f t="shared" si="1"/>
        <v>1</v>
      </c>
      <c r="D12" t="str">
        <f t="shared" si="2"/>
        <v/>
      </c>
      <c r="E12" t="s">
        <v>46</v>
      </c>
    </row>
    <row r="13" spans="1:5" x14ac:dyDescent="0.2">
      <c r="A13" t="b" cm="1">
        <f t="array" ref="A13">OR(D!M1:M6,TRUE)</f>
        <v>1</v>
      </c>
      <c r="B13">
        <f t="shared" si="0"/>
        <v>-1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str" cm="1">
        <f t="array" ref="A14">_xlfn.TEXTJOIN(";",FALSE,TBILLPRICE(39538,39600,0.09))</f>
        <v>98.45</v>
      </c>
      <c r="B14">
        <f t="shared" si="0"/>
        <v>-3</v>
      </c>
      <c r="C14">
        <f t="shared" si="1"/>
        <v>0</v>
      </c>
      <c r="D14" t="str">
        <f t="shared" si="2"/>
        <v>98.45</v>
      </c>
      <c r="E14" t="s">
        <v>48</v>
      </c>
    </row>
    <row r="15" spans="1:5" x14ac:dyDescent="0.2">
      <c r="A15" t="e" cm="1">
        <f t="array" ref="A15">DGET(D!N1:N6,"Yield",D!B1:B3)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HARMEAN("0",D!N1:N6,COUPDAYSNC(DATE(2011,1,25),D!AZ1:AZ5,D!L1:L6,#NAME?))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CONFIDENCE(-1,1000,D!A12)&amp;_xlfn.SEC(0.5)</f>
        <v>#NUM!</v>
      </c>
      <c r="B17">
        <f t="shared" si="0"/>
        <v>6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INDEX(BETAINV(0.685470581,D!G4,10,0.25),1,1)</f>
        <v>0.6249999999861785</v>
      </c>
      <c r="B18">
        <f t="shared" si="0"/>
        <v>0</v>
      </c>
      <c r="C18">
        <f t="shared" si="1"/>
        <v>0.6249999999861785</v>
      </c>
      <c r="D18" t="str">
        <f t="shared" si="2"/>
        <v/>
      </c>
      <c r="E18" t="s">
        <v>52</v>
      </c>
    </row>
    <row r="19" spans="1:5" x14ac:dyDescent="0.2">
      <c r="A19" cm="1">
        <f t="array" ref="A19">_xlfn.SECH(45)</f>
        <v>5.7250371610987873E-20</v>
      </c>
      <c r="B19">
        <f t="shared" si="0"/>
        <v>0</v>
      </c>
      <c r="C19">
        <f t="shared" si="1"/>
        <v>5.7250371610987873E-20</v>
      </c>
      <c r="D19" t="str">
        <f t="shared" si="2"/>
        <v/>
      </c>
      <c r="E19" t="s">
        <v>53</v>
      </c>
    </row>
    <row r="20" spans="1:5" x14ac:dyDescent="0.2">
      <c r="A20" t="e" cm="1">
        <f t="array" ref="A20">_xlfn.GAUSS(D!M2)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_xlfn.PERCENTRANK.EXC(D!B1:B8,D!A10)</f>
        <v>0.185</v>
      </c>
      <c r="B21">
        <f t="shared" si="0"/>
        <v>0</v>
      </c>
      <c r="C21">
        <f t="shared" si="1"/>
        <v>0.185</v>
      </c>
      <c r="D21" t="str">
        <f t="shared" si="2"/>
        <v/>
      </c>
      <c r="E21" t="s">
        <v>55</v>
      </c>
    </row>
    <row r="22" spans="1:5" x14ac:dyDescent="0.2">
      <c r="A22" t="e" cm="1">
        <f t="array" ref="A22">_xlfn.TEXTSPLIT("a,b;c",D!K1:K8,";",7)^RIGHTB("abc",2)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cm="1">
        <f t="array" ref="A23">PERCENTILE({1,2;3,4},0.3)</f>
        <v>1.9</v>
      </c>
      <c r="B23">
        <f t="shared" si="0"/>
        <v>0</v>
      </c>
      <c r="C23">
        <f t="shared" si="1"/>
        <v>1.9</v>
      </c>
      <c r="D23" t="str">
        <f t="shared" si="2"/>
        <v/>
      </c>
      <c r="E23" t="s">
        <v>57</v>
      </c>
    </row>
    <row r="24" spans="1:5" x14ac:dyDescent="0.2">
      <c r="A24" cm="1">
        <f t="array" ref="A24">_xlfn.ISOWEEKNUM(40977)</f>
        <v>10</v>
      </c>
      <c r="B24">
        <f t="shared" si="0"/>
        <v>0</v>
      </c>
      <c r="C24">
        <f t="shared" si="1"/>
        <v>10</v>
      </c>
      <c r="D24" t="str">
        <f t="shared" si="2"/>
        <v/>
      </c>
      <c r="E24" t="s">
        <v>58</v>
      </c>
    </row>
    <row r="25" spans="1:5" x14ac:dyDescent="0.2">
      <c r="A25" t="b" cm="1">
        <f t="array" ref="A25">EXACT("word","word")</f>
        <v>1</v>
      </c>
      <c r="B25">
        <f t="shared" si="0"/>
        <v>-1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cm="1">
        <f t="array" ref="A26">SUMSQ({0.5;-1})</f>
        <v>1.25</v>
      </c>
      <c r="B26">
        <f t="shared" si="0"/>
        <v>0</v>
      </c>
      <c r="C26">
        <f t="shared" si="1"/>
        <v>1.25</v>
      </c>
      <c r="D26" t="str">
        <f t="shared" si="2"/>
        <v/>
      </c>
      <c r="E26" t="s">
        <v>60</v>
      </c>
    </row>
    <row r="27" spans="1:5" x14ac:dyDescent="0.2">
      <c r="A27" t="e" cm="1">
        <f t="array" ref="A27">_xlfn.MODE.MULT(D!B1:B3)</f>
        <v>#N/A</v>
      </c>
      <c r="B27">
        <f t="shared" si="0"/>
        <v>7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NETWORKDAYS.INTL(38718,"x y","-4",VARP(D!B1:B8))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cm="1">
        <f t="array" ref="A29">COLUMNS(_xlfn.MAXIFS(D!AV1:AV7,D!AW1:AW4,D!AS1:AS8))</f>
        <v>1</v>
      </c>
      <c r="B29">
        <f t="shared" si="0"/>
        <v>0</v>
      </c>
      <c r="C29">
        <f t="shared" si="1"/>
        <v>1</v>
      </c>
      <c r="D29" t="str">
        <f t="shared" si="2"/>
        <v/>
      </c>
      <c r="E29" t="s">
        <v>63</v>
      </c>
    </row>
    <row r="30" spans="1:5" x14ac:dyDescent="0.2">
      <c r="A30" t="e" cm="1">
        <f t="array" ref="A30">_xlfn.TOCOL(D!P4:R5,0.5,_xlfn.SWITCH("a*",1,"18:30",2,_xlfn.PERMUTATIONA(3,2),"other"))&lt;&gt;_xlfn.F.TEST(-1.5,3)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 vm="1">
        <f t="array" aca="1" ref="A31" ca="1">ROW(D!D1:D8)</f>
        <v>#VALUE!</v>
      </c>
      <c r="B31">
        <f t="shared" ca="1" si="0"/>
        <v>9</v>
      </c>
      <c r="C31">
        <f t="shared" ca="1" si="1"/>
        <v>0</v>
      </c>
      <c r="D31" t="str">
        <f t="shared" ca="1" si="2"/>
        <v/>
      </c>
      <c r="E31" t="s">
        <v>65</v>
      </c>
    </row>
    <row r="32" spans="1:5" x14ac:dyDescent="0.2">
      <c r="A32" cm="1">
        <f t="array" ref="A32">_xlfn.CHISQ.TEST(D!AK1:AL3,D!AM1:AN3)+PRODUCT(D!I1:I5)</f>
        <v>-1.02816E+18</v>
      </c>
      <c r="B32">
        <f t="shared" si="0"/>
        <v>0</v>
      </c>
      <c r="C32">
        <f t="shared" si="1"/>
        <v>-1.02816E+18</v>
      </c>
      <c r="D32" t="str">
        <f t="shared" si="2"/>
        <v/>
      </c>
      <c r="E32" t="s">
        <v>66</v>
      </c>
    </row>
    <row r="33" spans="1:5" x14ac:dyDescent="0.2">
      <c r="A33" t="e" cm="1">
        <f t="array" ref="A33">_xlfn.CHISQ.INV(0.93,D!A7&lt;&gt;61)</f>
        <v>#DIV/0!</v>
      </c>
      <c r="B33">
        <f t="shared" si="0"/>
        <v>2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_xlfn.IMSINH(D!M2&lt;&gt;"Привет")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cm="1">
        <f t="array" ref="A35">WEIBULL(FALSE,20,100,FALSE)</f>
        <v>0</v>
      </c>
      <c r="B35">
        <f t="shared" si="0"/>
        <v>0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ODDFPRICE(DATE(2008,11,11),DATE(2021,3,1),DATE(2008,10,15),DATE(2009,3,1),0.0785,0.0625,FALSE,SUMX2MY2(D!B1:B8,D!C1:C8),1)</f>
        <v>#VALUE!</v>
      </c>
      <c r="B36">
        <f t="shared" si="0"/>
        <v>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cm="1">
        <f t="array" ref="A37">COLUMNS(MIN(" 2 ",D!B2:B3))</f>
        <v>1</v>
      </c>
      <c r="B37">
        <f t="shared" si="0"/>
        <v>0</v>
      </c>
      <c r="C37">
        <f t="shared" si="1"/>
        <v>1</v>
      </c>
      <c r="D37" t="str">
        <f t="shared" si="2"/>
        <v/>
      </c>
      <c r="E37" t="s">
        <v>71</v>
      </c>
    </row>
    <row r="38" spans="1:5" x14ac:dyDescent="0.2">
      <c r="A38" cm="1">
        <f t="array" ref="A38">WORKDAY.INTL(40909,90,11,D!B1:B3)</f>
        <v>41013</v>
      </c>
      <c r="B38">
        <f t="shared" si="0"/>
        <v>0</v>
      </c>
      <c r="C38">
        <f t="shared" si="1"/>
        <v>41013</v>
      </c>
      <c r="D38" t="str">
        <f t="shared" si="2"/>
        <v/>
      </c>
      <c r="E38" t="s">
        <v>72</v>
      </c>
    </row>
    <row r="39" spans="1:5" x14ac:dyDescent="0.2">
      <c r="A39" t="str" cm="1">
        <f t="array" ref="A39">_xlfn.TEXTJOIN(";",FALSE,_xlfn.DROP(D!L1:N6,-1))</f>
        <v>1;one;10;2;two;20;3;three;30;5;five;50;8;eight;80</v>
      </c>
      <c r="B39">
        <f t="shared" si="0"/>
        <v>-3</v>
      </c>
      <c r="C39">
        <f t="shared" si="1"/>
        <v>0</v>
      </c>
      <c r="D39" t="str">
        <f t="shared" si="2"/>
        <v>1;one;10;2;two;20;3;three;30;5;five;50;8;eight;80</v>
      </c>
      <c r="E39" t="s">
        <v>73</v>
      </c>
    </row>
    <row r="40" spans="1:5" x14ac:dyDescent="0.2">
      <c r="A40" cm="1">
        <f t="array" ref="A40">NPV("2025-01-31 12:00",-10000,10,D!AS1:AS8,6800)</f>
        <v>-0.21886866306549324</v>
      </c>
      <c r="B40">
        <f t="shared" si="0"/>
        <v>0</v>
      </c>
      <c r="C40">
        <f t="shared" si="1"/>
        <v>-0.21886866306549324</v>
      </c>
      <c r="D40" t="str">
        <f t="shared" si="2"/>
        <v/>
      </c>
      <c r="E40" t="s">
        <v>74</v>
      </c>
    </row>
    <row r="41" spans="1:5" x14ac:dyDescent="0.2">
      <c r="A41" cm="1">
        <f t="array" ref="A41">_xlfn.MODE.SNGL(D!BF1:BF6)</f>
        <v>2</v>
      </c>
      <c r="B41">
        <f t="shared" si="0"/>
        <v>0</v>
      </c>
      <c r="C41">
        <f t="shared" si="1"/>
        <v>2</v>
      </c>
      <c r="D41" t="str">
        <f t="shared" si="2"/>
        <v/>
      </c>
      <c r="E41" t="s">
        <v>75</v>
      </c>
    </row>
    <row r="42" spans="1:5" x14ac:dyDescent="0.2">
      <c r="A42" cm="1">
        <f t="array" ref="A42">ROUNDDOWN(2,0)</f>
        <v>2</v>
      </c>
      <c r="B42">
        <f t="shared" si="0"/>
        <v>0</v>
      </c>
      <c r="C42">
        <f t="shared" si="1"/>
        <v>2</v>
      </c>
      <c r="D42" t="str">
        <f t="shared" si="2"/>
        <v/>
      </c>
      <c r="E42" t="s">
        <v>76</v>
      </c>
    </row>
    <row r="43" spans="1:5" x14ac:dyDescent="0.2">
      <c r="A43" cm="1">
        <f t="array" ref="A43">_xlfn.DAYS(44270,0)</f>
        <v>44270</v>
      </c>
      <c r="B43">
        <f t="shared" si="0"/>
        <v>0</v>
      </c>
      <c r="C43">
        <f t="shared" si="1"/>
        <v>44270</v>
      </c>
      <c r="D43" t="str">
        <f t="shared" si="2"/>
        <v/>
      </c>
      <c r="E43" t="s">
        <v>77</v>
      </c>
    </row>
    <row r="44" spans="1:5" x14ac:dyDescent="0.2">
      <c r="A44" cm="1">
        <f t="array" ref="A44">VALUE("3")</f>
        <v>3</v>
      </c>
      <c r="B44">
        <f t="shared" si="0"/>
        <v>0</v>
      </c>
      <c r="C44">
        <f t="shared" si="1"/>
        <v>3</v>
      </c>
      <c r="D44" t="str">
        <f t="shared" si="2"/>
        <v/>
      </c>
      <c r="E44" t="s">
        <v>78</v>
      </c>
    </row>
    <row r="45" spans="1:5" x14ac:dyDescent="0.2">
      <c r="A45" t="e" cm="1">
        <f t="array" ref="A45">AVERAGEIF(D!A12,"&gt;4",D!AZ1:AZ5)</f>
        <v>#DIV/0!</v>
      </c>
      <c r="B45">
        <f t="shared" si="0"/>
        <v>2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QUOTIENT(5,2)+PROPER("FALSE")</f>
        <v>#VALUE!</v>
      </c>
      <c r="B46">
        <f t="shared" si="0"/>
        <v>3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cm="1">
        <f t="array" ref="A47">COLUMN(D!G1:G7)</f>
        <v>7</v>
      </c>
      <c r="B47">
        <f t="shared" si="0"/>
        <v>0</v>
      </c>
      <c r="C47">
        <f t="shared" si="1"/>
        <v>7</v>
      </c>
      <c r="D47" t="str">
        <f t="shared" si="2"/>
        <v/>
      </c>
      <c r="E47" t="s">
        <v>81</v>
      </c>
    </row>
    <row r="48" spans="1:5" x14ac:dyDescent="0.2">
      <c r="A48" t="str" cm="1">
        <f t="array" ref="A48">TEXT(0,"$#,##0.00")</f>
        <v>$0.00</v>
      </c>
      <c r="B48">
        <f t="shared" si="0"/>
        <v>-3</v>
      </c>
      <c r="C48">
        <f t="shared" si="1"/>
        <v>0</v>
      </c>
      <c r="D48" t="str">
        <f t="shared" si="2"/>
        <v>$0.00</v>
      </c>
      <c r="E48" t="s">
        <v>82</v>
      </c>
    </row>
    <row r="49" spans="1:5" x14ac:dyDescent="0.2">
      <c r="A49" cm="1">
        <f t="array" ref="A49">_xlfn.CHISQ.TEST(D!AK1:AL3,D!AM1:AN3)</f>
        <v>3.0819201700830936E-4</v>
      </c>
      <c r="B49">
        <f t="shared" si="0"/>
        <v>0</v>
      </c>
      <c r="C49">
        <f t="shared" si="1"/>
        <v>3.0819201700830936E-4</v>
      </c>
      <c r="D49" t="str">
        <f t="shared" si="2"/>
        <v/>
      </c>
      <c r="E49" t="s">
        <v>83</v>
      </c>
    </row>
    <row r="50" spans="1:5" x14ac:dyDescent="0.2">
      <c r="A50" t="e" cm="1">
        <f t="array" ref="A50">COLUMNS(BETADIST(2,ODDLPRICE(DATE(2008,2,7),SKEW(D!AW1:AW4),DATE(2007,10,15),0.0375,0.0405,100,2),10,1,3))</f>
        <v>#DIV/0!</v>
      </c>
      <c r="B50">
        <f t="shared" si="0"/>
        <v>2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cm="1">
        <f t="array" ref="A51">MEDIAN(D!B1:B8)</f>
        <v>12.625</v>
      </c>
      <c r="B51">
        <f t="shared" si="0"/>
        <v>0</v>
      </c>
      <c r="C51">
        <f t="shared" si="1"/>
        <v>12.625</v>
      </c>
      <c r="D51" t="str">
        <f t="shared" si="2"/>
        <v/>
      </c>
      <c r="E51" t="s">
        <v>85</v>
      </c>
    </row>
    <row r="52" spans="1:5" x14ac:dyDescent="0.2">
      <c r="A52" cm="1">
        <f t="array" ref="A52">HOUR(D!H1)</f>
        <v>0</v>
      </c>
      <c r="B52">
        <f t="shared" si="0"/>
        <v>0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>
        <f t="array" ref="A53">NORMINV(0.908789,40,-1)</f>
        <v>#NUM!</v>
      </c>
      <c r="B53">
        <f t="shared" si="0"/>
        <v>6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cm="1">
        <f t="array" ref="A54">_xlfn.SKEW.P(D!B1:B8,D!A13)</f>
        <v>0.86139784882393156</v>
      </c>
      <c r="B54">
        <f t="shared" si="0"/>
        <v>0</v>
      </c>
      <c r="C54">
        <f t="shared" si="1"/>
        <v>0.86139784882393156</v>
      </c>
      <c r="D54" t="str">
        <f t="shared" si="2"/>
        <v/>
      </c>
      <c r="E54" t="s">
        <v>88</v>
      </c>
    </row>
    <row r="55" spans="1:5" x14ac:dyDescent="0.2">
      <c r="A55" t="e" cm="1">
        <f t="array" ref="A55">_xlfn.GAMMALN.PRECISE(D!B7)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 vm="2">
        <f t="array" aca="1" ref="A56" ca="1">_xlfn.UNIQUE(D!AS1:AS8)&lt;=DATEVALUE(D!A3)</f>
        <v>#VALUE!</v>
      </c>
      <c r="B56">
        <f t="shared" ca="1" si="0"/>
        <v>9</v>
      </c>
      <c r="C56">
        <f t="shared" ca="1" si="1"/>
        <v>0</v>
      </c>
      <c r="D56" t="str">
        <f t="shared" ca="1" si="2"/>
        <v/>
      </c>
      <c r="E56" t="s">
        <v>90</v>
      </c>
    </row>
    <row r="57" spans="1:5" x14ac:dyDescent="0.2">
      <c r="A57" cm="1">
        <f t="array" ref="A57">LOG(10)</f>
        <v>1</v>
      </c>
      <c r="B57">
        <f t="shared" si="0"/>
        <v>0</v>
      </c>
      <c r="C57">
        <f t="shared" si="1"/>
        <v>1</v>
      </c>
      <c r="D57" t="str">
        <f t="shared" si="2"/>
        <v/>
      </c>
      <c r="E57" t="s">
        <v>91</v>
      </c>
    </row>
    <row r="58" spans="1:5" x14ac:dyDescent="0.2">
      <c r="A58" t="e" cm="1" vm="3">
        <f t="array" aca="1" ref="A58" ca="1">_xlfn.VSTACK(D!P1:Q2,"18:30")</f>
        <v>#VALUE!</v>
      </c>
      <c r="B58">
        <f t="shared" ca="1" si="0"/>
        <v>9</v>
      </c>
      <c r="C58">
        <f t="shared" ca="1" si="1"/>
        <v>0</v>
      </c>
      <c r="D58" t="str">
        <f t="shared" ca="1" si="2"/>
        <v/>
      </c>
      <c r="E58" t="s">
        <v>92</v>
      </c>
    </row>
    <row r="59" spans="1:5" x14ac:dyDescent="0.2">
      <c r="A59" cm="1">
        <f t="array" ref="A59">DATEVALUE("2025-01-31")</f>
        <v>45688</v>
      </c>
      <c r="B59">
        <f t="shared" si="0"/>
        <v>0</v>
      </c>
      <c r="C59">
        <f t="shared" si="1"/>
        <v>45688</v>
      </c>
      <c r="D59" t="str">
        <f t="shared" si="2"/>
        <v/>
      </c>
      <c r="E59" t="s">
        <v>93</v>
      </c>
    </row>
    <row r="60" spans="1:5" x14ac:dyDescent="0.2">
      <c r="A60" t="e" cm="1">
        <f t="array" ref="A60">_xlfn.BITLSHIFT(4,D!A7)/_xlfn.COMBINA("FALSE",D!A8)</f>
        <v>#DIV/0!</v>
      </c>
      <c r="B60">
        <f t="shared" si="0"/>
        <v>2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cm="1">
        <f t="array" ref="A61">ROWS(HOUR(D!AU2))</f>
        <v>1</v>
      </c>
      <c r="B61">
        <f t="shared" si="0"/>
        <v>0</v>
      </c>
      <c r="C61">
        <f t="shared" si="1"/>
        <v>1</v>
      </c>
      <c r="D61" t="str">
        <f t="shared" si="2"/>
        <v/>
      </c>
      <c r="E61" t="s">
        <v>95</v>
      </c>
    </row>
    <row r="62" spans="1:5" x14ac:dyDescent="0.2">
      <c r="A62" t="str" cm="1">
        <f t="array" ref="A62">IMLOG10("3+4i")</f>
        <v>0.698970004336019+0.402719196273373i</v>
      </c>
      <c r="B62">
        <f t="shared" si="0"/>
        <v>-3</v>
      </c>
      <c r="C62">
        <f t="shared" si="1"/>
        <v>0</v>
      </c>
      <c r="D62" t="str">
        <f t="shared" si="2"/>
        <v>0.698970004336019+0.402719196273373i</v>
      </c>
      <c r="E62" t="s">
        <v>96</v>
      </c>
    </row>
    <row r="63" spans="1:5" x14ac:dyDescent="0.2">
      <c r="A63" t="b" cm="1">
        <f t="array" ref="A63">ISTEXT(POISSON(2,5,TRUE))</f>
        <v>0</v>
      </c>
      <c r="B63">
        <f t="shared" si="0"/>
        <v>-2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cm="1">
        <f t="array" ref="A64">ROWS(ERROR.TYPE(D!A7))</f>
        <v>1</v>
      </c>
      <c r="B64">
        <f t="shared" si="0"/>
        <v>0</v>
      </c>
      <c r="C64">
        <f t="shared" si="1"/>
        <v>1</v>
      </c>
      <c r="D64" t="str">
        <f t="shared" si="2"/>
        <v/>
      </c>
      <c r="E64" t="s">
        <v>98</v>
      </c>
    </row>
    <row r="65" spans="1:5" x14ac:dyDescent="0.2">
      <c r="A65" t="e" cm="1" vm="4">
        <f t="array" aca="1" ref="A65" ca="1">IRR(D!I1:I5,LN(_xlfn.GAMMA.DIST(10.00001131,{"x";""}," ",FALSE)))</f>
        <v>#VALUE!</v>
      </c>
      <c r="B65">
        <f t="shared" ref="B65:B128" ca="1" si="3">IF(ISERROR(A65),ERROR.TYPE(A65),IF(ISNUMBER(A65),0,IF(ISLOGICAL(A65),IF(A65,-1,-2),IF(ISTEXT(A65),-3,-4))))</f>
        <v>9</v>
      </c>
      <c r="C65">
        <f t="shared" ref="C65:C128" ca="1" si="4">IF(ISNUMBER(A65),A65,0)</f>
        <v>0</v>
      </c>
      <c r="D65" t="str">
        <f t="shared" ref="D65:D128" ca="1" si="5">IF(ISTEXT(A65),A65,"")</f>
        <v/>
      </c>
      <c r="E65" t="s">
        <v>99</v>
      </c>
    </row>
    <row r="66" spans="1:5" x14ac:dyDescent="0.2">
      <c r="A66" cm="1">
        <f t="array" ref="A66">INDEX(_xlfn.BETA.INV(0.685470581,8,10,1,3),1,1)</f>
        <v>1.9999999999631426</v>
      </c>
      <c r="B66">
        <f t="shared" si="3"/>
        <v>0</v>
      </c>
      <c r="C66">
        <f t="shared" si="4"/>
        <v>1.9999999999631426</v>
      </c>
      <c r="D66" t="str">
        <f t="shared" si="5"/>
        <v/>
      </c>
      <c r="E66" t="s">
        <v>100</v>
      </c>
    </row>
    <row r="67" spans="1:5" x14ac:dyDescent="0.2">
      <c r="A67" t="e" cm="1">
        <f t="array" ref="A67">SLN(30000,7500,"aBc")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aca="1" ref="A68" ca="1">MID(" ",INT("x y"),AVERAGEIF(D!AZ1:AZ5,1,D!A12))</f>
        <v>#VALUE!</v>
      </c>
      <c r="B68">
        <f t="shared" ca="1" si="3"/>
        <v>3</v>
      </c>
      <c r="C68">
        <f t="shared" ca="1" si="4"/>
        <v>0</v>
      </c>
      <c r="D68" t="str">
        <f t="shared" ca="1" si="5"/>
        <v/>
      </c>
      <c r="E68" t="s">
        <v>102</v>
      </c>
    </row>
    <row r="69" spans="1:5" x14ac:dyDescent="0.2">
      <c r="A69" t="e" cm="1">
        <f t="array" ref="A69">INDEX(_xlfn.GAMMA(NORMDIST(42,40,"FALSE",0)),1,1)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e" cm="1" vm="5">
        <f t="array" aca="1" ref="A70" ca="1">ODDFPRICE(DATE(2008,11,11),DATE(2021,3,1),DATE(2008,10,15),DATE(2009,3,1),0.0785,ISTEXT(1000),100,1000,1)/_xlfn.DROP(D!L1:N6,5)</f>
        <v>#VALUE!</v>
      </c>
      <c r="B70">
        <f t="shared" ca="1" si="3"/>
        <v>9</v>
      </c>
      <c r="C70">
        <f t="shared" ca="1" si="4"/>
        <v>0</v>
      </c>
      <c r="D70" t="str">
        <f t="shared" ca="1" si="5"/>
        <v/>
      </c>
      <c r="E70" t="s">
        <v>104</v>
      </c>
    </row>
    <row r="71" spans="1:5" x14ac:dyDescent="0.2">
      <c r="A71" t="e" cm="1">
        <f t="array" ref="A71">DISC(43282,54058,97.975,"FALSE"%&lt;&gt;0,1)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cm="1">
        <f t="array" ref="A72">PRICEDISC(39494,39508,0.0525,100,3)</f>
        <v>99.798630136986304</v>
      </c>
      <c r="B72">
        <f t="shared" si="3"/>
        <v>0</v>
      </c>
      <c r="C72">
        <f t="shared" si="4"/>
        <v>99.798630136986304</v>
      </c>
      <c r="D72" t="str">
        <f t="shared" si="5"/>
        <v/>
      </c>
      <c r="E72" t="s">
        <v>106</v>
      </c>
    </row>
    <row r="73" spans="1:5" x14ac:dyDescent="0.2">
      <c r="A73" t="str" cm="1">
        <f t="array" ref="A73">INDEX(IMCONJUGATE("3+4i"),1,1)</f>
        <v>3-4i</v>
      </c>
      <c r="B73">
        <f t="shared" si="3"/>
        <v>-3</v>
      </c>
      <c r="C73">
        <f t="shared" si="4"/>
        <v>0</v>
      </c>
      <c r="D73" t="str">
        <f t="shared" si="5"/>
        <v>3-4i</v>
      </c>
      <c r="E73" t="s">
        <v>107</v>
      </c>
    </row>
    <row r="74" spans="1:5" x14ac:dyDescent="0.2">
      <c r="A74" cm="1">
        <f t="array" ref="A74">_xlfn.STDEV.P(D!B1:B8,{45658,45689},D!AS1:AS8)</f>
        <v>15522.773524244951</v>
      </c>
      <c r="B74">
        <f t="shared" si="3"/>
        <v>0</v>
      </c>
      <c r="C74">
        <f t="shared" si="4"/>
        <v>15522.773524244951</v>
      </c>
      <c r="D74" t="str">
        <f t="shared" si="5"/>
        <v/>
      </c>
      <c r="E74" t="s">
        <v>108</v>
      </c>
    </row>
    <row r="75" spans="1:5" x14ac:dyDescent="0.2">
      <c r="A75" cm="1">
        <f t="array" ref="A75">EVEN(1.5)</f>
        <v>2</v>
      </c>
      <c r="B75">
        <f t="shared" si="3"/>
        <v>0</v>
      </c>
      <c r="C75">
        <f t="shared" si="4"/>
        <v>2</v>
      </c>
      <c r="D75" t="str">
        <f t="shared" si="5"/>
        <v/>
      </c>
      <c r="E75" t="s">
        <v>109</v>
      </c>
    </row>
    <row r="76" spans="1:5" x14ac:dyDescent="0.2">
      <c r="A76" t="e" cm="1">
        <f t="array" ref="A76">INDEX(DEC2OCT(58,D!M2),1,1)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cm="1">
        <f t="array" ref="A77">_xlfn.QUARTILE.EXC(D!B1:B8,1)</f>
        <v>5</v>
      </c>
      <c r="B77">
        <f t="shared" si="3"/>
        <v>0</v>
      </c>
      <c r="C77">
        <f t="shared" si="4"/>
        <v>5</v>
      </c>
      <c r="D77" t="str">
        <f t="shared" si="5"/>
        <v/>
      </c>
      <c r="E77" t="s">
        <v>111</v>
      </c>
    </row>
    <row r="78" spans="1:5" x14ac:dyDescent="0.2">
      <c r="A78" t="e" cm="1">
        <f t="array" ref="A78">IMSUM({"x";""}+IMARGUMENT(D!A8))</f>
        <v>#VALUE!</v>
      </c>
      <c r="B78">
        <f t="shared" si="3"/>
        <v>3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SUM(NEGBINOMDIST(1000,-1.5,0.25))</f>
        <v>#NUM!</v>
      </c>
      <c r="B79">
        <f t="shared" si="3"/>
        <v>6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ROWS(MULTINOMIAL(D!M1:N6,3,D!AV1:AV7))</f>
        <v>#VALUE!</v>
      </c>
      <c r="B80">
        <f t="shared" si="3"/>
        <v>3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cm="1">
        <f t="array" ref="A81">DAYS360(40573,"1/2/2025")</f>
        <v>5012</v>
      </c>
      <c r="B81">
        <f t="shared" si="3"/>
        <v>0</v>
      </c>
      <c r="C81">
        <f t="shared" si="4"/>
        <v>5012</v>
      </c>
      <c r="D81" t="str">
        <f t="shared" si="5"/>
        <v/>
      </c>
      <c r="E81" t="s">
        <v>115</v>
      </c>
    </row>
    <row r="82" spans="1:5" x14ac:dyDescent="0.2">
      <c r="A82" t="e" cm="1">
        <f t="array" ref="A82">DVAR(D!M1:M6,"Yield",D!L4)</f>
        <v>#VALUE!</v>
      </c>
      <c r="B82">
        <f t="shared" si="3"/>
        <v>3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e" cm="1">
        <f t="array" ref="A83">YIELDMAT(D!A8,DATE(2008,11,3),DATE(2007,11,8),#NUM!,#REF!)</f>
        <v>#N/A</v>
      </c>
      <c r="B83">
        <f t="shared" si="3"/>
        <v>7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cm="1">
        <f t="array" ref="A84">COUNT(" 2 ")</f>
        <v>1</v>
      </c>
      <c r="B84">
        <f t="shared" si="3"/>
        <v>0</v>
      </c>
      <c r="C84">
        <f t="shared" si="4"/>
        <v>1</v>
      </c>
      <c r="D84" t="str">
        <f t="shared" si="5"/>
        <v/>
      </c>
      <c r="E84" t="s">
        <v>118</v>
      </c>
    </row>
    <row r="85" spans="1:5" x14ac:dyDescent="0.2">
      <c r="A85" t="e" cm="1">
        <f t="array" ref="A85">ODDLPRICE(HEX2DEC("A5"),DATE(2008,6,15),"50%",0.0375,0.0405,SMALL(D!A15,{1}),2,0)</f>
        <v>#NUM!</v>
      </c>
      <c r="B85">
        <f t="shared" si="3"/>
        <v>6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b" cm="1">
        <f t="array" ref="A86">TRUE()</f>
        <v>1</v>
      </c>
      <c r="B86">
        <f t="shared" si="3"/>
        <v>-1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str" cm="1">
        <f t="array" ref="A87">BAHTTEXT(1234)</f>
        <v>หนึ่งพันสองร้อยสามสิบสี่บาทถ้วน</v>
      </c>
      <c r="B87">
        <f t="shared" si="3"/>
        <v>-3</v>
      </c>
      <c r="C87">
        <f t="shared" si="4"/>
        <v>0</v>
      </c>
      <c r="D87" t="str">
        <f t="shared" si="5"/>
        <v>หนึ่งพันสองร้อยสามสิบสี่บาทถ้วน</v>
      </c>
      <c r="E87" t="s">
        <v>121</v>
      </c>
    </row>
    <row r="88" spans="1:5" x14ac:dyDescent="0.2">
      <c r="A88" cm="1">
        <f t="array" ref="A88">_xlfn.NORM.DIST("0","0","2024-02-29",TRUE)</f>
        <v>0.5</v>
      </c>
      <c r="B88">
        <f t="shared" si="3"/>
        <v>0</v>
      </c>
      <c r="C88">
        <f t="shared" si="4"/>
        <v>0.5</v>
      </c>
      <c r="D88" t="str">
        <f t="shared" si="5"/>
        <v/>
      </c>
      <c r="E88" t="s">
        <v>122</v>
      </c>
    </row>
    <row r="89" spans="1:5" x14ac:dyDescent="0.2">
      <c r="A89" t="e" cm="1">
        <f t="array" ref="A89">IMLN("3+4i")&lt;&gt;_xlfn.BITOR(4-IMREAL("6-9i"),10)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SLOPE(_xlfn.MUNIT(0),D!B1:B8)</f>
        <v>#VALUE!</v>
      </c>
      <c r="B90">
        <f t="shared" si="3"/>
        <v>3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str" cm="1">
        <f t="array" ref="A91">FIXED(1234.567)</f>
        <v>1,234.57</v>
      </c>
      <c r="B91">
        <f t="shared" si="3"/>
        <v>-3</v>
      </c>
      <c r="C91">
        <f t="shared" si="4"/>
        <v>0</v>
      </c>
      <c r="D91" t="str">
        <f t="shared" si="5"/>
        <v>1,234.57</v>
      </c>
      <c r="E91" t="s">
        <v>125</v>
      </c>
    </row>
    <row r="92" spans="1:5" x14ac:dyDescent="0.2">
      <c r="A92" cm="1">
        <f t="array" ref="A92">SUM(MEDIAN(D!B1:B8))</f>
        <v>12.625</v>
      </c>
      <c r="B92">
        <f t="shared" si="3"/>
        <v>0</v>
      </c>
      <c r="C92">
        <f t="shared" si="4"/>
        <v>12.625</v>
      </c>
      <c r="D92" t="str">
        <f t="shared" si="5"/>
        <v/>
      </c>
      <c r="E92" t="s">
        <v>126</v>
      </c>
    </row>
    <row r="93" spans="1:5" x14ac:dyDescent="0.2">
      <c r="A93" t="e" cm="1">
        <f t="array" ref="A93">IMLN("aBc")</f>
        <v>#NUM!</v>
      </c>
      <c r="B93">
        <f t="shared" si="3"/>
        <v>6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cm="1">
        <f t="array" ref="A94">_xlfn.STDEV.P(D!B1:B8)</f>
        <v>12.871320772846119</v>
      </c>
      <c r="B94">
        <f t="shared" si="3"/>
        <v>0</v>
      </c>
      <c r="C94">
        <f t="shared" si="4"/>
        <v>12.871320772846119</v>
      </c>
      <c r="D94" t="str">
        <f t="shared" si="5"/>
        <v/>
      </c>
      <c r="E94" t="s">
        <v>128</v>
      </c>
    </row>
    <row r="95" spans="1:5" x14ac:dyDescent="0.2">
      <c r="A95" t="e" cm="1">
        <f t="array" ref="A95">ROWS(_xlfn.COTH(NOMINAL(#NAME?,D!B1:B8)))</f>
        <v>#NAME?</v>
      </c>
      <c r="B95">
        <f t="shared" si="3"/>
        <v>5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str" cm="1">
        <f t="array" ref="A96">_xlfn.TEXTJOIN(";",FALSE,FINDB("b","abc"))</f>
        <v>2</v>
      </c>
      <c r="B96">
        <f t="shared" si="3"/>
        <v>-3</v>
      </c>
      <c r="C96">
        <f t="shared" si="4"/>
        <v>0</v>
      </c>
      <c r="D96" t="str">
        <f t="shared" si="5"/>
        <v>2</v>
      </c>
      <c r="E96" t="s">
        <v>130</v>
      </c>
    </row>
    <row r="97" spans="1:5" x14ac:dyDescent="0.2">
      <c r="A97" cm="1">
        <f t="array" ref="A97">COUNTIF(D!C2,"?")</f>
        <v>0</v>
      </c>
      <c r="B97">
        <f t="shared" si="3"/>
        <v>0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AMORDEGRC(#REF!,DATE(2008,8,19),DATE(2008,12,31),300,1,#NUM!,1)</f>
        <v>#REF!</v>
      </c>
      <c r="B98">
        <f t="shared" si="3"/>
        <v>4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b" cm="1">
        <f t="array" ref="A99">ISNA(2.5)</f>
        <v>0</v>
      </c>
      <c r="B99">
        <f t="shared" si="3"/>
        <v>-2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e" cm="1">
        <f t="array" ref="A100">_xlfn.SEQUENCE(-1,0)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_xlfn._xlws.FILTER({2,"a";TRUE,#N/A},D!B1:B8&gt;10,D!AY1:AY5)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_xlfn.XOR(#VALUE!,"a*")</f>
        <v>#VALUE!</v>
      </c>
      <c r="B102">
        <f t="shared" si="3"/>
        <v>3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cm="1">
        <f t="array" ref="A103">_xlfn.POISSON.DIST(D!N2,5,TRUE)</f>
        <v>0.9999999189074954</v>
      </c>
      <c r="B103">
        <f t="shared" si="3"/>
        <v>0</v>
      </c>
      <c r="C103">
        <f t="shared" si="4"/>
        <v>0.9999999189074954</v>
      </c>
      <c r="D103" t="str">
        <f t="shared" si="5"/>
        <v/>
      </c>
      <c r="E103" t="s">
        <v>137</v>
      </c>
    </row>
    <row r="104" spans="1:5" x14ac:dyDescent="0.2">
      <c r="A104" t="str" cm="1">
        <f t="array" ref="A104">_xlfn.VALUETOTEXT(1.5,0)</f>
        <v>1.5</v>
      </c>
      <c r="B104">
        <f t="shared" si="3"/>
        <v>-3</v>
      </c>
      <c r="C104">
        <f t="shared" si="4"/>
        <v>0</v>
      </c>
      <c r="D104" t="str">
        <f t="shared" si="5"/>
        <v>1.5</v>
      </c>
      <c r="E104" t="s">
        <v>138</v>
      </c>
    </row>
    <row r="105" spans="1:5" x14ac:dyDescent="0.2">
      <c r="A105" cm="1">
        <f t="array" ref="A105">NORMSINV(0.908789)</f>
        <v>1.3333346730441071</v>
      </c>
      <c r="B105">
        <f t="shared" si="3"/>
        <v>0</v>
      </c>
      <c r="C105">
        <f t="shared" si="4"/>
        <v>1.3333346730441071</v>
      </c>
      <c r="D105" t="str">
        <f t="shared" si="5"/>
        <v/>
      </c>
      <c r="E105" t="s">
        <v>139</v>
      </c>
    </row>
    <row r="106" spans="1:5" x14ac:dyDescent="0.2">
      <c r="A106" cm="1">
        <f t="array" ref="A106">COLUMNS(VARA(D!B1:B8))</f>
        <v>1</v>
      </c>
      <c r="B106">
        <f t="shared" si="3"/>
        <v>0</v>
      </c>
      <c r="C106">
        <f t="shared" si="4"/>
        <v>1</v>
      </c>
      <c r="D106" t="str">
        <f t="shared" si="5"/>
        <v/>
      </c>
      <c r="E106" t="s">
        <v>140</v>
      </c>
    </row>
    <row r="107" spans="1:5" x14ac:dyDescent="0.2">
      <c r="A107" t="e" cm="1">
        <f t="array" ref="A107">CHOOSE(D!G4,-1.5,D!L1:L6,"c")</f>
        <v>#VALUE!</v>
      </c>
      <c r="B107">
        <f t="shared" si="3"/>
        <v>3</v>
      </c>
      <c r="C107">
        <f t="shared" si="4"/>
        <v>0</v>
      </c>
      <c r="D107" t="str">
        <f t="shared" si="5"/>
        <v/>
      </c>
      <c r="E107" t="s">
        <v>141</v>
      </c>
    </row>
    <row r="108" spans="1:5" x14ac:dyDescent="0.2">
      <c r="A108" t="e" cm="1">
        <f t="array" ref="A108">SUMPRODUCT(D!B1:B8,ERFC(1))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e" cm="1">
        <f t="array" ref="A109">MINA(D!B1:B8)/_xlfn.EXPAND(D!L1:N6,0)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COSH(4)&gt;_xlfn.NUMBERVALUE("A","0",".")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cm="1">
        <f t="array" ref="A111">MINA(D!B1:B8)</f>
        <v>-3.5</v>
      </c>
      <c r="B111">
        <f t="shared" si="3"/>
        <v>0</v>
      </c>
      <c r="C111">
        <f t="shared" si="4"/>
        <v>-3.5</v>
      </c>
      <c r="D111" t="str">
        <f t="shared" si="5"/>
        <v/>
      </c>
      <c r="E111" t="s">
        <v>145</v>
      </c>
    </row>
    <row r="112" spans="1:5" x14ac:dyDescent="0.2">
      <c r="A112" cm="1">
        <f t="array" ref="A112">TYPE(D!AW1:AW4)</f>
        <v>64</v>
      </c>
      <c r="B112">
        <f t="shared" si="3"/>
        <v>0</v>
      </c>
      <c r="C112">
        <f t="shared" si="4"/>
        <v>64</v>
      </c>
      <c r="D112" t="str">
        <f t="shared" si="5"/>
        <v/>
      </c>
      <c r="E112" t="s">
        <v>146</v>
      </c>
    </row>
    <row r="113" spans="1:5" x14ac:dyDescent="0.2">
      <c r="A113" t="e" cm="1">
        <f t="array" ref="A113">_xlfn.VAR.P(_xlfn.WRAPCOLS(_xlfn.CHOOSECOLS(D!L1:N6,1),5,"Привет"),_xlfn.XLOOKUP(3,D!L1:L6,WEEKDAY(39492)))</f>
        <v>#VALUE!</v>
      </c>
      <c r="B113">
        <f t="shared" si="3"/>
        <v>3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 vm="1">
        <f t="array" aca="1" ref="A114" ca="1">HLOOKUP(5,D!L8:Q10,2,D!AS1:AS8)</f>
        <v>#VALUE!</v>
      </c>
      <c r="B114">
        <f t="shared" ca="1" si="3"/>
        <v>9</v>
      </c>
      <c r="C114">
        <f t="shared" ca="1" si="4"/>
        <v>0</v>
      </c>
      <c r="D114" t="str">
        <f t="shared" ca="1" si="5"/>
        <v/>
      </c>
      <c r="E114" t="s">
        <v>148</v>
      </c>
    </row>
    <row r="115" spans="1:5" x14ac:dyDescent="0.2">
      <c r="A115" t="e" cm="1">
        <f t="array" ref="A115">BIN2DEC(D!B3)</f>
        <v>#NUM!</v>
      </c>
      <c r="B115">
        <f t="shared" si="3"/>
        <v>6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cm="1">
        <f t="array" ref="A116">_xlfn.CHOOSECOLS({1},1)</f>
        <v>1</v>
      </c>
      <c r="B116">
        <f t="shared" si="3"/>
        <v>0</v>
      </c>
      <c r="C116">
        <f t="shared" si="4"/>
        <v>1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RATE(7,TRUE,8000,4,10,FALSE)</f>
        <v>#NUM!</v>
      </c>
      <c r="B117">
        <f t="shared" si="3"/>
        <v>6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str" cm="1">
        <f t="array" ref="A118">_xlfn.TEXTJOIN(";",FALSE,FV(0.005,-1,0.5,-500,-1))</f>
        <v>498.012437810945</v>
      </c>
      <c r="B118">
        <f t="shared" si="3"/>
        <v>-3</v>
      </c>
      <c r="C118">
        <f t="shared" si="4"/>
        <v>0</v>
      </c>
      <c r="D118" t="str">
        <f t="shared" si="5"/>
        <v>498.012437810945</v>
      </c>
      <c r="E118" t="s">
        <v>152</v>
      </c>
    </row>
    <row r="119" spans="1:5" x14ac:dyDescent="0.2">
      <c r="A119" t="e" cm="1">
        <f t="array" ref="A119">_xlfn.RANK.EQ(STDEVPA(D!E1:E8),D!AW1:AW4,EDATE(40558,"0"))</f>
        <v>#DIV/0!</v>
      </c>
      <c r="B119">
        <f t="shared" si="3"/>
        <v>2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e" cm="1" vm="6">
        <f t="array" aca="1" ref="A120" ca="1">_xlfn.TAKE(D!L1:N6,-1,2)</f>
        <v>#VALUE!</v>
      </c>
      <c r="B120">
        <f t="shared" ca="1" si="3"/>
        <v>9</v>
      </c>
      <c r="C120">
        <f t="shared" ca="1" si="4"/>
        <v>0</v>
      </c>
      <c r="D120" t="str">
        <f t="shared" ca="1" si="5"/>
        <v/>
      </c>
      <c r="E120" t="s">
        <v>154</v>
      </c>
    </row>
    <row r="121" spans="1:5" x14ac:dyDescent="0.2">
      <c r="A121" cm="1">
        <f t="array" ref="A121">SUM(ISPMT(D!A15,BESSELJ(1.9,1)*D!A15,4,7))</f>
        <v>2122680837.9483616</v>
      </c>
      <c r="B121">
        <f t="shared" si="3"/>
        <v>0</v>
      </c>
      <c r="C121">
        <f t="shared" si="4"/>
        <v>2122680837.9483616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ODDLYIELD(_xlfn.SKEW.P(ODDLYIELD(DATE(2008,4,20),DATE(2008,6,15),0,0.0375,99.875,100,"aBc","Привет")),DATE(2008,6,15),DATE(2007,12,24),0.0375,0,100,"31-Jan-2025",0)</f>
        <v>#VALUE!</v>
      </c>
      <c r="B122">
        <f t="shared" si="3"/>
        <v>3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TTEST({1;2;3},D!C1:C8,4,7)</f>
        <v>#NUM!</v>
      </c>
      <c r="B123">
        <f t="shared" si="3"/>
        <v>6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e" cm="1">
        <f t="array" ref="A124">VLOOKUP("2024-02-29",D!L1:N6,D!AZ1:AZ5,FALSE)</f>
        <v>#N/A</v>
      </c>
      <c r="B124">
        <f t="shared" si="3"/>
        <v>7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cm="1">
        <f t="array" ref="A125">FV(0.005,10,0*1000)</f>
        <v>0</v>
      </c>
      <c r="B125">
        <f t="shared" si="3"/>
        <v>0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e" cm="1">
        <f t="array" ref="A126">NETWORKDAYS.INTL(38718,D!I1:I5)</f>
        <v>#VALUE!</v>
      </c>
      <c r="B126">
        <f t="shared" si="3"/>
        <v>3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str" cm="1">
        <f t="array" ref="A127">_xlfn.CONCAT(D!H1:H7,"b","c")</f>
        <v>45657456584565945689457174547346022bc</v>
      </c>
      <c r="B127">
        <f t="shared" si="3"/>
        <v>-3</v>
      </c>
      <c r="C127">
        <f t="shared" si="4"/>
        <v>0</v>
      </c>
      <c r="D127" t="str">
        <f t="shared" si="5"/>
        <v>45657456584565945689457174547346022bc</v>
      </c>
      <c r="E127" t="s">
        <v>161</v>
      </c>
    </row>
    <row r="128" spans="1:5" x14ac:dyDescent="0.2">
      <c r="A128" t="str" cm="1">
        <f t="array" ref="A128">IMEXP(-1)</f>
        <v>0.367879441171442</v>
      </c>
      <c r="B128">
        <f t="shared" si="3"/>
        <v>-3</v>
      </c>
      <c r="C128">
        <f t="shared" si="4"/>
        <v>0</v>
      </c>
      <c r="D128" t="str">
        <f t="shared" si="5"/>
        <v>0.367879441171442</v>
      </c>
      <c r="E128" t="s">
        <v>162</v>
      </c>
    </row>
    <row r="129" spans="1:5" x14ac:dyDescent="0.2">
      <c r="A129" cm="1">
        <f t="array" ref="A129">DATEVALUE("2025-01-31")</f>
        <v>45688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45688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INDEX(IFERROR(4,D!B2:B3),1,1)</f>
        <v>4</v>
      </c>
      <c r="B130">
        <f t="shared" si="6"/>
        <v>0</v>
      </c>
      <c r="C130">
        <f t="shared" si="7"/>
        <v>4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DMIN(D!B2:B3,D!M1:M6,D!G1:G7)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str" cm="1">
        <f t="array" ref="A132">_xlfn.CONCAT("a","b","c")</f>
        <v>abc</v>
      </c>
      <c r="B132">
        <f t="shared" si="6"/>
        <v>-3</v>
      </c>
      <c r="C132">
        <f t="shared" si="7"/>
        <v>0</v>
      </c>
      <c r="D132" t="str">
        <f t="shared" si="8"/>
        <v>abc</v>
      </c>
      <c r="E132" t="s">
        <v>166</v>
      </c>
    </row>
    <row r="133" spans="1:5" x14ac:dyDescent="0.2">
      <c r="A133" cm="1">
        <f t="array" ref="A133">OCT2DEC("54")</f>
        <v>44</v>
      </c>
      <c r="B133">
        <f t="shared" si="6"/>
        <v>0</v>
      </c>
      <c r="C133">
        <f t="shared" si="7"/>
        <v>44</v>
      </c>
      <c r="D133" t="str">
        <f t="shared" si="8"/>
        <v/>
      </c>
      <c r="E133" t="s">
        <v>167</v>
      </c>
    </row>
    <row r="134" spans="1:5" x14ac:dyDescent="0.2">
      <c r="A134" t="str" cm="1">
        <f t="array" ref="A134">LOWER("E. E. Cummings")</f>
        <v>e. e. cummings</v>
      </c>
      <c r="B134">
        <f t="shared" si="6"/>
        <v>-3</v>
      </c>
      <c r="C134">
        <f t="shared" si="7"/>
        <v>0</v>
      </c>
      <c r="D134" t="str">
        <f t="shared" si="8"/>
        <v>e. e. cummings</v>
      </c>
      <c r="E134" t="s">
        <v>168</v>
      </c>
    </row>
    <row r="135" spans="1:5" x14ac:dyDescent="0.2">
      <c r="A135" cm="1">
        <f t="array" ref="A135">IMARGUMENT("3+4i")</f>
        <v>0.92729521800161219</v>
      </c>
      <c r="B135">
        <f t="shared" si="6"/>
        <v>0</v>
      </c>
      <c r="C135">
        <f t="shared" si="7"/>
        <v>0.92729521800161219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NORMDIST(42,40,D!A15&lt;&gt;59,_xlfn.DECIMAL("FF",45351))</f>
        <v>#NUM!</v>
      </c>
      <c r="B136">
        <f t="shared" si="6"/>
        <v>6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CHIINV(_xlfn.CHISQ.TEST(OCT2BIN("31-Jan-2025",3),D!AM1:AN3),10)&lt;&gt;COUPPCD(DATE(2011,1,25),DATE(2011,11,15),TBILLEQ(-1,#NUM!,0.0914),"6:35 AM")</f>
        <v>#NUM!</v>
      </c>
      <c r="B137">
        <f t="shared" si="6"/>
        <v>6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str" cm="1">
        <f t="array" ref="A138">_xlfn.TEXTJOIN(";",FALSE,_xlfn.NUMBERVALUE("31-Jan-2025",",","."))</f>
        <v>45688</v>
      </c>
      <c r="B138">
        <f t="shared" si="6"/>
        <v>-3</v>
      </c>
      <c r="C138">
        <f t="shared" si="7"/>
        <v>0</v>
      </c>
      <c r="D138" t="str">
        <f t="shared" si="8"/>
        <v>45688</v>
      </c>
      <c r="E138" t="s">
        <v>172</v>
      </c>
    </row>
    <row r="139" spans="1:5" x14ac:dyDescent="0.2">
      <c r="A139" cm="1">
        <f t="array" ref="A139">VALUE("0")</f>
        <v>0</v>
      </c>
      <c r="B139">
        <f t="shared" si="6"/>
        <v>0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NA()</f>
        <v>#N/A</v>
      </c>
      <c r="B140">
        <f t="shared" si="6"/>
        <v>7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INDEX(NETWORKDAYS(41183,TTEST(D!B1:B8,D!G1:G7,1,1),DELTA(5,0)),1,1)</f>
        <v>#N/A</v>
      </c>
      <c r="B141">
        <f t="shared" si="6"/>
        <v>7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SUM(_xlfn.GAMMA(2.5))</f>
        <v>1.329340388179137</v>
      </c>
      <c r="B142">
        <f t="shared" si="6"/>
        <v>0</v>
      </c>
      <c r="C142">
        <f t="shared" si="7"/>
        <v>1.329340388179137</v>
      </c>
      <c r="D142" t="str">
        <f t="shared" si="8"/>
        <v/>
      </c>
      <c r="E142" t="s">
        <v>176</v>
      </c>
    </row>
    <row r="143" spans="1:5" x14ac:dyDescent="0.2">
      <c r="A143" t="e" cm="1" vm="1">
        <f t="array" aca="1" ref="A143" ca="1">ODDLPRICE(_xlfn.COT(D!AS1:AS8),DATE(2008,6,15),DATE(2007,10,15),MID("Fluid Flow",60,0.5),0.0405,100,2,10)</f>
        <v>#VALUE!</v>
      </c>
      <c r="B143">
        <f t="shared" ca="1" si="6"/>
        <v>9</v>
      </c>
      <c r="C143">
        <f t="shared" ca="1" si="7"/>
        <v>0</v>
      </c>
      <c r="D143" t="str">
        <f t="shared" ca="1" si="8"/>
        <v/>
      </c>
      <c r="E143" t="s">
        <v>177</v>
      </c>
    </row>
    <row r="144" spans="1:5" x14ac:dyDescent="0.2">
      <c r="A144" cm="1">
        <f t="array" ref="A144">SUM(TIMEVALUE("2:24 AM"))</f>
        <v>0.1</v>
      </c>
      <c r="B144">
        <f t="shared" si="6"/>
        <v>0</v>
      </c>
      <c r="C144">
        <f t="shared" si="7"/>
        <v>0.1</v>
      </c>
      <c r="D144" t="str">
        <f t="shared" si="8"/>
        <v/>
      </c>
      <c r="E144" t="s">
        <v>178</v>
      </c>
    </row>
    <row r="145" spans="1:5" x14ac:dyDescent="0.2">
      <c r="A145" cm="1">
        <f t="array" ref="A145">_xlfn.GAMMA.DIST(D!L4,9,2,TRUE)</f>
        <v>1.1402528326042434E-3</v>
      </c>
      <c r="B145">
        <f t="shared" si="6"/>
        <v>0</v>
      </c>
      <c r="C145">
        <f t="shared" si="7"/>
        <v>1.1402528326042434E-3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FV(#VALUE!,10,-200,-500)</f>
        <v>#VALUE!</v>
      </c>
      <c r="B146">
        <f t="shared" si="6"/>
        <v>3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str" cm="1">
        <f t="array" ref="A147">_xlfn.TEXTJOIN(";",FALSE,RATE(48,-200,8000,4,D!A15,0.5))</f>
        <v>0.00803735952148241</v>
      </c>
      <c r="B147">
        <f t="shared" si="6"/>
        <v>-3</v>
      </c>
      <c r="C147">
        <f t="shared" si="7"/>
        <v>0</v>
      </c>
      <c r="D147" t="str">
        <f t="shared" si="8"/>
        <v>0.00803735952148241</v>
      </c>
      <c r="E147" t="s">
        <v>181</v>
      </c>
    </row>
    <row r="148" spans="1:5" x14ac:dyDescent="0.2">
      <c r="A148" cm="1">
        <f t="array" ref="A148">SUM(SUMPRODUCT(D!B1:B8,D!C1:C8))</f>
        <v>2791.75</v>
      </c>
      <c r="B148">
        <f t="shared" si="6"/>
        <v>0</v>
      </c>
      <c r="C148">
        <f t="shared" si="7"/>
        <v>2791.75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REPT("*-",-1)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cm="1">
        <f t="array" ref="A150">TYPE(D!A15)</f>
        <v>1</v>
      </c>
      <c r="B150">
        <f t="shared" si="6"/>
        <v>0</v>
      </c>
      <c r="C150">
        <f t="shared" si="7"/>
        <v>1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DPRODUCT(D!N2,"Yield",D!AW1:AW4)</f>
        <v>#VALUE!</v>
      </c>
      <c r="B151">
        <f t="shared" si="6"/>
        <v>3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 vm="4">
        <f t="array" aca="1" ref="A152" ca="1">_xlfn.RRI({"x";""},10000,11000)</f>
        <v>#VALUE!</v>
      </c>
      <c r="B152">
        <f t="shared" ca="1" si="6"/>
        <v>9</v>
      </c>
      <c r="C152">
        <f t="shared" ca="1" si="7"/>
        <v>0</v>
      </c>
      <c r="D152" t="str">
        <f t="shared" ca="1" si="8"/>
        <v/>
      </c>
      <c r="E152" t="s">
        <v>186</v>
      </c>
    </row>
    <row r="153" spans="1:5" x14ac:dyDescent="0.2">
      <c r="A153" cm="1">
        <f t="array" ref="A153">SIGN(10)</f>
        <v>1</v>
      </c>
      <c r="B153">
        <f t="shared" si="6"/>
        <v>0</v>
      </c>
      <c r="C153">
        <f t="shared" si="7"/>
        <v>1</v>
      </c>
      <c r="D153" t="str">
        <f t="shared" si="8"/>
        <v/>
      </c>
      <c r="E153" t="s">
        <v>187</v>
      </c>
    </row>
    <row r="154" spans="1:5" x14ac:dyDescent="0.2">
      <c r="A154" cm="1">
        <f t="array" ref="A154">COLUMNS(_xlfn.CONFIDENCE.NORM(0.05,2.5,50))</f>
        <v>1</v>
      </c>
      <c r="B154">
        <f t="shared" si="6"/>
        <v>0</v>
      </c>
      <c r="C154">
        <f t="shared" si="7"/>
        <v>1</v>
      </c>
      <c r="D154" t="str">
        <f t="shared" si="8"/>
        <v/>
      </c>
      <c r="E154" t="s">
        <v>188</v>
      </c>
    </row>
    <row r="155" spans="1:5" x14ac:dyDescent="0.2">
      <c r="A155" t="e" cm="1" vm="5">
        <f t="array" aca="1" ref="A155" ca="1">_xlfn.DROP(D!L1:N6,5)</f>
        <v>#VALUE!</v>
      </c>
      <c r="B155">
        <f t="shared" ca="1" si="6"/>
        <v>9</v>
      </c>
      <c r="C155">
        <f t="shared" ca="1" si="7"/>
        <v>0</v>
      </c>
      <c r="D155" t="str">
        <f t="shared" ca="1" si="8"/>
        <v/>
      </c>
      <c r="E155" t="s">
        <v>189</v>
      </c>
    </row>
    <row r="156" spans="1:5" x14ac:dyDescent="0.2">
      <c r="A156" cm="1">
        <f t="array" ref="A156">PERCENTILE(D!B1:B8,0.5)</f>
        <v>12.625</v>
      </c>
      <c r="B156">
        <f t="shared" si="6"/>
        <v>0</v>
      </c>
      <c r="C156">
        <f t="shared" si="7"/>
        <v>12.625</v>
      </c>
      <c r="D156" t="str">
        <f t="shared" si="8"/>
        <v/>
      </c>
      <c r="E156" t="s">
        <v>190</v>
      </c>
    </row>
    <row r="157" spans="1:5" x14ac:dyDescent="0.2">
      <c r="A157" cm="1">
        <f t="array" ref="A157">ROUND(2.15,1)</f>
        <v>2.2000000000000002</v>
      </c>
      <c r="B157">
        <f t="shared" si="6"/>
        <v>0</v>
      </c>
      <c r="C157">
        <f t="shared" si="7"/>
        <v>2.2000000000000002</v>
      </c>
      <c r="D157" t="str">
        <f t="shared" si="8"/>
        <v/>
      </c>
      <c r="E157" t="s">
        <v>191</v>
      </c>
    </row>
    <row r="158" spans="1:5" x14ac:dyDescent="0.2">
      <c r="A158" t="e" cm="1">
        <f t="array" ref="A158">SUM(SUMIFS(D!A12,D!AV1:AV7,#REF!))</f>
        <v>#VALUE!</v>
      </c>
      <c r="B158">
        <f t="shared" si="6"/>
        <v>3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e" cm="1">
        <f t="array" ref="A159">_xlfn.COMBINA(D!A7,3)&lt;DMIN(D!B1:B3,"Yield",D!N1:N6)</f>
        <v>#DIV/0!</v>
      </c>
      <c r="B159">
        <f t="shared" si="6"/>
        <v>2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_xlfn.PERCENTRANK.INC(D!AZ1:AZ5,8,D!F1)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 vm="7">
        <f t="array" aca="1" ref="A161" ca="1">_xlfn.CHISQ.INV.RT({1,2;3,4},2.5)</f>
        <v>#VALUE!</v>
      </c>
      <c r="B161">
        <f t="shared" ca="1" si="6"/>
        <v>9</v>
      </c>
      <c r="C161">
        <f t="shared" ca="1" si="7"/>
        <v>0</v>
      </c>
      <c r="D161" t="str">
        <f t="shared" ca="1" si="8"/>
        <v/>
      </c>
      <c r="E161" t="s">
        <v>195</v>
      </c>
    </row>
    <row r="162" spans="1:5" x14ac:dyDescent="0.2">
      <c r="A162" cm="1">
        <f t="array" ref="A162">LENB("abc")</f>
        <v>3</v>
      </c>
      <c r="B162">
        <f t="shared" si="6"/>
        <v>0</v>
      </c>
      <c r="C162">
        <f t="shared" si="7"/>
        <v>3</v>
      </c>
      <c r="D162" t="str">
        <f t="shared" si="8"/>
        <v/>
      </c>
      <c r="E162" t="s">
        <v>196</v>
      </c>
    </row>
    <row r="163" spans="1:5" x14ac:dyDescent="0.2">
      <c r="A163" cm="1">
        <f t="array" ref="A163">_xlfn.NORM.INV(0.908789,ASINH(-2.5),1.5)</f>
        <v>0.35277086319506479</v>
      </c>
      <c r="B163">
        <f t="shared" si="6"/>
        <v>0</v>
      </c>
      <c r="C163">
        <f t="shared" si="7"/>
        <v>0.35277086319506479</v>
      </c>
      <c r="D163" t="str">
        <f t="shared" si="8"/>
        <v/>
      </c>
      <c r="E163" t="s">
        <v>197</v>
      </c>
    </row>
    <row r="164" spans="1:5" x14ac:dyDescent="0.2">
      <c r="A164" t="e" cm="1">
        <f t="array" ref="A164">_xlfn.CHOOSEROWS(-D!AK1:AL3&lt;=_xlfn.GAMMA("2024-02-29"),5,2)</f>
        <v>#VALUE!</v>
      </c>
      <c r="B164">
        <f t="shared" si="6"/>
        <v>3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cm="1">
        <f t="array" ref="A165">ROWS(COLUMN(D!D1:D8))</f>
        <v>1</v>
      </c>
      <c r="B165">
        <f t="shared" si="6"/>
        <v>0</v>
      </c>
      <c r="C165">
        <f t="shared" si="7"/>
        <v>1</v>
      </c>
      <c r="D165" t="str">
        <f t="shared" si="8"/>
        <v/>
      </c>
      <c r="E165" t="s">
        <v>199</v>
      </c>
    </row>
    <row r="166" spans="1:5" x14ac:dyDescent="0.2">
      <c r="A166" t="e" cm="1" vm="7">
        <f t="array" aca="1" ref="A166" ca="1">MINVERSE(D!P1:Q2)</f>
        <v>#VALUE!</v>
      </c>
      <c r="B166">
        <f t="shared" ca="1" si="6"/>
        <v>9</v>
      </c>
      <c r="C166">
        <f t="shared" ca="1" si="7"/>
        <v>0</v>
      </c>
      <c r="D166" t="str">
        <f t="shared" ca="1" si="8"/>
        <v/>
      </c>
      <c r="E166" t="s">
        <v>200</v>
      </c>
    </row>
    <row r="167" spans="1:5" x14ac:dyDescent="0.2">
      <c r="A167" t="e" cm="1" vm="8">
        <f t="array" aca="1" ref="A167" ca="1">NOMINAL(D!AZ1:AZ5,D!A8)+_xlfn.IMSEC(-D!AV1:AV7*"3")</f>
        <v>#VALUE!</v>
      </c>
      <c r="B167">
        <f t="shared" ca="1" si="6"/>
        <v>9</v>
      </c>
      <c r="C167">
        <f t="shared" ca="1" si="7"/>
        <v>0</v>
      </c>
      <c r="D167" t="str">
        <f t="shared" ca="1" si="8"/>
        <v/>
      </c>
      <c r="E167" t="s">
        <v>201</v>
      </c>
    </row>
    <row r="168" spans="1:5" x14ac:dyDescent="0.2">
      <c r="A168" t="e" cm="1">
        <f t="array" ref="A168">RATE(48,-1,8000)=FREQUENCY(D!B1:B8,PRICE(DATE(2008,2,15),0.25,#DIV/0!,0.065,D!A3,2,D!G4))</f>
        <v>#NUM!</v>
      </c>
      <c r="B168">
        <f t="shared" si="6"/>
        <v>6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INTRATE(DATE(2008,2,15),-1,{1},1014420,2)</f>
        <v>#NUM!</v>
      </c>
      <c r="B169">
        <f t="shared" si="6"/>
        <v>6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SUM(COUPDAYBS(-1,1,D!A5,{1,2;3,4}))</f>
        <v>#NUM!</v>
      </c>
      <c r="B170">
        <f t="shared" si="6"/>
        <v>6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cm="1">
        <f t="array" ref="A171">SUM(PI())</f>
        <v>3.1415926535897931</v>
      </c>
      <c r="B171">
        <f t="shared" si="6"/>
        <v>0</v>
      </c>
      <c r="C171">
        <f t="shared" si="7"/>
        <v>3.1415926535897931</v>
      </c>
      <c r="D171" t="str">
        <f t="shared" si="8"/>
        <v/>
      </c>
      <c r="E171" t="s">
        <v>205</v>
      </c>
    </row>
    <row r="172" spans="1:5" x14ac:dyDescent="0.2">
      <c r="A172" t="e" cm="1">
        <f t="array" ref="A172">DB(D!A13,D!A3,-1,D!L4,7)</f>
        <v>#VALUE!</v>
      </c>
      <c r="B172">
        <f t="shared" si="6"/>
        <v>3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e" cm="1">
        <f t="array" ref="A173">NOMINAL(D!A1,4)</f>
        <v>#NUM!</v>
      </c>
      <c r="B173">
        <f t="shared" si="6"/>
        <v>6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IMSUB(" 2 ",FALSE)</f>
        <v>#VALUE!</v>
      </c>
      <c r="B174">
        <f t="shared" si="6"/>
        <v>3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COLUMNS(XNPV(D!B3,D!C1:C8,D!AU1:AU5))</f>
        <v>#NUM!</v>
      </c>
      <c r="B175">
        <f t="shared" si="6"/>
        <v>6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 vm="2">
        <f t="array" aca="1" ref="A176" ca="1">HEX2BIN("F","-4")&lt;PMT(_xlfn.CHISQ.TEST({0.5;-1},{1;2;3}),_xlfn.TEXTAFTER(D!AY1:AY5,"-"),10000)</f>
        <v>#VALUE!</v>
      </c>
      <c r="B176">
        <f t="shared" ca="1" si="6"/>
        <v>9</v>
      </c>
      <c r="C176">
        <f t="shared" ca="1" si="7"/>
        <v>0</v>
      </c>
      <c r="D176" t="str">
        <f t="shared" ca="1" si="8"/>
        <v/>
      </c>
      <c r="E176" t="s">
        <v>210</v>
      </c>
    </row>
    <row r="177" spans="1:5" x14ac:dyDescent="0.2">
      <c r="A177" t="e" cm="1">
        <f t="array" ref="A177">BIN2HEX(D!A1,-1)</f>
        <v>#NUM!</v>
      </c>
      <c r="B177">
        <f t="shared" si="6"/>
        <v>6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YEAR(39634)&lt;&gt;NEGBINOMDIST(10,5,_xlfn.Z.TEST(D!B3,D!A12))</f>
        <v>#DIV/0!</v>
      </c>
      <c r="B178">
        <f t="shared" si="6"/>
        <v>2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cm="1">
        <f t="array" ref="A179">_xlfn.CEILING.PRECISE(-1.5,TRUE)</f>
        <v>-1</v>
      </c>
      <c r="B179">
        <f t="shared" si="6"/>
        <v>0</v>
      </c>
      <c r="C179">
        <f t="shared" si="7"/>
        <v>-1</v>
      </c>
      <c r="D179" t="str">
        <f t="shared" si="8"/>
        <v/>
      </c>
      <c r="E179" t="s">
        <v>213</v>
      </c>
    </row>
    <row r="180" spans="1:5" x14ac:dyDescent="0.2">
      <c r="A180" t="str" cm="1">
        <f t="array" ref="A180">_xlfn.TEXTJOIN(";",FALSE,EVEN(1.5))</f>
        <v>2</v>
      </c>
      <c r="B180">
        <f t="shared" si="6"/>
        <v>-3</v>
      </c>
      <c r="C180">
        <f t="shared" si="7"/>
        <v>0</v>
      </c>
      <c r="D180" t="str">
        <f t="shared" si="8"/>
        <v>2</v>
      </c>
      <c r="E180" t="s">
        <v>214</v>
      </c>
    </row>
    <row r="181" spans="1:5" x14ac:dyDescent="0.2">
      <c r="A181" t="e" cm="1" vm="7">
        <f t="array" aca="1" ref="A181" ca="1">BINOMDIST(D!C2,7,{1,2;3,4},FALSE)</f>
        <v>#VALUE!</v>
      </c>
      <c r="B181">
        <f t="shared" ca="1" si="6"/>
        <v>9</v>
      </c>
      <c r="C181">
        <f t="shared" ca="1" si="7"/>
        <v>0</v>
      </c>
      <c r="D181" t="str">
        <f t="shared" ca="1" si="8"/>
        <v/>
      </c>
      <c r="E181" t="s">
        <v>215</v>
      </c>
    </row>
    <row r="182" spans="1:5" x14ac:dyDescent="0.2">
      <c r="A182" t="e" cm="1">
        <f t="array" ref="A182">FISHER(4)</f>
        <v>#NUM!</v>
      </c>
      <c r="B182">
        <f t="shared" si="6"/>
        <v>6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cm="1">
        <f t="array" ref="A183">_xlfn.AGGREGATE(9,"18:30",D!F1:F7)</f>
        <v>0</v>
      </c>
      <c r="B183">
        <f t="shared" si="6"/>
        <v>0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cm="1">
        <f t="array" ref="A184">SINH(1)</f>
        <v>1.1752011936438014</v>
      </c>
      <c r="B184">
        <f t="shared" si="6"/>
        <v>0</v>
      </c>
      <c r="C184">
        <f t="shared" si="7"/>
        <v>1.1752011936438014</v>
      </c>
      <c r="D184" t="str">
        <f t="shared" si="8"/>
        <v/>
      </c>
      <c r="E184" t="s">
        <v>218</v>
      </c>
    </row>
    <row r="185" spans="1:5" x14ac:dyDescent="0.2">
      <c r="A185" cm="1">
        <f t="array" ref="A185">DAYS360(FALSE,D!AU2)</f>
        <v>38941</v>
      </c>
      <c r="B185">
        <f t="shared" si="6"/>
        <v>0</v>
      </c>
      <c r="C185">
        <f t="shared" si="7"/>
        <v>38941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_xlfn.CHOOSECOLS(D!L1:N6,2,0,0)&lt;&gt;SUMIFS(D!D1:D8,D!G4,"&gt;4",D!E1:E8,TRUE)</f>
        <v>#VALUE!</v>
      </c>
      <c r="B186">
        <f t="shared" si="6"/>
        <v>3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cm="1">
        <f t="array" ref="A187">_xlfn.SEC(0.5)</f>
        <v>1.139493927324549</v>
      </c>
      <c r="B187">
        <f t="shared" si="6"/>
        <v>0</v>
      </c>
      <c r="C187">
        <f t="shared" si="7"/>
        <v>1.139493927324549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OCT2BIN("TRUE",3)</f>
        <v>#NUM!</v>
      </c>
      <c r="B188">
        <f t="shared" si="6"/>
        <v>6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cm="1">
        <f t="array" ref="A189">SUM(VARA(D!B1:B8))</f>
        <v>189.33816964285714</v>
      </c>
      <c r="B189">
        <f t="shared" si="6"/>
        <v>0</v>
      </c>
      <c r="C189">
        <f t="shared" si="7"/>
        <v>189.33816964285714</v>
      </c>
      <c r="D189" t="str">
        <f t="shared" si="8"/>
        <v/>
      </c>
      <c r="E189" t="s">
        <v>223</v>
      </c>
    </row>
    <row r="190" spans="1:5" x14ac:dyDescent="0.2">
      <c r="A190" cm="1">
        <f t="array" ref="A190">STDEVPA(D!B1:B8)</f>
        <v>12.871320772846119</v>
      </c>
      <c r="B190">
        <f t="shared" si="6"/>
        <v>0</v>
      </c>
      <c r="C190">
        <f t="shared" si="7"/>
        <v>12.871320772846119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AVEDEV(D!B1:B8,_xlfn.TAKE(D!L1:L6,2),1000)^DSUM(D!H1:H7,0.5,D!B7)</f>
        <v>#VALUE!</v>
      </c>
      <c r="B191">
        <f t="shared" si="6"/>
        <v>3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e" cm="1">
        <f t="array" ref="A192">_xlfn.TEXTAFTER(#DIV/0!,D!I1:I5-{1,2;3,4})</f>
        <v>#DIV/0!</v>
      </c>
      <c r="B192">
        <f t="shared" si="6"/>
        <v>2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cm="1">
        <f t="array" ref="A193">INDEX(SINH(FREQUENCY(D!B1:B8,D!AT1:AT3)),1,1)</f>
        <v>1.1752011936438014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1.1752011936438014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DMIN(D!AZ1:AZ5,"Yield",D!I1:I5)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cm="1">
        <f t="array" ref="A195">LENB("FALSE")*ERF(0.745,-1)</f>
        <v>-7.7531485652272636</v>
      </c>
      <c r="B195">
        <f t="shared" si="9"/>
        <v>0</v>
      </c>
      <c r="C195">
        <f t="shared" si="10"/>
        <v>-7.7531485652272636</v>
      </c>
      <c r="D195" t="str">
        <f t="shared" si="11"/>
        <v/>
      </c>
      <c r="E195" t="s">
        <v>229</v>
      </c>
    </row>
    <row r="196" spans="1:5" x14ac:dyDescent="0.2">
      <c r="A196" cm="1">
        <f t="array" ref="A196">SUMSQ(D!G4)</f>
        <v>64</v>
      </c>
      <c r="B196">
        <f t="shared" si="9"/>
        <v>0</v>
      </c>
      <c r="C196">
        <f t="shared" si="10"/>
        <v>64</v>
      </c>
      <c r="D196" t="str">
        <f t="shared" si="11"/>
        <v/>
      </c>
      <c r="E196" t="s">
        <v>230</v>
      </c>
    </row>
    <row r="197" spans="1:5" x14ac:dyDescent="0.2">
      <c r="A197" cm="1">
        <f t="array" ref="A197">SUMSQ(3,D!AZ1:AZ5)</f>
        <v>64</v>
      </c>
      <c r="B197">
        <f t="shared" si="9"/>
        <v>0</v>
      </c>
      <c r="C197">
        <f t="shared" si="10"/>
        <v>64</v>
      </c>
      <c r="D197" t="str">
        <f t="shared" si="11"/>
        <v/>
      </c>
      <c r="E197" t="s">
        <v>231</v>
      </c>
    </row>
    <row r="198" spans="1:5" x14ac:dyDescent="0.2">
      <c r="A198" t="e" cm="1">
        <f t="array" ref="A198">DB(-1.5,100000,6,1,7)</f>
        <v>#NUM!</v>
      </c>
      <c r="B198">
        <f t="shared" si="9"/>
        <v>6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cm="1">
        <f t="array" ref="A199">COLUMNS(RADIANS(270))</f>
        <v>1</v>
      </c>
      <c r="B199">
        <f t="shared" si="9"/>
        <v>0</v>
      </c>
      <c r="C199">
        <f t="shared" si="10"/>
        <v>1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ACOSH(7&lt;&gt;_xlfn.CONFIDENCE.NORM(D!B7,1,-1))</f>
        <v>#NUM!</v>
      </c>
      <c r="B200">
        <f t="shared" si="9"/>
        <v>6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DAY(D!M2)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cm="1">
        <f t="array" ref="A202">FISHERINV(0.972955)</f>
        <v>0.74999996739414843</v>
      </c>
      <c r="B202">
        <f t="shared" si="9"/>
        <v>0</v>
      </c>
      <c r="C202">
        <f t="shared" si="10"/>
        <v>0.74999996739414843</v>
      </c>
      <c r="D202" t="str">
        <f t="shared" si="11"/>
        <v/>
      </c>
      <c r="E202" t="s">
        <v>236</v>
      </c>
    </row>
    <row r="203" spans="1:5" x14ac:dyDescent="0.2">
      <c r="A203" cm="1">
        <f t="array" ref="A203">SUM(_xlfn.SWITCH(" 2 ",1,2,{"x";""},"A",D!A12))</f>
        <v>0</v>
      </c>
      <c r="B203">
        <f t="shared" si="9"/>
        <v>0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t="str" cm="1">
        <f t="array" ref="A204">ROMAN(499)</f>
        <v>CDXCIX</v>
      </c>
      <c r="B204">
        <f t="shared" si="9"/>
        <v>-3</v>
      </c>
      <c r="C204">
        <f t="shared" si="10"/>
        <v>0</v>
      </c>
      <c r="D204" t="str">
        <f t="shared" si="11"/>
        <v>CDXCIX</v>
      </c>
      <c r="E204" t="s">
        <v>238</v>
      </c>
    </row>
    <row r="205" spans="1:5" x14ac:dyDescent="0.2">
      <c r="A205" t="e" cm="1">
        <f t="array" ref="A205">ROWS(XNPV(4,D!B1:C8,D!AU1:AU5))</f>
        <v>#NUM!</v>
      </c>
      <c r="B205">
        <f t="shared" si="9"/>
        <v>6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cm="1">
        <f t="array" ref="A206">SIGN("$1,000")</f>
        <v>1</v>
      </c>
      <c r="B206">
        <f t="shared" si="9"/>
        <v>0</v>
      </c>
      <c r="C206">
        <f t="shared" si="10"/>
        <v>1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_xlfn.RANK.EQ(D!A8,D!B1,100)</f>
        <v>#N/A</v>
      </c>
      <c r="B207">
        <f t="shared" si="9"/>
        <v>7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t="e" cm="1">
        <f t="array" ref="A208">SUM(IMCOS("1+i"))</f>
        <v>#VALUE!</v>
      </c>
      <c r="B208">
        <f t="shared" si="9"/>
        <v>3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_xlfn.TEXTJOIN(";",FALSE,SUMX2MY2(D!B1:B8,_xlfn.CHOOSEROWS(D!L1:N6,1,2)))</f>
        <v>#N/A</v>
      </c>
      <c r="B209">
        <f t="shared" si="9"/>
        <v>7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cm="1">
        <f t="array" ref="A210">ERROR.TYPE(D!A7)</f>
        <v>2</v>
      </c>
      <c r="B210">
        <f t="shared" si="9"/>
        <v>0</v>
      </c>
      <c r="C210">
        <f t="shared" si="10"/>
        <v>2</v>
      </c>
      <c r="D210" t="str">
        <f t="shared" si="11"/>
        <v/>
      </c>
      <c r="E210" t="s">
        <v>244</v>
      </c>
    </row>
    <row r="211" spans="1:5" x14ac:dyDescent="0.2">
      <c r="A211" t="e" cm="1">
        <f t="array" ref="A211">INDEX(_xlfn.NUMBERVALUE("2.500,27",",",100),1,1)</f>
        <v>#VALUE!</v>
      </c>
      <c r="B211">
        <f t="shared" si="9"/>
        <v>3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MDETERM(D!AA1:AB2)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e" cm="1" vm="3">
        <f t="array" aca="1" ref="A213" ca="1">_xlfn.VSTACK(0,D!R1:S2)</f>
        <v>#VALUE!</v>
      </c>
      <c r="B213">
        <f t="shared" ca="1" si="9"/>
        <v>9</v>
      </c>
      <c r="C213">
        <f t="shared" ca="1" si="10"/>
        <v>0</v>
      </c>
      <c r="D213" t="str">
        <f t="shared" ca="1" si="11"/>
        <v/>
      </c>
      <c r="E213" t="s">
        <v>247</v>
      </c>
    </row>
    <row r="214" spans="1:5" x14ac:dyDescent="0.2">
      <c r="A214" cm="1">
        <f t="array" ref="A214">DEVSQ(ATAN(1))</f>
        <v>0</v>
      </c>
      <c r="B214">
        <f t="shared" si="9"/>
        <v>0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cm="1">
        <f t="array" ref="A215">_xlfn.BINOM.INV(D!L4,0.5,0.75)</f>
        <v>3</v>
      </c>
      <c r="B215">
        <f t="shared" si="9"/>
        <v>0</v>
      </c>
      <c r="C215">
        <f t="shared" si="10"/>
        <v>3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_xlfn.WRAPROWS(_xlfn.GAMMA(-1.5),-1)&lt;ISNONTEXT(IMLOG10("3+4i"))</f>
        <v>#NUM!</v>
      </c>
      <c r="B216">
        <f t="shared" si="9"/>
        <v>6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_xlfn.NORM.S.INV(D!B1)</f>
        <v>#NUM!</v>
      </c>
      <c r="B217">
        <f t="shared" si="9"/>
        <v>6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t="b" cm="1">
        <f t="array" ref="A218">_xlfn.IMSECH("4+3i")&lt;ASIN(-0.5)</f>
        <v>0</v>
      </c>
      <c r="B218">
        <f t="shared" si="9"/>
        <v>-2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str" cm="1">
        <f t="array" ref="A219">PROPER("this is a TITLE")</f>
        <v>This Is A Title</v>
      </c>
      <c r="B219">
        <f t="shared" si="9"/>
        <v>-3</v>
      </c>
      <c r="C219">
        <f t="shared" si="10"/>
        <v>0</v>
      </c>
      <c r="D219" t="str">
        <f t="shared" si="11"/>
        <v>This Is A Title</v>
      </c>
      <c r="E219" t="s">
        <v>253</v>
      </c>
    </row>
    <row r="220" spans="1:5" x14ac:dyDescent="0.2">
      <c r="A220" cm="1">
        <f t="array" ref="A220">EXP(1)</f>
        <v>2.7182818284590451</v>
      </c>
      <c r="B220">
        <f t="shared" si="9"/>
        <v>0</v>
      </c>
      <c r="C220">
        <f t="shared" si="10"/>
        <v>2.7182818284590451</v>
      </c>
      <c r="D220" t="str">
        <f t="shared" si="11"/>
        <v/>
      </c>
      <c r="E220" t="s">
        <v>254</v>
      </c>
    </row>
    <row r="221" spans="1:5" x14ac:dyDescent="0.2">
      <c r="A221" cm="1">
        <f t="array" ref="A221">ROWS(ODDLPRICE(IMEXP("2024-02-29"),_xlfn.SEQUENCE(5,2),_xlfn.F.DIST(1000,6,D!B7,TRUE),_xlfn.ACOT(2),0.0405,{1;2;3},FALSE,D!H1:H7))</f>
        <v>5</v>
      </c>
      <c r="B221">
        <f t="shared" si="9"/>
        <v>0</v>
      </c>
      <c r="C221">
        <f t="shared" si="10"/>
        <v>5</v>
      </c>
      <c r="D221" t="str">
        <f t="shared" si="11"/>
        <v/>
      </c>
      <c r="E221" t="s">
        <v>255</v>
      </c>
    </row>
    <row r="222" spans="1:5" x14ac:dyDescent="0.2">
      <c r="A222" t="e" cm="1" vm="9">
        <f t="array" aca="1" ref="A222" ca="1">GROWTH(D!BB1:BB6)</f>
        <v>#VALUE!</v>
      </c>
      <c r="B222">
        <f t="shared" ca="1" si="9"/>
        <v>9</v>
      </c>
      <c r="C222">
        <f t="shared" ca="1" si="10"/>
        <v>0</v>
      </c>
      <c r="D222" t="str">
        <f t="shared" ca="1" si="11"/>
        <v/>
      </c>
      <c r="E222" t="s">
        <v>256</v>
      </c>
    </row>
    <row r="223" spans="1:5" x14ac:dyDescent="0.2">
      <c r="A223" t="e" cm="1">
        <f t="array" ref="A223">IMSUB("13+4i","a,b")</f>
        <v>#NUM!</v>
      </c>
      <c r="B223">
        <f t="shared" si="9"/>
        <v>6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e" cm="1">
        <f t="array" ref="A224">MINVERSE({3,1,2})</f>
        <v>#VALUE!</v>
      </c>
      <c r="B224">
        <f t="shared" si="9"/>
        <v>3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HARMEAN(GROWTH(D!P4:R5,D!AZ1:AZ5,0))</f>
        <v>#REF!</v>
      </c>
      <c r="B225">
        <f t="shared" si="9"/>
        <v>4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b" cm="1">
        <f t="array" ref="A226">ISODD(-1)</f>
        <v>1</v>
      </c>
      <c r="B226">
        <f t="shared" si="9"/>
        <v>-1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e" cm="1">
        <f t="array" ref="A227">DCOUNT(D!E1:E8,"Yield",D!B1)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_xlfn.TEXTJOIN(";",FALSE,SKEW(D!E1:E8,D!N1:N6))</f>
        <v>#DIV/0!</v>
      </c>
      <c r="B228">
        <f t="shared" si="9"/>
        <v>2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cm="1">
        <f t="array" ref="A229">_xlfn.UNICODE(2.5)</f>
        <v>50</v>
      </c>
      <c r="B229">
        <f t="shared" si="9"/>
        <v>0</v>
      </c>
      <c r="C229">
        <f t="shared" si="10"/>
        <v>50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TIMEVALUE("1E2")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cm="1">
        <f t="array" ref="A231">SUM(D!B1:B8)</f>
        <v>114.75</v>
      </c>
      <c r="B231">
        <f t="shared" si="9"/>
        <v>0</v>
      </c>
      <c r="C231">
        <f t="shared" si="10"/>
        <v>114.75</v>
      </c>
      <c r="D231" t="str">
        <f t="shared" si="11"/>
        <v/>
      </c>
      <c r="E231" t="s">
        <v>265</v>
      </c>
    </row>
    <row r="232" spans="1:5" x14ac:dyDescent="0.2">
      <c r="A232" cm="1">
        <f t="array" ref="A232">LOG(10)</f>
        <v>1</v>
      </c>
      <c r="B232">
        <f t="shared" si="9"/>
        <v>0</v>
      </c>
      <c r="C232">
        <f t="shared" si="10"/>
        <v>1</v>
      </c>
      <c r="D232" t="str">
        <f t="shared" si="11"/>
        <v/>
      </c>
      <c r="E232" t="s">
        <v>266</v>
      </c>
    </row>
    <row r="233" spans="1:5" x14ac:dyDescent="0.2">
      <c r="A233" cm="1">
        <f t="array" ref="A233">COSH(4)</f>
        <v>27.308232836016487</v>
      </c>
      <c r="B233">
        <f t="shared" si="9"/>
        <v>0</v>
      </c>
      <c r="C233">
        <f t="shared" si="10"/>
        <v>27.308232836016487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COLUMNS(_xlfn.IMCOT(D!F1))</f>
        <v>#NUM!</v>
      </c>
      <c r="B234">
        <f t="shared" si="9"/>
        <v>6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cm="1">
        <f t="array" ref="A235">_xlfn.VAR.P(D!B2:B3)</f>
        <v>12.25</v>
      </c>
      <c r="B235">
        <f t="shared" si="9"/>
        <v>0</v>
      </c>
      <c r="C235">
        <f t="shared" si="10"/>
        <v>12.25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SYD(30000,2,-1.5,1)</f>
        <v>#NUM!</v>
      </c>
      <c r="B236">
        <f t="shared" si="9"/>
        <v>6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RSQ(D!B1:B8,D!AW1:AW4)</f>
        <v>#N/A</v>
      </c>
      <c r="B237">
        <f t="shared" si="9"/>
        <v>7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t="str" cm="1">
        <f t="array" ref="A238">_xlfn.TEXTJOIN(";",FALSE,STANDARDIZE({1,2;3,4},40,D!G4))</f>
        <v>-4.875;-4.75;-4.625;-4.5</v>
      </c>
      <c r="B238">
        <f t="shared" si="9"/>
        <v>-3</v>
      </c>
      <c r="C238">
        <f t="shared" si="10"/>
        <v>0</v>
      </c>
      <c r="D238" t="str">
        <f t="shared" si="11"/>
        <v>-4.875;-4.75;-4.625;-4.5</v>
      </c>
      <c r="E238" t="s">
        <v>272</v>
      </c>
    </row>
    <row r="239" spans="1:5" x14ac:dyDescent="0.2">
      <c r="A239" t="e" cm="1" vm="6">
        <f t="array" aca="1" ref="A239" ca="1">NETWORKDAYS.INTL(38718,D!G4,{"a","b"})-COUNTBLANK(D!AY1:AY5)</f>
        <v>#VALUE!</v>
      </c>
      <c r="B239">
        <f t="shared" ca="1" si="9"/>
        <v>9</v>
      </c>
      <c r="C239">
        <f t="shared" ca="1" si="10"/>
        <v>0</v>
      </c>
      <c r="D239" t="str">
        <f t="shared" ca="1" si="11"/>
        <v/>
      </c>
      <c r="E239" t="s">
        <v>273</v>
      </c>
    </row>
    <row r="240" spans="1:5" x14ac:dyDescent="0.2">
      <c r="A240" t="e" cm="1">
        <f t="array" ref="A240">_xlfn.TEXTJOIN(";",FALSE,LOG10(#NUM!))</f>
        <v>#NUM!</v>
      </c>
      <c r="B240">
        <f t="shared" si="9"/>
        <v>6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CHITEST(D!AK1:AL3,{1,2;3,4})</f>
        <v>#N/A</v>
      </c>
      <c r="B241">
        <f t="shared" si="9"/>
        <v>7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cm="1">
        <f t="array" ref="A242">COLUMNS(_xlfn.MODE.MULT(D!BG1:BG12))</f>
        <v>1</v>
      </c>
      <c r="B242">
        <f t="shared" si="9"/>
        <v>0</v>
      </c>
      <c r="C242">
        <f t="shared" si="10"/>
        <v>1</v>
      </c>
      <c r="D242" t="str">
        <f t="shared" si="11"/>
        <v/>
      </c>
      <c r="E242" t="s">
        <v>276</v>
      </c>
    </row>
    <row r="243" spans="1:5" x14ac:dyDescent="0.2">
      <c r="A243" cm="1">
        <f t="array" ref="A243">COUNT({1,2,3})</f>
        <v>3</v>
      </c>
      <c r="B243">
        <f t="shared" si="9"/>
        <v>0</v>
      </c>
      <c r="C243">
        <f t="shared" si="10"/>
        <v>3</v>
      </c>
      <c r="D243" t="str">
        <f t="shared" si="11"/>
        <v/>
      </c>
      <c r="E243" t="s">
        <v>277</v>
      </c>
    </row>
    <row r="244" spans="1:5" x14ac:dyDescent="0.2">
      <c r="A244" t="e" cm="1" vm="5">
        <f t="array" aca="1" ref="A244" ca="1">YIELDMAT(DATE(2008,3,15),#NAME?,DATE(2007,11,8),{1,2,3},100.0123,4)</f>
        <v>#VALUE!</v>
      </c>
      <c r="B244">
        <f t="shared" ca="1" si="9"/>
        <v>9</v>
      </c>
      <c r="C244">
        <f t="shared" ca="1" si="10"/>
        <v>0</v>
      </c>
      <c r="D244" t="str">
        <f t="shared" ca="1" si="11"/>
        <v/>
      </c>
      <c r="E244" t="s">
        <v>278</v>
      </c>
    </row>
    <row r="245" spans="1:5" x14ac:dyDescent="0.2">
      <c r="A245" t="e" cm="1">
        <f t="array" ref="A245">DATEVALUE(#DIV/0!)</f>
        <v>#DIV/0!</v>
      </c>
      <c r="B245">
        <f t="shared" si="9"/>
        <v>2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_xlfn.CONFIDENCE.NORM("?",D!G4,TRUE)</f>
        <v>#VALUE!</v>
      </c>
      <c r="B246">
        <f t="shared" si="9"/>
        <v>3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str" cm="1">
        <f t="array" ref="A247">INDEX(_xlfn.IMCOSH("4+3i"),1,1)</f>
        <v>-27.0349456030742+3.85115333481178i</v>
      </c>
      <c r="B247">
        <f t="shared" si="9"/>
        <v>-3</v>
      </c>
      <c r="C247">
        <f t="shared" si="10"/>
        <v>0</v>
      </c>
      <c r="D247" t="str">
        <f t="shared" si="11"/>
        <v>-27.0349456030742+3.85115333481178i</v>
      </c>
      <c r="E247" t="s">
        <v>281</v>
      </c>
    </row>
    <row r="248" spans="1:5" x14ac:dyDescent="0.2">
      <c r="A248" cm="1">
        <f t="array" ref="A248">_xlfn.COMBINA(4,3)</f>
        <v>20</v>
      </c>
      <c r="B248">
        <f t="shared" si="9"/>
        <v>0</v>
      </c>
      <c r="C248">
        <f t="shared" si="10"/>
        <v>20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ROWS(HYPGEOMDIST(D!A4,"50%",8,#DIV/0!))</f>
        <v>#DIV/0!</v>
      </c>
      <c r="B249">
        <f t="shared" si="9"/>
        <v>2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cm="1">
        <f t="array" ref="A250">_xlfn.COTH(2)</f>
        <v>1.0373147207275479</v>
      </c>
      <c r="B250">
        <f t="shared" si="9"/>
        <v>0</v>
      </c>
      <c r="C250">
        <f t="shared" si="10"/>
        <v>1.0373147207275479</v>
      </c>
      <c r="D250" t="str">
        <f t="shared" si="11"/>
        <v/>
      </c>
      <c r="E250" t="s">
        <v>284</v>
      </c>
    </row>
    <row r="251" spans="1:5" x14ac:dyDescent="0.2">
      <c r="A251" cm="1">
        <f t="array" ref="A251">PRODUCT(D!B1:B8)</f>
        <v>-266152320</v>
      </c>
      <c r="B251">
        <f t="shared" si="9"/>
        <v>0</v>
      </c>
      <c r="C251">
        <f t="shared" si="10"/>
        <v>-266152320</v>
      </c>
      <c r="D251" t="str">
        <f t="shared" si="11"/>
        <v/>
      </c>
      <c r="E251" t="s">
        <v>285</v>
      </c>
    </row>
    <row r="252" spans="1:5" x14ac:dyDescent="0.2">
      <c r="A252" cm="1">
        <f t="array" ref="A252">IFERROR(0.5,"err")</f>
        <v>0.5</v>
      </c>
      <c r="B252">
        <f t="shared" si="9"/>
        <v>0</v>
      </c>
      <c r="C252">
        <f t="shared" si="10"/>
        <v>0.5</v>
      </c>
      <c r="D252" t="str">
        <f t="shared" si="11"/>
        <v/>
      </c>
      <c r="E252" t="s">
        <v>286</v>
      </c>
    </row>
    <row r="253" spans="1:5" x14ac:dyDescent="0.2">
      <c r="A253" cm="1">
        <f t="array" ref="A253">_xlfn.VAR.P(D!B1:B8,D!B1:B3)</f>
        <v>131.78822314049586</v>
      </c>
      <c r="B253">
        <f t="shared" si="9"/>
        <v>0</v>
      </c>
      <c r="C253">
        <f t="shared" si="10"/>
        <v>131.78822314049586</v>
      </c>
      <c r="D253" t="str">
        <f t="shared" si="11"/>
        <v/>
      </c>
      <c r="E253" t="s">
        <v>287</v>
      </c>
    </row>
    <row r="254" spans="1:5" x14ac:dyDescent="0.2">
      <c r="A254" cm="1">
        <f t="array" ref="A254">MINUTE("18:30")</f>
        <v>30</v>
      </c>
      <c r="B254">
        <f t="shared" si="9"/>
        <v>0</v>
      </c>
      <c r="C254">
        <f t="shared" si="10"/>
        <v>30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INDEX(_xlfn.RRI(45351,10000,D!A13),1,1)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SUM(TDIST(_xlfn.PDURATION(0.025,D!L4,D!A12)&lt;D!C2,60,2))</f>
        <v>#NUM!</v>
      </c>
      <c r="B256">
        <f t="shared" si="9"/>
        <v>6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cm="1">
        <f t="array" ref="A257">POWER(CONFIDENCE(0.05,2.5,50),2)</f>
        <v>0.48018235258676528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0.48018235258676528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e" cm="1">
        <f t="array" ref="A258">AVEDEV(_xlfn.UNIQUE(D!A1:A5))</f>
        <v>#NUM!</v>
      </c>
      <c r="B258">
        <f t="shared" si="12"/>
        <v>6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cm="1">
        <f t="array" ref="A259">SLN(30000,2.5,100)</f>
        <v>299.97500000000002</v>
      </c>
      <c r="B259">
        <f t="shared" si="12"/>
        <v>0</v>
      </c>
      <c r="C259">
        <f t="shared" si="13"/>
        <v>299.97500000000002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STDEVP(D!B1:B8)&lt;&gt;_xlfn.RANK.AVG(94,D!H1:H7)</f>
        <v>#N/A</v>
      </c>
      <c r="B260">
        <f t="shared" si="12"/>
        <v>7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str" cm="1">
        <f t="array" ref="A261">MIDB("abcdef",100,D!A1)</f>
        <v/>
      </c>
      <c r="B261">
        <f t="shared" si="12"/>
        <v>-3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cm="1">
        <f t="array" ref="A262">COUNTIFS(D!AZ1:AZ5," ")</f>
        <v>0</v>
      </c>
      <c r="B262">
        <f t="shared" si="12"/>
        <v>0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cm="1">
        <f t="array" ref="A263">COLUMNS(TRIM("  First Quarter Earnings  "))</f>
        <v>1</v>
      </c>
      <c r="B263">
        <f t="shared" si="12"/>
        <v>0</v>
      </c>
      <c r="C263">
        <f t="shared" si="13"/>
        <v>1</v>
      </c>
      <c r="D263" t="str">
        <f t="shared" si="14"/>
        <v/>
      </c>
      <c r="E263" t="s">
        <v>297</v>
      </c>
    </row>
    <row r="264" spans="1:5" x14ac:dyDescent="0.2">
      <c r="A264" t="e" cm="1" vm="10">
        <f t="array" aca="1" ref="A264" ca="1">FREQUENCY(D!B1:B8,D!AT1:AT3)</f>
        <v>#VALUE!</v>
      </c>
      <c r="B264">
        <f t="shared" ca="1" si="12"/>
        <v>9</v>
      </c>
      <c r="C264">
        <f t="shared" ca="1" si="13"/>
        <v>0</v>
      </c>
      <c r="D264" t="str">
        <f t="shared" ca="1" si="14"/>
        <v/>
      </c>
      <c r="E264" t="s">
        <v>298</v>
      </c>
    </row>
    <row r="265" spans="1:5" x14ac:dyDescent="0.2">
      <c r="A265" t="e" cm="1">
        <f t="array" ref="A265">PEARSON(_xlfn.EXPON.DIST(1,10,TRUE),D!C1:C8)</f>
        <v>#N/A</v>
      </c>
      <c r="B265">
        <f t="shared" si="12"/>
        <v>7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>
        <f t="array" ref="A266">_xlfn.ERF.PRECISE(0.745)^IMCOS("1+i")</f>
        <v>#VALUE!</v>
      </c>
      <c r="B266">
        <f t="shared" si="12"/>
        <v>3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str" cm="1">
        <f t="array" ref="A267">REPT("x y",0)</f>
        <v/>
      </c>
      <c r="B267">
        <f t="shared" si="12"/>
        <v>-3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e" cm="1" vm="11">
        <f t="array" aca="1" ref="A268" ca="1">_xlfn.F.DIST(ODDLPRICE(DATE(2008,2,7),DATE(2008,6,15),DATE(2007,10,15),D!G4,_xlfn.WRAPCOLS(D!L1:L6,2),100,_xlfn.MINIFS(D!C1:C8,D!D1:D8,"&gt;4"),0),0.25,-D!F1^"?",TRUE)/UPPER("total")</f>
        <v>#VALUE!</v>
      </c>
      <c r="B268">
        <f t="shared" ca="1" si="12"/>
        <v>9</v>
      </c>
      <c r="C268">
        <f t="shared" ca="1" si="13"/>
        <v>0</v>
      </c>
      <c r="D268" t="str">
        <f t="shared" ca="1" si="14"/>
        <v/>
      </c>
      <c r="E268" t="s">
        <v>302</v>
      </c>
    </row>
    <row r="269" spans="1:5" x14ac:dyDescent="0.2">
      <c r="A269" t="e" cm="1">
        <f t="array" ref="A269">DCOUNT(D!B3,7,D!N2)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_xlfn.CHISQ.DIST(4,4,7)</f>
        <v>0.59399415029016189</v>
      </c>
      <c r="B270">
        <f t="shared" si="12"/>
        <v>0</v>
      </c>
      <c r="C270">
        <f t="shared" si="13"/>
        <v>0.59399415029016189</v>
      </c>
      <c r="D270" t="str">
        <f t="shared" si="14"/>
        <v/>
      </c>
      <c r="E270" t="s">
        <v>304</v>
      </c>
    </row>
    <row r="271" spans="1:5" x14ac:dyDescent="0.2">
      <c r="A271" t="str" cm="1">
        <f t="array" ref="A271">TEXT(1234.567,"A")</f>
        <v>A</v>
      </c>
      <c r="B271">
        <f t="shared" si="12"/>
        <v>-3</v>
      </c>
      <c r="C271">
        <f t="shared" si="13"/>
        <v>0</v>
      </c>
      <c r="D271" t="str">
        <f t="shared" si="14"/>
        <v>A</v>
      </c>
      <c r="E271" t="s">
        <v>305</v>
      </c>
    </row>
    <row r="272" spans="1:5" x14ac:dyDescent="0.2">
      <c r="A272" t="e" cm="1">
        <f t="array" ref="A272">SUMPRODUCT(D!B1:B8,D!AY1:AY5)*BETADIST(D!A15,D!A15,D!B1,_xlfn.DAYS(61,44228)&lt;&gt;-1,PERCENTRANK(D!B1:B8,15)&gt;"6:35 AM")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BINOMDIST(6,10,D!B1,10)</f>
        <v>#NUM!</v>
      </c>
      <c r="B273">
        <f t="shared" si="12"/>
        <v>6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t="e" cm="1">
        <f t="array" ref="A274">CONFIDENCE("A",D!A12,50)</f>
        <v>#VALUE!</v>
      </c>
      <c r="B274">
        <f t="shared" si="12"/>
        <v>3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cm="1">
        <f t="array" ref="A275">SUM(SINH(1))</f>
        <v>1.1752011936438014</v>
      </c>
      <c r="B275">
        <f t="shared" si="12"/>
        <v>0</v>
      </c>
      <c r="C275">
        <f t="shared" si="13"/>
        <v>1.1752011936438014</v>
      </c>
      <c r="D275" t="str">
        <f t="shared" si="14"/>
        <v/>
      </c>
      <c r="E275" t="s">
        <v>309</v>
      </c>
    </row>
    <row r="276" spans="1:5" x14ac:dyDescent="0.2">
      <c r="A276" t="str" cm="1">
        <f t="array" ref="A276">REPT("*-",2)</f>
        <v>*-*-</v>
      </c>
      <c r="B276">
        <f t="shared" si="12"/>
        <v>-3</v>
      </c>
      <c r="C276">
        <f t="shared" si="13"/>
        <v>0</v>
      </c>
      <c r="D276" t="str">
        <f t="shared" si="14"/>
        <v>*-*-</v>
      </c>
      <c r="E276" t="s">
        <v>310</v>
      </c>
    </row>
    <row r="277" spans="1:5" x14ac:dyDescent="0.2">
      <c r="A277" t="e" cm="1">
        <f t="array" ref="A277">SUM(_xlfn.XLOOKUP(0,D!L1:L6,D!M1:M6))</f>
        <v>#N/A</v>
      </c>
      <c r="B277">
        <f t="shared" si="12"/>
        <v>7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e" cm="1" vm="12">
        <f t="array" aca="1" ref="A278" ca="1">_xlfn.CHOOSECOLS(D!L1:N6,3,2)</f>
        <v>#VALUE!</v>
      </c>
      <c r="B278">
        <f t="shared" ca="1" si="12"/>
        <v>9</v>
      </c>
      <c r="C278">
        <f t="shared" ca="1" si="13"/>
        <v>0</v>
      </c>
      <c r="D278" t="str">
        <f t="shared" ca="1" si="14"/>
        <v/>
      </c>
      <c r="E278" t="s">
        <v>312</v>
      </c>
    </row>
    <row r="279" spans="1:5" x14ac:dyDescent="0.2">
      <c r="A279" t="e" cm="1">
        <f t="array" ref="A279">PERMUT(100,1000)</f>
        <v>#NUM!</v>
      </c>
      <c r="B279">
        <f t="shared" si="12"/>
        <v>6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cm="1">
        <f t="array" ref="A280">_xlfn.EXPON.DIST(0.2,10,TRUE)</f>
        <v>0.8646647167633873</v>
      </c>
      <c r="B280">
        <f t="shared" si="12"/>
        <v>0</v>
      </c>
      <c r="C280">
        <f t="shared" si="13"/>
        <v>0.8646647167633873</v>
      </c>
      <c r="D280" t="str">
        <f t="shared" si="14"/>
        <v/>
      </c>
      <c r="E280" t="s">
        <v>314</v>
      </c>
    </row>
    <row r="281" spans="1:5" x14ac:dyDescent="0.2">
      <c r="A281" cm="1">
        <f t="array" ref="A281">LOG10(86)</f>
        <v>1.9344984512435677</v>
      </c>
      <c r="B281">
        <f t="shared" si="12"/>
        <v>0</v>
      </c>
      <c r="C281">
        <f t="shared" si="13"/>
        <v>1.9344984512435677</v>
      </c>
      <c r="D281" t="str">
        <f t="shared" si="14"/>
        <v/>
      </c>
      <c r="E281" t="s">
        <v>315</v>
      </c>
    </row>
    <row r="282" spans="1:5" x14ac:dyDescent="0.2">
      <c r="A282" t="str" cm="1">
        <f t="array" ref="A282">TEXT("2025-01-31 12:00","0")</f>
        <v>45689</v>
      </c>
      <c r="B282">
        <f t="shared" si="12"/>
        <v>-3</v>
      </c>
      <c r="C282">
        <f t="shared" si="13"/>
        <v>0</v>
      </c>
      <c r="D282" t="str">
        <f t="shared" si="14"/>
        <v>45689</v>
      </c>
      <c r="E282" t="s">
        <v>316</v>
      </c>
    </row>
    <row r="283" spans="1:5" x14ac:dyDescent="0.2">
      <c r="A283" cm="1">
        <f t="array" ref="A283">PERMUT(100,3)</f>
        <v>970200</v>
      </c>
      <c r="B283">
        <f t="shared" si="12"/>
        <v>0</v>
      </c>
      <c r="C283">
        <f t="shared" si="13"/>
        <v>970200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CHITEST(D!AK1:AL3,D!R1:S2)</f>
        <v>#N/A</v>
      </c>
      <c r="B284">
        <f t="shared" si="12"/>
        <v>7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cm="1">
        <f t="array" ref="A285">INDEX(ROW(D!AS1:AS8),1,1)</f>
        <v>1</v>
      </c>
      <c r="B285">
        <f t="shared" si="12"/>
        <v>0</v>
      </c>
      <c r="C285">
        <f t="shared" si="13"/>
        <v>1</v>
      </c>
      <c r="D285" t="str">
        <f t="shared" si="14"/>
        <v/>
      </c>
      <c r="E285" t="s">
        <v>319</v>
      </c>
    </row>
    <row r="286" spans="1:5" x14ac:dyDescent="0.2">
      <c r="A286" t="str" cm="1">
        <f t="array" ref="A286">UPPER("total")</f>
        <v>TOTAL</v>
      </c>
      <c r="B286">
        <f t="shared" si="12"/>
        <v>-3</v>
      </c>
      <c r="C286">
        <f t="shared" si="13"/>
        <v>0</v>
      </c>
      <c r="D286" t="str">
        <f t="shared" si="14"/>
        <v>TOTAL</v>
      </c>
      <c r="E286" t="s">
        <v>320</v>
      </c>
    </row>
    <row r="287" spans="1:5" x14ac:dyDescent="0.2">
      <c r="A287" cm="1">
        <f t="array" ref="A287">ROWS(LCM(5,D!R1:S2))</f>
        <v>1</v>
      </c>
      <c r="B287">
        <f t="shared" si="12"/>
        <v>0</v>
      </c>
      <c r="C287">
        <f t="shared" si="13"/>
        <v>1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SUM(IF(TRUE,#NAME?,"no"))</f>
        <v>#NAME?</v>
      </c>
      <c r="B288">
        <f t="shared" si="12"/>
        <v>5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BINOMDIST(DEGREES(3.14159265358979),10,0.5,FALSE)/MID(D!A1,1,7)</f>
        <v>#NUM!</v>
      </c>
      <c r="B289">
        <f t="shared" si="12"/>
        <v>6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cm="1">
        <f t="array" ref="A290">_xlfn.F.INV(0.01,6,4)</f>
        <v>0.10930991412457859</v>
      </c>
      <c r="B290">
        <f t="shared" si="12"/>
        <v>0</v>
      </c>
      <c r="C290">
        <f t="shared" si="13"/>
        <v>0.10930991412457859</v>
      </c>
      <c r="D290" t="str">
        <f t="shared" si="14"/>
        <v/>
      </c>
      <c r="E290" t="s">
        <v>324</v>
      </c>
    </row>
    <row r="291" spans="1:5" x14ac:dyDescent="0.2">
      <c r="A291" cm="1">
        <f t="array" ref="A291">MINA(0.5)</f>
        <v>0.5</v>
      </c>
      <c r="B291">
        <f t="shared" si="12"/>
        <v>0</v>
      </c>
      <c r="C291">
        <f t="shared" si="13"/>
        <v>0.5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OCT2HEX(45688.75)</f>
        <v>#NUM!</v>
      </c>
      <c r="B292">
        <f t="shared" si="12"/>
        <v>6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OR(FALSE,#NAME?)</f>
        <v>#NAME?</v>
      </c>
      <c r="B293">
        <f t="shared" si="12"/>
        <v>5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cm="1">
        <f t="array" ref="A294">ROWS(_xlfn.FLOOR.MATH(24.3,59))</f>
        <v>1</v>
      </c>
      <c r="B294">
        <f t="shared" si="12"/>
        <v>0</v>
      </c>
      <c r="C294">
        <f t="shared" si="13"/>
        <v>1</v>
      </c>
      <c r="D294" t="str">
        <f t="shared" si="14"/>
        <v/>
      </c>
      <c r="E294" t="s">
        <v>328</v>
      </c>
    </row>
    <row r="295" spans="1:5" x14ac:dyDescent="0.2">
      <c r="A295" cm="1">
        <f t="array" ref="A295">INDEX(CONVERT(1,"lbm","kg"),1,1)</f>
        <v>0.45359237000000002</v>
      </c>
      <c r="B295">
        <f t="shared" si="12"/>
        <v>0</v>
      </c>
      <c r="C295">
        <f t="shared" si="13"/>
        <v>0.45359237000000002</v>
      </c>
      <c r="D295" t="str">
        <f t="shared" si="14"/>
        <v/>
      </c>
      <c r="E295" t="s">
        <v>329</v>
      </c>
    </row>
    <row r="296" spans="1:5" x14ac:dyDescent="0.2">
      <c r="A296" t="e" cm="1">
        <f t="array" ref="A296">AMORDEGRC(D!A12,_xlfn.PERCENTILE.EXC(D!B1:B8,0.25),DATE(2008,12,31),-1,D!A7,MDETERM(D!M1:M6),1)</f>
        <v>#DIV/0!</v>
      </c>
      <c r="B296">
        <f t="shared" si="12"/>
        <v>2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_xlfn.TEXTJOIN({0.5;-1},D!A13,"a","","b",D!A1:A5)</f>
        <v>#VALUE!</v>
      </c>
      <c r="B297">
        <f t="shared" si="12"/>
        <v>3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DSTDEV(D!AV1:AV7,_xlfn.XLOOKUP(45351,D!H1:H7,D!G4),D!AV1:AV7)&amp;LEFTB(_xlfn.TEXTSPLIT(D!M2,",",D!D1:D8),RSQ(D!B1:B8,D!A4))</f>
        <v>#VALUE!</v>
      </c>
      <c r="B298">
        <f t="shared" si="12"/>
        <v>3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cm="1">
        <f t="array" ref="A299">ROWS(LOGNORMDIST(4,"1E2",D!B1))</f>
        <v>1</v>
      </c>
      <c r="B299">
        <f t="shared" si="12"/>
        <v>0</v>
      </c>
      <c r="C299">
        <f t="shared" si="13"/>
        <v>1</v>
      </c>
      <c r="D299" t="str">
        <f t="shared" si="14"/>
        <v/>
      </c>
      <c r="E299" t="s">
        <v>333</v>
      </c>
    </row>
    <row r="300" spans="1:5" x14ac:dyDescent="0.2">
      <c r="A300" t="str" cm="1">
        <f t="array" ref="A300">SUBSTITUTE("abc","Sales","Cost")</f>
        <v>abc</v>
      </c>
      <c r="B300">
        <f t="shared" si="12"/>
        <v>-3</v>
      </c>
      <c r="C300">
        <f t="shared" si="13"/>
        <v>0</v>
      </c>
      <c r="D300" t="str">
        <f t="shared" si="14"/>
        <v>abc</v>
      </c>
      <c r="E300" t="s">
        <v>334</v>
      </c>
    </row>
    <row r="301" spans="1:5" x14ac:dyDescent="0.2">
      <c r="A301" cm="1">
        <f t="array" ref="A301">SUM(N(45351))</f>
        <v>45351</v>
      </c>
      <c r="B301">
        <f t="shared" si="12"/>
        <v>0</v>
      </c>
      <c r="C301">
        <f t="shared" si="13"/>
        <v>45351</v>
      </c>
      <c r="D301" t="str">
        <f t="shared" si="14"/>
        <v/>
      </c>
      <c r="E301" t="s">
        <v>335</v>
      </c>
    </row>
    <row r="302" spans="1:5" x14ac:dyDescent="0.2">
      <c r="A302" cm="1">
        <f t="array" ref="A302">COLUMNS(_xlfn.SKEW.P(D!B1:B8,D!K1:K8))</f>
        <v>1</v>
      </c>
      <c r="B302">
        <f t="shared" si="12"/>
        <v>0</v>
      </c>
      <c r="C302">
        <f t="shared" si="13"/>
        <v>1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_xlfn.CHISQ.INV(MODE(1,2,2),1)</f>
        <v>#NUM!</v>
      </c>
      <c r="B303">
        <f t="shared" si="12"/>
        <v>6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cm="1">
        <f t="array" ref="A304">TBILLPRICE(39538,39600,3)</f>
        <v>48.333333333333329</v>
      </c>
      <c r="B304">
        <f t="shared" si="12"/>
        <v>0</v>
      </c>
      <c r="C304">
        <f t="shared" si="13"/>
        <v>48.333333333333329</v>
      </c>
      <c r="D304" t="str">
        <f t="shared" si="14"/>
        <v/>
      </c>
      <c r="E304" t="s">
        <v>338</v>
      </c>
    </row>
    <row r="305" spans="1:5" x14ac:dyDescent="0.2">
      <c r="A305" cm="1">
        <f t="array" ref="A305">VARP(D!B1:B8,7)</f>
        <v>152.58950617283949</v>
      </c>
      <c r="B305">
        <f t="shared" si="12"/>
        <v>0</v>
      </c>
      <c r="C305">
        <f t="shared" si="13"/>
        <v>152.58950617283949</v>
      </c>
      <c r="D305" t="str">
        <f t="shared" si="14"/>
        <v/>
      </c>
      <c r="E305" t="s">
        <v>339</v>
      </c>
    </row>
    <row r="306" spans="1:5" x14ac:dyDescent="0.2">
      <c r="A306" t="str" cm="1">
        <f t="array" ref="A306">_xlfn.TEXTJOIN(";",FALSE,ISODD(-1))</f>
        <v>TRUE</v>
      </c>
      <c r="B306">
        <f t="shared" si="12"/>
        <v>-3</v>
      </c>
      <c r="C306">
        <f t="shared" si="13"/>
        <v>0</v>
      </c>
      <c r="D306" t="str">
        <f t="shared" si="14"/>
        <v>TRUE</v>
      </c>
      <c r="E306" t="s">
        <v>340</v>
      </c>
    </row>
    <row r="307" spans="1:5" x14ac:dyDescent="0.2">
      <c r="A307" t="e" cm="1">
        <f t="array" ref="A307">INDEX(DPRODUCT(D!G1:G7,"Yield",D!C2),1,1)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t="e" cm="1">
        <f t="array" ref="A308">DATEDIF(#VALUE!,D!A9,#N/A)</f>
        <v>#VALUE!</v>
      </c>
      <c r="B308">
        <f t="shared" si="12"/>
        <v>3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cm="1">
        <f t="array" ref="A309">BESSELY(4,2)</f>
        <v>0.21590359910698975</v>
      </c>
      <c r="B309">
        <f t="shared" si="12"/>
        <v>0</v>
      </c>
      <c r="C309">
        <f t="shared" si="13"/>
        <v>0.21590359910698975</v>
      </c>
      <c r="D309" t="str">
        <f t="shared" si="14"/>
        <v/>
      </c>
      <c r="E309" t="s">
        <v>343</v>
      </c>
    </row>
    <row r="310" spans="1:5" x14ac:dyDescent="0.2">
      <c r="A310" t="e" cm="1">
        <f t="array" ref="A310">SUM(VLOOKUP("0",D!L1:N6,D!K1:K8,EOMONTH(40544,1)))</f>
        <v>#N/A</v>
      </c>
      <c r="B310">
        <f t="shared" si="12"/>
        <v>7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cm="1">
        <f t="array" ref="A311">_xlfn.NORM.DIST(42,0,1.5,TRUE)</f>
        <v>1</v>
      </c>
      <c r="B311">
        <f t="shared" si="12"/>
        <v>0</v>
      </c>
      <c r="C311">
        <f t="shared" si="13"/>
        <v>1</v>
      </c>
      <c r="D311" t="str">
        <f t="shared" si="14"/>
        <v/>
      </c>
      <c r="E311" t="s">
        <v>345</v>
      </c>
    </row>
    <row r="312" spans="1:5" x14ac:dyDescent="0.2">
      <c r="A312" cm="1">
        <f t="array" ref="A312">COLUMNS(LOWER("E. E. Cummings"))</f>
        <v>1</v>
      </c>
      <c r="B312">
        <f t="shared" si="12"/>
        <v>0</v>
      </c>
      <c r="C312">
        <f t="shared" si="13"/>
        <v>1</v>
      </c>
      <c r="D312" t="str">
        <f t="shared" si="14"/>
        <v/>
      </c>
      <c r="E312" t="s">
        <v>346</v>
      </c>
    </row>
    <row r="313" spans="1:5" x14ac:dyDescent="0.2">
      <c r="A313" t="e" cm="1" vm="7">
        <f t="array" aca="1" ref="A313" ca="1">_xlfn.CHOOSEROWS(D!AA1:AB2,2,1)/STDEVP(D!B1:B8)</f>
        <v>#VALUE!</v>
      </c>
      <c r="B313">
        <f t="shared" ca="1" si="12"/>
        <v>9</v>
      </c>
      <c r="C313">
        <f t="shared" ca="1" si="13"/>
        <v>0</v>
      </c>
      <c r="D313" t="str">
        <f t="shared" ca="1" si="14"/>
        <v/>
      </c>
      <c r="E313" t="s">
        <v>347</v>
      </c>
    </row>
    <row r="314" spans="1:5" x14ac:dyDescent="0.2">
      <c r="A314" cm="1">
        <f t="array" ref="A314">COLUMNS(MOD(3,2))</f>
        <v>1</v>
      </c>
      <c r="B314">
        <f t="shared" si="12"/>
        <v>0</v>
      </c>
      <c r="C314">
        <f t="shared" si="13"/>
        <v>1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HEX2DEC(D!N1:N6)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str" cm="1">
        <f t="array" ref="A316">REPT("*-",2)</f>
        <v>*-*-</v>
      </c>
      <c r="B316">
        <f t="shared" si="12"/>
        <v>-3</v>
      </c>
      <c r="C316">
        <f t="shared" si="13"/>
        <v>0</v>
      </c>
      <c r="D316" t="str">
        <f t="shared" si="14"/>
        <v>*-*-</v>
      </c>
      <c r="E316" t="s">
        <v>350</v>
      </c>
    </row>
    <row r="317" spans="1:5" x14ac:dyDescent="0.2">
      <c r="A317" cm="1">
        <f t="array" ref="A317">ROWS(LOG10(TRUE))</f>
        <v>1</v>
      </c>
      <c r="B317">
        <f t="shared" si="12"/>
        <v>0</v>
      </c>
      <c r="C317">
        <f t="shared" si="13"/>
        <v>1</v>
      </c>
      <c r="D317" t="str">
        <f t="shared" si="14"/>
        <v/>
      </c>
      <c r="E317" t="s">
        <v>351</v>
      </c>
    </row>
    <row r="318" spans="1:5" x14ac:dyDescent="0.2">
      <c r="A318" t="e" cm="1" vm="7">
        <f t="array" aca="1" ref="A318" ca="1">_xlfn.SEQUENCE(2,2)</f>
        <v>#VALUE!</v>
      </c>
      <c r="B318">
        <f t="shared" ca="1" si="12"/>
        <v>9</v>
      </c>
      <c r="C318">
        <f t="shared" ca="1" si="13"/>
        <v>0</v>
      </c>
      <c r="D318" t="str">
        <f t="shared" ca="1" si="14"/>
        <v/>
      </c>
      <c r="E318" t="s">
        <v>352</v>
      </c>
    </row>
    <row r="319" spans="1:5" x14ac:dyDescent="0.2">
      <c r="A319" t="e" cm="1" vm="4">
        <f t="array" aca="1" ref="A319" ca="1">ACCRINT({"x";""},39691,"3",0.1,PROPER("this is a TITLE"),2,0)^NETWORKDAYS(41183,D!B1,D!AV1:AV7)</f>
        <v>#VALUE!</v>
      </c>
      <c r="B319">
        <f t="shared" ca="1" si="12"/>
        <v>9</v>
      </c>
      <c r="C319">
        <f t="shared" ca="1" si="13"/>
        <v>0</v>
      </c>
      <c r="D319" t="str">
        <f t="shared" ca="1" si="14"/>
        <v/>
      </c>
      <c r="E319" t="s">
        <v>353</v>
      </c>
    </row>
    <row r="320" spans="1:5" x14ac:dyDescent="0.2">
      <c r="A320" cm="1">
        <f t="array" ref="A320">COLUMNS(IMPOWER("2+3i",3))</f>
        <v>1</v>
      </c>
      <c r="B320">
        <f t="shared" si="12"/>
        <v>0</v>
      </c>
      <c r="C320">
        <f t="shared" si="13"/>
        <v>1</v>
      </c>
      <c r="D320" t="str">
        <f t="shared" si="14"/>
        <v/>
      </c>
      <c r="E320" t="s">
        <v>354</v>
      </c>
    </row>
    <row r="321" spans="1:5" x14ac:dyDescent="0.2">
      <c r="A321" t="e" cm="1" vm="6">
        <f t="array" aca="1" ref="A321" ca="1">ISPMT(0.00833333333333333,"50%"*"a,b",{"a","b"},8000000)</f>
        <v>#VALUE!</v>
      </c>
      <c r="B321">
        <f t="shared" ref="B321:B384" ca="1" si="15">IF(ISERROR(A321),ERROR.TYPE(A321),IF(ISNUMBER(A321),0,IF(ISLOGICAL(A321),IF(A321,-1,-2),IF(ISTEXT(A321),-3,-4))))</f>
        <v>9</v>
      </c>
      <c r="C321">
        <f t="shared" ref="C321:C384" ca="1" si="16">IF(ISNUMBER(A321),A321,0)</f>
        <v>0</v>
      </c>
      <c r="D321" t="str">
        <f t="shared" ref="D321:D384" ca="1" si="17">IF(ISTEXT(A321),A321,"")</f>
        <v/>
      </c>
      <c r="E321" t="s">
        <v>355</v>
      </c>
    </row>
    <row r="322" spans="1:5" x14ac:dyDescent="0.2">
      <c r="A322" t="e" cm="1">
        <f t="array" ref="A322">INDEX(NEGBINOMDIST(D!A15,LEFTB("a,b",61),_xlfn.COMBINA(4,3)),1,1)</f>
        <v>#VALUE!</v>
      </c>
      <c r="B322">
        <f t="shared" si="15"/>
        <v>3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AMORLINC(2400,DCOUNT(D!B1,FALSE,D!K1:K8),DATE(2008,12,31),300,2.5,0.15,LARGE(D!B1:B8,59))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e" cm="1">
        <f t="array" ref="A324">LOOKUP("a*"/"FALSE",D!L1:L6,D!N1:N6)</f>
        <v>#VALUE!</v>
      </c>
      <c r="B324">
        <f t="shared" si="15"/>
        <v>3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e" cm="1" vm="7">
        <f t="array" aca="1" ref="A325" ca="1">_xlfn.CSCH(-{1,2;3,4}+D!A3)</f>
        <v>#VALUE!</v>
      </c>
      <c r="B325">
        <f t="shared" ca="1" si="15"/>
        <v>9</v>
      </c>
      <c r="C325">
        <f t="shared" ca="1" si="16"/>
        <v>0</v>
      </c>
      <c r="D325" t="str">
        <f t="shared" ca="1" si="17"/>
        <v/>
      </c>
      <c r="E325" t="s">
        <v>359</v>
      </c>
    </row>
    <row r="326" spans="1:5" x14ac:dyDescent="0.2">
      <c r="A326" t="e" cm="1">
        <f t="array" ref="A326">NOT("aBc")</f>
        <v>#VALUE!</v>
      </c>
      <c r="B326">
        <f t="shared" si="15"/>
        <v>3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_xlfn.EXPAND(D!P1:Q2,1,0,"1.5")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e" cm="1">
        <f t="array" ref="A328">_xlfn.TEXTJOIN(";",FALSE,_xlfn.RANK.AVG(VARPA(D!B1:B8,D!B2:B3,D!B2:B3),D!A1:A5))</f>
        <v>#N/A</v>
      </c>
      <c r="B328">
        <f t="shared" si="15"/>
        <v>7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t="e" cm="1">
        <f t="array" ref="A329">DDB(D!L4,SLOPE(MEDIAN(D!N1:N6),D!B1:B8)&gt;D!B3,3650,D!A4+D!B1)</f>
        <v>#N/A</v>
      </c>
      <c r="B329">
        <f t="shared" si="15"/>
        <v>7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str" cm="1">
        <f t="array" ref="A330">_xlfn.IMCSC(D!B7)</f>
        <v>2.85076343754046</v>
      </c>
      <c r="B330">
        <f t="shared" si="15"/>
        <v>-3</v>
      </c>
      <c r="C330">
        <f t="shared" si="16"/>
        <v>0</v>
      </c>
      <c r="D330" t="str">
        <f t="shared" si="17"/>
        <v>2.85076343754046</v>
      </c>
      <c r="E330" t="s">
        <v>364</v>
      </c>
    </row>
    <row r="331" spans="1:5" x14ac:dyDescent="0.2">
      <c r="A331" t="e" cm="1">
        <f t="array" ref="A331">ROWS(LEFT("Sale Price",_xlfn.COVARIANCE.S(D!L1:N6,D!C1:C8)))</f>
        <v>#N/A</v>
      </c>
      <c r="B331">
        <f t="shared" si="15"/>
        <v>7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VALUE(#DIV/0!)</f>
        <v>#DIV/0!</v>
      </c>
      <c r="B332">
        <f t="shared" si="15"/>
        <v>2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cm="1">
        <f t="array" ref="A333">COLUMNS(BESSELY(2.5,1))</f>
        <v>1</v>
      </c>
      <c r="B333">
        <f t="shared" si="15"/>
        <v>0</v>
      </c>
      <c r="C333">
        <f t="shared" si="16"/>
        <v>1</v>
      </c>
      <c r="D333" t="str">
        <f t="shared" si="17"/>
        <v/>
      </c>
      <c r="E333" t="s">
        <v>367</v>
      </c>
    </row>
    <row r="334" spans="1:5" x14ac:dyDescent="0.2">
      <c r="A334" cm="1">
        <f t="array" ref="A334">_xlfn.BITXOR(5,3)</f>
        <v>6</v>
      </c>
      <c r="B334">
        <f t="shared" si="15"/>
        <v>0</v>
      </c>
      <c r="C334">
        <f t="shared" si="16"/>
        <v>6</v>
      </c>
      <c r="D334" t="str">
        <f t="shared" si="17"/>
        <v/>
      </c>
      <c r="E334" t="s">
        <v>368</v>
      </c>
    </row>
    <row r="335" spans="1:5" x14ac:dyDescent="0.2">
      <c r="A335" cm="1">
        <f t="array" ref="A335">XNPV(D!A15,D!J1:J5,D!AU1:AU5)</f>
        <v>-9528.0610241664708</v>
      </c>
      <c r="B335">
        <f t="shared" si="15"/>
        <v>0</v>
      </c>
      <c r="C335">
        <f t="shared" si="16"/>
        <v>-9528.0610241664708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_xlfn.TEXTJOIN(";",FALSE,CHITEST(TIME(D!A1,0,0),D!AM1:AN3))</f>
        <v>#N/A</v>
      </c>
      <c r="B336">
        <f t="shared" si="15"/>
        <v>7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e" cm="1" vm="6">
        <f t="array" aca="1" ref="A337" ca="1">DATE(2025,"Привет",{45658,45689})*LENB("abc")</f>
        <v>#VALUE!</v>
      </c>
      <c r="B337">
        <f t="shared" ca="1" si="15"/>
        <v>9</v>
      </c>
      <c r="C337">
        <f t="shared" ca="1" si="16"/>
        <v>0</v>
      </c>
      <c r="D337" t="str">
        <f t="shared" ca="1" si="17"/>
        <v/>
      </c>
      <c r="E337" t="s">
        <v>371</v>
      </c>
    </row>
    <row r="338" spans="1:5" x14ac:dyDescent="0.2">
      <c r="A338" cm="1">
        <f t="array" ref="A338">_xlfn.QUARTILE.EXC(D!AS1:AS8,1)</f>
        <v>1</v>
      </c>
      <c r="B338">
        <f t="shared" si="15"/>
        <v>0</v>
      </c>
      <c r="C338">
        <f t="shared" si="16"/>
        <v>1</v>
      </c>
      <c r="D338" t="str">
        <f t="shared" si="17"/>
        <v/>
      </c>
      <c r="E338" t="s">
        <v>372</v>
      </c>
    </row>
    <row r="339" spans="1:5" x14ac:dyDescent="0.2">
      <c r="A339" cm="1">
        <f t="array" ref="A339">SUM(_xlfn.BITLSHIFT(4,2))</f>
        <v>16</v>
      </c>
      <c r="B339">
        <f t="shared" si="15"/>
        <v>0</v>
      </c>
      <c r="C339">
        <f t="shared" si="16"/>
        <v>16</v>
      </c>
      <c r="D339" t="str">
        <f t="shared" si="17"/>
        <v/>
      </c>
      <c r="E339" t="s">
        <v>373</v>
      </c>
    </row>
    <row r="340" spans="1:5" x14ac:dyDescent="0.2">
      <c r="A340" t="e" cm="1">
        <f t="array" ref="A340">_xlfn.Z.TEST(D!A10,-1)</f>
        <v>#N/A</v>
      </c>
      <c r="B340">
        <f t="shared" si="15"/>
        <v>7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e" cm="1">
        <f t="array" ref="A341">GCD(5,{"x";""})</f>
        <v>#VALUE!</v>
      </c>
      <c r="B341">
        <f t="shared" si="15"/>
        <v>3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cm="1">
        <f t="array" ref="A342">ROWS(DAY(59))</f>
        <v>1</v>
      </c>
      <c r="B342">
        <f t="shared" si="15"/>
        <v>0</v>
      </c>
      <c r="C342">
        <f t="shared" si="16"/>
        <v>1</v>
      </c>
      <c r="D342" t="str">
        <f t="shared" si="17"/>
        <v/>
      </c>
      <c r="E342" t="s">
        <v>376</v>
      </c>
    </row>
    <row r="343" spans="1:5" x14ac:dyDescent="0.2">
      <c r="A343" t="str" cm="1">
        <f t="array" ref="A343">_xlfn.IMSEC("4+3i")</f>
        <v>-0.0652940278579471-0.0752249603027732i</v>
      </c>
      <c r="B343">
        <f t="shared" si="15"/>
        <v>-3</v>
      </c>
      <c r="C343">
        <f t="shared" si="16"/>
        <v>0</v>
      </c>
      <c r="D343" t="str">
        <f t="shared" si="17"/>
        <v>-0.0652940278579471-0.0752249603027732i</v>
      </c>
      <c r="E343" t="s">
        <v>377</v>
      </c>
    </row>
    <row r="344" spans="1:5" x14ac:dyDescent="0.2">
      <c r="A344" cm="1">
        <f t="array" ref="A344">DELTA(5,4)</f>
        <v>0</v>
      </c>
      <c r="B344">
        <f t="shared" si="15"/>
        <v>0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cm="1">
        <f t="array" ref="A345">INDEX(_xlfn.VAR.S(D!AZ1:AZ5),1,1)</f>
        <v>2.5</v>
      </c>
      <c r="B345">
        <f t="shared" si="15"/>
        <v>0</v>
      </c>
      <c r="C345">
        <f t="shared" si="16"/>
        <v>2.5</v>
      </c>
      <c r="D345" t="str">
        <f t="shared" si="17"/>
        <v/>
      </c>
      <c r="E345" t="s">
        <v>379</v>
      </c>
    </row>
    <row r="346" spans="1:5" x14ac:dyDescent="0.2">
      <c r="A346" t="e" cm="1" vm="9">
        <f t="array" aca="1" ref="A346" ca="1">_xlfn.SORTBY(D!M1:M6,D!N1:N6,D!A4)</f>
        <v>#VALUE!</v>
      </c>
      <c r="B346">
        <f t="shared" ca="1" si="15"/>
        <v>9</v>
      </c>
      <c r="C346">
        <f t="shared" ca="1" si="16"/>
        <v>0</v>
      </c>
      <c r="D346" t="str">
        <f t="shared" ca="1" si="17"/>
        <v/>
      </c>
      <c r="E346" t="s">
        <v>380</v>
      </c>
    </row>
    <row r="347" spans="1:5" x14ac:dyDescent="0.2">
      <c r="A347" t="e" cm="1">
        <f t="array" ref="A347">OCT2HEX("100",1000)</f>
        <v>#NUM!</v>
      </c>
      <c r="B347">
        <f t="shared" si="15"/>
        <v>6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e" cm="1">
        <f t="array" ref="A348">PERCENTRANK(GAMMALN(4),15,3)</f>
        <v>#N/A</v>
      </c>
      <c r="B348">
        <f t="shared" si="15"/>
        <v>7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e" cm="1">
        <f t="array" ref="A349">_xlfn.IMCSCH(#N/A)</f>
        <v>#N/A</v>
      </c>
      <c r="B349">
        <f t="shared" si="15"/>
        <v>7</v>
      </c>
      <c r="C349">
        <f t="shared" si="16"/>
        <v>0</v>
      </c>
      <c r="D349" t="str">
        <f t="shared" si="17"/>
        <v/>
      </c>
      <c r="E349" t="s">
        <v>383</v>
      </c>
    </row>
    <row r="350" spans="1:5" x14ac:dyDescent="0.2">
      <c r="A350" t="str" cm="1">
        <f t="array" ref="A350">SUBSTITUTE("Sales Data","aBc","Cost")</f>
        <v>Sales Data</v>
      </c>
      <c r="B350">
        <f t="shared" si="15"/>
        <v>-3</v>
      </c>
      <c r="C350">
        <f t="shared" si="16"/>
        <v>0</v>
      </c>
      <c r="D350" t="str">
        <f t="shared" si="17"/>
        <v>Sales Data</v>
      </c>
      <c r="E350" t="s">
        <v>384</v>
      </c>
    </row>
    <row r="351" spans="1:5" x14ac:dyDescent="0.2">
      <c r="A351" t="e" cm="1">
        <f t="array" ref="A351">CRITBINOM(6,-1,0.75)</f>
        <v>#NUM!</v>
      </c>
      <c r="B351">
        <f t="shared" si="15"/>
        <v>6</v>
      </c>
      <c r="C351">
        <f t="shared" si="16"/>
        <v>0</v>
      </c>
      <c r="D351" t="str">
        <f t="shared" si="17"/>
        <v/>
      </c>
      <c r="E351" t="s">
        <v>385</v>
      </c>
    </row>
    <row r="352" spans="1:5" x14ac:dyDescent="0.2">
      <c r="A352" cm="1">
        <f t="array" ref="A352">MINUTE(D!AU2)</f>
        <v>0</v>
      </c>
      <c r="B352">
        <f t="shared" si="15"/>
        <v>0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e" cm="1" vm="4">
        <f t="array" aca="1" ref="A353" ca="1">_xlfn.NORM.DIST(42,3,_xlfn.STDEV.S(D!A1:A5),TRUE&lt;&gt;#VALUE!)&gt;=SMALL(D!A1:A5,{"x";""})</f>
        <v>#VALUE!</v>
      </c>
      <c r="B353">
        <f t="shared" ca="1" si="15"/>
        <v>9</v>
      </c>
      <c r="C353">
        <f t="shared" ca="1" si="16"/>
        <v>0</v>
      </c>
      <c r="D353" t="str">
        <f t="shared" ca="1" si="17"/>
        <v/>
      </c>
      <c r="E353" t="s">
        <v>387</v>
      </c>
    </row>
    <row r="354" spans="1:5" x14ac:dyDescent="0.2">
      <c r="A354" t="e" cm="1">
        <f t="array" ref="A354">SUM(T("Rainfall"))</f>
        <v>#VALUE!</v>
      </c>
      <c r="B354">
        <f t="shared" si="15"/>
        <v>3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FTEST(D!B1:B8,D!F1:F7)</f>
        <v>#DIV/0!</v>
      </c>
      <c r="B355">
        <f t="shared" si="15"/>
        <v>2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cm="1">
        <f t="array" ref="A356">EVEN(1.5)</f>
        <v>2</v>
      </c>
      <c r="B356">
        <f t="shared" si="15"/>
        <v>0</v>
      </c>
      <c r="C356">
        <f t="shared" si="16"/>
        <v>2</v>
      </c>
      <c r="D356" t="str">
        <f t="shared" si="17"/>
        <v/>
      </c>
      <c r="E356" t="s">
        <v>390</v>
      </c>
    </row>
    <row r="357" spans="1:5" x14ac:dyDescent="0.2">
      <c r="A357" t="e" cm="1">
        <f t="array" ref="A357">INDEX(DGET(D!L4,"Yield",D!A1:A5),1,1)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e" cm="1" vm="6">
        <f t="array" aca="1" ref="A358" ca="1">FDIST(15.2069,6,"0")-IMCOS({45658,45689})</f>
        <v>#VALUE!</v>
      </c>
      <c r="B358">
        <f t="shared" ca="1" si="15"/>
        <v>9</v>
      </c>
      <c r="C358">
        <f t="shared" ca="1" si="16"/>
        <v>0</v>
      </c>
      <c r="D358" t="str">
        <f t="shared" ca="1" si="17"/>
        <v/>
      </c>
      <c r="E358" t="s">
        <v>392</v>
      </c>
    </row>
    <row r="359" spans="1:5" x14ac:dyDescent="0.2">
      <c r="A359" t="e" cm="1">
        <f t="array" ref="A359">COLUMNS(DOLLARFR("Привет",16))</f>
        <v>#VALUE!</v>
      </c>
      <c r="B359">
        <f t="shared" si="15"/>
        <v>3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e" cm="1">
        <f t="array" ref="A360">_xlfn._xlws.SORT(D!B1:B8,COUNTIF(D!N2,"&gt;4"),_xlfn.EXPAND(-D!P1:Q2/_xlfn.VSTACK(TRUE),1,2)," 2 ")</f>
        <v>#VALUE!</v>
      </c>
      <c r="B360">
        <f t="shared" si="15"/>
        <v>3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e" cm="1">
        <f t="array" ref="A361">ASIN(D!A8)</f>
        <v>#N/A</v>
      </c>
      <c r="B361">
        <f t="shared" si="15"/>
        <v>7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b" cm="1">
        <f t="array" ref="A362">STEYX(D!C1:C8,D!B1:B8)=FIXED(0,1)</f>
        <v>0</v>
      </c>
      <c r="B362">
        <f t="shared" si="15"/>
        <v>-2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cm="1">
        <f t="array" ref="A363">ROWS(COUNTA(D!M1:M6))</f>
        <v>1</v>
      </c>
      <c r="B363">
        <f t="shared" si="15"/>
        <v>0</v>
      </c>
      <c r="C363">
        <f t="shared" si="16"/>
        <v>1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_xlfn.XLOOKUP(45658,FREQUENCY(D!AZ1:AZ5,D!AT1:AT3),D!AV1:AV7)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t="b" cm="1">
        <f t="array" ref="A365">TRUE()</f>
        <v>1</v>
      </c>
      <c r="B365">
        <f t="shared" si="15"/>
        <v>-1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cm="1">
        <f t="array" ref="A366">_xlfn.T.DIST.2T(1.959999998,1000)</f>
        <v>5.0273185189866454E-2</v>
      </c>
      <c r="B366">
        <f t="shared" si="15"/>
        <v>0</v>
      </c>
      <c r="C366">
        <f t="shared" si="16"/>
        <v>5.0273185189866454E-2</v>
      </c>
      <c r="D366" t="str">
        <f t="shared" si="17"/>
        <v/>
      </c>
      <c r="E366" t="s">
        <v>400</v>
      </c>
    </row>
    <row r="367" spans="1:5" x14ac:dyDescent="0.2">
      <c r="A367" t="e" cm="1">
        <f t="array" ref="A367">INDEX(VARPA(D!B1:B8,{1;2;3},D!L1:L6,_xlfn.SEQUENCE(-1)),1,1)</f>
        <v>#VALUE!</v>
      </c>
      <c r="B367">
        <f t="shared" si="15"/>
        <v>3</v>
      </c>
      <c r="C367">
        <f t="shared" si="16"/>
        <v>0</v>
      </c>
      <c r="D367" t="str">
        <f t="shared" si="17"/>
        <v/>
      </c>
      <c r="E367" t="s">
        <v>401</v>
      </c>
    </row>
    <row r="368" spans="1:5" x14ac:dyDescent="0.2">
      <c r="A368" t="str" cm="1">
        <f t="array" ref="A368">_xlfn.TEXTJOIN(";",FALSE,FTEST(D!B1:B8,D!C1:C8))</f>
        <v>0.899075266056915</v>
      </c>
      <c r="B368">
        <f t="shared" si="15"/>
        <v>-3</v>
      </c>
      <c r="C368">
        <f t="shared" si="16"/>
        <v>0</v>
      </c>
      <c r="D368" t="str">
        <f t="shared" si="17"/>
        <v>0.899075266056915</v>
      </c>
      <c r="E368" t="s">
        <v>402</v>
      </c>
    </row>
    <row r="369" spans="1:5" x14ac:dyDescent="0.2">
      <c r="A369" t="e" cm="1">
        <f t="array" ref="A369">COLUMNS(MONTH(-1))</f>
        <v>#NUM!</v>
      </c>
      <c r="B369">
        <f t="shared" si="15"/>
        <v>6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t="e" cm="1">
        <f t="array" ref="A370">DMAX(D!A1:A5,"Yield",D!AZ1:AZ5)</f>
        <v>#VALUE!</v>
      </c>
      <c r="B370">
        <f t="shared" si="15"/>
        <v>3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SUM(IMSUB("13+4i","5+3i"))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cm="1">
        <f t="array" ref="A372">_xlfn.SKEW.P(D!B1:B8)</f>
        <v>0.86139784882393156</v>
      </c>
      <c r="B372">
        <f t="shared" si="15"/>
        <v>0</v>
      </c>
      <c r="C372">
        <f t="shared" si="16"/>
        <v>0.86139784882393156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GEOMEAN(2,D!A15,D!G1:G7*_xlfn.MODE.MULT(ROW(D!AY1:AY5)),D!L1:L6)</f>
        <v>#N/A</v>
      </c>
      <c r="B373">
        <f t="shared" si="15"/>
        <v>7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e" cm="1">
        <f t="array" ref="A374">_xlfn.HYPGEOM.DIST(1,D!A8,0.25,D!B1,TRUE)</f>
        <v>#N/A</v>
      </c>
      <c r="B374">
        <f t="shared" si="15"/>
        <v>7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t="e" cm="1">
        <f t="array" ref="A375">ABS(_xlfn.MINIFS(D!B3,D!AW1:AW4,D!A2))+ISTEXT(D!A10)</f>
        <v>#VALUE!</v>
      </c>
      <c r="B375">
        <f t="shared" si="15"/>
        <v>3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t="e" cm="1" vm="4">
        <f t="array" aca="1" ref="A376" ca="1">TEXT(FALSE&amp;D!A1,D!B2:B3)</f>
        <v>#VALUE!</v>
      </c>
      <c r="B376">
        <f t="shared" ca="1" si="15"/>
        <v>9</v>
      </c>
      <c r="C376">
        <f t="shared" ca="1" si="16"/>
        <v>0</v>
      </c>
      <c r="D376" t="str">
        <f t="shared" ca="1" si="17"/>
        <v/>
      </c>
      <c r="E376" t="s">
        <v>410</v>
      </c>
    </row>
    <row r="377" spans="1:5" x14ac:dyDescent="0.2">
      <c r="A377" t="e" cm="1">
        <f t="array" ref="A377">DCOUNTA(D!M1:M6,"Yield",D!B1:B8)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RADIANS(270)+MID("FALSE",7,2)</f>
        <v>#VALUE!</v>
      </c>
      <c r="B378">
        <f t="shared" si="15"/>
        <v>3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cm="1">
        <f t="array" ref="A379">SUMSQ(3,FALSE)</f>
        <v>9</v>
      </c>
      <c r="B379">
        <f t="shared" si="15"/>
        <v>0</v>
      </c>
      <c r="C379">
        <f t="shared" si="16"/>
        <v>9</v>
      </c>
      <c r="D379" t="str">
        <f t="shared" si="17"/>
        <v/>
      </c>
      <c r="E379" t="s">
        <v>413</v>
      </c>
    </row>
    <row r="380" spans="1:5" x14ac:dyDescent="0.2">
      <c r="A380" cm="1">
        <f t="array" ref="A380">NORMSINV(0.908789)</f>
        <v>1.3333346730441071</v>
      </c>
      <c r="B380">
        <f t="shared" si="15"/>
        <v>0</v>
      </c>
      <c r="C380">
        <f t="shared" si="16"/>
        <v>1.3333346730441071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ROUND(#DIV/0!,1)</f>
        <v>#DIV/0!</v>
      </c>
      <c r="B381">
        <f t="shared" si="15"/>
        <v>2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_xlfn.IFS(#N/A,D!B7,D!A15,"")/IRR(D!I1:I5)</f>
        <v>#N/A</v>
      </c>
      <c r="B382">
        <f t="shared" si="15"/>
        <v>7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cm="1">
        <f t="array" ref="A383">GESTEP(BESSELY(2.5,0))</f>
        <v>1</v>
      </c>
      <c r="B383">
        <f t="shared" si="15"/>
        <v>0</v>
      </c>
      <c r="C383">
        <f t="shared" si="16"/>
        <v>1</v>
      </c>
      <c r="D383" t="str">
        <f t="shared" si="17"/>
        <v/>
      </c>
      <c r="E383" t="s">
        <v>417</v>
      </c>
    </row>
    <row r="384" spans="1:5" x14ac:dyDescent="0.2">
      <c r="A384" cm="1">
        <f t="array" ref="A384">SIGN(-1.5)</f>
        <v>-1</v>
      </c>
      <c r="B384">
        <f t="shared" si="15"/>
        <v>0</v>
      </c>
      <c r="C384">
        <f t="shared" si="16"/>
        <v>-1</v>
      </c>
      <c r="D384" t="str">
        <f t="shared" si="17"/>
        <v/>
      </c>
      <c r="E384" t="s">
        <v>418</v>
      </c>
    </row>
    <row r="385" spans="1:5" x14ac:dyDescent="0.2">
      <c r="A385" t="b" cm="1">
        <f t="array" ref="A385">_xlfn.HYPGEOM.DIST(1,4,8,20,TRUE)=_xlfn.FORECAST.LINEAR("50%",D!AY1:AY5,D!AZ1:AZ5)</f>
        <v>0</v>
      </c>
      <c r="B385">
        <f t="shared" ref="B385:B448" si="18">IF(ISERROR(A385),ERROR.TYPE(A385),IF(ISNUMBER(A385),0,IF(ISLOGICAL(A385),IF(A385,-1,-2),IF(ISTEXT(A385),-3,-4))))</f>
        <v>-2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e" cm="1">
        <f t="array" ref="A386">IMCOS("1+i")&amp;_xlfn.F.INV.RT(#NAME?,6,COSH(4))</f>
        <v>#NAME?</v>
      </c>
      <c r="B386">
        <f t="shared" si="18"/>
        <v>5</v>
      </c>
      <c r="C386">
        <f t="shared" si="19"/>
        <v>0</v>
      </c>
      <c r="D386" t="str">
        <f t="shared" si="20"/>
        <v/>
      </c>
      <c r="E386" t="s">
        <v>420</v>
      </c>
    </row>
    <row r="387" spans="1:5" x14ac:dyDescent="0.2">
      <c r="A387" t="e" cm="1">
        <f t="array" ref="A387">INDEX(DOLLAR(2,D!L4&gt;MONTH(#NAME?)),1,1)</f>
        <v>#NAME?</v>
      </c>
      <c r="B387">
        <f t="shared" si="18"/>
        <v>5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e" cm="1">
        <f t="array" ref="A388">DMAX(D!B1:B8,"Yield",D!G1:G7)</f>
        <v>#VALUE!</v>
      </c>
      <c r="B388">
        <f t="shared" si="18"/>
        <v>3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t="e" cm="1">
        <f t="array" ref="A389">ADDRESS(D!A1,7)</f>
        <v>#VALUE!</v>
      </c>
      <c r="B389">
        <f t="shared" si="18"/>
        <v>3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cm="1">
        <f t="array" ref="A390">DATE(D!A12,1000,31)</f>
        <v>30437</v>
      </c>
      <c r="B390">
        <f t="shared" si="18"/>
        <v>0</v>
      </c>
      <c r="C390">
        <f t="shared" si="19"/>
        <v>30437</v>
      </c>
      <c r="D390" t="str">
        <f t="shared" si="20"/>
        <v/>
      </c>
      <c r="E390" t="s">
        <v>424</v>
      </c>
    </row>
    <row r="391" spans="1:5" x14ac:dyDescent="0.2">
      <c r="A391" cm="1">
        <f t="array" ref="A391">_xlfn.MUNIT(1)</f>
        <v>1</v>
      </c>
      <c r="B391">
        <f t="shared" si="18"/>
        <v>0</v>
      </c>
      <c r="C391">
        <f t="shared" si="19"/>
        <v>1</v>
      </c>
      <c r="D391" t="str">
        <f t="shared" si="20"/>
        <v/>
      </c>
      <c r="E391" t="s">
        <v>425</v>
      </c>
    </row>
    <row r="392" spans="1:5" x14ac:dyDescent="0.2">
      <c r="A392" t="b" cm="1">
        <f t="array" ref="A392">WEEKNUM(40977)&lt;_xlfn.ERF.PRECISE(59)</f>
        <v>0</v>
      </c>
      <c r="B392">
        <f t="shared" si="18"/>
        <v>-2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cm="1">
        <f t="array" ref="A393">COLUMNS(_xlfn.TOCOL({3,1,2}))</f>
        <v>1</v>
      </c>
      <c r="B393">
        <f t="shared" si="18"/>
        <v>0</v>
      </c>
      <c r="C393">
        <f t="shared" si="19"/>
        <v>1</v>
      </c>
      <c r="D393" t="str">
        <f t="shared" si="20"/>
        <v/>
      </c>
      <c r="E393" t="s">
        <v>427</v>
      </c>
    </row>
    <row r="394" spans="1:5" x14ac:dyDescent="0.2">
      <c r="A394" t="str" cm="1">
        <f t="array" ref="A394">INDEX(ADDRESS(D!A15,3,2,TRUE),1,1)</f>
        <v>C$45688</v>
      </c>
      <c r="B394">
        <f t="shared" si="18"/>
        <v>-3</v>
      </c>
      <c r="C394">
        <f t="shared" si="19"/>
        <v>0</v>
      </c>
      <c r="D394" t="str">
        <f t="shared" si="20"/>
        <v>C$45688</v>
      </c>
      <c r="E394" t="s">
        <v>428</v>
      </c>
    </row>
    <row r="395" spans="1:5" x14ac:dyDescent="0.2">
      <c r="A395" t="e" cm="1">
        <f t="array" ref="A395">PROB(D!AH1:AH4,D!AY1:AY5,2)</f>
        <v>#N/A</v>
      </c>
      <c r="B395">
        <f t="shared" si="18"/>
        <v>7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t="e" cm="1">
        <f t="array" ref="A396">_xlfn.T.INV(#N/A,2)</f>
        <v>#N/A</v>
      </c>
      <c r="B396">
        <f t="shared" si="18"/>
        <v>7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e" cm="1">
        <f t="array" ref="A397">DSUM(D!B1,2.5,D!B1:B8)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cm="1">
        <f t="array" ref="A398">FACT(5)</f>
        <v>120</v>
      </c>
      <c r="B398">
        <f t="shared" si="18"/>
        <v>0</v>
      </c>
      <c r="C398">
        <f t="shared" si="19"/>
        <v>120</v>
      </c>
      <c r="D398" t="str">
        <f t="shared" si="20"/>
        <v/>
      </c>
      <c r="E398" t="s">
        <v>432</v>
      </c>
    </row>
    <row r="399" spans="1:5" x14ac:dyDescent="0.2">
      <c r="A399" cm="1">
        <f t="array" ref="A399">SUM(ROW(D!B1))</f>
        <v>1</v>
      </c>
      <c r="B399">
        <f t="shared" si="18"/>
        <v>0</v>
      </c>
      <c r="C399">
        <f t="shared" si="19"/>
        <v>1</v>
      </c>
      <c r="D399" t="str">
        <f t="shared" si="20"/>
        <v/>
      </c>
      <c r="E399" t="s">
        <v>433</v>
      </c>
    </row>
    <row r="400" spans="1:5" x14ac:dyDescent="0.2">
      <c r="A400" cm="1">
        <f t="array" ref="A400">ASIN(-0.5)</f>
        <v>-0.52359877559829893</v>
      </c>
      <c r="B400">
        <f t="shared" si="18"/>
        <v>0</v>
      </c>
      <c r="C400">
        <f t="shared" si="19"/>
        <v>-0.52359877559829893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2026-10-07T05:15:37Z</dcterms:created>
  <dcterms:modified xsi:type="dcterms:W3CDTF">2026-10-07T05:15:37Z</dcterms:modified>
  <cp:category/>
</cp:coreProperties>
</file>