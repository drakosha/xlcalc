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4"/>
  <workbookPr filterPrivacy="1"/>
  <xr:revisionPtr revIDLastSave="0" documentId="8_{50AC5D1F-4B5D-6C41-8B1C-D05B7636B643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" sheetId="1" r:id="rId1"/>
    <sheet name="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2" i="2" l="1" a="1"/>
  <c r="A82" i="2" s="1"/>
  <c r="A81" i="2" a="1"/>
  <c r="A81" i="2" s="1"/>
  <c r="A80" i="2" a="1"/>
  <c r="A80" i="2" s="1"/>
  <c r="B80" i="2" s="1"/>
  <c r="A79" i="2" a="1"/>
  <c r="A79" i="2" s="1"/>
  <c r="A78" i="2" a="1"/>
  <c r="A78" i="2" s="1"/>
  <c r="A77" i="2" a="1"/>
  <c r="A77" i="2"/>
  <c r="B77" i="2" s="1"/>
  <c r="A76" i="2" a="1"/>
  <c r="A76" i="2"/>
  <c r="C76" i="2" s="1"/>
  <c r="A75" i="2" a="1"/>
  <c r="A75" i="2" s="1"/>
  <c r="A74" i="2" a="1"/>
  <c r="A74" i="2"/>
  <c r="D74" i="2" s="1"/>
  <c r="A73" i="2" a="1"/>
  <c r="A73" i="2"/>
  <c r="D73" i="2" s="1"/>
  <c r="A72" i="2" a="1"/>
  <c r="A72" i="2" s="1"/>
  <c r="A71" i="2" a="1"/>
  <c r="A71" i="2" s="1"/>
  <c r="A70" i="2" a="1"/>
  <c r="A70" i="2"/>
  <c r="C70" i="2" s="1"/>
  <c r="A69" i="2" a="1"/>
  <c r="A69" i="2"/>
  <c r="C69" i="2" s="1"/>
  <c r="A68" i="2" a="1"/>
  <c r="A68" i="2" s="1"/>
  <c r="A67" i="2" a="1"/>
  <c r="A67" i="2"/>
  <c r="D67" i="2" s="1"/>
  <c r="D66" i="2"/>
  <c r="A66" i="2" a="1"/>
  <c r="A66" i="2"/>
  <c r="C66" i="2" s="1"/>
  <c r="A65" i="2" a="1"/>
  <c r="A65" i="2" s="1"/>
  <c r="D65" i="2" s="1"/>
  <c r="A64" i="2" a="1"/>
  <c r="A64" i="2" s="1"/>
  <c r="A63" i="2" a="1"/>
  <c r="A63" i="2" s="1"/>
  <c r="A62" i="2" a="1"/>
  <c r="A62" i="2"/>
  <c r="D62" i="2" s="1"/>
  <c r="A61" i="2" a="1"/>
  <c r="A61" i="2"/>
  <c r="C61" i="2" s="1"/>
  <c r="A60" i="2" a="1"/>
  <c r="A60" i="2"/>
  <c r="D60" i="2" s="1"/>
  <c r="D59" i="2"/>
  <c r="C59" i="2"/>
  <c r="A59" i="2" a="1"/>
  <c r="A59" i="2"/>
  <c r="B59" i="2" s="1"/>
  <c r="A58" i="2" a="1"/>
  <c r="A58" i="2" s="1"/>
  <c r="C58" i="2" s="1"/>
  <c r="A57" i="2" a="1"/>
  <c r="A57" i="2" s="1"/>
  <c r="A56" i="2" a="1"/>
  <c r="A56" i="2"/>
  <c r="D56" i="2" s="1"/>
  <c r="A55" i="2" a="1"/>
  <c r="A55" i="2"/>
  <c r="D55" i="2" s="1"/>
  <c r="A54" i="2" a="1"/>
  <c r="A54" i="2" s="1"/>
  <c r="A53" i="2" a="1"/>
  <c r="A53" i="2"/>
  <c r="D53" i="2" s="1"/>
  <c r="A52" i="2" a="1"/>
  <c r="A52" i="2"/>
  <c r="D52" i="2" s="1"/>
  <c r="A51" i="2" a="1"/>
  <c r="A51" i="2" s="1"/>
  <c r="C51" i="2" s="1"/>
  <c r="A50" i="2" a="1"/>
  <c r="A50" i="2"/>
  <c r="B50" i="2" s="1"/>
  <c r="A49" i="2" a="1"/>
  <c r="A49" i="2"/>
  <c r="D49" i="2" s="1"/>
  <c r="A48" i="2" a="1"/>
  <c r="A48" i="2"/>
  <c r="C48" i="2" s="1"/>
  <c r="A47" i="2" a="1"/>
  <c r="A47" i="2"/>
  <c r="D47" i="2" s="1"/>
  <c r="A46" i="2" a="1"/>
  <c r="A46" i="2" s="1"/>
  <c r="A45" i="2" a="1"/>
  <c r="A45" i="2" s="1"/>
  <c r="A44" i="2" a="1"/>
  <c r="A44" i="2"/>
  <c r="D44" i="2" s="1"/>
  <c r="A43" i="2" a="1"/>
  <c r="A43" i="2" s="1"/>
  <c r="A42" i="2" a="1"/>
  <c r="A42" i="2"/>
  <c r="D42" i="2" s="1"/>
  <c r="A41" i="2" a="1"/>
  <c r="A41" i="2"/>
  <c r="B41" i="2" s="1"/>
  <c r="A40" i="2" a="1"/>
  <c r="A40" i="2"/>
  <c r="D40" i="2" s="1"/>
  <c r="A39" i="2" a="1"/>
  <c r="A39" i="2" s="1"/>
  <c r="A38" i="2" a="1"/>
  <c r="A38" i="2"/>
  <c r="D38" i="2" s="1"/>
  <c r="A37" i="2" a="1"/>
  <c r="A37" i="2" s="1"/>
  <c r="D37" i="2" s="1"/>
  <c r="A36" i="2" a="1"/>
  <c r="A36" i="2" s="1"/>
  <c r="A35" i="2" a="1"/>
  <c r="A35" i="2"/>
  <c r="D35" i="2" s="1"/>
  <c r="A34" i="2" a="1"/>
  <c r="A34" i="2" s="1"/>
  <c r="A33" i="2" a="1"/>
  <c r="A33" i="2"/>
  <c r="B33" i="2" s="1"/>
  <c r="A32" i="2" a="1"/>
  <c r="A32" i="2"/>
  <c r="B32" i="2" s="1"/>
  <c r="A31" i="2" a="1"/>
  <c r="A31" i="2" s="1"/>
  <c r="D31" i="2" s="1"/>
  <c r="A30" i="2" a="1"/>
  <c r="A30" i="2" s="1"/>
  <c r="A29" i="2" a="1"/>
  <c r="A29" i="2"/>
  <c r="D29" i="2" s="1"/>
  <c r="A28" i="2" a="1"/>
  <c r="A28" i="2" s="1"/>
  <c r="A27" i="2" a="1"/>
  <c r="A27" i="2" s="1"/>
  <c r="A26" i="2" a="1"/>
  <c r="A26" i="2"/>
  <c r="D26" i="2" s="1"/>
  <c r="A25" i="2" a="1"/>
  <c r="A25" i="2" s="1"/>
  <c r="A24" i="2" a="1"/>
  <c r="A24" i="2" s="1"/>
  <c r="A23" i="2" a="1"/>
  <c r="A23" i="2"/>
  <c r="B23" i="2" s="1"/>
  <c r="A22" i="2" a="1"/>
  <c r="A22" i="2"/>
  <c r="D22" i="2" s="1"/>
  <c r="A21" i="2" a="1"/>
  <c r="A21" i="2" s="1"/>
  <c r="A20" i="2" a="1"/>
  <c r="A20" i="2" s="1"/>
  <c r="D20" i="2" s="1"/>
  <c r="A19" i="2" a="1"/>
  <c r="A19" i="2"/>
  <c r="D19" i="2" s="1"/>
  <c r="A18" i="2" a="1"/>
  <c r="A18" i="2" s="1"/>
  <c r="A17" i="2" a="1"/>
  <c r="A17" i="2"/>
  <c r="D17" i="2" s="1"/>
  <c r="A16" i="2" a="1"/>
  <c r="A16" i="2" s="1"/>
  <c r="A15" i="2" a="1"/>
  <c r="A15" i="2"/>
  <c r="D15" i="2" s="1"/>
  <c r="A14" i="2" a="1"/>
  <c r="A14" i="2"/>
  <c r="B14" i="2" s="1"/>
  <c r="A13" i="2" a="1"/>
  <c r="A13" i="2" s="1"/>
  <c r="D13" i="2" s="1"/>
  <c r="D12" i="2"/>
  <c r="A12" i="2" a="1"/>
  <c r="A12" i="2"/>
  <c r="C12" i="2" s="1"/>
  <c r="A11" i="2" a="1"/>
  <c r="A11" i="2" s="1"/>
  <c r="A10" i="2" a="1"/>
  <c r="A10" i="2" s="1"/>
  <c r="A9" i="2" a="1"/>
  <c r="A9" i="2" s="1"/>
  <c r="A8" i="2" a="1"/>
  <c r="A8" i="2"/>
  <c r="D8" i="2" s="1"/>
  <c r="A7" i="2" a="1"/>
  <c r="A7" i="2"/>
  <c r="B7" i="2" s="1"/>
  <c r="A6" i="2" a="1"/>
  <c r="A6" i="2"/>
  <c r="D6" i="2" s="1"/>
  <c r="A5" i="2" a="1"/>
  <c r="A5" i="2" s="1"/>
  <c r="A4" i="2" a="1"/>
  <c r="A4" i="2"/>
  <c r="D4" i="2" s="1"/>
  <c r="A3" i="2" a="1"/>
  <c r="A3" i="2"/>
  <c r="C3" i="2" s="1"/>
  <c r="A2" i="2" a="1"/>
  <c r="A2" i="2"/>
  <c r="D2" i="2" s="1"/>
  <c r="A1" i="2" a="1"/>
  <c r="A1" i="2"/>
  <c r="D1" i="2" s="1"/>
  <c r="I15" i="1"/>
  <c r="A14" i="1"/>
  <c r="A13" i="1"/>
  <c r="AL10" i="1"/>
  <c r="A8" i="1"/>
  <c r="A7" i="1"/>
  <c r="E3" i="1"/>
  <c r="D71" i="2" l="1"/>
  <c r="C71" i="2"/>
  <c r="B71" i="2"/>
  <c r="B5" i="2"/>
  <c r="D5" i="2"/>
  <c r="C5" i="2"/>
  <c r="C30" i="2"/>
  <c r="D30" i="2"/>
  <c r="C57" i="2"/>
  <c r="D57" i="2"/>
  <c r="C43" i="2"/>
  <c r="B43" i="2"/>
  <c r="D43" i="2"/>
  <c r="C21" i="2"/>
  <c r="D21" i="2"/>
  <c r="D24" i="2"/>
  <c r="C24" i="2"/>
  <c r="C39" i="2"/>
  <c r="D39" i="2"/>
  <c r="C6" i="2"/>
  <c r="C14" i="2"/>
  <c r="B52" i="2"/>
  <c r="C53" i="2"/>
  <c r="D61" i="2"/>
  <c r="B35" i="2"/>
  <c r="C42" i="2"/>
  <c r="D70" i="2"/>
  <c r="D14" i="2"/>
  <c r="D7" i="2"/>
  <c r="D32" i="2"/>
  <c r="B53" i="2"/>
  <c r="B61" i="2"/>
  <c r="C77" i="2"/>
  <c r="D3" i="2"/>
  <c r="C35" i="2"/>
  <c r="C50" i="2"/>
  <c r="D23" i="2"/>
  <c r="C60" i="2"/>
  <c r="C41" i="2"/>
  <c r="D48" i="2"/>
  <c r="B70" i="2"/>
  <c r="D50" i="2"/>
  <c r="C52" i="2"/>
  <c r="C23" i="2"/>
  <c r="C7" i="2"/>
  <c r="D41" i="2"/>
  <c r="D77" i="2"/>
  <c r="C32" i="2"/>
  <c r="B17" i="2"/>
  <c r="C17" i="2"/>
  <c r="D72" i="2"/>
  <c r="C72" i="2"/>
  <c r="B72" i="2"/>
  <c r="B45" i="2"/>
  <c r="D45" i="2"/>
  <c r="C45" i="2"/>
  <c r="C54" i="2"/>
  <c r="B54" i="2"/>
  <c r="D54" i="2"/>
  <c r="C78" i="2"/>
  <c r="D78" i="2"/>
  <c r="B78" i="2"/>
  <c r="D46" i="2"/>
  <c r="C46" i="2"/>
  <c r="B46" i="2"/>
  <c r="B68" i="2"/>
  <c r="D68" i="2"/>
  <c r="C68" i="2"/>
  <c r="B9" i="2"/>
  <c r="D9" i="2"/>
  <c r="C9" i="2"/>
  <c r="D25" i="2"/>
  <c r="C25" i="2"/>
  <c r="B25" i="2"/>
  <c r="D10" i="2"/>
  <c r="C10" i="2"/>
  <c r="B10" i="2"/>
  <c r="B11" i="2"/>
  <c r="D11" i="2"/>
  <c r="C11" i="2"/>
  <c r="C36" i="2"/>
  <c r="D36" i="2"/>
  <c r="B36" i="2"/>
  <c r="B63" i="2"/>
  <c r="D63" i="2"/>
  <c r="C63" i="2"/>
  <c r="D16" i="2"/>
  <c r="B16" i="2"/>
  <c r="C16" i="2"/>
  <c r="D34" i="2"/>
  <c r="C34" i="2"/>
  <c r="B34" i="2"/>
  <c r="C18" i="2"/>
  <c r="B18" i="2"/>
  <c r="D18" i="2"/>
  <c r="D79" i="2"/>
  <c r="C79" i="2"/>
  <c r="B79" i="2"/>
  <c r="D28" i="2"/>
  <c r="C28" i="2"/>
  <c r="B28" i="2"/>
  <c r="D64" i="2"/>
  <c r="C64" i="2"/>
  <c r="B64" i="2"/>
  <c r="D81" i="2"/>
  <c r="C81" i="2"/>
  <c r="B81" i="2"/>
  <c r="C75" i="2"/>
  <c r="B75" i="2"/>
  <c r="D75" i="2"/>
  <c r="B27" i="2"/>
  <c r="D27" i="2"/>
  <c r="C27" i="2"/>
  <c r="D82" i="2"/>
  <c r="C82" i="2"/>
  <c r="B82" i="2"/>
  <c r="B22" i="2"/>
  <c r="C29" i="2"/>
  <c r="B40" i="2"/>
  <c r="C65" i="2"/>
  <c r="C4" i="2"/>
  <c r="B51" i="2"/>
  <c r="D58" i="2"/>
  <c r="B19" i="2"/>
  <c r="C26" i="2"/>
  <c r="D33" i="2"/>
  <c r="B37" i="2"/>
  <c r="C44" i="2"/>
  <c r="D51" i="2"/>
  <c r="B55" i="2"/>
  <c r="C62" i="2"/>
  <c r="D69" i="2"/>
  <c r="B73" i="2"/>
  <c r="C80" i="2"/>
  <c r="B29" i="2"/>
  <c r="B47" i="2"/>
  <c r="B65" i="2"/>
  <c r="B76" i="2"/>
  <c r="B15" i="2"/>
  <c r="C22" i="2"/>
  <c r="C40" i="2"/>
  <c r="B69" i="2"/>
  <c r="B8" i="2"/>
  <c r="C15" i="2"/>
  <c r="B26" i="2"/>
  <c r="C33" i="2"/>
  <c r="B44" i="2"/>
  <c r="B62" i="2"/>
  <c r="D76" i="2"/>
  <c r="C8" i="2"/>
  <c r="C1" i="2"/>
  <c r="B12" i="2"/>
  <c r="C19" i="2"/>
  <c r="B30" i="2"/>
  <c r="C37" i="2"/>
  <c r="B48" i="2"/>
  <c r="C55" i="2"/>
  <c r="B66" i="2"/>
  <c r="C73" i="2"/>
  <c r="D80" i="2"/>
  <c r="B4" i="2"/>
  <c r="C47" i="2"/>
  <c r="B58" i="2"/>
  <c r="B1" i="2"/>
  <c r="B2" i="2"/>
  <c r="B20" i="2"/>
  <c r="B38" i="2"/>
  <c r="B56" i="2"/>
  <c r="B74" i="2"/>
  <c r="C2" i="2"/>
  <c r="B13" i="2"/>
  <c r="C20" i="2"/>
  <c r="B31" i="2"/>
  <c r="C38" i="2"/>
  <c r="B49" i="2"/>
  <c r="C56" i="2"/>
  <c r="B67" i="2"/>
  <c r="C74" i="2"/>
  <c r="B6" i="2"/>
  <c r="C13" i="2"/>
  <c r="B24" i="2"/>
  <c r="C31" i="2"/>
  <c r="B42" i="2"/>
  <c r="C49" i="2"/>
  <c r="B60" i="2"/>
  <c r="C67" i="2"/>
  <c r="B3" i="2"/>
  <c r="B21" i="2"/>
  <c r="B39" i="2"/>
  <c r="B57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cellMetadata count="1">
    <bk>
      <rc t="1" v="0"/>
    </bk>
  </cellMetadata>
  <valueMetadata count="3">
    <bk>
      <rc t="2" v="0"/>
    </bk>
    <bk>
      <rc t="2" v="1"/>
    </bk>
    <bk>
      <rc t="2" v="2"/>
    </bk>
  </valueMetadata>
</metadata>
</file>

<file path=xl/sharedStrings.xml><?xml version="1.0" encoding="utf-8"?>
<sst xmlns="http://schemas.openxmlformats.org/spreadsheetml/2006/main" count="141" uniqueCount="118">
  <si>
    <t>Аренда</t>
  </si>
  <si>
    <t>one</t>
  </si>
  <si>
    <t>Tree</t>
  </si>
  <si>
    <t>Height</t>
  </si>
  <si>
    <t>Age</t>
  </si>
  <si>
    <t>Yield</t>
  </si>
  <si>
    <t>Profit</t>
  </si>
  <si>
    <t>a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</si>
  <si>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</si>
  <si>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</si>
  <si>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</si>
  <si>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</si>
  <si>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</si>
  <si>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</si>
  <si>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</si>
  <si>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</si>
  <si>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</si>
  <si>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</si>
  <si>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</si>
  <si>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</si>
  <si>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</si>
  <si>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</si>
  <si>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</si>
  <si>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</si>
  <si>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</si>
  <si>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</si>
  <si>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</si>
  <si>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</si>
  <si>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</si>
  <si>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</si>
  <si>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</si>
  <si>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b</t>
  </si>
  <si>
    <t>Привет Мир</t>
  </si>
  <si>
    <t>1.5</t>
  </si>
  <si>
    <t>1,5</t>
  </si>
  <si>
    <t>let:value#1</t>
  </si>
  <si>
    <t>let:value#2</t>
  </si>
  <si>
    <t>let:value#3</t>
  </si>
  <si>
    <t>let:value#4</t>
  </si>
  <si>
    <t>let:value#5</t>
  </si>
  <si>
    <t>let:value#6</t>
  </si>
  <si>
    <t>let:value#7</t>
  </si>
  <si>
    <t>let:value#8</t>
  </si>
  <si>
    <t>let:value#9</t>
  </si>
  <si>
    <t>let:array#1</t>
  </si>
  <si>
    <t>let:array#2</t>
  </si>
  <si>
    <t>let:array#3</t>
  </si>
  <si>
    <t>let:array#4</t>
  </si>
  <si>
    <t>let:array#5</t>
  </si>
  <si>
    <t>let:array#6</t>
  </si>
  <si>
    <t>let:array#7</t>
  </si>
  <si>
    <t>let:array#8</t>
  </si>
  <si>
    <t>let:array#9</t>
  </si>
  <si>
    <t>let:array#10</t>
  </si>
  <si>
    <t>let:ref#1</t>
  </si>
  <si>
    <t>let:ref#2</t>
  </si>
  <si>
    <t>let:ref#3</t>
  </si>
  <si>
    <t>let:ref#4</t>
  </si>
  <si>
    <t>let:ref#5</t>
  </si>
  <si>
    <t>let:ref#6</t>
  </si>
  <si>
    <t>let:ref#7</t>
  </si>
  <si>
    <t>let:ref#8</t>
  </si>
  <si>
    <t>let:ref#9</t>
  </si>
  <si>
    <t>let:ref#10</t>
  </si>
  <si>
    <t>let:ref#11</t>
  </si>
  <si>
    <t>let:ref#12</t>
  </si>
  <si>
    <t>let:ref#13</t>
  </si>
  <si>
    <t>let:ref#14</t>
  </si>
  <si>
    <t>let:ref#15</t>
  </si>
  <si>
    <t>let:result#1</t>
  </si>
  <si>
    <t>let:result#2</t>
  </si>
  <si>
    <t>let:result#3</t>
  </si>
  <si>
    <t>let:result#4</t>
  </si>
  <si>
    <t>let:result#5</t>
  </si>
  <si>
    <t>let:result#6</t>
  </si>
  <si>
    <t>let:scope#1</t>
  </si>
  <si>
    <t>let:scope#2</t>
  </si>
  <si>
    <t>let:scope#3</t>
  </si>
  <si>
    <t>let:scope#4</t>
  </si>
  <si>
    <t>let:scope#5</t>
  </si>
  <si>
    <t>let:scope#6</t>
  </si>
  <si>
    <t>let:nest#1</t>
  </si>
  <si>
    <t>let:nest#2</t>
  </si>
  <si>
    <t>let:nest#3</t>
  </si>
  <si>
    <t>let:nest#4</t>
  </si>
  <si>
    <t>let:nest#5</t>
  </si>
  <si>
    <t>let:nest#6</t>
  </si>
  <si>
    <t>let:names#1</t>
  </si>
  <si>
    <t>let:names#2</t>
  </si>
  <si>
    <t>let:names#3</t>
  </si>
  <si>
    <t>let:names#4</t>
  </si>
  <si>
    <t>let:names#5</t>
  </si>
  <si>
    <t>let:names#6</t>
  </si>
  <si>
    <t>let:names#7</t>
  </si>
  <si>
    <t>let:once#1</t>
  </si>
  <si>
    <t>let:once#2</t>
  </si>
  <si>
    <t>let:once#3</t>
  </si>
  <si>
    <t>let:once#4</t>
  </si>
  <si>
    <t>let:once#5</t>
  </si>
  <si>
    <t>let:once#6</t>
  </si>
  <si>
    <t>let:once#7</t>
  </si>
  <si>
    <t>let:count#1</t>
  </si>
  <si>
    <t>let:unbound#1</t>
  </si>
  <si>
    <t>let:unbound#2</t>
  </si>
  <si>
    <t>let:unbound#3</t>
  </si>
  <si>
    <t>let:unbound#4</t>
  </si>
  <si>
    <t>let:even#1</t>
  </si>
  <si>
    <t>let:even#2</t>
  </si>
  <si>
    <t>let:file#1</t>
  </si>
  <si>
    <t>let:file#2</t>
  </si>
  <si>
    <t>let:file#3</t>
  </si>
  <si>
    <t>let:file#4</t>
  </si>
  <si>
    <t>let:file#5</t>
  </si>
  <si>
    <t>let:omitted#1</t>
  </si>
  <si>
    <t>let:omitted#2</t>
  </si>
  <si>
    <t>let:omitted#3</t>
  </si>
  <si>
    <t>let:omitted#4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</si>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</sst>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alcChain" Target="calcChain.xml"/><Relationship Id="rId4" Type="http://schemas.openxmlformats.org/officeDocument/2006/relationships/styles" Target="styles.xml"/><Relationship Id="rId9" Type="http://schemas.microsoft.com/office/2017/06/relationships/rdRichValueTypes" Target="richData/rdRichValueTyp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2</v>
    <v>8</v>
    <v>0</v>
    <v>1</v>
  </rv>
  <rv s="0">
    <v>0</v>
    <v>8</v>
    <v>2</v>
    <v>1</v>
  </rv>
  <rv s="0">
    <v>0</v>
    <v>8</v>
    <v>7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7"/>
  <sheetViews>
    <sheetView tabSelected="1"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0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1</v>
      </c>
      <c r="N1">
        <v>10</v>
      </c>
      <c r="P1">
        <v>1</v>
      </c>
      <c r="Q1">
        <v>2</v>
      </c>
      <c r="R1">
        <v>5</v>
      </c>
      <c r="S1">
        <v>6</v>
      </c>
      <c r="U1" t="s">
        <v>2</v>
      </c>
      <c r="V1" t="s">
        <v>3</v>
      </c>
      <c r="W1" t="s">
        <v>4</v>
      </c>
      <c r="X1" t="s">
        <v>5</v>
      </c>
      <c r="Y1" t="s">
        <v>6</v>
      </c>
      <c r="AA1" t="s">
        <v>2</v>
      </c>
      <c r="AB1" t="s">
        <v>3</v>
      </c>
      <c r="AC1" t="s">
        <v>2</v>
      </c>
      <c r="AD1" t="s">
        <v>2</v>
      </c>
      <c r="AE1" t="s">
        <v>2</v>
      </c>
      <c r="AF1" t="s">
        <v>2</v>
      </c>
      <c r="AG1" t="s">
        <v>2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7</v>
      </c>
    </row>
    <row r="2" spans="1:60" x14ac:dyDescent="0.2">
      <c r="A2" t="s">
        <v>8</v>
      </c>
      <c r="B2">
        <v>8</v>
      </c>
      <c r="C2">
        <v>7</v>
      </c>
      <c r="D2" t="s">
        <v>8</v>
      </c>
      <c r="E2">
        <v>2</v>
      </c>
      <c r="F2" t="s">
        <v>9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10</v>
      </c>
      <c r="N2">
        <v>20</v>
      </c>
      <c r="P2">
        <v>3</v>
      </c>
      <c r="Q2">
        <v>4</v>
      </c>
      <c r="R2">
        <v>7</v>
      </c>
      <c r="S2">
        <v>8</v>
      </c>
      <c r="U2" t="s">
        <v>11</v>
      </c>
      <c r="V2">
        <v>18</v>
      </c>
      <c r="W2">
        <v>20</v>
      </c>
      <c r="X2">
        <v>14</v>
      </c>
      <c r="Y2">
        <v>105</v>
      </c>
      <c r="AA2" t="s">
        <v>11</v>
      </c>
      <c r="AB2" t="s">
        <v>12</v>
      </c>
      <c r="AC2" t="s">
        <v>13</v>
      </c>
      <c r="AD2" t="s">
        <v>14</v>
      </c>
      <c r="AE2" t="s">
        <v>15</v>
      </c>
      <c r="AF2" t="s">
        <v>16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17</v>
      </c>
      <c r="B3">
        <v>15</v>
      </c>
      <c r="C3">
        <v>11</v>
      </c>
      <c r="D3" t="s">
        <v>17</v>
      </c>
      <c r="E3" t="e">
        <f>1/0</f>
        <v>#DIV/0!</v>
      </c>
      <c r="F3" t="s">
        <v>18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19</v>
      </c>
      <c r="N3">
        <v>30</v>
      </c>
      <c r="U3" t="s">
        <v>13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17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20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21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22</v>
      </c>
      <c r="N4">
        <v>50</v>
      </c>
      <c r="P4">
        <v>1</v>
      </c>
      <c r="Q4">
        <v>2</v>
      </c>
      <c r="R4">
        <v>3</v>
      </c>
      <c r="U4" t="s">
        <v>15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7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23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24</v>
      </c>
      <c r="N5">
        <v>80</v>
      </c>
      <c r="P5">
        <v>4</v>
      </c>
      <c r="Q5">
        <v>5</v>
      </c>
      <c r="R5">
        <v>6</v>
      </c>
      <c r="U5" t="s">
        <v>11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25</v>
      </c>
      <c r="AP5" s="1">
        <v>39786</v>
      </c>
      <c r="AS5" t="s">
        <v>26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27</v>
      </c>
      <c r="G6">
        <v>32</v>
      </c>
      <c r="H6" s="1">
        <v>45473</v>
      </c>
      <c r="L6">
        <v>13</v>
      </c>
      <c r="M6" t="s">
        <v>28</v>
      </c>
      <c r="N6">
        <v>130</v>
      </c>
      <c r="U6" t="s">
        <v>13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29</v>
      </c>
      <c r="G7">
        <v>64</v>
      </c>
      <c r="H7" s="1">
        <v>46022</v>
      </c>
      <c r="I7">
        <v>-10000</v>
      </c>
      <c r="J7">
        <v>100</v>
      </c>
      <c r="U7" t="s">
        <v>11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30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31</v>
      </c>
      <c r="AU8" s="1">
        <v>39448</v>
      </c>
      <c r="BG8">
        <v>2</v>
      </c>
    </row>
    <row r="9" spans="1:60" x14ac:dyDescent="0.2">
      <c r="A9" t="s">
        <v>32</v>
      </c>
      <c r="I9">
        <v>4200</v>
      </c>
      <c r="J9">
        <v>300</v>
      </c>
      <c r="L9" t="s">
        <v>1</v>
      </c>
      <c r="M9" t="s">
        <v>10</v>
      </c>
      <c r="N9" t="s">
        <v>19</v>
      </c>
      <c r="O9" t="s">
        <v>22</v>
      </c>
      <c r="P9" t="s">
        <v>24</v>
      </c>
      <c r="Q9" t="s">
        <v>28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33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34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3"/>
  <sheetViews>
    <sheetView workbookViewId="0"/>
  </sheetViews>
  <sheetFormatPr baseColWidth="10" defaultColWidth="8.83203125" defaultRowHeight="15" x14ac:dyDescent="0.2"/>
  <sheetData>
    <row r="1" spans="1:5" x14ac:dyDescent="0.2">
      <c r="A1" cm="1">
        <f t="array" ref="A1">_xlfn.LET(_xlpm.x,1,_xlpm.x+1)</f>
        <v>2</v>
      </c>
      <c r="B1">
        <f t="shared" ref="B1:B32" si="0">IF(ISERROR(A1),ERROR.TYPE(A1),IF(ISNUMBER(A1),0,IF(ISLOGICAL(A1),IF(A1,-1,-2),IF(ISTEXT(A1),-3,-4))))</f>
        <v>0</v>
      </c>
      <c r="C1">
        <f t="shared" ref="C1:C32" si="1">IF(ISNUMBER(A1),A1,0)</f>
        <v>2</v>
      </c>
      <c r="D1" t="str">
        <f t="shared" ref="D1:D32" si="2">IF(ISTEXT(A1),A1,"")</f>
        <v/>
      </c>
      <c r="E1" t="s">
        <v>35</v>
      </c>
    </row>
    <row r="2" spans="1:5" x14ac:dyDescent="0.2">
      <c r="A2" cm="1">
        <f t="array" ref="A2">_xlfn.LET(_xlpm.x,2,_xlpm.y,3,_xlpm.x*_xlpm.y)</f>
        <v>6</v>
      </c>
      <c r="B2">
        <f t="shared" si="0"/>
        <v>0</v>
      </c>
      <c r="C2">
        <f t="shared" si="1"/>
        <v>6</v>
      </c>
      <c r="D2" t="str">
        <f t="shared" si="2"/>
        <v/>
      </c>
      <c r="E2" t="s">
        <v>36</v>
      </c>
    </row>
    <row r="3" spans="1:5" x14ac:dyDescent="0.2">
      <c r="A3" cm="1">
        <f t="array" ref="A3">_xlfn.LET(_xlpm.x,1,_xlpm.y,_xlpm.x+1,_xlpm.z,_xlpm.y*10,_xlpm.z+_xlpm.x)</f>
        <v>21</v>
      </c>
      <c r="B3">
        <f t="shared" si="0"/>
        <v>0</v>
      </c>
      <c r="C3">
        <f t="shared" si="1"/>
        <v>21</v>
      </c>
      <c r="D3" t="str">
        <f t="shared" si="2"/>
        <v/>
      </c>
      <c r="E3" t="s">
        <v>37</v>
      </c>
    </row>
    <row r="4" spans="1:5" x14ac:dyDescent="0.2">
      <c r="A4" t="str" cm="1">
        <f t="array" ref="A4">_xlfn.LET(_xlpm.x,"a",_xlpm.x&amp;"b")</f>
        <v>ab</v>
      </c>
      <c r="B4">
        <f t="shared" si="0"/>
        <v>-3</v>
      </c>
      <c r="C4">
        <f t="shared" si="1"/>
        <v>0</v>
      </c>
      <c r="D4" t="str">
        <f t="shared" si="2"/>
        <v>ab</v>
      </c>
      <c r="E4" t="s">
        <v>38</v>
      </c>
    </row>
    <row r="5" spans="1:5" x14ac:dyDescent="0.2">
      <c r="A5" t="b" cm="1">
        <f t="array" ref="A5">_xlfn.LET(_xlpm.x,TRUE,NOT(_xlpm.x))</f>
        <v>0</v>
      </c>
      <c r="B5">
        <f t="shared" si="0"/>
        <v>-2</v>
      </c>
      <c r="C5">
        <f t="shared" si="1"/>
        <v>0</v>
      </c>
      <c r="D5" t="str">
        <f t="shared" si="2"/>
        <v/>
      </c>
      <c r="E5" t="s">
        <v>39</v>
      </c>
    </row>
    <row r="6" spans="1:5" x14ac:dyDescent="0.2">
      <c r="A6" cm="1">
        <f t="array" ref="A6">_xlfn.LET(_xlpm.x,D!B2,_xlpm.x*2)</f>
        <v>16</v>
      </c>
      <c r="B6">
        <f t="shared" si="0"/>
        <v>0</v>
      </c>
      <c r="C6">
        <f t="shared" si="1"/>
        <v>16</v>
      </c>
      <c r="D6" t="str">
        <f t="shared" si="2"/>
        <v/>
      </c>
      <c r="E6" t="s">
        <v>40</v>
      </c>
    </row>
    <row r="7" spans="1:5" x14ac:dyDescent="0.2">
      <c r="A7" cm="1">
        <f t="array" ref="A7">_xlfn.LET(_xlpm.x,5,_xlpm.x%)</f>
        <v>0.05</v>
      </c>
      <c r="B7">
        <f t="shared" si="0"/>
        <v>0</v>
      </c>
      <c r="C7">
        <f t="shared" si="1"/>
        <v>0.05</v>
      </c>
      <c r="D7" t="str">
        <f t="shared" si="2"/>
        <v/>
      </c>
      <c r="E7" t="s">
        <v>41</v>
      </c>
    </row>
    <row r="8" spans="1:5" x14ac:dyDescent="0.2">
      <c r="A8" cm="1">
        <f t="array" ref="A8">_xlfn.LET(_xlpm.x,-2,-_xlpm.x^2)</f>
        <v>4</v>
      </c>
      <c r="B8">
        <f t="shared" si="0"/>
        <v>0</v>
      </c>
      <c r="C8">
        <f t="shared" si="1"/>
        <v>4</v>
      </c>
      <c r="D8" t="str">
        <f t="shared" si="2"/>
        <v/>
      </c>
      <c r="E8" t="s">
        <v>42</v>
      </c>
    </row>
    <row r="9" spans="1:5" x14ac:dyDescent="0.2">
      <c r="A9" cm="1">
        <f t="array" ref="A9">_xlfn.LET(_xlpm.x,1,_xlpm.y,2,_xlpm.x)</f>
        <v>1</v>
      </c>
      <c r="B9">
        <f t="shared" si="0"/>
        <v>0</v>
      </c>
      <c r="C9">
        <f t="shared" si="1"/>
        <v>1</v>
      </c>
      <c r="D9" t="str">
        <f t="shared" si="2"/>
        <v/>
      </c>
      <c r="E9" t="s">
        <v>43</v>
      </c>
    </row>
    <row r="10" spans="1:5" x14ac:dyDescent="0.2">
      <c r="A10" cm="1">
        <f t="array" ref="A10">_xlfn.LET(_xlpm.a,{1,2,3},SUM(_xlpm.a))</f>
        <v>6</v>
      </c>
      <c r="B10">
        <f t="shared" si="0"/>
        <v>0</v>
      </c>
      <c r="C10">
        <f t="shared" si="1"/>
        <v>6</v>
      </c>
      <c r="D10" t="str">
        <f t="shared" si="2"/>
        <v/>
      </c>
      <c r="E10" t="s">
        <v>44</v>
      </c>
    </row>
    <row r="11" spans="1:5" x14ac:dyDescent="0.2">
      <c r="A11" t="e" cm="1" vm="1">
        <f t="array" aca="1" ref="A11" ca="1">_xlfn.LET(_xlpm.a,{1,2,3},_xlpm.a*2)</f>
        <v>#VALUE!</v>
      </c>
      <c r="B11">
        <f t="shared" ca="1" si="0"/>
        <v>9</v>
      </c>
      <c r="C11">
        <f t="shared" ca="1" si="1"/>
        <v>0</v>
      </c>
      <c r="D11" t="str">
        <f t="shared" ca="1" si="2"/>
        <v/>
      </c>
      <c r="E11" t="s">
        <v>45</v>
      </c>
    </row>
    <row r="12" spans="1:5" x14ac:dyDescent="0.2">
      <c r="A12" cm="1">
        <f t="array" ref="A12">_xlfn.LET(_xlpm.a,{1,2,3},INDEX(_xlpm.a,2))</f>
        <v>2</v>
      </c>
      <c r="B12">
        <f t="shared" si="0"/>
        <v>0</v>
      </c>
      <c r="C12">
        <f t="shared" si="1"/>
        <v>2</v>
      </c>
      <c r="D12" t="str">
        <f t="shared" si="2"/>
        <v/>
      </c>
      <c r="E12" t="s">
        <v>46</v>
      </c>
    </row>
    <row r="13" spans="1:5" x14ac:dyDescent="0.2">
      <c r="A13" cm="1">
        <f t="array" ref="A13">_xlfn.LET(_xlpm.a,{1},TYPE(_xlpm.a))</f>
        <v>64</v>
      </c>
      <c r="B13">
        <f t="shared" si="0"/>
        <v>0</v>
      </c>
      <c r="C13">
        <f t="shared" si="1"/>
        <v>64</v>
      </c>
      <c r="D13" t="str">
        <f t="shared" si="2"/>
        <v/>
      </c>
      <c r="E13" t="s">
        <v>47</v>
      </c>
    </row>
    <row r="14" spans="1:5" x14ac:dyDescent="0.2">
      <c r="A14" cm="1">
        <f t="array" ref="A14">TYPE(_xlfn.LET(_xlpm.a,{1},_xlpm.a))</f>
        <v>64</v>
      </c>
      <c r="B14">
        <f t="shared" si="0"/>
        <v>0</v>
      </c>
      <c r="C14">
        <f t="shared" si="1"/>
        <v>64</v>
      </c>
      <c r="D14" t="str">
        <f t="shared" si="2"/>
        <v/>
      </c>
      <c r="E14" t="s">
        <v>48</v>
      </c>
    </row>
    <row r="15" spans="1:5" x14ac:dyDescent="0.2">
      <c r="A15" cm="1">
        <f t="array" ref="A15">_xlfn.LET(_xlpm.x,_xlfn.SEQUENCE(3),ROWS(_xlpm.x))</f>
        <v>3</v>
      </c>
      <c r="B15">
        <f t="shared" si="0"/>
        <v>0</v>
      </c>
      <c r="C15">
        <f t="shared" si="1"/>
        <v>3</v>
      </c>
      <c r="D15" t="str">
        <f t="shared" si="2"/>
        <v/>
      </c>
      <c r="E15" t="s">
        <v>49</v>
      </c>
    </row>
    <row r="16" spans="1:5" x14ac:dyDescent="0.2">
      <c r="A16" t="e" cm="1" vm="2">
        <f t="array" aca="1" ref="A16" ca="1">_xlfn.LET(_xlpm.x,_xlfn.SEQUENCE(3),_xlpm.x)</f>
        <v>#VALUE!</v>
      </c>
      <c r="B16">
        <f t="shared" ca="1" si="0"/>
        <v>9</v>
      </c>
      <c r="C16">
        <f t="shared" ca="1" si="1"/>
        <v>0</v>
      </c>
      <c r="D16" t="str">
        <f t="shared" ca="1" si="2"/>
        <v/>
      </c>
      <c r="E16" t="s">
        <v>50</v>
      </c>
    </row>
    <row r="17" spans="1:5" x14ac:dyDescent="0.2">
      <c r="A17" cm="1">
        <f t="array" ref="A17">_xlfn.LET(_xlpm.c,{TRUE,FALSE},SUM(IF(_xlpm.c,1,2)))</f>
        <v>3</v>
      </c>
      <c r="B17">
        <f t="shared" si="0"/>
        <v>0</v>
      </c>
      <c r="C17">
        <f t="shared" si="1"/>
        <v>3</v>
      </c>
      <c r="D17" t="str">
        <f t="shared" si="2"/>
        <v/>
      </c>
      <c r="E17" t="s">
        <v>51</v>
      </c>
    </row>
    <row r="18" spans="1:5" x14ac:dyDescent="0.2">
      <c r="A18" cm="1">
        <f t="array" ref="A18">_xlfn.LET(_xlpm.x,D!B1:B8,SUM(_xlpm.x*2))</f>
        <v>229.5</v>
      </c>
      <c r="B18">
        <f t="shared" si="0"/>
        <v>0</v>
      </c>
      <c r="C18">
        <f t="shared" si="1"/>
        <v>229.5</v>
      </c>
      <c r="D18" t="str">
        <f t="shared" si="2"/>
        <v/>
      </c>
      <c r="E18" t="s">
        <v>52</v>
      </c>
    </row>
    <row r="19" spans="1:5" x14ac:dyDescent="0.2">
      <c r="A19" cm="1">
        <f t="array" ref="A19">SUM(_xlfn.LET(_xlpm.x,D!B1:B8,_xlpm.x*2))</f>
        <v>229.5</v>
      </c>
      <c r="B19">
        <f t="shared" si="0"/>
        <v>0</v>
      </c>
      <c r="C19">
        <f t="shared" si="1"/>
        <v>229.5</v>
      </c>
      <c r="D19" t="str">
        <f t="shared" si="2"/>
        <v/>
      </c>
      <c r="E19" t="s">
        <v>53</v>
      </c>
    </row>
    <row r="20" spans="1:5" x14ac:dyDescent="0.2">
      <c r="A20" cm="1">
        <f t="array" ref="A20">_xlfn.LET(_xlpm.r,D!B1:B8,ROWS(_xlpm.r))</f>
        <v>8</v>
      </c>
      <c r="B20">
        <f t="shared" si="0"/>
        <v>0</v>
      </c>
      <c r="C20">
        <f t="shared" si="1"/>
        <v>8</v>
      </c>
      <c r="D20" t="str">
        <f t="shared" si="2"/>
        <v/>
      </c>
      <c r="E20" t="s">
        <v>54</v>
      </c>
    </row>
    <row r="21" spans="1:5" x14ac:dyDescent="0.2">
      <c r="A21" cm="1">
        <f t="array" ref="A21">_xlfn.LET(_xlpm.r,D!D1:D8,SUM(_xlpm.r))</f>
        <v>9.5</v>
      </c>
      <c r="B21">
        <f t="shared" si="0"/>
        <v>0</v>
      </c>
      <c r="C21">
        <f t="shared" si="1"/>
        <v>9.5</v>
      </c>
      <c r="D21" t="str">
        <f t="shared" si="2"/>
        <v/>
      </c>
      <c r="E21" t="s">
        <v>55</v>
      </c>
    </row>
    <row r="22" spans="1:5" x14ac:dyDescent="0.2">
      <c r="A22" cm="1">
        <f t="array" ref="A22">_xlfn.LET(_xlpm.r,D!A2,SUM(_xlpm.r))</f>
        <v>0</v>
      </c>
      <c r="B22">
        <f t="shared" si="0"/>
        <v>0</v>
      </c>
      <c r="C22">
        <f t="shared" si="1"/>
        <v>0</v>
      </c>
      <c r="D22" t="str">
        <f t="shared" si="2"/>
        <v/>
      </c>
      <c r="E22" t="s">
        <v>56</v>
      </c>
    </row>
    <row r="23" spans="1:5" x14ac:dyDescent="0.2">
      <c r="A23" cm="1">
        <f t="array" ref="A23">_xlfn.LET(_xlpm.r,D!A2,_xlpm.r+1)</f>
        <v>3</v>
      </c>
      <c r="B23">
        <f t="shared" si="0"/>
        <v>0</v>
      </c>
      <c r="C23">
        <f t="shared" si="1"/>
        <v>3</v>
      </c>
      <c r="D23" t="str">
        <f t="shared" si="2"/>
        <v/>
      </c>
      <c r="E23" t="s">
        <v>57</v>
      </c>
    </row>
    <row r="24" spans="1:5" x14ac:dyDescent="0.2">
      <c r="A24" cm="1">
        <f t="array" ref="A24">_xlfn.LET(_xlpm.r,D!B1:B8,SUMIF(_xlpm.r,"&gt;10"))</f>
        <v>106.25</v>
      </c>
      <c r="B24">
        <f t="shared" si="0"/>
        <v>0</v>
      </c>
      <c r="C24">
        <f t="shared" si="1"/>
        <v>106.25</v>
      </c>
      <c r="D24" t="str">
        <f t="shared" si="2"/>
        <v/>
      </c>
      <c r="E24" t="s">
        <v>58</v>
      </c>
    </row>
    <row r="25" spans="1:5" x14ac:dyDescent="0.2">
      <c r="A25" t="e" cm="1" vm="3">
        <f t="array" aca="1" ref="A25" ca="1">_xlfn.LET(_xlpm.r,D!B1:B8,_xlpm.r)</f>
        <v>#VALUE!</v>
      </c>
      <c r="B25">
        <f t="shared" ca="1" si="0"/>
        <v>9</v>
      </c>
      <c r="C25">
        <f t="shared" ca="1" si="1"/>
        <v>0</v>
      </c>
      <c r="D25" t="str">
        <f t="shared" ca="1" si="2"/>
        <v/>
      </c>
      <c r="E25" t="s">
        <v>59</v>
      </c>
    </row>
    <row r="26" spans="1:5" x14ac:dyDescent="0.2">
      <c r="A26" cm="1">
        <f t="array" ref="A26">_xlfn.LET(_xlpm.r,D!B1:B8,COLUMN(_xlpm.r))</f>
        <v>2</v>
      </c>
      <c r="B26">
        <f t="shared" si="0"/>
        <v>0</v>
      </c>
      <c r="C26">
        <f t="shared" si="1"/>
        <v>2</v>
      </c>
      <c r="D26" t="str">
        <f t="shared" si="2"/>
        <v/>
      </c>
      <c r="E26" t="s">
        <v>60</v>
      </c>
    </row>
    <row r="27" spans="1:5" x14ac:dyDescent="0.2">
      <c r="A27" t="b" cm="1">
        <f t="array" ref="A27">_xlfn.LET(_xlpm.r,D!A1,ISBLANK(_xlpm.r))</f>
        <v>1</v>
      </c>
      <c r="B27">
        <f t="shared" si="0"/>
        <v>-1</v>
      </c>
      <c r="C27">
        <f t="shared" si="1"/>
        <v>0</v>
      </c>
      <c r="D27" t="str">
        <f t="shared" si="2"/>
        <v/>
      </c>
      <c r="E27" t="s">
        <v>61</v>
      </c>
    </row>
    <row r="28" spans="1:5" x14ac:dyDescent="0.2">
      <c r="A28" cm="1">
        <f t="array" ref="A28">_xlfn.LET(_xlpm.r,D!A1,_xlpm.r)</f>
        <v>0</v>
      </c>
      <c r="B28">
        <f t="shared" si="0"/>
        <v>0</v>
      </c>
      <c r="C28">
        <f t="shared" si="1"/>
        <v>0</v>
      </c>
      <c r="D28" t="str">
        <f t="shared" si="2"/>
        <v/>
      </c>
      <c r="E28" t="s">
        <v>62</v>
      </c>
    </row>
    <row r="29" spans="1:5" x14ac:dyDescent="0.2">
      <c r="A29" t="str" cm="1">
        <f t="array" ref="A29">_xlfn.LET(_xlpm.r,D!A1,_xlpm.r&amp;"")</f>
        <v/>
      </c>
      <c r="B29">
        <f t="shared" si="0"/>
        <v>-3</v>
      </c>
      <c r="C29">
        <f t="shared" si="1"/>
        <v>0</v>
      </c>
      <c r="D29" t="str">
        <f t="shared" si="2"/>
        <v/>
      </c>
      <c r="E29" t="s">
        <v>63</v>
      </c>
    </row>
    <row r="30" spans="1:5" x14ac:dyDescent="0.2">
      <c r="A30" cm="1">
        <f t="array" ref="A30">_xlfn.LET(_xlpm.r,D!B1:B2,TYPE(_xlpm.r))</f>
        <v>64</v>
      </c>
      <c r="B30">
        <f t="shared" si="0"/>
        <v>0</v>
      </c>
      <c r="C30">
        <f t="shared" si="1"/>
        <v>64</v>
      </c>
      <c r="D30" t="str">
        <f t="shared" si="2"/>
        <v/>
      </c>
      <c r="E30" t="s">
        <v>64</v>
      </c>
    </row>
    <row r="31" spans="1:5" x14ac:dyDescent="0.2">
      <c r="A31" cm="1">
        <f t="array" ref="A31">_xlfn.LET(_xlpm.r,D!B1,TYPE(_xlpm.r))</f>
        <v>1</v>
      </c>
      <c r="B31">
        <f t="shared" si="0"/>
        <v>0</v>
      </c>
      <c r="C31">
        <f t="shared" si="1"/>
        <v>1</v>
      </c>
      <c r="D31" t="str">
        <f t="shared" si="2"/>
        <v/>
      </c>
      <c r="E31" t="s">
        <v>65</v>
      </c>
    </row>
    <row r="32" spans="1:5" x14ac:dyDescent="0.2">
      <c r="A32" cm="1">
        <f t="array" ref="A32">_xlfn.LET(_xlpm.r,INDEX(D!B1:C8,0,1),SUM(_xlpm.r))</f>
        <v>114.75</v>
      </c>
      <c r="B32">
        <f t="shared" si="0"/>
        <v>0</v>
      </c>
      <c r="C32">
        <f t="shared" si="1"/>
        <v>114.75</v>
      </c>
      <c r="D32" t="str">
        <f t="shared" si="2"/>
        <v/>
      </c>
      <c r="E32" t="s">
        <v>66</v>
      </c>
    </row>
    <row r="33" spans="1:5" x14ac:dyDescent="0.2">
      <c r="A33" cm="1">
        <f t="array" ref="A33">_xlfn.LET(_xlpm.r,IF(TRUE,D!A2),SUM(_xlpm.r))</f>
        <v>0</v>
      </c>
      <c r="B33">
        <f t="shared" ref="B33:B64" si="3">IF(ISERROR(A33),ERROR.TYPE(A33),IF(ISNUMBER(A33),0,IF(ISLOGICAL(A33),IF(A33,-1,-2),IF(ISTEXT(A33),-3,-4))))</f>
        <v>0</v>
      </c>
      <c r="C33">
        <f t="shared" ref="C33:C64" si="4">IF(ISNUMBER(A33),A33,0)</f>
        <v>0</v>
      </c>
      <c r="D33" t="str">
        <f t="shared" ref="D33:D64" si="5">IF(ISTEXT(A33),A33,"")</f>
        <v/>
      </c>
      <c r="E33" t="s">
        <v>67</v>
      </c>
    </row>
    <row r="34" spans="1:5" x14ac:dyDescent="0.2">
      <c r="A34" cm="1">
        <f t="array" ref="A34">_xlfn.LET(_xlpm.r,D!K1:K8,COUNTA(_xlpm.r))</f>
        <v>0</v>
      </c>
      <c r="B34">
        <f t="shared" si="3"/>
        <v>0</v>
      </c>
      <c r="C34">
        <f t="shared" si="4"/>
        <v>0</v>
      </c>
      <c r="D34" t="str">
        <f t="shared" si="5"/>
        <v/>
      </c>
      <c r="E34" t="s">
        <v>68</v>
      </c>
    </row>
    <row r="35" spans="1:5" x14ac:dyDescent="0.2">
      <c r="A35" cm="1">
        <f t="array" ref="A35">SUM(_xlfn.LET(_xlpm.r,D!D1:D8,_xlpm.r))</f>
        <v>9.5</v>
      </c>
      <c r="B35">
        <f t="shared" si="3"/>
        <v>0</v>
      </c>
      <c r="C35">
        <f t="shared" si="4"/>
        <v>9.5</v>
      </c>
      <c r="D35" t="str">
        <f t="shared" si="5"/>
        <v/>
      </c>
      <c r="E35" t="s">
        <v>69</v>
      </c>
    </row>
    <row r="36" spans="1:5" x14ac:dyDescent="0.2">
      <c r="A36" cm="1">
        <f t="array" ref="A36">SUMIF(_xlfn.LET(_xlpm.r,D!B1:B8,_xlpm.r),"&gt;10")</f>
        <v>106.25</v>
      </c>
      <c r="B36">
        <f t="shared" si="3"/>
        <v>0</v>
      </c>
      <c r="C36">
        <f t="shared" si="4"/>
        <v>106.25</v>
      </c>
      <c r="D36" t="str">
        <f t="shared" si="5"/>
        <v/>
      </c>
      <c r="E36" t="s">
        <v>70</v>
      </c>
    </row>
    <row r="37" spans="1:5" x14ac:dyDescent="0.2">
      <c r="A37" cm="1">
        <f t="array" ref="A37">ROWS(_xlfn.LET(_xlpm.x,D!B1:B8,_xlpm.x))</f>
        <v>8</v>
      </c>
      <c r="B37">
        <f t="shared" si="3"/>
        <v>0</v>
      </c>
      <c r="C37">
        <f t="shared" si="4"/>
        <v>8</v>
      </c>
      <c r="D37" t="str">
        <f t="shared" si="5"/>
        <v/>
      </c>
      <c r="E37" t="s">
        <v>71</v>
      </c>
    </row>
    <row r="38" spans="1:5" x14ac:dyDescent="0.2">
      <c r="A38" cm="1">
        <f t="array" ref="A38">COUNTA(_xlfn.LET(_xlpm.r,D!K1:K8,_xlpm.r))</f>
        <v>0</v>
      </c>
      <c r="B38">
        <f t="shared" si="3"/>
        <v>0</v>
      </c>
      <c r="C38">
        <f t="shared" si="4"/>
        <v>0</v>
      </c>
      <c r="D38" t="str">
        <f t="shared" si="5"/>
        <v/>
      </c>
      <c r="E38" t="s">
        <v>72</v>
      </c>
    </row>
    <row r="39" spans="1:5" x14ac:dyDescent="0.2">
      <c r="A39" cm="1">
        <f t="array" ref="A39">SUM(_xlfn.LET(_xlpm.r,D!A2,_xlpm.r))</f>
        <v>0</v>
      </c>
      <c r="B39">
        <f t="shared" si="3"/>
        <v>0</v>
      </c>
      <c r="C39">
        <f t="shared" si="4"/>
        <v>0</v>
      </c>
      <c r="D39" t="str">
        <f t="shared" si="5"/>
        <v/>
      </c>
      <c r="E39" t="s">
        <v>73</v>
      </c>
    </row>
    <row r="40" spans="1:5" x14ac:dyDescent="0.2">
      <c r="A40" t="str" cm="1">
        <f t="array" ref="A40">_xlfn.LET(_xlpm.r,D!A2,_xlpm.r)</f>
        <v>2</v>
      </c>
      <c r="B40">
        <f t="shared" si="3"/>
        <v>-3</v>
      </c>
      <c r="C40">
        <f t="shared" si="4"/>
        <v>0</v>
      </c>
      <c r="D40" t="str">
        <f t="shared" si="5"/>
        <v>2</v>
      </c>
      <c r="E40" t="s">
        <v>74</v>
      </c>
    </row>
    <row r="41" spans="1:5" x14ac:dyDescent="0.2">
      <c r="A41" cm="1">
        <f t="array" ref="A41">_xlfn.LET(_xlpm.X,1,_xlpm.X+1)</f>
        <v>2</v>
      </c>
      <c r="B41">
        <f t="shared" si="3"/>
        <v>0</v>
      </c>
      <c r="C41">
        <f t="shared" si="4"/>
        <v>2</v>
      </c>
      <c r="D41" t="str">
        <f t="shared" si="5"/>
        <v/>
      </c>
      <c r="E41" t="s">
        <v>75</v>
      </c>
    </row>
    <row r="42" spans="1:5" x14ac:dyDescent="0.2">
      <c r="A42" cm="1">
        <f t="array" ref="A42">_xlfn.LET(_xlpm.abc,2,_xlpm.abc*_xlpm.abc)</f>
        <v>4</v>
      </c>
      <c r="B42">
        <f t="shared" si="3"/>
        <v>0</v>
      </c>
      <c r="C42">
        <f t="shared" si="4"/>
        <v>4</v>
      </c>
      <c r="D42" t="str">
        <f t="shared" si="5"/>
        <v/>
      </c>
      <c r="E42" t="s">
        <v>76</v>
      </c>
    </row>
    <row r="43" spans="1:5" x14ac:dyDescent="0.2">
      <c r="A43" cm="1">
        <f t="array" ref="A43">_xlfn.LET(_xlpm.x,1,_xlfn.LET(_xlpm.x,2,_xlpm.x)+_xlpm.x)</f>
        <v>3</v>
      </c>
      <c r="B43">
        <f t="shared" si="3"/>
        <v>0</v>
      </c>
      <c r="C43">
        <f t="shared" si="4"/>
        <v>3</v>
      </c>
      <c r="D43" t="str">
        <f t="shared" si="5"/>
        <v/>
      </c>
      <c r="E43" t="s">
        <v>77</v>
      </c>
    </row>
    <row r="44" spans="1:5" x14ac:dyDescent="0.2">
      <c r="A44" cm="1">
        <f t="array" ref="A44">_xlfn.LET(_xlpm.x,1,_xlpm.y,_xlfn.LET(_xlpm.x,10,_xlpm.x+1),_xlpm.x+_xlpm.y)</f>
        <v>12</v>
      </c>
      <c r="B44">
        <f t="shared" si="3"/>
        <v>0</v>
      </c>
      <c r="C44">
        <f t="shared" si="4"/>
        <v>12</v>
      </c>
      <c r="D44" t="str">
        <f t="shared" si="5"/>
        <v/>
      </c>
      <c r="E44" t="s">
        <v>78</v>
      </c>
    </row>
    <row r="45" spans="1:5" x14ac:dyDescent="0.2">
      <c r="A45" cm="1">
        <f t="array" ref="A45">_xlfn.LET(_xlpm.x,2,_xlfn.LET(_xlpm.y,_xlpm.x*3,_xlpm.y+_xlpm.x))</f>
        <v>8</v>
      </c>
      <c r="B45">
        <f t="shared" si="3"/>
        <v>0</v>
      </c>
      <c r="C45">
        <f t="shared" si="4"/>
        <v>8</v>
      </c>
      <c r="D45" t="str">
        <f t="shared" si="5"/>
        <v/>
      </c>
      <c r="E45" t="s">
        <v>79</v>
      </c>
    </row>
    <row r="46" spans="1:5" x14ac:dyDescent="0.2">
      <c r="A46" cm="1">
        <f t="array" ref="A46">_xlfn.LET(_xlpm.x,1,_xlpm.x)+_xlfn.LET(_xlpm.x,2,_xlpm.x)</f>
        <v>3</v>
      </c>
      <c r="B46">
        <f t="shared" si="3"/>
        <v>0</v>
      </c>
      <c r="C46">
        <f t="shared" si="4"/>
        <v>3</v>
      </c>
      <c r="D46" t="str">
        <f t="shared" si="5"/>
        <v/>
      </c>
      <c r="E46" t="s">
        <v>80</v>
      </c>
    </row>
    <row r="47" spans="1:5" x14ac:dyDescent="0.2">
      <c r="A47" cm="1">
        <f t="array" ref="A47">SUM(_xlfn.LET(_xlpm.x,1,_xlpm.x),2)</f>
        <v>3</v>
      </c>
      <c r="B47">
        <f t="shared" si="3"/>
        <v>0</v>
      </c>
      <c r="C47">
        <f t="shared" si="4"/>
        <v>3</v>
      </c>
      <c r="D47" t="str">
        <f t="shared" si="5"/>
        <v/>
      </c>
      <c r="E47" t="s">
        <v>81</v>
      </c>
    </row>
    <row r="48" spans="1:5" x14ac:dyDescent="0.2">
      <c r="A48" cm="1">
        <f t="array" ref="A48">IF(TRUE,_xlfn.LET(_xlpm.x,5,_xlpm.x),0)</f>
        <v>5</v>
      </c>
      <c r="B48">
        <f t="shared" si="3"/>
        <v>0</v>
      </c>
      <c r="C48">
        <f t="shared" si="4"/>
        <v>5</v>
      </c>
      <c r="D48" t="str">
        <f t="shared" si="5"/>
        <v/>
      </c>
      <c r="E48" t="s">
        <v>82</v>
      </c>
    </row>
    <row r="49" spans="1:5" x14ac:dyDescent="0.2">
      <c r="A49" cm="1">
        <f t="array" ref="A49">_xlfn.LET(_xlpm.x,ROUND(2.567,1),_xlpm.x*2)</f>
        <v>5.2</v>
      </c>
      <c r="B49">
        <f t="shared" si="3"/>
        <v>0</v>
      </c>
      <c r="C49">
        <f t="shared" si="4"/>
        <v>5.2</v>
      </c>
      <c r="D49" t="str">
        <f t="shared" si="5"/>
        <v/>
      </c>
      <c r="E49" t="s">
        <v>83</v>
      </c>
    </row>
    <row r="50" spans="1:5" x14ac:dyDescent="0.2">
      <c r="A50" cm="1">
        <f t="array" ref="A50">_xlfn.LET(_xlpm.x,D!B1:B8,MAX(_xlpm.x)-MIN(_xlpm.x))</f>
        <v>45.5</v>
      </c>
      <c r="B50">
        <f t="shared" si="3"/>
        <v>0</v>
      </c>
      <c r="C50">
        <f t="shared" si="4"/>
        <v>45.5</v>
      </c>
      <c r="D50" t="str">
        <f t="shared" si="5"/>
        <v/>
      </c>
      <c r="E50" t="s">
        <v>84</v>
      </c>
    </row>
    <row r="51" spans="1:5" x14ac:dyDescent="0.2">
      <c r="A51" t="str" cm="1">
        <f t="array" ref="A51">_xlfn.LET(_xlpm.x,3,CHOOSE(_xlpm.x,"a","b","c"))</f>
        <v>c</v>
      </c>
      <c r="B51">
        <f t="shared" si="3"/>
        <v>-3</v>
      </c>
      <c r="C51">
        <f t="shared" si="4"/>
        <v>0</v>
      </c>
      <c r="D51" t="str">
        <f t="shared" si="5"/>
        <v>c</v>
      </c>
      <c r="E51" t="s">
        <v>85</v>
      </c>
    </row>
    <row r="52" spans="1:5" x14ac:dyDescent="0.2">
      <c r="A52" t="str" cm="1">
        <f t="array" ref="A52">IFERROR(_xlfn.LET(_xlpm.x,1/0,_xlpm.x),"e")</f>
        <v>e</v>
      </c>
      <c r="B52">
        <f t="shared" si="3"/>
        <v>-3</v>
      </c>
      <c r="C52">
        <f t="shared" si="4"/>
        <v>0</v>
      </c>
      <c r="D52" t="str">
        <f t="shared" si="5"/>
        <v>e</v>
      </c>
      <c r="E52" t="s">
        <v>86</v>
      </c>
    </row>
    <row r="53" spans="1:5" x14ac:dyDescent="0.2">
      <c r="A53" cm="1">
        <f t="array" ref="A53">_xlfn.LET(_xlpm.sum,5,SUM(_xlpm.sum,1))</f>
        <v>6</v>
      </c>
      <c r="B53">
        <f t="shared" si="3"/>
        <v>0</v>
      </c>
      <c r="C53">
        <f t="shared" si="4"/>
        <v>6</v>
      </c>
      <c r="D53" t="str">
        <f t="shared" si="5"/>
        <v/>
      </c>
      <c r="E53" t="s">
        <v>87</v>
      </c>
    </row>
    <row r="54" spans="1:5" x14ac:dyDescent="0.2">
      <c r="A54" cm="1">
        <f t="array" ref="A54">_xlfn.LET(_xlpm.pi,3,_xlpm.pi*2+PI())</f>
        <v>9.1415926535897931</v>
      </c>
      <c r="B54">
        <f t="shared" si="3"/>
        <v>0</v>
      </c>
      <c r="C54">
        <f t="shared" si="4"/>
        <v>9.1415926535897931</v>
      </c>
      <c r="D54" t="str">
        <f t="shared" si="5"/>
        <v/>
      </c>
      <c r="E54" t="s">
        <v>88</v>
      </c>
    </row>
    <row r="55" spans="1:5" x14ac:dyDescent="0.2">
      <c r="A55" cm="1">
        <f t="array" ref="A55">_xlfn.LET(_xlpm._x,1,_xlpm._x+1)</f>
        <v>2</v>
      </c>
      <c r="B55">
        <f t="shared" si="3"/>
        <v>0</v>
      </c>
      <c r="C55">
        <f t="shared" si="4"/>
        <v>2</v>
      </c>
      <c r="D55" t="str">
        <f t="shared" si="5"/>
        <v/>
      </c>
      <c r="E55" t="s">
        <v>89</v>
      </c>
    </row>
    <row r="56" spans="1:5" x14ac:dyDescent="0.2">
      <c r="A56" cm="1">
        <f t="array" ref="A56">_xlfn.LET(_xlpm.x.y,1,_xlpm.x.y+1)</f>
        <v>2</v>
      </c>
      <c r="B56">
        <f t="shared" si="3"/>
        <v>0</v>
      </c>
      <c r="C56">
        <f t="shared" si="4"/>
        <v>2</v>
      </c>
      <c r="D56" t="str">
        <f t="shared" si="5"/>
        <v/>
      </c>
      <c r="E56" t="s">
        <v>90</v>
      </c>
    </row>
    <row r="57" spans="1:5" x14ac:dyDescent="0.2">
      <c r="A57" cm="1">
        <f t="array" ref="A57">_xlfn.LET(_xlpm.x_1,2,_xlpm.x_1*2)</f>
        <v>4</v>
      </c>
      <c r="B57">
        <f t="shared" si="3"/>
        <v>0</v>
      </c>
      <c r="C57">
        <f t="shared" si="4"/>
        <v>4</v>
      </c>
      <c r="D57" t="str">
        <f t="shared" si="5"/>
        <v/>
      </c>
      <c r="E57" t="s">
        <v>91</v>
      </c>
    </row>
    <row r="58" spans="1:5" x14ac:dyDescent="0.2">
      <c r="A58" cm="1">
        <f t="array" ref="A58">_xlfn.LET(_xlpm.икс,1,_xlpm.икс+1)</f>
        <v>2</v>
      </c>
      <c r="B58">
        <f t="shared" si="3"/>
        <v>0</v>
      </c>
      <c r="C58">
        <f t="shared" si="4"/>
        <v>2</v>
      </c>
      <c r="D58" t="str">
        <f t="shared" si="5"/>
        <v/>
      </c>
      <c r="E58" t="s">
        <v>92</v>
      </c>
    </row>
    <row r="59" spans="1:5" x14ac:dyDescent="0.2">
      <c r="A59" cm="1">
        <f t="array" ref="A59">_xlfn.LET(_xlpm.if,1,IF(_xlpm.if,2,3))</f>
        <v>2</v>
      </c>
      <c r="B59">
        <f t="shared" si="3"/>
        <v>0</v>
      </c>
      <c r="C59">
        <f t="shared" si="4"/>
        <v>2</v>
      </c>
      <c r="D59" t="str">
        <f t="shared" si="5"/>
        <v/>
      </c>
      <c r="E59" t="s">
        <v>93</v>
      </c>
    </row>
    <row r="60" spans="1:5" x14ac:dyDescent="0.2">
      <c r="A60" cm="1">
        <f t="array" aca="1" ref="A60" ca="1">_xlfn.LET(_xlpm.x,RAND(),_xlpm.x-_xlpm.x)</f>
        <v>0</v>
      </c>
      <c r="B60">
        <f t="shared" ca="1" si="3"/>
        <v>0</v>
      </c>
      <c r="C60">
        <f t="shared" ca="1" si="4"/>
        <v>0</v>
      </c>
      <c r="D60" t="str">
        <f t="shared" ca="1" si="5"/>
        <v/>
      </c>
      <c r="E60" t="s">
        <v>94</v>
      </c>
    </row>
    <row r="61" spans="1:5" x14ac:dyDescent="0.2">
      <c r="A61" t="b" cm="1">
        <f t="array" aca="1" ref="A61" ca="1">_xlfn.LET(_xlpm.x,RAND(),_xlpm.x=_xlpm.x)</f>
        <v>1</v>
      </c>
      <c r="B61">
        <f t="shared" ca="1" si="3"/>
        <v>-1</v>
      </c>
      <c r="C61">
        <f t="shared" ca="1" si="4"/>
        <v>0</v>
      </c>
      <c r="D61" t="str">
        <f t="shared" ca="1" si="5"/>
        <v/>
      </c>
      <c r="E61" t="s">
        <v>95</v>
      </c>
    </row>
    <row r="62" spans="1:5" x14ac:dyDescent="0.2">
      <c r="A62" cm="1">
        <f t="array" ref="A62">_xlfn.LET(_xlpm.x,1/0,1)</f>
        <v>1</v>
      </c>
      <c r="B62">
        <f t="shared" si="3"/>
        <v>0</v>
      </c>
      <c r="C62">
        <f t="shared" si="4"/>
        <v>1</v>
      </c>
      <c r="D62" t="str">
        <f t="shared" si="5"/>
        <v/>
      </c>
      <c r="E62" t="s">
        <v>96</v>
      </c>
    </row>
    <row r="63" spans="1:5" x14ac:dyDescent="0.2">
      <c r="A63" cm="1">
        <f t="array" ref="A63">_xlfn.LET(_xlpm.x,NA(),_xlpm.y,2,_xlpm.y)</f>
        <v>2</v>
      </c>
      <c r="B63">
        <f t="shared" si="3"/>
        <v>0</v>
      </c>
      <c r="C63">
        <f t="shared" si="4"/>
        <v>2</v>
      </c>
      <c r="D63" t="str">
        <f t="shared" si="5"/>
        <v/>
      </c>
      <c r="E63" t="s">
        <v>97</v>
      </c>
    </row>
    <row r="64" spans="1:5" x14ac:dyDescent="0.2">
      <c r="A64" t="e" cm="1">
        <f t="array" ref="A64">_xlfn.LET(_xlpm.x,1/0,_xlpm.x+1)</f>
        <v>#DIV/0!</v>
      </c>
      <c r="B64">
        <f t="shared" si="3"/>
        <v>2</v>
      </c>
      <c r="C64">
        <f t="shared" si="4"/>
        <v>0</v>
      </c>
      <c r="D64" t="str">
        <f t="shared" si="5"/>
        <v/>
      </c>
      <c r="E64" t="s">
        <v>98</v>
      </c>
    </row>
    <row r="65" spans="1:5" x14ac:dyDescent="0.2">
      <c r="A65" cm="1">
        <f t="array" ref="A65">_xlfn.LET(_xlpm.x,1/0,IFERROR(_xlpm.x,7))</f>
        <v>7</v>
      </c>
      <c r="B65">
        <f t="shared" ref="B65:B96" si="6">IF(ISERROR(A65),ERROR.TYPE(A65),IF(ISNUMBER(A65),0,IF(ISLOGICAL(A65),IF(A65,-1,-2),IF(ISTEXT(A65),-3,-4))))</f>
        <v>0</v>
      </c>
      <c r="C65">
        <f t="shared" ref="C65:C82" si="7">IF(ISNUMBER(A65),A65,0)</f>
        <v>7</v>
      </c>
      <c r="D65" t="str">
        <f t="shared" ref="D65:D82" si="8">IF(ISTEXT(A65),A65,"")</f>
        <v/>
      </c>
      <c r="E65" t="s">
        <v>99</v>
      </c>
    </row>
    <row r="66" spans="1:5" x14ac:dyDescent="0.2">
      <c r="A66" cm="1">
        <f t="array" ref="A66">_xlfn.LET(_xlpm.x,1,_xlpm.y,1/0,_xlpm.x)</f>
        <v>1</v>
      </c>
      <c r="B66">
        <f t="shared" si="6"/>
        <v>0</v>
      </c>
      <c r="C66">
        <f t="shared" si="7"/>
        <v>1</v>
      </c>
      <c r="D66" t="str">
        <f t="shared" si="8"/>
        <v/>
      </c>
      <c r="E66" t="s">
        <v>100</v>
      </c>
    </row>
    <row r="67" spans="1:5" x14ac:dyDescent="0.2">
      <c r="A67" cm="1">
        <f t="array" ref="A67">_xlfn.LET(_xlpm.n_1,1,_xlpm.n_2,_xlpm.n_1+1,_xlpm.n_3,_xlpm.n_2+1,_xlpm.n_4,_xlpm.n_3+1,_xlpm.n_5,_xlpm.n_4+1,_xlpm.n_6,_xlpm.n_5+1,_xlpm.n_7,_xlpm.n_6+1,_xlpm.n_8,_xlpm.n_7+1,_xlpm.n_9,_xlpm.n_8+1,_xlpm.n_10,_xlpm.n_9+1,_xlpm.n_11,_xlpm.n_10+1,_xlpm.n_12,_xlpm.n_11+1,_xlpm.n_13,_xlpm.n_12+1,_xlpm.n_14,_xlpm.n_13+1,_xlpm.n_15,_xlpm.n_14+1,_xlpm.n_16,_xlpm.n_15+1,_xlpm.n_17,_xlpm.n_16+1,_xlpm.n_18,_xlpm.n_17+1,_xlpm.n_19,_xlpm.n_18+1,_xlpm.n_20,_xlpm.n_19+1,_xlpm.n_21,_xlpm.n_20+1,_xlpm.n_22,_xlpm.n_21+1,_xlpm.n_23,_xlpm.n_22+1,_xlpm.n_24,_xlpm.n_23+1,_xlpm.n_25,_xlpm.n_24+1,_xlpm.n_26,_xlpm.n_25+1,_xlpm.n_27,_xlpm.n_26+1,_xlpm.n_28,_xlpm.n_27+1,_xlpm.n_29,_xlpm.n_28+1,_xlpm.n_30,_xlpm.n_29+1,_xlpm.n_31,_xlpm.n_30+1,_xlpm.n_32,_xlpm.n_31+1,_xlpm.n_33,_xlpm.n_32+1,_xlpm.n_34,_xlpm.n_33+1,_xlpm.n_35,_xlpm.n_34+1,_xlpm.n_36,_xlpm.n_35+1,_xlpm.n_37,_xlpm.n_36+1,_xlpm.n_38,_xlpm.n_37+1,_xlpm.n_39,_xlpm.n_38+1,_xlpm.n_40,_xlpm.n_39+1,_xlpm.n_41,_xlpm.n_40+1,_xlpm.n_42,_xlpm.n_41+1,_xlpm.n_43,_xlpm.n_42+1,_xlpm.n_44,_xlpm.n_43+1,_xlpm.n_45,_xlpm.n_44+1,_xlpm.n_46,_xlpm.n_45+1,_xlpm.n_47,_xlpm.n_46+1,_xlpm.n_48,_xlpm.n_47+1,_xlpm.n_49,_xlpm.n_48+1,_xlpm.n_50,_xlpm.n_49+1,_xlpm.n_51,_xlpm.n_50+1,_xlpm.n_52,_xlpm.n_51+1,_xlpm.n_53,_xlpm.n_52+1,_xlpm.n_54,_xlpm.n_53+1,_xlpm.n_55,_xlpm.n_54+1,_xlpm.n_56,_xlpm.n_55+1,_xlpm.n_57,_xlpm.n_56+1,_xlpm.n_58,_xlpm.n_57+1,_xlpm.n_59,_xlpm.n_58+1,_xlpm.n_60,_xlpm.n_59+1,_xlpm.n_61,_xlpm.n_60+1,_xlpm.n_62,_xlpm.n_61+1,_xlpm.n_63,_xlpm.n_62+1,_xlpm.n_64,_xlpm.n_63+1,_xlpm.n_65,_xlpm.n_64+1,_xlpm.n_66,_xlpm.n_65+1,_xlpm.n_67,_xlpm.n_66+1,_xlpm.n_68,_xlpm.n_67+1,_xlpm.n_69,_xlpm.n_68+1,_xlpm.n_70,_xlpm.n_69+1,_xlpm.n_71,_xlpm.n_70+1,_xlpm.n_72,_xlpm.n_71+1,_xlpm.n_73,_xlpm.n_72+1,_xlpm.n_74,_xlpm.n_73+1,_xlpm.n_75,_xlpm.n_74+1,_xlpm.n_76,_xlpm.n_75+1,_xlpm.n_77,_xlpm.n_76+1,_xlpm.n_78,_xlpm.n_77+1,_xlpm.n_79,_xlpm.n_78+1,_xlpm.n_80,_xlpm.n_79+1,_xlpm.n_81,_xlpm.n_80+1,_xlpm.n_82,_xlpm.n_81+1,_xlpm.n_83,_xlpm.n_82+1,_xlpm.n_84,_xlpm.n_83+1,_xlpm.n_85,_xlpm.n_84+1,_xlpm.n_86,_xlpm.n_85+1,_xlpm.n_87,_xlpm.n_86+1,_xlpm.n_88,_xlpm.n_87+1,_xlpm.n_89,_xlpm.n_88+1,_xlpm.n_90,_xlpm.n_89+1,_xlpm.n_91,_xlpm.n_90+1,_xlpm.n_92,_xlpm.n_91+1,_xlpm.n_93,_xlpm.n_92+1,_xlpm.n_94,_xlpm.n_93+1,_xlpm.n_95,_xlpm.n_94+1,_xlpm.n_96,_xlpm.n_95+1,_xlpm.n_97,_xlpm.n_96+1,_xlpm.n_98,_xlpm.n_97+1,_xlpm.n_99,_xlpm.n_98+1,_xlpm.n_100,_xlpm.n_99+1,_xlpm.n_101,_xlpm.n_100+1,_xlpm.n_102,_xlpm.n_101+1,_xlpm.n_103,_xlpm.n_102+1,_xlpm.n_104,_xlpm.n_103+1,_xlpm.n_105,_xlpm.n_104+1,_xlpm.n_106,_xlpm.n_105+1,_xlpm.n_107,_xlpm.n_106+1,_xlpm.n_108,_xlpm.n_107+1,_xlpm.n_109,_xlpm.n_108+1,_xlpm.n_110,_xlpm.n_109+1,_xlpm.n_111,_xlpm.n_110+1,_xlpm.n_112,_xlpm.n_111+1,_xlpm.n_113,_xlpm.n_112+1,_xlpm.n_114,_xlpm.n_113+1,_xlpm.n_115,_xlpm.n_114+1,_xlpm.n_116,_xlpm.n_115+1,_xlpm.n_117,_xlpm.n_116+1,_xlpm.n_118,_xlpm.n_117+1,_xlpm.n_119,_xlpm.n_118+1,_xlpm.n_120,_xlpm.n_119+1,_xlpm.n_121,_xlpm.n_120+1,_xlpm.n_122,_xlpm.n_121+1,_xlpm.n_123,_xlpm.n_122+1,_xlpm.n_124,_xlpm.n_123+1,_xlpm.n_125,_xlpm.n_124+1,_xlpm.n_126,_xlpm.n_125+1,_xlpm.n_126)</f>
        <v>126</v>
      </c>
      <c r="B67">
        <f t="shared" si="6"/>
        <v>0</v>
      </c>
      <c r="C67">
        <f t="shared" si="7"/>
        <v>126</v>
      </c>
      <c r="D67" t="str">
        <f t="shared" si="8"/>
        <v/>
      </c>
      <c r="E67" t="s">
        <v>101</v>
      </c>
    </row>
    <row r="68" spans="1:5" x14ac:dyDescent="0.2">
      <c r="A68" t="e" cm="1">
        <f t="array" ref="A68">_xlfn.LET(_xlpm.x,1,_xlpm.x)+x</f>
        <v>#NAME?</v>
      </c>
      <c r="B68">
        <f t="shared" si="6"/>
        <v>5</v>
      </c>
      <c r="C68">
        <f t="shared" si="7"/>
        <v>0</v>
      </c>
      <c r="D68" t="str">
        <f t="shared" si="8"/>
        <v/>
      </c>
      <c r="E68" t="s">
        <v>102</v>
      </c>
    </row>
    <row r="69" spans="1:5" x14ac:dyDescent="0.2">
      <c r="A69" t="e" cm="1">
        <f t="array" ref="A69">_xlfn.LET(_xlpm.x,x+1,_xlpm.x)</f>
        <v>#NAME?</v>
      </c>
      <c r="B69">
        <f t="shared" si="6"/>
        <v>5</v>
      </c>
      <c r="C69">
        <f t="shared" si="7"/>
        <v>0</v>
      </c>
      <c r="D69" t="str">
        <f t="shared" si="8"/>
        <v/>
      </c>
      <c r="E69" t="s">
        <v>103</v>
      </c>
    </row>
    <row r="70" spans="1:5" x14ac:dyDescent="0.2">
      <c r="A70" t="e" cm="1">
        <f t="array" ref="A70">_xlfn.LET(_xlpm.x,_xlpm.x+1,_xlpm.x)</f>
        <v>#NAME?</v>
      </c>
      <c r="B70">
        <f t="shared" si="6"/>
        <v>5</v>
      </c>
      <c r="C70">
        <f t="shared" si="7"/>
        <v>0</v>
      </c>
      <c r="D70" t="str">
        <f t="shared" si="8"/>
        <v/>
      </c>
      <c r="E70" t="s">
        <v>104</v>
      </c>
    </row>
    <row r="71" spans="1:5" x14ac:dyDescent="0.2">
      <c r="A71" t="e" cm="1">
        <f t="array" ref="A71">_xlfn.LET(_xlpm.x,_xlpm.y,_xlpm.y,1,_xlpm.x)</f>
        <v>#NAME?</v>
      </c>
      <c r="B71">
        <f t="shared" si="6"/>
        <v>5</v>
      </c>
      <c r="C71">
        <f t="shared" si="7"/>
        <v>0</v>
      </c>
      <c r="D71" t="str">
        <f t="shared" si="8"/>
        <v/>
      </c>
      <c r="E71" t="s">
        <v>105</v>
      </c>
    </row>
    <row r="72" spans="1:5" x14ac:dyDescent="0.2">
      <c r="A72" cm="1">
        <f t="array" ref="A72">_xlfn.LET(_xlpm.x,1,_xlpm.x)</f>
        <v>1</v>
      </c>
      <c r="B72">
        <f t="shared" si="6"/>
        <v>0</v>
      </c>
      <c r="C72">
        <f t="shared" si="7"/>
        <v>1</v>
      </c>
      <c r="D72" t="str">
        <f t="shared" si="8"/>
        <v/>
      </c>
      <c r="E72" t="s">
        <v>106</v>
      </c>
    </row>
    <row r="73" spans="1:5" x14ac:dyDescent="0.2">
      <c r="A73" cm="1">
        <f t="array" ref="A73">_xlfn.LET(_xlpm.x,1,_xlpm.y,2,_xlpm.y)</f>
        <v>2</v>
      </c>
      <c r="B73">
        <f t="shared" si="6"/>
        <v>0</v>
      </c>
      <c r="C73">
        <f t="shared" si="7"/>
        <v>2</v>
      </c>
      <c r="D73" t="str">
        <f t="shared" si="8"/>
        <v/>
      </c>
      <c r="E73" t="s">
        <v>107</v>
      </c>
    </row>
    <row r="74" spans="1:5" x14ac:dyDescent="0.2">
      <c r="A74" cm="1">
        <f t="array" ref="A74">_xlfn.LET(_xlpm.A1,1,_xlpm.A1)</f>
        <v>1</v>
      </c>
      <c r="B74">
        <f t="shared" si="6"/>
        <v>0</v>
      </c>
      <c r="C74">
        <f t="shared" si="7"/>
        <v>1</v>
      </c>
      <c r="D74" t="str">
        <f t="shared" si="8"/>
        <v/>
      </c>
      <c r="E74" t="s">
        <v>108</v>
      </c>
    </row>
    <row r="75" spans="1:5" x14ac:dyDescent="0.2">
      <c r="A75" cm="1">
        <f t="array" ref="A75">_xlfn.LET(_xlpm.r,1,_xlpm.r)</f>
        <v>1</v>
      </c>
      <c r="B75">
        <f t="shared" si="6"/>
        <v>0</v>
      </c>
      <c r="C75">
        <f t="shared" si="7"/>
        <v>1</v>
      </c>
      <c r="D75" t="str">
        <f t="shared" si="8"/>
        <v/>
      </c>
      <c r="E75" t="s">
        <v>109</v>
      </c>
    </row>
    <row r="76" spans="1:5" x14ac:dyDescent="0.2">
      <c r="A76" cm="1">
        <f t="array" ref="A76">_xlfn.LET(_xlpm.c,1,_xlpm.c)</f>
        <v>1</v>
      </c>
      <c r="B76">
        <f t="shared" si="6"/>
        <v>0</v>
      </c>
      <c r="C76">
        <f t="shared" si="7"/>
        <v>1</v>
      </c>
      <c r="D76" t="str">
        <f t="shared" si="8"/>
        <v/>
      </c>
      <c r="E76" t="s">
        <v>110</v>
      </c>
    </row>
    <row r="77" spans="1:5" x14ac:dyDescent="0.2">
      <c r="A77" cm="1">
        <f t="array" ref="A77">_xlfn.LET(_xlpm.R1C1,1,_xlpm.R1C1)</f>
        <v>1</v>
      </c>
      <c r="B77">
        <f t="shared" si="6"/>
        <v>0</v>
      </c>
      <c r="C77">
        <f t="shared" si="7"/>
        <v>1</v>
      </c>
      <c r="D77" t="str">
        <f t="shared" si="8"/>
        <v/>
      </c>
      <c r="E77" t="s">
        <v>111</v>
      </c>
    </row>
    <row r="78" spans="1:5" x14ac:dyDescent="0.2">
      <c r="A78" cm="1">
        <f t="array" ref="A78">_xlfn.LET(_xlpm.TRUE,1,_xlpm.TRUE)</f>
        <v>1</v>
      </c>
      <c r="B78">
        <f t="shared" si="6"/>
        <v>0</v>
      </c>
      <c r="C78">
        <f t="shared" si="7"/>
        <v>1</v>
      </c>
      <c r="D78" t="str">
        <f t="shared" si="8"/>
        <v/>
      </c>
      <c r="E78" t="s">
        <v>112</v>
      </c>
    </row>
    <row r="79" spans="1:5" x14ac:dyDescent="0.2">
      <c r="A79" cm="1">
        <f t="array" ref="A79">_xlfn.LET(_xlpm.x,,_xlpm.x)</f>
        <v>0</v>
      </c>
      <c r="B79">
        <f t="shared" si="6"/>
        <v>0</v>
      </c>
      <c r="C79">
        <f t="shared" si="7"/>
        <v>0</v>
      </c>
      <c r="D79" t="str">
        <f t="shared" si="8"/>
        <v/>
      </c>
      <c r="E79" t="s">
        <v>113</v>
      </c>
    </row>
    <row r="80" spans="1:5" x14ac:dyDescent="0.2">
      <c r="A80" cm="1">
        <f t="array" ref="A80">_xlfn.LET(_xlpm.x,,_xlpm.x+1)</f>
        <v>1</v>
      </c>
      <c r="B80">
        <f t="shared" si="6"/>
        <v>0</v>
      </c>
      <c r="C80">
        <f t="shared" si="7"/>
        <v>1</v>
      </c>
      <c r="D80" t="str">
        <f t="shared" si="8"/>
        <v/>
      </c>
      <c r="E80" t="s">
        <v>114</v>
      </c>
    </row>
    <row r="81" spans="1:5" x14ac:dyDescent="0.2">
      <c r="A81" cm="1">
        <f t="array" ref="A81">_xlfn.LET(_xlpm.x,1,)</f>
        <v>0</v>
      </c>
      <c r="B81">
        <f t="shared" si="6"/>
        <v>0</v>
      </c>
      <c r="C81">
        <f t="shared" si="7"/>
        <v>0</v>
      </c>
      <c r="D81" t="str">
        <f t="shared" si="8"/>
        <v/>
      </c>
      <c r="E81" t="s">
        <v>115</v>
      </c>
    </row>
    <row r="82" spans="1:5" x14ac:dyDescent="0.2">
      <c r="A82" cm="1">
        <f t="array" ref="A82">_xlfn.LET(_xlpm.x,1,_xlpm.y,,_xlpm.x)</f>
        <v>1</v>
      </c>
      <c r="B82">
        <f t="shared" si="6"/>
        <v>0</v>
      </c>
      <c r="C82">
        <f t="shared" si="7"/>
        <v>1</v>
      </c>
      <c r="D82" t="str">
        <f t="shared" si="8"/>
        <v/>
      </c>
      <c r="E82" t="s">
        <v>116</v>
      </c>
    </row>
    <row r="83" spans="1:5" x14ac:dyDescent="0.2">
      <c r="A83" t="s">
        <v>117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2026-10-07T05:15:47Z</dcterms:created>
  <dcterms:modified xsi:type="dcterms:W3CDTF">2026-10-07T05:15:47Z</dcterms:modified>
  <cp:category/>
</cp:coreProperties>
</file>