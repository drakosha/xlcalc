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4FDB3BB-2B11-F341-B020-7048C84703E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C397" i="2"/>
  <c r="A397" i="2" a="1"/>
  <c r="A397" i="2" s="1"/>
  <c r="B397" i="2" s="1"/>
  <c r="A396" i="2" a="1"/>
  <c r="A396" i="2"/>
  <c r="A395" i="2" a="1"/>
  <c r="A395" i="2" s="1"/>
  <c r="A394" i="2" a="1"/>
  <c r="A394" i="2" s="1"/>
  <c r="D394" i="2" s="1"/>
  <c r="A393" i="2" a="1"/>
  <c r="A393" i="2"/>
  <c r="C393" i="2" s="1"/>
  <c r="A392" i="2" a="1"/>
  <c r="A392" i="2" s="1"/>
  <c r="A391" i="2" a="1"/>
  <c r="A391" i="2" s="1"/>
  <c r="D390" i="2"/>
  <c r="A390" i="2" a="1"/>
  <c r="A390" i="2" s="1"/>
  <c r="C390" i="2" s="1"/>
  <c r="A389" i="2" a="1"/>
  <c r="A389" i="2" s="1"/>
  <c r="D389" i="2" s="1"/>
  <c r="A388" i="2" a="1"/>
  <c r="A388" i="2" s="1"/>
  <c r="A387" i="2" a="1"/>
  <c r="A387" i="2"/>
  <c r="A386" i="2" a="1"/>
  <c r="A386" i="2" s="1"/>
  <c r="A385" i="2" a="1"/>
  <c r="A385" i="2" s="1"/>
  <c r="A384" i="2" a="1"/>
  <c r="A384" i="2"/>
  <c r="D384" i="2" s="1"/>
  <c r="A383" i="2" a="1"/>
  <c r="A383" i="2" s="1"/>
  <c r="D383" i="2" s="1"/>
  <c r="A382" i="2" a="1"/>
  <c r="A382" i="2" s="1"/>
  <c r="A381" i="2" a="1"/>
  <c r="A381" i="2" s="1"/>
  <c r="A380" i="2" a="1"/>
  <c r="A380" i="2" s="1"/>
  <c r="B380" i="2" s="1"/>
  <c r="A379" i="2" a="1"/>
  <c r="A379" i="2" s="1"/>
  <c r="B379" i="2" s="1"/>
  <c r="A378" i="2" a="1"/>
  <c r="A378" i="2" s="1"/>
  <c r="A377" i="2" a="1"/>
  <c r="A377" i="2" s="1"/>
  <c r="A376" i="2" a="1"/>
  <c r="A376" i="2" s="1"/>
  <c r="D376" i="2" s="1"/>
  <c r="A375" i="2" a="1"/>
  <c r="A375" i="2" s="1"/>
  <c r="A374" i="2" a="1"/>
  <c r="A374" i="2"/>
  <c r="D374" i="2" s="1"/>
  <c r="A373" i="2" a="1"/>
  <c r="A373" i="2" s="1"/>
  <c r="C372" i="2"/>
  <c r="B372" i="2"/>
  <c r="A372" i="2" a="1"/>
  <c r="A372" i="2" s="1"/>
  <c r="D372" i="2" s="1"/>
  <c r="A371" i="2" a="1"/>
  <c r="A371" i="2"/>
  <c r="A370" i="2" a="1"/>
  <c r="A370" i="2" s="1"/>
  <c r="D370" i="2" s="1"/>
  <c r="A369" i="2" a="1"/>
  <c r="A369" i="2" s="1"/>
  <c r="A368" i="2" a="1"/>
  <c r="A368" i="2" s="1"/>
  <c r="D368" i="2" s="1"/>
  <c r="A367" i="2" a="1"/>
  <c r="A367" i="2"/>
  <c r="A366" i="2" a="1"/>
  <c r="A366" i="2" s="1"/>
  <c r="B366" i="2" s="1"/>
  <c r="A365" i="2" a="1"/>
  <c r="A365" i="2" s="1"/>
  <c r="D365" i="2" s="1"/>
  <c r="A364" i="2" a="1"/>
  <c r="A364" i="2"/>
  <c r="D364" i="2" s="1"/>
  <c r="A363" i="2" a="1"/>
  <c r="A363" i="2"/>
  <c r="D363" i="2" s="1"/>
  <c r="A362" i="2" a="1"/>
  <c r="A362" i="2" s="1"/>
  <c r="D362" i="2" s="1"/>
  <c r="A361" i="2" a="1"/>
  <c r="A361" i="2" s="1"/>
  <c r="B361" i="2" s="1"/>
  <c r="A360" i="2" a="1"/>
  <c r="A360" i="2"/>
  <c r="A359" i="2" a="1"/>
  <c r="A359" i="2" s="1"/>
  <c r="A358" i="2" a="1"/>
  <c r="A358" i="2" s="1"/>
  <c r="A357" i="2" a="1"/>
  <c r="A357" i="2" s="1"/>
  <c r="A356" i="2" a="1"/>
  <c r="A356" i="2"/>
  <c r="D356" i="2" s="1"/>
  <c r="A355" i="2" a="1"/>
  <c r="A355" i="2" s="1"/>
  <c r="A354" i="2" a="1"/>
  <c r="A354" i="2" s="1"/>
  <c r="A353" i="2" a="1"/>
  <c r="A353" i="2"/>
  <c r="A352" i="2" a="1"/>
  <c r="A352" i="2" s="1"/>
  <c r="A351" i="2" a="1"/>
  <c r="A351" i="2" s="1"/>
  <c r="D351" i="2" s="1"/>
  <c r="A350" i="2" a="1"/>
  <c r="A350" i="2" s="1"/>
  <c r="D350" i="2" s="1"/>
  <c r="A349" i="2" a="1"/>
  <c r="A349" i="2" s="1"/>
  <c r="A348" i="2" a="1"/>
  <c r="A348" i="2" s="1"/>
  <c r="D348" i="2" s="1"/>
  <c r="A347" i="2" a="1"/>
  <c r="A347" i="2" s="1"/>
  <c r="D347" i="2" s="1"/>
  <c r="A346" i="2" a="1"/>
  <c r="A346" i="2" s="1"/>
  <c r="A345" i="2" a="1"/>
  <c r="A345" i="2" s="1"/>
  <c r="A344" i="2" a="1"/>
  <c r="A344" i="2" s="1"/>
  <c r="D344" i="2" s="1"/>
  <c r="A343" i="2" a="1"/>
  <c r="A343" i="2"/>
  <c r="D343" i="2" s="1"/>
  <c r="A342" i="2" a="1"/>
  <c r="A342" i="2"/>
  <c r="A341" i="2" a="1"/>
  <c r="A341" i="2"/>
  <c r="C341" i="2" s="1"/>
  <c r="A340" i="2" a="1"/>
  <c r="A340" i="2" s="1"/>
  <c r="D340" i="2" s="1"/>
  <c r="A339" i="2" a="1"/>
  <c r="A339" i="2"/>
  <c r="D339" i="2" s="1"/>
  <c r="A338" i="2" a="1"/>
  <c r="A338" i="2" s="1"/>
  <c r="D338" i="2" s="1"/>
  <c r="A337" i="2" a="1"/>
  <c r="A337" i="2" s="1"/>
  <c r="A336" i="2" a="1"/>
  <c r="A336" i="2" s="1"/>
  <c r="D336" i="2" s="1"/>
  <c r="A335" i="2" a="1"/>
  <c r="A335" i="2"/>
  <c r="A334" i="2" a="1"/>
  <c r="A334" i="2"/>
  <c r="D334" i="2" s="1"/>
  <c r="A333" i="2" a="1"/>
  <c r="A333" i="2" s="1"/>
  <c r="A332" i="2" a="1"/>
  <c r="A332" i="2" s="1"/>
  <c r="D332" i="2" s="1"/>
  <c r="A331" i="2" a="1"/>
  <c r="A331" i="2" s="1"/>
  <c r="B331" i="2" s="1"/>
  <c r="A330" i="2" a="1"/>
  <c r="A330" i="2" s="1"/>
  <c r="B330" i="2" s="1"/>
  <c r="A329" i="2" a="1"/>
  <c r="A329" i="2" s="1"/>
  <c r="D329" i="2" s="1"/>
  <c r="A328" i="2" a="1"/>
  <c r="A328" i="2"/>
  <c r="D328" i="2" s="1"/>
  <c r="A327" i="2" a="1"/>
  <c r="A327" i="2"/>
  <c r="A326" i="2" a="1"/>
  <c r="A326" i="2" s="1"/>
  <c r="C326" i="2" s="1"/>
  <c r="A325" i="2" a="1"/>
  <c r="A325" i="2"/>
  <c r="D325" i="2" s="1"/>
  <c r="A324" i="2" a="1"/>
  <c r="A324" i="2"/>
  <c r="A323" i="2" a="1"/>
  <c r="A323" i="2" s="1"/>
  <c r="A322" i="2" a="1"/>
  <c r="A322" i="2" s="1"/>
  <c r="B322" i="2" s="1"/>
  <c r="A321" i="2" a="1"/>
  <c r="A321" i="2" s="1"/>
  <c r="A320" i="2" a="1"/>
  <c r="A320" i="2"/>
  <c r="D320" i="2" s="1"/>
  <c r="A319" i="2" a="1"/>
  <c r="A319" i="2"/>
  <c r="A318" i="2" a="1"/>
  <c r="A318" i="2" s="1"/>
  <c r="D318" i="2" s="1"/>
  <c r="A317" i="2" a="1"/>
  <c r="A317" i="2" s="1"/>
  <c r="A316" i="2" a="1"/>
  <c r="A316" i="2" s="1"/>
  <c r="D316" i="2" s="1"/>
  <c r="A315" i="2" a="1"/>
  <c r="A315" i="2" s="1"/>
  <c r="D314" i="2"/>
  <c r="A314" i="2" a="1"/>
  <c r="A314" i="2" s="1"/>
  <c r="A313" i="2" a="1"/>
  <c r="A313" i="2" s="1"/>
  <c r="D312" i="2"/>
  <c r="A312" i="2" a="1"/>
  <c r="A312" i="2"/>
  <c r="C312" i="2" s="1"/>
  <c r="A311" i="2" a="1"/>
  <c r="A311" i="2" s="1"/>
  <c r="B311" i="2" s="1"/>
  <c r="A310" i="2" a="1"/>
  <c r="A310" i="2"/>
  <c r="D310" i="2" s="1"/>
  <c r="A309" i="2" a="1"/>
  <c r="A309" i="2"/>
  <c r="D309" i="2" s="1"/>
  <c r="D308" i="2"/>
  <c r="A308" i="2" a="1"/>
  <c r="A308" i="2" s="1"/>
  <c r="A307" i="2" a="1"/>
  <c r="A307" i="2" s="1"/>
  <c r="A306" i="2" a="1"/>
  <c r="A306" i="2" s="1"/>
  <c r="A305" i="2" a="1"/>
  <c r="A305" i="2" s="1"/>
  <c r="B305" i="2" s="1"/>
  <c r="A304" i="2" a="1"/>
  <c r="A304" i="2" s="1"/>
  <c r="B304" i="2" s="1"/>
  <c r="A303" i="2" a="1"/>
  <c r="A303" i="2" s="1"/>
  <c r="A302" i="2" a="1"/>
  <c r="A302" i="2"/>
  <c r="D302" i="2" s="1"/>
  <c r="A301" i="2" a="1"/>
  <c r="A301" i="2" s="1"/>
  <c r="D300" i="2"/>
  <c r="C300" i="2"/>
  <c r="A300" i="2" a="1"/>
  <c r="A300" i="2" s="1"/>
  <c r="B300" i="2" s="1"/>
  <c r="A299" i="2" a="1"/>
  <c r="A299" i="2" s="1"/>
  <c r="A298" i="2" a="1"/>
  <c r="A298" i="2"/>
  <c r="B298" i="2" s="1"/>
  <c r="A297" i="2" a="1"/>
  <c r="A297" i="2"/>
  <c r="A296" i="2" a="1"/>
  <c r="A296" i="2" s="1"/>
  <c r="D296" i="2" s="1"/>
  <c r="A295" i="2" a="1"/>
  <c r="A295" i="2" s="1"/>
  <c r="A294" i="2" a="1"/>
  <c r="A294" i="2"/>
  <c r="D294" i="2" s="1"/>
  <c r="A293" i="2" a="1"/>
  <c r="A293" i="2" s="1"/>
  <c r="D293" i="2" s="1"/>
  <c r="A292" i="2" a="1"/>
  <c r="A292" i="2"/>
  <c r="D292" i="2" s="1"/>
  <c r="A291" i="2" a="1"/>
  <c r="A291" i="2" s="1"/>
  <c r="D291" i="2" s="1"/>
  <c r="A290" i="2" a="1"/>
  <c r="A290" i="2"/>
  <c r="D290" i="2" s="1"/>
  <c r="A289" i="2" a="1"/>
  <c r="A289" i="2" s="1"/>
  <c r="A288" i="2" a="1"/>
  <c r="A288" i="2" s="1"/>
  <c r="A287" i="2" a="1"/>
  <c r="A287" i="2" s="1"/>
  <c r="A286" i="2" a="1"/>
  <c r="A286" i="2"/>
  <c r="C286" i="2" s="1"/>
  <c r="A285" i="2" a="1"/>
  <c r="A285" i="2"/>
  <c r="B285" i="2" s="1"/>
  <c r="A284" i="2" a="1"/>
  <c r="A284" i="2" s="1"/>
  <c r="A283" i="2" a="1"/>
  <c r="A283" i="2" s="1"/>
  <c r="D283" i="2" s="1"/>
  <c r="A282" i="2" a="1"/>
  <c r="A282" i="2" s="1"/>
  <c r="D282" i="2" s="1"/>
  <c r="A281" i="2" a="1"/>
  <c r="A281" i="2"/>
  <c r="A280" i="2" a="1"/>
  <c r="A280" i="2"/>
  <c r="D280" i="2" s="1"/>
  <c r="A279" i="2" a="1"/>
  <c r="A279" i="2"/>
  <c r="D279" i="2" s="1"/>
  <c r="A278" i="2" a="1"/>
  <c r="A278" i="2" s="1"/>
  <c r="D278" i="2" s="1"/>
  <c r="A277" i="2" a="1"/>
  <c r="A277" i="2" s="1"/>
  <c r="A276" i="2" a="1"/>
  <c r="A276" i="2"/>
  <c r="D276" i="2" s="1"/>
  <c r="D275" i="2"/>
  <c r="A275" i="2" a="1"/>
  <c r="A275" i="2" s="1"/>
  <c r="C275" i="2" s="1"/>
  <c r="A274" i="2" a="1"/>
  <c r="A274" i="2" s="1"/>
  <c r="A273" i="2" a="1"/>
  <c r="A273" i="2" s="1"/>
  <c r="D273" i="2" s="1"/>
  <c r="A272" i="2" a="1"/>
  <c r="A272" i="2" s="1"/>
  <c r="D272" i="2" s="1"/>
  <c r="A271" i="2" a="1"/>
  <c r="A271" i="2"/>
  <c r="C271" i="2" s="1"/>
  <c r="A270" i="2" a="1"/>
  <c r="A270" i="2" s="1"/>
  <c r="A269" i="2" a="1"/>
  <c r="A269" i="2" s="1"/>
  <c r="A268" i="2" a="1"/>
  <c r="A268" i="2"/>
  <c r="C268" i="2" s="1"/>
  <c r="A267" i="2" a="1"/>
  <c r="A267" i="2" s="1"/>
  <c r="A266" i="2" a="1"/>
  <c r="A266" i="2"/>
  <c r="A265" i="2" a="1"/>
  <c r="A265" i="2" s="1"/>
  <c r="D265" i="2" s="1"/>
  <c r="A264" i="2" a="1"/>
  <c r="A264" i="2" s="1"/>
  <c r="D264" i="2" s="1"/>
  <c r="A263" i="2" a="1"/>
  <c r="A263" i="2"/>
  <c r="A262" i="2" a="1"/>
  <c r="A262" i="2"/>
  <c r="D262" i="2" s="1"/>
  <c r="A261" i="2" a="1"/>
  <c r="A261" i="2"/>
  <c r="D261" i="2" s="1"/>
  <c r="A260" i="2" a="1"/>
  <c r="A260" i="2" s="1"/>
  <c r="B260" i="2" s="1"/>
  <c r="A259" i="2" a="1"/>
  <c r="A259" i="2" s="1"/>
  <c r="A258" i="2" a="1"/>
  <c r="A258" i="2" s="1"/>
  <c r="B258" i="2" s="1"/>
  <c r="A257" i="2" a="1"/>
  <c r="A257" i="2"/>
  <c r="C256" i="2"/>
  <c r="A256" i="2" a="1"/>
  <c r="A256" i="2"/>
  <c r="D256" i="2" s="1"/>
  <c r="A255" i="2" a="1"/>
  <c r="A255" i="2" s="1"/>
  <c r="A254" i="2" a="1"/>
  <c r="A254" i="2"/>
  <c r="B254" i="2" s="1"/>
  <c r="A253" i="2" a="1"/>
  <c r="A253" i="2"/>
  <c r="D253" i="2" s="1"/>
  <c r="A252" i="2" a="1"/>
  <c r="A252" i="2" s="1"/>
  <c r="A251" i="2" a="1"/>
  <c r="A251" i="2" s="1"/>
  <c r="A250" i="2" a="1"/>
  <c r="A250" i="2"/>
  <c r="D250" i="2" s="1"/>
  <c r="A249" i="2" a="1"/>
  <c r="A249" i="2"/>
  <c r="C249" i="2" s="1"/>
  <c r="A248" i="2" a="1"/>
  <c r="A248" i="2"/>
  <c r="D248" i="2" s="1"/>
  <c r="A247" i="2" a="1"/>
  <c r="A247" i="2" s="1"/>
  <c r="D247" i="2" s="1"/>
  <c r="A246" i="2" a="1"/>
  <c r="A246" i="2" s="1"/>
  <c r="D246" i="2" s="1"/>
  <c r="A245" i="2" a="1"/>
  <c r="A245" i="2"/>
  <c r="A244" i="2" a="1"/>
  <c r="A244" i="2" s="1"/>
  <c r="A243" i="2" a="1"/>
  <c r="A243" i="2" s="1"/>
  <c r="C243" i="2" s="1"/>
  <c r="A242" i="2" a="1"/>
  <c r="A242" i="2" s="1"/>
  <c r="B242" i="2" s="1"/>
  <c r="A241" i="2" a="1"/>
  <c r="A241" i="2" s="1"/>
  <c r="A240" i="2" a="1"/>
  <c r="A240" i="2" s="1"/>
  <c r="A239" i="2" a="1"/>
  <c r="A239" i="2"/>
  <c r="C239" i="2" s="1"/>
  <c r="A238" i="2" a="1"/>
  <c r="A238" i="2"/>
  <c r="D238" i="2" s="1"/>
  <c r="A237" i="2" a="1"/>
  <c r="A237" i="2"/>
  <c r="D237" i="2" s="1"/>
  <c r="A236" i="2" a="1"/>
  <c r="A236" i="2" s="1"/>
  <c r="A235" i="2" a="1"/>
  <c r="A235" i="2" s="1"/>
  <c r="A234" i="2" a="1"/>
  <c r="A234" i="2" s="1"/>
  <c r="A233" i="2" a="1"/>
  <c r="A233" i="2"/>
  <c r="D233" i="2" s="1"/>
  <c r="A232" i="2" a="1"/>
  <c r="A232" i="2"/>
  <c r="A231" i="2" a="1"/>
  <c r="A231" i="2"/>
  <c r="D231" i="2" s="1"/>
  <c r="A230" i="2" a="1"/>
  <c r="A230" i="2"/>
  <c r="D230" i="2" s="1"/>
  <c r="A229" i="2" a="1"/>
  <c r="A229" i="2" s="1"/>
  <c r="D229" i="2" s="1"/>
  <c r="A228" i="2" a="1"/>
  <c r="A228" i="2" s="1"/>
  <c r="A227" i="2" a="1"/>
  <c r="A227" i="2" s="1"/>
  <c r="A226" i="2" a="1"/>
  <c r="A226" i="2" s="1"/>
  <c r="B226" i="2" s="1"/>
  <c r="A225" i="2" a="1"/>
  <c r="A225" i="2" s="1"/>
  <c r="D225" i="2" s="1"/>
  <c r="A224" i="2" a="1"/>
  <c r="A224" i="2" s="1"/>
  <c r="B224" i="2" s="1"/>
  <c r="A223" i="2" a="1"/>
  <c r="A223" i="2"/>
  <c r="A222" i="2" a="1"/>
  <c r="A222" i="2" s="1"/>
  <c r="A221" i="2" a="1"/>
  <c r="A221" i="2" s="1"/>
  <c r="D221" i="2" s="1"/>
  <c r="A220" i="2" a="1"/>
  <c r="A220" i="2"/>
  <c r="D220" i="2" s="1"/>
  <c r="A219" i="2" a="1"/>
  <c r="A219" i="2" s="1"/>
  <c r="A218" i="2" a="1"/>
  <c r="A218" i="2"/>
  <c r="D218" i="2" s="1"/>
  <c r="A217" i="2" a="1"/>
  <c r="A217" i="2" s="1"/>
  <c r="A216" i="2" a="1"/>
  <c r="A216" i="2"/>
  <c r="A215" i="2" a="1"/>
  <c r="A215" i="2"/>
  <c r="C215" i="2" s="1"/>
  <c r="A214" i="2" a="1"/>
  <c r="A214" i="2"/>
  <c r="C214" i="2" s="1"/>
  <c r="A213" i="2" a="1"/>
  <c r="A213" i="2" s="1"/>
  <c r="A212" i="2" a="1"/>
  <c r="A212" i="2"/>
  <c r="D212" i="2" s="1"/>
  <c r="A211" i="2" a="1"/>
  <c r="A211" i="2" s="1"/>
  <c r="A210" i="2" a="1"/>
  <c r="A210" i="2" s="1"/>
  <c r="D210" i="2" s="1"/>
  <c r="A209" i="2" a="1"/>
  <c r="A209" i="2"/>
  <c r="A208" i="2" a="1"/>
  <c r="A208" i="2"/>
  <c r="D208" i="2" s="1"/>
  <c r="A207" i="2" a="1"/>
  <c r="A207" i="2"/>
  <c r="B207" i="2" s="1"/>
  <c r="D206" i="2"/>
  <c r="C206" i="2"/>
  <c r="A206" i="2" a="1"/>
  <c r="A206" i="2" s="1"/>
  <c r="B206" i="2" s="1"/>
  <c r="A205" i="2" a="1"/>
  <c r="A205" i="2" s="1"/>
  <c r="A204" i="2" a="1"/>
  <c r="A204" i="2" s="1"/>
  <c r="A203" i="2" a="1"/>
  <c r="A203" i="2"/>
  <c r="D203" i="2" s="1"/>
  <c r="A202" i="2" a="1"/>
  <c r="A202" i="2" s="1"/>
  <c r="A201" i="2" a="1"/>
  <c r="A201" i="2"/>
  <c r="A200" i="2" a="1"/>
  <c r="A200" i="2" s="1"/>
  <c r="D200" i="2" s="1"/>
  <c r="A199" i="2" a="1"/>
  <c r="A199" i="2" s="1"/>
  <c r="A198" i="2" a="1"/>
  <c r="A198" i="2" s="1"/>
  <c r="A197" i="2" a="1"/>
  <c r="A197" i="2" s="1"/>
  <c r="A196" i="2" a="1"/>
  <c r="A196" i="2"/>
  <c r="D196" i="2" s="1"/>
  <c r="D195" i="2"/>
  <c r="A195" i="2" a="1"/>
  <c r="A195" i="2"/>
  <c r="C195" i="2" s="1"/>
  <c r="A194" i="2" a="1"/>
  <c r="A194" i="2"/>
  <c r="D194" i="2" s="1"/>
  <c r="A193" i="2" a="1"/>
  <c r="A193" i="2"/>
  <c r="A192" i="2" a="1"/>
  <c r="A192" i="2" s="1"/>
  <c r="D192" i="2" s="1"/>
  <c r="A191" i="2" a="1"/>
  <c r="A191" i="2"/>
  <c r="A190" i="2" a="1"/>
  <c r="A190" i="2" s="1"/>
  <c r="A189" i="2" a="1"/>
  <c r="A189" i="2" s="1"/>
  <c r="B189" i="2" s="1"/>
  <c r="A188" i="2" a="1"/>
  <c r="A188" i="2" s="1"/>
  <c r="B188" i="2" s="1"/>
  <c r="A187" i="2" a="1"/>
  <c r="A187" i="2"/>
  <c r="A186" i="2" a="1"/>
  <c r="A186" i="2"/>
  <c r="D186" i="2" s="1"/>
  <c r="A185" i="2" a="1"/>
  <c r="A185" i="2"/>
  <c r="D185" i="2" s="1"/>
  <c r="A184" i="2" a="1"/>
  <c r="A184" i="2" s="1"/>
  <c r="A183" i="2" a="1"/>
  <c r="A183" i="2"/>
  <c r="B183" i="2" s="1"/>
  <c r="A182" i="2" a="1"/>
  <c r="A182" i="2" s="1"/>
  <c r="D182" i="2" s="1"/>
  <c r="A181" i="2" a="1"/>
  <c r="A181" i="2" s="1"/>
  <c r="A180" i="2" a="1"/>
  <c r="A180" i="2"/>
  <c r="A179" i="2" a="1"/>
  <c r="A179" i="2" s="1"/>
  <c r="A178" i="2" a="1"/>
  <c r="A178" i="2" s="1"/>
  <c r="A177" i="2" a="1"/>
  <c r="A177" i="2"/>
  <c r="C177" i="2" s="1"/>
  <c r="A176" i="2" a="1"/>
  <c r="A176" i="2"/>
  <c r="D176" i="2" s="1"/>
  <c r="A175" i="2" a="1"/>
  <c r="A175" i="2"/>
  <c r="D174" i="2"/>
  <c r="C174" i="2"/>
  <c r="B174" i="2"/>
  <c r="A174" i="2" a="1"/>
  <c r="A174" i="2" s="1"/>
  <c r="A173" i="2" a="1"/>
  <c r="A173" i="2"/>
  <c r="A172" i="2" a="1"/>
  <c r="A172" i="2" s="1"/>
  <c r="A171" i="2" a="1"/>
  <c r="A171" i="2"/>
  <c r="B171" i="2" s="1"/>
  <c r="A170" i="2" a="1"/>
  <c r="A170" i="2" s="1"/>
  <c r="C170" i="2" s="1"/>
  <c r="A169" i="2" a="1"/>
  <c r="A169" i="2" s="1"/>
  <c r="A168" i="2" a="1"/>
  <c r="A168" i="2" s="1"/>
  <c r="B168" i="2" s="1"/>
  <c r="A167" i="2" a="1"/>
  <c r="A167" i="2"/>
  <c r="D167" i="2" s="1"/>
  <c r="A166" i="2" a="1"/>
  <c r="A166" i="2" s="1"/>
  <c r="A165" i="2" a="1"/>
  <c r="A165" i="2"/>
  <c r="B165" i="2" s="1"/>
  <c r="A164" i="2" a="1"/>
  <c r="A164" i="2" s="1"/>
  <c r="B164" i="2" s="1"/>
  <c r="D163" i="2"/>
  <c r="A163" i="2" a="1"/>
  <c r="A163" i="2" s="1"/>
  <c r="C163" i="2" s="1"/>
  <c r="A162" i="2" a="1"/>
  <c r="A162" i="2"/>
  <c r="A161" i="2" a="1"/>
  <c r="A161" i="2" s="1"/>
  <c r="A160" i="2" a="1"/>
  <c r="A160" i="2" s="1"/>
  <c r="A159" i="2" a="1"/>
  <c r="A159" i="2"/>
  <c r="C159" i="2" s="1"/>
  <c r="A158" i="2" a="1"/>
  <c r="A158" i="2"/>
  <c r="D158" i="2" s="1"/>
  <c r="A157" i="2" a="1"/>
  <c r="A157" i="2"/>
  <c r="A156" i="2" a="1"/>
  <c r="A156" i="2" s="1"/>
  <c r="D156" i="2" s="1"/>
  <c r="A155" i="2" a="1"/>
  <c r="A155" i="2" s="1"/>
  <c r="A154" i="2" a="1"/>
  <c r="A154" i="2" s="1"/>
  <c r="D154" i="2" s="1"/>
  <c r="A153" i="2" a="1"/>
  <c r="A153" i="2" s="1"/>
  <c r="D153" i="2" s="1"/>
  <c r="A152" i="2" a="1"/>
  <c r="A152" i="2" s="1"/>
  <c r="A151" i="2" a="1"/>
  <c r="A151" i="2"/>
  <c r="B151" i="2" s="1"/>
  <c r="A150" i="2" a="1"/>
  <c r="A150" i="2" s="1"/>
  <c r="B150" i="2" s="1"/>
  <c r="A149" i="2" a="1"/>
  <c r="A149" i="2"/>
  <c r="D149" i="2" s="1"/>
  <c r="A148" i="2" a="1"/>
  <c r="A148" i="2" s="1"/>
  <c r="A147" i="2" a="1"/>
  <c r="A147" i="2"/>
  <c r="B147" i="2" s="1"/>
  <c r="A146" i="2" a="1"/>
  <c r="A146" i="2" s="1"/>
  <c r="A145" i="2" a="1"/>
  <c r="A145" i="2" s="1"/>
  <c r="D145" i="2" s="1"/>
  <c r="A144" i="2" a="1"/>
  <c r="A144" i="2" s="1"/>
  <c r="A143" i="2" a="1"/>
  <c r="A143" i="2"/>
  <c r="A142" i="2" a="1"/>
  <c r="A142" i="2"/>
  <c r="D142" i="2" s="1"/>
  <c r="A141" i="2" a="1"/>
  <c r="A141" i="2"/>
  <c r="C141" i="2" s="1"/>
  <c r="A140" i="2" a="1"/>
  <c r="A140" i="2" s="1"/>
  <c r="A139" i="2" a="1"/>
  <c r="A139" i="2"/>
  <c r="B139" i="2" s="1"/>
  <c r="D138" i="2"/>
  <c r="A138" i="2" a="1"/>
  <c r="A138" i="2" s="1"/>
  <c r="C138" i="2" s="1"/>
  <c r="A137" i="2" a="1"/>
  <c r="A137" i="2"/>
  <c r="A136" i="2" a="1"/>
  <c r="A136" i="2" s="1"/>
  <c r="B136" i="2" s="1"/>
  <c r="A135" i="2" a="1"/>
  <c r="A135" i="2"/>
  <c r="D135" i="2" s="1"/>
  <c r="A134" i="2" a="1"/>
  <c r="A134" i="2" s="1"/>
  <c r="A133" i="2" a="1"/>
  <c r="A133" i="2"/>
  <c r="A132" i="2" a="1"/>
  <c r="A132" i="2" s="1"/>
  <c r="D132" i="2" s="1"/>
  <c r="A131" i="2" a="1"/>
  <c r="A131" i="2"/>
  <c r="C131" i="2" s="1"/>
  <c r="A130" i="2" a="1"/>
  <c r="A130" i="2" s="1"/>
  <c r="D130" i="2" s="1"/>
  <c r="A129" i="2" a="1"/>
  <c r="A129" i="2" s="1"/>
  <c r="A128" i="2" a="1"/>
  <c r="A128" i="2" s="1"/>
  <c r="C128" i="2" s="1"/>
  <c r="C127" i="2"/>
  <c r="B127" i="2"/>
  <c r="A127" i="2" a="1"/>
  <c r="A127" i="2" s="1"/>
  <c r="D127" i="2" s="1"/>
  <c r="A126" i="2" a="1"/>
  <c r="A126" i="2"/>
  <c r="A125" i="2" a="1"/>
  <c r="A125" i="2"/>
  <c r="A124" i="2" a="1"/>
  <c r="A124" i="2"/>
  <c r="D124" i="2" s="1"/>
  <c r="A123" i="2" a="1"/>
  <c r="A123" i="2"/>
  <c r="B123" i="2" s="1"/>
  <c r="A122" i="2" a="1"/>
  <c r="A122" i="2" s="1"/>
  <c r="D122" i="2" s="1"/>
  <c r="A121" i="2" a="1"/>
  <c r="A121" i="2" s="1"/>
  <c r="A120" i="2" a="1"/>
  <c r="A120" i="2" s="1"/>
  <c r="C120" i="2" s="1"/>
  <c r="A119" i="2" a="1"/>
  <c r="A119" i="2"/>
  <c r="A118" i="2" a="1"/>
  <c r="A118" i="2" s="1"/>
  <c r="A117" i="2" a="1"/>
  <c r="A117" i="2"/>
  <c r="D117" i="2" s="1"/>
  <c r="A116" i="2" a="1"/>
  <c r="A116" i="2" s="1"/>
  <c r="A115" i="2" a="1"/>
  <c r="A115" i="2"/>
  <c r="A114" i="2" a="1"/>
  <c r="A114" i="2" s="1"/>
  <c r="C114" i="2" s="1"/>
  <c r="A113" i="2" a="1"/>
  <c r="A113" i="2"/>
  <c r="D113" i="2" s="1"/>
  <c r="A112" i="2" a="1"/>
  <c r="A112" i="2" s="1"/>
  <c r="D112" i="2" s="1"/>
  <c r="A111" i="2" a="1"/>
  <c r="A111" i="2" s="1"/>
  <c r="A110" i="2" a="1"/>
  <c r="A110" i="2" s="1"/>
  <c r="B110" i="2" s="1"/>
  <c r="A109" i="2" a="1"/>
  <c r="A109" i="2" s="1"/>
  <c r="D109" i="2" s="1"/>
  <c r="A108" i="2" a="1"/>
  <c r="A108" i="2"/>
  <c r="A107" i="2" a="1"/>
  <c r="A107" i="2"/>
  <c r="A106" i="2" a="1"/>
  <c r="A106" i="2" s="1"/>
  <c r="A105" i="2" a="1"/>
  <c r="A105" i="2"/>
  <c r="B105" i="2" s="1"/>
  <c r="A104" i="2" a="1"/>
  <c r="A104" i="2"/>
  <c r="D104" i="2" s="1"/>
  <c r="A103" i="2" a="1"/>
  <c r="A103" i="2" s="1"/>
  <c r="A102" i="2" a="1"/>
  <c r="A102" i="2" s="1"/>
  <c r="D102" i="2" s="1"/>
  <c r="A101" i="2" a="1"/>
  <c r="A101" i="2" s="1"/>
  <c r="A100" i="2" a="1"/>
  <c r="A100" i="2" s="1"/>
  <c r="A99" i="2" a="1"/>
  <c r="A99" i="2" s="1"/>
  <c r="C99" i="2" s="1"/>
  <c r="A98" i="2" a="1"/>
  <c r="A98" i="2" s="1"/>
  <c r="B98" i="2" s="1"/>
  <c r="A97" i="2" a="1"/>
  <c r="A97" i="2" s="1"/>
  <c r="A96" i="2" a="1"/>
  <c r="A96" i="2" s="1"/>
  <c r="B96" i="2" s="1"/>
  <c r="A95" i="2" a="1"/>
  <c r="A95" i="2"/>
  <c r="D95" i="2" s="1"/>
  <c r="A94" i="2" a="1"/>
  <c r="A94" i="2"/>
  <c r="D94" i="2" s="1"/>
  <c r="A93" i="2" a="1"/>
  <c r="A93" i="2" s="1"/>
  <c r="A92" i="2" a="1"/>
  <c r="A92" i="2" s="1"/>
  <c r="D92" i="2" s="1"/>
  <c r="A91" i="2" a="1"/>
  <c r="A91" i="2" s="1"/>
  <c r="D91" i="2" s="1"/>
  <c r="A90" i="2" a="1"/>
  <c r="A90" i="2"/>
  <c r="A89" i="2" a="1"/>
  <c r="A89" i="2" s="1"/>
  <c r="A88" i="2" a="1"/>
  <c r="A88" i="2"/>
  <c r="B88" i="2" s="1"/>
  <c r="A87" i="2" a="1"/>
  <c r="A87" i="2"/>
  <c r="D87" i="2" s="1"/>
  <c r="A86" i="2" a="1"/>
  <c r="A86" i="2"/>
  <c r="D86" i="2" s="1"/>
  <c r="A85" i="2" a="1"/>
  <c r="A85" i="2"/>
  <c r="D85" i="2" s="1"/>
  <c r="A84" i="2" a="1"/>
  <c r="A84" i="2" s="1"/>
  <c r="D84" i="2" s="1"/>
  <c r="A83" i="2" a="1"/>
  <c r="A83" i="2"/>
  <c r="A82" i="2" a="1"/>
  <c r="A82" i="2" s="1"/>
  <c r="A81" i="2" a="1"/>
  <c r="A81" i="2" s="1"/>
  <c r="A80" i="2" a="1"/>
  <c r="A80" i="2" s="1"/>
  <c r="B80" i="2" s="1"/>
  <c r="A79" i="2" a="1"/>
  <c r="A79" i="2" s="1"/>
  <c r="D79" i="2" s="1"/>
  <c r="A78" i="2" a="1"/>
  <c r="A78" i="2"/>
  <c r="D78" i="2" s="1"/>
  <c r="A77" i="2" a="1"/>
  <c r="A77" i="2" s="1"/>
  <c r="A76" i="2" a="1"/>
  <c r="A76" i="2"/>
  <c r="A75" i="2" a="1"/>
  <c r="A75" i="2" s="1"/>
  <c r="D75" i="2" s="1"/>
  <c r="A74" i="2" a="1"/>
  <c r="A74" i="2"/>
  <c r="D74" i="2" s="1"/>
  <c r="A73" i="2" a="1"/>
  <c r="A73" i="2"/>
  <c r="A72" i="2" a="1"/>
  <c r="A72" i="2" s="1"/>
  <c r="D72" i="2" s="1"/>
  <c r="A71" i="2" a="1"/>
  <c r="A71" i="2" s="1"/>
  <c r="D71" i="2" s="1"/>
  <c r="A70" i="2" a="1"/>
  <c r="A70" i="2" s="1"/>
  <c r="D70" i="2" s="1"/>
  <c r="A69" i="2" a="1"/>
  <c r="A69" i="2"/>
  <c r="B69" i="2" s="1"/>
  <c r="A68" i="2" a="1"/>
  <c r="A68" i="2" s="1"/>
  <c r="A67" i="2" a="1"/>
  <c r="A67" i="2" s="1"/>
  <c r="D67" i="2" s="1"/>
  <c r="A66" i="2" a="1"/>
  <c r="A66" i="2"/>
  <c r="C66" i="2" s="1"/>
  <c r="A65" i="2" a="1"/>
  <c r="A65" i="2"/>
  <c r="A64" i="2" a="1"/>
  <c r="A64" i="2"/>
  <c r="B64" i="2" s="1"/>
  <c r="A63" i="2" a="1"/>
  <c r="A63" i="2" s="1"/>
  <c r="A62" i="2" a="1"/>
  <c r="A62" i="2" s="1"/>
  <c r="B62" i="2" s="1"/>
  <c r="A61" i="2" a="1"/>
  <c r="A61" i="2"/>
  <c r="D61" i="2" s="1"/>
  <c r="A60" i="2" a="1"/>
  <c r="A60" i="2" s="1"/>
  <c r="D60" i="2" s="1"/>
  <c r="A59" i="2" a="1"/>
  <c r="A59" i="2"/>
  <c r="D59" i="2" s="1"/>
  <c r="A58" i="2" a="1"/>
  <c r="A58" i="2"/>
  <c r="B58" i="2" s="1"/>
  <c r="A57" i="2" a="1"/>
  <c r="A57" i="2" s="1"/>
  <c r="A56" i="2" a="1"/>
  <c r="A56" i="2" s="1"/>
  <c r="D56" i="2" s="1"/>
  <c r="A55" i="2" a="1"/>
  <c r="A55" i="2"/>
  <c r="D55" i="2" s="1"/>
  <c r="A54" i="2" a="1"/>
  <c r="A54" i="2"/>
  <c r="A53" i="2" a="1"/>
  <c r="A53" i="2" s="1"/>
  <c r="C53" i="2" s="1"/>
  <c r="A52" i="2" a="1"/>
  <c r="A52" i="2" s="1"/>
  <c r="B52" i="2" s="1"/>
  <c r="A51" i="2" a="1"/>
  <c r="A51" i="2" s="1"/>
  <c r="C51" i="2" s="1"/>
  <c r="A50" i="2" a="1"/>
  <c r="A50" i="2" s="1"/>
  <c r="A49" i="2" a="1"/>
  <c r="A49" i="2"/>
  <c r="C49" i="2" s="1"/>
  <c r="A48" i="2" a="1"/>
  <c r="A48" i="2"/>
  <c r="C48" i="2" s="1"/>
  <c r="A47" i="2" a="1"/>
  <c r="A47" i="2"/>
  <c r="C47" i="2" s="1"/>
  <c r="A46" i="2" a="1"/>
  <c r="A46" i="2" s="1"/>
  <c r="A45" i="2" a="1"/>
  <c r="A45" i="2" s="1"/>
  <c r="C45" i="2" s="1"/>
  <c r="A44" i="2" a="1"/>
  <c r="A44" i="2" s="1"/>
  <c r="D44" i="2" s="1"/>
  <c r="A43" i="2" a="1"/>
  <c r="A43" i="2"/>
  <c r="C43" i="2" s="1"/>
  <c r="A42" i="2" a="1"/>
  <c r="A42" i="2" s="1"/>
  <c r="A41" i="2" a="1"/>
  <c r="A41" i="2" s="1"/>
  <c r="B41" i="2" s="1"/>
  <c r="A40" i="2" a="1"/>
  <c r="A40" i="2" s="1"/>
  <c r="B40" i="2" s="1"/>
  <c r="A39" i="2" a="1"/>
  <c r="A39" i="2"/>
  <c r="A38" i="2" a="1"/>
  <c r="A38" i="2" s="1"/>
  <c r="D38" i="2" s="1"/>
  <c r="A37" i="2" a="1"/>
  <c r="A37" i="2" s="1"/>
  <c r="B37" i="2" s="1"/>
  <c r="A36" i="2" a="1"/>
  <c r="A36" i="2"/>
  <c r="D36" i="2" s="1"/>
  <c r="A35" i="2" a="1"/>
  <c r="A35" i="2"/>
  <c r="A34" i="2" a="1"/>
  <c r="A34" i="2" s="1"/>
  <c r="A33" i="2" a="1"/>
  <c r="A33" i="2" s="1"/>
  <c r="A32" i="2" a="1"/>
  <c r="A32" i="2" s="1"/>
  <c r="D32" i="2" s="1"/>
  <c r="A31" i="2" a="1"/>
  <c r="A31" i="2"/>
  <c r="D31" i="2" s="1"/>
  <c r="A30" i="2" a="1"/>
  <c r="A30" i="2" s="1"/>
  <c r="D30" i="2" s="1"/>
  <c r="A29" i="2" a="1"/>
  <c r="A29" i="2"/>
  <c r="C29" i="2" s="1"/>
  <c r="A28" i="2" a="1"/>
  <c r="A28" i="2"/>
  <c r="D28" i="2" s="1"/>
  <c r="A27" i="2" a="1"/>
  <c r="A27" i="2"/>
  <c r="D27" i="2" s="1"/>
  <c r="A26" i="2" a="1"/>
  <c r="A26" i="2" s="1"/>
  <c r="D26" i="2" s="1"/>
  <c r="A25" i="2" a="1"/>
  <c r="A25" i="2" s="1"/>
  <c r="D25" i="2" s="1"/>
  <c r="A24" i="2" a="1"/>
  <c r="A24" i="2" s="1"/>
  <c r="A23" i="2" a="1"/>
  <c r="A23" i="2"/>
  <c r="B23" i="2" s="1"/>
  <c r="A22" i="2" a="1"/>
  <c r="A22" i="2" s="1"/>
  <c r="B22" i="2" s="1"/>
  <c r="A21" i="2" a="1"/>
  <c r="A21" i="2"/>
  <c r="D21" i="2" s="1"/>
  <c r="A20" i="2" a="1"/>
  <c r="A20" i="2"/>
  <c r="A19" i="2" a="1"/>
  <c r="A19" i="2" s="1"/>
  <c r="D19" i="2" s="1"/>
  <c r="A18" i="2" a="1"/>
  <c r="A18" i="2" s="1"/>
  <c r="A17" i="2" a="1"/>
  <c r="A17" i="2" s="1"/>
  <c r="D17" i="2" s="1"/>
  <c r="A16" i="2" a="1"/>
  <c r="A16" i="2" s="1"/>
  <c r="A15" i="2" a="1"/>
  <c r="A15" i="2" s="1"/>
  <c r="D15" i="2" s="1"/>
  <c r="A14" i="2" a="1"/>
  <c r="A14" i="2"/>
  <c r="D14" i="2" s="1"/>
  <c r="A13" i="2" a="1"/>
  <c r="A13" i="2"/>
  <c r="A12" i="2" a="1"/>
  <c r="A12" i="2" s="1"/>
  <c r="A11" i="2" a="1"/>
  <c r="A11" i="2" s="1"/>
  <c r="B11" i="2" s="1"/>
  <c r="A10" i="2" a="1"/>
  <c r="A10" i="2"/>
  <c r="D10" i="2" s="1"/>
  <c r="A9" i="2" a="1"/>
  <c r="A9" i="2"/>
  <c r="A8" i="2" a="1"/>
  <c r="A8" i="2"/>
  <c r="D8" i="2" s="1"/>
  <c r="A7" i="2" a="1"/>
  <c r="A7" i="2" s="1"/>
  <c r="A6" i="2" a="1"/>
  <c r="A6" i="2"/>
  <c r="C6" i="2" s="1"/>
  <c r="A5" i="2" a="1"/>
  <c r="A5" i="2" s="1"/>
  <c r="A4" i="2" a="1"/>
  <c r="A4" i="2" s="1"/>
  <c r="C4" i="2" s="1"/>
  <c r="A3" i="2" a="1"/>
  <c r="A3" i="2"/>
  <c r="D3" i="2" s="1"/>
  <c r="A2" i="2" a="1"/>
  <c r="A2" i="2"/>
  <c r="A1" i="2" a="1"/>
  <c r="A1" i="2" s="1"/>
  <c r="I15" i="1"/>
  <c r="A14" i="1"/>
  <c r="A13" i="1"/>
  <c r="AL10" i="1"/>
  <c r="A8" i="1"/>
  <c r="A7" i="1"/>
  <c r="E3" i="1"/>
  <c r="B235" i="2" l="1"/>
  <c r="D235" i="2"/>
  <c r="C235" i="2"/>
  <c r="C63" i="2"/>
  <c r="D63" i="2"/>
  <c r="C267" i="2"/>
  <c r="B267" i="2"/>
  <c r="D267" i="2"/>
  <c r="C33" i="2"/>
  <c r="D33" i="2"/>
  <c r="B33" i="2"/>
  <c r="B357" i="2"/>
  <c r="D357" i="2"/>
  <c r="C357" i="2"/>
  <c r="B375" i="2"/>
  <c r="D375" i="2"/>
  <c r="C375" i="2"/>
  <c r="C7" i="2"/>
  <c r="D7" i="2"/>
  <c r="B251" i="2"/>
  <c r="D251" i="2"/>
  <c r="C251" i="2"/>
  <c r="D289" i="2"/>
  <c r="B289" i="2"/>
  <c r="C289" i="2"/>
  <c r="D146" i="2"/>
  <c r="C146" i="2"/>
  <c r="B146" i="2"/>
  <c r="C199" i="2"/>
  <c r="D199" i="2"/>
  <c r="B199" i="2"/>
  <c r="D346" i="2"/>
  <c r="C346" i="2"/>
  <c r="D204" i="2"/>
  <c r="B204" i="2"/>
  <c r="C204" i="2"/>
  <c r="C181" i="2"/>
  <c r="B181" i="2"/>
  <c r="D181" i="2"/>
  <c r="D217" i="2"/>
  <c r="B217" i="2"/>
  <c r="C217" i="2"/>
  <c r="B303" i="2"/>
  <c r="C303" i="2"/>
  <c r="D303" i="2"/>
  <c r="C307" i="2"/>
  <c r="B307" i="2"/>
  <c r="D307" i="2"/>
  <c r="D321" i="2"/>
  <c r="B321" i="2"/>
  <c r="C321" i="2"/>
  <c r="B213" i="2"/>
  <c r="C213" i="2"/>
  <c r="D213" i="2"/>
  <c r="B230" i="2"/>
  <c r="B75" i="2"/>
  <c r="B208" i="2"/>
  <c r="C260" i="2"/>
  <c r="D268" i="2"/>
  <c r="C380" i="2"/>
  <c r="D285" i="2"/>
  <c r="B293" i="2"/>
  <c r="C309" i="2"/>
  <c r="C318" i="2"/>
  <c r="B325" i="2"/>
  <c r="D361" i="2"/>
  <c r="D380" i="2"/>
  <c r="D393" i="2"/>
  <c r="C26" i="2"/>
  <c r="C285" i="2"/>
  <c r="C238" i="2"/>
  <c r="B26" i="2"/>
  <c r="B8" i="2"/>
  <c r="C123" i="2"/>
  <c r="C75" i="2"/>
  <c r="D286" i="2"/>
  <c r="B343" i="2"/>
  <c r="D326" i="2"/>
  <c r="B336" i="2"/>
  <c r="C343" i="2"/>
  <c r="D11" i="2"/>
  <c r="B87" i="2"/>
  <c r="C150" i="2"/>
  <c r="B186" i="2"/>
  <c r="B249" i="2"/>
  <c r="D271" i="2"/>
  <c r="D48" i="2"/>
  <c r="C87" i="2"/>
  <c r="D150" i="2"/>
  <c r="C186" i="2"/>
  <c r="D249" i="2"/>
  <c r="C220" i="2"/>
  <c r="C208" i="2"/>
  <c r="C310" i="2"/>
  <c r="C23" i="2"/>
  <c r="B210" i="2"/>
  <c r="C109" i="2"/>
  <c r="B145" i="2"/>
  <c r="C242" i="2"/>
  <c r="B283" i="2"/>
  <c r="C328" i="2"/>
  <c r="D397" i="2"/>
  <c r="D260" i="2"/>
  <c r="C230" i="2"/>
  <c r="B253" i="2"/>
  <c r="B318" i="2"/>
  <c r="D105" i="2"/>
  <c r="C325" i="2"/>
  <c r="B109" i="2"/>
  <c r="D366" i="2"/>
  <c r="D23" i="2"/>
  <c r="B31" i="2"/>
  <c r="B71" i="2"/>
  <c r="C31" i="2"/>
  <c r="C71" i="2"/>
  <c r="C145" i="2"/>
  <c r="D242" i="2"/>
  <c r="C283" i="2"/>
  <c r="B339" i="2"/>
  <c r="D123" i="2"/>
  <c r="D45" i="2"/>
  <c r="C105" i="2"/>
  <c r="C253" i="2"/>
  <c r="D141" i="2"/>
  <c r="B231" i="2"/>
  <c r="C231" i="2"/>
  <c r="B271" i="2"/>
  <c r="B138" i="2"/>
  <c r="B163" i="2"/>
  <c r="C188" i="2"/>
  <c r="B275" i="2"/>
  <c r="C339" i="2"/>
  <c r="C292" i="2"/>
  <c r="C8" i="2"/>
  <c r="D114" i="2"/>
  <c r="D131" i="2"/>
  <c r="D159" i="2"/>
  <c r="D177" i="2"/>
  <c r="D188" i="2"/>
  <c r="B243" i="2"/>
  <c r="D301" i="2"/>
  <c r="B301" i="2"/>
  <c r="C301" i="2"/>
  <c r="D42" i="2"/>
  <c r="B42" i="2"/>
  <c r="C42" i="2"/>
  <c r="D358" i="2"/>
  <c r="C358" i="2"/>
  <c r="B358" i="2"/>
  <c r="D46" i="2"/>
  <c r="B46" i="2"/>
  <c r="C46" i="2"/>
  <c r="D381" i="2"/>
  <c r="C381" i="2"/>
  <c r="B381" i="2"/>
  <c r="C93" i="2"/>
  <c r="D93" i="2"/>
  <c r="B93" i="2"/>
  <c r="B106" i="2"/>
  <c r="D106" i="2"/>
  <c r="C106" i="2"/>
  <c r="C68" i="2"/>
  <c r="B68" i="2"/>
  <c r="D68" i="2"/>
  <c r="D313" i="2"/>
  <c r="C313" i="2"/>
  <c r="B313" i="2"/>
  <c r="D269" i="2"/>
  <c r="C269" i="2"/>
  <c r="B269" i="2"/>
  <c r="D34" i="2"/>
  <c r="C34" i="2"/>
  <c r="B34" i="2"/>
  <c r="D169" i="2"/>
  <c r="C169" i="2"/>
  <c r="B169" i="2"/>
  <c r="C50" i="2"/>
  <c r="D50" i="2"/>
  <c r="B50" i="2"/>
  <c r="B1" i="2"/>
  <c r="D1" i="2"/>
  <c r="C1" i="2"/>
  <c r="B57" i="2"/>
  <c r="C57" i="2"/>
  <c r="D57" i="2"/>
  <c r="D222" i="2"/>
  <c r="C222" i="2"/>
  <c r="B222" i="2"/>
  <c r="C160" i="2"/>
  <c r="D160" i="2"/>
  <c r="B160" i="2"/>
  <c r="D5" i="2"/>
  <c r="C5" i="2"/>
  <c r="B5" i="2"/>
  <c r="C89" i="2"/>
  <c r="D89" i="2"/>
  <c r="B89" i="2"/>
  <c r="D287" i="2"/>
  <c r="C287" i="2"/>
  <c r="B287" i="2"/>
  <c r="D391" i="2"/>
  <c r="C391" i="2"/>
  <c r="B391" i="2"/>
  <c r="D178" i="2"/>
  <c r="C178" i="2"/>
  <c r="B178" i="2"/>
  <c r="D12" i="2"/>
  <c r="C12" i="2"/>
  <c r="B12" i="2"/>
  <c r="D16" i="2"/>
  <c r="C16" i="2"/>
  <c r="B16" i="2"/>
  <c r="D81" i="2"/>
  <c r="C81" i="2"/>
  <c r="B81" i="2"/>
  <c r="D111" i="2"/>
  <c r="C111" i="2"/>
  <c r="B111" i="2"/>
  <c r="C103" i="2"/>
  <c r="D103" i="2"/>
  <c r="B103" i="2"/>
  <c r="D20" i="2"/>
  <c r="C20" i="2"/>
  <c r="B20" i="2"/>
  <c r="C100" i="2"/>
  <c r="B100" i="2"/>
  <c r="D100" i="2"/>
  <c r="B125" i="2"/>
  <c r="C125" i="2"/>
  <c r="D125" i="2"/>
  <c r="D191" i="2"/>
  <c r="C191" i="2"/>
  <c r="B191" i="2"/>
  <c r="D288" i="2"/>
  <c r="C288" i="2"/>
  <c r="B288" i="2"/>
  <c r="B314" i="2"/>
  <c r="C314" i="2"/>
  <c r="D101" i="2"/>
  <c r="C101" i="2"/>
  <c r="B101" i="2"/>
  <c r="D295" i="2"/>
  <c r="C295" i="2"/>
  <c r="D327" i="2"/>
  <c r="C327" i="2"/>
  <c r="B327" i="2"/>
  <c r="C236" i="2"/>
  <c r="D236" i="2"/>
  <c r="B236" i="2"/>
  <c r="B295" i="2"/>
  <c r="B308" i="2"/>
  <c r="C308" i="2"/>
  <c r="C315" i="2"/>
  <c r="B315" i="2"/>
  <c r="D315" i="2"/>
  <c r="B348" i="2"/>
  <c r="D373" i="2"/>
  <c r="C373" i="2"/>
  <c r="B373" i="2"/>
  <c r="B120" i="2"/>
  <c r="C30" i="2"/>
  <c r="D35" i="2"/>
  <c r="C35" i="2"/>
  <c r="D52" i="2"/>
  <c r="C210" i="2"/>
  <c r="C348" i="2"/>
  <c r="D392" i="2"/>
  <c r="C392" i="2"/>
  <c r="B392" i="2"/>
  <c r="D257" i="2"/>
  <c r="C257" i="2"/>
  <c r="B257" i="2"/>
  <c r="D76" i="2"/>
  <c r="B76" i="2"/>
  <c r="C164" i="2"/>
  <c r="B30" i="2"/>
  <c r="C88" i="2"/>
  <c r="B102" i="2"/>
  <c r="D120" i="2"/>
  <c r="B132" i="2"/>
  <c r="D164" i="2"/>
  <c r="D173" i="2"/>
  <c r="C173" i="2"/>
  <c r="B173" i="2"/>
  <c r="D179" i="2"/>
  <c r="C179" i="2"/>
  <c r="B179" i="2"/>
  <c r="C192" i="2"/>
  <c r="D205" i="2"/>
  <c r="C205" i="2"/>
  <c r="D211" i="2"/>
  <c r="C211" i="2"/>
  <c r="B211" i="2"/>
  <c r="D243" i="2"/>
  <c r="B265" i="2"/>
  <c r="D270" i="2"/>
  <c r="C270" i="2"/>
  <c r="B270" i="2"/>
  <c r="C322" i="2"/>
  <c r="C336" i="2"/>
  <c r="B2" i="2"/>
  <c r="D2" i="2"/>
  <c r="C2" i="2"/>
  <c r="D13" i="2"/>
  <c r="C13" i="2"/>
  <c r="B13" i="2"/>
  <c r="B19" i="2"/>
  <c r="B35" i="2"/>
  <c r="D41" i="2"/>
  <c r="C64" i="2"/>
  <c r="B84" i="2"/>
  <c r="D88" i="2"/>
  <c r="C102" i="2"/>
  <c r="B114" i="2"/>
  <c r="D121" i="2"/>
  <c r="C121" i="2"/>
  <c r="B121" i="2"/>
  <c r="C132" i="2"/>
  <c r="B152" i="2"/>
  <c r="D152" i="2"/>
  <c r="D165" i="2"/>
  <c r="C165" i="2"/>
  <c r="D193" i="2"/>
  <c r="C193" i="2"/>
  <c r="B193" i="2"/>
  <c r="D223" i="2"/>
  <c r="C223" i="2"/>
  <c r="B223" i="2"/>
  <c r="D244" i="2"/>
  <c r="C244" i="2"/>
  <c r="B244" i="2"/>
  <c r="C265" i="2"/>
  <c r="D277" i="2"/>
  <c r="C277" i="2"/>
  <c r="B277" i="2"/>
  <c r="D297" i="2"/>
  <c r="C297" i="2"/>
  <c r="B297" i="2"/>
  <c r="D322" i="2"/>
  <c r="D349" i="2"/>
  <c r="C349" i="2"/>
  <c r="B349" i="2"/>
  <c r="C19" i="2"/>
  <c r="B53" i="2"/>
  <c r="D64" i="2"/>
  <c r="C76" i="2"/>
  <c r="C84" i="2"/>
  <c r="D140" i="2"/>
  <c r="C140" i="2"/>
  <c r="B140" i="2"/>
  <c r="C152" i="2"/>
  <c r="B205" i="2"/>
  <c r="B309" i="2"/>
  <c r="D323" i="2"/>
  <c r="C323" i="2"/>
  <c r="B323" i="2"/>
  <c r="D337" i="2"/>
  <c r="C337" i="2"/>
  <c r="B337" i="2"/>
  <c r="C366" i="2"/>
  <c r="C172" i="2"/>
  <c r="B172" i="2"/>
  <c r="D172" i="2"/>
  <c r="B192" i="2"/>
  <c r="C65" i="2"/>
  <c r="D65" i="2"/>
  <c r="C52" i="2"/>
  <c r="C41" i="2"/>
  <c r="B18" i="2"/>
  <c r="C18" i="2"/>
  <c r="C69" i="2"/>
  <c r="D69" i="2"/>
  <c r="D151" i="2"/>
  <c r="C151" i="2"/>
  <c r="D82" i="2"/>
  <c r="C82" i="2"/>
  <c r="B82" i="2"/>
  <c r="B296" i="2"/>
  <c r="C296" i="2"/>
  <c r="D133" i="2"/>
  <c r="C133" i="2"/>
  <c r="B200" i="2"/>
  <c r="D37" i="2"/>
  <c r="B128" i="2"/>
  <c r="B218" i="2"/>
  <c r="C291" i="2"/>
  <c r="C15" i="2"/>
  <c r="B49" i="2"/>
  <c r="B116" i="2"/>
  <c r="D116" i="2"/>
  <c r="B352" i="2"/>
  <c r="C352" i="2"/>
  <c r="D128" i="2"/>
  <c r="B142" i="2"/>
  <c r="B219" i="2"/>
  <c r="D219" i="2"/>
  <c r="C219" i="2"/>
  <c r="C226" i="2"/>
  <c r="D239" i="2"/>
  <c r="C344" i="2"/>
  <c r="D352" i="2"/>
  <c r="C369" i="2"/>
  <c r="D369" i="2"/>
  <c r="B369" i="2"/>
  <c r="C376" i="2"/>
  <c r="D18" i="2"/>
  <c r="C24" i="2"/>
  <c r="B24" i="2"/>
  <c r="D24" i="2"/>
  <c r="D53" i="2"/>
  <c r="D115" i="2"/>
  <c r="C115" i="2"/>
  <c r="B4" i="2"/>
  <c r="B134" i="2"/>
  <c r="D134" i="2"/>
  <c r="C134" i="2"/>
  <c r="D147" i="2"/>
  <c r="C147" i="2"/>
  <c r="D175" i="2"/>
  <c r="C175" i="2"/>
  <c r="B175" i="2"/>
  <c r="B239" i="2"/>
  <c r="B279" i="2"/>
  <c r="C85" i="2"/>
  <c r="C161" i="2"/>
  <c r="B161" i="2"/>
  <c r="D161" i="2"/>
  <c r="D201" i="2"/>
  <c r="C201" i="2"/>
  <c r="C218" i="2"/>
  <c r="B344" i="2"/>
  <c r="B376" i="2"/>
  <c r="D4" i="2"/>
  <c r="C22" i="2"/>
  <c r="C27" i="2"/>
  <c r="B38" i="2"/>
  <c r="D49" i="2"/>
  <c r="C72" i="2"/>
  <c r="C79" i="2"/>
  <c r="B92" i="2"/>
  <c r="D110" i="2"/>
  <c r="C129" i="2"/>
  <c r="D129" i="2"/>
  <c r="C142" i="2"/>
  <c r="D168" i="2"/>
  <c r="B182" i="2"/>
  <c r="B201" i="2"/>
  <c r="D226" i="2"/>
  <c r="D240" i="2"/>
  <c r="C240" i="2"/>
  <c r="B240" i="2"/>
  <c r="B273" i="2"/>
  <c r="D353" i="2"/>
  <c r="C353" i="2"/>
  <c r="B353" i="2"/>
  <c r="D377" i="2"/>
  <c r="C377" i="2"/>
  <c r="B377" i="2"/>
  <c r="D388" i="2"/>
  <c r="B388" i="2"/>
  <c r="C388" i="2"/>
  <c r="D107" i="2"/>
  <c r="B107" i="2"/>
  <c r="C107" i="2"/>
  <c r="C96" i="2"/>
  <c r="D252" i="2"/>
  <c r="C252" i="2"/>
  <c r="B252" i="2"/>
  <c r="D367" i="2"/>
  <c r="C367" i="2"/>
  <c r="B367" i="2"/>
  <c r="B133" i="2"/>
  <c r="B115" i="2"/>
  <c r="C232" i="2"/>
  <c r="D232" i="2"/>
  <c r="B232" i="2"/>
  <c r="B27" i="2"/>
  <c r="B72" i="2"/>
  <c r="C110" i="2"/>
  <c r="C168" i="2"/>
  <c r="D22" i="2"/>
  <c r="C38" i="2"/>
  <c r="B56" i="2"/>
  <c r="B61" i="2"/>
  <c r="D73" i="2"/>
  <c r="B73" i="2"/>
  <c r="C73" i="2"/>
  <c r="C92" i="2"/>
  <c r="C98" i="2"/>
  <c r="C136" i="2"/>
  <c r="B156" i="2"/>
  <c r="C182" i="2"/>
  <c r="B196" i="2"/>
  <c r="D227" i="2"/>
  <c r="C227" i="2"/>
  <c r="B227" i="2"/>
  <c r="D234" i="2"/>
  <c r="C234" i="2"/>
  <c r="B234" i="2"/>
  <c r="B248" i="2"/>
  <c r="B261" i="2"/>
  <c r="C273" i="2"/>
  <c r="D306" i="2"/>
  <c r="C306" i="2"/>
  <c r="B306" i="2"/>
  <c r="D345" i="2"/>
  <c r="C345" i="2"/>
  <c r="B345" i="2"/>
  <c r="D284" i="2"/>
  <c r="C284" i="2"/>
  <c r="B284" i="2"/>
  <c r="D266" i="2"/>
  <c r="C266" i="2"/>
  <c r="B266" i="2"/>
  <c r="D54" i="2"/>
  <c r="B54" i="2"/>
  <c r="C54" i="2"/>
  <c r="D96" i="2"/>
  <c r="C200" i="2"/>
  <c r="B291" i="2"/>
  <c r="B386" i="2"/>
  <c r="C386" i="2"/>
  <c r="D97" i="2"/>
  <c r="C97" i="2"/>
  <c r="D304" i="2"/>
  <c r="D331" i="2"/>
  <c r="C331" i="2"/>
  <c r="D155" i="2"/>
  <c r="C155" i="2"/>
  <c r="B155" i="2"/>
  <c r="B45" i="2"/>
  <c r="C56" i="2"/>
  <c r="C61" i="2"/>
  <c r="C80" i="2"/>
  <c r="D98" i="2"/>
  <c r="B118" i="2"/>
  <c r="C118" i="2"/>
  <c r="B124" i="2"/>
  <c r="B129" i="2"/>
  <c r="D136" i="2"/>
  <c r="D143" i="2"/>
  <c r="C143" i="2"/>
  <c r="B143" i="2"/>
  <c r="C156" i="2"/>
  <c r="C196" i="2"/>
  <c r="B214" i="2"/>
  <c r="C248" i="2"/>
  <c r="C261" i="2"/>
  <c r="C333" i="2"/>
  <c r="B333" i="2"/>
  <c r="D333" i="2"/>
  <c r="D354" i="2"/>
  <c r="C354" i="2"/>
  <c r="B362" i="2"/>
  <c r="D398" i="2"/>
  <c r="B398" i="2"/>
  <c r="C398" i="2"/>
  <c r="D385" i="2"/>
  <c r="C385" i="2"/>
  <c r="B385" i="2"/>
  <c r="B60" i="2"/>
  <c r="C304" i="2"/>
  <c r="D330" i="2"/>
  <c r="D395" i="2"/>
  <c r="C395" i="2"/>
  <c r="B395" i="2"/>
  <c r="B15" i="2"/>
  <c r="C60" i="2"/>
  <c r="B85" i="2"/>
  <c r="D305" i="2"/>
  <c r="C305" i="2"/>
  <c r="D319" i="2"/>
  <c r="C319" i="2"/>
  <c r="B319" i="2"/>
  <c r="B67" i="2"/>
  <c r="C67" i="2"/>
  <c r="B79" i="2"/>
  <c r="B97" i="2"/>
  <c r="C116" i="2"/>
  <c r="C11" i="2"/>
  <c r="C39" i="2"/>
  <c r="B39" i="2"/>
  <c r="D39" i="2"/>
  <c r="D80" i="2"/>
  <c r="D118" i="2"/>
  <c r="C124" i="2"/>
  <c r="D137" i="2"/>
  <c r="C137" i="2"/>
  <c r="B137" i="2"/>
  <c r="D183" i="2"/>
  <c r="C183" i="2"/>
  <c r="D214" i="2"/>
  <c r="D228" i="2"/>
  <c r="C228" i="2"/>
  <c r="B228" i="2"/>
  <c r="D274" i="2"/>
  <c r="C274" i="2"/>
  <c r="B274" i="2"/>
  <c r="B326" i="2"/>
  <c r="B340" i="2"/>
  <c r="B354" i="2"/>
  <c r="C362" i="2"/>
  <c r="D399" i="2"/>
  <c r="C399" i="2"/>
  <c r="B399" i="2"/>
  <c r="D77" i="2"/>
  <c r="B77" i="2"/>
  <c r="C77" i="2"/>
  <c r="C330" i="2"/>
  <c r="C37" i="2"/>
  <c r="B65" i="2"/>
  <c r="B154" i="2"/>
  <c r="C154" i="2"/>
  <c r="D187" i="2"/>
  <c r="C187" i="2"/>
  <c r="C359" i="2"/>
  <c r="D359" i="2"/>
  <c r="B359" i="2"/>
  <c r="D9" i="2"/>
  <c r="C9" i="2"/>
  <c r="B247" i="2"/>
  <c r="C247" i="2"/>
  <c r="D386" i="2"/>
  <c r="B187" i="2"/>
  <c r="C279" i="2"/>
  <c r="D387" i="2"/>
  <c r="C387" i="2"/>
  <c r="B387" i="2"/>
  <c r="B9" i="2"/>
  <c r="D119" i="2"/>
  <c r="C119" i="2"/>
  <c r="B119" i="2"/>
  <c r="C157" i="2"/>
  <c r="B157" i="2"/>
  <c r="D157" i="2"/>
  <c r="B170" i="2"/>
  <c r="D170" i="2"/>
  <c r="C190" i="2"/>
  <c r="B190" i="2"/>
  <c r="D190" i="2"/>
  <c r="D197" i="2"/>
  <c r="C197" i="2"/>
  <c r="B197" i="2"/>
  <c r="D209" i="2"/>
  <c r="C209" i="2"/>
  <c r="B209" i="2"/>
  <c r="B221" i="2"/>
  <c r="C221" i="2"/>
  <c r="C255" i="2"/>
  <c r="B255" i="2"/>
  <c r="D255" i="2"/>
  <c r="C340" i="2"/>
  <c r="C355" i="2"/>
  <c r="D355" i="2"/>
  <c r="B355" i="2"/>
  <c r="D166" i="2"/>
  <c r="C166" i="2"/>
  <c r="B166" i="2"/>
  <c r="D184" i="2"/>
  <c r="C184" i="2"/>
  <c r="B184" i="2"/>
  <c r="B215" i="2"/>
  <c r="B6" i="2"/>
  <c r="D241" i="2"/>
  <c r="C241" i="2"/>
  <c r="C28" i="2"/>
  <c r="B278" i="2"/>
  <c r="C278" i="2"/>
  <c r="D335" i="2"/>
  <c r="C335" i="2"/>
  <c r="B335" i="2"/>
  <c r="D371" i="2"/>
  <c r="C371" i="2"/>
  <c r="B371" i="2"/>
  <c r="D396" i="2"/>
  <c r="C396" i="2"/>
  <c r="B396" i="2"/>
  <c r="B332" i="2"/>
  <c r="C332" i="2"/>
  <c r="B368" i="2"/>
  <c r="C368" i="2"/>
  <c r="B363" i="2"/>
  <c r="D382" i="2"/>
  <c r="C382" i="2"/>
  <c r="B382" i="2"/>
  <c r="B350" i="2"/>
  <c r="C350" i="2"/>
  <c r="C363" i="2"/>
  <c r="D245" i="2"/>
  <c r="C245" i="2"/>
  <c r="B245" i="2"/>
  <c r="B262" i="2"/>
  <c r="B280" i="2"/>
  <c r="B302" i="2"/>
  <c r="B341" i="2"/>
  <c r="B383" i="2"/>
  <c r="C262" i="2"/>
  <c r="C280" i="2"/>
  <c r="C293" i="2"/>
  <c r="D324" i="2"/>
  <c r="C324" i="2"/>
  <c r="B324" i="2"/>
  <c r="C383" i="2"/>
  <c r="C302" i="2"/>
  <c r="D341" i="2"/>
  <c r="D148" i="2"/>
  <c r="C148" i="2"/>
  <c r="B148" i="2"/>
  <c r="D378" i="2"/>
  <c r="C378" i="2"/>
  <c r="B378" i="2"/>
  <c r="B17" i="2"/>
  <c r="D58" i="2"/>
  <c r="D108" i="2"/>
  <c r="C108" i="2"/>
  <c r="B108" i="2"/>
  <c r="B117" i="2"/>
  <c r="B153" i="2"/>
  <c r="D162" i="2"/>
  <c r="C162" i="2"/>
  <c r="B162" i="2"/>
  <c r="C171" i="2"/>
  <c r="C189" i="2"/>
  <c r="C207" i="2"/>
  <c r="D215" i="2"/>
  <c r="D224" i="2"/>
  <c r="B246" i="2"/>
  <c r="B250" i="2"/>
  <c r="C254" i="2"/>
  <c r="C258" i="2"/>
  <c r="D263" i="2"/>
  <c r="C263" i="2"/>
  <c r="B263" i="2"/>
  <c r="B276" i="2"/>
  <c r="D281" i="2"/>
  <c r="C281" i="2"/>
  <c r="B281" i="2"/>
  <c r="C298" i="2"/>
  <c r="C311" i="2"/>
  <c r="C320" i="2"/>
  <c r="D342" i="2"/>
  <c r="C342" i="2"/>
  <c r="B342" i="2"/>
  <c r="B351" i="2"/>
  <c r="B99" i="2"/>
  <c r="D180" i="2"/>
  <c r="C180" i="2"/>
  <c r="B180" i="2"/>
  <c r="D198" i="2"/>
  <c r="C198" i="2"/>
  <c r="B198" i="2"/>
  <c r="C224" i="2"/>
  <c r="C86" i="2"/>
  <c r="B95" i="2"/>
  <c r="D99" i="2"/>
  <c r="C117" i="2"/>
  <c r="D126" i="2"/>
  <c r="C126" i="2"/>
  <c r="B126" i="2"/>
  <c r="B135" i="2"/>
  <c r="D139" i="2"/>
  <c r="D144" i="2"/>
  <c r="C144" i="2"/>
  <c r="B144" i="2"/>
  <c r="C153" i="2"/>
  <c r="B167" i="2"/>
  <c r="D171" i="2"/>
  <c r="B185" i="2"/>
  <c r="D189" i="2"/>
  <c r="B203" i="2"/>
  <c r="D207" i="2"/>
  <c r="D216" i="2"/>
  <c r="C216" i="2"/>
  <c r="B216" i="2"/>
  <c r="B229" i="2"/>
  <c r="B237" i="2"/>
  <c r="B241" i="2"/>
  <c r="C246" i="2"/>
  <c r="C250" i="2"/>
  <c r="D254" i="2"/>
  <c r="D258" i="2"/>
  <c r="C276" i="2"/>
  <c r="D298" i="2"/>
  <c r="D311" i="2"/>
  <c r="B316" i="2"/>
  <c r="B329" i="2"/>
  <c r="B338" i="2"/>
  <c r="C351" i="2"/>
  <c r="D360" i="2"/>
  <c r="C360" i="2"/>
  <c r="B360" i="2"/>
  <c r="B365" i="2"/>
  <c r="B374" i="2"/>
  <c r="C62" i="2"/>
  <c r="D6" i="2"/>
  <c r="B10" i="2"/>
  <c r="C17" i="2"/>
  <c r="D62" i="2"/>
  <c r="B91" i="2"/>
  <c r="C95" i="2"/>
  <c r="B104" i="2"/>
  <c r="B113" i="2"/>
  <c r="C135" i="2"/>
  <c r="B149" i="2"/>
  <c r="C167" i="2"/>
  <c r="B176" i="2"/>
  <c r="C185" i="2"/>
  <c r="B194" i="2"/>
  <c r="C203" i="2"/>
  <c r="B212" i="2"/>
  <c r="C229" i="2"/>
  <c r="B233" i="2"/>
  <c r="C237" i="2"/>
  <c r="D259" i="2"/>
  <c r="C259" i="2"/>
  <c r="B294" i="2"/>
  <c r="D299" i="2"/>
  <c r="C299" i="2"/>
  <c r="B299" i="2"/>
  <c r="C316" i="2"/>
  <c r="C329" i="2"/>
  <c r="C338" i="2"/>
  <c r="C365" i="2"/>
  <c r="C374" i="2"/>
  <c r="C379" i="2"/>
  <c r="B384" i="2"/>
  <c r="B394" i="2"/>
  <c r="D202" i="2"/>
  <c r="C202" i="2"/>
  <c r="B202" i="2"/>
  <c r="B28" i="2"/>
  <c r="B47" i="2"/>
  <c r="B66" i="2"/>
  <c r="C139" i="2"/>
  <c r="C32" i="2"/>
  <c r="D43" i="2"/>
  <c r="D47" i="2"/>
  <c r="B51" i="2"/>
  <c r="B3" i="2"/>
  <c r="C10" i="2"/>
  <c r="B21" i="2"/>
  <c r="B55" i="2"/>
  <c r="C3" i="2"/>
  <c r="B14" i="2"/>
  <c r="C21" i="2"/>
  <c r="B25" i="2"/>
  <c r="C36" i="2"/>
  <c r="C40" i="2"/>
  <c r="B44" i="2"/>
  <c r="D51" i="2"/>
  <c r="C55" i="2"/>
  <c r="B59" i="2"/>
  <c r="C70" i="2"/>
  <c r="B74" i="2"/>
  <c r="B78" i="2"/>
  <c r="C91" i="2"/>
  <c r="C104" i="2"/>
  <c r="C113" i="2"/>
  <c r="B122" i="2"/>
  <c r="B131" i="2"/>
  <c r="C149" i="2"/>
  <c r="B158" i="2"/>
  <c r="C176" i="2"/>
  <c r="C194" i="2"/>
  <c r="C212" i="2"/>
  <c r="B225" i="2"/>
  <c r="C233" i="2"/>
  <c r="B264" i="2"/>
  <c r="B272" i="2"/>
  <c r="B282" i="2"/>
  <c r="B290" i="2"/>
  <c r="C294" i="2"/>
  <c r="B334" i="2"/>
  <c r="B347" i="2"/>
  <c r="B356" i="2"/>
  <c r="B370" i="2"/>
  <c r="D379" i="2"/>
  <c r="C384" i="2"/>
  <c r="C394" i="2"/>
  <c r="B320" i="2"/>
  <c r="B32" i="2"/>
  <c r="B86" i="2"/>
  <c r="D66" i="2"/>
  <c r="B70" i="2"/>
  <c r="B7" i="2"/>
  <c r="C14" i="2"/>
  <c r="C25" i="2"/>
  <c r="B29" i="2"/>
  <c r="D40" i="2"/>
  <c r="C44" i="2"/>
  <c r="B48" i="2"/>
  <c r="C59" i="2"/>
  <c r="B63" i="2"/>
  <c r="C74" i="2"/>
  <c r="C78" i="2"/>
  <c r="C122" i="2"/>
  <c r="C158" i="2"/>
  <c r="C225" i="2"/>
  <c r="B259" i="2"/>
  <c r="C264" i="2"/>
  <c r="B268" i="2"/>
  <c r="C272" i="2"/>
  <c r="C282" i="2"/>
  <c r="B286" i="2"/>
  <c r="C290" i="2"/>
  <c r="B312" i="2"/>
  <c r="D317" i="2"/>
  <c r="C317" i="2"/>
  <c r="B317" i="2"/>
  <c r="C334" i="2"/>
  <c r="C347" i="2"/>
  <c r="C356" i="2"/>
  <c r="C361" i="2"/>
  <c r="C370" i="2"/>
  <c r="B390" i="2"/>
  <c r="B43" i="2"/>
  <c r="C58" i="2"/>
  <c r="D90" i="2"/>
  <c r="C90" i="2"/>
  <c r="B90" i="2"/>
  <c r="B36" i="2"/>
  <c r="D29" i="2"/>
  <c r="D83" i="2"/>
  <c r="C83" i="2"/>
  <c r="B83" i="2"/>
  <c r="D400" i="2"/>
  <c r="C400" i="2"/>
  <c r="B400" i="2"/>
  <c r="B389" i="2"/>
  <c r="B94" i="2"/>
  <c r="B112" i="2"/>
  <c r="B130" i="2"/>
  <c r="B220" i="2"/>
  <c r="B238" i="2"/>
  <c r="B256" i="2"/>
  <c r="B292" i="2"/>
  <c r="B310" i="2"/>
  <c r="B328" i="2"/>
  <c r="B346" i="2"/>
  <c r="B364" i="2"/>
  <c r="C389" i="2"/>
  <c r="C94" i="2"/>
  <c r="C112" i="2"/>
  <c r="C130" i="2"/>
  <c r="B141" i="2"/>
  <c r="B159" i="2"/>
  <c r="B177" i="2"/>
  <c r="B195" i="2"/>
  <c r="C364" i="2"/>
  <c r="B39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<sst xmlns="http://schemas.openxmlformats.org/spreadsheetml/2006/main" count="459" uniqueCount="436">
  <si>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</si>
  <si>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</si>
  <si>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</si>
  <si>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</si>
  <si>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</si>
  <si>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</si>
  <si>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</si>
  <si>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</si>
  <si>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</si>
  <si>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</si>
  <si>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</si>
  <si>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</si>
  <si>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</si>
  <si>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</si>
  <si>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</si>
  <si>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</si>
  <si>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</si>
  <si>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</si>
  <si>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</si>
  <si>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</si>
  <si>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</si>
  <si>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</si>
  <si>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</si>
  <si>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</si>
  <si>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</si>
  <si>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</si>
  <si>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</si>
  <si>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</si>
  <si>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</si>
  <si>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</si>
  <si>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</si>
  <si>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</si>
  <si>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</si>
  <si>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</si>
  <si>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</si>
  <si>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all:PV#8</t>
  </si>
  <si>
    <t>all:PV#9</t>
  </si>
  <si>
    <t>all:PV#10</t>
  </si>
  <si>
    <t>all:PV#11</t>
  </si>
  <si>
    <t>all:PV#12</t>
  </si>
  <si>
    <t>all:PV#13</t>
  </si>
  <si>
    <t>all:PV#14</t>
  </si>
  <si>
    <t>all:PV#15</t>
  </si>
  <si>
    <t>all:PV#16</t>
  </si>
  <si>
    <t>all:PV#17</t>
  </si>
  <si>
    <t>all:PV#18</t>
  </si>
  <si>
    <t>all:PV#19</t>
  </si>
  <si>
    <t>all:PV#20</t>
  </si>
  <si>
    <t>all:QUARTILE#1</t>
  </si>
  <si>
    <t>all:QUARTILE#2</t>
  </si>
  <si>
    <t>all:QUARTILE#3</t>
  </si>
  <si>
    <t>all:QUARTILE#4</t>
  </si>
  <si>
    <t>all:QUARTILE#5</t>
  </si>
  <si>
    <t>all:QUARTILE#6</t>
  </si>
  <si>
    <t>all:QUARTILE#7</t>
  </si>
  <si>
    <t>all:QUARTILE#8</t>
  </si>
  <si>
    <t>all:QUARTILE.EXC#1</t>
  </si>
  <si>
    <t>all:QUARTILE.EXC#2</t>
  </si>
  <si>
    <t>all:QUARTILE.EXC#3</t>
  </si>
  <si>
    <t>all:QUARTILE.EXC#4</t>
  </si>
  <si>
    <t>all:QUARTILE.EXC#5</t>
  </si>
  <si>
    <t>all:QUARTILE.EXC#6</t>
  </si>
  <si>
    <t>all:QUARTILE.EXC#7</t>
  </si>
  <si>
    <t>all:QUARTILE.EXC#8</t>
  </si>
  <si>
    <t>all:QUARTILE.INC#1</t>
  </si>
  <si>
    <t>all:QUARTILE.INC#2</t>
  </si>
  <si>
    <t>all:QUARTILE.INC#3</t>
  </si>
  <si>
    <t>all:QUARTILE.INC#4</t>
  </si>
  <si>
    <t>all:QUARTILE.INC#5</t>
  </si>
  <si>
    <t>all:QUARTILE.INC#6</t>
  </si>
  <si>
    <t>all:QUARTILE.INC#7</t>
  </si>
  <si>
    <t>all:QUARTILE.INC#8</t>
  </si>
  <si>
    <t>all:QUOTIENT#1</t>
  </si>
  <si>
    <t>all:QUOTIENT#2</t>
  </si>
  <si>
    <t>all:QUOTIENT#3</t>
  </si>
  <si>
    <t>all:QUOTIENT#4</t>
  </si>
  <si>
    <t>all:QUOTIENT#5</t>
  </si>
  <si>
    <t>all:QUOTIENT#6</t>
  </si>
  <si>
    <t>all:QUOTIENT#7</t>
  </si>
  <si>
    <t>all:QUOTIENT#8</t>
  </si>
  <si>
    <t>all:RANK#1</t>
  </si>
  <si>
    <t>all:RANK#2</t>
  </si>
  <si>
    <t>all:RANK#3</t>
  </si>
  <si>
    <t>all:RANK#4</t>
  </si>
  <si>
    <t>all:RANK#5</t>
  </si>
  <si>
    <t>all:RANK#6</t>
  </si>
  <si>
    <t>all:RANK#7</t>
  </si>
  <si>
    <t>all:RANK#8</t>
  </si>
  <si>
    <t>all:RANK#9</t>
  </si>
  <si>
    <t>all:RANK.AVG#1</t>
  </si>
  <si>
    <t>all:RANK.AVG#2</t>
  </si>
  <si>
    <t>all:RANK.AVG#3</t>
  </si>
  <si>
    <t>all:RANK.AVG#4</t>
  </si>
  <si>
    <t>all:RANK.AVG#5</t>
  </si>
  <si>
    <t>all:RANK.AVG#6</t>
  </si>
  <si>
    <t>all:RANK.AVG#7</t>
  </si>
  <si>
    <t>all:RANK.AVG#8</t>
  </si>
  <si>
    <t>all:RANK.AVG#9</t>
  </si>
  <si>
    <t>all:RANK.EQ#1</t>
  </si>
  <si>
    <t>all:RANK.EQ#2</t>
  </si>
  <si>
    <t>all:RANK.EQ#3</t>
  </si>
  <si>
    <t>all:RANK.EQ#4</t>
  </si>
  <si>
    <t>all:RANK.EQ#5</t>
  </si>
  <si>
    <t>all:RANK.EQ#6</t>
  </si>
  <si>
    <t>all:RANK.EQ#7</t>
  </si>
  <si>
    <t>all:RANK.EQ#8</t>
  </si>
  <si>
    <t>all:RANK.EQ#9</t>
  </si>
  <si>
    <t>all:RATE#1</t>
  </si>
  <si>
    <t>all:RATE#2</t>
  </si>
  <si>
    <t>all:RATE#3</t>
  </si>
  <si>
    <t>all:RATE#4</t>
  </si>
  <si>
    <t>all:RATE#5</t>
  </si>
  <si>
    <t>all:RATE#6</t>
  </si>
  <si>
    <t>all:RATE#7</t>
  </si>
  <si>
    <t>all:RATE#8</t>
  </si>
  <si>
    <t>all:RATE#9</t>
  </si>
  <si>
    <t>all:RATE#10</t>
  </si>
  <si>
    <t>all:RATE#11</t>
  </si>
  <si>
    <t>all:RATE#12</t>
  </si>
  <si>
    <t>all:RATE#13</t>
  </si>
  <si>
    <t>all:RATE#14</t>
  </si>
  <si>
    <t>all:RATE#15</t>
  </si>
  <si>
    <t>all:RATE#16</t>
  </si>
  <si>
    <t>all:RATE#17</t>
  </si>
  <si>
    <t>all:RECEIVED#1</t>
  </si>
  <si>
    <t>all:RECEIVED#2</t>
  </si>
  <si>
    <t>all:RECEIVED#3</t>
  </si>
  <si>
    <t>all:RECEIVED#4</t>
  </si>
  <si>
    <t>all:RECEIVED#5</t>
  </si>
  <si>
    <t>all:RECEIVED#6</t>
  </si>
  <si>
    <t>all:RECEIVED#7</t>
  </si>
  <si>
    <t>all:RECEIVED#8</t>
  </si>
  <si>
    <t>all:RECEIVED#9</t>
  </si>
  <si>
    <t>all:RECEIVED#10</t>
  </si>
  <si>
    <t>all:RECEIVED#11</t>
  </si>
  <si>
    <t>all:RECEIVED#12</t>
  </si>
  <si>
    <t>all:RECEIVED#13</t>
  </si>
  <si>
    <t>all:RECEIVED#14</t>
  </si>
  <si>
    <t>all:RECEIVED#15</t>
  </si>
  <si>
    <t>all:RECEIVED#16</t>
  </si>
  <si>
    <t>all:RECEIVED#17</t>
  </si>
  <si>
    <t>all:RECEIVED#18</t>
  </si>
  <si>
    <t>all:RECEIVED#19</t>
  </si>
  <si>
    <t>all:RECEIVED#20</t>
  </si>
  <si>
    <t>all:REPLACE#1</t>
  </si>
  <si>
    <t>all:REPLACE#2</t>
  </si>
  <si>
    <t>all:REPLACE#3</t>
  </si>
  <si>
    <t>all:REPLACE#4</t>
  </si>
  <si>
    <t>all:REPLACE#5</t>
  </si>
  <si>
    <t>all:REPLACE#6</t>
  </si>
  <si>
    <t>all:REPLACE#7</t>
  </si>
  <si>
    <t>all:REPLACE#8</t>
  </si>
  <si>
    <t>all:REPLACE#9</t>
  </si>
  <si>
    <t>all:REPLACE#10</t>
  </si>
  <si>
    <t>all:REPLACE#11</t>
  </si>
  <si>
    <t>all:REPLACE#12</t>
  </si>
  <si>
    <t>all:REPLACE#13</t>
  </si>
  <si>
    <t>all:REPLACE#14</t>
  </si>
  <si>
    <t>all:REPLACE#15</t>
  </si>
  <si>
    <t>all:REPLACE#16</t>
  </si>
  <si>
    <t>all:REPLACEB#1</t>
  </si>
  <si>
    <t>all:REPLACEB#2</t>
  </si>
  <si>
    <t>all:REPLACEB#3</t>
  </si>
  <si>
    <t>all:REPLACEB#4</t>
  </si>
  <si>
    <t>all:REPLACEB#5</t>
  </si>
  <si>
    <t>all:REPLACEB#6</t>
  </si>
  <si>
    <t>all:REPLACEB#7</t>
  </si>
  <si>
    <t>all:REPLACEB#8</t>
  </si>
  <si>
    <t>all:REPLACEB#9</t>
  </si>
  <si>
    <t>all:REPLACEB#10</t>
  </si>
  <si>
    <t>all:REPLACEB#11</t>
  </si>
  <si>
    <t>all:REPLACEB#12</t>
  </si>
  <si>
    <t>all:REPLACEB#13</t>
  </si>
  <si>
    <t>all:REPLACEB#14</t>
  </si>
  <si>
    <t>all:REPLACEB#15</t>
  </si>
  <si>
    <t>all:REPLACEB#16</t>
  </si>
  <si>
    <t>all:REPT#1</t>
  </si>
  <si>
    <t>all:REPT#2</t>
  </si>
  <si>
    <t>all:REPT#3</t>
  </si>
  <si>
    <t>all:REPT#4</t>
  </si>
  <si>
    <t>all:REPT#5</t>
  </si>
  <si>
    <t>all:REPT#6</t>
  </si>
  <si>
    <t>all:RIGHT#1</t>
  </si>
  <si>
    <t>all:RIGHT#2</t>
  </si>
  <si>
    <t>all:RIGHT#3</t>
  </si>
  <si>
    <t>all:RIGHT#4</t>
  </si>
  <si>
    <t>all:RIGHT#5</t>
  </si>
  <si>
    <t>all:RIGHT#6</t>
  </si>
  <si>
    <t>all:RIGHT#7</t>
  </si>
  <si>
    <t>all:RIGHT#8</t>
  </si>
  <si>
    <t>all:RIGHTB#1</t>
  </si>
  <si>
    <t>all:RIGHTB#2</t>
  </si>
  <si>
    <t>all:RIGHTB#3</t>
  </si>
  <si>
    <t>all:RIGHTB#4</t>
  </si>
  <si>
    <t>all:RIGHTB#5</t>
  </si>
  <si>
    <t>all:RIGHTB#6</t>
  </si>
  <si>
    <t>all:RIGHTB#7</t>
  </si>
  <si>
    <t>all:RIGHTB#8</t>
  </si>
  <si>
    <t>all:ROMAN#1</t>
  </si>
  <si>
    <t>all:ROMAN#2</t>
  </si>
  <si>
    <t>all:ROMAN#3</t>
  </si>
  <si>
    <t>all:ROMAN#4</t>
  </si>
  <si>
    <t>all:ROMAN#5</t>
  </si>
  <si>
    <t>all:ROMAN#6</t>
  </si>
  <si>
    <t>all:ROMAN#7</t>
  </si>
  <si>
    <t>all:ROMAN#8</t>
  </si>
  <si>
    <t>all:ROUND#1</t>
  </si>
  <si>
    <t>all:ROUND#2</t>
  </si>
  <si>
    <t>all:ROUND#3</t>
  </si>
  <si>
    <t>all:ROUND#4</t>
  </si>
  <si>
    <t>all:ROUND#5</t>
  </si>
  <si>
    <t>all:ROUND#6</t>
  </si>
  <si>
    <t>all:ROUND#7</t>
  </si>
  <si>
    <t>all:ROUND#8</t>
  </si>
  <si>
    <t>all:ROUNDDOWN#1</t>
  </si>
  <si>
    <t>all:ROUNDDOWN#2</t>
  </si>
  <si>
    <t>all:ROUNDDOWN#3</t>
  </si>
  <si>
    <t>all:ROUNDDOWN#4</t>
  </si>
  <si>
    <t>all:ROUNDDOWN#5</t>
  </si>
  <si>
    <t>all:ROUNDDOWN#6</t>
  </si>
  <si>
    <t>all:ROUNDDOWN#7</t>
  </si>
  <si>
    <t>all:ROUNDDOWN#8</t>
  </si>
  <si>
    <t>all:ROUNDUP#1</t>
  </si>
  <si>
    <t>all:ROUNDUP#2</t>
  </si>
  <si>
    <t>all:ROUNDUP#3</t>
  </si>
  <si>
    <t>all:ROUNDUP#4</t>
  </si>
  <si>
    <t>all:ROUNDUP#5</t>
  </si>
  <si>
    <t>all:ROUNDUP#6</t>
  </si>
  <si>
    <t>all:ROUNDUP#7</t>
  </si>
  <si>
    <t>all:ROUNDUP#8</t>
  </si>
  <si>
    <t>all:RRI#1</t>
  </si>
  <si>
    <t>all:RRI#2</t>
  </si>
  <si>
    <t>all:RRI#3</t>
  </si>
  <si>
    <t>all:RRI#4</t>
  </si>
  <si>
    <t>all:RRI#5</t>
  </si>
  <si>
    <t>all:RRI#6</t>
  </si>
  <si>
    <t>all:RRI#7</t>
  </si>
  <si>
    <t>all:RRI#8</t>
  </si>
  <si>
    <t>all:RRI#9</t>
  </si>
  <si>
    <t>all:RRI#10</t>
  </si>
  <si>
    <t>all:RRI#11</t>
  </si>
  <si>
    <t>all:RRI#12</t>
  </si>
  <si>
    <t>all:RSQ#1</t>
  </si>
  <si>
    <t>all:RSQ#2</t>
  </si>
  <si>
    <t>all:RSQ#3</t>
  </si>
  <si>
    <t>all:RSQ#4</t>
  </si>
  <si>
    <t>all:RSQ#5</t>
  </si>
  <si>
    <t>all:RSQ#6</t>
  </si>
  <si>
    <t>all:RSQ#7</t>
  </si>
  <si>
    <t>all:RSQ#8</t>
  </si>
  <si>
    <t>all:SEARCH#1</t>
  </si>
  <si>
    <t>all:SEARCH#2</t>
  </si>
  <si>
    <t>all:SEARCH#3</t>
  </si>
  <si>
    <t>all:SEARCH#4</t>
  </si>
  <si>
    <t>all:SEARCH#5</t>
  </si>
  <si>
    <t>all:SEARCH#6</t>
  </si>
  <si>
    <t>all:SEARCH#7</t>
  </si>
  <si>
    <t>all:SEARCH#8</t>
  </si>
  <si>
    <t>all:SEARCH#9</t>
  </si>
  <si>
    <t>all:SEARCH#10</t>
  </si>
  <si>
    <t>all:SEARCH#11</t>
  </si>
  <si>
    <t>all:SEARCH#12</t>
  </si>
  <si>
    <t>all:SEARCHB#1</t>
  </si>
  <si>
    <t>all:SEARCHB#2</t>
  </si>
  <si>
    <t>all:SEARCHB#3</t>
  </si>
  <si>
    <t>all:SEARCHB#4</t>
  </si>
  <si>
    <t>all:SEARCHB#5</t>
  </si>
  <si>
    <t>all:SEARCHB#6</t>
  </si>
  <si>
    <t>all:SEARCHB#7</t>
  </si>
  <si>
    <t>all:SEARCHB#8</t>
  </si>
  <si>
    <t>all:SEARCHB#9</t>
  </si>
  <si>
    <t>all:SEARCHB#10</t>
  </si>
  <si>
    <t>all:SEARCHB#11</t>
  </si>
  <si>
    <t>all:SEARCHB#12</t>
  </si>
  <si>
    <t>all:SEARCHB#13</t>
  </si>
  <si>
    <t>all:SERIESSUM#1</t>
  </si>
  <si>
    <t>all:SERIESSUM#2</t>
  </si>
  <si>
    <t>all:SERIESSUM#3</t>
  </si>
  <si>
    <t>all:SERIESSUM#4</t>
  </si>
  <si>
    <t>all:SERIESSUM#5</t>
  </si>
  <si>
    <t>all:SERIESSUM#6</t>
  </si>
  <si>
    <t>all:SERIESSUM#7</t>
  </si>
  <si>
    <t>all:SERIESSUM#8</t>
  </si>
  <si>
    <t>all:SERIESSUM#9</t>
  </si>
  <si>
    <t>all:SERIESSUM#10</t>
  </si>
  <si>
    <t>all:SERIESSUM#11</t>
  </si>
  <si>
    <t>all:SERIESSUM#12</t>
  </si>
  <si>
    <t>all:SERIESSUM#13</t>
  </si>
  <si>
    <t>all:SERIESSUM#14</t>
  </si>
  <si>
    <t>all:SERIESSUM#15</t>
  </si>
  <si>
    <t>all:SERIESSUM#16</t>
  </si>
  <si>
    <t>all:SKEW#1</t>
  </si>
  <si>
    <t>all:SKEW#2</t>
  </si>
  <si>
    <t>all:SKEW#3</t>
  </si>
  <si>
    <t>all:SKEW#4</t>
  </si>
  <si>
    <t>all:SKEW#5</t>
  </si>
  <si>
    <t>all:SKEW.P#1</t>
  </si>
  <si>
    <t>all:SKEW.P#2</t>
  </si>
  <si>
    <t>all:SKEW.P#3</t>
  </si>
  <si>
    <t>all:SKEW.P#4</t>
  </si>
  <si>
    <t>all:SKEW.P#5</t>
  </si>
  <si>
    <t>all:SLN#1</t>
  </si>
  <si>
    <t>all:SLN#2</t>
  </si>
  <si>
    <t>all:SLN#3</t>
  </si>
  <si>
    <t>all:SLN#4</t>
  </si>
  <si>
    <t>all:SLN#5</t>
  </si>
  <si>
    <t>all:SLN#6</t>
  </si>
  <si>
    <t>all:SLN#7</t>
  </si>
  <si>
    <t>all:SLN#8</t>
  </si>
  <si>
    <t>all:SLN#9</t>
  </si>
  <si>
    <t>all:SLN#10</t>
  </si>
  <si>
    <t>all:SLN#11</t>
  </si>
  <si>
    <t>all:SLN#12</t>
  </si>
  <si>
    <t>all:SLOPE#1</t>
  </si>
  <si>
    <t>all:SLOPE#2</t>
  </si>
  <si>
    <t>all:SLOPE#3</t>
  </si>
  <si>
    <t>all:SLOPE#4</t>
  </si>
  <si>
    <t>all:SLOPE#5</t>
  </si>
  <si>
    <t>all:SLOPE#6</t>
  </si>
  <si>
    <t>all:SLOPE#7</t>
  </si>
  <si>
    <t>all:SLOPE#8</t>
  </si>
  <si>
    <t>all:SMALL#1</t>
  </si>
  <si>
    <t>all:SMALL#2</t>
  </si>
  <si>
    <t>all:SMALL#3</t>
  </si>
  <si>
    <t>all:SMALL#4</t>
  </si>
  <si>
    <t>all:SMALL#5</t>
  </si>
  <si>
    <t>all:SMALL#6</t>
  </si>
  <si>
    <t>all:SMALL#7</t>
  </si>
  <si>
    <t>all:SMALL#8</t>
  </si>
  <si>
    <t>all:STANDARDIZE#1</t>
  </si>
  <si>
    <t>all:STANDARDIZE#2</t>
  </si>
  <si>
    <t>all:STANDARDIZE#3</t>
  </si>
  <si>
    <t>all:STANDARDIZE#4</t>
  </si>
  <si>
    <t>all:STANDARDIZE#5</t>
  </si>
  <si>
    <t>all:STANDARDIZE#6</t>
  </si>
  <si>
    <t>all:STANDARDIZE#7</t>
  </si>
  <si>
    <t>all:STANDARDIZE#8</t>
  </si>
  <si>
    <t>all:STANDARDIZE#9</t>
  </si>
  <si>
    <t>all:STANDARDIZE#10</t>
  </si>
  <si>
    <t>all:STANDARDIZE#11</t>
  </si>
  <si>
    <t>all:STANDARDIZE#12</t>
  </si>
  <si>
    <t>all:STDEV#1</t>
  </si>
  <si>
    <t>all:STDEV#2</t>
  </si>
  <si>
    <t>all:STDEV#3</t>
  </si>
  <si>
    <t>all:STDEV#4</t>
  </si>
  <si>
    <t>all:STDEV#5</t>
  </si>
  <si>
    <t>all:STDEV#6</t>
  </si>
  <si>
    <t>all:STDEV#7</t>
  </si>
  <si>
    <t>all:STDEV#8</t>
  </si>
  <si>
    <t>all:STDEV#9</t>
  </si>
  <si>
    <t>all:STDEV#10</t>
  </si>
  <si>
    <t>all:STDEV#11</t>
  </si>
  <si>
    <t>all:STDEV#12</t>
  </si>
  <si>
    <t>all:STDEV#13</t>
  </si>
  <si>
    <t>all:STDEV#14</t>
  </si>
  <si>
    <t>all:STDEV#15</t>
  </si>
  <si>
    <t>all:STDEV#16</t>
  </si>
  <si>
    <t>all:STDEV#17</t>
  </si>
  <si>
    <t>all:STDEV.P#1</t>
  </si>
  <si>
    <t>all:STDEV.P#2</t>
  </si>
  <si>
    <t>all:STDEV.P#3</t>
  </si>
  <si>
    <t>all:STDEV.P#4</t>
  </si>
  <si>
    <t>all:STDEV.P#5</t>
  </si>
  <si>
    <t>all:STDEV.S#1</t>
  </si>
  <si>
    <t>all:STDEV.S#2</t>
  </si>
  <si>
    <t>all:STDEV.S#3</t>
  </si>
  <si>
    <t>all:STDEV.S#4</t>
  </si>
  <si>
    <t>all:STDEV.S#5</t>
  </si>
  <si>
    <t>all:STDEVA#1</t>
  </si>
  <si>
    <t>all:STDEVA#2</t>
  </si>
  <si>
    <t>all:STDEVA#3</t>
  </si>
  <si>
    <t>all:STDEVA#4</t>
  </si>
  <si>
    <t>all:STDEVA#5</t>
  </si>
  <si>
    <t>all:STDEVP#1</t>
  </si>
  <si>
    <t>all:STDEVP#2</t>
  </si>
  <si>
    <t>all:STDEVP#3</t>
  </si>
  <si>
    <t>all:STDEVP#4</t>
  </si>
  <si>
    <t>all:STDEVP#5</t>
  </si>
  <si>
    <t>all:STDEVPA#1</t>
  </si>
  <si>
    <t>all:STDEVPA#2</t>
  </si>
  <si>
    <t>all:STDEVPA#3</t>
  </si>
  <si>
    <t>all:STDEVPA#4</t>
  </si>
  <si>
    <t>all:STDEVPA#5</t>
  </si>
  <si>
    <t>all:STEYX#1</t>
  </si>
  <si>
    <t>all:STEYX#2</t>
  </si>
  <si>
    <t>all:STEYX#3</t>
  </si>
  <si>
    <t>all:STEYX#4</t>
  </si>
  <si>
    <t>all:STEYX#5</t>
  </si>
  <si>
    <t>all:STEYX#6</t>
  </si>
  <si>
    <t>all:STEYX#7</t>
  </si>
  <si>
    <t>all:STEYX#8</t>
  </si>
  <si>
    <t>all:SUBSTITUTE#1</t>
  </si>
  <si>
    <t>all:SUBSTITUTE#2</t>
  </si>
  <si>
    <t>all:SUBSTITUTE#3</t>
  </si>
  <si>
    <t>all:SUBSTITUTE#4</t>
  </si>
  <si>
    <t>all:SUBSTITUTE#5</t>
  </si>
  <si>
    <t>all:SUBSTITUTE#6</t>
  </si>
  <si>
    <t>all:SUBSTITUTE#7</t>
  </si>
  <si>
    <t>all:SUBSTITUTE#8</t>
  </si>
  <si>
    <t>all:SUBSTITUTE#9</t>
  </si>
  <si>
    <t>all:SUBSTITUTE#10</t>
  </si>
  <si>
    <t>all:SUBSTITUTE#11</t>
  </si>
  <si>
    <t>all:SUBSTITUTE#12</t>
  </si>
  <si>
    <t>all:SUBSTITUTE#13</t>
  </si>
  <si>
    <t>all:SUBSTITUTE#14</t>
  </si>
  <si>
    <t>all:SUBSTITUTE#15</t>
  </si>
  <si>
    <t>all:SUBSTITUTE#16</t>
  </si>
  <si>
    <t>all:SUBSTITUTE#17</t>
  </si>
  <si>
    <t>all:SUBTOTAL#1</t>
  </si>
  <si>
    <t>all:SUBTOTAL#2</t>
  </si>
  <si>
    <t>all:SUBTOTAL#3</t>
  </si>
  <si>
    <t>all:SUBTOTAL#4</t>
  </si>
  <si>
    <t>all:SUM#1</t>
  </si>
  <si>
    <t>all:SUM#2</t>
  </si>
  <si>
    <t>all:SUM#3</t>
  </si>
  <si>
    <t>all:SUM#4</t>
  </si>
  <si>
    <t>all:SUM#5</t>
  </si>
  <si>
    <t>all:SUMIF#1</t>
  </si>
  <si>
    <t>all:SUMIF#2</t>
  </si>
  <si>
    <t>all:SUMIF#3</t>
  </si>
  <si>
    <t>all:SUMIF#4</t>
  </si>
  <si>
    <t>all:SUMIFS#1</t>
  </si>
  <si>
    <t>all:SUMIFS#2</t>
  </si>
  <si>
    <t>all:SUMIFS#3</t>
  </si>
  <si>
    <t>all:SUMIFS#4</t>
  </si>
  <si>
    <t>all:SUMPRODUCT#1</t>
  </si>
  <si>
    <t>all:SUMPRODUCT#2</t>
  </si>
  <si>
    <t>all:SUMPRODUCT#3</t>
  </si>
  <si>
    <t>all:SUMPRODUCT#4</t>
  </si>
  <si>
    <t>all:SUMPRODUCT#5</t>
  </si>
  <si>
    <t>all:SUMPRODUCT#6</t>
  </si>
  <si>
    <t>all:SUMPRODUCT#7</t>
  </si>
  <si>
    <t>all:SUMPRODUCT#8</t>
  </si>
  <si>
    <t>all:SUMPRODUCT#9</t>
  </si>
  <si>
    <t>all:SUMPRODUCT#10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</si>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</sst>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PV(0.00666666666666667,FALSE,500,0,0)</f>
        <v>0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PV(0.00666666666666667,240,,0,0)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PV(0.00666666666666667,240,0,0,0)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PV(0.00666666666666667,240,"",0,0)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PV(0.00666666666666667,240,FALSE,0,0)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PV(0.00666666666666667,240,500,,0)</f>
        <v>-59777.145851187801</v>
      </c>
      <c r="B6">
        <f t="shared" si="0"/>
        <v>0</v>
      </c>
      <c r="C6">
        <f t="shared" si="1"/>
        <v>-59777.145851187801</v>
      </c>
      <c r="D6" t="str">
        <f t="shared" si="2"/>
        <v/>
      </c>
      <c r="E6" t="s">
        <v>40</v>
      </c>
    </row>
    <row r="7" spans="1:5" x14ac:dyDescent="0.2">
      <c r="A7" cm="1">
        <f t="array" ref="A7">PV(0.00666666666666667,240,500,0,0)</f>
        <v>-59777.145851187801</v>
      </c>
      <c r="B7">
        <f t="shared" si="0"/>
        <v>0</v>
      </c>
      <c r="C7">
        <f t="shared" si="1"/>
        <v>-59777.145851187801</v>
      </c>
      <c r="D7" t="str">
        <f t="shared" si="2"/>
        <v/>
      </c>
      <c r="E7" t="s">
        <v>41</v>
      </c>
    </row>
    <row r="8" spans="1:5" x14ac:dyDescent="0.2">
      <c r="A8" t="e" cm="1">
        <f t="array" ref="A8">PV(0.00666666666666667,240,500,"",0)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PV(0.00666666666666667,240,500,FALSE,0)</f>
        <v>-59777.145851187801</v>
      </c>
      <c r="B9">
        <f t="shared" si="0"/>
        <v>0</v>
      </c>
      <c r="C9">
        <f t="shared" si="1"/>
        <v>-59777.145851187801</v>
      </c>
      <c r="D9" t="str">
        <f t="shared" si="2"/>
        <v/>
      </c>
      <c r="E9" t="s">
        <v>43</v>
      </c>
    </row>
    <row r="10" spans="1:5" x14ac:dyDescent="0.2">
      <c r="A10" cm="1">
        <f t="array" ref="A10">PV(0.00666666666666667,240,500,0,)</f>
        <v>-59777.145851187801</v>
      </c>
      <c r="B10">
        <f t="shared" si="0"/>
        <v>0</v>
      </c>
      <c r="C10">
        <f t="shared" si="1"/>
        <v>-59777.145851187801</v>
      </c>
      <c r="D10" t="str">
        <f t="shared" si="2"/>
        <v/>
      </c>
      <c r="E10" t="s">
        <v>44</v>
      </c>
    </row>
    <row r="11" spans="1:5" x14ac:dyDescent="0.2">
      <c r="A11" cm="1">
        <f t="array" ref="A11">PV(0.00666666666666667,240,500,0,0)</f>
        <v>-59777.145851187801</v>
      </c>
      <c r="B11">
        <f t="shared" si="0"/>
        <v>0</v>
      </c>
      <c r="C11">
        <f t="shared" si="1"/>
        <v>-59777.145851187801</v>
      </c>
      <c r="D11" t="str">
        <f t="shared" si="2"/>
        <v/>
      </c>
      <c r="E11" t="s">
        <v>45</v>
      </c>
    </row>
    <row r="12" spans="1:5" x14ac:dyDescent="0.2">
      <c r="A12" t="e" cm="1">
        <f t="array" ref="A12">PV(0.00666666666666667,240,500,0,"")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PV(0.00666666666666667,240,500,0,FALSE)</f>
        <v>-59777.145851187801</v>
      </c>
      <c r="B13">
        <f t="shared" si="0"/>
        <v>0</v>
      </c>
      <c r="C13">
        <f t="shared" si="1"/>
        <v>-59777.145851187801</v>
      </c>
      <c r="D13" t="str">
        <f t="shared" si="2"/>
        <v/>
      </c>
      <c r="E13" t="s">
        <v>47</v>
      </c>
    </row>
    <row r="14" spans="1:5" x14ac:dyDescent="0.2">
      <c r="A14" cm="1">
        <f t="array" ref="A14">QUARTILE(,1)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QUARTILE(0,1)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QUARTILE("",1)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QUARTILE(FALSE,1)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QUARTILE(D!B1:B8,)</f>
        <v>-3.5</v>
      </c>
      <c r="B18">
        <f t="shared" si="0"/>
        <v>0</v>
      </c>
      <c r="C18">
        <f t="shared" si="1"/>
        <v>-3.5</v>
      </c>
      <c r="D18" t="str">
        <f t="shared" si="2"/>
        <v/>
      </c>
      <c r="E18" t="s">
        <v>52</v>
      </c>
    </row>
    <row r="19" spans="1:5" x14ac:dyDescent="0.2">
      <c r="A19" cm="1">
        <f t="array" ref="A19">QUARTILE(D!B1:B8,0)</f>
        <v>-3.5</v>
      </c>
      <c r="B19">
        <f t="shared" si="0"/>
        <v>0</v>
      </c>
      <c r="C19">
        <f t="shared" si="1"/>
        <v>-3.5</v>
      </c>
      <c r="D19" t="str">
        <f t="shared" si="2"/>
        <v/>
      </c>
      <c r="E19" t="s">
        <v>53</v>
      </c>
    </row>
    <row r="20" spans="1:5" x14ac:dyDescent="0.2">
      <c r="A20" t="e" cm="1">
        <f t="array" ref="A20">QUARTILE(D!B1:B8,"")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QUARTILE(D!B1:B8,FALSE)</f>
        <v>-3.5</v>
      </c>
      <c r="B21">
        <f t="shared" si="0"/>
        <v>0</v>
      </c>
      <c r="C21">
        <f t="shared" si="1"/>
        <v>-3.5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_xlfn.QUARTILE.EXC(,1)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_xlfn.QUARTILE.EXC(0,1)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_xlfn.QUARTILE.EXC("",1)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_xlfn.QUARTILE.EXC(FALSE,1)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_xlfn.QUARTILE.EXC(D!B1:B8,)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_xlfn.QUARTILE.EXC(D!B1:B8,0)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_xlfn.QUARTILE.EXC(D!B1:B8,"")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_xlfn.QUARTILE.EXC(D!B1:B8,FALSE)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_xlfn.QUARTILE.INC(,1)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_xlfn.QUARTILE.INC(0,1)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_xlfn.QUARTILE.INC("",1)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_xlfn.QUARTILE.INC(FALSE,1)</f>
        <v>0</v>
      </c>
      <c r="B33">
        <f t="shared" si="0"/>
        <v>0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_xlfn.QUARTILE.INC(D!B1:B8,)</f>
        <v>-3.5</v>
      </c>
      <c r="B34">
        <f t="shared" si="0"/>
        <v>0</v>
      </c>
      <c r="C34">
        <f t="shared" si="1"/>
        <v>-3.5</v>
      </c>
      <c r="D34" t="str">
        <f t="shared" si="2"/>
        <v/>
      </c>
      <c r="E34" t="s">
        <v>68</v>
      </c>
    </row>
    <row r="35" spans="1:5" x14ac:dyDescent="0.2">
      <c r="A35" cm="1">
        <f t="array" ref="A35">_xlfn.QUARTILE.INC(D!B1:B8,0)</f>
        <v>-3.5</v>
      </c>
      <c r="B35">
        <f t="shared" si="0"/>
        <v>0</v>
      </c>
      <c r="C35">
        <f t="shared" si="1"/>
        <v>-3.5</v>
      </c>
      <c r="D35" t="str">
        <f t="shared" si="2"/>
        <v/>
      </c>
      <c r="E35" t="s">
        <v>69</v>
      </c>
    </row>
    <row r="36" spans="1:5" x14ac:dyDescent="0.2">
      <c r="A36" t="e" cm="1">
        <f t="array" ref="A36">_xlfn.QUARTILE.INC(D!B1:B8,"")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_xlfn.QUARTILE.INC(D!B1:B8,FALSE)</f>
        <v>-3.5</v>
      </c>
      <c r="B37">
        <f t="shared" si="0"/>
        <v>0</v>
      </c>
      <c r="C37">
        <f t="shared" si="1"/>
        <v>-3.5</v>
      </c>
      <c r="D37" t="str">
        <f t="shared" si="2"/>
        <v/>
      </c>
      <c r="E37" t="s">
        <v>71</v>
      </c>
    </row>
    <row r="38" spans="1:5" x14ac:dyDescent="0.2">
      <c r="A38" t="e" cm="1">
        <f t="array" ref="A38">QUOTIENT(,2)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QUOTIENT(0,2)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QUOTIENT("",2)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QUOTIENT(FALSE,2)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QUOTIENT(5,)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QUOTIENT(5,0)</f>
        <v>#DIV/0!</v>
      </c>
      <c r="B43">
        <f t="shared" si="0"/>
        <v>2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QUOTIENT(5,"")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QUOTIENT(5,FALSE)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RANK(,D!B1:B8)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RANK(0,D!B1:B8)</f>
        <v>#N/A</v>
      </c>
      <c r="B47">
        <f t="shared" si="0"/>
        <v>7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RANK("",D!B1:B8)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RANK(FALSE,D!B1:B8)</f>
        <v>#N/A</v>
      </c>
      <c r="B49">
        <f t="shared" si="0"/>
        <v>7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RANK(15,D!B1:B8)</f>
        <v>4</v>
      </c>
      <c r="B50">
        <f t="shared" si="0"/>
        <v>0</v>
      </c>
      <c r="C50">
        <f t="shared" si="1"/>
        <v>4</v>
      </c>
      <c r="D50" t="str">
        <f t="shared" si="2"/>
        <v/>
      </c>
      <c r="E50" t="s">
        <v>84</v>
      </c>
    </row>
    <row r="51" spans="1:5" x14ac:dyDescent="0.2">
      <c r="A51" cm="1">
        <f t="array" ref="A51">RANK(15,D!B1:B8,)</f>
        <v>4</v>
      </c>
      <c r="B51">
        <f t="shared" si="0"/>
        <v>0</v>
      </c>
      <c r="C51">
        <f t="shared" si="1"/>
        <v>4</v>
      </c>
      <c r="D51" t="str">
        <f t="shared" si="2"/>
        <v/>
      </c>
      <c r="E51" t="s">
        <v>85</v>
      </c>
    </row>
    <row r="52" spans="1:5" x14ac:dyDescent="0.2">
      <c r="A52" cm="1">
        <f t="array" ref="A52">RANK(15,D!B1:B8,0)</f>
        <v>4</v>
      </c>
      <c r="B52">
        <f t="shared" si="0"/>
        <v>0</v>
      </c>
      <c r="C52">
        <f t="shared" si="1"/>
        <v>4</v>
      </c>
      <c r="D52" t="str">
        <f t="shared" si="2"/>
        <v/>
      </c>
      <c r="E52" t="s">
        <v>86</v>
      </c>
    </row>
    <row r="53" spans="1:5" x14ac:dyDescent="0.2">
      <c r="A53" t="e" cm="1">
        <f t="array" ref="A53">RANK(15,D!B1:B8,"")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cm="1">
        <f t="array" ref="A54">RANK(15,D!B1:B8,FALSE)</f>
        <v>4</v>
      </c>
      <c r="B54">
        <f t="shared" si="0"/>
        <v>0</v>
      </c>
      <c r="C54">
        <f t="shared" si="1"/>
        <v>4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_xlfn.RANK.AVG(,D!BE1:BE7)</f>
        <v>#N/A</v>
      </c>
      <c r="B55">
        <f t="shared" si="0"/>
        <v>7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_xlfn.RANK.AVG(0,D!BE1:BE7)</f>
        <v>#N/A</v>
      </c>
      <c r="B56">
        <f t="shared" si="0"/>
        <v>7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_xlfn.RANK.AVG("",D!BE1:BE7)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_xlfn.RANK.AVG(FALSE,D!BE1:BE7)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cm="1">
        <f t="array" ref="A59">_xlfn.RANK.AVG(94,D!BE1:BE7)</f>
        <v>4</v>
      </c>
      <c r="B59">
        <f t="shared" si="0"/>
        <v>0</v>
      </c>
      <c r="C59">
        <f t="shared" si="1"/>
        <v>4</v>
      </c>
      <c r="D59" t="str">
        <f t="shared" si="2"/>
        <v/>
      </c>
      <c r="E59" t="s">
        <v>93</v>
      </c>
    </row>
    <row r="60" spans="1:5" x14ac:dyDescent="0.2">
      <c r="A60" cm="1">
        <f t="array" ref="A60">_xlfn.RANK.AVG(94,D!BE1:BE7,)</f>
        <v>4</v>
      </c>
      <c r="B60">
        <f t="shared" si="0"/>
        <v>0</v>
      </c>
      <c r="C60">
        <f t="shared" si="1"/>
        <v>4</v>
      </c>
      <c r="D60" t="str">
        <f t="shared" si="2"/>
        <v/>
      </c>
      <c r="E60" t="s">
        <v>94</v>
      </c>
    </row>
    <row r="61" spans="1:5" x14ac:dyDescent="0.2">
      <c r="A61" cm="1">
        <f t="array" ref="A61">_xlfn.RANK.AVG(94,D!BE1:BE7,0)</f>
        <v>4</v>
      </c>
      <c r="B61">
        <f t="shared" si="0"/>
        <v>0</v>
      </c>
      <c r="C61">
        <f t="shared" si="1"/>
        <v>4</v>
      </c>
      <c r="D61" t="str">
        <f t="shared" si="2"/>
        <v/>
      </c>
      <c r="E61" t="s">
        <v>95</v>
      </c>
    </row>
    <row r="62" spans="1:5" x14ac:dyDescent="0.2">
      <c r="A62" t="e" cm="1">
        <f t="array" ref="A62">_xlfn.RANK.AVG(94,D!BE1:BE7,"")</f>
        <v>#VALUE!</v>
      </c>
      <c r="B62">
        <f t="shared" si="0"/>
        <v>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_xlfn.RANK.AVG(94,D!BE1:BE7,FALSE)</f>
        <v>4</v>
      </c>
      <c r="B63">
        <f t="shared" si="0"/>
        <v>0</v>
      </c>
      <c r="C63">
        <f t="shared" si="1"/>
        <v>4</v>
      </c>
      <c r="D63" t="str">
        <f t="shared" si="2"/>
        <v/>
      </c>
      <c r="E63" t="s">
        <v>97</v>
      </c>
    </row>
    <row r="64" spans="1:5" x14ac:dyDescent="0.2">
      <c r="A64" t="e" cm="1">
        <f t="array" ref="A64">_xlfn.RANK.EQ(,D!BE1:BE7)</f>
        <v>#N/A</v>
      </c>
      <c r="B64">
        <f t="shared" si="0"/>
        <v>7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_xlfn.RANK.EQ(0,D!BE1:BE7)</f>
        <v>#N/A</v>
      </c>
      <c r="B65">
        <f t="shared" ref="B65:B128" si="3">IF(ISERROR(A65),ERROR.TYPE(A65),IF(ISNUMBER(A65),0,IF(ISLOGICAL(A65),IF(A65,-1,-2),IF(ISTEXT(A65),-3,-4))))</f>
        <v>7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_xlfn.RANK.EQ("",D!BE1:BE7)</f>
        <v>#VALUE!</v>
      </c>
      <c r="B66">
        <f t="shared" si="3"/>
        <v>3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_xlfn.RANK.EQ(FALSE,D!BE1:BE7)</f>
        <v>#N/A</v>
      </c>
      <c r="B67">
        <f t="shared" si="3"/>
        <v>7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cm="1">
        <f t="array" ref="A68">_xlfn.RANK.EQ(94,D!BE1:BE7)</f>
        <v>4</v>
      </c>
      <c r="B68">
        <f t="shared" si="3"/>
        <v>0</v>
      </c>
      <c r="C68">
        <f t="shared" si="4"/>
        <v>4</v>
      </c>
      <c r="D68" t="str">
        <f t="shared" si="5"/>
        <v/>
      </c>
      <c r="E68" t="s">
        <v>102</v>
      </c>
    </row>
    <row r="69" spans="1:5" x14ac:dyDescent="0.2">
      <c r="A69" cm="1">
        <f t="array" ref="A69">_xlfn.RANK.EQ(94,D!BE1:BE7,)</f>
        <v>4</v>
      </c>
      <c r="B69">
        <f t="shared" si="3"/>
        <v>0</v>
      </c>
      <c r="C69">
        <f t="shared" si="4"/>
        <v>4</v>
      </c>
      <c r="D69" t="str">
        <f t="shared" si="5"/>
        <v/>
      </c>
      <c r="E69" t="s">
        <v>103</v>
      </c>
    </row>
    <row r="70" spans="1:5" x14ac:dyDescent="0.2">
      <c r="A70" cm="1">
        <f t="array" ref="A70">_xlfn.RANK.EQ(94,D!BE1:BE7,0)</f>
        <v>4</v>
      </c>
      <c r="B70">
        <f t="shared" si="3"/>
        <v>0</v>
      </c>
      <c r="C70">
        <f t="shared" si="4"/>
        <v>4</v>
      </c>
      <c r="D70" t="str">
        <f t="shared" si="5"/>
        <v/>
      </c>
      <c r="E70" t="s">
        <v>104</v>
      </c>
    </row>
    <row r="71" spans="1:5" x14ac:dyDescent="0.2">
      <c r="A71" t="e" cm="1">
        <f t="array" ref="A71">_xlfn.RANK.EQ(94,D!BE1:BE7,"")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_xlfn.RANK.EQ(94,D!BE1:BE7,FALSE)</f>
        <v>4</v>
      </c>
      <c r="B72">
        <f t="shared" si="3"/>
        <v>0</v>
      </c>
      <c r="C72">
        <f t="shared" si="4"/>
        <v>4</v>
      </c>
      <c r="D72" t="str">
        <f t="shared" si="5"/>
        <v/>
      </c>
      <c r="E72" t="s">
        <v>106</v>
      </c>
    </row>
    <row r="73" spans="1:5" x14ac:dyDescent="0.2">
      <c r="A73" t="e" cm="1">
        <f t="array" ref="A73">RATE(,-200,8000)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RATE(0,-200,8000)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RATE("",-200,8000)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RATE(FALSE,-200,8000)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RATE(48,,8000)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RATE(48,0,8000)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RATE(48,"",8000)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RATE(48,FALSE,8000)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RATE(48,-200,)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RATE(48,-200,0)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RATE(48,-200,"")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RATE(48,-200,FALSE)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cm="1">
        <f t="array" ref="A85">RATE(48,-200,8000)</f>
        <v>7.7014724882013682E-3</v>
      </c>
      <c r="B85">
        <f t="shared" si="3"/>
        <v>0</v>
      </c>
      <c r="C85">
        <f t="shared" si="4"/>
        <v>7.7014724882013682E-3</v>
      </c>
      <c r="D85" t="str">
        <f t="shared" si="5"/>
        <v/>
      </c>
      <c r="E85" t="s">
        <v>119</v>
      </c>
    </row>
    <row r="86" spans="1:5" x14ac:dyDescent="0.2">
      <c r="A86" cm="1">
        <f t="array" ref="A86">RATE(48,-200,8000,)</f>
        <v>7.7014724882013682E-3</v>
      </c>
      <c r="B86">
        <f t="shared" si="3"/>
        <v>0</v>
      </c>
      <c r="C86">
        <f t="shared" si="4"/>
        <v>7.7014724882013682E-3</v>
      </c>
      <c r="D86" t="str">
        <f t="shared" si="5"/>
        <v/>
      </c>
      <c r="E86" t="s">
        <v>120</v>
      </c>
    </row>
    <row r="87" spans="1:5" x14ac:dyDescent="0.2">
      <c r="A87" cm="1">
        <f t="array" ref="A87">RATE(48,-200,8000,0)</f>
        <v>7.7014724882013682E-3</v>
      </c>
      <c r="B87">
        <f t="shared" si="3"/>
        <v>0</v>
      </c>
      <c r="C87">
        <f t="shared" si="4"/>
        <v>7.7014724882013682E-3</v>
      </c>
      <c r="D87" t="str">
        <f t="shared" si="5"/>
        <v/>
      </c>
      <c r="E87" t="s">
        <v>121</v>
      </c>
    </row>
    <row r="88" spans="1:5" x14ac:dyDescent="0.2">
      <c r="A88" t="e" cm="1">
        <f t="array" ref="A88">RATE(48,-200,8000,"")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cm="1">
        <f t="array" ref="A89">RATE(48,-200,8000,FALSE)</f>
        <v>7.7014724882013682E-3</v>
      </c>
      <c r="B89">
        <f t="shared" si="3"/>
        <v>0</v>
      </c>
      <c r="C89">
        <f t="shared" si="4"/>
        <v>7.7014724882013682E-3</v>
      </c>
      <c r="D89" t="str">
        <f t="shared" si="5"/>
        <v/>
      </c>
      <c r="E89" t="s">
        <v>123</v>
      </c>
    </row>
    <row r="90" spans="1:5" x14ac:dyDescent="0.2">
      <c r="A90" t="e" cm="1">
        <f t="array" ref="A90">RECEIVED(,DATE(2008,5,15),1000000,0.0575,2)</f>
        <v>#N/A</v>
      </c>
      <c r="B90">
        <f t="shared" si="3"/>
        <v>7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RECEIVED(0,DATE(2008,5,15),1000000,0.0575,2)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RECEIVED("",DATE(2008,5,15),1000000,0.0575,2)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RECEIVED(FALSE,DATE(2008,5,15),1000000,0.0575,2)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RECEIVED(DATE(2008,2,15),,1000000,0.0575,2)</f>
        <v>#N/A</v>
      </c>
      <c r="B94">
        <f t="shared" si="3"/>
        <v>7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RECEIVED(DATE(2008,2,15),0,1000000,0.0575,2)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RECEIVED(DATE(2008,2,15),"",1000000,0.0575,2)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RECEIVED(DATE(2008,2,15),FALSE,1000000,0.0575,2)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RECEIVED(DATE(2008,2,15),DATE(2008,5,15),,0.0575,2)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RECEIVED(DATE(2008,2,15),DATE(2008,5,15),0,0.0575,2)</f>
        <v>#NUM!</v>
      </c>
      <c r="B99">
        <f t="shared" si="3"/>
        <v>6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RECEIVED(DATE(2008,2,15),DATE(2008,5,15),"",0.0575,2)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RECEIVED(DATE(2008,2,15),DATE(2008,5,15),FALSE,0.0575,2)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RECEIVED(DATE(2008,2,15),DATE(2008,5,15),1000000,,2)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RECEIVED(DATE(2008,2,15),DATE(2008,5,15),1000000,0,2)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RECEIVED(DATE(2008,2,15),DATE(2008,5,15),1000000,"",2)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RECEIVED(DATE(2008,2,15),DATE(2008,5,15),1000000,FALSE,2)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RECEIVED(DATE(2008,2,15),DATE(2008,5,15),1000000,0.0575,)</f>
        <v>1014584.6544071021</v>
      </c>
      <c r="B106">
        <f t="shared" si="3"/>
        <v>0</v>
      </c>
      <c r="C106">
        <f t="shared" si="4"/>
        <v>1014584.6544071021</v>
      </c>
      <c r="D106" t="str">
        <f t="shared" si="5"/>
        <v/>
      </c>
      <c r="E106" t="s">
        <v>140</v>
      </c>
    </row>
    <row r="107" spans="1:5" x14ac:dyDescent="0.2">
      <c r="A107" cm="1">
        <f t="array" ref="A107">RECEIVED(DATE(2008,2,15),DATE(2008,5,15),1000000,0.0575,0)</f>
        <v>1014584.6544071021</v>
      </c>
      <c r="B107">
        <f t="shared" si="3"/>
        <v>0</v>
      </c>
      <c r="C107">
        <f t="shared" si="4"/>
        <v>1014584.6544071021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RECEIVED(DATE(2008,2,15),DATE(2008,5,15),1000000,0.0575,"")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RECEIVED(DATE(2008,2,15),DATE(2008,5,15),1000000,0.0575,FALSE)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str" cm="1">
        <f t="array" ref="A110">REPLACE(,6,5,"*")</f>
        <v>*</v>
      </c>
      <c r="B110">
        <f t="shared" si="3"/>
        <v>-3</v>
      </c>
      <c r="C110">
        <f t="shared" si="4"/>
        <v>0</v>
      </c>
      <c r="D110" t="str">
        <f t="shared" si="5"/>
        <v>*</v>
      </c>
      <c r="E110" t="s">
        <v>144</v>
      </c>
    </row>
    <row r="111" spans="1:5" x14ac:dyDescent="0.2">
      <c r="A111" t="str" cm="1">
        <f t="array" ref="A111">REPLACE(0,6,5,"*")</f>
        <v>0*</v>
      </c>
      <c r="B111">
        <f t="shared" si="3"/>
        <v>-3</v>
      </c>
      <c r="C111">
        <f t="shared" si="4"/>
        <v>0</v>
      </c>
      <c r="D111" t="str">
        <f t="shared" si="5"/>
        <v>0*</v>
      </c>
      <c r="E111" t="s">
        <v>145</v>
      </c>
    </row>
    <row r="112" spans="1:5" x14ac:dyDescent="0.2">
      <c r="A112" t="str" cm="1">
        <f t="array" ref="A112">REPLACE("",6,5,"*")</f>
        <v>*</v>
      </c>
      <c r="B112">
        <f t="shared" si="3"/>
        <v>-3</v>
      </c>
      <c r="C112">
        <f t="shared" si="4"/>
        <v>0</v>
      </c>
      <c r="D112" t="str">
        <f t="shared" si="5"/>
        <v>*</v>
      </c>
      <c r="E112" t="s">
        <v>146</v>
      </c>
    </row>
    <row r="113" spans="1:5" x14ac:dyDescent="0.2">
      <c r="A113" t="str" cm="1">
        <f t="array" ref="A113">REPLACE(FALSE,6,5,"*")</f>
        <v>FALSE*</v>
      </c>
      <c r="B113">
        <f t="shared" si="3"/>
        <v>-3</v>
      </c>
      <c r="C113">
        <f t="shared" si="4"/>
        <v>0</v>
      </c>
      <c r="D113" t="str">
        <f t="shared" si="5"/>
        <v>FALSE*</v>
      </c>
      <c r="E113" t="s">
        <v>147</v>
      </c>
    </row>
    <row r="114" spans="1:5" x14ac:dyDescent="0.2">
      <c r="A114" t="e" cm="1">
        <f t="array" ref="A114">REPLACE("abcdefghijk",,5,"*")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REPLACE("abcdefghijk",0,5,"*")</f>
        <v>#VALUE!</v>
      </c>
      <c r="B115">
        <f t="shared" si="3"/>
        <v>3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REPLACE("abcdefghijk","",5,"*")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REPLACE("abcdefghijk",FALSE,5,"*")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str" cm="1">
        <f t="array" ref="A118">REPLACE("abcdefghijk",6,,"*")</f>
        <v>abcde*fghijk</v>
      </c>
      <c r="B118">
        <f t="shared" si="3"/>
        <v>-3</v>
      </c>
      <c r="C118">
        <f t="shared" si="4"/>
        <v>0</v>
      </c>
      <c r="D118" t="str">
        <f t="shared" si="5"/>
        <v>abcde*fghijk</v>
      </c>
      <c r="E118" t="s">
        <v>152</v>
      </c>
    </row>
    <row r="119" spans="1:5" x14ac:dyDescent="0.2">
      <c r="A119" t="str" cm="1">
        <f t="array" ref="A119">REPLACE("abcdefghijk",6,0,"*")</f>
        <v>abcde*fghijk</v>
      </c>
      <c r="B119">
        <f t="shared" si="3"/>
        <v>-3</v>
      </c>
      <c r="C119">
        <f t="shared" si="4"/>
        <v>0</v>
      </c>
      <c r="D119" t="str">
        <f t="shared" si="5"/>
        <v>abcde*fghijk</v>
      </c>
      <c r="E119" t="s">
        <v>153</v>
      </c>
    </row>
    <row r="120" spans="1:5" x14ac:dyDescent="0.2">
      <c r="A120" t="e" cm="1">
        <f t="array" ref="A120">REPLACE("abcdefghijk",6,"","*")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str" cm="1">
        <f t="array" ref="A121">REPLACE("abcdefghijk",6,FALSE,"*")</f>
        <v>abcde*fghijk</v>
      </c>
      <c r="B121">
        <f t="shared" si="3"/>
        <v>-3</v>
      </c>
      <c r="C121">
        <f t="shared" si="4"/>
        <v>0</v>
      </c>
      <c r="D121" t="str">
        <f t="shared" si="5"/>
        <v>abcde*fghijk</v>
      </c>
      <c r="E121" t="s">
        <v>155</v>
      </c>
    </row>
    <row r="122" spans="1:5" x14ac:dyDescent="0.2">
      <c r="A122" t="str" cm="1">
        <f t="array" ref="A122">REPLACE("abcdefghijk",6,5,)</f>
        <v>abcdek</v>
      </c>
      <c r="B122">
        <f t="shared" si="3"/>
        <v>-3</v>
      </c>
      <c r="C122">
        <f t="shared" si="4"/>
        <v>0</v>
      </c>
      <c r="D122" t="str">
        <f t="shared" si="5"/>
        <v>abcdek</v>
      </c>
      <c r="E122" t="s">
        <v>156</v>
      </c>
    </row>
    <row r="123" spans="1:5" x14ac:dyDescent="0.2">
      <c r="A123" t="str" cm="1">
        <f t="array" ref="A123">REPLACE("abcdefghijk",6,5,0)</f>
        <v>abcde0k</v>
      </c>
      <c r="B123">
        <f t="shared" si="3"/>
        <v>-3</v>
      </c>
      <c r="C123">
        <f t="shared" si="4"/>
        <v>0</v>
      </c>
      <c r="D123" t="str">
        <f t="shared" si="5"/>
        <v>abcde0k</v>
      </c>
      <c r="E123" t="s">
        <v>157</v>
      </c>
    </row>
    <row r="124" spans="1:5" x14ac:dyDescent="0.2">
      <c r="A124" t="str" cm="1">
        <f t="array" ref="A124">REPLACE("abcdefghijk",6,5,"")</f>
        <v>abcdek</v>
      </c>
      <c r="B124">
        <f t="shared" si="3"/>
        <v>-3</v>
      </c>
      <c r="C124">
        <f t="shared" si="4"/>
        <v>0</v>
      </c>
      <c r="D124" t="str">
        <f t="shared" si="5"/>
        <v>abcdek</v>
      </c>
      <c r="E124" t="s">
        <v>158</v>
      </c>
    </row>
    <row r="125" spans="1:5" x14ac:dyDescent="0.2">
      <c r="A125" t="str" cm="1">
        <f t="array" ref="A125">REPLACE("abcdefghijk",6,5,FALSE)</f>
        <v>abcdeFALSEk</v>
      </c>
      <c r="B125">
        <f t="shared" si="3"/>
        <v>-3</v>
      </c>
      <c r="C125">
        <f t="shared" si="4"/>
        <v>0</v>
      </c>
      <c r="D125" t="str">
        <f t="shared" si="5"/>
        <v>abcdeFALSEk</v>
      </c>
      <c r="E125" t="s">
        <v>159</v>
      </c>
    </row>
    <row r="126" spans="1:5" x14ac:dyDescent="0.2">
      <c r="A126" t="str" cm="1">
        <f t="array" ref="A126">REPLACEB(,2,3,"x")</f>
        <v>x</v>
      </c>
      <c r="B126">
        <f t="shared" si="3"/>
        <v>-3</v>
      </c>
      <c r="C126">
        <f t="shared" si="4"/>
        <v>0</v>
      </c>
      <c r="D126" t="str">
        <f t="shared" si="5"/>
        <v>x</v>
      </c>
      <c r="E126" t="s">
        <v>160</v>
      </c>
    </row>
    <row r="127" spans="1:5" x14ac:dyDescent="0.2">
      <c r="A127" t="str" cm="1">
        <f t="array" ref="A127">REPLACEB(0,2,3,"x")</f>
        <v>0x</v>
      </c>
      <c r="B127">
        <f t="shared" si="3"/>
        <v>-3</v>
      </c>
      <c r="C127">
        <f t="shared" si="4"/>
        <v>0</v>
      </c>
      <c r="D127" t="str">
        <f t="shared" si="5"/>
        <v>0x</v>
      </c>
      <c r="E127" t="s">
        <v>161</v>
      </c>
    </row>
    <row r="128" spans="1:5" x14ac:dyDescent="0.2">
      <c r="A128" t="str" cm="1">
        <f t="array" ref="A128">REPLACEB("",2,3,"x")</f>
        <v>x</v>
      </c>
      <c r="B128">
        <f t="shared" si="3"/>
        <v>-3</v>
      </c>
      <c r="C128">
        <f t="shared" si="4"/>
        <v>0</v>
      </c>
      <c r="D128" t="str">
        <f t="shared" si="5"/>
        <v>x</v>
      </c>
      <c r="E128" t="s">
        <v>162</v>
      </c>
    </row>
    <row r="129" spans="1:5" x14ac:dyDescent="0.2">
      <c r="A129" t="str" cm="1">
        <f t="array" ref="A129">REPLACEB(FALSE,2,3,"x")</f>
        <v>FxE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FxE</v>
      </c>
      <c r="E129" t="s">
        <v>163</v>
      </c>
    </row>
    <row r="130" spans="1:5" x14ac:dyDescent="0.2">
      <c r="A130" t="e" cm="1">
        <f t="array" ref="A130">REPLACEB("abcdef",,3,"x")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REPLACEB("abcdef",0,3,"x")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REPLACEB("abcdef","",3,"x")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REPLACEB("abcdef",FALSE,3,"x")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str" cm="1">
        <f t="array" ref="A134">REPLACEB("abcdef",2,,"x")</f>
        <v>axbcdef</v>
      </c>
      <c r="B134">
        <f t="shared" si="6"/>
        <v>-3</v>
      </c>
      <c r="C134">
        <f t="shared" si="7"/>
        <v>0</v>
      </c>
      <c r="D134" t="str">
        <f t="shared" si="8"/>
        <v>axbcdef</v>
      </c>
      <c r="E134" t="s">
        <v>168</v>
      </c>
    </row>
    <row r="135" spans="1:5" x14ac:dyDescent="0.2">
      <c r="A135" t="str" cm="1">
        <f t="array" ref="A135">REPLACEB("abcdef",2,0,"x")</f>
        <v>axbcdef</v>
      </c>
      <c r="B135">
        <f t="shared" si="6"/>
        <v>-3</v>
      </c>
      <c r="C135">
        <f t="shared" si="7"/>
        <v>0</v>
      </c>
      <c r="D135" t="str">
        <f t="shared" si="8"/>
        <v>axbcdef</v>
      </c>
      <c r="E135" t="s">
        <v>169</v>
      </c>
    </row>
    <row r="136" spans="1:5" x14ac:dyDescent="0.2">
      <c r="A136" t="e" cm="1">
        <f t="array" ref="A136">REPLACEB("abcdef",2,"","x")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str" cm="1">
        <f t="array" ref="A137">REPLACEB("abcdef",2,FALSE,"x")</f>
        <v>axbcdef</v>
      </c>
      <c r="B137">
        <f t="shared" si="6"/>
        <v>-3</v>
      </c>
      <c r="C137">
        <f t="shared" si="7"/>
        <v>0</v>
      </c>
      <c r="D137" t="str">
        <f t="shared" si="8"/>
        <v>axbcdef</v>
      </c>
      <c r="E137" t="s">
        <v>171</v>
      </c>
    </row>
    <row r="138" spans="1:5" x14ac:dyDescent="0.2">
      <c r="A138" t="str" cm="1">
        <f t="array" ref="A138">REPLACEB("abcdef",2,3,)</f>
        <v>aef</v>
      </c>
      <c r="B138">
        <f t="shared" si="6"/>
        <v>-3</v>
      </c>
      <c r="C138">
        <f t="shared" si="7"/>
        <v>0</v>
      </c>
      <c r="D138" t="str">
        <f t="shared" si="8"/>
        <v>aef</v>
      </c>
      <c r="E138" t="s">
        <v>172</v>
      </c>
    </row>
    <row r="139" spans="1:5" x14ac:dyDescent="0.2">
      <c r="A139" t="str" cm="1">
        <f t="array" ref="A139">REPLACEB("abcdef",2,3,0)</f>
        <v>a0ef</v>
      </c>
      <c r="B139">
        <f t="shared" si="6"/>
        <v>-3</v>
      </c>
      <c r="C139">
        <f t="shared" si="7"/>
        <v>0</v>
      </c>
      <c r="D139" t="str">
        <f t="shared" si="8"/>
        <v>a0ef</v>
      </c>
      <c r="E139" t="s">
        <v>173</v>
      </c>
    </row>
    <row r="140" spans="1:5" x14ac:dyDescent="0.2">
      <c r="A140" t="str" cm="1">
        <f t="array" ref="A140">REPLACEB("abcdef",2,3,"")</f>
        <v>aef</v>
      </c>
      <c r="B140">
        <f t="shared" si="6"/>
        <v>-3</v>
      </c>
      <c r="C140">
        <f t="shared" si="7"/>
        <v>0</v>
      </c>
      <c r="D140" t="str">
        <f t="shared" si="8"/>
        <v>aef</v>
      </c>
      <c r="E140" t="s">
        <v>174</v>
      </c>
    </row>
    <row r="141" spans="1:5" x14ac:dyDescent="0.2">
      <c r="A141" t="str" cm="1">
        <f t="array" ref="A141">REPLACEB("abcdef",2,3,FALSE)</f>
        <v>aFALSEef</v>
      </c>
      <c r="B141">
        <f t="shared" si="6"/>
        <v>-3</v>
      </c>
      <c r="C141">
        <f t="shared" si="7"/>
        <v>0</v>
      </c>
      <c r="D141" t="str">
        <f t="shared" si="8"/>
        <v>aFALSEef</v>
      </c>
      <c r="E141" t="s">
        <v>175</v>
      </c>
    </row>
    <row r="142" spans="1:5" x14ac:dyDescent="0.2">
      <c r="A142" t="str" cm="1">
        <f t="array" ref="A142">REPT(,3)</f>
        <v/>
      </c>
      <c r="B142">
        <f t="shared" si="6"/>
        <v>-3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str" cm="1">
        <f t="array" ref="A143">REPT(0,3)</f>
        <v>000</v>
      </c>
      <c r="B143">
        <f t="shared" si="6"/>
        <v>-3</v>
      </c>
      <c r="C143">
        <f t="shared" si="7"/>
        <v>0</v>
      </c>
      <c r="D143" t="str">
        <f t="shared" si="8"/>
        <v>000</v>
      </c>
      <c r="E143" t="s">
        <v>177</v>
      </c>
    </row>
    <row r="144" spans="1:5" x14ac:dyDescent="0.2">
      <c r="A144" t="str" cm="1">
        <f t="array" ref="A144">REPT("",3)</f>
        <v/>
      </c>
      <c r="B144">
        <f t="shared" si="6"/>
        <v>-3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str" cm="1">
        <f t="array" ref="A145">REPT(FALSE,3)</f>
        <v>FALSEFALSEFALSE</v>
      </c>
      <c r="B145">
        <f t="shared" si="6"/>
        <v>-3</v>
      </c>
      <c r="C145">
        <f t="shared" si="7"/>
        <v>0</v>
      </c>
      <c r="D145" t="str">
        <f t="shared" si="8"/>
        <v>FALSEFALSEFALSE</v>
      </c>
      <c r="E145" t="s">
        <v>179</v>
      </c>
    </row>
    <row r="146" spans="1:5" x14ac:dyDescent="0.2">
      <c r="A146" t="str" cm="1">
        <f t="array" ref="A146">REPT("*-",)</f>
        <v/>
      </c>
      <c r="B146">
        <f t="shared" si="6"/>
        <v>-3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str" cm="1">
        <f t="array" ref="A147">REPT("*-",0)</f>
        <v/>
      </c>
      <c r="B147">
        <f t="shared" si="6"/>
        <v>-3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str" cm="1">
        <f t="array" ref="A148">RIGHT(,5)</f>
        <v/>
      </c>
      <c r="B148">
        <f t="shared" si="6"/>
        <v>-3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str" cm="1">
        <f t="array" ref="A149">RIGHT(0,5)</f>
        <v>0</v>
      </c>
      <c r="B149">
        <f t="shared" si="6"/>
        <v>-3</v>
      </c>
      <c r="C149">
        <f t="shared" si="7"/>
        <v>0</v>
      </c>
      <c r="D149" t="str">
        <f t="shared" si="8"/>
        <v>0</v>
      </c>
      <c r="E149" t="s">
        <v>183</v>
      </c>
    </row>
    <row r="150" spans="1:5" x14ac:dyDescent="0.2">
      <c r="A150" t="str" cm="1">
        <f t="array" ref="A150">RIGHT("",5)</f>
        <v/>
      </c>
      <c r="B150">
        <f t="shared" si="6"/>
        <v>-3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str" cm="1">
        <f t="array" ref="A151">RIGHT(FALSE,5)</f>
        <v>FALSE</v>
      </c>
      <c r="B151">
        <f t="shared" si="6"/>
        <v>-3</v>
      </c>
      <c r="C151">
        <f t="shared" si="7"/>
        <v>0</v>
      </c>
      <c r="D151" t="str">
        <f t="shared" si="8"/>
        <v>FALSE</v>
      </c>
      <c r="E151" t="s">
        <v>185</v>
      </c>
    </row>
    <row r="152" spans="1:5" x14ac:dyDescent="0.2">
      <c r="A152" t="str" cm="1">
        <f t="array" ref="A152">RIGHT("Sale Price",)</f>
        <v/>
      </c>
      <c r="B152">
        <f t="shared" si="6"/>
        <v>-3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str" cm="1">
        <f t="array" ref="A153">RIGHT("Sale Price",0)</f>
        <v/>
      </c>
      <c r="B153">
        <f t="shared" si="6"/>
        <v>-3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RIGHT("Sale Price","")</f>
        <v>#VALUE!</v>
      </c>
      <c r="B154">
        <f t="shared" si="6"/>
        <v>3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str" cm="1">
        <f t="array" ref="A155">RIGHT("Sale Price",FALSE)</f>
        <v/>
      </c>
      <c r="B155">
        <f t="shared" si="6"/>
        <v>-3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str" cm="1">
        <f t="array" ref="A156">RIGHTB(,2)</f>
        <v/>
      </c>
      <c r="B156">
        <f t="shared" si="6"/>
        <v>-3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str" cm="1">
        <f t="array" ref="A157">RIGHTB(0,2)</f>
        <v>0</v>
      </c>
      <c r="B157">
        <f t="shared" si="6"/>
        <v>-3</v>
      </c>
      <c r="C157">
        <f t="shared" si="7"/>
        <v>0</v>
      </c>
      <c r="D157" t="str">
        <f t="shared" si="8"/>
        <v>0</v>
      </c>
      <c r="E157" t="s">
        <v>191</v>
      </c>
    </row>
    <row r="158" spans="1:5" x14ac:dyDescent="0.2">
      <c r="A158" t="str" cm="1">
        <f t="array" ref="A158">RIGHTB("",2)</f>
        <v/>
      </c>
      <c r="B158">
        <f t="shared" si="6"/>
        <v>-3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str" cm="1">
        <f t="array" ref="A159">RIGHTB(FALSE,2)</f>
        <v>SE</v>
      </c>
      <c r="B159">
        <f t="shared" si="6"/>
        <v>-3</v>
      </c>
      <c r="C159">
        <f t="shared" si="7"/>
        <v>0</v>
      </c>
      <c r="D159" t="str">
        <f t="shared" si="8"/>
        <v>SE</v>
      </c>
      <c r="E159" t="s">
        <v>193</v>
      </c>
    </row>
    <row r="160" spans="1:5" x14ac:dyDescent="0.2">
      <c r="A160" t="str" cm="1">
        <f t="array" ref="A160">RIGHTB("abc",)</f>
        <v/>
      </c>
      <c r="B160">
        <f t="shared" si="6"/>
        <v>-3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str" cm="1">
        <f t="array" ref="A161">RIGHTB("abc",0)</f>
        <v/>
      </c>
      <c r="B161">
        <f t="shared" si="6"/>
        <v>-3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RIGHTB("abc","")</f>
        <v>#VALUE!</v>
      </c>
      <c r="B162">
        <f t="shared" si="6"/>
        <v>3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str" cm="1">
        <f t="array" ref="A163">RIGHTB("abc",FALSE)</f>
        <v/>
      </c>
      <c r="B163">
        <f t="shared" si="6"/>
        <v>-3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str" cm="1">
        <f t="array" ref="A164">ROMAN(,0)</f>
        <v/>
      </c>
      <c r="B164">
        <f t="shared" si="6"/>
        <v>-3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str" cm="1">
        <f t="array" ref="A165">ROMAN(0,0)</f>
        <v/>
      </c>
      <c r="B165">
        <f t="shared" si="6"/>
        <v>-3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ROMAN("",0)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str" cm="1">
        <f t="array" ref="A167">ROMAN(FALSE,0)</f>
        <v/>
      </c>
      <c r="B167">
        <f t="shared" si="6"/>
        <v>-3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str" cm="1">
        <f t="array" ref="A168">ROMAN(499,)</f>
        <v>CDXCIX</v>
      </c>
      <c r="B168">
        <f t="shared" si="6"/>
        <v>-3</v>
      </c>
      <c r="C168">
        <f t="shared" si="7"/>
        <v>0</v>
      </c>
      <c r="D168" t="str">
        <f t="shared" si="8"/>
        <v>CDXCIX</v>
      </c>
      <c r="E168" t="s">
        <v>202</v>
      </c>
    </row>
    <row r="169" spans="1:5" x14ac:dyDescent="0.2">
      <c r="A169" t="str" cm="1">
        <f t="array" ref="A169">ROMAN(499,0)</f>
        <v>CDXCIX</v>
      </c>
      <c r="B169">
        <f t="shared" si="6"/>
        <v>-3</v>
      </c>
      <c r="C169">
        <f t="shared" si="7"/>
        <v>0</v>
      </c>
      <c r="D169" t="str">
        <f t="shared" si="8"/>
        <v>CDXCIX</v>
      </c>
      <c r="E169" t="s">
        <v>203</v>
      </c>
    </row>
    <row r="170" spans="1:5" x14ac:dyDescent="0.2">
      <c r="A170" t="e" cm="1">
        <f t="array" ref="A170">ROMAN(499,"")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str" cm="1">
        <f t="array" ref="A171">ROMAN(499,FALSE)</f>
        <v>ID</v>
      </c>
      <c r="B171">
        <f t="shared" si="6"/>
        <v>-3</v>
      </c>
      <c r="C171">
        <f t="shared" si="7"/>
        <v>0</v>
      </c>
      <c r="D171" t="str">
        <f t="shared" si="8"/>
        <v>ID</v>
      </c>
      <c r="E171" t="s">
        <v>205</v>
      </c>
    </row>
    <row r="172" spans="1:5" x14ac:dyDescent="0.2">
      <c r="A172" cm="1">
        <f t="array" ref="A172">ROUND(,1)</f>
        <v>0</v>
      </c>
      <c r="B172">
        <f t="shared" si="6"/>
        <v>0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cm="1">
        <f t="array" ref="A173">ROUND(0,1)</f>
        <v>0</v>
      </c>
      <c r="B173">
        <f t="shared" si="6"/>
        <v>0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ROUND("",1)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cm="1">
        <f t="array" ref="A175">ROUND(FALSE,1)</f>
        <v>0</v>
      </c>
      <c r="B175">
        <f t="shared" si="6"/>
        <v>0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cm="1">
        <f t="array" ref="A176">ROUND(2.15,)</f>
        <v>2</v>
      </c>
      <c r="B176">
        <f t="shared" si="6"/>
        <v>0</v>
      </c>
      <c r="C176">
        <f t="shared" si="7"/>
        <v>2</v>
      </c>
      <c r="D176" t="str">
        <f t="shared" si="8"/>
        <v/>
      </c>
      <c r="E176" t="s">
        <v>210</v>
      </c>
    </row>
    <row r="177" spans="1:5" x14ac:dyDescent="0.2">
      <c r="A177" cm="1">
        <f t="array" ref="A177">ROUND(2.15,0)</f>
        <v>2</v>
      </c>
      <c r="B177">
        <f t="shared" si="6"/>
        <v>0</v>
      </c>
      <c r="C177">
        <f t="shared" si="7"/>
        <v>2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ROUND(2.15,"")</f>
        <v>#VALUE!</v>
      </c>
      <c r="B178">
        <f t="shared" si="6"/>
        <v>3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cm="1">
        <f t="array" ref="A179">ROUND(2.15,FALSE)</f>
        <v>2</v>
      </c>
      <c r="B179">
        <f t="shared" si="6"/>
        <v>0</v>
      </c>
      <c r="C179">
        <f t="shared" si="7"/>
        <v>2</v>
      </c>
      <c r="D179" t="str">
        <f t="shared" si="8"/>
        <v/>
      </c>
      <c r="E179" t="s">
        <v>213</v>
      </c>
    </row>
    <row r="180" spans="1:5" x14ac:dyDescent="0.2">
      <c r="A180" cm="1">
        <f t="array" ref="A180">ROUNDDOWN(,0)</f>
        <v>0</v>
      </c>
      <c r="B180">
        <f t="shared" si="6"/>
        <v>0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cm="1">
        <f t="array" ref="A181">ROUNDDOWN(0,0)</f>
        <v>0</v>
      </c>
      <c r="B181">
        <f t="shared" si="6"/>
        <v>0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ROUNDDOWN("",0)</f>
        <v>#VALUE!</v>
      </c>
      <c r="B182">
        <f t="shared" si="6"/>
        <v>3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cm="1">
        <f t="array" ref="A183">ROUNDDOWN(FALSE,0)</f>
        <v>0</v>
      </c>
      <c r="B183">
        <f t="shared" si="6"/>
        <v>0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cm="1">
        <f t="array" ref="A184">ROUNDDOWN(3.2,)</f>
        <v>3</v>
      </c>
      <c r="B184">
        <f t="shared" si="6"/>
        <v>0</v>
      </c>
      <c r="C184">
        <f t="shared" si="7"/>
        <v>3</v>
      </c>
      <c r="D184" t="str">
        <f t="shared" si="8"/>
        <v/>
      </c>
      <c r="E184" t="s">
        <v>218</v>
      </c>
    </row>
    <row r="185" spans="1:5" x14ac:dyDescent="0.2">
      <c r="A185" cm="1">
        <f t="array" ref="A185">ROUNDDOWN(3.2,0)</f>
        <v>3</v>
      </c>
      <c r="B185">
        <f t="shared" si="6"/>
        <v>0</v>
      </c>
      <c r="C185">
        <f t="shared" si="7"/>
        <v>3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ROUNDDOWN(3.2,"")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ROUNDDOWN(3.2,FALSE)</f>
        <v>3</v>
      </c>
      <c r="B187">
        <f t="shared" si="6"/>
        <v>0</v>
      </c>
      <c r="C187">
        <f t="shared" si="7"/>
        <v>3</v>
      </c>
      <c r="D187" t="str">
        <f t="shared" si="8"/>
        <v/>
      </c>
      <c r="E187" t="s">
        <v>221</v>
      </c>
    </row>
    <row r="188" spans="1:5" x14ac:dyDescent="0.2">
      <c r="A188" cm="1">
        <f t="array" ref="A188">ROUNDUP(,0)</f>
        <v>0</v>
      </c>
      <c r="B188">
        <f t="shared" si="6"/>
        <v>0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cm="1">
        <f t="array" ref="A189">ROUNDUP(0,0)</f>
        <v>0</v>
      </c>
      <c r="B189">
        <f t="shared" si="6"/>
        <v>0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ROUNDUP("",0)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cm="1">
        <f t="array" ref="A191">ROUNDUP(FALSE,0)</f>
        <v>0</v>
      </c>
      <c r="B191">
        <f t="shared" si="6"/>
        <v>0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ROUNDUP(3.2,)</f>
        <v>4</v>
      </c>
      <c r="B192">
        <f t="shared" si="6"/>
        <v>0</v>
      </c>
      <c r="C192">
        <f t="shared" si="7"/>
        <v>4</v>
      </c>
      <c r="D192" t="str">
        <f t="shared" si="8"/>
        <v/>
      </c>
      <c r="E192" t="s">
        <v>226</v>
      </c>
    </row>
    <row r="193" spans="1:5" x14ac:dyDescent="0.2">
      <c r="A193" cm="1">
        <f t="array" ref="A193">ROUNDUP(3.2,0)</f>
        <v>4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4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ROUNDUP(3.2,"")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ROUNDUP(3.2,FALSE)</f>
        <v>4</v>
      </c>
      <c r="B195">
        <f t="shared" si="9"/>
        <v>0</v>
      </c>
      <c r="C195">
        <f t="shared" si="10"/>
        <v>4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_xlfn.RRI(,10000,11000)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_xlfn.RRI(0,10000,11000)</f>
        <v>#NUM!</v>
      </c>
      <c r="B197">
        <f t="shared" si="9"/>
        <v>6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_xlfn.RRI("",10000,11000)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_xlfn.RRI(FALSE,10000,11000)</f>
        <v>#NUM!</v>
      </c>
      <c r="B199">
        <f t="shared" si="9"/>
        <v>6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_xlfn.RRI(96,,11000)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_xlfn.RRI(96,0,11000)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_xlfn.RRI(96,"",11000)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_xlfn.RRI(96,FALSE,11000)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_xlfn.RRI(96,10000,)</f>
        <v>-1</v>
      </c>
      <c r="B204">
        <f t="shared" si="9"/>
        <v>0</v>
      </c>
      <c r="C204">
        <f t="shared" si="10"/>
        <v>-1</v>
      </c>
      <c r="D204" t="str">
        <f t="shared" si="11"/>
        <v/>
      </c>
      <c r="E204" t="s">
        <v>238</v>
      </c>
    </row>
    <row r="205" spans="1:5" x14ac:dyDescent="0.2">
      <c r="A205" cm="1">
        <f t="array" ref="A205">_xlfn.RRI(96,10000,0)</f>
        <v>-1</v>
      </c>
      <c r="B205">
        <f t="shared" si="9"/>
        <v>0</v>
      </c>
      <c r="C205">
        <f t="shared" si="10"/>
        <v>-1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_xlfn.RRI(96,10000,"")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cm="1">
        <f t="array" ref="A207">_xlfn.RRI(96,10000,FALSE)</f>
        <v>-1</v>
      </c>
      <c r="B207">
        <f t="shared" si="9"/>
        <v>0</v>
      </c>
      <c r="C207">
        <f t="shared" si="10"/>
        <v>-1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RSQ(,D!C1:C8)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RSQ(0,D!C1:C8)</f>
        <v>#N/A</v>
      </c>
      <c r="B209">
        <f t="shared" si="9"/>
        <v>7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RSQ("",D!C1:C8)</f>
        <v>#N/A</v>
      </c>
      <c r="B210">
        <f t="shared" si="9"/>
        <v>7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RSQ(FALSE,D!C1:C8)</f>
        <v>#N/A</v>
      </c>
      <c r="B211">
        <f t="shared" si="9"/>
        <v>7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RSQ(D!B1:B8,)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RSQ(D!B1:B8,0)</f>
        <v>#N/A</v>
      </c>
      <c r="B213">
        <f t="shared" si="9"/>
        <v>7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RSQ(D!B1:B8,"")</f>
        <v>#N/A</v>
      </c>
      <c r="B214">
        <f t="shared" si="9"/>
        <v>7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RSQ(D!B1:B8,FALSE)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cm="1">
        <f t="array" ref="A216">SEARCH(,"Statements",6)</f>
        <v>6</v>
      </c>
      <c r="B216">
        <f t="shared" si="9"/>
        <v>0</v>
      </c>
      <c r="C216">
        <f t="shared" si="10"/>
        <v>6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SEARCH(0,"Statements",6)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SEARCH("","Statements",6)</f>
        <v>6</v>
      </c>
      <c r="B218">
        <f t="shared" si="9"/>
        <v>0</v>
      </c>
      <c r="C218">
        <f t="shared" si="10"/>
        <v>6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SEARCH(FALSE,"Statements",6)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SEARCH("e",,6)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SEARCH("e",0,6)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SEARCH("e","",6)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SEARCH("e",FALSE,6)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SEARCH("e","Statements",)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SEARCH("e","Statements",0)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SEARCH("e","Statements","")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SEARCH("e","Statements",FALSE)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SEARCHB(,"abc")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SEARCHB(0,"abc")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cm="1">
        <f t="array" ref="A230">SEARCHB("","abc")</f>
        <v>1</v>
      </c>
      <c r="B230">
        <f t="shared" si="9"/>
        <v>0</v>
      </c>
      <c r="C230">
        <f t="shared" si="10"/>
        <v>1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SEARCHB(FALSE,"abc")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SEARCHB("B",)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SEARCHB("B",0)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SEARCHB("B","")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SEARCHB("B",FALSE)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cm="1">
        <f t="array" ref="A236">SEARCHB("B","abc")</f>
        <v>2</v>
      </c>
      <c r="B236">
        <f t="shared" si="9"/>
        <v>0</v>
      </c>
      <c r="C236">
        <f t="shared" si="10"/>
        <v>2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SEARCHB("B","abc",)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SEARCHB("B","abc",0)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SEARCHB("B","abc","")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SEARCHB("B","abc",FALSE)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SERIESSUM(,0,2,D!AR1:AR4)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SERIESSUM(0,0,2,D!AR1:AR4)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SERIESSUM("",0,2,D!AR1:AR4)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SERIESSUM(FALSE,0,2,D!AR1:AR4)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SERIESSUM(0.785398163,,2,D!AR1:AR4)</f>
        <v>#N/A</v>
      </c>
      <c r="B245">
        <f t="shared" si="9"/>
        <v>7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SERIESSUM(0.785398163,0,2,D!AR1:AR4)</f>
        <v>0.70710321510389851</v>
      </c>
      <c r="B246">
        <f t="shared" si="9"/>
        <v>0</v>
      </c>
      <c r="C246">
        <f t="shared" si="10"/>
        <v>0.70710321510389851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SERIESSUM(0.785398163,"",2,D!AR1:AR4)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SERIESSUM(0.785398163,FALSE,2,D!AR1:AR4)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SERIESSUM(0.785398163,0,,D!AR1:AR4)</f>
        <v>#N/A</v>
      </c>
      <c r="B249">
        <f t="shared" si="9"/>
        <v>7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cm="1">
        <f t="array" ref="A250">SERIESSUM(0.785398163,0,0,D!AR1:AR4)</f>
        <v>0.54027777777777786</v>
      </c>
      <c r="B250">
        <f t="shared" si="9"/>
        <v>0</v>
      </c>
      <c r="C250">
        <f t="shared" si="10"/>
        <v>0.54027777777777786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SERIESSUM(0.785398163,0,"",D!AR1:AR4)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SERIESSUM(0.785398163,0,FALSE,D!AR1:AR4)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SERIESSUM(0.785398163,0,2,)</f>
        <v>#N/A</v>
      </c>
      <c r="B253">
        <f t="shared" si="9"/>
        <v>7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SERIESSUM(0.785398163,0,2,0)</f>
        <v>0</v>
      </c>
      <c r="B254">
        <f t="shared" si="9"/>
        <v>0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SERIESSUM(0.785398163,0,2,"")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SERIESSUM(0.785398163,0,2,FALSE)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SKEW(D!B1:B8)</f>
        <v>1.0743518746677498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1.0743518746677498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SKEW(D!B1:B8,)</f>
        <v>1.1790618458095381</v>
      </c>
      <c r="B258">
        <f t="shared" si="12"/>
        <v>0</v>
      </c>
      <c r="C258">
        <f t="shared" si="13"/>
        <v>1.1790618458095381</v>
      </c>
      <c r="D258" t="str">
        <f t="shared" si="14"/>
        <v/>
      </c>
      <c r="E258" t="s">
        <v>292</v>
      </c>
    </row>
    <row r="259" spans="1:5" x14ac:dyDescent="0.2">
      <c r="A259" cm="1">
        <f t="array" ref="A259">SKEW(D!B1:B8,0)</f>
        <v>1.1790618458095381</v>
      </c>
      <c r="B259">
        <f t="shared" si="12"/>
        <v>0</v>
      </c>
      <c r="C259">
        <f t="shared" si="13"/>
        <v>1.1790618458095381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SKEW(D!B1:B8,"")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cm="1">
        <f t="array" ref="A261">SKEW(D!B1:B8,FALSE)</f>
        <v>1.1790618458095381</v>
      </c>
      <c r="B261">
        <f t="shared" si="12"/>
        <v>0</v>
      </c>
      <c r="C261">
        <f t="shared" si="13"/>
        <v>1.1790618458095381</v>
      </c>
      <c r="D261" t="str">
        <f t="shared" si="14"/>
        <v/>
      </c>
      <c r="E261" t="s">
        <v>295</v>
      </c>
    </row>
    <row r="262" spans="1:5" x14ac:dyDescent="0.2">
      <c r="A262" cm="1">
        <f t="array" ref="A262">_xlfn.SKEW.P(D!B1:B8)</f>
        <v>0.86139784882393156</v>
      </c>
      <c r="B262">
        <f t="shared" si="12"/>
        <v>0</v>
      </c>
      <c r="C262">
        <f t="shared" si="13"/>
        <v>0.86139784882393156</v>
      </c>
      <c r="D262" t="str">
        <f t="shared" si="14"/>
        <v/>
      </c>
      <c r="E262" t="s">
        <v>296</v>
      </c>
    </row>
    <row r="263" spans="1:5" x14ac:dyDescent="0.2">
      <c r="A263" cm="1">
        <f t="array" ref="A263">_xlfn.SKEW.P(D!B1:B8,)</f>
        <v>0.97267639771196046</v>
      </c>
      <c r="B263">
        <f t="shared" si="12"/>
        <v>0</v>
      </c>
      <c r="C263">
        <f t="shared" si="13"/>
        <v>0.97267639771196046</v>
      </c>
      <c r="D263" t="str">
        <f t="shared" si="14"/>
        <v/>
      </c>
      <c r="E263" t="s">
        <v>297</v>
      </c>
    </row>
    <row r="264" spans="1:5" x14ac:dyDescent="0.2">
      <c r="A264" cm="1">
        <f t="array" ref="A264">_xlfn.SKEW.P(D!B1:B8,0)</f>
        <v>0.97267639771196046</v>
      </c>
      <c r="B264">
        <f t="shared" si="12"/>
        <v>0</v>
      </c>
      <c r="C264">
        <f t="shared" si="13"/>
        <v>0.97267639771196046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_xlfn.SKEW.P(D!B1:B8,"")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_xlfn.SKEW.P(D!B1:B8,FALSE)</f>
        <v>0.97267639771196046</v>
      </c>
      <c r="B266">
        <f t="shared" si="12"/>
        <v>0</v>
      </c>
      <c r="C266">
        <f t="shared" si="13"/>
        <v>0.97267639771196046</v>
      </c>
      <c r="D266" t="str">
        <f t="shared" si="14"/>
        <v/>
      </c>
      <c r="E266" t="s">
        <v>300</v>
      </c>
    </row>
    <row r="267" spans="1:5" x14ac:dyDescent="0.2">
      <c r="A267" cm="1">
        <f t="array" ref="A267">SLN(,7500,10)</f>
        <v>-750</v>
      </c>
      <c r="B267">
        <f t="shared" si="12"/>
        <v>0</v>
      </c>
      <c r="C267">
        <f t="shared" si="13"/>
        <v>-750</v>
      </c>
      <c r="D267" t="str">
        <f t="shared" si="14"/>
        <v/>
      </c>
      <c r="E267" t="s">
        <v>301</v>
      </c>
    </row>
    <row r="268" spans="1:5" x14ac:dyDescent="0.2">
      <c r="A268" cm="1">
        <f t="array" ref="A268">SLN(0,7500,10)</f>
        <v>-750</v>
      </c>
      <c r="B268">
        <f t="shared" si="12"/>
        <v>0</v>
      </c>
      <c r="C268">
        <f t="shared" si="13"/>
        <v>-750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SLN("",7500,10)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SLN(FALSE,7500,10)</f>
        <v>-750</v>
      </c>
      <c r="B270">
        <f t="shared" si="12"/>
        <v>0</v>
      </c>
      <c r="C270">
        <f t="shared" si="13"/>
        <v>-750</v>
      </c>
      <c r="D270" t="str">
        <f t="shared" si="14"/>
        <v/>
      </c>
      <c r="E270" t="s">
        <v>304</v>
      </c>
    </row>
    <row r="271" spans="1:5" x14ac:dyDescent="0.2">
      <c r="A271" cm="1">
        <f t="array" ref="A271">SLN(30000,,10)</f>
        <v>3000</v>
      </c>
      <c r="B271">
        <f t="shared" si="12"/>
        <v>0</v>
      </c>
      <c r="C271">
        <f t="shared" si="13"/>
        <v>3000</v>
      </c>
      <c r="D271" t="str">
        <f t="shared" si="14"/>
        <v/>
      </c>
      <c r="E271" t="s">
        <v>305</v>
      </c>
    </row>
    <row r="272" spans="1:5" x14ac:dyDescent="0.2">
      <c r="A272" cm="1">
        <f t="array" ref="A272">SLN(30000,0,10)</f>
        <v>3000</v>
      </c>
      <c r="B272">
        <f t="shared" si="12"/>
        <v>0</v>
      </c>
      <c r="C272">
        <f t="shared" si="13"/>
        <v>3000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SLN(30000,"",10)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SLN(30000,FALSE,10)</f>
        <v>3000</v>
      </c>
      <c r="B274">
        <f t="shared" si="12"/>
        <v>0</v>
      </c>
      <c r="C274">
        <f t="shared" si="13"/>
        <v>3000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SLN(30000,7500,)</f>
        <v>#DIV/0!</v>
      </c>
      <c r="B275">
        <f t="shared" si="12"/>
        <v>2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SLN(30000,7500,0)</f>
        <v>#DIV/0!</v>
      </c>
      <c r="B276">
        <f t="shared" si="12"/>
        <v>2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SLN(30000,7500,"")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SLN(30000,7500,FALSE)</f>
        <v>#DIV/0!</v>
      </c>
      <c r="B278">
        <f t="shared" si="12"/>
        <v>2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SLOPE(,D!B1:B8)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SLOPE(0,D!B1:B8)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SLOPE("",D!B1:B8)</f>
        <v>#N/A</v>
      </c>
      <c r="B281">
        <f t="shared" si="12"/>
        <v>7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SLOPE(FALSE,D!B1:B8)</f>
        <v>#N/A</v>
      </c>
      <c r="B282">
        <f t="shared" si="12"/>
        <v>7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SLOPE(D!C1:C8,)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SLOPE(D!C1:C8,0)</f>
        <v>#N/A</v>
      </c>
      <c r="B284">
        <f t="shared" si="12"/>
        <v>7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SLOPE(D!C1:C8,"")</f>
        <v>#N/A</v>
      </c>
      <c r="B285">
        <f t="shared" si="12"/>
        <v>7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SLOPE(D!C1:C8,FALSE)</f>
        <v>#N/A</v>
      </c>
      <c r="B286">
        <f t="shared" si="12"/>
        <v>7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SMALL(,4)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SMALL(0,4)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SMALL("",4)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SMALL(FALSE,4)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SMALL(D!B1:B8,)</f>
        <v>#NUM!</v>
      </c>
      <c r="B291">
        <f t="shared" si="12"/>
        <v>6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SMALL(D!B1:B8,0)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SMALL(D!B1:B8,"")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SMALL(D!B1:B8,FALSE)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STANDARDIZE(,40,1.5)</f>
        <v>-26.666666666666668</v>
      </c>
      <c r="B295">
        <f t="shared" si="12"/>
        <v>0</v>
      </c>
      <c r="C295">
        <f t="shared" si="13"/>
        <v>-26.666666666666668</v>
      </c>
      <c r="D295" t="str">
        <f t="shared" si="14"/>
        <v/>
      </c>
      <c r="E295" t="s">
        <v>329</v>
      </c>
    </row>
    <row r="296" spans="1:5" x14ac:dyDescent="0.2">
      <c r="A296" cm="1">
        <f t="array" ref="A296">STANDARDIZE(0,40,1.5)</f>
        <v>-26.666666666666668</v>
      </c>
      <c r="B296">
        <f t="shared" si="12"/>
        <v>0</v>
      </c>
      <c r="C296">
        <f t="shared" si="13"/>
        <v>-26.666666666666668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STANDARDIZE("",40,1.5)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cm="1">
        <f t="array" ref="A298">STANDARDIZE(FALSE,40,1.5)</f>
        <v>-26.666666666666668</v>
      </c>
      <c r="B298">
        <f t="shared" si="12"/>
        <v>0</v>
      </c>
      <c r="C298">
        <f t="shared" si="13"/>
        <v>-26.666666666666668</v>
      </c>
      <c r="D298" t="str">
        <f t="shared" si="14"/>
        <v/>
      </c>
      <c r="E298" t="s">
        <v>332</v>
      </c>
    </row>
    <row r="299" spans="1:5" x14ac:dyDescent="0.2">
      <c r="A299" cm="1">
        <f t="array" ref="A299">STANDARDIZE(42,,1.5)</f>
        <v>28</v>
      </c>
      <c r="B299">
        <f t="shared" si="12"/>
        <v>0</v>
      </c>
      <c r="C299">
        <f t="shared" si="13"/>
        <v>28</v>
      </c>
      <c r="D299" t="str">
        <f t="shared" si="14"/>
        <v/>
      </c>
      <c r="E299" t="s">
        <v>333</v>
      </c>
    </row>
    <row r="300" spans="1:5" x14ac:dyDescent="0.2">
      <c r="A300" cm="1">
        <f t="array" ref="A300">STANDARDIZE(42,0,1.5)</f>
        <v>28</v>
      </c>
      <c r="B300">
        <f t="shared" si="12"/>
        <v>0</v>
      </c>
      <c r="C300">
        <f t="shared" si="13"/>
        <v>28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STANDARDIZE(42,"",1.5)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cm="1">
        <f t="array" ref="A302">STANDARDIZE(42,FALSE,1.5)</f>
        <v>28</v>
      </c>
      <c r="B302">
        <f t="shared" si="12"/>
        <v>0</v>
      </c>
      <c r="C302">
        <f t="shared" si="13"/>
        <v>28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STANDARDIZE(42,40,)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STANDARDIZE(42,40,0)</f>
        <v>#NUM!</v>
      </c>
      <c r="B304">
        <f t="shared" si="12"/>
        <v>6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STANDARDIZE(42,40,"")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STANDARDIZE(42,40,FALSE)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STDEV(,2,3)</f>
        <v>1.5275252316519465</v>
      </c>
      <c r="B307">
        <f t="shared" si="12"/>
        <v>0</v>
      </c>
      <c r="C307">
        <f t="shared" si="13"/>
        <v>1.5275252316519465</v>
      </c>
      <c r="D307" t="str">
        <f t="shared" si="14"/>
        <v/>
      </c>
      <c r="E307" t="s">
        <v>341</v>
      </c>
    </row>
    <row r="308" spans="1:5" x14ac:dyDescent="0.2">
      <c r="A308" cm="1">
        <f t="array" ref="A308">STDEV(0,2,3)</f>
        <v>1.5275252316519465</v>
      </c>
      <c r="B308">
        <f t="shared" si="12"/>
        <v>0</v>
      </c>
      <c r="C308">
        <f t="shared" si="13"/>
        <v>1.5275252316519465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STDEV("",2,3)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STDEV(FALSE,2,3)</f>
        <v>1.5275252316519465</v>
      </c>
      <c r="B310">
        <f t="shared" si="12"/>
        <v>0</v>
      </c>
      <c r="C310">
        <f t="shared" si="13"/>
        <v>1.5275252316519465</v>
      </c>
      <c r="D310" t="str">
        <f t="shared" si="14"/>
        <v/>
      </c>
      <c r="E310" t="s">
        <v>344</v>
      </c>
    </row>
    <row r="311" spans="1:5" x14ac:dyDescent="0.2">
      <c r="A311" cm="1">
        <f t="array" ref="A311">STDEV(1,,3)</f>
        <v>1.5275252316519468</v>
      </c>
      <c r="B311">
        <f t="shared" si="12"/>
        <v>0</v>
      </c>
      <c r="C311">
        <f t="shared" si="13"/>
        <v>1.5275252316519468</v>
      </c>
      <c r="D311" t="str">
        <f t="shared" si="14"/>
        <v/>
      </c>
      <c r="E311" t="s">
        <v>345</v>
      </c>
    </row>
    <row r="312" spans="1:5" x14ac:dyDescent="0.2">
      <c r="A312" cm="1">
        <f t="array" ref="A312">STDEV(1,0,3)</f>
        <v>1.5275252316519468</v>
      </c>
      <c r="B312">
        <f t="shared" si="12"/>
        <v>0</v>
      </c>
      <c r="C312">
        <f t="shared" si="13"/>
        <v>1.5275252316519468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STDEV(1,"",3)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cm="1">
        <f t="array" ref="A314">STDEV(1,FALSE,3)</f>
        <v>1.5275252316519468</v>
      </c>
      <c r="B314">
        <f t="shared" si="12"/>
        <v>0</v>
      </c>
      <c r="C314">
        <f t="shared" si="13"/>
        <v>1.5275252316519468</v>
      </c>
      <c r="D314" t="str">
        <f t="shared" si="14"/>
        <v/>
      </c>
      <c r="E314" t="s">
        <v>348</v>
      </c>
    </row>
    <row r="315" spans="1:5" x14ac:dyDescent="0.2">
      <c r="A315" cm="1">
        <f t="array" ref="A315">STDEV(1,2,)</f>
        <v>1</v>
      </c>
      <c r="B315">
        <f t="shared" si="12"/>
        <v>0</v>
      </c>
      <c r="C315">
        <f t="shared" si="13"/>
        <v>1</v>
      </c>
      <c r="D315" t="str">
        <f t="shared" si="14"/>
        <v/>
      </c>
      <c r="E315" t="s">
        <v>349</v>
      </c>
    </row>
    <row r="316" spans="1:5" x14ac:dyDescent="0.2">
      <c r="A316" cm="1">
        <f t="array" ref="A316">STDEV(1,2,0)</f>
        <v>1</v>
      </c>
      <c r="B316">
        <f t="shared" si="12"/>
        <v>0</v>
      </c>
      <c r="C316">
        <f t="shared" si="13"/>
        <v>1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STDEV(1,2,"")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cm="1">
        <f t="array" ref="A318">STDEV(1,2,FALSE)</f>
        <v>1</v>
      </c>
      <c r="B318">
        <f t="shared" si="12"/>
        <v>0</v>
      </c>
      <c r="C318">
        <f t="shared" si="13"/>
        <v>1</v>
      </c>
      <c r="D318" t="str">
        <f t="shared" si="14"/>
        <v/>
      </c>
      <c r="E318" t="s">
        <v>352</v>
      </c>
    </row>
    <row r="319" spans="1:5" x14ac:dyDescent="0.2">
      <c r="A319" cm="1">
        <f t="array" ref="A319">STDEV(1,2,3)</f>
        <v>1</v>
      </c>
      <c r="B319">
        <f t="shared" si="12"/>
        <v>0</v>
      </c>
      <c r="C319">
        <f t="shared" si="13"/>
        <v>1</v>
      </c>
      <c r="D319" t="str">
        <f t="shared" si="14"/>
        <v/>
      </c>
      <c r="E319" t="s">
        <v>353</v>
      </c>
    </row>
    <row r="320" spans="1:5" x14ac:dyDescent="0.2">
      <c r="A320" cm="1">
        <f t="array" ref="A320">STDEV(1,2,3,)</f>
        <v>1.2909944487358056</v>
      </c>
      <c r="B320">
        <f t="shared" si="12"/>
        <v>0</v>
      </c>
      <c r="C320">
        <f t="shared" si="13"/>
        <v>1.2909944487358056</v>
      </c>
      <c r="D320" t="str">
        <f t="shared" si="14"/>
        <v/>
      </c>
      <c r="E320" t="s">
        <v>354</v>
      </c>
    </row>
    <row r="321" spans="1:5" x14ac:dyDescent="0.2">
      <c r="A321" cm="1">
        <f t="array" ref="A321">STDEV(1,2,3,0)</f>
        <v>1.2909944487358056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1.2909944487358056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STDEV(1,2,3,"")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cm="1">
        <f t="array" ref="A323">STDEV(1,2,3,FALSE)</f>
        <v>1.2909944487358056</v>
      </c>
      <c r="B323">
        <f t="shared" si="15"/>
        <v>0</v>
      </c>
      <c r="C323">
        <f t="shared" si="16"/>
        <v>1.2909944487358056</v>
      </c>
      <c r="D323" t="str">
        <f t="shared" si="17"/>
        <v/>
      </c>
      <c r="E323" t="s">
        <v>357</v>
      </c>
    </row>
    <row r="324" spans="1:5" x14ac:dyDescent="0.2">
      <c r="A324" cm="1">
        <f t="array" ref="A324">_xlfn.STDEV.P(D!B1:B8)</f>
        <v>12.871320772846119</v>
      </c>
      <c r="B324">
        <f t="shared" si="15"/>
        <v>0</v>
      </c>
      <c r="C324">
        <f t="shared" si="16"/>
        <v>12.871320772846119</v>
      </c>
      <c r="D324" t="str">
        <f t="shared" si="17"/>
        <v/>
      </c>
      <c r="E324" t="s">
        <v>358</v>
      </c>
    </row>
    <row r="325" spans="1:5" x14ac:dyDescent="0.2">
      <c r="A325" cm="1">
        <f t="array" ref="A325">_xlfn.STDEV.P(D!B1:B8,)</f>
        <v>12.945398152754258</v>
      </c>
      <c r="B325">
        <f t="shared" si="15"/>
        <v>0</v>
      </c>
      <c r="C325">
        <f t="shared" si="16"/>
        <v>12.945398152754258</v>
      </c>
      <c r="D325" t="str">
        <f t="shared" si="17"/>
        <v/>
      </c>
      <c r="E325" t="s">
        <v>359</v>
      </c>
    </row>
    <row r="326" spans="1:5" x14ac:dyDescent="0.2">
      <c r="A326" cm="1">
        <f t="array" ref="A326">_xlfn.STDEV.P(D!B1:B8,0)</f>
        <v>12.945398152754258</v>
      </c>
      <c r="B326">
        <f t="shared" si="15"/>
        <v>0</v>
      </c>
      <c r="C326">
        <f t="shared" si="16"/>
        <v>12.945398152754258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_xlfn.STDEV.P(D!B1:B8,"")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cm="1">
        <f t="array" ref="A328">_xlfn.STDEV.P(D!B1:B8,FALSE)</f>
        <v>12.945398152754258</v>
      </c>
      <c r="B328">
        <f t="shared" si="15"/>
        <v>0</v>
      </c>
      <c r="C328">
        <f t="shared" si="16"/>
        <v>12.945398152754258</v>
      </c>
      <c r="D328" t="str">
        <f t="shared" si="17"/>
        <v/>
      </c>
      <c r="E328" t="s">
        <v>362</v>
      </c>
    </row>
    <row r="329" spans="1:5" x14ac:dyDescent="0.2">
      <c r="A329" cm="1">
        <f t="array" ref="A329">_xlfn.STDEV.S(D!B1:B8)</f>
        <v>13.760020699216158</v>
      </c>
      <c r="B329">
        <f t="shared" si="15"/>
        <v>0</v>
      </c>
      <c r="C329">
        <f t="shared" si="16"/>
        <v>13.760020699216158</v>
      </c>
      <c r="D329" t="str">
        <f t="shared" si="17"/>
        <v/>
      </c>
      <c r="E329" t="s">
        <v>363</v>
      </c>
    </row>
    <row r="330" spans="1:5" x14ac:dyDescent="0.2">
      <c r="A330" cm="1">
        <f t="array" ref="A330">_xlfn.STDEV.S(D!B1:B8,)</f>
        <v>13.730668228458512</v>
      </c>
      <c r="B330">
        <f t="shared" si="15"/>
        <v>0</v>
      </c>
      <c r="C330">
        <f t="shared" si="16"/>
        <v>13.730668228458512</v>
      </c>
      <c r="D330" t="str">
        <f t="shared" si="17"/>
        <v/>
      </c>
      <c r="E330" t="s">
        <v>364</v>
      </c>
    </row>
    <row r="331" spans="1:5" x14ac:dyDescent="0.2">
      <c r="A331" cm="1">
        <f t="array" ref="A331">_xlfn.STDEV.S(D!B1:B8,0)</f>
        <v>13.730668228458512</v>
      </c>
      <c r="B331">
        <f t="shared" si="15"/>
        <v>0</v>
      </c>
      <c r="C331">
        <f t="shared" si="16"/>
        <v>13.730668228458512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_xlfn.STDEV.S(D!B1:B8,"")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cm="1">
        <f t="array" ref="A333">_xlfn.STDEV.S(D!B1:B8,FALSE)</f>
        <v>13.730668228458512</v>
      </c>
      <c r="B333">
        <f t="shared" si="15"/>
        <v>0</v>
      </c>
      <c r="C333">
        <f t="shared" si="16"/>
        <v>13.730668228458512</v>
      </c>
      <c r="D333" t="str">
        <f t="shared" si="17"/>
        <v/>
      </c>
      <c r="E333" t="s">
        <v>367</v>
      </c>
    </row>
    <row r="334" spans="1:5" x14ac:dyDescent="0.2">
      <c r="A334" cm="1">
        <f t="array" ref="A334">STDEVA(D!B1:B8)</f>
        <v>13.760020699216158</v>
      </c>
      <c r="B334">
        <f t="shared" si="15"/>
        <v>0</v>
      </c>
      <c r="C334">
        <f t="shared" si="16"/>
        <v>13.760020699216158</v>
      </c>
      <c r="D334" t="str">
        <f t="shared" si="17"/>
        <v/>
      </c>
      <c r="E334" t="s">
        <v>368</v>
      </c>
    </row>
    <row r="335" spans="1:5" x14ac:dyDescent="0.2">
      <c r="A335" cm="1">
        <f t="array" ref="A335">STDEVA(D!B1:B8,)</f>
        <v>13.730668228458512</v>
      </c>
      <c r="B335">
        <f t="shared" si="15"/>
        <v>0</v>
      </c>
      <c r="C335">
        <f t="shared" si="16"/>
        <v>13.730668228458512</v>
      </c>
      <c r="D335" t="str">
        <f t="shared" si="17"/>
        <v/>
      </c>
      <c r="E335" t="s">
        <v>369</v>
      </c>
    </row>
    <row r="336" spans="1:5" x14ac:dyDescent="0.2">
      <c r="A336" cm="1">
        <f t="array" ref="A336">STDEVA(D!B1:B8,0)</f>
        <v>13.730668228458512</v>
      </c>
      <c r="B336">
        <f t="shared" si="15"/>
        <v>0</v>
      </c>
      <c r="C336">
        <f t="shared" si="16"/>
        <v>13.730668228458512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STDEVA(D!B1:B8,"")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cm="1">
        <f t="array" ref="A338">STDEVA(D!B1:B8,FALSE)</f>
        <v>13.730668228458512</v>
      </c>
      <c r="B338">
        <f t="shared" si="15"/>
        <v>0</v>
      </c>
      <c r="C338">
        <f t="shared" si="16"/>
        <v>13.730668228458512</v>
      </c>
      <c r="D338" t="str">
        <f t="shared" si="17"/>
        <v/>
      </c>
      <c r="E338" t="s">
        <v>372</v>
      </c>
    </row>
    <row r="339" spans="1:5" x14ac:dyDescent="0.2">
      <c r="A339" cm="1">
        <f t="array" ref="A339">STDEVP(D!B1:B8)</f>
        <v>12.871320772846119</v>
      </c>
      <c r="B339">
        <f t="shared" si="15"/>
        <v>0</v>
      </c>
      <c r="C339">
        <f t="shared" si="16"/>
        <v>12.871320772846119</v>
      </c>
      <c r="D339" t="str">
        <f t="shared" si="17"/>
        <v/>
      </c>
      <c r="E339" t="s">
        <v>373</v>
      </c>
    </row>
    <row r="340" spans="1:5" x14ac:dyDescent="0.2">
      <c r="A340" cm="1">
        <f t="array" ref="A340">STDEVP(D!B1:B8,)</f>
        <v>12.945398152754258</v>
      </c>
      <c r="B340">
        <f t="shared" si="15"/>
        <v>0</v>
      </c>
      <c r="C340">
        <f t="shared" si="16"/>
        <v>12.945398152754258</v>
      </c>
      <c r="D340" t="str">
        <f t="shared" si="17"/>
        <v/>
      </c>
      <c r="E340" t="s">
        <v>374</v>
      </c>
    </row>
    <row r="341" spans="1:5" x14ac:dyDescent="0.2">
      <c r="A341" cm="1">
        <f t="array" ref="A341">STDEVP(D!B1:B8,0)</f>
        <v>12.945398152754258</v>
      </c>
      <c r="B341">
        <f t="shared" si="15"/>
        <v>0</v>
      </c>
      <c r="C341">
        <f t="shared" si="16"/>
        <v>12.945398152754258</v>
      </c>
      <c r="D341" t="str">
        <f t="shared" si="17"/>
        <v/>
      </c>
      <c r="E341" t="s">
        <v>375</v>
      </c>
    </row>
    <row r="342" spans="1:5" x14ac:dyDescent="0.2">
      <c r="A342" t="e" cm="1">
        <f t="array" ref="A342">STDEVP(D!B1:B8,"")</f>
        <v>#VALUE!</v>
      </c>
      <c r="B342">
        <f t="shared" si="15"/>
        <v>3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cm="1">
        <f t="array" ref="A343">STDEVP(D!B1:B8,FALSE)</f>
        <v>12.945398152754258</v>
      </c>
      <c r="B343">
        <f t="shared" si="15"/>
        <v>0</v>
      </c>
      <c r="C343">
        <f t="shared" si="16"/>
        <v>12.945398152754258</v>
      </c>
      <c r="D343" t="str">
        <f t="shared" si="17"/>
        <v/>
      </c>
      <c r="E343" t="s">
        <v>377</v>
      </c>
    </row>
    <row r="344" spans="1:5" x14ac:dyDescent="0.2">
      <c r="A344" cm="1">
        <f t="array" ref="A344">STDEVPA(D!B1:B8)</f>
        <v>12.871320772846119</v>
      </c>
      <c r="B344">
        <f t="shared" si="15"/>
        <v>0</v>
      </c>
      <c r="C344">
        <f t="shared" si="16"/>
        <v>12.871320772846119</v>
      </c>
      <c r="D344" t="str">
        <f t="shared" si="17"/>
        <v/>
      </c>
      <c r="E344" t="s">
        <v>378</v>
      </c>
    </row>
    <row r="345" spans="1:5" x14ac:dyDescent="0.2">
      <c r="A345" cm="1">
        <f t="array" ref="A345">STDEVPA(D!B1:B8,)</f>
        <v>12.945398152754258</v>
      </c>
      <c r="B345">
        <f t="shared" si="15"/>
        <v>0</v>
      </c>
      <c r="C345">
        <f t="shared" si="16"/>
        <v>12.945398152754258</v>
      </c>
      <c r="D345" t="str">
        <f t="shared" si="17"/>
        <v/>
      </c>
      <c r="E345" t="s">
        <v>379</v>
      </c>
    </row>
    <row r="346" spans="1:5" x14ac:dyDescent="0.2">
      <c r="A346" cm="1">
        <f t="array" ref="A346">STDEVPA(D!B1:B8,0)</f>
        <v>12.945398152754258</v>
      </c>
      <c r="B346">
        <f t="shared" si="15"/>
        <v>0</v>
      </c>
      <c r="C346">
        <f t="shared" si="16"/>
        <v>12.945398152754258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STDEVPA(D!B1:B8,"")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STDEVPA(D!B1:B8,FALSE)</f>
        <v>12.945398152754258</v>
      </c>
      <c r="B348">
        <f t="shared" si="15"/>
        <v>0</v>
      </c>
      <c r="C348">
        <f t="shared" si="16"/>
        <v>12.945398152754258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STEYX(,D!B1:B8)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STEYX(0,D!B1:B8)</f>
        <v>#N/A</v>
      </c>
      <c r="B350">
        <f t="shared" si="15"/>
        <v>7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STEYX("",D!B1:B8)</f>
        <v>#N/A</v>
      </c>
      <c r="B351">
        <f t="shared" si="15"/>
        <v>7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STEYX(FALSE,D!B1:B8)</f>
        <v>#N/A</v>
      </c>
      <c r="B352">
        <f t="shared" si="15"/>
        <v>7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STEYX(D!C1:C8,)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STEYX(D!C1:C8,0)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STEYX(D!C1:C8,"")</f>
        <v>#N/A</v>
      </c>
      <c r="B355">
        <f t="shared" si="15"/>
        <v>7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STEYX(D!C1:C8,FALSE)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str" cm="1">
        <f t="array" ref="A357">SUBSTITUTE(,"Sales","Cost")</f>
        <v/>
      </c>
      <c r="B357">
        <f t="shared" si="15"/>
        <v>-3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str" cm="1">
        <f t="array" ref="A358">SUBSTITUTE(0,"Sales","Cost")</f>
        <v>0</v>
      </c>
      <c r="B358">
        <f t="shared" si="15"/>
        <v>-3</v>
      </c>
      <c r="C358">
        <f t="shared" si="16"/>
        <v>0</v>
      </c>
      <c r="D358" t="str">
        <f t="shared" si="17"/>
        <v>0</v>
      </c>
      <c r="E358" t="s">
        <v>392</v>
      </c>
    </row>
    <row r="359" spans="1:5" x14ac:dyDescent="0.2">
      <c r="A359" t="str" cm="1">
        <f t="array" ref="A359">SUBSTITUTE("","Sales","Cost")</f>
        <v/>
      </c>
      <c r="B359">
        <f t="shared" si="15"/>
        <v>-3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str" cm="1">
        <f t="array" ref="A360">SUBSTITUTE(FALSE,"Sales","Cost")</f>
        <v>FALSE</v>
      </c>
      <c r="B360">
        <f t="shared" si="15"/>
        <v>-3</v>
      </c>
      <c r="C360">
        <f t="shared" si="16"/>
        <v>0</v>
      </c>
      <c r="D360" t="str">
        <f t="shared" si="17"/>
        <v>FALSE</v>
      </c>
      <c r="E360" t="s">
        <v>394</v>
      </c>
    </row>
    <row r="361" spans="1:5" x14ac:dyDescent="0.2">
      <c r="A361" t="str" cm="1">
        <f t="array" ref="A361">SUBSTITUTE("Sales Data",,"Cost")</f>
        <v>Sales Data</v>
      </c>
      <c r="B361">
        <f t="shared" si="15"/>
        <v>-3</v>
      </c>
      <c r="C361">
        <f t="shared" si="16"/>
        <v>0</v>
      </c>
      <c r="D361" t="str">
        <f t="shared" si="17"/>
        <v>Sales Data</v>
      </c>
      <c r="E361" t="s">
        <v>395</v>
      </c>
    </row>
    <row r="362" spans="1:5" x14ac:dyDescent="0.2">
      <c r="A362" t="str" cm="1">
        <f t="array" ref="A362">SUBSTITUTE("Sales Data",0,"Cost")</f>
        <v>Sales Data</v>
      </c>
      <c r="B362">
        <f t="shared" si="15"/>
        <v>-3</v>
      </c>
      <c r="C362">
        <f t="shared" si="16"/>
        <v>0</v>
      </c>
      <c r="D362" t="str">
        <f t="shared" si="17"/>
        <v>Sales Data</v>
      </c>
      <c r="E362" t="s">
        <v>396</v>
      </c>
    </row>
    <row r="363" spans="1:5" x14ac:dyDescent="0.2">
      <c r="A363" t="str" cm="1">
        <f t="array" ref="A363">SUBSTITUTE("Sales Data","","Cost")</f>
        <v>Sales Data</v>
      </c>
      <c r="B363">
        <f t="shared" si="15"/>
        <v>-3</v>
      </c>
      <c r="C363">
        <f t="shared" si="16"/>
        <v>0</v>
      </c>
      <c r="D363" t="str">
        <f t="shared" si="17"/>
        <v>Sales Data</v>
      </c>
      <c r="E363" t="s">
        <v>397</v>
      </c>
    </row>
    <row r="364" spans="1:5" x14ac:dyDescent="0.2">
      <c r="A364" t="str" cm="1">
        <f t="array" ref="A364">SUBSTITUTE("Sales Data",FALSE,"Cost")</f>
        <v>Sales Data</v>
      </c>
      <c r="B364">
        <f t="shared" si="15"/>
        <v>-3</v>
      </c>
      <c r="C364">
        <f t="shared" si="16"/>
        <v>0</v>
      </c>
      <c r="D364" t="str">
        <f t="shared" si="17"/>
        <v>Sales Data</v>
      </c>
      <c r="E364" t="s">
        <v>398</v>
      </c>
    </row>
    <row r="365" spans="1:5" x14ac:dyDescent="0.2">
      <c r="A365" t="str" cm="1">
        <f t="array" ref="A365">SUBSTITUTE("Sales Data","Sales",)</f>
        <v xml:space="preserve"> Data</v>
      </c>
      <c r="B365">
        <f t="shared" si="15"/>
        <v>-3</v>
      </c>
      <c r="C365">
        <f t="shared" si="16"/>
        <v>0</v>
      </c>
      <c r="D365" t="str">
        <f t="shared" si="17"/>
        <v xml:space="preserve"> Data</v>
      </c>
      <c r="E365" t="s">
        <v>399</v>
      </c>
    </row>
    <row r="366" spans="1:5" x14ac:dyDescent="0.2">
      <c r="A366" t="str" cm="1">
        <f t="array" ref="A366">SUBSTITUTE("Sales Data","Sales",0)</f>
        <v>0 Data</v>
      </c>
      <c r="B366">
        <f t="shared" si="15"/>
        <v>-3</v>
      </c>
      <c r="C366">
        <f t="shared" si="16"/>
        <v>0</v>
      </c>
      <c r="D366" t="str">
        <f t="shared" si="17"/>
        <v>0 Data</v>
      </c>
      <c r="E366" t="s">
        <v>400</v>
      </c>
    </row>
    <row r="367" spans="1:5" x14ac:dyDescent="0.2">
      <c r="A367" t="str" cm="1">
        <f t="array" ref="A367">SUBSTITUTE("Sales Data","Sales","")</f>
        <v xml:space="preserve"> Data</v>
      </c>
      <c r="B367">
        <f t="shared" si="15"/>
        <v>-3</v>
      </c>
      <c r="C367">
        <f t="shared" si="16"/>
        <v>0</v>
      </c>
      <c r="D367" t="str">
        <f t="shared" si="17"/>
        <v xml:space="preserve"> Data</v>
      </c>
      <c r="E367" t="s">
        <v>401</v>
      </c>
    </row>
    <row r="368" spans="1:5" x14ac:dyDescent="0.2">
      <c r="A368" t="str" cm="1">
        <f t="array" ref="A368">SUBSTITUTE("Sales Data","Sales",FALSE)</f>
        <v>FALSE Data</v>
      </c>
      <c r="B368">
        <f t="shared" si="15"/>
        <v>-3</v>
      </c>
      <c r="C368">
        <f t="shared" si="16"/>
        <v>0</v>
      </c>
      <c r="D368" t="str">
        <f t="shared" si="17"/>
        <v>FALSE Data</v>
      </c>
      <c r="E368" t="s">
        <v>402</v>
      </c>
    </row>
    <row r="369" spans="1:5" x14ac:dyDescent="0.2">
      <c r="A369" t="str" cm="1">
        <f t="array" ref="A369">SUBSTITUTE("Sales Data","Sales","Cost")</f>
        <v>Cost Data</v>
      </c>
      <c r="B369">
        <f t="shared" si="15"/>
        <v>-3</v>
      </c>
      <c r="C369">
        <f t="shared" si="16"/>
        <v>0</v>
      </c>
      <c r="D369" t="str">
        <f t="shared" si="17"/>
        <v>Cost Data</v>
      </c>
      <c r="E369" t="s">
        <v>403</v>
      </c>
    </row>
    <row r="370" spans="1:5" x14ac:dyDescent="0.2">
      <c r="A370" t="e" cm="1">
        <f t="array" ref="A370">SUBSTITUTE("Sales Data","Sales","Cost",)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SUBSTITUTE("Sales Data","Sales","Cost",0)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SUBSTITUTE("Sales Data","Sales","Cost","")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SUBSTITUTE("Sales Data","Sales","Cost",FALSE)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SUBTOTAL(,D!B1:B8)</f>
        <v>#VALUE!</v>
      </c>
      <c r="B374">
        <f t="shared" si="15"/>
        <v>3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SUBTOTAL(0,D!B1:B8)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SUBTOTAL("",D!B1:B8)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SUBTOTAL(FALSE,D!B1:B8)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SUM(D!B1:B8)</f>
        <v>114.75</v>
      </c>
      <c r="B378">
        <f t="shared" si="15"/>
        <v>0</v>
      </c>
      <c r="C378">
        <f t="shared" si="16"/>
        <v>114.75</v>
      </c>
      <c r="D378" t="str">
        <f t="shared" si="17"/>
        <v/>
      </c>
      <c r="E378" t="s">
        <v>412</v>
      </c>
    </row>
    <row r="379" spans="1:5" x14ac:dyDescent="0.2">
      <c r="A379" cm="1">
        <f t="array" ref="A379">SUM(D!B1:B8,)</f>
        <v>114.75</v>
      </c>
      <c r="B379">
        <f t="shared" si="15"/>
        <v>0</v>
      </c>
      <c r="C379">
        <f t="shared" si="16"/>
        <v>114.75</v>
      </c>
      <c r="D379" t="str">
        <f t="shared" si="17"/>
        <v/>
      </c>
      <c r="E379" t="s">
        <v>413</v>
      </c>
    </row>
    <row r="380" spans="1:5" x14ac:dyDescent="0.2">
      <c r="A380" cm="1">
        <f t="array" ref="A380">SUM(D!B1:B8,0)</f>
        <v>114.75</v>
      </c>
      <c r="B380">
        <f t="shared" si="15"/>
        <v>0</v>
      </c>
      <c r="C380">
        <f t="shared" si="16"/>
        <v>114.75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SUM(D!B1:B8,"")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cm="1">
        <f t="array" ref="A382">SUM(D!B1:B8,FALSE)</f>
        <v>114.75</v>
      </c>
      <c r="B382">
        <f t="shared" si="15"/>
        <v>0</v>
      </c>
      <c r="C382">
        <f t="shared" si="16"/>
        <v>114.75</v>
      </c>
      <c r="D382" t="str">
        <f t="shared" si="17"/>
        <v/>
      </c>
      <c r="E382" t="s">
        <v>416</v>
      </c>
    </row>
    <row r="383" spans="1:5" x14ac:dyDescent="0.2">
      <c r="A383" cm="1">
        <f t="array" ref="A383">SUMIF(D!G1:G7,,D!G1:G7)</f>
        <v>0</v>
      </c>
      <c r="B383">
        <f t="shared" si="15"/>
        <v>0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cm="1">
        <f t="array" ref="A384">SUMIF(D!G1:G7,0,D!G1:G7)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cm="1">
        <f t="array" ref="A385">SUMIF(D!G1:G7,"",D!G1:G7)</f>
        <v>0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SUMIF(D!G1:G7,FALSE,D!G1:G7)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cm="1">
        <f t="array" ref="A387">SUMIFS(D!G1:G7,D!G1:G7,)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SUMIFS(D!G1:G7,D!G1:G7,0)</f>
        <v>0</v>
      </c>
      <c r="B388">
        <f t="shared" si="18"/>
        <v>0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cm="1">
        <f t="array" ref="A389">SUMIFS(D!G1:G7,D!G1:G7,"")</f>
        <v>0</v>
      </c>
      <c r="B389">
        <f t="shared" si="18"/>
        <v>0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SUMIFS(D!G1:G7,D!G1:G7,FALSE)</f>
        <v>0</v>
      </c>
      <c r="B390">
        <f t="shared" si="18"/>
        <v>0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SUMPRODUCT(,D!C1:C8)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SUMPRODUCT(0,D!C1:C8)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SUMPRODUCT("",D!C1:C8)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SUMPRODUCT(FALSE,D!C1:C8)</f>
        <v>#VALUE!</v>
      </c>
      <c r="B394">
        <f t="shared" si="18"/>
        <v>3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SUMPRODUCT(D!B1:B8,)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SUMPRODUCT(D!B1:B8,0)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SUMPRODUCT(D!B1:B8,"")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SUMPRODUCT(D!B1:B8,FALSE)</f>
        <v>#VALUE!</v>
      </c>
      <c r="B398">
        <f t="shared" si="18"/>
        <v>3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SUMPRODUCT(D!B1:B8,D!C1:C8)</f>
        <v>2791.75</v>
      </c>
      <c r="B399">
        <f t="shared" si="18"/>
        <v>0</v>
      </c>
      <c r="C399">
        <f t="shared" si="19"/>
        <v>2791.75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SUMPRODUCT(D!B1:B8,D!C1:C8,)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2026-10-07T05:16:20Z</dcterms:created>
  <dcterms:modified xsi:type="dcterms:W3CDTF">2026-10-07T05:16:21Z</dcterms:modified>
  <cp:category/>
</cp:coreProperties>
</file>