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D799CCD0-FE8D-A94F-B1B5-F72D1E48A0C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5" i="2" l="1" a="1"/>
  <c r="A55" i="2" s="1"/>
  <c r="A54" i="2" a="1"/>
  <c r="A54" i="2" s="1"/>
  <c r="A53" i="2" a="1"/>
  <c r="A53" i="2" s="1"/>
  <c r="D53" i="2" s="1"/>
  <c r="A52" i="2" a="1"/>
  <c r="A52" i="2" s="1"/>
  <c r="A50" i="2" a="1"/>
  <c r="A50" i="2" s="1"/>
  <c r="A49" i="2" a="1"/>
  <c r="A49" i="2"/>
  <c r="D49" i="2" s="1"/>
  <c r="A48" i="2" a="1"/>
  <c r="A48" i="2"/>
  <c r="C48" i="2" s="1"/>
  <c r="A47" i="2" a="1"/>
  <c r="A47" i="2"/>
  <c r="C47" i="2" s="1"/>
  <c r="A46" i="2" a="1"/>
  <c r="A46" i="2" s="1"/>
  <c r="A45" i="2" a="1"/>
  <c r="A45" i="2" s="1"/>
  <c r="A44" i="2" a="1"/>
  <c r="A44" i="2" s="1"/>
  <c r="D44" i="2" s="1"/>
  <c r="A43" i="2" a="1"/>
  <c r="A43" i="2" s="1"/>
  <c r="D43" i="2" s="1"/>
  <c r="A42" i="2" a="1"/>
  <c r="A42" i="2" s="1"/>
  <c r="A41" i="2" a="1"/>
  <c r="A41" i="2" s="1"/>
  <c r="A40" i="2" a="1"/>
  <c r="A40" i="2" s="1"/>
  <c r="A39" i="2" a="1"/>
  <c r="A39" i="2"/>
  <c r="C39" i="2" s="1"/>
  <c r="A38" i="2" a="1"/>
  <c r="A38" i="2" s="1"/>
  <c r="C38" i="2" s="1"/>
  <c r="A37" i="2" a="1"/>
  <c r="A37" i="2" s="1"/>
  <c r="A36" i="2" a="1"/>
  <c r="A36" i="2" s="1"/>
  <c r="A35" i="2" a="1"/>
  <c r="A35" i="2"/>
  <c r="D35" i="2" s="1"/>
  <c r="A34" i="2" a="1"/>
  <c r="A34" i="2" s="1"/>
  <c r="A33" i="2" a="1"/>
  <c r="A33" i="2" s="1"/>
  <c r="C33" i="2" s="1"/>
  <c r="A32" i="2" a="1"/>
  <c r="A32" i="2" s="1"/>
  <c r="B32" i="2" s="1"/>
  <c r="A31" i="2" a="1"/>
  <c r="A31" i="2"/>
  <c r="D31" i="2" s="1"/>
  <c r="A30" i="2" a="1"/>
  <c r="A30" i="2"/>
  <c r="C30" i="2" s="1"/>
  <c r="A29" i="2" a="1"/>
  <c r="A29" i="2"/>
  <c r="C29" i="2" s="1"/>
  <c r="A28" i="2" a="1"/>
  <c r="A28" i="2" s="1"/>
  <c r="A27" i="2" a="1"/>
  <c r="A27" i="2" s="1"/>
  <c r="A26" i="2" a="1"/>
  <c r="A26" i="2" s="1"/>
  <c r="D26" i="2" s="1"/>
  <c r="A25" i="2" a="1"/>
  <c r="A25" i="2" s="1"/>
  <c r="D25" i="2" s="1"/>
  <c r="A24" i="2" a="1"/>
  <c r="A24" i="2" s="1"/>
  <c r="A23" i="2" a="1"/>
  <c r="A23" i="2" s="1"/>
  <c r="A22" i="2" a="1"/>
  <c r="A22" i="2"/>
  <c r="B22" i="2" s="1"/>
  <c r="A21" i="2" a="1"/>
  <c r="A21" i="2"/>
  <c r="D21" i="2" s="1"/>
  <c r="A20" i="2" a="1"/>
  <c r="A20" i="2"/>
  <c r="C20" i="2" s="1"/>
  <c r="A19" i="2" a="1"/>
  <c r="A19" i="2" s="1"/>
  <c r="A18" i="2" a="1"/>
  <c r="A18" i="2"/>
  <c r="D18" i="2" s="1"/>
  <c r="A17" i="2" a="1"/>
  <c r="A17" i="2"/>
  <c r="B17" i="2" s="1"/>
  <c r="A16" i="2" a="1"/>
  <c r="A16" i="2"/>
  <c r="D16" i="2" s="1"/>
  <c r="A15" i="2" a="1"/>
  <c r="A15" i="2"/>
  <c r="C15" i="2" s="1"/>
  <c r="A14" i="2" a="1"/>
  <c r="A14" i="2"/>
  <c r="B14" i="2" s="1"/>
  <c r="A13" i="2" a="1"/>
  <c r="A13" i="2"/>
  <c r="D13" i="2" s="1"/>
  <c r="A12" i="2" a="1"/>
  <c r="A12" i="2" s="1"/>
  <c r="A11" i="2" a="1"/>
  <c r="A11" i="2"/>
  <c r="C11" i="2" s="1"/>
  <c r="A10" i="2" a="1"/>
  <c r="A10" i="2" s="1"/>
  <c r="A9" i="2" a="1"/>
  <c r="A9" i="2" s="1"/>
  <c r="A8" i="2" a="1"/>
  <c r="A8" i="2" s="1"/>
  <c r="A7" i="2" a="1"/>
  <c r="A7" i="2" s="1"/>
  <c r="C7" i="2" s="1"/>
  <c r="A6" i="2" a="1"/>
  <c r="A6" i="2" s="1"/>
  <c r="A5" i="2" a="1"/>
  <c r="A5" i="2" s="1"/>
  <c r="A4" i="2" a="1"/>
  <c r="A4" i="2"/>
  <c r="B4" i="2" s="1"/>
  <c r="A3" i="2" a="1"/>
  <c r="A3" i="2"/>
  <c r="C3" i="2" s="1"/>
  <c r="A2" i="2" a="1"/>
  <c r="A2" i="2"/>
  <c r="C2" i="2" s="1"/>
  <c r="A1" i="2" a="1"/>
  <c r="A1" i="2"/>
  <c r="D1" i="2" s="1"/>
  <c r="I15" i="1"/>
  <c r="A14" i="1"/>
  <c r="A13" i="1"/>
  <c r="AL10" i="1"/>
  <c r="A8" i="1"/>
  <c r="A7" i="1"/>
  <c r="E3" i="1"/>
  <c r="A51" i="2" a="1"/>
  <c r="D36" i="2" l="1"/>
  <c r="C36" i="2"/>
  <c r="C34" i="2"/>
  <c r="D34" i="2"/>
  <c r="B34" i="2"/>
  <c r="C12" i="2"/>
  <c r="D12" i="2"/>
  <c r="C16" i="2"/>
  <c r="D48" i="2"/>
  <c r="B16" i="2"/>
  <c r="D30" i="2"/>
  <c r="A51" i="2"/>
  <c r="D45" i="2"/>
  <c r="C45" i="2"/>
  <c r="B45" i="2"/>
  <c r="D27" i="2"/>
  <c r="B27" i="2"/>
  <c r="C27" i="2"/>
  <c r="D9" i="2"/>
  <c r="B9" i="2"/>
  <c r="C9" i="2"/>
  <c r="B40" i="2"/>
  <c r="D40" i="2"/>
  <c r="C40" i="2"/>
  <c r="D37" i="2"/>
  <c r="C37" i="2"/>
  <c r="B37" i="2"/>
  <c r="B41" i="2"/>
  <c r="C41" i="2"/>
  <c r="D41" i="2"/>
  <c r="B5" i="2"/>
  <c r="C5" i="2"/>
  <c r="D5" i="2"/>
  <c r="D8" i="2"/>
  <c r="B8" i="2"/>
  <c r="C8" i="2"/>
  <c r="D19" i="2"/>
  <c r="C19" i="2"/>
  <c r="B19" i="2"/>
  <c r="B52" i="2"/>
  <c r="D52" i="2"/>
  <c r="C52" i="2"/>
  <c r="B23" i="2"/>
  <c r="D23" i="2"/>
  <c r="C23" i="2"/>
  <c r="D42" i="2"/>
  <c r="C42" i="2"/>
  <c r="B42" i="2"/>
  <c r="D54" i="2"/>
  <c r="C54" i="2"/>
  <c r="B54" i="2"/>
  <c r="C6" i="2"/>
  <c r="D6" i="2"/>
  <c r="B6" i="2"/>
  <c r="D46" i="2"/>
  <c r="C46" i="2"/>
  <c r="B46" i="2"/>
  <c r="D28" i="2"/>
  <c r="C28" i="2"/>
  <c r="B28" i="2"/>
  <c r="D10" i="2"/>
  <c r="C10" i="2"/>
  <c r="B10" i="2"/>
  <c r="B50" i="2"/>
  <c r="D50" i="2"/>
  <c r="C50" i="2"/>
  <c r="C24" i="2"/>
  <c r="D24" i="2"/>
  <c r="B24" i="2"/>
  <c r="D55" i="2"/>
  <c r="C55" i="2"/>
  <c r="B55" i="2"/>
  <c r="B2" i="2"/>
  <c r="B20" i="2"/>
  <c r="B38" i="2"/>
  <c r="B31" i="2"/>
  <c r="D2" i="2"/>
  <c r="C13" i="2"/>
  <c r="D20" i="2"/>
  <c r="C31" i="2"/>
  <c r="D38" i="2"/>
  <c r="C49" i="2"/>
  <c r="B53" i="2"/>
  <c r="C53" i="2"/>
  <c r="B49" i="2"/>
  <c r="C17" i="2"/>
  <c r="C35" i="2"/>
  <c r="D17" i="2"/>
  <c r="B21" i="2"/>
  <c r="B39" i="2"/>
  <c r="C21" i="2"/>
  <c r="B13" i="2"/>
  <c r="B35" i="2"/>
  <c r="B3" i="2"/>
  <c r="D3" i="2"/>
  <c r="B7" i="2"/>
  <c r="C14" i="2"/>
  <c r="B25" i="2"/>
  <c r="C32" i="2"/>
  <c r="D39" i="2"/>
  <c r="C25" i="2"/>
  <c r="D7" i="2"/>
  <c r="B11" i="2"/>
  <c r="C18" i="2"/>
  <c r="D11" i="2"/>
  <c r="B15" i="2"/>
  <c r="C22" i="2"/>
  <c r="D29" i="2"/>
  <c r="B33" i="2"/>
  <c r="D47" i="2"/>
  <c r="B44" i="2"/>
  <c r="D14" i="2"/>
  <c r="B18" i="2"/>
  <c r="D32" i="2"/>
  <c r="B36" i="2"/>
  <c r="C43" i="2"/>
  <c r="B29" i="2"/>
  <c r="D22" i="2"/>
  <c r="B1" i="2"/>
  <c r="D15" i="2"/>
  <c r="C26" i="2"/>
  <c r="D33" i="2"/>
  <c r="C44" i="2"/>
  <c r="B43" i="2"/>
  <c r="B47" i="2"/>
  <c r="C4" i="2"/>
  <c r="D4" i="2"/>
  <c r="B26" i="2"/>
  <c r="C1" i="2"/>
  <c r="B30" i="2"/>
  <c r="B48" i="2"/>
  <c r="B12" i="2"/>
  <c r="D51" i="2" l="1"/>
  <c r="C51" i="2"/>
  <c r="B5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<sst xmlns="http://schemas.openxmlformats.org/spreadsheetml/2006/main" count="114" uniqueCount="91">
  <si>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</si>
  <si>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</si>
  <si>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</si>
  <si>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</si>
  <si>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</si>
  <si>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</si>
  <si>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</si>
  <si>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</si>
  <si>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</si>
  <si>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</si>
  <si>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</si>
  <si>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</si>
  <si>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</si>
  <si>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</si>
  <si>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</si>
  <si>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</si>
  <si>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</si>
  <si>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</si>
  <si>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</si>
  <si>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</si>
  <si>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</si>
  <si>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</si>
  <si>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</si>
  <si>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</si>
  <si>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</si>
  <si>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</si>
  <si>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</si>
  <si>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</si>
  <si>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</si>
  <si>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</si>
  <si>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</si>
  <si>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</si>
  <si>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</si>
  <si>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</si>
  <si>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</si>
  <si>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held#1</t>
  </si>
  <si>
    <t>held#2</t>
  </si>
  <si>
    <t>held#3</t>
  </si>
  <si>
    <t>held#4</t>
  </si>
  <si>
    <t>held#5</t>
  </si>
  <si>
    <t>held#6</t>
  </si>
  <si>
    <t>held#7</t>
  </si>
  <si>
    <t>held#8</t>
  </si>
  <si>
    <t>held#9</t>
  </si>
  <si>
    <t>held#10</t>
  </si>
  <si>
    <t>held#11</t>
  </si>
  <si>
    <t>held#12</t>
  </si>
  <si>
    <t>held#13</t>
  </si>
  <si>
    <t>held#14</t>
  </si>
  <si>
    <t>held#15</t>
  </si>
  <si>
    <t>held#16</t>
  </si>
  <si>
    <t>held#17</t>
  </si>
  <si>
    <t>held#18</t>
  </si>
  <si>
    <t>held#19</t>
  </si>
  <si>
    <t>held#20</t>
  </si>
  <si>
    <t>held#21</t>
  </si>
  <si>
    <t>held#22</t>
  </si>
  <si>
    <t>held#23</t>
  </si>
  <si>
    <t>held#24</t>
  </si>
  <si>
    <t>held#25</t>
  </si>
  <si>
    <t>held#26</t>
  </si>
  <si>
    <t>held#27</t>
  </si>
  <si>
    <t>held#28</t>
  </si>
  <si>
    <t>held#29</t>
  </si>
  <si>
    <t>held#30</t>
  </si>
  <si>
    <t>held#31</t>
  </si>
  <si>
    <t>held#32</t>
  </si>
  <si>
    <t>held#33</t>
  </si>
  <si>
    <t>held#34</t>
  </si>
  <si>
    <t>held#35</t>
  </si>
  <si>
    <t>held#36</t>
  </si>
  <si>
    <t>held#37</t>
  </si>
  <si>
    <t>held#38</t>
  </si>
  <si>
    <t>held#39</t>
  </si>
  <si>
    <t>held#40</t>
  </si>
  <si>
    <t>held#41</t>
  </si>
  <si>
    <t>held#42</t>
  </si>
  <si>
    <t>held#43</t>
  </si>
  <si>
    <t>held#44</t>
  </si>
  <si>
    <t>held#45</t>
  </si>
  <si>
    <t>held#46</t>
  </si>
  <si>
    <t>held#47</t>
  </si>
  <si>
    <t>held#48</t>
  </si>
  <si>
    <t>held#49</t>
  </si>
  <si>
    <t>held#50</t>
  </si>
  <si>
    <t>held#51</t>
  </si>
  <si>
    <t>held#52</t>
  </si>
  <si>
    <t>held#53</t>
  </si>
  <si>
    <t>held#60</t>
  </si>
  <si>
    <t>held#61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</si>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</sst>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6"/>
  <sheetViews>
    <sheetView workbookViewId="0"/>
  </sheetViews>
  <sheetFormatPr baseColWidth="10" defaultColWidth="8.83203125" defaultRowHeight="15" x14ac:dyDescent="0.2"/>
  <sheetData>
    <row r="1" spans="1:5" x14ac:dyDescent="0.2">
      <c r="A1" t="e" cm="1">
        <f t="array" aca="1" ref="A1" ca="1">RANDBETWEEN(,0)</f>
        <v>#N/A</v>
      </c>
      <c r="B1">
        <f t="shared" ref="B1:B32" ca="1" si="0">IF(ISERROR(A1),ERROR.TYPE(A1),IF(ISNUMBER(A1),0,IF(ISLOGICAL(A1),IF(A1,-1,-2),IF(ISTEXT(A1),-3,-4))))</f>
        <v>7</v>
      </c>
      <c r="C1">
        <f t="shared" ref="C1:C32" ca="1" si="1">IF(ISNUMBER(A1),A1,0)</f>
        <v>0</v>
      </c>
      <c r="D1" t="str">
        <f t="shared" ref="D1:D32" ca="1" si="2">IF(ISTEXT(A1),A1,"")</f>
        <v/>
      </c>
      <c r="E1" t="s">
        <v>35</v>
      </c>
    </row>
    <row r="2" spans="1:5" x14ac:dyDescent="0.2">
      <c r="A2" cm="1">
        <f t="array" ref="A2">ISO.CEILING(,2)</f>
        <v>0</v>
      </c>
      <c r="B2">
        <f t="shared" si="0"/>
        <v>0</v>
      </c>
      <c r="C2">
        <f t="shared" si="1"/>
        <v>0</v>
      </c>
      <c r="D2" t="str">
        <f t="shared" si="2"/>
        <v/>
      </c>
      <c r="E2" t="s">
        <v>36</v>
      </c>
    </row>
    <row r="3" spans="1:5" x14ac:dyDescent="0.2">
      <c r="A3" t="e" cm="1">
        <f t="array" ref="A3">CONVERT(,"m","km")</f>
        <v>#N/A</v>
      </c>
      <c r="B3">
        <f t="shared" si="0"/>
        <v>7</v>
      </c>
      <c r="C3">
        <f t="shared" si="1"/>
        <v>0</v>
      </c>
      <c r="D3" t="str">
        <f t="shared" si="2"/>
        <v/>
      </c>
      <c r="E3" t="s">
        <v>37</v>
      </c>
    </row>
    <row r="4" spans="1:5" x14ac:dyDescent="0.2">
      <c r="A4" t="e" cm="1">
        <f t="array" ref="A4">EOMONTH(45688,)</f>
        <v>#N/A</v>
      </c>
      <c r="B4">
        <f t="shared" si="0"/>
        <v>7</v>
      </c>
      <c r="C4">
        <f t="shared" si="1"/>
        <v>0</v>
      </c>
      <c r="D4" t="str">
        <f t="shared" si="2"/>
        <v/>
      </c>
      <c r="E4" t="s">
        <v>38</v>
      </c>
    </row>
    <row r="5" spans="1:5" x14ac:dyDescent="0.2">
      <c r="A5" t="e" cm="1">
        <f t="array" ref="A5">DOLLARDE(1.02,)</f>
        <v>#N/A</v>
      </c>
      <c r="B5">
        <f t="shared" si="0"/>
        <v>7</v>
      </c>
      <c r="C5">
        <f t="shared" si="1"/>
        <v>0</v>
      </c>
      <c r="D5" t="str">
        <f t="shared" si="2"/>
        <v/>
      </c>
      <c r="E5" t="s">
        <v>39</v>
      </c>
    </row>
    <row r="6" spans="1:5" x14ac:dyDescent="0.2">
      <c r="A6" t="e" cm="1">
        <f t="array" ref="A6">GCD(,4)</f>
        <v>#N/A</v>
      </c>
      <c r="B6">
        <f t="shared" si="0"/>
        <v>7</v>
      </c>
      <c r="C6">
        <f t="shared" si="1"/>
        <v>0</v>
      </c>
      <c r="D6" t="str">
        <f t="shared" si="2"/>
        <v/>
      </c>
      <c r="E6" t="s">
        <v>40</v>
      </c>
    </row>
    <row r="7" spans="1:5" x14ac:dyDescent="0.2">
      <c r="A7" cm="1">
        <f t="array" ref="A7">LCM(6,,4)</f>
        <v>12</v>
      </c>
      <c r="B7">
        <f t="shared" si="0"/>
        <v>0</v>
      </c>
      <c r="C7">
        <f t="shared" si="1"/>
        <v>12</v>
      </c>
      <c r="D7" t="str">
        <f t="shared" si="2"/>
        <v/>
      </c>
      <c r="E7" t="s">
        <v>41</v>
      </c>
    </row>
    <row r="8" spans="1:5" x14ac:dyDescent="0.2">
      <c r="A8" t="str" cm="1">
        <f t="array" ref="A8">IMSUM("1+i",,"2")</f>
        <v>3+i</v>
      </c>
      <c r="B8">
        <f t="shared" si="0"/>
        <v>-3</v>
      </c>
      <c r="C8">
        <f t="shared" si="1"/>
        <v>0</v>
      </c>
      <c r="D8" t="str">
        <f t="shared" si="2"/>
        <v>3+i</v>
      </c>
      <c r="E8" t="s">
        <v>42</v>
      </c>
    </row>
    <row r="9" spans="1:5" x14ac:dyDescent="0.2">
      <c r="A9" t="e" cm="1">
        <f t="array" ref="A9">WORKDAY(DATE(2025,1,1),,D!AP1:AP8)</f>
        <v>#N/A</v>
      </c>
      <c r="B9">
        <f t="shared" si="0"/>
        <v>7</v>
      </c>
      <c r="C9">
        <f t="shared" si="1"/>
        <v>0</v>
      </c>
      <c r="D9" t="str">
        <f t="shared" si="2"/>
        <v/>
      </c>
      <c r="E9" t="s">
        <v>43</v>
      </c>
    </row>
    <row r="10" spans="1:5" x14ac:dyDescent="0.2">
      <c r="A10" cm="1">
        <f t="array" ref="A10">YEARFRAC(45658,45688,)</f>
        <v>8.3333333333333329E-2</v>
      </c>
      <c r="B10">
        <f t="shared" si="0"/>
        <v>0</v>
      </c>
      <c r="C10">
        <f t="shared" si="1"/>
        <v>8.3333333333333329E-2</v>
      </c>
      <c r="D10" t="str">
        <f t="shared" si="2"/>
        <v/>
      </c>
      <c r="E10" t="s">
        <v>44</v>
      </c>
    </row>
    <row r="11" spans="1:5" x14ac:dyDescent="0.2">
      <c r="A11" cm="1">
        <f t="array" ref="A11">COUNT(,,)</f>
        <v>3</v>
      </c>
      <c r="B11">
        <f t="shared" si="0"/>
        <v>0</v>
      </c>
      <c r="C11">
        <f t="shared" si="1"/>
        <v>3</v>
      </c>
      <c r="D11" t="str">
        <f t="shared" si="2"/>
        <v/>
      </c>
      <c r="E11" t="s">
        <v>45</v>
      </c>
    </row>
    <row r="12" spans="1:5" x14ac:dyDescent="0.2">
      <c r="A12" cm="1">
        <f t="array" ref="A12">COUNTA(,,,)</f>
        <v>4</v>
      </c>
      <c r="B12">
        <f t="shared" si="0"/>
        <v>0</v>
      </c>
      <c r="C12">
        <f t="shared" si="1"/>
        <v>4</v>
      </c>
      <c r="D12" t="str">
        <f t="shared" si="2"/>
        <v/>
      </c>
      <c r="E12" t="s">
        <v>46</v>
      </c>
    </row>
    <row r="13" spans="1:5" x14ac:dyDescent="0.2">
      <c r="A13" t="b" cm="1">
        <f t="array" ref="A13">AND(,TRUE)</f>
        <v>0</v>
      </c>
      <c r="B13">
        <f t="shared" si="0"/>
        <v>-2</v>
      </c>
      <c r="C13">
        <f t="shared" si="1"/>
        <v>0</v>
      </c>
      <c r="D13" t="str">
        <f t="shared" si="2"/>
        <v/>
      </c>
      <c r="E13" t="s">
        <v>47</v>
      </c>
    </row>
    <row r="14" spans="1:5" x14ac:dyDescent="0.2">
      <c r="A14" t="str" cm="1">
        <f t="array" ref="A14">_xlfn.CONCAT(,,"x")</f>
        <v>x</v>
      </c>
      <c r="B14">
        <f t="shared" si="0"/>
        <v>-3</v>
      </c>
      <c r="C14">
        <f t="shared" si="1"/>
        <v>0</v>
      </c>
      <c r="D14" t="str">
        <f t="shared" si="2"/>
        <v>x</v>
      </c>
      <c r="E14" t="s">
        <v>48</v>
      </c>
    </row>
    <row r="15" spans="1:5" x14ac:dyDescent="0.2">
      <c r="A15" cm="1">
        <f t="array" ref="A15">SUM(,,5)</f>
        <v>5</v>
      </c>
      <c r="B15">
        <f t="shared" si="0"/>
        <v>0</v>
      </c>
      <c r="C15">
        <f t="shared" si="1"/>
        <v>5</v>
      </c>
      <c r="D15" t="str">
        <f t="shared" si="2"/>
        <v/>
      </c>
      <c r="E15" t="s">
        <v>49</v>
      </c>
    </row>
    <row r="16" spans="1:5" x14ac:dyDescent="0.2">
      <c r="A16" cm="1">
        <f t="array" ref="A16">AVERAGE(,,6)</f>
        <v>2</v>
      </c>
      <c r="B16">
        <f t="shared" si="0"/>
        <v>0</v>
      </c>
      <c r="C16">
        <f t="shared" si="1"/>
        <v>2</v>
      </c>
      <c r="D16" t="str">
        <f t="shared" si="2"/>
        <v/>
      </c>
      <c r="E16" t="s">
        <v>50</v>
      </c>
    </row>
    <row r="17" spans="1:5" x14ac:dyDescent="0.2">
      <c r="A17" cm="1">
        <f t="array" ref="A17">MAX(,,-5)</f>
        <v>0</v>
      </c>
      <c r="B17">
        <f t="shared" si="0"/>
        <v>0</v>
      </c>
      <c r="C17">
        <f t="shared" si="1"/>
        <v>0</v>
      </c>
      <c r="D17" t="str">
        <f t="shared" si="2"/>
        <v/>
      </c>
      <c r="E17" t="s">
        <v>51</v>
      </c>
    </row>
    <row r="18" spans="1:5" x14ac:dyDescent="0.2">
      <c r="A18" cm="1">
        <f t="array" ref="A18">STDEV(,,4)</f>
        <v>2.3094010767585034</v>
      </c>
      <c r="B18">
        <f t="shared" si="0"/>
        <v>0</v>
      </c>
      <c r="C18">
        <f t="shared" si="1"/>
        <v>2.3094010767585034</v>
      </c>
      <c r="D18" t="str">
        <f t="shared" si="2"/>
        <v/>
      </c>
      <c r="E18" t="s">
        <v>52</v>
      </c>
    </row>
    <row r="19" spans="1:5" x14ac:dyDescent="0.2">
      <c r="A19" cm="1">
        <f t="array" ref="A19">NPV(0.1,,100)</f>
        <v>82.644628099173545</v>
      </c>
      <c r="B19">
        <f t="shared" si="0"/>
        <v>0</v>
      </c>
      <c r="C19">
        <f t="shared" si="1"/>
        <v>82.644628099173545</v>
      </c>
      <c r="D19" t="str">
        <f t="shared" si="2"/>
        <v/>
      </c>
      <c r="E19" t="s">
        <v>53</v>
      </c>
    </row>
    <row r="20" spans="1:5" x14ac:dyDescent="0.2">
      <c r="A20" cm="1">
        <f t="array" ref="A20">IF(,,)</f>
        <v>0</v>
      </c>
      <c r="B20">
        <f t="shared" si="0"/>
        <v>0</v>
      </c>
      <c r="C20">
        <f t="shared" si="1"/>
        <v>0</v>
      </c>
      <c r="D20" t="str">
        <f t="shared" si="2"/>
        <v/>
      </c>
      <c r="E20" t="s">
        <v>54</v>
      </c>
    </row>
    <row r="21" spans="1:5" x14ac:dyDescent="0.2">
      <c r="A21" cm="1">
        <f t="array" ref="A21">IFERROR(,)</f>
        <v>0</v>
      </c>
      <c r="B21">
        <f t="shared" si="0"/>
        <v>0</v>
      </c>
      <c r="C21">
        <f t="shared" si="1"/>
        <v>0</v>
      </c>
      <c r="D21" t="str">
        <f t="shared" si="2"/>
        <v/>
      </c>
      <c r="E21" t="s">
        <v>55</v>
      </c>
    </row>
    <row r="22" spans="1:5" x14ac:dyDescent="0.2">
      <c r="A22" t="e" cm="1">
        <f t="array" ref="A22">_xlfn.IFS(FALSE,1,,2)</f>
        <v>#N/A</v>
      </c>
      <c r="B22">
        <f t="shared" si="0"/>
        <v>7</v>
      </c>
      <c r="C22">
        <f t="shared" si="1"/>
        <v>0</v>
      </c>
      <c r="D22" t="str">
        <f t="shared" si="2"/>
        <v/>
      </c>
      <c r="E22" t="s">
        <v>56</v>
      </c>
    </row>
    <row r="23" spans="1:5" x14ac:dyDescent="0.2">
      <c r="A23" t="e" cm="1">
        <f t="array" ref="A23">_xlfn.SWITCH(1,,"a")</f>
        <v>#N/A</v>
      </c>
      <c r="B23">
        <f t="shared" si="0"/>
        <v>7</v>
      </c>
      <c r="C23">
        <f t="shared" si="1"/>
        <v>0</v>
      </c>
      <c r="D23" t="str">
        <f t="shared" si="2"/>
        <v/>
      </c>
      <c r="E23" t="s">
        <v>57</v>
      </c>
    </row>
    <row r="24" spans="1:5" x14ac:dyDescent="0.2">
      <c r="A24" cm="1">
        <f t="array" ref="A24">CHOOSE(3,1,2,)</f>
        <v>0</v>
      </c>
      <c r="B24">
        <f t="shared" si="0"/>
        <v>0</v>
      </c>
      <c r="C24">
        <f t="shared" si="1"/>
        <v>0</v>
      </c>
      <c r="D24" t="str">
        <f t="shared" si="2"/>
        <v/>
      </c>
      <c r="E24" t="s">
        <v>58</v>
      </c>
    </row>
    <row r="25" spans="1:5" x14ac:dyDescent="0.2">
      <c r="A25" cm="1">
        <f t="array" ref="A25">SUM(IF({1,0},,5))</f>
        <v>5</v>
      </c>
      <c r="B25">
        <f t="shared" si="0"/>
        <v>0</v>
      </c>
      <c r="C25">
        <f t="shared" si="1"/>
        <v>5</v>
      </c>
      <c r="D25" t="str">
        <f t="shared" si="2"/>
        <v/>
      </c>
      <c r="E25" t="s">
        <v>59</v>
      </c>
    </row>
    <row r="26" spans="1:5" x14ac:dyDescent="0.2">
      <c r="A26" cm="1">
        <f t="array" ref="A26">COUNT(IF(TRUE,))</f>
        <v>1</v>
      </c>
      <c r="B26">
        <f t="shared" si="0"/>
        <v>0</v>
      </c>
      <c r="C26">
        <f t="shared" si="1"/>
        <v>1</v>
      </c>
      <c r="D26" t="str">
        <f t="shared" si="2"/>
        <v/>
      </c>
      <c r="E26" t="s">
        <v>60</v>
      </c>
    </row>
    <row r="27" spans="1:5" x14ac:dyDescent="0.2">
      <c r="A27" cm="1">
        <f t="array" ref="A27">COUNTA(IF(TRUE,))</f>
        <v>1</v>
      </c>
      <c r="B27">
        <f t="shared" si="0"/>
        <v>0</v>
      </c>
      <c r="C27">
        <f t="shared" si="1"/>
        <v>1</v>
      </c>
      <c r="D27" t="str">
        <f t="shared" si="2"/>
        <v/>
      </c>
      <c r="E27" t="s">
        <v>61</v>
      </c>
    </row>
    <row r="28" spans="1:5" x14ac:dyDescent="0.2">
      <c r="A28" t="e" cm="1">
        <f t="array" ref="A28">PEARSON(,)</f>
        <v>#VALUE!</v>
      </c>
      <c r="B28">
        <f t="shared" si="0"/>
        <v>3</v>
      </c>
      <c r="C28">
        <f t="shared" si="1"/>
        <v>0</v>
      </c>
      <c r="D28" t="str">
        <f t="shared" si="2"/>
        <v/>
      </c>
      <c r="E28" t="s">
        <v>62</v>
      </c>
    </row>
    <row r="29" spans="1:5" x14ac:dyDescent="0.2">
      <c r="A29" t="e" cm="1">
        <f t="array" ref="A29">INDEX(,1)</f>
        <v>#VALUE!</v>
      </c>
      <c r="B29">
        <f t="shared" si="0"/>
        <v>3</v>
      </c>
      <c r="C29">
        <f t="shared" si="1"/>
        <v>0</v>
      </c>
      <c r="D29" t="str">
        <f t="shared" si="2"/>
        <v/>
      </c>
      <c r="E29" t="s">
        <v>63</v>
      </c>
    </row>
    <row r="30" spans="1:5" x14ac:dyDescent="0.2">
      <c r="A30" t="e" cm="1">
        <f t="array" ref="A30">SUMPRODUCT(D!B1:B2,,)</f>
        <v>#VALUE!</v>
      </c>
      <c r="B30">
        <f t="shared" si="0"/>
        <v>3</v>
      </c>
      <c r="C30">
        <f t="shared" si="1"/>
        <v>0</v>
      </c>
      <c r="D30" t="str">
        <f t="shared" si="2"/>
        <v/>
      </c>
      <c r="E30" t="s">
        <v>64</v>
      </c>
    </row>
    <row r="31" spans="1:5" x14ac:dyDescent="0.2">
      <c r="A31" t="e" cm="1">
        <f t="array" ref="A31">_xlfn.HSTACK(1,)</f>
        <v>#VALUE!</v>
      </c>
      <c r="B31">
        <f t="shared" si="0"/>
        <v>3</v>
      </c>
      <c r="C31">
        <f t="shared" si="1"/>
        <v>0</v>
      </c>
      <c r="D31" t="str">
        <f t="shared" si="2"/>
        <v/>
      </c>
      <c r="E31" t="s">
        <v>65</v>
      </c>
    </row>
    <row r="32" spans="1:5" x14ac:dyDescent="0.2">
      <c r="A32" t="str" cm="1">
        <f t="array" ref="A32">_xlfn.TEXTJOIN(,,"a","","b")</f>
        <v>ab</v>
      </c>
      <c r="B32">
        <f t="shared" si="0"/>
        <v>-3</v>
      </c>
      <c r="C32">
        <f t="shared" si="1"/>
        <v>0</v>
      </c>
      <c r="D32" t="str">
        <f t="shared" si="2"/>
        <v>ab</v>
      </c>
      <c r="E32" t="s">
        <v>66</v>
      </c>
    </row>
    <row r="33" spans="1:5" x14ac:dyDescent="0.2">
      <c r="A33" cm="1">
        <f t="array" ref="A33">PRODUCT(,3)</f>
        <v>3</v>
      </c>
      <c r="B33">
        <f t="shared" ref="B33:B64" si="3">IF(ISERROR(A33),ERROR.TYPE(A33),IF(ISNUMBER(A33),0,IF(ISLOGICAL(A33),IF(A33,-1,-2),IF(ISTEXT(A33),-3,-4))))</f>
        <v>0</v>
      </c>
      <c r="C33">
        <f t="shared" ref="C33:C55" si="4">IF(ISNUMBER(A33),A33,0)</f>
        <v>3</v>
      </c>
      <c r="D33" t="str">
        <f t="shared" ref="D33:D55" si="5">IF(ISTEXT(A33),A33,"")</f>
        <v/>
      </c>
      <c r="E33" t="s">
        <v>67</v>
      </c>
    </row>
    <row r="34" spans="1:5" x14ac:dyDescent="0.2">
      <c r="A34" cm="1">
        <f t="array" ref="A34">PRODUCT(,)</f>
        <v>0</v>
      </c>
      <c r="B34">
        <f t="shared" si="3"/>
        <v>0</v>
      </c>
      <c r="C34">
        <f t="shared" si="4"/>
        <v>0</v>
      </c>
      <c r="D34" t="str">
        <f t="shared" si="5"/>
        <v/>
      </c>
      <c r="E34" t="s">
        <v>68</v>
      </c>
    </row>
    <row r="35" spans="1:5" x14ac:dyDescent="0.2">
      <c r="A35" t="e" cm="1">
        <f t="array" ref="A35">_xlfn.TEXTBEFORE("abc","-",,,,)</f>
        <v>#N/A</v>
      </c>
      <c r="B35">
        <f t="shared" si="3"/>
        <v>7</v>
      </c>
      <c r="C35">
        <f t="shared" si="4"/>
        <v>0</v>
      </c>
      <c r="D35" t="str">
        <f t="shared" si="5"/>
        <v/>
      </c>
      <c r="E35" t="s">
        <v>69</v>
      </c>
    </row>
    <row r="36" spans="1:5" x14ac:dyDescent="0.2">
      <c r="A36" t="str" cm="1">
        <f t="array" ref="A36">_xlfn.ARRAYTOTEXT(_xlfn.TEXTSPLIT("a,b;c",",",";",,,),1)</f>
        <v>{"a","b";"c",}</v>
      </c>
      <c r="B36">
        <f t="shared" si="3"/>
        <v>-3</v>
      </c>
      <c r="C36">
        <f t="shared" si="4"/>
        <v>0</v>
      </c>
      <c r="D36" t="str">
        <f t="shared" si="5"/>
        <v>{"a","b";"c",}</v>
      </c>
      <c r="E36" t="s">
        <v>70</v>
      </c>
    </row>
    <row r="37" spans="1:5" x14ac:dyDescent="0.2">
      <c r="A37" t="str" cm="1">
        <f t="array" ref="A37">_xlfn.ARRAYTOTEXT(_xlfn.SORTBY(D!B1:B4,D!C1:C4,1,D!B1:B4,),1)</f>
        <v>{4;8;15;16}</v>
      </c>
      <c r="B37">
        <f t="shared" si="3"/>
        <v>-3</v>
      </c>
      <c r="C37">
        <f t="shared" si="4"/>
        <v>0</v>
      </c>
      <c r="D37" t="str">
        <f t="shared" si="5"/>
        <v>{4;8;15;16}</v>
      </c>
      <c r="E37" t="s">
        <v>71</v>
      </c>
    </row>
    <row r="38" spans="1:5" x14ac:dyDescent="0.2">
      <c r="A38" t="str" cm="1">
        <f t="array" aca="1" ref="A38" ca="1">_xlfn.ARRAYTOTEXT(_xlfn.RANDARRAY(1,2,1,,TRUE),1)</f>
        <v>{1,1}</v>
      </c>
      <c r="B38">
        <f t="shared" ca="1" si="3"/>
        <v>-3</v>
      </c>
      <c r="C38">
        <f t="shared" ca="1" si="4"/>
        <v>0</v>
      </c>
      <c r="D38" t="str">
        <f t="shared" ca="1" si="5"/>
        <v>{1,1}</v>
      </c>
      <c r="E38" t="s">
        <v>72</v>
      </c>
    </row>
    <row r="39" spans="1:5" x14ac:dyDescent="0.2">
      <c r="A39" t="str" cm="1">
        <f t="array" ref="A39">_xlfn.ARRAYTOTEXT(_xlfn.EXPAND({1,2},,,9),1)</f>
        <v>{1,2}</v>
      </c>
      <c r="B39">
        <f t="shared" si="3"/>
        <v>-3</v>
      </c>
      <c r="C39">
        <f t="shared" si="4"/>
        <v>0</v>
      </c>
      <c r="D39" t="str">
        <f t="shared" si="5"/>
        <v>{1,2}</v>
      </c>
      <c r="E39" t="s">
        <v>73</v>
      </c>
    </row>
    <row r="40" spans="1:5" x14ac:dyDescent="0.2">
      <c r="A40" t="str" cm="1">
        <f t="array" ref="A40">_xlfn.ARRAYTOTEXT(_xlfn.TAKE(D!B1:C4,,),1)</f>
        <v>{4,2;8,7;15,11;16,19}</v>
      </c>
      <c r="B40">
        <f t="shared" si="3"/>
        <v>-3</v>
      </c>
      <c r="C40">
        <f t="shared" si="4"/>
        <v>0</v>
      </c>
      <c r="D40" t="str">
        <f t="shared" si="5"/>
        <v>{4,2;8,7;15,11;16,19}</v>
      </c>
      <c r="E40" t="s">
        <v>74</v>
      </c>
    </row>
    <row r="41" spans="1:5" x14ac:dyDescent="0.2">
      <c r="A41" t="str" cm="1">
        <f t="array" ref="A41">_xlfn.ARRAYTOTEXT(_xlfn.SEQUENCE(,,,),1)</f>
        <v>{1}</v>
      </c>
      <c r="B41">
        <f t="shared" si="3"/>
        <v>-3</v>
      </c>
      <c r="C41">
        <f t="shared" si="4"/>
        <v>0</v>
      </c>
      <c r="D41" t="str">
        <f t="shared" si="5"/>
        <v>{1}</v>
      </c>
      <c r="E41" t="s">
        <v>75</v>
      </c>
    </row>
    <row r="42" spans="1:5" x14ac:dyDescent="0.2">
      <c r="A42" t="str" cm="1">
        <f t="array" ref="A42">_xlfn.XLOOKUP(5,D!L1:L6,D!M1:M6,,,)</f>
        <v>five</v>
      </c>
      <c r="B42">
        <f t="shared" si="3"/>
        <v>-3</v>
      </c>
      <c r="C42">
        <f t="shared" si="4"/>
        <v>0</v>
      </c>
      <c r="D42" t="str">
        <f t="shared" si="5"/>
        <v>five</v>
      </c>
      <c r="E42" t="s">
        <v>76</v>
      </c>
    </row>
    <row r="43" spans="1:5" x14ac:dyDescent="0.2">
      <c r="A43" cm="1">
        <f t="array" ref="A43">MATCH(8,D!L1:L6,)</f>
        <v>5</v>
      </c>
      <c r="B43">
        <f t="shared" si="3"/>
        <v>0</v>
      </c>
      <c r="C43">
        <f t="shared" si="4"/>
        <v>5</v>
      </c>
      <c r="D43" t="str">
        <f t="shared" si="5"/>
        <v/>
      </c>
      <c r="E43" t="s">
        <v>77</v>
      </c>
    </row>
    <row r="44" spans="1:5" x14ac:dyDescent="0.2">
      <c r="A44" cm="1">
        <f t="array" ref="A44">VLOOKUP(8,D!L1:N6,3,)</f>
        <v>80</v>
      </c>
      <c r="B44">
        <f t="shared" si="3"/>
        <v>0</v>
      </c>
      <c r="C44">
        <f t="shared" si="4"/>
        <v>80</v>
      </c>
      <c r="D44" t="str">
        <f t="shared" si="5"/>
        <v/>
      </c>
      <c r="E44" t="s">
        <v>78</v>
      </c>
    </row>
    <row r="45" spans="1:5" x14ac:dyDescent="0.2">
      <c r="A45" cm="1">
        <f t="array" ref="A45">ROUNDUP(1.21,)</f>
        <v>2</v>
      </c>
      <c r="B45">
        <f t="shared" si="3"/>
        <v>0</v>
      </c>
      <c r="C45">
        <f t="shared" si="4"/>
        <v>2</v>
      </c>
      <c r="D45" t="str">
        <f t="shared" si="5"/>
        <v/>
      </c>
      <c r="E45" t="s">
        <v>79</v>
      </c>
    </row>
    <row r="46" spans="1:5" x14ac:dyDescent="0.2">
      <c r="A46" cm="1">
        <f t="array" ref="A46">TRUNC(1.29,)</f>
        <v>1</v>
      </c>
      <c r="B46">
        <f t="shared" si="3"/>
        <v>0</v>
      </c>
      <c r="C46">
        <f t="shared" si="4"/>
        <v>1</v>
      </c>
      <c r="D46" t="str">
        <f t="shared" si="5"/>
        <v/>
      </c>
      <c r="E46" t="s">
        <v>80</v>
      </c>
    </row>
    <row r="47" spans="1:5" x14ac:dyDescent="0.2">
      <c r="A47" t="e" cm="1">
        <f t="array" ref="A47">MID("abcdef",,)</f>
        <v>#VALUE!</v>
      </c>
      <c r="B47">
        <f t="shared" si="3"/>
        <v>3</v>
      </c>
      <c r="C47">
        <f t="shared" si="4"/>
        <v>0</v>
      </c>
      <c r="D47" t="str">
        <f t="shared" si="5"/>
        <v/>
      </c>
      <c r="E47" t="s">
        <v>81</v>
      </c>
    </row>
    <row r="48" spans="1:5" x14ac:dyDescent="0.2">
      <c r="A48" t="e" cm="1">
        <f t="array" ref="A48">DATE(,,)</f>
        <v>#NUM!</v>
      </c>
      <c r="B48">
        <f t="shared" si="3"/>
        <v>6</v>
      </c>
      <c r="C48">
        <f t="shared" si="4"/>
        <v>0</v>
      </c>
      <c r="D48" t="str">
        <f t="shared" si="5"/>
        <v/>
      </c>
      <c r="E48" t="s">
        <v>82</v>
      </c>
    </row>
    <row r="49" spans="1:5" x14ac:dyDescent="0.2">
      <c r="A49" cm="1">
        <f t="array" ref="A49">_xlfn.CEILING.MATH(-2.5,,)</f>
        <v>-2</v>
      </c>
      <c r="B49">
        <f t="shared" si="3"/>
        <v>0</v>
      </c>
      <c r="C49">
        <f t="shared" si="4"/>
        <v>-2</v>
      </c>
      <c r="D49" t="str">
        <f t="shared" si="5"/>
        <v/>
      </c>
      <c r="E49" t="s">
        <v>83</v>
      </c>
    </row>
    <row r="50" spans="1:5" x14ac:dyDescent="0.2">
      <c r="A50" t="str" cm="1">
        <f t="array" ref="A50">FIXED(1234.567,,TRUE)</f>
        <v>1234.57</v>
      </c>
      <c r="B50">
        <f t="shared" si="3"/>
        <v>-3</v>
      </c>
      <c r="C50">
        <f t="shared" si="4"/>
        <v>0</v>
      </c>
      <c r="D50" t="str">
        <f t="shared" si="5"/>
        <v>1234.57</v>
      </c>
      <c r="E50" t="s">
        <v>84</v>
      </c>
    </row>
    <row r="51" spans="1:5" x14ac:dyDescent="0.2">
      <c r="A51" t="str" cm="1">
        <f t="array" ref="A51">ADDRESS(2,3,,,"S")</f>
        <v>S!$C$2</v>
      </c>
      <c r="B51">
        <f t="shared" si="3"/>
        <v>-3</v>
      </c>
      <c r="C51">
        <f t="shared" si="4"/>
        <v>0</v>
      </c>
      <c r="D51" t="str">
        <f t="shared" si="5"/>
        <v>S!$C$2</v>
      </c>
      <c r="E51" t="s">
        <v>85</v>
      </c>
    </row>
    <row r="52" spans="1:5" x14ac:dyDescent="0.2">
      <c r="A52" t="str" cm="1">
        <f t="array" ref="A52">TEXT(,)</f>
        <v/>
      </c>
      <c r="B52">
        <f t="shared" si="3"/>
        <v>-3</v>
      </c>
      <c r="C52">
        <f t="shared" si="4"/>
        <v>0</v>
      </c>
      <c r="D52" t="str">
        <f t="shared" si="5"/>
        <v/>
      </c>
      <c r="E52" t="s">
        <v>86</v>
      </c>
    </row>
    <row r="53" spans="1:5" x14ac:dyDescent="0.2">
      <c r="A53" t="str" cm="1">
        <f t="array" ref="A53">REPT(,)</f>
        <v/>
      </c>
      <c r="B53">
        <f t="shared" si="3"/>
        <v>-3</v>
      </c>
      <c r="C53">
        <f t="shared" si="4"/>
        <v>0</v>
      </c>
      <c r="D53" t="str">
        <f t="shared" si="5"/>
        <v/>
      </c>
      <c r="E53" t="s">
        <v>87</v>
      </c>
    </row>
    <row r="54" spans="1:5" x14ac:dyDescent="0.2">
      <c r="A54" t="e" cm="1">
        <f t="array" ref="A54">_xlfn.AGGREGATE(9,0,)</f>
        <v>#VALUE!</v>
      </c>
      <c r="B54">
        <f t="shared" si="3"/>
        <v>3</v>
      </c>
      <c r="C54">
        <f t="shared" si="4"/>
        <v>0</v>
      </c>
      <c r="D54" t="str">
        <f t="shared" si="5"/>
        <v/>
      </c>
      <c r="E54" t="s">
        <v>88</v>
      </c>
    </row>
    <row r="55" spans="1:5" x14ac:dyDescent="0.2">
      <c r="A55" t="e" cm="1">
        <f t="array" ref="A55">DSUM(D!U1:Y7,"Height",)</f>
        <v>#VALUE!</v>
      </c>
      <c r="B55">
        <f t="shared" si="3"/>
        <v>3</v>
      </c>
      <c r="C55">
        <f t="shared" si="4"/>
        <v>0</v>
      </c>
      <c r="D55" t="str">
        <f t="shared" si="5"/>
        <v/>
      </c>
      <c r="E55" t="s">
        <v>89</v>
      </c>
    </row>
    <row r="56" spans="1:5" x14ac:dyDescent="0.2">
      <c r="A56" t="s">
        <v>90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2026-10-07T05:16:25Z</dcterms:created>
  <dcterms:modified xsi:type="dcterms:W3CDTF">2026-10-07T05:16:26Z</dcterms:modified>
  <cp:category/>
</cp:coreProperties>
</file>