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A2AC72E6-FBF8-CA45-9030-74EA037E437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t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3" l="1" a="1"/>
  <c r="A12" i="3" s="1"/>
  <c r="A7" i="3" a="1"/>
  <c r="A7" i="3" s="1"/>
  <c r="A2" i="3" a="1"/>
  <c r="A2" i="3" s="1"/>
  <c r="A1" i="3" a="1"/>
  <c r="A1" i="3" s="1"/>
  <c r="I15" i="2"/>
  <c r="A14" i="2"/>
  <c r="A13" i="2"/>
  <c r="AL10" i="2"/>
  <c r="A8" i="2"/>
  <c r="A7" i="2"/>
  <c r="E3" i="2"/>
  <c r="E26" i="1"/>
  <c r="H25" i="1"/>
  <c r="G25" i="1"/>
  <c r="D25" i="1"/>
  <c r="A14" i="3" s="1" a="1"/>
  <c r="A14" i="3" s="1"/>
  <c r="B25" i="1"/>
  <c r="A9" i="3" s="1" a="1"/>
  <c r="A9" i="3" s="1"/>
  <c r="L1" i="1"/>
  <c r="A20" i="3" s="1" a="1"/>
  <c r="A20" i="3" s="1"/>
  <c r="A5" i="3" l="1" a="1"/>
  <c r="A5" i="3" s="1"/>
  <c r="A3" i="3" a="1"/>
  <c r="A3" i="3" s="1"/>
  <c r="A11" i="3" a="1"/>
  <c r="A11" i="3" s="1"/>
  <c r="D11" i="3" s="1"/>
  <c r="A18" i="3" a="1"/>
  <c r="A18" i="3" s="1"/>
  <c r="A21" i="3" a="1"/>
  <c r="A21" i="3" s="1"/>
  <c r="C21" i="3" s="1"/>
  <c r="B20" i="3"/>
  <c r="D20" i="3"/>
  <c r="C20" i="3"/>
  <c r="D12" i="3"/>
  <c r="C12" i="3"/>
  <c r="B12" i="3"/>
  <c r="D5" i="3"/>
  <c r="C5" i="3"/>
  <c r="B5" i="3"/>
  <c r="C1" i="3"/>
  <c r="D1" i="3"/>
  <c r="B1" i="3"/>
  <c r="C2" i="3"/>
  <c r="B2" i="3"/>
  <c r="D2" i="3"/>
  <c r="D3" i="3"/>
  <c r="C3" i="3"/>
  <c r="B3" i="3"/>
  <c r="B7" i="3"/>
  <c r="D7" i="3"/>
  <c r="C7" i="3"/>
  <c r="C14" i="3"/>
  <c r="B14" i="3"/>
  <c r="D14" i="3"/>
  <c r="D18" i="3"/>
  <c r="C18" i="3"/>
  <c r="B18" i="3"/>
  <c r="B9" i="3"/>
  <c r="C9" i="3"/>
  <c r="D9" i="3"/>
  <c r="D21" i="3"/>
  <c r="A19" i="3" a="1"/>
  <c r="A19" i="3" s="1"/>
  <c r="A23" i="3" a="1"/>
  <c r="A23" i="3" s="1"/>
  <c r="A17" i="3" a="1"/>
  <c r="A17" i="3" s="1"/>
  <c r="A10" i="3" a="1"/>
  <c r="A10" i="3" s="1"/>
  <c r="A4" i="3" a="1"/>
  <c r="A4" i="3" s="1"/>
  <c r="B11" i="3"/>
  <c r="A16" i="3" a="1"/>
  <c r="A16" i="3" s="1"/>
  <c r="A13" i="3" a="1"/>
  <c r="A13" i="3" s="1"/>
  <c r="A6" i="3" a="1"/>
  <c r="A6" i="3" s="1"/>
  <c r="A22" i="3" a="1"/>
  <c r="A22" i="3" s="1"/>
  <c r="C11" i="3"/>
  <c r="A15" i="3" a="1"/>
  <c r="A15" i="3" s="1"/>
  <c r="A8" i="3" a="1"/>
  <c r="A8" i="3" s="1"/>
  <c r="B21" i="3" l="1"/>
  <c r="B19" i="3"/>
  <c r="D19" i="3"/>
  <c r="C19" i="3"/>
  <c r="D8" i="3"/>
  <c r="C8" i="3"/>
  <c r="B8" i="3"/>
  <c r="C16" i="3"/>
  <c r="B16" i="3"/>
  <c r="D16" i="3"/>
  <c r="C17" i="3"/>
  <c r="B17" i="3"/>
  <c r="D17" i="3"/>
  <c r="D15" i="3"/>
  <c r="B15" i="3"/>
  <c r="C15" i="3"/>
  <c r="C6" i="3"/>
  <c r="B6" i="3"/>
  <c r="D6" i="3"/>
  <c r="C4" i="3"/>
  <c r="B4" i="3"/>
  <c r="D4" i="3"/>
  <c r="D23" i="3"/>
  <c r="C23" i="3"/>
  <c r="B23" i="3"/>
  <c r="C22" i="3"/>
  <c r="B22" i="3"/>
  <c r="D22" i="3"/>
  <c r="C13" i="3"/>
  <c r="B13" i="3"/>
  <c r="D13" i="3"/>
  <c r="D10" i="3"/>
  <c r="B10" i="3"/>
  <c r="C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<sst xmlns="http://schemas.openxmlformats.org/spreadsheetml/2006/main" count="87" uniqueCount="64">
  <si>
    <t>Range</t>
  </si>
  <si>
    <t>23</t>
  </si>
  <si>
    <t>hey</t>
  </si>
  <si>
    <t>Name</t>
  </si>
  <si>
    <t>#N/A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</si>
  <si>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</si>
  <si>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</si>
  <si>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</si>
  <si>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</si>
  <si>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</si>
  <si>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</si>
  <si>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</si>
  <si>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</si>
  <si>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</si>
  <si>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</si>
  <si>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</si>
  <si>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</si>
  <si>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</si>
  <si>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</si>
  <si>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</si>
  <si>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</si>
  <si>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</si>
  <si>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</si>
  <si>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</si>
  <si>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</si>
  <si>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</si>
  <si>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</si>
  <si>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</si>
  <si>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</si>
  <si>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</si>
  <si>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</si>
  <si>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</si>
  <si>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</si>
  <si>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</si>
  <si>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</si>
  <si>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</si>
  <si>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</si>
  <si>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</si>
  <si>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</si>
  <si>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</si>
  <si>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COUNTIF#1</t>
  </si>
  <si>
    <t>COUNTIF#2</t>
  </si>
  <si>
    <t>COUNTIF#3</t>
  </si>
  <si>
    <t>COUNTIF#4</t>
  </si>
  <si>
    <t>COUNTIFS#1</t>
  </si>
  <si>
    <t>COUNTIF#5</t>
  </si>
  <si>
    <t>COUNTIF#6</t>
  </si>
  <si>
    <t>COUNTIF#7</t>
  </si>
  <si>
    <t>COUNTIF#8</t>
  </si>
  <si>
    <t>COUNTIF#9</t>
  </si>
  <si>
    <t>COUNTIF#10</t>
  </si>
  <si>
    <t>COUNTIF#11</t>
  </si>
  <si>
    <t>COUNTIFS#2</t>
  </si>
  <si>
    <t>SUMIF#1</t>
  </si>
  <si>
    <t>AVERAGEIF#1</t>
  </si>
  <si>
    <t>SUMIFS#1</t>
  </si>
  <si>
    <t>COUNTIF#12</t>
  </si>
  <si>
    <t>COUNTIF#13</t>
  </si>
  <si>
    <t>COUNTIF#14</t>
  </si>
  <si>
    <t>COUNTIF#15</t>
  </si>
  <si>
    <t>COUNTIFS#3</t>
  </si>
  <si>
    <t>SUMIF#2</t>
  </si>
  <si>
    <t>SUMIF#3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</si>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</sst>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>
        <v>23</v>
      </c>
      <c r="C1" t="s">
        <v>1</v>
      </c>
      <c r="D1" t="b">
        <v>1</v>
      </c>
      <c r="E1">
        <v>1</v>
      </c>
      <c r="F1">
        <v>-23</v>
      </c>
      <c r="G1" t="s">
        <v>2</v>
      </c>
      <c r="H1" t="b">
        <v>0</v>
      </c>
      <c r="I1">
        <v>123</v>
      </c>
      <c r="L1" t="str">
        <f>""</f>
        <v/>
      </c>
    </row>
    <row r="2" spans="1:12" x14ac:dyDescent="0.2">
      <c r="B2">
        <v>23</v>
      </c>
    </row>
    <row r="25" spans="1:15" x14ac:dyDescent="0.2">
      <c r="A25" t="s">
        <v>3</v>
      </c>
      <c r="B25" t="e">
        <f>NA()</f>
        <v>#N/A</v>
      </c>
      <c r="C25">
        <v>12</v>
      </c>
      <c r="D25" t="e">
        <f>1/0</f>
        <v>#DIV/0!</v>
      </c>
      <c r="E25" t="s">
        <v>4</v>
      </c>
      <c r="F25">
        <v>0</v>
      </c>
      <c r="G25" t="str">
        <f>""</f>
        <v/>
      </c>
      <c r="H25" t="str">
        <f>""</f>
        <v/>
      </c>
      <c r="J25">
        <v>0</v>
      </c>
    </row>
    <row r="26" spans="1:15" x14ac:dyDescent="0.2">
      <c r="E26" t="str">
        <f>""</f>
        <v/>
      </c>
    </row>
    <row r="27" spans="1:15" x14ac:dyDescent="0.2"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>
        <v>11</v>
      </c>
      <c r="M27">
        <v>12</v>
      </c>
      <c r="N27">
        <v>13</v>
      </c>
      <c r="O27">
        <v>14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5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6</v>
      </c>
      <c r="N1">
        <v>10</v>
      </c>
      <c r="P1">
        <v>1</v>
      </c>
      <c r="Q1">
        <v>2</v>
      </c>
      <c r="R1">
        <v>5</v>
      </c>
      <c r="S1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AA1" t="s">
        <v>7</v>
      </c>
      <c r="AB1" t="s">
        <v>8</v>
      </c>
      <c r="AC1" t="s">
        <v>7</v>
      </c>
      <c r="AD1" t="s">
        <v>7</v>
      </c>
      <c r="AE1" t="s">
        <v>7</v>
      </c>
      <c r="AF1" t="s">
        <v>7</v>
      </c>
      <c r="AG1" t="s">
        <v>7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12</v>
      </c>
    </row>
    <row r="2" spans="1:60" x14ac:dyDescent="0.2">
      <c r="A2" t="s">
        <v>13</v>
      </c>
      <c r="B2">
        <v>8</v>
      </c>
      <c r="C2">
        <v>7</v>
      </c>
      <c r="D2" t="s">
        <v>13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22</v>
      </c>
      <c r="B3">
        <v>15</v>
      </c>
      <c r="C3">
        <v>11</v>
      </c>
      <c r="D3" t="s">
        <v>22</v>
      </c>
      <c r="E3" t="e">
        <f>1/0</f>
        <v>#DIV/0!</v>
      </c>
      <c r="F3" t="s">
        <v>23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24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22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25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26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27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12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28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29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30</v>
      </c>
      <c r="AP5" s="1">
        <v>39786</v>
      </c>
      <c r="AS5" t="s">
        <v>31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32</v>
      </c>
      <c r="G6">
        <v>32</v>
      </c>
      <c r="H6" s="1">
        <v>45473</v>
      </c>
      <c r="L6">
        <v>13</v>
      </c>
      <c r="M6" t="s">
        <v>33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34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35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36</v>
      </c>
      <c r="AU8" s="1">
        <v>39448</v>
      </c>
      <c r="BG8">
        <v>2</v>
      </c>
    </row>
    <row r="9" spans="1:60" x14ac:dyDescent="0.2">
      <c r="A9" t="s">
        <v>37</v>
      </c>
      <c r="I9">
        <v>4200</v>
      </c>
      <c r="J9">
        <v>300</v>
      </c>
      <c r="L9" t="s">
        <v>6</v>
      </c>
      <c r="M9" t="s">
        <v>15</v>
      </c>
      <c r="N9" t="s">
        <v>24</v>
      </c>
      <c r="O9" t="s">
        <v>27</v>
      </c>
      <c r="P9" t="s">
        <v>29</v>
      </c>
      <c r="Q9" t="s">
        <v>33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38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39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COUNTIF(Ct!$B$1:$O$1, _xlfn.CONCAT("&lt;&gt;",Ct!I2))</f>
        <v>9</v>
      </c>
      <c r="B1">
        <f t="shared" ref="B1:B23" si="0">IF(ISERROR(A1),ERROR.TYPE(A1),IF(ISNUMBER(A1),0,IF(ISLOGICAL(A1),IF(A1,-1,-2),IF(ISTEXT(A1),-3,-4))))</f>
        <v>0</v>
      </c>
      <c r="C1">
        <f t="shared" ref="C1:C23" si="1">IF(ISNUMBER(A1),A1,0)</f>
        <v>9</v>
      </c>
      <c r="D1" t="str">
        <f t="shared" ref="D1:D23" si="2">IF(ISTEXT(A1),A1,"")</f>
        <v/>
      </c>
      <c r="E1" t="s">
        <v>40</v>
      </c>
    </row>
    <row r="2" spans="1:5" x14ac:dyDescent="0.2">
      <c r="A2" cm="1">
        <f t="array" ref="A2">COUNTIF(Ct!$1:$1, _xlfn.CONCAT("&lt;&gt;",Ct!I2))</f>
        <v>10</v>
      </c>
      <c r="B2">
        <f t="shared" si="0"/>
        <v>0</v>
      </c>
      <c r="C2">
        <f t="shared" si="1"/>
        <v>10</v>
      </c>
      <c r="D2" t="str">
        <f t="shared" si="2"/>
        <v/>
      </c>
      <c r="E2" t="s">
        <v>41</v>
      </c>
    </row>
    <row r="3" spans="1:5" x14ac:dyDescent="0.2">
      <c r="A3" cm="1">
        <f t="array" ref="A3">COUNTIF(Ct!$B$25:$H$25, _xlfn.CONCAT("&lt;&gt;", Ct!E26))</f>
        <v>7</v>
      </c>
      <c r="B3">
        <f t="shared" si="0"/>
        <v>0</v>
      </c>
      <c r="C3">
        <f t="shared" si="1"/>
        <v>7</v>
      </c>
      <c r="D3" t="str">
        <f t="shared" si="2"/>
        <v/>
      </c>
      <c r="E3" t="s">
        <v>42</v>
      </c>
    </row>
    <row r="4" spans="1:5" x14ac:dyDescent="0.2">
      <c r="A4" cm="1">
        <f t="array" ref="A4">COUNTIF(Ct!$25:$25, _xlfn.CONCAT("&lt;&gt;", Ct!E26))</f>
        <v>9</v>
      </c>
      <c r="B4">
        <f t="shared" si="0"/>
        <v>0</v>
      </c>
      <c r="C4">
        <f t="shared" si="1"/>
        <v>9</v>
      </c>
      <c r="D4" t="str">
        <f t="shared" si="2"/>
        <v/>
      </c>
      <c r="E4" t="s">
        <v>43</v>
      </c>
    </row>
    <row r="5" spans="1:5" x14ac:dyDescent="0.2">
      <c r="A5" cm="1">
        <f t="array" ref="A5">COUNTIFS(Ct!$B$25:$H$25, _xlfn.CONCAT("&lt;&gt;", Ct!E26))</f>
        <v>7</v>
      </c>
      <c r="B5">
        <f t="shared" si="0"/>
        <v>0</v>
      </c>
      <c r="C5">
        <f t="shared" si="1"/>
        <v>7</v>
      </c>
      <c r="D5" t="str">
        <f t="shared" si="2"/>
        <v/>
      </c>
      <c r="E5" t="s">
        <v>44</v>
      </c>
    </row>
    <row r="6" spans="1:5" x14ac:dyDescent="0.2">
      <c r="A6" cm="1">
        <f t="array" ref="A6">COUNTIF(Ct!$B$25:$O$25, Ct!E26)</f>
        <v>8</v>
      </c>
      <c r="B6">
        <f t="shared" si="0"/>
        <v>0</v>
      </c>
      <c r="C6">
        <f t="shared" si="1"/>
        <v>8</v>
      </c>
      <c r="D6" t="str">
        <f t="shared" si="2"/>
        <v/>
      </c>
      <c r="E6" t="s">
        <v>45</v>
      </c>
    </row>
    <row r="7" spans="1:5" x14ac:dyDescent="0.2">
      <c r="A7" cm="1">
        <f t="array" ref="A7">COUNTIF(Ct!$B$1:$O$1, _xlfn.CONCAT("&lt;&gt;",Ct!B2))</f>
        <v>13</v>
      </c>
      <c r="B7">
        <f t="shared" si="0"/>
        <v>0</v>
      </c>
      <c r="C7">
        <f t="shared" si="1"/>
        <v>13</v>
      </c>
      <c r="D7" t="str">
        <f t="shared" si="2"/>
        <v/>
      </c>
      <c r="E7" t="s">
        <v>46</v>
      </c>
    </row>
    <row r="8" spans="1:5" x14ac:dyDescent="0.2">
      <c r="A8" cm="1">
        <f t="array" ref="A8">COUNTIF(Ct!B25:O25,"&lt;&gt;")</f>
        <v>8</v>
      </c>
      <c r="B8">
        <f t="shared" si="0"/>
        <v>0</v>
      </c>
      <c r="C8">
        <f t="shared" si="1"/>
        <v>8</v>
      </c>
      <c r="D8" t="str">
        <f t="shared" si="2"/>
        <v/>
      </c>
      <c r="E8" t="s">
        <v>47</v>
      </c>
    </row>
    <row r="9" spans="1:5" x14ac:dyDescent="0.2">
      <c r="A9" cm="1">
        <f t="array" ref="A9">COUNTIF(Ct!B25:O25,"&lt;&gt;"&amp;"")</f>
        <v>8</v>
      </c>
      <c r="B9">
        <f t="shared" si="0"/>
        <v>0</v>
      </c>
      <c r="C9">
        <f t="shared" si="1"/>
        <v>8</v>
      </c>
      <c r="D9" t="str">
        <f t="shared" si="2"/>
        <v/>
      </c>
      <c r="E9" t="s">
        <v>48</v>
      </c>
    </row>
    <row r="10" spans="1:5" x14ac:dyDescent="0.2">
      <c r="A10" cm="1">
        <f t="array" ref="A10">COUNTIF(Ct!B25:O25,"&lt;&gt;"&amp;Ct!K1)</f>
        <v>8</v>
      </c>
      <c r="B10">
        <f t="shared" si="0"/>
        <v>0</v>
      </c>
      <c r="C10">
        <f t="shared" si="1"/>
        <v>8</v>
      </c>
      <c r="D10" t="str">
        <f t="shared" si="2"/>
        <v/>
      </c>
      <c r="E10" t="s">
        <v>49</v>
      </c>
    </row>
    <row r="11" spans="1:5" x14ac:dyDescent="0.2">
      <c r="A11" cm="1">
        <f t="array" ref="A11">COUNTIF(Ct!L1,"&lt;&gt;")</f>
        <v>1</v>
      </c>
      <c r="B11">
        <f t="shared" si="0"/>
        <v>0</v>
      </c>
      <c r="C11">
        <f t="shared" si="1"/>
        <v>1</v>
      </c>
      <c r="D11" t="str">
        <f t="shared" si="2"/>
        <v/>
      </c>
      <c r="E11" t="s">
        <v>50</v>
      </c>
    </row>
    <row r="12" spans="1:5" x14ac:dyDescent="0.2">
      <c r="A12" cm="1">
        <f t="array" ref="A12">COUNTIF(Ct!K1,"&lt;&gt;")</f>
        <v>0</v>
      </c>
      <c r="B12">
        <f t="shared" si="0"/>
        <v>0</v>
      </c>
      <c r="C12">
        <f t="shared" si="1"/>
        <v>0</v>
      </c>
      <c r="D12" t="str">
        <f t="shared" si="2"/>
        <v/>
      </c>
      <c r="E12" t="s">
        <v>51</v>
      </c>
    </row>
    <row r="13" spans="1:5" x14ac:dyDescent="0.2">
      <c r="A13" cm="1">
        <f t="array" ref="A13">COUNTIFS(Ct!B25:O25,"&lt;&gt;",Ct!B1:O1,"&lt;&gt;")</f>
        <v>7</v>
      </c>
      <c r="B13">
        <f t="shared" si="0"/>
        <v>0</v>
      </c>
      <c r="C13">
        <f t="shared" si="1"/>
        <v>7</v>
      </c>
      <c r="D13" t="str">
        <f t="shared" si="2"/>
        <v/>
      </c>
      <c r="E13" t="s">
        <v>52</v>
      </c>
    </row>
    <row r="14" spans="1:5" x14ac:dyDescent="0.2">
      <c r="A14" cm="1">
        <f t="array" ref="A14">SUMIF(Ct!B25:O25,"&lt;&gt;",Ct!B27:O27)</f>
        <v>37</v>
      </c>
      <c r="B14">
        <f t="shared" si="0"/>
        <v>0</v>
      </c>
      <c r="C14">
        <f t="shared" si="1"/>
        <v>37</v>
      </c>
      <c r="D14" t="str">
        <f t="shared" si="2"/>
        <v/>
      </c>
      <c r="E14" t="s">
        <v>53</v>
      </c>
    </row>
    <row r="15" spans="1:5" x14ac:dyDescent="0.2">
      <c r="A15" cm="1">
        <f t="array" ref="A15">AVERAGEIF(Ct!B25:O25,"&lt;&gt;",Ct!B27:O27)</f>
        <v>4.625</v>
      </c>
      <c r="B15">
        <f t="shared" si="0"/>
        <v>0</v>
      </c>
      <c r="C15">
        <f t="shared" si="1"/>
        <v>4.625</v>
      </c>
      <c r="D15" t="str">
        <f t="shared" si="2"/>
        <v/>
      </c>
      <c r="E15" t="s">
        <v>54</v>
      </c>
    </row>
    <row r="16" spans="1:5" x14ac:dyDescent="0.2">
      <c r="A16" cm="1">
        <f t="array" ref="A16">SUMIFS(Ct!B27:O27,Ct!B25:O25,"&lt;&gt;",Ct!B1:O1,"&lt;&gt;")</f>
        <v>28</v>
      </c>
      <c r="B16">
        <f t="shared" si="0"/>
        <v>0</v>
      </c>
      <c r="C16">
        <f t="shared" si="1"/>
        <v>28</v>
      </c>
      <c r="D16" t="str">
        <f t="shared" si="2"/>
        <v/>
      </c>
      <c r="E16" t="s">
        <v>55</v>
      </c>
    </row>
    <row r="17" spans="1:5" x14ac:dyDescent="0.2">
      <c r="A17" cm="1">
        <f t="array" ref="A17">COUNTIF(Ct!B25:O25,"")</f>
        <v>8</v>
      </c>
      <c r="B17">
        <f t="shared" si="0"/>
        <v>0</v>
      </c>
      <c r="C17">
        <f t="shared" si="1"/>
        <v>8</v>
      </c>
      <c r="D17" t="str">
        <f t="shared" si="2"/>
        <v/>
      </c>
      <c r="E17" t="s">
        <v>56</v>
      </c>
    </row>
    <row r="18" spans="1:5" x14ac:dyDescent="0.2">
      <c r="A18" cm="1">
        <f t="array" ref="A18">COUNTIF(Ct!L1,"")</f>
        <v>1</v>
      </c>
      <c r="B18">
        <f t="shared" si="0"/>
        <v>0</v>
      </c>
      <c r="C18">
        <f t="shared" si="1"/>
        <v>1</v>
      </c>
      <c r="D18" t="str">
        <f t="shared" si="2"/>
        <v/>
      </c>
      <c r="E18" t="s">
        <v>57</v>
      </c>
    </row>
    <row r="19" spans="1:5" x14ac:dyDescent="0.2">
      <c r="A19" cm="1">
        <f t="array" ref="A19">COUNTIF(Ct!B25:O25,"=")</f>
        <v>6</v>
      </c>
      <c r="B19">
        <f t="shared" si="0"/>
        <v>0</v>
      </c>
      <c r="C19">
        <f t="shared" si="1"/>
        <v>6</v>
      </c>
      <c r="D19" t="str">
        <f t="shared" si="2"/>
        <v/>
      </c>
      <c r="E19" t="s">
        <v>58</v>
      </c>
    </row>
    <row r="20" spans="1:5" x14ac:dyDescent="0.2">
      <c r="A20" cm="1">
        <f t="array" ref="A20">COUNTIF(Ct!L1,"=")</f>
        <v>0</v>
      </c>
      <c r="B20">
        <f t="shared" si="0"/>
        <v>0</v>
      </c>
      <c r="C20">
        <f t="shared" si="1"/>
        <v>0</v>
      </c>
      <c r="D20" t="str">
        <f t="shared" si="2"/>
        <v/>
      </c>
      <c r="E20" t="s">
        <v>59</v>
      </c>
    </row>
    <row r="21" spans="1:5" x14ac:dyDescent="0.2">
      <c r="A21" cm="1">
        <f t="array" ref="A21">COUNTIFS(Ct!B25:O25,"=")</f>
        <v>6</v>
      </c>
      <c r="B21">
        <f t="shared" si="0"/>
        <v>0</v>
      </c>
      <c r="C21">
        <f t="shared" si="1"/>
        <v>6</v>
      </c>
      <c r="D21" t="str">
        <f t="shared" si="2"/>
        <v/>
      </c>
      <c r="E21" t="s">
        <v>60</v>
      </c>
    </row>
    <row r="22" spans="1:5" x14ac:dyDescent="0.2">
      <c r="A22" cm="1">
        <f t="array" ref="A22">SUMIF(Ct!B25:O25,"=",Ct!B27:O27)</f>
        <v>68</v>
      </c>
      <c r="B22">
        <f t="shared" si="0"/>
        <v>0</v>
      </c>
      <c r="C22">
        <f t="shared" si="1"/>
        <v>68</v>
      </c>
      <c r="D22" t="str">
        <f t="shared" si="2"/>
        <v/>
      </c>
      <c r="E22" t="s">
        <v>61</v>
      </c>
    </row>
    <row r="23" spans="1:5" x14ac:dyDescent="0.2">
      <c r="A23" cm="1">
        <f t="array" ref="A23">SUMIF(Ct!B25:O25,"",Ct!B27:O27)</f>
        <v>81</v>
      </c>
      <c r="B23">
        <f t="shared" si="0"/>
        <v>0</v>
      </c>
      <c r="C23">
        <f t="shared" si="1"/>
        <v>81</v>
      </c>
      <c r="D23" t="str">
        <f t="shared" si="2"/>
        <v/>
      </c>
      <c r="E23" t="s">
        <v>62</v>
      </c>
    </row>
    <row r="24" spans="1:5" x14ac:dyDescent="0.2">
      <c r="A24" t="s">
        <v>63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2026-10-17T13:08:41Z</dcterms:created>
  <dcterms:modified xsi:type="dcterms:W3CDTF">2026-10-17T13:08:42Z</dcterms:modified>
  <cp:category/>
</cp:coreProperties>
</file>