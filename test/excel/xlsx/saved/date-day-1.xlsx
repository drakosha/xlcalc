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4"/>
  <workbookPr filterPrivacy="1"/>
  <xr:revisionPtr revIDLastSave="0" documentId="8_{14991699-CD72-6246-9647-39845CAAA106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" sheetId="1" r:id="rId1"/>
    <sheet name="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93" i="2" l="1" a="1"/>
  <c r="A93" i="2" s="1"/>
  <c r="A92" i="2" a="1"/>
  <c r="A92" i="2" s="1"/>
  <c r="C92" i="2" s="1"/>
  <c r="A91" i="2" a="1"/>
  <c r="A91" i="2"/>
  <c r="D91" i="2" s="1"/>
  <c r="A90" i="2" a="1"/>
  <c r="A90" i="2" s="1"/>
  <c r="A89" i="2" a="1"/>
  <c r="A89" i="2"/>
  <c r="D89" i="2" s="1"/>
  <c r="A88" i="2" a="1"/>
  <c r="A88" i="2"/>
  <c r="D88" i="2" s="1"/>
  <c r="A87" i="2" a="1"/>
  <c r="A87" i="2"/>
  <c r="C87" i="2" s="1"/>
  <c r="A86" i="2" a="1"/>
  <c r="A86" i="2"/>
  <c r="C86" i="2" s="1"/>
  <c r="A85" i="2" a="1"/>
  <c r="A85" i="2" s="1"/>
  <c r="B85" i="2" s="1"/>
  <c r="A84" i="2" a="1"/>
  <c r="A84" i="2" s="1"/>
  <c r="D84" i="2" s="1"/>
  <c r="A83" i="2" a="1"/>
  <c r="A83" i="2" s="1"/>
  <c r="A82" i="2" a="1"/>
  <c r="A82" i="2"/>
  <c r="D82" i="2" s="1"/>
  <c r="A81" i="2" a="1"/>
  <c r="A81" i="2" s="1"/>
  <c r="A80" i="2" a="1"/>
  <c r="A80" i="2"/>
  <c r="B80" i="2" s="1"/>
  <c r="A79" i="2" a="1"/>
  <c r="A79" i="2" s="1"/>
  <c r="A78" i="2" a="1"/>
  <c r="A78" i="2"/>
  <c r="D78" i="2" s="1"/>
  <c r="A77" i="2" a="1"/>
  <c r="A77" i="2"/>
  <c r="C77" i="2" s="1"/>
  <c r="A76" i="2" a="1"/>
  <c r="A76" i="2"/>
  <c r="B76" i="2" s="1"/>
  <c r="A75" i="2" a="1"/>
  <c r="A75" i="2"/>
  <c r="D75" i="2" s="1"/>
  <c r="A74" i="2" a="1"/>
  <c r="A74" i="2" s="1"/>
  <c r="C74" i="2" s="1"/>
  <c r="A73" i="2" a="1"/>
  <c r="A73" i="2"/>
  <c r="D73" i="2" s="1"/>
  <c r="A72" i="2" a="1"/>
  <c r="A72" i="2" s="1"/>
  <c r="A71" i="2" a="1"/>
  <c r="A71" i="2"/>
  <c r="D71" i="2" s="1"/>
  <c r="A70" i="2" a="1"/>
  <c r="A70" i="2"/>
  <c r="D70" i="2" s="1"/>
  <c r="A69" i="2" a="1"/>
  <c r="A69" i="2"/>
  <c r="B69" i="2" s="1"/>
  <c r="A68" i="2" a="1"/>
  <c r="A68" i="2"/>
  <c r="C68" i="2" s="1"/>
  <c r="A67" i="2" a="1"/>
  <c r="A67" i="2"/>
  <c r="B67" i="2" s="1"/>
  <c r="A66" i="2" a="1"/>
  <c r="A66" i="2" s="1"/>
  <c r="D66" i="2" s="1"/>
  <c r="A65" i="2" a="1"/>
  <c r="A65" i="2" s="1"/>
  <c r="A64" i="2" a="1"/>
  <c r="A64" i="2"/>
  <c r="D64" i="2" s="1"/>
  <c r="A63" i="2" a="1"/>
  <c r="A63" i="2" s="1"/>
  <c r="A62" i="2" a="1"/>
  <c r="A62" i="2"/>
  <c r="C62" i="2" s="1"/>
  <c r="A61" i="2" a="1"/>
  <c r="A61" i="2"/>
  <c r="B61" i="2" s="1"/>
  <c r="A60" i="2" a="1"/>
  <c r="A60" i="2"/>
  <c r="D60" i="2" s="1"/>
  <c r="A59" i="2" a="1"/>
  <c r="A59" i="2"/>
  <c r="C59" i="2" s="1"/>
  <c r="A58" i="2" a="1"/>
  <c r="A58" i="2"/>
  <c r="C58" i="2" s="1"/>
  <c r="A57" i="2" a="1"/>
  <c r="A57" i="2" s="1"/>
  <c r="D57" i="2" s="1"/>
  <c r="A56" i="2" a="1"/>
  <c r="A56" i="2" s="1"/>
  <c r="C56" i="2" s="1"/>
  <c r="A55" i="2" a="1"/>
  <c r="A55" i="2"/>
  <c r="D55" i="2" s="1"/>
  <c r="A54" i="2" a="1"/>
  <c r="A54" i="2" s="1"/>
  <c r="A53" i="2" a="1"/>
  <c r="A53" i="2"/>
  <c r="D53" i="2" s="1"/>
  <c r="A52" i="2" a="1"/>
  <c r="A52" i="2"/>
  <c r="C52" i="2" s="1"/>
  <c r="A51" i="2" a="1"/>
  <c r="A51" i="2" s="1"/>
  <c r="D51" i="2" s="1"/>
  <c r="A50" i="2" a="1"/>
  <c r="A50" i="2" s="1"/>
  <c r="A49" i="2" a="1"/>
  <c r="A49" i="2"/>
  <c r="C49" i="2" s="1"/>
  <c r="A48" i="2" a="1"/>
  <c r="A48" i="2"/>
  <c r="D48" i="2" s="1"/>
  <c r="A47" i="2" a="1"/>
  <c r="A47" i="2" s="1"/>
  <c r="A46" i="2" a="1"/>
  <c r="A46" i="2" s="1"/>
  <c r="D46" i="2" s="1"/>
  <c r="A45" i="2" a="1"/>
  <c r="A45" i="2" s="1"/>
  <c r="A44" i="2" a="1"/>
  <c r="A44" i="2"/>
  <c r="C44" i="2" s="1"/>
  <c r="A43" i="2" a="1"/>
  <c r="A43" i="2"/>
  <c r="B43" i="2" s="1"/>
  <c r="A42" i="2" a="1"/>
  <c r="A42" i="2"/>
  <c r="D42" i="2" s="1"/>
  <c r="A41" i="2" a="1"/>
  <c r="A41" i="2"/>
  <c r="D41" i="2" s="1"/>
  <c r="A40" i="2" a="1"/>
  <c r="A40" i="2"/>
  <c r="D40" i="2" s="1"/>
  <c r="A39" i="2" a="1"/>
  <c r="A39" i="2" s="1"/>
  <c r="A38" i="2" a="1"/>
  <c r="A38" i="2" s="1"/>
  <c r="C38" i="2" s="1"/>
  <c r="A37" i="2" a="1"/>
  <c r="A37" i="2" s="1"/>
  <c r="D37" i="2" s="1"/>
  <c r="A36" i="2" a="1"/>
  <c r="A36" i="2" s="1"/>
  <c r="A35" i="2" a="1"/>
  <c r="A35" i="2"/>
  <c r="D35" i="2" s="1"/>
  <c r="A34" i="2" a="1"/>
  <c r="A34" i="2"/>
  <c r="C34" i="2" s="1"/>
  <c r="A33" i="2" a="1"/>
  <c r="A33" i="2"/>
  <c r="D33" i="2" s="1"/>
  <c r="A32" i="2" a="1"/>
  <c r="A32" i="2"/>
  <c r="C32" i="2" s="1"/>
  <c r="A31" i="2" a="1"/>
  <c r="A31" i="2"/>
  <c r="B31" i="2" s="1"/>
  <c r="A30" i="2" a="1"/>
  <c r="A30" i="2"/>
  <c r="D30" i="2" s="1"/>
  <c r="A29" i="2" a="1"/>
  <c r="A29" i="2" s="1"/>
  <c r="A28" i="2" a="1"/>
  <c r="A28" i="2" s="1"/>
  <c r="D28" i="2" s="1"/>
  <c r="A27" i="2" a="1"/>
  <c r="A27" i="2" s="1"/>
  <c r="A26" i="2" a="1"/>
  <c r="A26" i="2"/>
  <c r="B26" i="2" s="1"/>
  <c r="A25" i="2" a="1"/>
  <c r="A25" i="2"/>
  <c r="B25" i="2" s="1"/>
  <c r="A24" i="2" a="1"/>
  <c r="A24" i="2"/>
  <c r="B24" i="2" s="1"/>
  <c r="A23" i="2" a="1"/>
  <c r="A23" i="2"/>
  <c r="D23" i="2" s="1"/>
  <c r="A22" i="2" a="1"/>
  <c r="A22" i="2"/>
  <c r="C22" i="2" s="1"/>
  <c r="A21" i="2" a="1"/>
  <c r="A21" i="2"/>
  <c r="D21" i="2" s="1"/>
  <c r="A20" i="2" a="1"/>
  <c r="A20" i="2"/>
  <c r="D20" i="2" s="1"/>
  <c r="A19" i="2" a="1"/>
  <c r="A19" i="2"/>
  <c r="B19" i="2" s="1"/>
  <c r="A18" i="2" a="1"/>
  <c r="A18" i="2" s="1"/>
  <c r="A17" i="2" a="1"/>
  <c r="A17" i="2"/>
  <c r="D17" i="2" s="1"/>
  <c r="A16" i="2" a="1"/>
  <c r="A16" i="2"/>
  <c r="C16" i="2" s="1"/>
  <c r="A15" i="2" a="1"/>
  <c r="A15" i="2"/>
  <c r="C15" i="2" s="1"/>
  <c r="A14" i="2" a="1"/>
  <c r="A14" i="2" s="1"/>
  <c r="A13" i="2" a="1"/>
  <c r="A13" i="2"/>
  <c r="C13" i="2" s="1"/>
  <c r="A12" i="2" a="1"/>
  <c r="A12" i="2"/>
  <c r="D12" i="2" s="1"/>
  <c r="A11" i="2" a="1"/>
  <c r="A11" i="2" s="1"/>
  <c r="A10" i="2" a="1"/>
  <c r="A10" i="2"/>
  <c r="D10" i="2" s="1"/>
  <c r="A9" i="2" a="1"/>
  <c r="A9" i="2" s="1"/>
  <c r="A8" i="2" a="1"/>
  <c r="A8" i="2"/>
  <c r="C8" i="2" s="1"/>
  <c r="A7" i="2" a="1"/>
  <c r="A7" i="2"/>
  <c r="D7" i="2" s="1"/>
  <c r="A6" i="2" a="1"/>
  <c r="A6" i="2"/>
  <c r="B6" i="2" s="1"/>
  <c r="A5" i="2" a="1"/>
  <c r="A5" i="2"/>
  <c r="C5" i="2" s="1"/>
  <c r="A4" i="2" a="1"/>
  <c r="A4" i="2"/>
  <c r="B4" i="2" s="1"/>
  <c r="A3" i="2" a="1"/>
  <c r="A3" i="2" s="1"/>
  <c r="A2" i="2" a="1"/>
  <c r="A2" i="2" s="1"/>
  <c r="D2" i="2" s="1"/>
  <c r="A1" i="2" a="1"/>
  <c r="A1" i="2"/>
  <c r="B1" i="2" s="1"/>
  <c r="I15" i="1"/>
  <c r="A14" i="1"/>
  <c r="A13" i="1"/>
  <c r="AL10" i="1"/>
  <c r="A8" i="1"/>
  <c r="A7" i="1"/>
  <c r="E3" i="1"/>
  <c r="C3" i="2" l="1"/>
  <c r="D3" i="2"/>
  <c r="D32" i="2"/>
  <c r="B34" i="2"/>
  <c r="B88" i="2"/>
  <c r="C61" i="2"/>
  <c r="C88" i="2"/>
  <c r="B16" i="2"/>
  <c r="C43" i="2"/>
  <c r="D43" i="2"/>
  <c r="D86" i="2"/>
  <c r="B70" i="2"/>
  <c r="D68" i="2"/>
  <c r="B52" i="2"/>
  <c r="B7" i="2"/>
  <c r="C25" i="2"/>
  <c r="D61" i="2"/>
  <c r="C7" i="2"/>
  <c r="D25" i="2"/>
  <c r="D81" i="2"/>
  <c r="C81" i="2"/>
  <c r="B81" i="2"/>
  <c r="D63" i="2"/>
  <c r="B63" i="2"/>
  <c r="C63" i="2"/>
  <c r="B72" i="2"/>
  <c r="D72" i="2"/>
  <c r="C72" i="2"/>
  <c r="D27" i="2"/>
  <c r="B27" i="2"/>
  <c r="C27" i="2"/>
  <c r="B36" i="2"/>
  <c r="D36" i="2"/>
  <c r="C36" i="2"/>
  <c r="D45" i="2"/>
  <c r="B45" i="2"/>
  <c r="C45" i="2"/>
  <c r="D83" i="2"/>
  <c r="B83" i="2"/>
  <c r="C83" i="2"/>
  <c r="D11" i="2"/>
  <c r="C11" i="2"/>
  <c r="B11" i="2"/>
  <c r="D39" i="2"/>
  <c r="C39" i="2"/>
  <c r="B39" i="2"/>
  <c r="C50" i="2"/>
  <c r="B50" i="2"/>
  <c r="D50" i="2"/>
  <c r="B79" i="2"/>
  <c r="C79" i="2"/>
  <c r="D79" i="2"/>
  <c r="C54" i="2"/>
  <c r="D54" i="2"/>
  <c r="B54" i="2"/>
  <c r="D90" i="2"/>
  <c r="B90" i="2"/>
  <c r="C90" i="2"/>
  <c r="D18" i="2"/>
  <c r="B18" i="2"/>
  <c r="C18" i="2"/>
  <c r="C9" i="2"/>
  <c r="B9" i="2"/>
  <c r="D9" i="2"/>
  <c r="C65" i="2"/>
  <c r="D65" i="2"/>
  <c r="B65" i="2"/>
  <c r="C14" i="2"/>
  <c r="D14" i="2"/>
  <c r="B14" i="2"/>
  <c r="C29" i="2"/>
  <c r="D29" i="2"/>
  <c r="B29" i="2"/>
  <c r="D47" i="2"/>
  <c r="B47" i="2"/>
  <c r="C47" i="2"/>
  <c r="D93" i="2"/>
  <c r="C93" i="2"/>
  <c r="B93" i="2"/>
  <c r="C4" i="2"/>
  <c r="C40" i="2"/>
  <c r="B51" i="2"/>
  <c r="B87" i="2"/>
  <c r="C33" i="2"/>
  <c r="C51" i="2"/>
  <c r="D76" i="2"/>
  <c r="C26" i="2"/>
  <c r="B37" i="2"/>
  <c r="B55" i="2"/>
  <c r="D69" i="2"/>
  <c r="B73" i="2"/>
  <c r="C80" i="2"/>
  <c r="D87" i="2"/>
  <c r="B91" i="2"/>
  <c r="C1" i="2"/>
  <c r="D8" i="2"/>
  <c r="B12" i="2"/>
  <c r="C19" i="2"/>
  <c r="D26" i="2"/>
  <c r="B30" i="2"/>
  <c r="C37" i="2"/>
  <c r="D44" i="2"/>
  <c r="B48" i="2"/>
  <c r="C55" i="2"/>
  <c r="D62" i="2"/>
  <c r="B66" i="2"/>
  <c r="C73" i="2"/>
  <c r="D80" i="2"/>
  <c r="B84" i="2"/>
  <c r="C91" i="2"/>
  <c r="D1" i="2"/>
  <c r="B5" i="2"/>
  <c r="C12" i="2"/>
  <c r="D19" i="2"/>
  <c r="B23" i="2"/>
  <c r="C30" i="2"/>
  <c r="B41" i="2"/>
  <c r="C48" i="2"/>
  <c r="B59" i="2"/>
  <c r="C66" i="2"/>
  <c r="B77" i="2"/>
  <c r="C84" i="2"/>
  <c r="B40" i="2"/>
  <c r="B33" i="2"/>
  <c r="D22" i="2"/>
  <c r="D5" i="2"/>
  <c r="B2" i="2"/>
  <c r="D16" i="2"/>
  <c r="D34" i="2"/>
  <c r="B38" i="2"/>
  <c r="D52" i="2"/>
  <c r="B56" i="2"/>
  <c r="B42" i="2"/>
  <c r="D56" i="2"/>
  <c r="B60" i="2"/>
  <c r="C67" i="2"/>
  <c r="D74" i="2"/>
  <c r="B78" i="2"/>
  <c r="D92" i="2"/>
  <c r="C6" i="2"/>
  <c r="D13" i="2"/>
  <c r="B17" i="2"/>
  <c r="C24" i="2"/>
  <c r="D31" i="2"/>
  <c r="B35" i="2"/>
  <c r="C42" i="2"/>
  <c r="D49" i="2"/>
  <c r="B53" i="2"/>
  <c r="C60" i="2"/>
  <c r="D67" i="2"/>
  <c r="B71" i="2"/>
  <c r="C78" i="2"/>
  <c r="D85" i="2"/>
  <c r="B89" i="2"/>
  <c r="C76" i="2"/>
  <c r="B8" i="2"/>
  <c r="D58" i="2"/>
  <c r="C41" i="2"/>
  <c r="D77" i="2"/>
  <c r="B92" i="2"/>
  <c r="C20" i="2"/>
  <c r="D6" i="2"/>
  <c r="B10" i="2"/>
  <c r="C17" i="2"/>
  <c r="D24" i="2"/>
  <c r="B28" i="2"/>
  <c r="C35" i="2"/>
  <c r="B46" i="2"/>
  <c r="C53" i="2"/>
  <c r="B64" i="2"/>
  <c r="C71" i="2"/>
  <c r="B82" i="2"/>
  <c r="C89" i="2"/>
  <c r="D4" i="2"/>
  <c r="B44" i="2"/>
  <c r="B62" i="2"/>
  <c r="C69" i="2"/>
  <c r="C23" i="2"/>
  <c r="D59" i="2"/>
  <c r="C70" i="2"/>
  <c r="B20" i="2"/>
  <c r="B13" i="2"/>
  <c r="C31" i="2"/>
  <c r="C85" i="2"/>
  <c r="B3" i="2"/>
  <c r="C10" i="2"/>
  <c r="B21" i="2"/>
  <c r="C28" i="2"/>
  <c r="C46" i="2"/>
  <c r="B57" i="2"/>
  <c r="C64" i="2"/>
  <c r="B75" i="2"/>
  <c r="C82" i="2"/>
  <c r="B58" i="2"/>
  <c r="B15" i="2"/>
  <c r="D15" i="2"/>
  <c r="C2" i="2"/>
  <c r="D38" i="2"/>
  <c r="C21" i="2"/>
  <c r="B32" i="2"/>
  <c r="C57" i="2"/>
  <c r="B68" i="2"/>
  <c r="C75" i="2"/>
  <c r="B86" i="2"/>
  <c r="B22" i="2"/>
  <c r="B74" i="2"/>
  <c r="B4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<sst xmlns="http://schemas.openxmlformats.org/spreadsheetml/2006/main" count="152" uniqueCount="129">
  <si>
    <t>Аренда</t>
  </si>
  <si>
    <t>one</t>
  </si>
  <si>
    <t>Tree</t>
  </si>
  <si>
    <t>Height</t>
  </si>
  <si>
    <t>Age</t>
  </si>
  <si>
    <t>Yield</t>
  </si>
  <si>
    <t>Profit</t>
  </si>
  <si>
    <t>a</t>
  </si>
  <si>
    <t>2</t>
  </si>
  <si>
    <t>аренда</t>
  </si>
  <si>
    <t>two</t>
  </si>
  <si>
    <t>Apple</t>
  </si>
  <si>
    <t>&gt;10</t>
  </si>
  <si>
    <t>Pear</t>
  </si>
  <si>
    <t>a*</t>
  </si>
  <si>
    <t>Cherry</t>
  </si>
  <si>
    <t>Plum</t>
  </si>
  <si>
    <t>abc</t>
  </si>
  <si>
    <t>Арендй</t>
  </si>
  <si>
    <t>three</t>
  </si>
  <si>
    <t>Б</t>
  </si>
  <si>
    <t>Арeнда*</t>
  </si>
  <si>
    <t>five</t>
  </si>
  <si>
    <t>x*y</t>
  </si>
  <si>
    <t>eight</t>
  </si>
  <si>
    <t>35</t>
  </si>
  <si>
    <t>A</t>
  </si>
  <si>
    <t>Чай</t>
  </si>
  <si>
    <t>thirteen</t>
  </si>
  <si>
    <t>Чаи</t>
  </si>
  <si>
    <t>3000</t>
  </si>
  <si>
    <t>b</t>
  </si>
  <si>
    <t>Привет Мир</t>
  </si>
  <si>
    <t>1.5</t>
  </si>
  <si>
    <t>1,5</t>
  </si>
  <si>
    <t>DATE#1</t>
  </si>
  <si>
    <t>DATE#2</t>
  </si>
  <si>
    <t>DATE#3</t>
  </si>
  <si>
    <t>DATE#4</t>
  </si>
  <si>
    <t>DATE#5</t>
  </si>
  <si>
    <t>DATE#6</t>
  </si>
  <si>
    <t>DATE#7</t>
  </si>
  <si>
    <t>DATE#8</t>
  </si>
  <si>
    <t>DATE#9</t>
  </si>
  <si>
    <t>DATE#10</t>
  </si>
  <si>
    <t>DATE#11</t>
  </si>
  <si>
    <t>DATE#12</t>
  </si>
  <si>
    <t>DATE#13</t>
  </si>
  <si>
    <t>DATE#14</t>
  </si>
  <si>
    <t>DATE#15</t>
  </si>
  <si>
    <t>DATE#16</t>
  </si>
  <si>
    <t>DATE#17</t>
  </si>
  <si>
    <t>DATE#18</t>
  </si>
  <si>
    <t>DATE#19</t>
  </si>
  <si>
    <t>DATE#20</t>
  </si>
  <si>
    <t>DATE#21</t>
  </si>
  <si>
    <t>DATE#22</t>
  </si>
  <si>
    <t>DATE#23</t>
  </si>
  <si>
    <t>DATE#24</t>
  </si>
  <si>
    <t>DATE#25</t>
  </si>
  <si>
    <t>DATE#26</t>
  </si>
  <si>
    <t>DATE#27</t>
  </si>
  <si>
    <t>DATE#28</t>
  </si>
  <si>
    <t>DATE#29</t>
  </si>
  <si>
    <t>DATE#30</t>
  </si>
  <si>
    <t>DATE#31</t>
  </si>
  <si>
    <t>DATE#32</t>
  </si>
  <si>
    <t>DATE#33</t>
  </si>
  <si>
    <t>DATE#34</t>
  </si>
  <si>
    <t>DATE#35</t>
  </si>
  <si>
    <t>DATE#36</t>
  </si>
  <si>
    <t>DATE#37</t>
  </si>
  <si>
    <t>DATE#38</t>
  </si>
  <si>
    <t>DATE#39</t>
  </si>
  <si>
    <t>DATE#40</t>
  </si>
  <si>
    <t>DATE#41</t>
  </si>
  <si>
    <t>DATE#42</t>
  </si>
  <si>
    <t>DATE#43</t>
  </si>
  <si>
    <t>DATE#44</t>
  </si>
  <si>
    <t>DATE#45</t>
  </si>
  <si>
    <t>DATE#46</t>
  </si>
  <si>
    <t>DATE#47</t>
  </si>
  <si>
    <t>DATE#48</t>
  </si>
  <si>
    <t>DATE#49</t>
  </si>
  <si>
    <t>DATE#50</t>
  </si>
  <si>
    <t>DATE#51</t>
  </si>
  <si>
    <t>DATE#52</t>
  </si>
  <si>
    <t>DATE#53</t>
  </si>
  <si>
    <t>DATE#54</t>
  </si>
  <si>
    <t>DATE#55</t>
  </si>
  <si>
    <t>DATE#56</t>
  </si>
  <si>
    <t>DATE#57</t>
  </si>
  <si>
    <t>DATE#58</t>
  </si>
  <si>
    <t>DATE#59</t>
  </si>
  <si>
    <t>DATE#60</t>
  </si>
  <si>
    <t>DATE#61</t>
  </si>
  <si>
    <t>DATE#62</t>
  </si>
  <si>
    <t>DATE#63</t>
  </si>
  <si>
    <t>DATE#64</t>
  </si>
  <si>
    <t>DATE#65</t>
  </si>
  <si>
    <t>DATE#66</t>
  </si>
  <si>
    <t>DATE#67</t>
  </si>
  <si>
    <t>DATE#68</t>
  </si>
  <si>
    <t>DATE#69</t>
  </si>
  <si>
    <t>DATE#70</t>
  </si>
  <si>
    <t>DATE#71</t>
  </si>
  <si>
    <t>DATE#72</t>
  </si>
  <si>
    <t>DATE#73</t>
  </si>
  <si>
    <t>DATE#74</t>
  </si>
  <si>
    <t>DATE#75</t>
  </si>
  <si>
    <t>DATE#76</t>
  </si>
  <si>
    <t>DATE#77</t>
  </si>
  <si>
    <t>DATE#78</t>
  </si>
  <si>
    <t>DATE#79</t>
  </si>
  <si>
    <t>DATE#80</t>
  </si>
  <si>
    <t>DATE#81</t>
  </si>
  <si>
    <t>DATE#82</t>
  </si>
  <si>
    <t>DATE#83</t>
  </si>
  <si>
    <t>DATE#84</t>
  </si>
  <si>
    <t>DATE#85</t>
  </si>
  <si>
    <t>DATE#86</t>
  </si>
  <si>
    <t>DATE#87</t>
  </si>
  <si>
    <t>DATE#88</t>
  </si>
  <si>
    <t>DATE#89</t>
  </si>
  <si>
    <t>DATE#90</t>
  </si>
  <si>
    <t>DATE#91</t>
  </si>
  <si>
    <t>DATE#92</t>
  </si>
  <si>
    <t>DATE#93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</si>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</sst>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17"/>
  <sheetViews>
    <sheetView tabSelected="1" workbookViewId="0"/>
  </sheetViews>
  <sheetFormatPr baseColWidth="10" defaultColWidth="8.83203125" defaultRowHeight="15" x14ac:dyDescent="0.2"/>
  <sheetData>
    <row r="1" spans="1:60" x14ac:dyDescent="0.2">
      <c r="B1">
        <v>4</v>
      </c>
      <c r="C1">
        <v>2</v>
      </c>
      <c r="D1">
        <v>1</v>
      </c>
      <c r="E1">
        <v>1</v>
      </c>
      <c r="F1" t="s">
        <v>0</v>
      </c>
      <c r="G1">
        <v>1</v>
      </c>
      <c r="H1" s="1">
        <v>45657</v>
      </c>
      <c r="I1">
        <v>-10000</v>
      </c>
      <c r="J1">
        <v>-10000</v>
      </c>
      <c r="L1">
        <v>1</v>
      </c>
      <c r="M1" t="s">
        <v>1</v>
      </c>
      <c r="N1">
        <v>10</v>
      </c>
      <c r="P1">
        <v>1</v>
      </c>
      <c r="Q1">
        <v>2</v>
      </c>
      <c r="R1">
        <v>5</v>
      </c>
      <c r="S1">
        <v>6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AA1" t="s">
        <v>2</v>
      </c>
      <c r="AB1" t="s">
        <v>3</v>
      </c>
      <c r="AC1" t="s">
        <v>2</v>
      </c>
      <c r="AD1" t="s">
        <v>2</v>
      </c>
      <c r="AE1" t="s">
        <v>2</v>
      </c>
      <c r="AF1" t="s">
        <v>2</v>
      </c>
      <c r="AG1" t="s">
        <v>2</v>
      </c>
      <c r="AH1">
        <v>0</v>
      </c>
      <c r="AI1">
        <v>0.2</v>
      </c>
      <c r="AK1">
        <v>58</v>
      </c>
      <c r="AL1">
        <v>35</v>
      </c>
      <c r="AM1">
        <v>45.35</v>
      </c>
      <c r="AN1">
        <v>47.65</v>
      </c>
      <c r="AP1" s="1">
        <v>41235</v>
      </c>
      <c r="AQ1">
        <v>0.09</v>
      </c>
      <c r="AR1">
        <v>1</v>
      </c>
      <c r="AS1">
        <v>1</v>
      </c>
      <c r="AT1">
        <v>0</v>
      </c>
      <c r="AU1" s="1">
        <v>39448</v>
      </c>
      <c r="AV1">
        <v>4</v>
      </c>
      <c r="AW1" t="b">
        <v>1</v>
      </c>
      <c r="AX1" t="b">
        <v>1</v>
      </c>
      <c r="AY1">
        <v>3</v>
      </c>
      <c r="AZ1">
        <v>1</v>
      </c>
      <c r="BA1">
        <v>6</v>
      </c>
      <c r="BB1">
        <v>33100</v>
      </c>
      <c r="BC1">
        <v>11</v>
      </c>
      <c r="BD1">
        <v>17</v>
      </c>
      <c r="BE1">
        <v>89</v>
      </c>
      <c r="BF1">
        <v>1</v>
      </c>
      <c r="BG1">
        <v>1</v>
      </c>
      <c r="BH1" t="s">
        <v>7</v>
      </c>
    </row>
    <row r="2" spans="1:60" x14ac:dyDescent="0.2">
      <c r="A2" t="s">
        <v>8</v>
      </c>
      <c r="B2">
        <v>8</v>
      </c>
      <c r="C2">
        <v>7</v>
      </c>
      <c r="D2" t="s">
        <v>8</v>
      </c>
      <c r="E2">
        <v>2</v>
      </c>
      <c r="F2" t="s">
        <v>9</v>
      </c>
      <c r="G2">
        <v>2</v>
      </c>
      <c r="H2" s="1">
        <v>45658</v>
      </c>
      <c r="I2">
        <v>3000</v>
      </c>
      <c r="J2">
        <v>2750</v>
      </c>
      <c r="L2">
        <v>2</v>
      </c>
      <c r="M2" t="s">
        <v>10</v>
      </c>
      <c r="N2">
        <v>20</v>
      </c>
      <c r="P2">
        <v>3</v>
      </c>
      <c r="Q2">
        <v>4</v>
      </c>
      <c r="R2">
        <v>7</v>
      </c>
      <c r="S2">
        <v>8</v>
      </c>
      <c r="U2" t="s">
        <v>11</v>
      </c>
      <c r="V2">
        <v>18</v>
      </c>
      <c r="W2">
        <v>20</v>
      </c>
      <c r="X2">
        <v>14</v>
      </c>
      <c r="Y2">
        <v>105</v>
      </c>
      <c r="AA2" t="s">
        <v>11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H2">
        <v>1</v>
      </c>
      <c r="AI2">
        <v>0.3</v>
      </c>
      <c r="AK2">
        <v>11</v>
      </c>
      <c r="AL2">
        <v>25</v>
      </c>
      <c r="AM2">
        <v>17.559999999999999</v>
      </c>
      <c r="AN2">
        <v>18.440000000000001</v>
      </c>
      <c r="AP2" s="1">
        <v>41247</v>
      </c>
      <c r="AQ2">
        <v>0.11</v>
      </c>
      <c r="AR2">
        <v>-0.5</v>
      </c>
      <c r="AS2">
        <v>2</v>
      </c>
      <c r="AT2">
        <v>10</v>
      </c>
      <c r="AU2" s="1">
        <v>39508</v>
      </c>
      <c r="AV2">
        <v>5</v>
      </c>
      <c r="AW2" t="b">
        <v>0</v>
      </c>
      <c r="AX2" t="b">
        <v>1</v>
      </c>
      <c r="AY2">
        <v>5</v>
      </c>
      <c r="AZ2">
        <v>2</v>
      </c>
      <c r="BA2">
        <v>7</v>
      </c>
      <c r="BB2">
        <v>47300</v>
      </c>
      <c r="BC2">
        <v>12</v>
      </c>
      <c r="BD2">
        <v>18</v>
      </c>
      <c r="BE2">
        <v>88</v>
      </c>
      <c r="BF2">
        <v>2</v>
      </c>
      <c r="BG2">
        <v>2</v>
      </c>
    </row>
    <row r="3" spans="1:60" x14ac:dyDescent="0.2">
      <c r="A3" t="s">
        <v>17</v>
      </c>
      <c r="B3">
        <v>15</v>
      </c>
      <c r="C3">
        <v>11</v>
      </c>
      <c r="D3" t="s">
        <v>17</v>
      </c>
      <c r="E3" t="e">
        <f>1/0</f>
        <v>#DIV/0!</v>
      </c>
      <c r="F3" t="s">
        <v>18</v>
      </c>
      <c r="G3">
        <v>4</v>
      </c>
      <c r="H3" s="1">
        <v>45659</v>
      </c>
      <c r="I3">
        <v>4200</v>
      </c>
      <c r="J3">
        <v>4250</v>
      </c>
      <c r="L3">
        <v>3</v>
      </c>
      <c r="M3" t="s">
        <v>19</v>
      </c>
      <c r="N3">
        <v>30</v>
      </c>
      <c r="U3" t="s">
        <v>13</v>
      </c>
      <c r="V3">
        <v>12</v>
      </c>
      <c r="W3">
        <v>12</v>
      </c>
      <c r="X3">
        <v>10</v>
      </c>
      <c r="Y3">
        <v>96</v>
      </c>
      <c r="AH3">
        <v>2</v>
      </c>
      <c r="AI3">
        <v>0.1</v>
      </c>
      <c r="AK3">
        <v>10</v>
      </c>
      <c r="AL3">
        <v>23</v>
      </c>
      <c r="AM3">
        <v>16.09</v>
      </c>
      <c r="AN3">
        <v>16.91</v>
      </c>
      <c r="AP3" s="1">
        <v>41295</v>
      </c>
      <c r="AQ3">
        <v>0.1</v>
      </c>
      <c r="AR3">
        <v>4.1666666666666699E-2</v>
      </c>
      <c r="AS3">
        <v>2</v>
      </c>
      <c r="AT3">
        <v>20</v>
      </c>
      <c r="AU3" s="1">
        <v>39751</v>
      </c>
      <c r="AV3">
        <v>8</v>
      </c>
      <c r="AW3" t="s">
        <v>17</v>
      </c>
      <c r="AX3">
        <v>1</v>
      </c>
      <c r="AY3">
        <v>7</v>
      </c>
      <c r="AZ3">
        <v>3</v>
      </c>
      <c r="BB3">
        <v>69000</v>
      </c>
      <c r="BC3">
        <v>13</v>
      </c>
      <c r="BE3">
        <v>92</v>
      </c>
      <c r="BF3">
        <v>2</v>
      </c>
      <c r="BG3">
        <v>3</v>
      </c>
      <c r="BH3" t="s">
        <v>20</v>
      </c>
    </row>
    <row r="4" spans="1:60" x14ac:dyDescent="0.2">
      <c r="A4" t="b">
        <v>1</v>
      </c>
      <c r="B4">
        <v>16</v>
      </c>
      <c r="C4">
        <v>19</v>
      </c>
      <c r="D4" t="b">
        <v>1</v>
      </c>
      <c r="E4">
        <v>4</v>
      </c>
      <c r="F4" t="s">
        <v>21</v>
      </c>
      <c r="G4">
        <v>8</v>
      </c>
      <c r="H4" s="1">
        <v>45689</v>
      </c>
      <c r="I4">
        <v>6800</v>
      </c>
      <c r="J4">
        <v>3250</v>
      </c>
      <c r="L4">
        <v>5</v>
      </c>
      <c r="M4" t="s">
        <v>22</v>
      </c>
      <c r="N4">
        <v>50</v>
      </c>
      <c r="P4">
        <v>1</v>
      </c>
      <c r="Q4">
        <v>2</v>
      </c>
      <c r="R4">
        <v>3</v>
      </c>
      <c r="U4" t="s">
        <v>15</v>
      </c>
      <c r="V4">
        <v>13</v>
      </c>
      <c r="W4">
        <v>14</v>
      </c>
      <c r="X4">
        <v>9</v>
      </c>
      <c r="Y4">
        <v>105</v>
      </c>
      <c r="AH4">
        <v>3</v>
      </c>
      <c r="AI4">
        <v>0.4</v>
      </c>
      <c r="AP4" s="1">
        <v>39778</v>
      </c>
      <c r="AR4">
        <v>-1.38888888888889E-3</v>
      </c>
      <c r="AS4" t="s">
        <v>7</v>
      </c>
      <c r="AU4" s="1">
        <v>39859</v>
      </c>
      <c r="AV4">
        <v>7</v>
      </c>
      <c r="AY4">
        <v>10</v>
      </c>
      <c r="AZ4">
        <v>4</v>
      </c>
      <c r="BB4">
        <v>102000</v>
      </c>
      <c r="BC4">
        <v>14</v>
      </c>
      <c r="BE4">
        <v>101</v>
      </c>
      <c r="BF4">
        <v>3</v>
      </c>
      <c r="BG4">
        <v>4</v>
      </c>
    </row>
    <row r="5" spans="1:60" x14ac:dyDescent="0.2">
      <c r="A5" t="b">
        <v>0</v>
      </c>
      <c r="B5">
        <v>23</v>
      </c>
      <c r="C5">
        <v>21</v>
      </c>
      <c r="E5">
        <v>5</v>
      </c>
      <c r="F5" t="s">
        <v>23</v>
      </c>
      <c r="G5">
        <v>16</v>
      </c>
      <c r="H5" s="1">
        <v>45717</v>
      </c>
      <c r="I5">
        <v>1200</v>
      </c>
      <c r="J5">
        <v>2750</v>
      </c>
      <c r="L5">
        <v>8</v>
      </c>
      <c r="M5" t="s">
        <v>24</v>
      </c>
      <c r="N5">
        <v>80</v>
      </c>
      <c r="P5">
        <v>4</v>
      </c>
      <c r="Q5">
        <v>5</v>
      </c>
      <c r="R5">
        <v>6</v>
      </c>
      <c r="U5" t="s">
        <v>11</v>
      </c>
      <c r="V5">
        <v>14</v>
      </c>
      <c r="W5">
        <v>15</v>
      </c>
      <c r="X5">
        <v>10</v>
      </c>
      <c r="Y5">
        <v>75</v>
      </c>
      <c r="AK5">
        <v>58</v>
      </c>
      <c r="AL5" t="s">
        <v>25</v>
      </c>
      <c r="AP5" s="1">
        <v>39786</v>
      </c>
      <c r="AS5" t="s">
        <v>26</v>
      </c>
      <c r="AU5" s="1">
        <v>39904</v>
      </c>
      <c r="AV5">
        <v>11</v>
      </c>
      <c r="AY5">
        <v>11</v>
      </c>
      <c r="AZ5">
        <v>5</v>
      </c>
      <c r="BB5">
        <v>150000</v>
      </c>
      <c r="BC5">
        <v>15</v>
      </c>
      <c r="BE5">
        <v>94</v>
      </c>
      <c r="BF5">
        <v>5</v>
      </c>
      <c r="BG5">
        <v>3</v>
      </c>
    </row>
    <row r="6" spans="1:60" x14ac:dyDescent="0.2">
      <c r="A6" s="1">
        <v>45688</v>
      </c>
      <c r="B6">
        <v>42</v>
      </c>
      <c r="C6">
        <v>40</v>
      </c>
      <c r="D6">
        <v>5</v>
      </c>
      <c r="E6">
        <v>6</v>
      </c>
      <c r="F6" t="s">
        <v>27</v>
      </c>
      <c r="G6">
        <v>32</v>
      </c>
      <c r="H6" s="1">
        <v>45473</v>
      </c>
      <c r="L6">
        <v>13</v>
      </c>
      <c r="M6" t="s">
        <v>28</v>
      </c>
      <c r="N6">
        <v>130</v>
      </c>
      <c r="U6" t="s">
        <v>13</v>
      </c>
      <c r="V6">
        <v>9</v>
      </c>
      <c r="W6">
        <v>8</v>
      </c>
      <c r="X6">
        <v>8</v>
      </c>
      <c r="Y6">
        <v>76.8</v>
      </c>
      <c r="AK6">
        <v>11</v>
      </c>
      <c r="AP6" s="1">
        <v>39834</v>
      </c>
      <c r="AS6">
        <v>3</v>
      </c>
      <c r="AV6">
        <v>4</v>
      </c>
      <c r="BB6">
        <v>220000</v>
      </c>
      <c r="BC6">
        <v>16</v>
      </c>
      <c r="BE6">
        <v>97</v>
      </c>
      <c r="BF6">
        <v>2</v>
      </c>
      <c r="BG6">
        <v>2</v>
      </c>
    </row>
    <row r="7" spans="1:60" x14ac:dyDescent="0.2">
      <c r="A7" t="e">
        <f>1/0</f>
        <v>#DIV/0!</v>
      </c>
      <c r="B7">
        <v>-3.5</v>
      </c>
      <c r="C7">
        <v>-1</v>
      </c>
      <c r="D7" t="b">
        <v>0</v>
      </c>
      <c r="E7">
        <v>7</v>
      </c>
      <c r="F7" t="s">
        <v>29</v>
      </c>
      <c r="G7">
        <v>64</v>
      </c>
      <c r="H7" s="1">
        <v>46022</v>
      </c>
      <c r="I7">
        <v>-10000</v>
      </c>
      <c r="J7">
        <v>100</v>
      </c>
      <c r="U7" t="s">
        <v>11</v>
      </c>
      <c r="V7">
        <v>8</v>
      </c>
      <c r="W7">
        <v>9</v>
      </c>
      <c r="X7">
        <v>6</v>
      </c>
      <c r="Y7">
        <v>45</v>
      </c>
      <c r="AK7" t="b">
        <v>1</v>
      </c>
      <c r="AL7">
        <v>23</v>
      </c>
      <c r="AP7" s="1">
        <v>38719</v>
      </c>
      <c r="AS7">
        <v>1</v>
      </c>
      <c r="AU7" s="1">
        <v>39508</v>
      </c>
      <c r="AV7">
        <v>3</v>
      </c>
      <c r="BE7">
        <v>95</v>
      </c>
      <c r="BG7">
        <v>1</v>
      </c>
    </row>
    <row r="8" spans="1:60" x14ac:dyDescent="0.2">
      <c r="A8" t="e">
        <f>NA()</f>
        <v>#N/A</v>
      </c>
      <c r="B8">
        <v>10.25</v>
      </c>
      <c r="C8">
        <v>9</v>
      </c>
      <c r="D8">
        <v>3.5</v>
      </c>
      <c r="E8">
        <v>8</v>
      </c>
      <c r="I8" t="s">
        <v>30</v>
      </c>
      <c r="J8">
        <v>200</v>
      </c>
      <c r="L8">
        <v>1</v>
      </c>
      <c r="M8">
        <v>2</v>
      </c>
      <c r="N8">
        <v>3</v>
      </c>
      <c r="O8">
        <v>5</v>
      </c>
      <c r="P8">
        <v>8</v>
      </c>
      <c r="Q8">
        <v>13</v>
      </c>
      <c r="AP8" s="1">
        <v>38733</v>
      </c>
      <c r="AS8" t="s">
        <v>31</v>
      </c>
      <c r="AU8" s="1">
        <v>39448</v>
      </c>
      <c r="BG8">
        <v>2</v>
      </c>
    </row>
    <row r="9" spans="1:60" x14ac:dyDescent="0.2">
      <c r="A9" t="s">
        <v>32</v>
      </c>
      <c r="I9">
        <v>4200</v>
      </c>
      <c r="J9">
        <v>300</v>
      </c>
      <c r="L9" t="s">
        <v>1</v>
      </c>
      <c r="M9" t="s">
        <v>10</v>
      </c>
      <c r="N9" t="s">
        <v>19</v>
      </c>
      <c r="O9" t="s">
        <v>22</v>
      </c>
      <c r="P9" t="s">
        <v>24</v>
      </c>
      <c r="Q9" t="s">
        <v>28</v>
      </c>
      <c r="AK9">
        <v>58</v>
      </c>
      <c r="AL9">
        <v>35</v>
      </c>
      <c r="AU9" s="1">
        <v>39751</v>
      </c>
      <c r="BG9">
        <v>3</v>
      </c>
    </row>
    <row r="10" spans="1:60" x14ac:dyDescent="0.2">
      <c r="A10" t="s">
        <v>33</v>
      </c>
      <c r="J10">
        <v>400</v>
      </c>
      <c r="L10">
        <v>10</v>
      </c>
      <c r="M10">
        <v>20</v>
      </c>
      <c r="N10">
        <v>30</v>
      </c>
      <c r="O10">
        <v>50</v>
      </c>
      <c r="P10">
        <v>80</v>
      </c>
      <c r="Q10">
        <v>130</v>
      </c>
      <c r="AK10">
        <v>11</v>
      </c>
      <c r="AL10" t="e">
        <f>1/0</f>
        <v>#DIV/0!</v>
      </c>
      <c r="AU10" s="1">
        <v>39859</v>
      </c>
      <c r="BG10">
        <v>5</v>
      </c>
    </row>
    <row r="11" spans="1:60" x14ac:dyDescent="0.2">
      <c r="A11" t="s">
        <v>34</v>
      </c>
      <c r="I11">
        <v>6800</v>
      </c>
      <c r="J11">
        <v>500</v>
      </c>
      <c r="AK11">
        <v>10</v>
      </c>
      <c r="AL11">
        <v>23</v>
      </c>
      <c r="AU11" s="1">
        <v>39904</v>
      </c>
      <c r="BG11">
        <v>6</v>
      </c>
    </row>
    <row r="12" spans="1:60" x14ac:dyDescent="0.2">
      <c r="A12">
        <v>0</v>
      </c>
      <c r="BG12">
        <v>1</v>
      </c>
    </row>
    <row r="13" spans="1:60" x14ac:dyDescent="0.2">
      <c r="A13" t="str">
        <f>""</f>
        <v/>
      </c>
      <c r="I13">
        <v>-10000</v>
      </c>
    </row>
    <row r="14" spans="1:60" x14ac:dyDescent="0.2">
      <c r="A14" t="str">
        <f>CHAR(9)&amp;"abc"&amp;CHAR(10)</f>
        <v xml:space="preserve">	abc
</v>
      </c>
      <c r="I14">
        <v>3000</v>
      </c>
    </row>
    <row r="15" spans="1:60" x14ac:dyDescent="0.2">
      <c r="A15">
        <v>45688.75</v>
      </c>
      <c r="I15" t="e">
        <f>NA()</f>
        <v>#N/A</v>
      </c>
    </row>
    <row r="16" spans="1:60" x14ac:dyDescent="0.2">
      <c r="I16">
        <v>6800</v>
      </c>
    </row>
    <row r="17" spans="9:9" x14ac:dyDescent="0.2">
      <c r="I17">
        <v>1200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4"/>
  <sheetViews>
    <sheetView workbookViewId="0"/>
  </sheetViews>
  <sheetFormatPr baseColWidth="10" defaultColWidth="8.83203125" defaultRowHeight="15" x14ac:dyDescent="0.2"/>
  <sheetData>
    <row r="1" spans="1:5" x14ac:dyDescent="0.2">
      <c r="A1" cm="1">
        <f t="array" ref="A1">DATE(2025,1,32766)</f>
        <v>78423</v>
      </c>
      <c r="B1">
        <f t="shared" ref="B1:B32" si="0">IF(ISERROR(A1),ERROR.TYPE(A1),IF(ISNUMBER(A1),0,IF(ISLOGICAL(A1),IF(A1,-1,-2),IF(ISTEXT(A1),-3,-4))))</f>
        <v>0</v>
      </c>
      <c r="C1">
        <f t="shared" ref="C1:C32" si="1">IF(ISNUMBER(A1),A1,0)</f>
        <v>78423</v>
      </c>
      <c r="D1" t="str">
        <f t="shared" ref="D1:D32" si="2">IF(ISTEXT(A1),A1,"")</f>
        <v/>
      </c>
      <c r="E1" t="s">
        <v>35</v>
      </c>
    </row>
    <row r="2" spans="1:5" x14ac:dyDescent="0.2">
      <c r="A2" cm="1">
        <f t="array" ref="A2">DATE(2025,1,32767)</f>
        <v>78424</v>
      </c>
      <c r="B2">
        <f t="shared" si="0"/>
        <v>0</v>
      </c>
      <c r="C2">
        <f t="shared" si="1"/>
        <v>78424</v>
      </c>
      <c r="D2" t="str">
        <f t="shared" si="2"/>
        <v/>
      </c>
      <c r="E2" t="s">
        <v>36</v>
      </c>
    </row>
    <row r="3" spans="1:5" x14ac:dyDescent="0.2">
      <c r="A3" cm="1">
        <f t="array" ref="A3">DATE(2025,1,32768)</f>
        <v>78424</v>
      </c>
      <c r="B3">
        <f t="shared" si="0"/>
        <v>0</v>
      </c>
      <c r="C3">
        <f t="shared" si="1"/>
        <v>78424</v>
      </c>
      <c r="D3" t="str">
        <f t="shared" si="2"/>
        <v/>
      </c>
      <c r="E3" t="s">
        <v>37</v>
      </c>
    </row>
    <row r="4" spans="1:5" x14ac:dyDescent="0.2">
      <c r="A4" cm="1">
        <f t="array" ref="A4">DATE(2025,1,32769)</f>
        <v>78424</v>
      </c>
      <c r="B4">
        <f t="shared" si="0"/>
        <v>0</v>
      </c>
      <c r="C4">
        <f t="shared" si="1"/>
        <v>78424</v>
      </c>
      <c r="D4" t="str">
        <f t="shared" si="2"/>
        <v/>
      </c>
      <c r="E4" t="s">
        <v>38</v>
      </c>
    </row>
    <row r="5" spans="1:5" x14ac:dyDescent="0.2">
      <c r="A5" cm="1">
        <f t="array" ref="A5">DATE(2025,1,40000)</f>
        <v>78424</v>
      </c>
      <c r="B5">
        <f t="shared" si="0"/>
        <v>0</v>
      </c>
      <c r="C5">
        <f t="shared" si="1"/>
        <v>78424</v>
      </c>
      <c r="D5" t="str">
        <f t="shared" si="2"/>
        <v/>
      </c>
      <c r="E5" t="s">
        <v>39</v>
      </c>
    </row>
    <row r="6" spans="1:5" x14ac:dyDescent="0.2">
      <c r="A6" cm="1">
        <f t="array" ref="A6">DATE(2025,1,46143)</f>
        <v>78424</v>
      </c>
      <c r="B6">
        <f t="shared" si="0"/>
        <v>0</v>
      </c>
      <c r="C6">
        <f t="shared" si="1"/>
        <v>78424</v>
      </c>
      <c r="D6" t="str">
        <f t="shared" si="2"/>
        <v/>
      </c>
      <c r="E6" t="s">
        <v>40</v>
      </c>
    </row>
    <row r="7" spans="1:5" x14ac:dyDescent="0.2">
      <c r="A7" cm="1">
        <f t="array" ref="A7">DATE(2025,1,65535)</f>
        <v>78424</v>
      </c>
      <c r="B7">
        <f t="shared" si="0"/>
        <v>0</v>
      </c>
      <c r="C7">
        <f t="shared" si="1"/>
        <v>78424</v>
      </c>
      <c r="D7" t="str">
        <f t="shared" si="2"/>
        <v/>
      </c>
      <c r="E7" t="s">
        <v>41</v>
      </c>
    </row>
    <row r="8" spans="1:5" x14ac:dyDescent="0.2">
      <c r="A8" cm="1">
        <f t="array" ref="A8">DATE(2025,1,65536)</f>
        <v>78424</v>
      </c>
      <c r="B8">
        <f t="shared" si="0"/>
        <v>0</v>
      </c>
      <c r="C8">
        <f t="shared" si="1"/>
        <v>78424</v>
      </c>
      <c r="D8" t="str">
        <f t="shared" si="2"/>
        <v/>
      </c>
      <c r="E8" t="s">
        <v>42</v>
      </c>
    </row>
    <row r="9" spans="1:5" x14ac:dyDescent="0.2">
      <c r="A9" cm="1">
        <f t="array" ref="A9">DATE(2025,1,65537)</f>
        <v>78424</v>
      </c>
      <c r="B9">
        <f t="shared" si="0"/>
        <v>0</v>
      </c>
      <c r="C9">
        <f t="shared" si="1"/>
        <v>78424</v>
      </c>
      <c r="D9" t="str">
        <f t="shared" si="2"/>
        <v/>
      </c>
      <c r="E9" t="s">
        <v>43</v>
      </c>
    </row>
    <row r="10" spans="1:5" x14ac:dyDescent="0.2">
      <c r="A10" cm="1">
        <f t="array" ref="A10">DATE(2025,1,100000)</f>
        <v>78424</v>
      </c>
      <c r="B10">
        <f t="shared" si="0"/>
        <v>0</v>
      </c>
      <c r="C10">
        <f t="shared" si="1"/>
        <v>78424</v>
      </c>
      <c r="D10" t="str">
        <f t="shared" si="2"/>
        <v/>
      </c>
      <c r="E10" t="s">
        <v>44</v>
      </c>
    </row>
    <row r="11" spans="1:5" x14ac:dyDescent="0.2">
      <c r="A11" cm="1">
        <f t="array" ref="A11">DATE(2025,1,10000000000)</f>
        <v>78424</v>
      </c>
      <c r="B11">
        <f t="shared" si="0"/>
        <v>0</v>
      </c>
      <c r="C11">
        <f t="shared" si="1"/>
        <v>78424</v>
      </c>
      <c r="D11" t="str">
        <f t="shared" si="2"/>
        <v/>
      </c>
      <c r="E11" t="s">
        <v>45</v>
      </c>
    </row>
    <row r="12" spans="1:5" x14ac:dyDescent="0.2">
      <c r="A12" cm="1">
        <f t="array" ref="A12">DATE(2025,1,-32767)</f>
        <v>12890</v>
      </c>
      <c r="B12">
        <f t="shared" si="0"/>
        <v>0</v>
      </c>
      <c r="C12">
        <f t="shared" si="1"/>
        <v>12890</v>
      </c>
      <c r="D12" t="str">
        <f t="shared" si="2"/>
        <v/>
      </c>
      <c r="E12" t="s">
        <v>46</v>
      </c>
    </row>
    <row r="13" spans="1:5" x14ac:dyDescent="0.2">
      <c r="A13" cm="1">
        <f t="array" ref="A13">DATE(2025,1,-32768)</f>
        <v>12889</v>
      </c>
      <c r="B13">
        <f t="shared" si="0"/>
        <v>0</v>
      </c>
      <c r="C13">
        <f t="shared" si="1"/>
        <v>12889</v>
      </c>
      <c r="D13" t="str">
        <f t="shared" si="2"/>
        <v/>
      </c>
      <c r="E13" t="s">
        <v>47</v>
      </c>
    </row>
    <row r="14" spans="1:5" x14ac:dyDescent="0.2">
      <c r="A14" cm="1">
        <f t="array" ref="A14">DATE(2025,1,-32769)</f>
        <v>78424</v>
      </c>
      <c r="B14">
        <f t="shared" si="0"/>
        <v>0</v>
      </c>
      <c r="C14">
        <f t="shared" si="1"/>
        <v>78424</v>
      </c>
      <c r="D14" t="str">
        <f t="shared" si="2"/>
        <v/>
      </c>
      <c r="E14" t="s">
        <v>48</v>
      </c>
    </row>
    <row r="15" spans="1:5" x14ac:dyDescent="0.2">
      <c r="A15" cm="1">
        <f t="array" ref="A15">DATE(2025,1,-40000)</f>
        <v>78424</v>
      </c>
      <c r="B15">
        <f t="shared" si="0"/>
        <v>0</v>
      </c>
      <c r="C15">
        <f t="shared" si="1"/>
        <v>78424</v>
      </c>
      <c r="D15" t="str">
        <f t="shared" si="2"/>
        <v/>
      </c>
      <c r="E15" t="s">
        <v>49</v>
      </c>
    </row>
    <row r="16" spans="1:5" x14ac:dyDescent="0.2">
      <c r="A16" cm="1">
        <f t="array" ref="A16">DATE(2025,1,-65536)</f>
        <v>78424</v>
      </c>
      <c r="B16">
        <f t="shared" si="0"/>
        <v>0</v>
      </c>
      <c r="C16">
        <f t="shared" si="1"/>
        <v>78424</v>
      </c>
      <c r="D16" t="str">
        <f t="shared" si="2"/>
        <v/>
      </c>
      <c r="E16" t="s">
        <v>50</v>
      </c>
    </row>
    <row r="17" spans="1:5" x14ac:dyDescent="0.2">
      <c r="A17" cm="1">
        <f t="array" ref="A17">DATE(2025,1,-100000)</f>
        <v>78424</v>
      </c>
      <c r="B17">
        <f t="shared" si="0"/>
        <v>0</v>
      </c>
      <c r="C17">
        <f t="shared" si="1"/>
        <v>78424</v>
      </c>
      <c r="D17" t="str">
        <f t="shared" si="2"/>
        <v/>
      </c>
      <c r="E17" t="s">
        <v>51</v>
      </c>
    </row>
    <row r="18" spans="1:5" x14ac:dyDescent="0.2">
      <c r="A18" cm="1">
        <f t="array" ref="A18">DATE(2025,1,32767.5)</f>
        <v>78424</v>
      </c>
      <c r="B18">
        <f t="shared" si="0"/>
        <v>0</v>
      </c>
      <c r="C18">
        <f t="shared" si="1"/>
        <v>78424</v>
      </c>
      <c r="D18" t="str">
        <f t="shared" si="2"/>
        <v/>
      </c>
      <c r="E18" t="s">
        <v>52</v>
      </c>
    </row>
    <row r="19" spans="1:5" x14ac:dyDescent="0.2">
      <c r="A19" cm="1">
        <f t="array" ref="A19">DATE(2025,1,32768.5)</f>
        <v>78424</v>
      </c>
      <c r="B19">
        <f t="shared" si="0"/>
        <v>0</v>
      </c>
      <c r="C19">
        <f t="shared" si="1"/>
        <v>78424</v>
      </c>
      <c r="D19" t="str">
        <f t="shared" si="2"/>
        <v/>
      </c>
      <c r="E19" t="s">
        <v>53</v>
      </c>
    </row>
    <row r="20" spans="1:5" x14ac:dyDescent="0.2">
      <c r="A20" cm="1">
        <f t="array" ref="A20">DATE(2025,1,-32768.5)</f>
        <v>78424</v>
      </c>
      <c r="B20">
        <f t="shared" si="0"/>
        <v>0</v>
      </c>
      <c r="C20">
        <f t="shared" si="1"/>
        <v>78424</v>
      </c>
      <c r="D20" t="str">
        <f t="shared" si="2"/>
        <v/>
      </c>
      <c r="E20" t="s">
        <v>54</v>
      </c>
    </row>
    <row r="21" spans="1:5" x14ac:dyDescent="0.2">
      <c r="A21" cm="1">
        <f t="array" ref="A21">DATE(1950,7,32767)</f>
        <v>51211</v>
      </c>
      <c r="B21">
        <f t="shared" si="0"/>
        <v>0</v>
      </c>
      <c r="C21">
        <f t="shared" si="1"/>
        <v>51211</v>
      </c>
      <c r="D21" t="str">
        <f t="shared" si="2"/>
        <v/>
      </c>
      <c r="E21" t="s">
        <v>55</v>
      </c>
    </row>
    <row r="22" spans="1:5" x14ac:dyDescent="0.2">
      <c r="A22" cm="1">
        <f t="array" ref="A22">DATE(1950,7,32768)</f>
        <v>51211</v>
      </c>
      <c r="B22">
        <f t="shared" si="0"/>
        <v>0</v>
      </c>
      <c r="C22">
        <f t="shared" si="1"/>
        <v>51211</v>
      </c>
      <c r="D22" t="str">
        <f t="shared" si="2"/>
        <v/>
      </c>
      <c r="E22" t="s">
        <v>56</v>
      </c>
    </row>
    <row r="23" spans="1:5" x14ac:dyDescent="0.2">
      <c r="A23" t="e" cm="1">
        <f t="array" ref="A23">DATE(1950,7,-32768)</f>
        <v>#NUM!</v>
      </c>
      <c r="B23">
        <f t="shared" si="0"/>
        <v>6</v>
      </c>
      <c r="C23">
        <f t="shared" si="1"/>
        <v>0</v>
      </c>
      <c r="D23" t="str">
        <f t="shared" si="2"/>
        <v/>
      </c>
      <c r="E23" t="s">
        <v>57</v>
      </c>
    </row>
    <row r="24" spans="1:5" x14ac:dyDescent="0.2">
      <c r="A24" cm="1">
        <f t="array" ref="A24">DATE(1950,7,-32769)</f>
        <v>51211</v>
      </c>
      <c r="B24">
        <f t="shared" si="0"/>
        <v>0</v>
      </c>
      <c r="C24">
        <f t="shared" si="1"/>
        <v>51211</v>
      </c>
      <c r="D24" t="str">
        <f t="shared" si="2"/>
        <v/>
      </c>
      <c r="E24" t="s">
        <v>58</v>
      </c>
    </row>
    <row r="25" spans="1:5" x14ac:dyDescent="0.2">
      <c r="A25" t="e" cm="1">
        <f t="array" ref="A25">DATE(2000,32767,1)</f>
        <v>#NUM!</v>
      </c>
      <c r="B25">
        <f t="shared" si="0"/>
        <v>6</v>
      </c>
      <c r="C25">
        <f t="shared" si="1"/>
        <v>0</v>
      </c>
      <c r="D25" t="str">
        <f t="shared" si="2"/>
        <v/>
      </c>
      <c r="E25" t="s">
        <v>59</v>
      </c>
    </row>
    <row r="26" spans="1:5" x14ac:dyDescent="0.2">
      <c r="A26" t="e" cm="1">
        <f t="array" ref="A26">DATE(2000,32768,1)</f>
        <v>#NUM!</v>
      </c>
      <c r="B26">
        <f t="shared" si="0"/>
        <v>6</v>
      </c>
      <c r="C26">
        <f t="shared" si="1"/>
        <v>0</v>
      </c>
      <c r="D26" t="str">
        <f t="shared" si="2"/>
        <v/>
      </c>
      <c r="E26" t="s">
        <v>60</v>
      </c>
    </row>
    <row r="27" spans="1:5" x14ac:dyDescent="0.2">
      <c r="A27" t="e" cm="1">
        <f t="array" ref="A27">DATE(2000,-32768,1)</f>
        <v>#NUM!</v>
      </c>
      <c r="B27">
        <f t="shared" si="0"/>
        <v>6</v>
      </c>
      <c r="C27">
        <f t="shared" si="1"/>
        <v>0</v>
      </c>
      <c r="D27" t="str">
        <f t="shared" si="2"/>
        <v/>
      </c>
      <c r="E27" t="s">
        <v>61</v>
      </c>
    </row>
    <row r="28" spans="1:5" x14ac:dyDescent="0.2">
      <c r="A28" t="e" cm="1">
        <f t="array" ref="A28">DATE(2000,-32769,1)</f>
        <v>#NUM!</v>
      </c>
      <c r="B28">
        <f t="shared" si="0"/>
        <v>6</v>
      </c>
      <c r="C28">
        <f t="shared" si="1"/>
        <v>0</v>
      </c>
      <c r="D28" t="str">
        <f t="shared" si="2"/>
        <v/>
      </c>
      <c r="E28" t="s">
        <v>62</v>
      </c>
    </row>
    <row r="29" spans="1:5" x14ac:dyDescent="0.2">
      <c r="A29" cm="1">
        <f t="array" ref="A29">DATE(2000,1000,1)</f>
        <v>66932</v>
      </c>
      <c r="B29">
        <f t="shared" si="0"/>
        <v>0</v>
      </c>
      <c r="C29">
        <f t="shared" si="1"/>
        <v>66932</v>
      </c>
      <c r="D29" t="str">
        <f t="shared" si="2"/>
        <v/>
      </c>
      <c r="E29" t="s">
        <v>63</v>
      </c>
    </row>
    <row r="30" spans="1:5" x14ac:dyDescent="0.2">
      <c r="A30" cm="1">
        <f t="array" ref="A30">DATE(2000,-1000,1)</f>
        <v>6058</v>
      </c>
      <c r="B30">
        <f t="shared" si="0"/>
        <v>0</v>
      </c>
      <c r="C30">
        <f t="shared" si="1"/>
        <v>6058</v>
      </c>
      <c r="D30" t="str">
        <f t="shared" si="2"/>
        <v/>
      </c>
      <c r="E30" t="s">
        <v>64</v>
      </c>
    </row>
    <row r="31" spans="1:5" x14ac:dyDescent="0.2">
      <c r="A31" cm="1">
        <f t="array" ref="A31">DATE(1900,2000,1)</f>
        <v>60845</v>
      </c>
      <c r="B31">
        <f t="shared" si="0"/>
        <v>0</v>
      </c>
      <c r="C31">
        <f t="shared" si="1"/>
        <v>60845</v>
      </c>
      <c r="D31" t="str">
        <f t="shared" si="2"/>
        <v/>
      </c>
      <c r="E31" t="s">
        <v>65</v>
      </c>
    </row>
    <row r="32" spans="1:5" x14ac:dyDescent="0.2">
      <c r="A32" cm="1">
        <f t="array" ref="A32">DATE(2000,2000,1)</f>
        <v>97369</v>
      </c>
      <c r="B32">
        <f t="shared" si="0"/>
        <v>0</v>
      </c>
      <c r="C32">
        <f t="shared" si="1"/>
        <v>97369</v>
      </c>
      <c r="D32" t="str">
        <f t="shared" si="2"/>
        <v/>
      </c>
      <c r="E32" t="s">
        <v>66</v>
      </c>
    </row>
    <row r="33" spans="1:5" x14ac:dyDescent="0.2">
      <c r="A33" cm="1">
        <f t="array" ref="A33">DATE(5000,2000,1)</f>
        <v>1193096</v>
      </c>
      <c r="B33">
        <f t="shared" ref="B33:B64" si="3">IF(ISERROR(A33),ERROR.TYPE(A33),IF(ISNUMBER(A33),0,IF(ISLOGICAL(A33),IF(A33,-1,-2),IF(ISTEXT(A33),-3,-4))))</f>
        <v>0</v>
      </c>
      <c r="C33">
        <f t="shared" ref="C33:C64" si="4">IF(ISNUMBER(A33),A33,0)</f>
        <v>1193096</v>
      </c>
      <c r="D33" t="str">
        <f t="shared" ref="D33:D64" si="5">IF(ISTEXT(A33),A33,"")</f>
        <v/>
      </c>
      <c r="E33" t="s">
        <v>67</v>
      </c>
    </row>
    <row r="34" spans="1:5" x14ac:dyDescent="0.2">
      <c r="A34" cm="1">
        <f t="array" ref="A34">DATE(1900,4000,1)</f>
        <v>121718</v>
      </c>
      <c r="B34">
        <f t="shared" si="3"/>
        <v>0</v>
      </c>
      <c r="C34">
        <f t="shared" si="4"/>
        <v>121718</v>
      </c>
      <c r="D34" t="str">
        <f t="shared" si="5"/>
        <v/>
      </c>
      <c r="E34" t="s">
        <v>68</v>
      </c>
    </row>
    <row r="35" spans="1:5" x14ac:dyDescent="0.2">
      <c r="A35" cm="1">
        <f t="array" ref="A35">DATE(2000,4000,1)</f>
        <v>158242</v>
      </c>
      <c r="B35">
        <f t="shared" si="3"/>
        <v>0</v>
      </c>
      <c r="C35">
        <f t="shared" si="4"/>
        <v>158242</v>
      </c>
      <c r="D35" t="str">
        <f t="shared" si="5"/>
        <v/>
      </c>
      <c r="E35" t="s">
        <v>69</v>
      </c>
    </row>
    <row r="36" spans="1:5" x14ac:dyDescent="0.2">
      <c r="A36" cm="1">
        <f t="array" ref="A36">DATE(5000,4000,1)</f>
        <v>1253970</v>
      </c>
      <c r="B36">
        <f t="shared" si="3"/>
        <v>0</v>
      </c>
      <c r="C36">
        <f t="shared" si="4"/>
        <v>1253970</v>
      </c>
      <c r="D36" t="str">
        <f t="shared" si="5"/>
        <v/>
      </c>
      <c r="E36" t="s">
        <v>70</v>
      </c>
    </row>
    <row r="37" spans="1:5" x14ac:dyDescent="0.2">
      <c r="A37" cm="1">
        <f t="array" ref="A37">DATE(1900,8000,1)</f>
        <v>243466</v>
      </c>
      <c r="B37">
        <f t="shared" si="3"/>
        <v>0</v>
      </c>
      <c r="C37">
        <f t="shared" si="4"/>
        <v>243466</v>
      </c>
      <c r="D37" t="str">
        <f t="shared" si="5"/>
        <v/>
      </c>
      <c r="E37" t="s">
        <v>71</v>
      </c>
    </row>
    <row r="38" spans="1:5" x14ac:dyDescent="0.2">
      <c r="A38" cm="1">
        <f t="array" ref="A38">DATE(2000,8000,1)</f>
        <v>279990</v>
      </c>
      <c r="B38">
        <f t="shared" si="3"/>
        <v>0</v>
      </c>
      <c r="C38">
        <f t="shared" si="4"/>
        <v>279990</v>
      </c>
      <c r="D38" t="str">
        <f t="shared" si="5"/>
        <v/>
      </c>
      <c r="E38" t="s">
        <v>72</v>
      </c>
    </row>
    <row r="39" spans="1:5" x14ac:dyDescent="0.2">
      <c r="A39" cm="1">
        <f t="array" ref="A39">DATE(5000,8000,1)</f>
        <v>1375718</v>
      </c>
      <c r="B39">
        <f t="shared" si="3"/>
        <v>0</v>
      </c>
      <c r="C39">
        <f t="shared" si="4"/>
        <v>1375718</v>
      </c>
      <c r="D39" t="str">
        <f t="shared" si="5"/>
        <v/>
      </c>
      <c r="E39" t="s">
        <v>73</v>
      </c>
    </row>
    <row r="40" spans="1:5" x14ac:dyDescent="0.2">
      <c r="A40" cm="1">
        <f t="array" ref="A40">DATE(1900,12000,1)</f>
        <v>365214</v>
      </c>
      <c r="B40">
        <f t="shared" si="3"/>
        <v>0</v>
      </c>
      <c r="C40">
        <f t="shared" si="4"/>
        <v>365214</v>
      </c>
      <c r="D40" t="str">
        <f t="shared" si="5"/>
        <v/>
      </c>
      <c r="E40" t="s">
        <v>74</v>
      </c>
    </row>
    <row r="41" spans="1:5" x14ac:dyDescent="0.2">
      <c r="A41" cm="1">
        <f t="array" ref="A41">DATE(2000,12000,1)</f>
        <v>401738</v>
      </c>
      <c r="B41">
        <f t="shared" si="3"/>
        <v>0</v>
      </c>
      <c r="C41">
        <f t="shared" si="4"/>
        <v>401738</v>
      </c>
      <c r="D41" t="str">
        <f t="shared" si="5"/>
        <v/>
      </c>
      <c r="E41" t="s">
        <v>75</v>
      </c>
    </row>
    <row r="42" spans="1:5" x14ac:dyDescent="0.2">
      <c r="A42" cm="1">
        <f t="array" ref="A42">DATE(5000,12000,1)</f>
        <v>1497465</v>
      </c>
      <c r="B42">
        <f t="shared" si="3"/>
        <v>0</v>
      </c>
      <c r="C42">
        <f t="shared" si="4"/>
        <v>1497465</v>
      </c>
      <c r="D42" t="str">
        <f t="shared" si="5"/>
        <v/>
      </c>
      <c r="E42" t="s">
        <v>76</v>
      </c>
    </row>
    <row r="43" spans="1:5" x14ac:dyDescent="0.2">
      <c r="A43" cm="1">
        <f t="array" ref="A43">DATE(1900,16000,1)</f>
        <v>486961</v>
      </c>
      <c r="B43">
        <f t="shared" si="3"/>
        <v>0</v>
      </c>
      <c r="C43">
        <f t="shared" si="4"/>
        <v>486961</v>
      </c>
      <c r="D43" t="str">
        <f t="shared" si="5"/>
        <v/>
      </c>
      <c r="E43" t="s">
        <v>77</v>
      </c>
    </row>
    <row r="44" spans="1:5" x14ac:dyDescent="0.2">
      <c r="A44" cm="1">
        <f t="array" ref="A44">DATE(2000,16000,1)</f>
        <v>523485</v>
      </c>
      <c r="B44">
        <f t="shared" si="3"/>
        <v>0</v>
      </c>
      <c r="C44">
        <f t="shared" si="4"/>
        <v>523485</v>
      </c>
      <c r="D44" t="str">
        <f t="shared" si="5"/>
        <v/>
      </c>
      <c r="E44" t="s">
        <v>78</v>
      </c>
    </row>
    <row r="45" spans="1:5" x14ac:dyDescent="0.2">
      <c r="A45" cm="1">
        <f t="array" ref="A45">DATE(5000,16000,1)</f>
        <v>1619212</v>
      </c>
      <c r="B45">
        <f t="shared" si="3"/>
        <v>0</v>
      </c>
      <c r="C45">
        <f t="shared" si="4"/>
        <v>1619212</v>
      </c>
      <c r="D45" t="str">
        <f t="shared" si="5"/>
        <v/>
      </c>
      <c r="E45" t="s">
        <v>79</v>
      </c>
    </row>
    <row r="46" spans="1:5" x14ac:dyDescent="0.2">
      <c r="A46" cm="1">
        <f t="array" ref="A46">DATE(1900,20000,1)</f>
        <v>608708</v>
      </c>
      <c r="B46">
        <f t="shared" si="3"/>
        <v>0</v>
      </c>
      <c r="C46">
        <f t="shared" si="4"/>
        <v>608708</v>
      </c>
      <c r="D46" t="str">
        <f t="shared" si="5"/>
        <v/>
      </c>
      <c r="E46" t="s">
        <v>80</v>
      </c>
    </row>
    <row r="47" spans="1:5" x14ac:dyDescent="0.2">
      <c r="A47" cm="1">
        <f t="array" ref="A47">DATE(2000,20000,1)</f>
        <v>645233</v>
      </c>
      <c r="B47">
        <f t="shared" si="3"/>
        <v>0</v>
      </c>
      <c r="C47">
        <f t="shared" si="4"/>
        <v>645233</v>
      </c>
      <c r="D47" t="str">
        <f t="shared" si="5"/>
        <v/>
      </c>
      <c r="E47" t="s">
        <v>81</v>
      </c>
    </row>
    <row r="48" spans="1:5" x14ac:dyDescent="0.2">
      <c r="A48" cm="1">
        <f t="array" ref="A48">DATE(5000,20000,1)</f>
        <v>1740960</v>
      </c>
      <c r="B48">
        <f t="shared" si="3"/>
        <v>0</v>
      </c>
      <c r="C48">
        <f t="shared" si="4"/>
        <v>1740960</v>
      </c>
      <c r="D48" t="str">
        <f t="shared" si="5"/>
        <v/>
      </c>
      <c r="E48" t="s">
        <v>82</v>
      </c>
    </row>
    <row r="49" spans="1:5" x14ac:dyDescent="0.2">
      <c r="A49" cm="1">
        <f t="array" ref="A49">DATE(1900,24000,1)</f>
        <v>730456</v>
      </c>
      <c r="B49">
        <f t="shared" si="3"/>
        <v>0</v>
      </c>
      <c r="C49">
        <f t="shared" si="4"/>
        <v>730456</v>
      </c>
      <c r="D49" t="str">
        <f t="shared" si="5"/>
        <v/>
      </c>
      <c r="E49" t="s">
        <v>83</v>
      </c>
    </row>
    <row r="50" spans="1:5" x14ac:dyDescent="0.2">
      <c r="A50" cm="1">
        <f t="array" ref="A50">DATE(2000,24000,1)</f>
        <v>766980</v>
      </c>
      <c r="B50">
        <f t="shared" si="3"/>
        <v>0</v>
      </c>
      <c r="C50">
        <f t="shared" si="4"/>
        <v>766980</v>
      </c>
      <c r="D50" t="str">
        <f t="shared" si="5"/>
        <v/>
      </c>
      <c r="E50" t="s">
        <v>84</v>
      </c>
    </row>
    <row r="51" spans="1:5" x14ac:dyDescent="0.2">
      <c r="A51" cm="1">
        <f t="array" ref="A51">DATE(5000,24000,1)</f>
        <v>1862708</v>
      </c>
      <c r="B51">
        <f t="shared" si="3"/>
        <v>0</v>
      </c>
      <c r="C51">
        <f t="shared" si="4"/>
        <v>1862708</v>
      </c>
      <c r="D51" t="str">
        <f t="shared" si="5"/>
        <v/>
      </c>
      <c r="E51" t="s">
        <v>85</v>
      </c>
    </row>
    <row r="52" spans="1:5" x14ac:dyDescent="0.2">
      <c r="A52" cm="1">
        <f t="array" ref="A52">DATE(1900,28000,1)</f>
        <v>852203</v>
      </c>
      <c r="B52">
        <f t="shared" si="3"/>
        <v>0</v>
      </c>
      <c r="C52">
        <f t="shared" si="4"/>
        <v>852203</v>
      </c>
      <c r="D52" t="str">
        <f t="shared" si="5"/>
        <v/>
      </c>
      <c r="E52" t="s">
        <v>86</v>
      </c>
    </row>
    <row r="53" spans="1:5" x14ac:dyDescent="0.2">
      <c r="A53" cm="1">
        <f t="array" ref="A53">DATE(2000,28000,1)</f>
        <v>888727</v>
      </c>
      <c r="B53">
        <f t="shared" si="3"/>
        <v>0</v>
      </c>
      <c r="C53">
        <f t="shared" si="4"/>
        <v>888727</v>
      </c>
      <c r="D53" t="str">
        <f t="shared" si="5"/>
        <v/>
      </c>
      <c r="E53" t="s">
        <v>87</v>
      </c>
    </row>
    <row r="54" spans="1:5" x14ac:dyDescent="0.2">
      <c r="A54" cm="1">
        <f t="array" ref="A54">DATE(5000,28000,1)</f>
        <v>1984455</v>
      </c>
      <c r="B54">
        <f t="shared" si="3"/>
        <v>0</v>
      </c>
      <c r="C54">
        <f t="shared" si="4"/>
        <v>1984455</v>
      </c>
      <c r="D54" t="str">
        <f t="shared" si="5"/>
        <v/>
      </c>
      <c r="E54" t="s">
        <v>88</v>
      </c>
    </row>
    <row r="55" spans="1:5" x14ac:dyDescent="0.2">
      <c r="A55" cm="1">
        <f t="array" ref="A55">DATE(1900,30000,1)</f>
        <v>913077</v>
      </c>
      <c r="B55">
        <f t="shared" si="3"/>
        <v>0</v>
      </c>
      <c r="C55">
        <f t="shared" si="4"/>
        <v>913077</v>
      </c>
      <c r="D55" t="str">
        <f t="shared" si="5"/>
        <v/>
      </c>
      <c r="E55" t="s">
        <v>89</v>
      </c>
    </row>
    <row r="56" spans="1:5" x14ac:dyDescent="0.2">
      <c r="A56" cm="1">
        <f t="array" ref="A56">DATE(2000,30000,1)</f>
        <v>949602</v>
      </c>
      <c r="B56">
        <f t="shared" si="3"/>
        <v>0</v>
      </c>
      <c r="C56">
        <f t="shared" si="4"/>
        <v>949602</v>
      </c>
      <c r="D56" t="str">
        <f t="shared" si="5"/>
        <v/>
      </c>
      <c r="E56" t="s">
        <v>90</v>
      </c>
    </row>
    <row r="57" spans="1:5" x14ac:dyDescent="0.2">
      <c r="A57" cm="1">
        <f t="array" ref="A57">DATE(5000,30000,1)</f>
        <v>2045329</v>
      </c>
      <c r="B57">
        <f t="shared" si="3"/>
        <v>0</v>
      </c>
      <c r="C57">
        <f t="shared" si="4"/>
        <v>2045329</v>
      </c>
      <c r="D57" t="str">
        <f t="shared" si="5"/>
        <v/>
      </c>
      <c r="E57" t="s">
        <v>91</v>
      </c>
    </row>
    <row r="58" spans="1:5" x14ac:dyDescent="0.2">
      <c r="A58" cm="1">
        <f t="array" ref="A58">DATE(1900,32000,1)</f>
        <v>973951</v>
      </c>
      <c r="B58">
        <f t="shared" si="3"/>
        <v>0</v>
      </c>
      <c r="C58">
        <f t="shared" si="4"/>
        <v>973951</v>
      </c>
      <c r="D58" t="str">
        <f t="shared" si="5"/>
        <v/>
      </c>
      <c r="E58" t="s">
        <v>92</v>
      </c>
    </row>
    <row r="59" spans="1:5" x14ac:dyDescent="0.2">
      <c r="A59" cm="1">
        <f t="array" ref="A59">DATE(2000,32000,1)</f>
        <v>1010475</v>
      </c>
      <c r="B59">
        <f t="shared" si="3"/>
        <v>0</v>
      </c>
      <c r="C59">
        <f t="shared" si="4"/>
        <v>1010475</v>
      </c>
      <c r="D59" t="str">
        <f t="shared" si="5"/>
        <v/>
      </c>
      <c r="E59" t="s">
        <v>93</v>
      </c>
    </row>
    <row r="60" spans="1:5" x14ac:dyDescent="0.2">
      <c r="A60" cm="1">
        <f t="array" ref="A60">DATE(5000,32000,1)</f>
        <v>2106203</v>
      </c>
      <c r="B60">
        <f t="shared" si="3"/>
        <v>0</v>
      </c>
      <c r="C60">
        <f t="shared" si="4"/>
        <v>2106203</v>
      </c>
      <c r="D60" t="str">
        <f t="shared" si="5"/>
        <v/>
      </c>
      <c r="E60" t="s">
        <v>94</v>
      </c>
    </row>
    <row r="61" spans="1:5" x14ac:dyDescent="0.2">
      <c r="A61" t="e" cm="1">
        <f t="array" ref="A61">DATE(1900,-2000,1)</f>
        <v>#NUM!</v>
      </c>
      <c r="B61">
        <f t="shared" si="3"/>
        <v>6</v>
      </c>
      <c r="C61">
        <f t="shared" si="4"/>
        <v>0</v>
      </c>
      <c r="D61" t="str">
        <f t="shared" si="5"/>
        <v/>
      </c>
      <c r="E61" t="s">
        <v>95</v>
      </c>
    </row>
    <row r="62" spans="1:5" x14ac:dyDescent="0.2">
      <c r="A62" t="e" cm="1">
        <f t="array" ref="A62">DATE(2000,-2000,1)</f>
        <v>#NUM!</v>
      </c>
      <c r="B62">
        <f t="shared" si="3"/>
        <v>6</v>
      </c>
      <c r="C62">
        <f t="shared" si="4"/>
        <v>0</v>
      </c>
      <c r="D62" t="str">
        <f t="shared" si="5"/>
        <v/>
      </c>
      <c r="E62" t="s">
        <v>96</v>
      </c>
    </row>
    <row r="63" spans="1:5" x14ac:dyDescent="0.2">
      <c r="A63" cm="1">
        <f t="array" ref="A63">DATE(5000,-2000,1)</f>
        <v>1071349</v>
      </c>
      <c r="B63">
        <f t="shared" si="3"/>
        <v>0</v>
      </c>
      <c r="C63">
        <f t="shared" si="4"/>
        <v>1071349</v>
      </c>
      <c r="D63" t="str">
        <f t="shared" si="5"/>
        <v/>
      </c>
      <c r="E63" t="s">
        <v>97</v>
      </c>
    </row>
    <row r="64" spans="1:5" x14ac:dyDescent="0.2">
      <c r="A64" t="e" cm="1">
        <f t="array" ref="A64">DATE(1900,-12000,1)</f>
        <v>#NUM!</v>
      </c>
      <c r="B64">
        <f t="shared" si="3"/>
        <v>6</v>
      </c>
      <c r="C64">
        <f t="shared" si="4"/>
        <v>0</v>
      </c>
      <c r="D64" t="str">
        <f t="shared" si="5"/>
        <v/>
      </c>
      <c r="E64" t="s">
        <v>98</v>
      </c>
    </row>
    <row r="65" spans="1:5" x14ac:dyDescent="0.2">
      <c r="A65" t="e" cm="1">
        <f t="array" ref="A65">DATE(2000,-12000,1)</f>
        <v>#NUM!</v>
      </c>
      <c r="B65">
        <f t="shared" ref="B65:B96" si="6">IF(ISERROR(A65),ERROR.TYPE(A65),IF(ISNUMBER(A65),0,IF(ISLOGICAL(A65),IF(A65,-1,-2),IF(ISTEXT(A65),-3,-4))))</f>
        <v>6</v>
      </c>
      <c r="C65">
        <f t="shared" ref="C65:C93" si="7">IF(ISNUMBER(A65),A65,0)</f>
        <v>0</v>
      </c>
      <c r="D65" t="str">
        <f t="shared" ref="D65:D93" si="8">IF(ISTEXT(A65),A65,"")</f>
        <v/>
      </c>
      <c r="E65" t="s">
        <v>99</v>
      </c>
    </row>
    <row r="66" spans="1:5" x14ac:dyDescent="0.2">
      <c r="A66" cm="1">
        <f t="array" ref="A66">DATE(5000,-12000,1)</f>
        <v>766980</v>
      </c>
      <c r="B66">
        <f t="shared" si="6"/>
        <v>0</v>
      </c>
      <c r="C66">
        <f t="shared" si="7"/>
        <v>766980</v>
      </c>
      <c r="D66" t="str">
        <f t="shared" si="8"/>
        <v/>
      </c>
      <c r="E66" t="s">
        <v>100</v>
      </c>
    </row>
    <row r="67" spans="1:5" x14ac:dyDescent="0.2">
      <c r="A67" t="e" cm="1">
        <f t="array" ref="A67">DATE(1900,-22000,1)</f>
        <v>#NUM!</v>
      </c>
      <c r="B67">
        <f t="shared" si="6"/>
        <v>6</v>
      </c>
      <c r="C67">
        <f t="shared" si="7"/>
        <v>0</v>
      </c>
      <c r="D67" t="str">
        <f t="shared" si="8"/>
        <v/>
      </c>
      <c r="E67" t="s">
        <v>101</v>
      </c>
    </row>
    <row r="68" spans="1:5" x14ac:dyDescent="0.2">
      <c r="A68" t="e" cm="1">
        <f t="array" ref="A68">DATE(2000,-22000,1)</f>
        <v>#NUM!</v>
      </c>
      <c r="B68">
        <f t="shared" si="6"/>
        <v>6</v>
      </c>
      <c r="C68">
        <f t="shared" si="7"/>
        <v>0</v>
      </c>
      <c r="D68" t="str">
        <f t="shared" si="8"/>
        <v/>
      </c>
      <c r="E68" t="s">
        <v>102</v>
      </c>
    </row>
    <row r="69" spans="1:5" x14ac:dyDescent="0.2">
      <c r="A69" cm="1">
        <f t="array" ref="A69">DATE(5000,-22000,1)</f>
        <v>462611</v>
      </c>
      <c r="B69">
        <f t="shared" si="6"/>
        <v>0</v>
      </c>
      <c r="C69">
        <f t="shared" si="7"/>
        <v>462611</v>
      </c>
      <c r="D69" t="str">
        <f t="shared" si="8"/>
        <v/>
      </c>
      <c r="E69" t="s">
        <v>103</v>
      </c>
    </row>
    <row r="70" spans="1:5" x14ac:dyDescent="0.2">
      <c r="A70" t="e" cm="1">
        <f t="array" ref="A70">DATE(1900,96000,1)</f>
        <v>#NUM!</v>
      </c>
      <c r="B70">
        <f t="shared" si="6"/>
        <v>6</v>
      </c>
      <c r="C70">
        <f t="shared" si="7"/>
        <v>0</v>
      </c>
      <c r="D70" t="str">
        <f t="shared" si="8"/>
        <v/>
      </c>
      <c r="E70" t="s">
        <v>104</v>
      </c>
    </row>
    <row r="71" spans="1:5" x14ac:dyDescent="0.2">
      <c r="A71" t="e" cm="1">
        <f t="array" ref="A71">DATE(1900,32767,1)</f>
        <v>#NUM!</v>
      </c>
      <c r="B71">
        <f t="shared" si="6"/>
        <v>6</v>
      </c>
      <c r="C71">
        <f t="shared" si="7"/>
        <v>0</v>
      </c>
      <c r="D71" t="str">
        <f t="shared" si="8"/>
        <v/>
      </c>
      <c r="E71" t="s">
        <v>105</v>
      </c>
    </row>
    <row r="72" spans="1:5" x14ac:dyDescent="0.2">
      <c r="A72" cm="1">
        <f t="array" ref="A72">DATE(9999,12,1)</f>
        <v>2958435</v>
      </c>
      <c r="B72">
        <f t="shared" si="6"/>
        <v>0</v>
      </c>
      <c r="C72">
        <f t="shared" si="7"/>
        <v>2958435</v>
      </c>
      <c r="D72" t="str">
        <f t="shared" si="8"/>
        <v/>
      </c>
      <c r="E72" t="s">
        <v>106</v>
      </c>
    </row>
    <row r="73" spans="1:5" x14ac:dyDescent="0.2">
      <c r="A73" t="e" cm="1">
        <f t="array" ref="A73">DATE(9999,13,1)</f>
        <v>#NUM!</v>
      </c>
      <c r="B73">
        <f t="shared" si="6"/>
        <v>6</v>
      </c>
      <c r="C73">
        <f t="shared" si="7"/>
        <v>0</v>
      </c>
      <c r="D73" t="str">
        <f t="shared" si="8"/>
        <v/>
      </c>
      <c r="E73" t="s">
        <v>107</v>
      </c>
    </row>
    <row r="74" spans="1:5" x14ac:dyDescent="0.2">
      <c r="A74" t="e" cm="1">
        <f t="array" ref="A74">DATE(1900,-11,1)</f>
        <v>#NUM!</v>
      </c>
      <c r="B74">
        <f t="shared" si="6"/>
        <v>6</v>
      </c>
      <c r="C74">
        <f t="shared" si="7"/>
        <v>0</v>
      </c>
      <c r="D74" t="str">
        <f t="shared" si="8"/>
        <v/>
      </c>
      <c r="E74" t="s">
        <v>108</v>
      </c>
    </row>
    <row r="75" spans="1:5" x14ac:dyDescent="0.2">
      <c r="A75" t="e" cm="1">
        <f t="array" ref="A75">DATE(1900,-12,1)</f>
        <v>#NUM!</v>
      </c>
      <c r="B75">
        <f t="shared" si="6"/>
        <v>6</v>
      </c>
      <c r="C75">
        <f t="shared" si="7"/>
        <v>0</v>
      </c>
      <c r="D75" t="str">
        <f t="shared" si="8"/>
        <v/>
      </c>
      <c r="E75" t="s">
        <v>109</v>
      </c>
    </row>
    <row r="76" spans="1:5" x14ac:dyDescent="0.2">
      <c r="A76" cm="1">
        <f t="array" ref="A76">DATE(1900,32500,1)</f>
        <v>989169</v>
      </c>
      <c r="B76">
        <f t="shared" si="6"/>
        <v>0</v>
      </c>
      <c r="C76">
        <f t="shared" si="7"/>
        <v>989169</v>
      </c>
      <c r="D76" t="str">
        <f t="shared" si="8"/>
        <v/>
      </c>
      <c r="E76" t="s">
        <v>110</v>
      </c>
    </row>
    <row r="77" spans="1:5" x14ac:dyDescent="0.2">
      <c r="A77" cm="1">
        <f t="array" ref="A77">DATE(2000,32500,1)</f>
        <v>1025693</v>
      </c>
      <c r="B77">
        <f t="shared" si="6"/>
        <v>0</v>
      </c>
      <c r="C77">
        <f t="shared" si="7"/>
        <v>1025693</v>
      </c>
      <c r="D77" t="str">
        <f t="shared" si="8"/>
        <v/>
      </c>
      <c r="E77" t="s">
        <v>111</v>
      </c>
    </row>
    <row r="78" spans="1:5" x14ac:dyDescent="0.2">
      <c r="A78" cm="1">
        <f t="array" ref="A78">DATE(1900,32700,1)</f>
        <v>995257</v>
      </c>
      <c r="B78">
        <f t="shared" si="6"/>
        <v>0</v>
      </c>
      <c r="C78">
        <f t="shared" si="7"/>
        <v>995257</v>
      </c>
      <c r="D78" t="str">
        <f t="shared" si="8"/>
        <v/>
      </c>
      <c r="E78" t="s">
        <v>112</v>
      </c>
    </row>
    <row r="79" spans="1:5" x14ac:dyDescent="0.2">
      <c r="A79" cm="1">
        <f t="array" ref="A79">DATE(2000,32700,1)</f>
        <v>1031781</v>
      </c>
      <c r="B79">
        <f t="shared" si="6"/>
        <v>0</v>
      </c>
      <c r="C79">
        <f t="shared" si="7"/>
        <v>1031781</v>
      </c>
      <c r="D79" t="str">
        <f t="shared" si="8"/>
        <v/>
      </c>
      <c r="E79" t="s">
        <v>113</v>
      </c>
    </row>
    <row r="80" spans="1:5" x14ac:dyDescent="0.2">
      <c r="A80" cm="1">
        <f t="array" ref="A80">DATE(1900,32750,1)</f>
        <v>996780</v>
      </c>
      <c r="B80">
        <f t="shared" si="6"/>
        <v>0</v>
      </c>
      <c r="C80">
        <f t="shared" si="7"/>
        <v>996780</v>
      </c>
      <c r="D80" t="str">
        <f t="shared" si="8"/>
        <v/>
      </c>
      <c r="E80" t="s">
        <v>114</v>
      </c>
    </row>
    <row r="81" spans="1:5" x14ac:dyDescent="0.2">
      <c r="A81" cm="1">
        <f t="array" ref="A81">DATE(2000,32750,1)</f>
        <v>1033304</v>
      </c>
      <c r="B81">
        <f t="shared" si="6"/>
        <v>0</v>
      </c>
      <c r="C81">
        <f t="shared" si="7"/>
        <v>1033304</v>
      </c>
      <c r="D81" t="str">
        <f t="shared" si="8"/>
        <v/>
      </c>
      <c r="E81" t="s">
        <v>115</v>
      </c>
    </row>
    <row r="82" spans="1:5" x14ac:dyDescent="0.2">
      <c r="A82" cm="1">
        <f t="array" ref="A82">DATE(1900,32755,1)</f>
        <v>996930</v>
      </c>
      <c r="B82">
        <f t="shared" si="6"/>
        <v>0</v>
      </c>
      <c r="C82">
        <f t="shared" si="7"/>
        <v>996930</v>
      </c>
      <c r="D82" t="str">
        <f t="shared" si="8"/>
        <v/>
      </c>
      <c r="E82" t="s">
        <v>116</v>
      </c>
    </row>
    <row r="83" spans="1:5" x14ac:dyDescent="0.2">
      <c r="A83" cm="1">
        <f t="array" ref="A83">DATE(2000,32755,1)</f>
        <v>1033454</v>
      </c>
      <c r="B83">
        <f t="shared" si="6"/>
        <v>0</v>
      </c>
      <c r="C83">
        <f t="shared" si="7"/>
        <v>1033454</v>
      </c>
      <c r="D83" t="str">
        <f t="shared" si="8"/>
        <v/>
      </c>
      <c r="E83" t="s">
        <v>117</v>
      </c>
    </row>
    <row r="84" spans="1:5" x14ac:dyDescent="0.2">
      <c r="A84" cm="1">
        <f t="array" ref="A84">DATE(1900,32756,1)</f>
        <v>996961</v>
      </c>
      <c r="B84">
        <f t="shared" si="6"/>
        <v>0</v>
      </c>
      <c r="C84">
        <f t="shared" si="7"/>
        <v>996961</v>
      </c>
      <c r="D84" t="str">
        <f t="shared" si="8"/>
        <v/>
      </c>
      <c r="E84" t="s">
        <v>118</v>
      </c>
    </row>
    <row r="85" spans="1:5" x14ac:dyDescent="0.2">
      <c r="A85" cm="1">
        <f t="array" ref="A85">DATE(2000,32756,1)</f>
        <v>1033485</v>
      </c>
      <c r="B85">
        <f t="shared" si="6"/>
        <v>0</v>
      </c>
      <c r="C85">
        <f t="shared" si="7"/>
        <v>1033485</v>
      </c>
      <c r="D85" t="str">
        <f t="shared" si="8"/>
        <v/>
      </c>
      <c r="E85" t="s">
        <v>119</v>
      </c>
    </row>
    <row r="86" spans="1:5" x14ac:dyDescent="0.2">
      <c r="A86" cm="1">
        <f t="array" ref="A86">DATE(1900,32757,1)</f>
        <v>996992</v>
      </c>
      <c r="B86">
        <f t="shared" si="6"/>
        <v>0</v>
      </c>
      <c r="C86">
        <f t="shared" si="7"/>
        <v>996992</v>
      </c>
      <c r="D86" t="str">
        <f t="shared" si="8"/>
        <v/>
      </c>
      <c r="E86" t="s">
        <v>120</v>
      </c>
    </row>
    <row r="87" spans="1:5" x14ac:dyDescent="0.2">
      <c r="A87" cm="1">
        <f t="array" ref="A87">DATE(2000,32757,1)</f>
        <v>1033516</v>
      </c>
      <c r="B87">
        <f t="shared" si="6"/>
        <v>0</v>
      </c>
      <c r="C87">
        <f t="shared" si="7"/>
        <v>1033516</v>
      </c>
      <c r="D87" t="str">
        <f t="shared" si="8"/>
        <v/>
      </c>
      <c r="E87" t="s">
        <v>121</v>
      </c>
    </row>
    <row r="88" spans="1:5" x14ac:dyDescent="0.2">
      <c r="A88" cm="1">
        <f t="array" ref="A88">DATE(1900,32760,1)</f>
        <v>997083</v>
      </c>
      <c r="B88">
        <f t="shared" si="6"/>
        <v>0</v>
      </c>
      <c r="C88">
        <f t="shared" si="7"/>
        <v>997083</v>
      </c>
      <c r="D88" t="str">
        <f t="shared" si="8"/>
        <v/>
      </c>
      <c r="E88" t="s">
        <v>122</v>
      </c>
    </row>
    <row r="89" spans="1:5" x14ac:dyDescent="0.2">
      <c r="A89" cm="1">
        <f t="array" ref="A89">DATE(2000,32760,1)</f>
        <v>1033607</v>
      </c>
      <c r="B89">
        <f t="shared" si="6"/>
        <v>0</v>
      </c>
      <c r="C89">
        <f t="shared" si="7"/>
        <v>1033607</v>
      </c>
      <c r="D89" t="str">
        <f t="shared" si="8"/>
        <v/>
      </c>
      <c r="E89" t="s">
        <v>123</v>
      </c>
    </row>
    <row r="90" spans="1:5" x14ac:dyDescent="0.2">
      <c r="A90" cm="1">
        <f t="array" ref="A90">DATE(1900,32765,1)</f>
        <v>997234</v>
      </c>
      <c r="B90">
        <f t="shared" si="6"/>
        <v>0</v>
      </c>
      <c r="C90">
        <f t="shared" si="7"/>
        <v>997234</v>
      </c>
      <c r="D90" t="str">
        <f t="shared" si="8"/>
        <v/>
      </c>
      <c r="E90" t="s">
        <v>124</v>
      </c>
    </row>
    <row r="91" spans="1:5" x14ac:dyDescent="0.2">
      <c r="A91" cm="1">
        <f t="array" ref="A91">DATE(2000,32765,1)</f>
        <v>1033758</v>
      </c>
      <c r="B91">
        <f t="shared" si="6"/>
        <v>0</v>
      </c>
      <c r="C91">
        <f t="shared" si="7"/>
        <v>1033758</v>
      </c>
      <c r="D91" t="str">
        <f t="shared" si="8"/>
        <v/>
      </c>
      <c r="E91" t="s">
        <v>125</v>
      </c>
    </row>
    <row r="92" spans="1:5" x14ac:dyDescent="0.2">
      <c r="A92" cm="1">
        <f t="array" ref="A92">DATE(1900,32766,1)</f>
        <v>997265</v>
      </c>
      <c r="B92">
        <f t="shared" si="6"/>
        <v>0</v>
      </c>
      <c r="C92">
        <f t="shared" si="7"/>
        <v>997265</v>
      </c>
      <c r="D92" t="str">
        <f t="shared" si="8"/>
        <v/>
      </c>
      <c r="E92" t="s">
        <v>126</v>
      </c>
    </row>
    <row r="93" spans="1:5" x14ac:dyDescent="0.2">
      <c r="A93" cm="1">
        <f t="array" ref="A93">DATE(2000,32766,1)</f>
        <v>1033789</v>
      </c>
      <c r="B93">
        <f t="shared" si="6"/>
        <v>0</v>
      </c>
      <c r="C93">
        <f t="shared" si="7"/>
        <v>1033789</v>
      </c>
      <c r="D93" t="str">
        <f t="shared" si="8"/>
        <v/>
      </c>
      <c r="E93" t="s">
        <v>127</v>
      </c>
    </row>
    <row r="94" spans="1:5" x14ac:dyDescent="0.2">
      <c r="A94" t="s">
        <v>128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</vt:lpstr>
      <vt:lpstr>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2026-10-07T05:15:27Z</dcterms:created>
  <dcterms:modified xsi:type="dcterms:W3CDTF">2026-10-07T05:15:28Z</dcterms:modified>
  <cp:category/>
</cp:coreProperties>
</file>