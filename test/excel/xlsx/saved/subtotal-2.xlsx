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DABD07CD-3586-A342-B2EE-4B799604E8E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" i="3" l="1" a="1"/>
  <c r="A102" i="3" s="1"/>
  <c r="B102" i="3" s="1"/>
  <c r="A101" i="3" a="1"/>
  <c r="A101" i="3" s="1"/>
  <c r="D101" i="3" s="1"/>
  <c r="A100" i="3" a="1"/>
  <c r="A100" i="3" s="1"/>
  <c r="A99" i="3" a="1"/>
  <c r="A99" i="3"/>
  <c r="D99" i="3" s="1"/>
  <c r="A98" i="3" a="1"/>
  <c r="A98" i="3"/>
  <c r="D98" i="3" s="1"/>
  <c r="A97" i="3" a="1"/>
  <c r="A97" i="3"/>
  <c r="C97" i="3" s="1"/>
  <c r="A95" i="3" a="1"/>
  <c r="A95" i="3"/>
  <c r="B95" i="3" s="1"/>
  <c r="A94" i="3" a="1"/>
  <c r="A94" i="3"/>
  <c r="D94" i="3" s="1"/>
  <c r="A93" i="3" a="1"/>
  <c r="A93" i="3" s="1"/>
  <c r="A92" i="3" a="1"/>
  <c r="A92" i="3" s="1"/>
  <c r="D92" i="3" s="1"/>
  <c r="A91" i="3" a="1"/>
  <c r="A91" i="3" s="1"/>
  <c r="A89" i="3" a="1"/>
  <c r="A89" i="3" s="1"/>
  <c r="A88" i="3" a="1"/>
  <c r="A88" i="3" s="1"/>
  <c r="B88" i="3" s="1"/>
  <c r="A87" i="3" a="1"/>
  <c r="A87" i="3"/>
  <c r="D87" i="3" s="1"/>
  <c r="A86" i="3" a="1"/>
  <c r="A86" i="3"/>
  <c r="C86" i="3" s="1"/>
  <c r="A85" i="3" a="1"/>
  <c r="A85" i="3"/>
  <c r="D85" i="3" s="1"/>
  <c r="A84" i="3" a="1"/>
  <c r="A84" i="3"/>
  <c r="B84" i="3" s="1"/>
  <c r="A83" i="3" a="1"/>
  <c r="A83" i="3" s="1"/>
  <c r="A82" i="3" a="1"/>
  <c r="A82" i="3" s="1"/>
  <c r="A81" i="3" a="1"/>
  <c r="A81" i="3" s="1"/>
  <c r="D81" i="3" s="1"/>
  <c r="A80" i="3" a="1"/>
  <c r="A80" i="3" s="1"/>
  <c r="A79" i="3" a="1"/>
  <c r="A79" i="3"/>
  <c r="C79" i="3" s="1"/>
  <c r="A78" i="3" a="1"/>
  <c r="A78" i="3"/>
  <c r="B78" i="3" s="1"/>
  <c r="A75" i="3" a="1"/>
  <c r="A75" i="3" s="1"/>
  <c r="A73" i="3" a="1"/>
  <c r="A73" i="3" s="1"/>
  <c r="A72" i="3" a="1"/>
  <c r="A72" i="3"/>
  <c r="B72" i="3" s="1"/>
  <c r="A66" i="3" a="1"/>
  <c r="A66" i="3"/>
  <c r="C66" i="3" s="1"/>
  <c r="A65" i="3" a="1"/>
  <c r="A65" i="3" s="1"/>
  <c r="D65" i="3" s="1"/>
  <c r="A64" i="3" a="1"/>
  <c r="A64" i="3" s="1"/>
  <c r="A63" i="3" a="1"/>
  <c r="A63" i="3"/>
  <c r="D63" i="3" s="1"/>
  <c r="A62" i="3" a="1"/>
  <c r="A62" i="3"/>
  <c r="D62" i="3" s="1"/>
  <c r="A61" i="3" a="1"/>
  <c r="A61" i="3"/>
  <c r="C61" i="3" s="1"/>
  <c r="A60" i="3" a="1"/>
  <c r="A60" i="3" s="1"/>
  <c r="A59" i="3" a="1"/>
  <c r="A59" i="3"/>
  <c r="C59" i="3" s="1"/>
  <c r="A58" i="3" a="1"/>
  <c r="A58" i="3"/>
  <c r="D58" i="3" s="1"/>
  <c r="A57" i="3" a="1"/>
  <c r="A57" i="3" s="1"/>
  <c r="A56" i="3" a="1"/>
  <c r="A56" i="3"/>
  <c r="D56" i="3" s="1"/>
  <c r="A55" i="3" a="1"/>
  <c r="A55" i="3" s="1"/>
  <c r="A53" i="3" a="1"/>
  <c r="A53" i="3"/>
  <c r="D53" i="3" s="1"/>
  <c r="A52" i="3" a="1"/>
  <c r="A52" i="3"/>
  <c r="B52" i="3" s="1"/>
  <c r="A51" i="3" a="1"/>
  <c r="A51" i="3"/>
  <c r="C51" i="3" s="1"/>
  <c r="A50" i="3" a="1"/>
  <c r="A50" i="3" s="1"/>
  <c r="D50" i="3" s="1"/>
  <c r="A49" i="3" a="1"/>
  <c r="A49" i="3"/>
  <c r="D49" i="3" s="1"/>
  <c r="A48" i="3" a="1"/>
  <c r="A48" i="3" s="1"/>
  <c r="D48" i="3" s="1"/>
  <c r="A47" i="3" a="1"/>
  <c r="A47" i="3" s="1"/>
  <c r="D47" i="3" s="1"/>
  <c r="A46" i="3" a="1"/>
  <c r="A46" i="3" s="1"/>
  <c r="A21" i="3" a="1"/>
  <c r="A21" i="3" s="1"/>
  <c r="A19" i="3" a="1"/>
  <c r="A19" i="3" s="1"/>
  <c r="A18" i="3" a="1"/>
  <c r="A18" i="3"/>
  <c r="B18" i="3" s="1"/>
  <c r="A16" i="3" a="1"/>
  <c r="A16" i="3"/>
  <c r="B16" i="3" s="1"/>
  <c r="A15" i="3" a="1"/>
  <c r="A15" i="3"/>
  <c r="C15" i="3" s="1"/>
  <c r="A14" i="3" a="1"/>
  <c r="A14" i="3"/>
  <c r="D14" i="3" s="1"/>
  <c r="A12" i="3" a="1"/>
  <c r="A12" i="3"/>
  <c r="D12" i="3" s="1"/>
  <c r="A11" i="3" a="1"/>
  <c r="A11" i="3" s="1"/>
  <c r="B11" i="3" s="1"/>
  <c r="A8" i="3" a="1"/>
  <c r="A8" i="3"/>
  <c r="D8" i="3" s="1"/>
  <c r="A7" i="3" a="1"/>
  <c r="A7" i="3"/>
  <c r="D7" i="3" s="1"/>
  <c r="A5" i="3" a="1"/>
  <c r="A5" i="3"/>
  <c r="C5" i="3" s="1"/>
  <c r="A4" i="3" a="1"/>
  <c r="A4" i="3"/>
  <c r="D4" i="3" s="1"/>
  <c r="A3" i="3" a="1"/>
  <c r="A3" i="3" s="1"/>
  <c r="A1" i="3" a="1"/>
  <c r="A1" i="3" s="1"/>
  <c r="I15" i="2"/>
  <c r="A14" i="2"/>
  <c r="A13" i="2"/>
  <c r="AL10" i="2"/>
  <c r="A8" i="2"/>
  <c r="A96" i="3" s="1" a="1"/>
  <c r="A96" i="3" s="1"/>
  <c r="A7" i="2"/>
  <c r="A77" i="3" s="1" a="1"/>
  <c r="A77" i="3" s="1"/>
  <c r="E3" i="2"/>
  <c r="M11" i="1"/>
  <c r="A10" i="3" s="1" a="1"/>
  <c r="A10" i="3" s="1"/>
  <c r="P8" i="1"/>
  <c r="P7" i="1"/>
  <c r="A71" i="3" s="1" a="1"/>
  <c r="A71" i="3" s="1"/>
  <c r="H4" i="1"/>
  <c r="N3" i="1"/>
  <c r="G3" i="1"/>
  <c r="F3" i="1"/>
  <c r="D3" i="1"/>
  <c r="C3" i="1"/>
  <c r="B3" i="1"/>
  <c r="A3" i="1"/>
  <c r="A67" i="3" s="1" a="1"/>
  <c r="A67" i="3" s="1"/>
  <c r="K2" i="1"/>
  <c r="H2" i="1"/>
  <c r="A28" i="3" s="1" a="1"/>
  <c r="A28" i="3" s="1"/>
  <c r="K1" i="1"/>
  <c r="D80" i="3" l="1"/>
  <c r="C80" i="3"/>
  <c r="B80" i="3"/>
  <c r="B49" i="3"/>
  <c r="D78" i="3"/>
  <c r="B8" i="3"/>
  <c r="C8" i="3"/>
  <c r="A32" i="3" a="1"/>
  <c r="A32" i="3" s="1"/>
  <c r="D32" i="3" s="1"/>
  <c r="C62" i="3"/>
  <c r="C49" i="3"/>
  <c r="C98" i="3"/>
  <c r="B53" i="3"/>
  <c r="A9" i="3" a="1"/>
  <c r="A9" i="3" s="1"/>
  <c r="D9" i="3" s="1"/>
  <c r="C53" i="3"/>
  <c r="B98" i="3"/>
  <c r="C78" i="3"/>
  <c r="B62" i="3"/>
  <c r="D28" i="3"/>
  <c r="C28" i="3"/>
  <c r="B28" i="3"/>
  <c r="B75" i="3"/>
  <c r="D75" i="3"/>
  <c r="C75" i="3"/>
  <c r="D67" i="3"/>
  <c r="C67" i="3"/>
  <c r="B67" i="3"/>
  <c r="B71" i="3"/>
  <c r="C71" i="3"/>
  <c r="D71" i="3"/>
  <c r="D21" i="3"/>
  <c r="C21" i="3"/>
  <c r="B21" i="3"/>
  <c r="B89" i="3"/>
  <c r="C89" i="3"/>
  <c r="D89" i="3"/>
  <c r="D82" i="3"/>
  <c r="C82" i="3"/>
  <c r="B82" i="3"/>
  <c r="D1" i="3"/>
  <c r="B1" i="3"/>
  <c r="C1" i="3"/>
  <c r="C57" i="3"/>
  <c r="B57" i="3"/>
  <c r="D57" i="3"/>
  <c r="C60" i="3"/>
  <c r="B60" i="3"/>
  <c r="D60" i="3"/>
  <c r="D10" i="3"/>
  <c r="C10" i="3"/>
  <c r="B10" i="3"/>
  <c r="D100" i="3"/>
  <c r="C100" i="3"/>
  <c r="B100" i="3"/>
  <c r="D46" i="3"/>
  <c r="C46" i="3"/>
  <c r="B46" i="3"/>
  <c r="D91" i="3"/>
  <c r="B91" i="3"/>
  <c r="C91" i="3"/>
  <c r="B55" i="3"/>
  <c r="D55" i="3"/>
  <c r="C55" i="3"/>
  <c r="D3" i="3"/>
  <c r="B3" i="3"/>
  <c r="C3" i="3"/>
  <c r="C73" i="3"/>
  <c r="D73" i="3"/>
  <c r="B73" i="3"/>
  <c r="B19" i="3"/>
  <c r="D19" i="3"/>
  <c r="C19" i="3"/>
  <c r="C96" i="3"/>
  <c r="B96" i="3"/>
  <c r="D96" i="3"/>
  <c r="D93" i="3"/>
  <c r="B93" i="3"/>
  <c r="C93" i="3"/>
  <c r="D83" i="3"/>
  <c r="C83" i="3"/>
  <c r="B83" i="3"/>
  <c r="C77" i="3"/>
  <c r="D77" i="3"/>
  <c r="B77" i="3"/>
  <c r="B64" i="3"/>
  <c r="D64" i="3"/>
  <c r="C64" i="3"/>
  <c r="A36" i="3" a="1"/>
  <c r="A36" i="3" s="1"/>
  <c r="C50" i="3"/>
  <c r="B61" i="3"/>
  <c r="B79" i="3"/>
  <c r="B50" i="3"/>
  <c r="B97" i="3"/>
  <c r="C18" i="3"/>
  <c r="B47" i="3"/>
  <c r="D61" i="3"/>
  <c r="B65" i="3"/>
  <c r="C72" i="3"/>
  <c r="A76" i="3" a="1"/>
  <c r="A76" i="3" s="1"/>
  <c r="D79" i="3"/>
  <c r="D97" i="3"/>
  <c r="B101" i="3"/>
  <c r="B4" i="3"/>
  <c r="C11" i="3"/>
  <c r="D18" i="3"/>
  <c r="A33" i="3" a="1"/>
  <c r="A33" i="3" s="1"/>
  <c r="C47" i="3"/>
  <c r="B58" i="3"/>
  <c r="C65" i="3"/>
  <c r="A69" i="3" a="1"/>
  <c r="A69" i="3" s="1"/>
  <c r="D72" i="3"/>
  <c r="B94" i="3"/>
  <c r="C101" i="3"/>
  <c r="C4" i="3"/>
  <c r="D11" i="3"/>
  <c r="B15" i="3"/>
  <c r="A26" i="3" a="1"/>
  <c r="A26" i="3" s="1"/>
  <c r="A44" i="3" a="1"/>
  <c r="A44" i="3" s="1"/>
  <c r="B51" i="3"/>
  <c r="C58" i="3"/>
  <c r="B87" i="3"/>
  <c r="C94" i="3"/>
  <c r="D86" i="3"/>
  <c r="C84" i="3"/>
  <c r="C102" i="3"/>
  <c r="B48" i="3"/>
  <c r="D102" i="3"/>
  <c r="C87" i="3"/>
  <c r="D51" i="3"/>
  <c r="B5" i="3"/>
  <c r="B59" i="3"/>
  <c r="A2" i="3" a="1"/>
  <c r="A2" i="3" s="1"/>
  <c r="D5" i="3"/>
  <c r="C16" i="3"/>
  <c r="A20" i="3" a="1"/>
  <c r="A20" i="3" s="1"/>
  <c r="A38" i="3" a="1"/>
  <c r="A38" i="3" s="1"/>
  <c r="C52" i="3"/>
  <c r="D59" i="3"/>
  <c r="B63" i="3"/>
  <c r="A74" i="3" a="1"/>
  <c r="A74" i="3" s="1"/>
  <c r="B81" i="3"/>
  <c r="C88" i="3"/>
  <c r="D95" i="3"/>
  <c r="B99" i="3"/>
  <c r="B14" i="3"/>
  <c r="B7" i="3"/>
  <c r="E3" i="1"/>
  <c r="D15" i="3"/>
  <c r="C48" i="3"/>
  <c r="D66" i="3"/>
  <c r="D84" i="3"/>
  <c r="C95" i="3"/>
  <c r="H6" i="1"/>
  <c r="A27" i="3" s="1" a="1"/>
  <c r="A27" i="3" s="1"/>
  <c r="A13" i="3" a="1"/>
  <c r="A13" i="3" s="1"/>
  <c r="D16" i="3"/>
  <c r="A31" i="3" a="1"/>
  <c r="A31" i="3" s="1"/>
  <c r="D52" i="3"/>
  <c r="B56" i="3"/>
  <c r="C63" i="3"/>
  <c r="C81" i="3"/>
  <c r="D88" i="3"/>
  <c r="B92" i="3"/>
  <c r="C99" i="3"/>
  <c r="A103" i="3" a="1"/>
  <c r="A103" i="3" s="1"/>
  <c r="B86" i="3"/>
  <c r="C14" i="3"/>
  <c r="A90" i="3" a="1"/>
  <c r="A90" i="3" s="1"/>
  <c r="C7" i="3"/>
  <c r="A40" i="3" a="1"/>
  <c r="A40" i="3" s="1"/>
  <c r="C12" i="3"/>
  <c r="A6" i="3" a="1"/>
  <c r="A6" i="3" s="1"/>
  <c r="A24" i="3" a="1"/>
  <c r="A24" i="3" s="1"/>
  <c r="A42" i="3" a="1"/>
  <c r="A42" i="3" s="1"/>
  <c r="C56" i="3"/>
  <c r="B85" i="3"/>
  <c r="C92" i="3"/>
  <c r="A54" i="3" a="1"/>
  <c r="A54" i="3" s="1"/>
  <c r="A30" i="3" a="1"/>
  <c r="A30" i="3" s="1"/>
  <c r="A34" i="3" a="1"/>
  <c r="A34" i="3" s="1"/>
  <c r="A17" i="3" a="1"/>
  <c r="A17" i="3" s="1"/>
  <c r="C85" i="3"/>
  <c r="A22" i="3" a="1"/>
  <c r="A22" i="3" s="1"/>
  <c r="B12" i="3"/>
  <c r="B66" i="3"/>
  <c r="B9" i="3" l="1"/>
  <c r="B32" i="3"/>
  <c r="C9" i="3"/>
  <c r="A41" i="3" a="1"/>
  <c r="A41" i="3" s="1"/>
  <c r="C41" i="3" s="1"/>
  <c r="C32" i="3"/>
  <c r="D33" i="3"/>
  <c r="C33" i="3"/>
  <c r="B33" i="3"/>
  <c r="C24" i="3"/>
  <c r="B24" i="3"/>
  <c r="D24" i="3"/>
  <c r="C6" i="3"/>
  <c r="B6" i="3"/>
  <c r="D6" i="3"/>
  <c r="D40" i="3"/>
  <c r="C40" i="3"/>
  <c r="B40" i="3"/>
  <c r="D44" i="3"/>
  <c r="C44" i="3"/>
  <c r="B44" i="3"/>
  <c r="B41" i="3"/>
  <c r="D74" i="3"/>
  <c r="C74" i="3"/>
  <c r="B74" i="3"/>
  <c r="A43" i="3" a="1"/>
  <c r="A43" i="3" s="1"/>
  <c r="A68" i="3" a="1"/>
  <c r="A68" i="3" s="1"/>
  <c r="A25" i="3" a="1"/>
  <c r="A25" i="3" s="1"/>
  <c r="A39" i="3" a="1"/>
  <c r="A39" i="3" s="1"/>
  <c r="A70" i="3" a="1"/>
  <c r="A70" i="3" s="1"/>
  <c r="D27" i="3"/>
  <c r="C27" i="3"/>
  <c r="B27" i="3"/>
  <c r="D22" i="3"/>
  <c r="C22" i="3"/>
  <c r="B22" i="3"/>
  <c r="D76" i="3"/>
  <c r="C76" i="3"/>
  <c r="B76" i="3"/>
  <c r="B17" i="3"/>
  <c r="C17" i="3"/>
  <c r="D17" i="3"/>
  <c r="A45" i="3" a="1"/>
  <c r="A45" i="3" s="1"/>
  <c r="D13" i="3"/>
  <c r="C13" i="3"/>
  <c r="B13" i="3"/>
  <c r="D20" i="3"/>
  <c r="C20" i="3"/>
  <c r="B20" i="3"/>
  <c r="D103" i="3"/>
  <c r="C103" i="3"/>
  <c r="B103" i="3"/>
  <c r="A29" i="3" a="1"/>
  <c r="A29" i="3" s="1"/>
  <c r="D69" i="3"/>
  <c r="C69" i="3"/>
  <c r="B69" i="3"/>
  <c r="B90" i="3"/>
  <c r="D90" i="3"/>
  <c r="C90" i="3"/>
  <c r="A23" i="3" a="1"/>
  <c r="A23" i="3" s="1"/>
  <c r="A37" i="3" a="1"/>
  <c r="A37" i="3" s="1"/>
  <c r="D31" i="3"/>
  <c r="C31" i="3"/>
  <c r="B31" i="3"/>
  <c r="C42" i="3"/>
  <c r="B42" i="3"/>
  <c r="D42" i="3"/>
  <c r="B36" i="3"/>
  <c r="D36" i="3"/>
  <c r="C36" i="3"/>
  <c r="D38" i="3"/>
  <c r="C38" i="3"/>
  <c r="B38" i="3"/>
  <c r="A35" i="3" a="1"/>
  <c r="A35" i="3" s="1"/>
  <c r="D2" i="3"/>
  <c r="C2" i="3"/>
  <c r="B2" i="3"/>
  <c r="B34" i="3"/>
  <c r="D34" i="3"/>
  <c r="C34" i="3"/>
  <c r="B30" i="3"/>
  <c r="D30" i="3"/>
  <c r="C30" i="3"/>
  <c r="C54" i="3"/>
  <c r="B54" i="3"/>
  <c r="D54" i="3"/>
  <c r="D26" i="3"/>
  <c r="C26" i="3"/>
  <c r="B26" i="3"/>
  <c r="D41" i="3" l="1"/>
  <c r="C43" i="3"/>
  <c r="D43" i="3"/>
  <c r="B43" i="3"/>
  <c r="B35" i="3"/>
  <c r="C35" i="3"/>
  <c r="D35" i="3"/>
  <c r="B29" i="3"/>
  <c r="D29" i="3"/>
  <c r="C29" i="3"/>
  <c r="D70" i="3"/>
  <c r="B70" i="3"/>
  <c r="C70" i="3"/>
  <c r="D45" i="3"/>
  <c r="C45" i="3"/>
  <c r="B45" i="3"/>
  <c r="D39" i="3"/>
  <c r="B39" i="3"/>
  <c r="C39" i="3"/>
  <c r="B25" i="3"/>
  <c r="C25" i="3"/>
  <c r="D25" i="3"/>
  <c r="C23" i="3"/>
  <c r="D23" i="3"/>
  <c r="B23" i="3"/>
  <c r="B68" i="3"/>
  <c r="D68" i="3"/>
  <c r="C68" i="3"/>
  <c r="B37" i="3"/>
  <c r="D37" i="3"/>
  <c r="C3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<sst xmlns="http://schemas.openxmlformats.org/spreadsheetml/2006/main" count="164" uniqueCount="141">
  <si>
    <t>x</t>
  </si>
  <si>
    <t>3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</si>
  <si>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</si>
  <si>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</si>
  <si>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</si>
  <si>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</si>
  <si>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</si>
  <si>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</si>
  <si>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</si>
  <si>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</si>
  <si>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</si>
  <si>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</si>
  <si>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</si>
  <si>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</si>
  <si>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</si>
  <si>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</si>
  <si>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</si>
  <si>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</si>
  <si>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</si>
  <si>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</si>
  <si>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</si>
  <si>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</si>
  <si>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</si>
  <si>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</si>
  <si>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</si>
  <si>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</si>
  <si>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</si>
  <si>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</si>
  <si>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</si>
  <si>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</si>
  <si>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</si>
  <si>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</si>
  <si>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</si>
  <si>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</si>
  <si>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</si>
  <si>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</si>
  <si>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</si>
  <si>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AGGREGATE#275</t>
  </si>
  <si>
    <t>AGGREGATE#276</t>
  </si>
  <si>
    <t>AGGREGATE#277</t>
  </si>
  <si>
    <t>AGGREGATE#278</t>
  </si>
  <si>
    <t>AGGREGATE#279</t>
  </si>
  <si>
    <t>AGGREGATE#280</t>
  </si>
  <si>
    <t>AGGREGATE#281</t>
  </si>
  <si>
    <t>AGGREGATE#282</t>
  </si>
  <si>
    <t>AGGREGATE#283</t>
  </si>
  <si>
    <t>AGGREGATE#284</t>
  </si>
  <si>
    <t>AGGREGATE#285</t>
  </si>
  <si>
    <t>AGGREGATE#286</t>
  </si>
  <si>
    <t>AGGREGATE#287</t>
  </si>
  <si>
    <t>AGGREGATE#288</t>
  </si>
  <si>
    <t>AGGREGATE#289</t>
  </si>
  <si>
    <t>AGGREGATE#290</t>
  </si>
  <si>
    <t>AGGREGATE#291</t>
  </si>
  <si>
    <t>AGGREGATE#292</t>
  </si>
  <si>
    <t>AGGREGATE#293</t>
  </si>
  <si>
    <t>AGGREGATE#294</t>
  </si>
  <si>
    <t>AGGREGATE#295</t>
  </si>
  <si>
    <t>AGGREGATE#296</t>
  </si>
  <si>
    <t>AGGREGATE#297</t>
  </si>
  <si>
    <t>AGGREGATE#298</t>
  </si>
  <si>
    <t>AGGREGATE#299</t>
  </si>
  <si>
    <t>AGGREGATE#300</t>
  </si>
  <si>
    <t>AGGREGATE#301</t>
  </si>
  <si>
    <t>AGGREGATE#302</t>
  </si>
  <si>
    <t>AGGREGATE#303</t>
  </si>
  <si>
    <t>AGGREGATE#304</t>
  </si>
  <si>
    <t>AGGREGATE#305</t>
  </si>
  <si>
    <t>AGGREGATE#306</t>
  </si>
  <si>
    <t>AGGREGATE#307</t>
  </si>
  <si>
    <t>AGGREGATE#308</t>
  </si>
  <si>
    <t>AGGREGATE#309</t>
  </si>
  <si>
    <t>AGGREGATE#310</t>
  </si>
  <si>
    <t>AGGREGATE#311</t>
  </si>
  <si>
    <t>AGGREGATE#312</t>
  </si>
  <si>
    <t>AGGREGATE#313</t>
  </si>
  <si>
    <t>AGGREGATE#314</t>
  </si>
  <si>
    <t>AGGREGATE#315</t>
  </si>
  <si>
    <t>AGGREGATE#316</t>
  </si>
  <si>
    <t>AGGREGATE#317</t>
  </si>
  <si>
    <t>AGGREGATE#318</t>
  </si>
  <si>
    <t>AGGREGATE#319</t>
  </si>
  <si>
    <t>AGGREGATE#320</t>
  </si>
  <si>
    <t>AGGREGATE#321</t>
  </si>
  <si>
    <t>AGGREGATE#322</t>
  </si>
  <si>
    <t>AGGREGATE#323</t>
  </si>
  <si>
    <t>AGGREGATE#324</t>
  </si>
  <si>
    <t>AGGREGATE#325</t>
  </si>
  <si>
    <t>AGGREGATE#326</t>
  </si>
  <si>
    <t>AGGREGATE#327</t>
  </si>
  <si>
    <t>AGGREGATE#328</t>
  </si>
  <si>
    <t>AGGREGATE#329</t>
  </si>
  <si>
    <t>AGGREGATE#330</t>
  </si>
  <si>
    <t>AGGREGATE#331</t>
  </si>
  <si>
    <t>AGGREGATE#332</t>
  </si>
  <si>
    <t>AGGREGATE#333</t>
  </si>
  <si>
    <t>AGGREGATE#334</t>
  </si>
  <si>
    <t>AGGREGATE#335</t>
  </si>
  <si>
    <t>AGGREGATE#336</t>
  </si>
  <si>
    <t>AGGREGATE#337</t>
  </si>
  <si>
    <t>AGGREGATE#338</t>
  </si>
  <si>
    <t>AGGREGATE#339</t>
  </si>
  <si>
    <t>AGGREGATE#340</t>
  </si>
  <si>
    <t>SUBTOTAL#127</t>
  </si>
  <si>
    <t>SUBTOTAL#128</t>
  </si>
  <si>
    <t>AGGREGATE#341</t>
  </si>
  <si>
    <t>AGGREGATE#342</t>
  </si>
  <si>
    <t>AGGREGATE#343</t>
  </si>
  <si>
    <t>SUBTOTAL#129</t>
  </si>
  <si>
    <t>AGGREGATE#344</t>
  </si>
  <si>
    <t>SUBTOTAL#130</t>
  </si>
  <si>
    <t>SUBTOTAL#131</t>
  </si>
  <si>
    <t>SUBTOTAL#132</t>
  </si>
  <si>
    <t>AGGREGATE#345</t>
  </si>
  <si>
    <t>SUBTOTAL#133</t>
  </si>
  <si>
    <t>SUBTOTAL#134</t>
  </si>
  <si>
    <t>SUBTOTAL#135</t>
  </si>
  <si>
    <t>SUBTOTAL#136</t>
  </si>
  <si>
    <t>SUBTOTAL#137</t>
  </si>
  <si>
    <t>SUBTOTAL#138</t>
  </si>
  <si>
    <t>SUBTOTAL#139</t>
  </si>
  <si>
    <t>SUBTOTAL#140</t>
  </si>
  <si>
    <t>SUBTOTAL#141</t>
  </si>
  <si>
    <t>SUBTOTAL#142</t>
  </si>
  <si>
    <t>SUBTOTAL#143</t>
  </si>
  <si>
    <t>SUBTOTAL#144</t>
  </si>
  <si>
    <t>SUBTOTAL#145</t>
  </si>
  <si>
    <t>AGGREGATE#346</t>
  </si>
  <si>
    <t>AGGREGATE#347</t>
  </si>
  <si>
    <t>AGGREGATE#348</t>
  </si>
  <si>
    <t>AGGREGATE#349</t>
  </si>
  <si>
    <t>AGGREGATE#350</t>
  </si>
  <si>
    <t>AGGREGATE#351</t>
  </si>
  <si>
    <t>AGGREGATE#352</t>
  </si>
  <si>
    <t>AGGREGATE#353</t>
  </si>
  <si>
    <t>AGGREGATE#354</t>
  </si>
  <si>
    <t>AGGREGATE#355</t>
  </si>
  <si>
    <t>AGGREGATE#356</t>
  </si>
  <si>
    <t>AGGREGATE#357</t>
  </si>
  <si>
    <t>AGGREGATE#358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</si>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</sst>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2</v>
      </c>
      <c r="I1">
        <v>1</v>
      </c>
      <c r="K1">
        <f>SUBTOTAL(9,L1:L3)</f>
        <v>8</v>
      </c>
      <c r="L1">
        <v>3</v>
      </c>
      <c r="M1">
        <v>3</v>
      </c>
      <c r="N1">
        <v>1</v>
      </c>
      <c r="O1">
        <v>2</v>
      </c>
      <c r="P1">
        <v>4</v>
      </c>
    </row>
    <row r="2" spans="1:16" x14ac:dyDescent="0.2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 t="e">
        <f>1/0</f>
        <v>#DIV/0!</v>
      </c>
      <c r="I2" t="s">
        <v>0</v>
      </c>
      <c r="K2">
        <f>SUBTOTAL(1,L1:L3)</f>
        <v>2.6666666666666665</v>
      </c>
      <c r="L2">
        <v>1</v>
      </c>
      <c r="M2">
        <v>1</v>
      </c>
      <c r="N2">
        <v>3</v>
      </c>
      <c r="O2">
        <v>4</v>
      </c>
      <c r="P2">
        <v>8</v>
      </c>
    </row>
    <row r="3" spans="1:16" x14ac:dyDescent="0.2">
      <c r="A3">
        <f>SUBTOTAL(9,A1:A2)</f>
        <v>3</v>
      </c>
      <c r="B3">
        <f>_xlfn.AGGREGATE(9,4,B1:B2)</f>
        <v>3</v>
      </c>
      <c r="C3">
        <f>SUBTOTAL(9,C1:C2)*10</f>
        <v>30</v>
      </c>
      <c r="D3">
        <f>IF(TRUE,SUBTOTAL(9,D1:D2),0)</f>
        <v>3</v>
      </c>
      <c r="E3">
        <f>A3</f>
        <v>3</v>
      </c>
      <c r="F3">
        <f>SUBTOTAL(109,F1:F2)</f>
        <v>3</v>
      </c>
      <c r="G3">
        <f>_xlfn.AGGREGATE(9,0,G1:G2)+0</f>
        <v>3</v>
      </c>
      <c r="H3">
        <v>3</v>
      </c>
      <c r="I3" t="b">
        <v>1</v>
      </c>
      <c r="L3">
        <v>4</v>
      </c>
      <c r="M3">
        <v>4</v>
      </c>
      <c r="N3">
        <f>SUBTOTAL(9,N1:O2)</f>
        <v>10</v>
      </c>
      <c r="O3">
        <v>5</v>
      </c>
      <c r="P3">
        <v>15</v>
      </c>
    </row>
    <row r="4" spans="1:16" x14ac:dyDescent="0.2">
      <c r="H4" t="e">
        <f>NA()</f>
        <v>#N/A</v>
      </c>
      <c r="M4">
        <v>1</v>
      </c>
      <c r="P4">
        <v>16</v>
      </c>
    </row>
    <row r="5" spans="1:16" x14ac:dyDescent="0.2">
      <c r="H5">
        <v>7</v>
      </c>
      <c r="I5">
        <v>2</v>
      </c>
      <c r="M5">
        <v>5</v>
      </c>
      <c r="P5">
        <v>23</v>
      </c>
    </row>
    <row r="6" spans="1:16" x14ac:dyDescent="0.2">
      <c r="H6" t="e">
        <f>SUBTOTAL(9,H2)</f>
        <v>#DIV/0!</v>
      </c>
      <c r="I6" t="s">
        <v>1</v>
      </c>
      <c r="M6">
        <v>9</v>
      </c>
      <c r="P6">
        <v>42</v>
      </c>
    </row>
    <row r="7" spans="1:16" x14ac:dyDescent="0.2">
      <c r="I7" t="b">
        <v>0</v>
      </c>
      <c r="M7">
        <v>2</v>
      </c>
      <c r="P7">
        <f>SUBTOTAL(9,P1:P2)</f>
        <v>12</v>
      </c>
    </row>
    <row r="8" spans="1:16" x14ac:dyDescent="0.2">
      <c r="M8">
        <v>6</v>
      </c>
      <c r="P8">
        <f>_xlfn.AGGREGATE(4,4,P1:P6)</f>
        <v>42</v>
      </c>
    </row>
    <row r="9" spans="1:16" x14ac:dyDescent="0.2">
      <c r="M9">
        <v>5</v>
      </c>
    </row>
    <row r="10" spans="1:16" x14ac:dyDescent="0.2">
      <c r="M10">
        <v>3</v>
      </c>
    </row>
    <row r="11" spans="1:16" x14ac:dyDescent="0.2">
      <c r="M11">
        <f>_xlfn.AGGREGATE(14,4,M1:M10,1)</f>
        <v>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2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3</v>
      </c>
      <c r="N1">
        <v>10</v>
      </c>
      <c r="P1">
        <v>1</v>
      </c>
      <c r="Q1">
        <v>2</v>
      </c>
      <c r="R1">
        <v>5</v>
      </c>
      <c r="S1">
        <v>6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AA1" t="s">
        <v>4</v>
      </c>
      <c r="AB1" t="s">
        <v>5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9</v>
      </c>
    </row>
    <row r="2" spans="1:60" x14ac:dyDescent="0.2">
      <c r="A2" t="s">
        <v>10</v>
      </c>
      <c r="B2">
        <v>8</v>
      </c>
      <c r="C2">
        <v>7</v>
      </c>
      <c r="D2" t="s">
        <v>10</v>
      </c>
      <c r="E2">
        <v>2</v>
      </c>
      <c r="F2" t="s">
        <v>11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12</v>
      </c>
      <c r="N2">
        <v>20</v>
      </c>
      <c r="P2">
        <v>3</v>
      </c>
      <c r="Q2">
        <v>4</v>
      </c>
      <c r="R2">
        <v>7</v>
      </c>
      <c r="S2">
        <v>8</v>
      </c>
      <c r="U2" t="s">
        <v>13</v>
      </c>
      <c r="V2">
        <v>18</v>
      </c>
      <c r="W2">
        <v>20</v>
      </c>
      <c r="X2">
        <v>14</v>
      </c>
      <c r="Y2">
        <v>105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t="s">
        <v>18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19</v>
      </c>
      <c r="B3">
        <v>15</v>
      </c>
      <c r="C3">
        <v>11</v>
      </c>
      <c r="D3" t="s">
        <v>19</v>
      </c>
      <c r="E3" t="e">
        <f>1/0</f>
        <v>#DIV/0!</v>
      </c>
      <c r="F3" t="s">
        <v>20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21</v>
      </c>
      <c r="N3">
        <v>30</v>
      </c>
      <c r="U3" t="s">
        <v>15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19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22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23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24</v>
      </c>
      <c r="N4">
        <v>50</v>
      </c>
      <c r="P4">
        <v>1</v>
      </c>
      <c r="Q4">
        <v>2</v>
      </c>
      <c r="R4">
        <v>3</v>
      </c>
      <c r="U4" t="s">
        <v>17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9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25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26</v>
      </c>
      <c r="N5">
        <v>80</v>
      </c>
      <c r="P5">
        <v>4</v>
      </c>
      <c r="Q5">
        <v>5</v>
      </c>
      <c r="R5">
        <v>6</v>
      </c>
      <c r="U5" t="s">
        <v>13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27</v>
      </c>
      <c r="AP5" s="1">
        <v>39786</v>
      </c>
      <c r="AS5" t="s">
        <v>28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29</v>
      </c>
      <c r="G6">
        <v>32</v>
      </c>
      <c r="H6" s="1">
        <v>45473</v>
      </c>
      <c r="L6">
        <v>13</v>
      </c>
      <c r="M6" t="s">
        <v>30</v>
      </c>
      <c r="N6">
        <v>130</v>
      </c>
      <c r="U6" t="s">
        <v>15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31</v>
      </c>
      <c r="G7">
        <v>64</v>
      </c>
      <c r="H7" s="1">
        <v>46022</v>
      </c>
      <c r="I7">
        <v>-10000</v>
      </c>
      <c r="J7">
        <v>100</v>
      </c>
      <c r="U7" t="s">
        <v>13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32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33</v>
      </c>
      <c r="AU8" s="1">
        <v>39448</v>
      </c>
      <c r="BG8">
        <v>2</v>
      </c>
    </row>
    <row r="9" spans="1:60" x14ac:dyDescent="0.2">
      <c r="A9" t="s">
        <v>34</v>
      </c>
      <c r="I9">
        <v>4200</v>
      </c>
      <c r="J9">
        <v>300</v>
      </c>
      <c r="L9" t="s">
        <v>3</v>
      </c>
      <c r="M9" t="s">
        <v>12</v>
      </c>
      <c r="N9" t="s">
        <v>21</v>
      </c>
      <c r="O9" t="s">
        <v>24</v>
      </c>
      <c r="P9" t="s">
        <v>26</v>
      </c>
      <c r="Q9" t="s">
        <v>30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35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36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4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_xlfn.AGGREGATE(14,6,T!M1:M11,3)</f>
        <v>6</v>
      </c>
      <c r="B1">
        <f t="shared" ref="B1:B32" si="0">IF(ISERROR(A1),ERROR.TYPE(A1),IF(ISNUMBER(A1),0,IF(ISLOGICAL(A1),IF(A1,-1,-2),IF(ISTEXT(A1),-3,-4))))</f>
        <v>0</v>
      </c>
      <c r="C1">
        <f t="shared" ref="C1:C32" si="1">IF(ISNUMBER(A1),A1,0)</f>
        <v>6</v>
      </c>
      <c r="D1" t="str">
        <f t="shared" ref="D1:D32" si="2">IF(ISTEXT(A1),A1,"")</f>
        <v/>
      </c>
      <c r="E1" t="s">
        <v>37</v>
      </c>
    </row>
    <row r="2" spans="1:5" x14ac:dyDescent="0.2">
      <c r="A2" cm="1">
        <f t="array" ref="A2">_xlfn.AGGREGATE(15,0,T!M1:M11,3)</f>
        <v>2</v>
      </c>
      <c r="B2">
        <f t="shared" si="0"/>
        <v>0</v>
      </c>
      <c r="C2">
        <f t="shared" si="1"/>
        <v>2</v>
      </c>
      <c r="D2" t="str">
        <f t="shared" si="2"/>
        <v/>
      </c>
      <c r="E2" t="s">
        <v>38</v>
      </c>
    </row>
    <row r="3" spans="1:5" x14ac:dyDescent="0.2">
      <c r="A3" cm="1">
        <f t="array" ref="A3">_xlfn.AGGREGATE(15,2,T!M1:M11,3)</f>
        <v>2</v>
      </c>
      <c r="B3">
        <f t="shared" si="0"/>
        <v>0</v>
      </c>
      <c r="C3">
        <f t="shared" si="1"/>
        <v>2</v>
      </c>
      <c r="D3" t="str">
        <f t="shared" si="2"/>
        <v/>
      </c>
      <c r="E3" t="s">
        <v>39</v>
      </c>
    </row>
    <row r="4" spans="1:5" x14ac:dyDescent="0.2">
      <c r="A4" cm="1">
        <f t="array" ref="A4">_xlfn.AGGREGATE(15,4,T!M1:M11,3)</f>
        <v>2</v>
      </c>
      <c r="B4">
        <f t="shared" si="0"/>
        <v>0</v>
      </c>
      <c r="C4">
        <f t="shared" si="1"/>
        <v>2</v>
      </c>
      <c r="D4" t="str">
        <f t="shared" si="2"/>
        <v/>
      </c>
      <c r="E4" t="s">
        <v>40</v>
      </c>
    </row>
    <row r="5" spans="1:5" x14ac:dyDescent="0.2">
      <c r="A5" cm="1">
        <f t="array" ref="A5">_xlfn.AGGREGATE(15,6,T!M1:M11,3)</f>
        <v>2</v>
      </c>
      <c r="B5">
        <f t="shared" si="0"/>
        <v>0</v>
      </c>
      <c r="C5">
        <f t="shared" si="1"/>
        <v>2</v>
      </c>
      <c r="D5" t="str">
        <f t="shared" si="2"/>
        <v/>
      </c>
      <c r="E5" t="s">
        <v>41</v>
      </c>
    </row>
    <row r="6" spans="1:5" x14ac:dyDescent="0.2">
      <c r="A6" cm="1">
        <f t="array" ref="A6">_xlfn.AGGREGATE(16,0,T!M1:M11,0.3)</f>
        <v>2.6999999999999997</v>
      </c>
      <c r="B6">
        <f t="shared" si="0"/>
        <v>0</v>
      </c>
      <c r="C6">
        <f t="shared" si="1"/>
        <v>2.6999999999999997</v>
      </c>
      <c r="D6" t="str">
        <f t="shared" si="2"/>
        <v/>
      </c>
      <c r="E6" t="s">
        <v>42</v>
      </c>
    </row>
    <row r="7" spans="1:5" x14ac:dyDescent="0.2">
      <c r="A7" cm="1">
        <f t="array" ref="A7">_xlfn.AGGREGATE(16,2,T!M1:M11,0.3)</f>
        <v>2.6999999999999997</v>
      </c>
      <c r="B7">
        <f t="shared" si="0"/>
        <v>0</v>
      </c>
      <c r="C7">
        <f t="shared" si="1"/>
        <v>2.6999999999999997</v>
      </c>
      <c r="D7" t="str">
        <f t="shared" si="2"/>
        <v/>
      </c>
      <c r="E7" t="s">
        <v>43</v>
      </c>
    </row>
    <row r="8" spans="1:5" x14ac:dyDescent="0.2">
      <c r="A8" cm="1">
        <f t="array" ref="A8">_xlfn.AGGREGATE(16,4,T!M1:M11,0.3)</f>
        <v>3</v>
      </c>
      <c r="B8">
        <f t="shared" si="0"/>
        <v>0</v>
      </c>
      <c r="C8">
        <f t="shared" si="1"/>
        <v>3</v>
      </c>
      <c r="D8" t="str">
        <f t="shared" si="2"/>
        <v/>
      </c>
      <c r="E8" t="s">
        <v>44</v>
      </c>
    </row>
    <row r="9" spans="1:5" x14ac:dyDescent="0.2">
      <c r="A9" cm="1">
        <f t="array" ref="A9">_xlfn.AGGREGATE(16,6,T!M1:M11,0.3)</f>
        <v>3</v>
      </c>
      <c r="B9">
        <f t="shared" si="0"/>
        <v>0</v>
      </c>
      <c r="C9">
        <f t="shared" si="1"/>
        <v>3</v>
      </c>
      <c r="D9" t="str">
        <f t="shared" si="2"/>
        <v/>
      </c>
      <c r="E9" t="s">
        <v>45</v>
      </c>
    </row>
    <row r="10" spans="1:5" x14ac:dyDescent="0.2">
      <c r="A10" cm="1">
        <f t="array" ref="A10">_xlfn.AGGREGATE(17,0,T!M1:M11,1)</f>
        <v>2.25</v>
      </c>
      <c r="B10">
        <f t="shared" si="0"/>
        <v>0</v>
      </c>
      <c r="C10">
        <f t="shared" si="1"/>
        <v>2.25</v>
      </c>
      <c r="D10" t="str">
        <f t="shared" si="2"/>
        <v/>
      </c>
      <c r="E10" t="s">
        <v>46</v>
      </c>
    </row>
    <row r="11" spans="1:5" x14ac:dyDescent="0.2">
      <c r="A11" cm="1">
        <f t="array" ref="A11">_xlfn.AGGREGATE(17,2,T!M1:M11,1)</f>
        <v>2.25</v>
      </c>
      <c r="B11">
        <f t="shared" si="0"/>
        <v>0</v>
      </c>
      <c r="C11">
        <f t="shared" si="1"/>
        <v>2.25</v>
      </c>
      <c r="D11" t="str">
        <f t="shared" si="2"/>
        <v/>
      </c>
      <c r="E11" t="s">
        <v>47</v>
      </c>
    </row>
    <row r="12" spans="1:5" x14ac:dyDescent="0.2">
      <c r="A12" cm="1">
        <f t="array" ref="A12">_xlfn.AGGREGATE(17,4,T!M1:M11,1)</f>
        <v>2.5</v>
      </c>
      <c r="B12">
        <f t="shared" si="0"/>
        <v>0</v>
      </c>
      <c r="C12">
        <f t="shared" si="1"/>
        <v>2.5</v>
      </c>
      <c r="D12" t="str">
        <f t="shared" si="2"/>
        <v/>
      </c>
      <c r="E12" t="s">
        <v>48</v>
      </c>
    </row>
    <row r="13" spans="1:5" x14ac:dyDescent="0.2">
      <c r="A13" cm="1">
        <f t="array" ref="A13">_xlfn.AGGREGATE(17,6,T!M1:M11,1)</f>
        <v>2.5</v>
      </c>
      <c r="B13">
        <f t="shared" si="0"/>
        <v>0</v>
      </c>
      <c r="C13">
        <f t="shared" si="1"/>
        <v>2.5</v>
      </c>
      <c r="D13" t="str">
        <f t="shared" si="2"/>
        <v/>
      </c>
      <c r="E13" t="s">
        <v>49</v>
      </c>
    </row>
    <row r="14" spans="1:5" x14ac:dyDescent="0.2">
      <c r="A14" cm="1">
        <f t="array" ref="A14">_xlfn.AGGREGATE(18,0,T!M1:M11,0.3)</f>
        <v>2.2999999999999998</v>
      </c>
      <c r="B14">
        <f t="shared" si="0"/>
        <v>0</v>
      </c>
      <c r="C14">
        <f t="shared" si="1"/>
        <v>2.2999999999999998</v>
      </c>
      <c r="D14" t="str">
        <f t="shared" si="2"/>
        <v/>
      </c>
      <c r="E14" t="s">
        <v>50</v>
      </c>
    </row>
    <row r="15" spans="1:5" x14ac:dyDescent="0.2">
      <c r="A15" cm="1">
        <f t="array" ref="A15">_xlfn.AGGREGATE(18,2,T!M1:M11,0.3)</f>
        <v>2.2999999999999998</v>
      </c>
      <c r="B15">
        <f t="shared" si="0"/>
        <v>0</v>
      </c>
      <c r="C15">
        <f t="shared" si="1"/>
        <v>2.2999999999999998</v>
      </c>
      <c r="D15" t="str">
        <f t="shared" si="2"/>
        <v/>
      </c>
      <c r="E15" t="s">
        <v>51</v>
      </c>
    </row>
    <row r="16" spans="1:5" x14ac:dyDescent="0.2">
      <c r="A16" cm="1">
        <f t="array" ref="A16">_xlfn.AGGREGATE(18,4,T!M1:M11,0.3)</f>
        <v>2.5999999999999996</v>
      </c>
      <c r="B16">
        <f t="shared" si="0"/>
        <v>0</v>
      </c>
      <c r="C16">
        <f t="shared" si="1"/>
        <v>2.5999999999999996</v>
      </c>
      <c r="D16" t="str">
        <f t="shared" si="2"/>
        <v/>
      </c>
      <c r="E16" t="s">
        <v>52</v>
      </c>
    </row>
    <row r="17" spans="1:5" x14ac:dyDescent="0.2">
      <c r="A17" cm="1">
        <f t="array" ref="A17">_xlfn.AGGREGATE(18,6,T!M1:M11,0.3)</f>
        <v>2.5999999999999996</v>
      </c>
      <c r="B17">
        <f t="shared" si="0"/>
        <v>0</v>
      </c>
      <c r="C17">
        <f t="shared" si="1"/>
        <v>2.5999999999999996</v>
      </c>
      <c r="D17" t="str">
        <f t="shared" si="2"/>
        <v/>
      </c>
      <c r="E17" t="s">
        <v>53</v>
      </c>
    </row>
    <row r="18" spans="1:5" x14ac:dyDescent="0.2">
      <c r="A18" cm="1">
        <f t="array" ref="A18">_xlfn.AGGREGATE(19,0,T!M1:M11,1)</f>
        <v>1.75</v>
      </c>
      <c r="B18">
        <f t="shared" si="0"/>
        <v>0</v>
      </c>
      <c r="C18">
        <f t="shared" si="1"/>
        <v>1.75</v>
      </c>
      <c r="D18" t="str">
        <f t="shared" si="2"/>
        <v/>
      </c>
      <c r="E18" t="s">
        <v>54</v>
      </c>
    </row>
    <row r="19" spans="1:5" x14ac:dyDescent="0.2">
      <c r="A19" cm="1">
        <f t="array" ref="A19">_xlfn.AGGREGATE(19,2,T!M1:M11,1)</f>
        <v>1.75</v>
      </c>
      <c r="B19">
        <f t="shared" si="0"/>
        <v>0</v>
      </c>
      <c r="C19">
        <f t="shared" si="1"/>
        <v>1.75</v>
      </c>
      <c r="D19" t="str">
        <f t="shared" si="2"/>
        <v/>
      </c>
      <c r="E19" t="s">
        <v>55</v>
      </c>
    </row>
    <row r="20" spans="1:5" x14ac:dyDescent="0.2">
      <c r="A20" cm="1">
        <f t="array" ref="A20">_xlfn.AGGREGATE(19,4,T!M1:M11,1)</f>
        <v>2</v>
      </c>
      <c r="B20">
        <f t="shared" si="0"/>
        <v>0</v>
      </c>
      <c r="C20">
        <f t="shared" si="1"/>
        <v>2</v>
      </c>
      <c r="D20" t="str">
        <f t="shared" si="2"/>
        <v/>
      </c>
      <c r="E20" t="s">
        <v>56</v>
      </c>
    </row>
    <row r="21" spans="1:5" x14ac:dyDescent="0.2">
      <c r="A21" cm="1">
        <f t="array" ref="A21">_xlfn.AGGREGATE(19,6,T!M1:M11,1)</f>
        <v>2</v>
      </c>
      <c r="B21">
        <f t="shared" si="0"/>
        <v>0</v>
      </c>
      <c r="C21">
        <f t="shared" si="1"/>
        <v>2</v>
      </c>
      <c r="D21" t="str">
        <f t="shared" si="2"/>
        <v/>
      </c>
      <c r="E21" t="s">
        <v>57</v>
      </c>
    </row>
    <row r="22" spans="1:5" x14ac:dyDescent="0.2">
      <c r="A22" t="e" cm="1">
        <f t="array" ref="A22">_xlfn.AGGREGATE(14,0,T!H1:H6,3)</f>
        <v>#DIV/0!</v>
      </c>
      <c r="B22">
        <f t="shared" si="0"/>
        <v>2</v>
      </c>
      <c r="C22">
        <f t="shared" si="1"/>
        <v>0</v>
      </c>
      <c r="D22" t="str">
        <f t="shared" si="2"/>
        <v/>
      </c>
      <c r="E22" t="s">
        <v>58</v>
      </c>
    </row>
    <row r="23" spans="1:5" x14ac:dyDescent="0.2">
      <c r="A23" cm="1">
        <f t="array" ref="A23">_xlfn.AGGREGATE(14,2,T!H1:H6,3)</f>
        <v>2</v>
      </c>
      <c r="B23">
        <f t="shared" si="0"/>
        <v>0</v>
      </c>
      <c r="C23">
        <f t="shared" si="1"/>
        <v>2</v>
      </c>
      <c r="D23" t="str">
        <f t="shared" si="2"/>
        <v/>
      </c>
      <c r="E23" t="s">
        <v>59</v>
      </c>
    </row>
    <row r="24" spans="1:5" x14ac:dyDescent="0.2">
      <c r="A24" t="e" cm="1">
        <f t="array" ref="A24">_xlfn.AGGREGATE(14,4,T!H1:H6,3)</f>
        <v>#DIV/0!</v>
      </c>
      <c r="B24">
        <f t="shared" si="0"/>
        <v>2</v>
      </c>
      <c r="C24">
        <f t="shared" si="1"/>
        <v>0</v>
      </c>
      <c r="D24" t="str">
        <f t="shared" si="2"/>
        <v/>
      </c>
      <c r="E24" t="s">
        <v>60</v>
      </c>
    </row>
    <row r="25" spans="1:5" x14ac:dyDescent="0.2">
      <c r="A25" cm="1">
        <f t="array" ref="A25">_xlfn.AGGREGATE(14,6,T!H1:H6,3)</f>
        <v>2</v>
      </c>
      <c r="B25">
        <f t="shared" si="0"/>
        <v>0</v>
      </c>
      <c r="C25">
        <f t="shared" si="1"/>
        <v>2</v>
      </c>
      <c r="D25" t="str">
        <f t="shared" si="2"/>
        <v/>
      </c>
      <c r="E25" t="s">
        <v>61</v>
      </c>
    </row>
    <row r="26" spans="1:5" x14ac:dyDescent="0.2">
      <c r="A26" t="e" cm="1">
        <f t="array" ref="A26">_xlfn.AGGREGATE(15,0,T!H1:H6,3)</f>
        <v>#DIV/0!</v>
      </c>
      <c r="B26">
        <f t="shared" si="0"/>
        <v>2</v>
      </c>
      <c r="C26">
        <f t="shared" si="1"/>
        <v>0</v>
      </c>
      <c r="D26" t="str">
        <f t="shared" si="2"/>
        <v/>
      </c>
      <c r="E26" t="s">
        <v>62</v>
      </c>
    </row>
    <row r="27" spans="1:5" x14ac:dyDescent="0.2">
      <c r="A27" cm="1">
        <f t="array" ref="A27">_xlfn.AGGREGATE(15,2,T!H1:H6,3)</f>
        <v>7</v>
      </c>
      <c r="B27">
        <f t="shared" si="0"/>
        <v>0</v>
      </c>
      <c r="C27">
        <f t="shared" si="1"/>
        <v>7</v>
      </c>
      <c r="D27" t="str">
        <f t="shared" si="2"/>
        <v/>
      </c>
      <c r="E27" t="s">
        <v>63</v>
      </c>
    </row>
    <row r="28" spans="1:5" x14ac:dyDescent="0.2">
      <c r="A28" t="e" cm="1">
        <f t="array" ref="A28">_xlfn.AGGREGATE(15,4,T!H1:H6,3)</f>
        <v>#DIV/0!</v>
      </c>
      <c r="B28">
        <f t="shared" si="0"/>
        <v>2</v>
      </c>
      <c r="C28">
        <f t="shared" si="1"/>
        <v>0</v>
      </c>
      <c r="D28" t="str">
        <f t="shared" si="2"/>
        <v/>
      </c>
      <c r="E28" t="s">
        <v>64</v>
      </c>
    </row>
    <row r="29" spans="1:5" x14ac:dyDescent="0.2">
      <c r="A29" cm="1">
        <f t="array" ref="A29">_xlfn.AGGREGATE(15,6,T!H1:H6,3)</f>
        <v>7</v>
      </c>
      <c r="B29">
        <f t="shared" si="0"/>
        <v>0</v>
      </c>
      <c r="C29">
        <f t="shared" si="1"/>
        <v>7</v>
      </c>
      <c r="D29" t="str">
        <f t="shared" si="2"/>
        <v/>
      </c>
      <c r="E29" t="s">
        <v>65</v>
      </c>
    </row>
    <row r="30" spans="1:5" x14ac:dyDescent="0.2">
      <c r="A30" t="e" cm="1">
        <f t="array" ref="A30">_xlfn.AGGREGATE(16,0,T!H1:H6,0.3)</f>
        <v>#DIV/0!</v>
      </c>
      <c r="B30">
        <f t="shared" si="0"/>
        <v>2</v>
      </c>
      <c r="C30">
        <f t="shared" si="1"/>
        <v>0</v>
      </c>
      <c r="D30" t="str">
        <f t="shared" si="2"/>
        <v/>
      </c>
      <c r="E30" t="s">
        <v>66</v>
      </c>
    </row>
    <row r="31" spans="1:5" x14ac:dyDescent="0.2">
      <c r="A31" cm="1">
        <f t="array" ref="A31">_xlfn.AGGREGATE(16,2,T!H1:H6,0.3)</f>
        <v>2.6</v>
      </c>
      <c r="B31">
        <f t="shared" si="0"/>
        <v>0</v>
      </c>
      <c r="C31">
        <f t="shared" si="1"/>
        <v>2.6</v>
      </c>
      <c r="D31" t="str">
        <f t="shared" si="2"/>
        <v/>
      </c>
      <c r="E31" t="s">
        <v>67</v>
      </c>
    </row>
    <row r="32" spans="1:5" x14ac:dyDescent="0.2">
      <c r="A32" t="e" cm="1">
        <f t="array" ref="A32">_xlfn.AGGREGATE(16,4,T!H1:H6,0.3)</f>
        <v>#DIV/0!</v>
      </c>
      <c r="B32">
        <f t="shared" si="0"/>
        <v>2</v>
      </c>
      <c r="C32">
        <f t="shared" si="1"/>
        <v>0</v>
      </c>
      <c r="D32" t="str">
        <f t="shared" si="2"/>
        <v/>
      </c>
      <c r="E32" t="s">
        <v>68</v>
      </c>
    </row>
    <row r="33" spans="1:5" x14ac:dyDescent="0.2">
      <c r="A33" cm="1">
        <f t="array" ref="A33">_xlfn.AGGREGATE(16,6,T!H1:H6,0.3)</f>
        <v>2.6</v>
      </c>
      <c r="B33">
        <f t="shared" ref="B33:B64" si="3">IF(ISERROR(A33),ERROR.TYPE(A33),IF(ISNUMBER(A33),0,IF(ISLOGICAL(A33),IF(A33,-1,-2),IF(ISTEXT(A33),-3,-4))))</f>
        <v>0</v>
      </c>
      <c r="C33">
        <f t="shared" ref="C33:C64" si="4">IF(ISNUMBER(A33),A33,0)</f>
        <v>2.6</v>
      </c>
      <c r="D33" t="str">
        <f t="shared" ref="D33:D64" si="5">IF(ISTEXT(A33),A33,"")</f>
        <v/>
      </c>
      <c r="E33" t="s">
        <v>69</v>
      </c>
    </row>
    <row r="34" spans="1:5" x14ac:dyDescent="0.2">
      <c r="A34" t="e" cm="1">
        <f t="array" ref="A34">_xlfn.AGGREGATE(17,0,T!H1:H6,1)</f>
        <v>#DIV/0!</v>
      </c>
      <c r="B34">
        <f t="shared" si="3"/>
        <v>2</v>
      </c>
      <c r="C34">
        <f t="shared" si="4"/>
        <v>0</v>
      </c>
      <c r="D34" t="str">
        <f t="shared" si="5"/>
        <v/>
      </c>
      <c r="E34" t="s">
        <v>70</v>
      </c>
    </row>
    <row r="35" spans="1:5" x14ac:dyDescent="0.2">
      <c r="A35" cm="1">
        <f t="array" ref="A35">_xlfn.AGGREGATE(17,2,T!H1:H6,1)</f>
        <v>2.5</v>
      </c>
      <c r="B35">
        <f t="shared" si="3"/>
        <v>0</v>
      </c>
      <c r="C35">
        <f t="shared" si="4"/>
        <v>2.5</v>
      </c>
      <c r="D35" t="str">
        <f t="shared" si="5"/>
        <v/>
      </c>
      <c r="E35" t="s">
        <v>71</v>
      </c>
    </row>
    <row r="36" spans="1:5" x14ac:dyDescent="0.2">
      <c r="A36" t="e" cm="1">
        <f t="array" ref="A36">_xlfn.AGGREGATE(17,4,T!H1:H6,1)</f>
        <v>#DIV/0!</v>
      </c>
      <c r="B36">
        <f t="shared" si="3"/>
        <v>2</v>
      </c>
      <c r="C36">
        <f t="shared" si="4"/>
        <v>0</v>
      </c>
      <c r="D36" t="str">
        <f t="shared" si="5"/>
        <v/>
      </c>
      <c r="E36" t="s">
        <v>72</v>
      </c>
    </row>
    <row r="37" spans="1:5" x14ac:dyDescent="0.2">
      <c r="A37" cm="1">
        <f t="array" ref="A37">_xlfn.AGGREGATE(17,6,T!H1:H6,1)</f>
        <v>2.5</v>
      </c>
      <c r="B37">
        <f t="shared" si="3"/>
        <v>0</v>
      </c>
      <c r="C37">
        <f t="shared" si="4"/>
        <v>2.5</v>
      </c>
      <c r="D37" t="str">
        <f t="shared" si="5"/>
        <v/>
      </c>
      <c r="E37" t="s">
        <v>73</v>
      </c>
    </row>
    <row r="38" spans="1:5" x14ac:dyDescent="0.2">
      <c r="A38" t="e" cm="1">
        <f t="array" ref="A38">_xlfn.AGGREGATE(18,0,T!H1:H6,0.3)</f>
        <v>#DIV/0!</v>
      </c>
      <c r="B38">
        <f t="shared" si="3"/>
        <v>2</v>
      </c>
      <c r="C38">
        <f t="shared" si="4"/>
        <v>0</v>
      </c>
      <c r="D38" t="str">
        <f t="shared" si="5"/>
        <v/>
      </c>
      <c r="E38" t="s">
        <v>74</v>
      </c>
    </row>
    <row r="39" spans="1:5" x14ac:dyDescent="0.2">
      <c r="A39" cm="1">
        <f t="array" ref="A39">_xlfn.AGGREGATE(18,2,T!H1:H6,0.3)</f>
        <v>2.2000000000000002</v>
      </c>
      <c r="B39">
        <f t="shared" si="3"/>
        <v>0</v>
      </c>
      <c r="C39">
        <f t="shared" si="4"/>
        <v>2.2000000000000002</v>
      </c>
      <c r="D39" t="str">
        <f t="shared" si="5"/>
        <v/>
      </c>
      <c r="E39" t="s">
        <v>75</v>
      </c>
    </row>
    <row r="40" spans="1:5" x14ac:dyDescent="0.2">
      <c r="A40" t="e" cm="1">
        <f t="array" ref="A40">_xlfn.AGGREGATE(18,4,T!H1:H6,0.3)</f>
        <v>#DIV/0!</v>
      </c>
      <c r="B40">
        <f t="shared" si="3"/>
        <v>2</v>
      </c>
      <c r="C40">
        <f t="shared" si="4"/>
        <v>0</v>
      </c>
      <c r="D40" t="str">
        <f t="shared" si="5"/>
        <v/>
      </c>
      <c r="E40" t="s">
        <v>76</v>
      </c>
    </row>
    <row r="41" spans="1:5" x14ac:dyDescent="0.2">
      <c r="A41" cm="1">
        <f t="array" ref="A41">_xlfn.AGGREGATE(18,6,T!H1:H6,0.3)</f>
        <v>2.2000000000000002</v>
      </c>
      <c r="B41">
        <f t="shared" si="3"/>
        <v>0</v>
      </c>
      <c r="C41">
        <f t="shared" si="4"/>
        <v>2.2000000000000002</v>
      </c>
      <c r="D41" t="str">
        <f t="shared" si="5"/>
        <v/>
      </c>
      <c r="E41" t="s">
        <v>77</v>
      </c>
    </row>
    <row r="42" spans="1:5" x14ac:dyDescent="0.2">
      <c r="A42" t="e" cm="1">
        <f t="array" ref="A42">_xlfn.AGGREGATE(19,0,T!H1:H6,1)</f>
        <v>#DIV/0!</v>
      </c>
      <c r="B42">
        <f t="shared" si="3"/>
        <v>2</v>
      </c>
      <c r="C42">
        <f t="shared" si="4"/>
        <v>0</v>
      </c>
      <c r="D42" t="str">
        <f t="shared" si="5"/>
        <v/>
      </c>
      <c r="E42" t="s">
        <v>78</v>
      </c>
    </row>
    <row r="43" spans="1:5" x14ac:dyDescent="0.2">
      <c r="A43" cm="1">
        <f t="array" ref="A43">_xlfn.AGGREGATE(19,2,T!H1:H6,1)</f>
        <v>2</v>
      </c>
      <c r="B43">
        <f t="shared" si="3"/>
        <v>0</v>
      </c>
      <c r="C43">
        <f t="shared" si="4"/>
        <v>2</v>
      </c>
      <c r="D43" t="str">
        <f t="shared" si="5"/>
        <v/>
      </c>
      <c r="E43" t="s">
        <v>79</v>
      </c>
    </row>
    <row r="44" spans="1:5" x14ac:dyDescent="0.2">
      <c r="A44" t="e" cm="1">
        <f t="array" ref="A44">_xlfn.AGGREGATE(19,4,T!H1:H6,1)</f>
        <v>#DIV/0!</v>
      </c>
      <c r="B44">
        <f t="shared" si="3"/>
        <v>2</v>
      </c>
      <c r="C44">
        <f t="shared" si="4"/>
        <v>0</v>
      </c>
      <c r="D44" t="str">
        <f t="shared" si="5"/>
        <v/>
      </c>
      <c r="E44" t="s">
        <v>80</v>
      </c>
    </row>
    <row r="45" spans="1:5" x14ac:dyDescent="0.2">
      <c r="A45" cm="1">
        <f t="array" ref="A45">_xlfn.AGGREGATE(19,6,T!H1:H6,1)</f>
        <v>2</v>
      </c>
      <c r="B45">
        <f t="shared" si="3"/>
        <v>0</v>
      </c>
      <c r="C45">
        <f t="shared" si="4"/>
        <v>2</v>
      </c>
      <c r="D45" t="str">
        <f t="shared" si="5"/>
        <v/>
      </c>
      <c r="E45" t="s">
        <v>81</v>
      </c>
    </row>
    <row r="46" spans="1:5" x14ac:dyDescent="0.2">
      <c r="A46" cm="1">
        <f t="array" ref="A46">_xlfn.AGGREGATE(14,6,T!M1:M10,1)</f>
        <v>9</v>
      </c>
      <c r="B46">
        <f t="shared" si="3"/>
        <v>0</v>
      </c>
      <c r="C46">
        <f t="shared" si="4"/>
        <v>9</v>
      </c>
      <c r="D46" t="str">
        <f t="shared" si="5"/>
        <v/>
      </c>
      <c r="E46" t="s">
        <v>82</v>
      </c>
    </row>
    <row r="47" spans="1:5" x14ac:dyDescent="0.2">
      <c r="A47" t="e" cm="1">
        <f t="array" ref="A47">_xlfn.AGGREGATE(14,6,T!M1:M10,0)</f>
        <v>#NUM!</v>
      </c>
      <c r="B47">
        <f t="shared" si="3"/>
        <v>6</v>
      </c>
      <c r="C47">
        <f t="shared" si="4"/>
        <v>0</v>
      </c>
      <c r="D47" t="str">
        <f t="shared" si="5"/>
        <v/>
      </c>
      <c r="E47" t="s">
        <v>83</v>
      </c>
    </row>
    <row r="48" spans="1:5" x14ac:dyDescent="0.2">
      <c r="A48" cm="1">
        <f t="array" ref="A48">_xlfn.AGGREGATE(14,6,T!M1:M10,10)</f>
        <v>1</v>
      </c>
      <c r="B48">
        <f t="shared" si="3"/>
        <v>0</v>
      </c>
      <c r="C48">
        <f t="shared" si="4"/>
        <v>1</v>
      </c>
      <c r="D48" t="str">
        <f t="shared" si="5"/>
        <v/>
      </c>
      <c r="E48" t="s">
        <v>84</v>
      </c>
    </row>
    <row r="49" spans="1:5" x14ac:dyDescent="0.2">
      <c r="A49" t="e" cm="1">
        <f t="array" ref="A49">_xlfn.AGGREGATE(14,6,T!M1:M10,11)</f>
        <v>#NUM!</v>
      </c>
      <c r="B49">
        <f t="shared" si="3"/>
        <v>6</v>
      </c>
      <c r="C49">
        <f t="shared" si="4"/>
        <v>0</v>
      </c>
      <c r="D49" t="str">
        <f t="shared" si="5"/>
        <v/>
      </c>
      <c r="E49" t="s">
        <v>85</v>
      </c>
    </row>
    <row r="50" spans="1:5" x14ac:dyDescent="0.2">
      <c r="A50" cm="1">
        <f t="array" ref="A50">_xlfn.AGGREGATE(14,6,T!M1:M10,"2")</f>
        <v>6</v>
      </c>
      <c r="B50">
        <f t="shared" si="3"/>
        <v>0</v>
      </c>
      <c r="C50">
        <f t="shared" si="4"/>
        <v>6</v>
      </c>
      <c r="D50" t="str">
        <f t="shared" si="5"/>
        <v/>
      </c>
      <c r="E50" t="s">
        <v>86</v>
      </c>
    </row>
    <row r="51" spans="1:5" x14ac:dyDescent="0.2">
      <c r="A51" cm="1">
        <f t="array" ref="A51">_xlfn.AGGREGATE(14,6,T!M1:M10,TRUE)</f>
        <v>9</v>
      </c>
      <c r="B51">
        <f t="shared" si="3"/>
        <v>0</v>
      </c>
      <c r="C51">
        <f t="shared" si="4"/>
        <v>9</v>
      </c>
      <c r="D51" t="str">
        <f t="shared" si="5"/>
        <v/>
      </c>
      <c r="E51" t="s">
        <v>87</v>
      </c>
    </row>
    <row r="52" spans="1:5" x14ac:dyDescent="0.2">
      <c r="A52" t="e" cm="1">
        <f t="array" ref="A52">_xlfn.AGGREGATE(14,6,T!M1:M10,T!J1)</f>
        <v>#NUM!</v>
      </c>
      <c r="B52">
        <f t="shared" si="3"/>
        <v>6</v>
      </c>
      <c r="C52">
        <f t="shared" si="4"/>
        <v>0</v>
      </c>
      <c r="D52" t="str">
        <f t="shared" si="5"/>
        <v/>
      </c>
      <c r="E52" t="s">
        <v>88</v>
      </c>
    </row>
    <row r="53" spans="1:5" x14ac:dyDescent="0.2">
      <c r="A53" cm="1">
        <f t="array" ref="A53">_xlfn.AGGREGATE(14,6,T!M1:M10,2.9)</f>
        <v>5</v>
      </c>
      <c r="B53">
        <f t="shared" si="3"/>
        <v>0</v>
      </c>
      <c r="C53">
        <f t="shared" si="4"/>
        <v>5</v>
      </c>
      <c r="D53" t="str">
        <f t="shared" si="5"/>
        <v/>
      </c>
      <c r="E53" t="s">
        <v>89</v>
      </c>
    </row>
    <row r="54" spans="1:5" x14ac:dyDescent="0.2">
      <c r="A54" t="e" cm="1">
        <f t="array" ref="A54">_xlfn.AGGREGATE(14,6,T!M1:M10,D!A7)</f>
        <v>#VALUE!</v>
      </c>
      <c r="B54">
        <f t="shared" si="3"/>
        <v>3</v>
      </c>
      <c r="C54">
        <f t="shared" si="4"/>
        <v>0</v>
      </c>
      <c r="D54" t="str">
        <f t="shared" si="5"/>
        <v/>
      </c>
      <c r="E54" t="s">
        <v>90</v>
      </c>
    </row>
    <row r="55" spans="1:5" x14ac:dyDescent="0.2">
      <c r="A55" t="e" cm="1">
        <f t="array" ref="A55">_xlfn.AGGREGATE(14,6,T!M1:M10,"abc")</f>
        <v>#VALUE!</v>
      </c>
      <c r="B55">
        <f t="shared" si="3"/>
        <v>3</v>
      </c>
      <c r="C55">
        <f t="shared" si="4"/>
        <v>0</v>
      </c>
      <c r="D55" t="str">
        <f t="shared" si="5"/>
        <v/>
      </c>
      <c r="E55" t="s">
        <v>91</v>
      </c>
    </row>
    <row r="56" spans="1:5" x14ac:dyDescent="0.2">
      <c r="A56" cm="1">
        <f t="array" ref="A56">_xlfn.AGGREGATE(15,6,T!M1:M10,10)</f>
        <v>9</v>
      </c>
      <c r="B56">
        <f t="shared" si="3"/>
        <v>0</v>
      </c>
      <c r="C56">
        <f t="shared" si="4"/>
        <v>9</v>
      </c>
      <c r="D56" t="str">
        <f t="shared" si="5"/>
        <v/>
      </c>
      <c r="E56" t="s">
        <v>92</v>
      </c>
    </row>
    <row r="57" spans="1:5" x14ac:dyDescent="0.2">
      <c r="A57" t="e" cm="1">
        <f t="array" ref="A57">_xlfn.AGGREGATE(16,6,T!M1:M10,1.5)</f>
        <v>#NUM!</v>
      </c>
      <c r="B57">
        <f t="shared" si="3"/>
        <v>6</v>
      </c>
      <c r="C57">
        <f t="shared" si="4"/>
        <v>0</v>
      </c>
      <c r="D57" t="str">
        <f t="shared" si="5"/>
        <v/>
      </c>
      <c r="E57" t="s">
        <v>93</v>
      </c>
    </row>
    <row r="58" spans="1:5" x14ac:dyDescent="0.2">
      <c r="A58" t="e" cm="1">
        <f t="array" ref="A58">_xlfn.AGGREGATE(16,6,T!M1:M10,-0.1)</f>
        <v>#NUM!</v>
      </c>
      <c r="B58">
        <f t="shared" si="3"/>
        <v>6</v>
      </c>
      <c r="C58">
        <f t="shared" si="4"/>
        <v>0</v>
      </c>
      <c r="D58" t="str">
        <f t="shared" si="5"/>
        <v/>
      </c>
      <c r="E58" t="s">
        <v>94</v>
      </c>
    </row>
    <row r="59" spans="1:5" x14ac:dyDescent="0.2">
      <c r="A59" cm="1">
        <f t="array" ref="A59">_xlfn.AGGREGATE(17,6,T!M1:M10,4.5)</f>
        <v>9</v>
      </c>
      <c r="B59">
        <f t="shared" si="3"/>
        <v>0</v>
      </c>
      <c r="C59">
        <f t="shared" si="4"/>
        <v>9</v>
      </c>
      <c r="D59" t="str">
        <f t="shared" si="5"/>
        <v/>
      </c>
      <c r="E59" t="s">
        <v>95</v>
      </c>
    </row>
    <row r="60" spans="1:5" x14ac:dyDescent="0.2">
      <c r="A60" t="e" cm="1">
        <f t="array" ref="A60">_xlfn.AGGREGATE(17,6,T!M1:M10,5)</f>
        <v>#NUM!</v>
      </c>
      <c r="B60">
        <f t="shared" si="3"/>
        <v>6</v>
      </c>
      <c r="C60">
        <f t="shared" si="4"/>
        <v>0</v>
      </c>
      <c r="D60" t="str">
        <f t="shared" si="5"/>
        <v/>
      </c>
      <c r="E60" t="s">
        <v>96</v>
      </c>
    </row>
    <row r="61" spans="1:5" x14ac:dyDescent="0.2">
      <c r="A61" t="e" cm="1">
        <f t="array" ref="A61">_xlfn.AGGREGATE(18,6,T!M1:M10,0.05)</f>
        <v>#NUM!</v>
      </c>
      <c r="B61">
        <f t="shared" si="3"/>
        <v>6</v>
      </c>
      <c r="C61">
        <f t="shared" si="4"/>
        <v>0</v>
      </c>
      <c r="D61" t="str">
        <f t="shared" si="5"/>
        <v/>
      </c>
      <c r="E61" t="s">
        <v>97</v>
      </c>
    </row>
    <row r="62" spans="1:5" x14ac:dyDescent="0.2">
      <c r="A62" t="e" cm="1">
        <f t="array" ref="A62">_xlfn.AGGREGATE(18,6,T!M1:M10,0.95)</f>
        <v>#NUM!</v>
      </c>
      <c r="B62">
        <f t="shared" si="3"/>
        <v>6</v>
      </c>
      <c r="C62">
        <f t="shared" si="4"/>
        <v>0</v>
      </c>
      <c r="D62" t="str">
        <f t="shared" si="5"/>
        <v/>
      </c>
      <c r="E62" t="s">
        <v>98</v>
      </c>
    </row>
    <row r="63" spans="1:5" x14ac:dyDescent="0.2">
      <c r="A63" t="e" cm="1">
        <f t="array" ref="A63">_xlfn.AGGREGATE(19,6,T!M1:M10,4)</f>
        <v>#NUM!</v>
      </c>
      <c r="B63">
        <f t="shared" si="3"/>
        <v>6</v>
      </c>
      <c r="C63">
        <f t="shared" si="4"/>
        <v>0</v>
      </c>
      <c r="D63" t="str">
        <f t="shared" si="5"/>
        <v/>
      </c>
      <c r="E63" t="s">
        <v>99</v>
      </c>
    </row>
    <row r="64" spans="1:5" x14ac:dyDescent="0.2">
      <c r="A64" t="e" cm="1">
        <f t="array" ref="A64">_xlfn.AGGREGATE(19,6,T!M1:M10,0.5)</f>
        <v>#NUM!</v>
      </c>
      <c r="B64">
        <f t="shared" si="3"/>
        <v>6</v>
      </c>
      <c r="C64">
        <f t="shared" si="4"/>
        <v>0</v>
      </c>
      <c r="D64" t="str">
        <f t="shared" si="5"/>
        <v/>
      </c>
      <c r="E64" t="s">
        <v>100</v>
      </c>
    </row>
    <row r="65" spans="1:5" x14ac:dyDescent="0.2">
      <c r="A65" t="e" cm="1">
        <f t="array" ref="A65">_xlfn.AGGREGATE(14,6,T!M1:M10)</f>
        <v>#VALUE!</v>
      </c>
      <c r="B65">
        <f t="shared" ref="B65:B96" si="6">IF(ISERROR(A65),ERROR.TYPE(A65),IF(ISNUMBER(A65),0,IF(ISLOGICAL(A65),IF(A65,-1,-2),IF(ISTEXT(A65),-3,-4))))</f>
        <v>3</v>
      </c>
      <c r="C65">
        <f t="shared" ref="C65:C96" si="7">IF(ISNUMBER(A65),A65,0)</f>
        <v>0</v>
      </c>
      <c r="D65" t="str">
        <f t="shared" ref="D65:D96" si="8">IF(ISTEXT(A65),A65,"")</f>
        <v/>
      </c>
      <c r="E65" t="s">
        <v>101</v>
      </c>
    </row>
    <row r="66" spans="1:5" x14ac:dyDescent="0.2">
      <c r="A66" cm="1">
        <f t="array" ref="A66">_xlfn.AGGREGATE(14,6,T!M1:M10,T!A1:A3)</f>
        <v>9</v>
      </c>
      <c r="B66">
        <f t="shared" si="6"/>
        <v>0</v>
      </c>
      <c r="C66">
        <f t="shared" si="7"/>
        <v>9</v>
      </c>
      <c r="D66" t="str">
        <f t="shared" si="8"/>
        <v/>
      </c>
      <c r="E66" t="s">
        <v>102</v>
      </c>
    </row>
    <row r="67" spans="1:5" x14ac:dyDescent="0.2">
      <c r="A67" cm="1">
        <f t="array" ref="A67">SUBTOTAL(9,T!A1:A3,T!P1:P8)</f>
        <v>111</v>
      </c>
      <c r="B67">
        <f t="shared" si="6"/>
        <v>0</v>
      </c>
      <c r="C67">
        <f t="shared" si="7"/>
        <v>111</v>
      </c>
      <c r="D67" t="str">
        <f t="shared" si="8"/>
        <v/>
      </c>
      <c r="E67" t="s">
        <v>103</v>
      </c>
    </row>
    <row r="68" spans="1:5" x14ac:dyDescent="0.2">
      <c r="A68" cm="1">
        <f t="array" ref="A68">SUBTOTAL(3,T!I1:I7,T!H1:H6)</f>
        <v>11</v>
      </c>
      <c r="B68">
        <f t="shared" si="6"/>
        <v>0</v>
      </c>
      <c r="C68">
        <f t="shared" si="7"/>
        <v>11</v>
      </c>
      <c r="D68" t="str">
        <f t="shared" si="8"/>
        <v/>
      </c>
      <c r="E68" t="s">
        <v>104</v>
      </c>
    </row>
    <row r="69" spans="1:5" x14ac:dyDescent="0.2">
      <c r="A69" cm="1">
        <f t="array" ref="A69">_xlfn.AGGREGATE(9,0,T!A1:A3,T!B1:B3)</f>
        <v>6</v>
      </c>
      <c r="B69">
        <f t="shared" si="6"/>
        <v>0</v>
      </c>
      <c r="C69">
        <f t="shared" si="7"/>
        <v>6</v>
      </c>
      <c r="D69" t="str">
        <f t="shared" si="8"/>
        <v/>
      </c>
      <c r="E69" t="s">
        <v>105</v>
      </c>
    </row>
    <row r="70" spans="1:5" x14ac:dyDescent="0.2">
      <c r="A70" cm="1">
        <f t="array" ref="A70">_xlfn.AGGREGATE(4,6,T!H1:H6,T!M1:M10)</f>
        <v>9</v>
      </c>
      <c r="B70">
        <f t="shared" si="6"/>
        <v>0</v>
      </c>
      <c r="C70">
        <f t="shared" si="7"/>
        <v>9</v>
      </c>
      <c r="D70" t="str">
        <f t="shared" si="8"/>
        <v/>
      </c>
      <c r="E70" t="s">
        <v>106</v>
      </c>
    </row>
    <row r="71" spans="1:5" x14ac:dyDescent="0.2">
      <c r="A71" cm="1">
        <f t="array" ref="A71">_xlfn.AGGREGATE(1,4,T!P1:P8,T!L1:L3)</f>
        <v>15.454545454545455</v>
      </c>
      <c r="B71">
        <f t="shared" si="6"/>
        <v>0</v>
      </c>
      <c r="C71">
        <f t="shared" si="7"/>
        <v>15.454545454545455</v>
      </c>
      <c r="D71" t="str">
        <f t="shared" si="8"/>
        <v/>
      </c>
      <c r="E71" t="s">
        <v>107</v>
      </c>
    </row>
    <row r="72" spans="1:5" x14ac:dyDescent="0.2">
      <c r="A72" cm="1">
        <f t="array" ref="A72">SUBTOTAL(9,T!P:P)</f>
        <v>108</v>
      </c>
      <c r="B72">
        <f t="shared" si="6"/>
        <v>0</v>
      </c>
      <c r="C72">
        <f t="shared" si="7"/>
        <v>108</v>
      </c>
      <c r="D72" t="str">
        <f t="shared" si="8"/>
        <v/>
      </c>
      <c r="E72" t="s">
        <v>108</v>
      </c>
    </row>
    <row r="73" spans="1:5" x14ac:dyDescent="0.2">
      <c r="A73" cm="1">
        <f t="array" ref="A73">_xlfn.AGGREGATE(9,0,T!P:P)</f>
        <v>108</v>
      </c>
      <c r="B73">
        <f t="shared" si="6"/>
        <v>0</v>
      </c>
      <c r="C73">
        <f t="shared" si="7"/>
        <v>108</v>
      </c>
      <c r="D73" t="str">
        <f t="shared" si="8"/>
        <v/>
      </c>
      <c r="E73" t="s">
        <v>109</v>
      </c>
    </row>
    <row r="74" spans="1:5" x14ac:dyDescent="0.2">
      <c r="A74" cm="1">
        <f t="array" ref="A74">SUBTOTAL(9,T!P7)</f>
        <v>0</v>
      </c>
      <c r="B74">
        <f t="shared" si="6"/>
        <v>0</v>
      </c>
      <c r="C74">
        <f t="shared" si="7"/>
        <v>0</v>
      </c>
      <c r="D74" t="str">
        <f t="shared" si="8"/>
        <v/>
      </c>
      <c r="E74" t="s">
        <v>110</v>
      </c>
    </row>
    <row r="75" spans="1:5" x14ac:dyDescent="0.2">
      <c r="A75" cm="1">
        <f t="array" ref="A75">SUBTOTAL(9,T!P1)</f>
        <v>4</v>
      </c>
      <c r="B75">
        <f t="shared" si="6"/>
        <v>0</v>
      </c>
      <c r="C75">
        <f t="shared" si="7"/>
        <v>4</v>
      </c>
      <c r="D75" t="str">
        <f t="shared" si="8"/>
        <v/>
      </c>
      <c r="E75" t="s">
        <v>111</v>
      </c>
    </row>
    <row r="76" spans="1:5" x14ac:dyDescent="0.2">
      <c r="A76" t="e" cm="1">
        <f t="array" ref="A76">SUBTOTAL(9,D!A7)</f>
        <v>#DIV/0!</v>
      </c>
      <c r="B76">
        <f t="shared" si="6"/>
        <v>2</v>
      </c>
      <c r="C76">
        <f t="shared" si="7"/>
        <v>0</v>
      </c>
      <c r="D76" t="str">
        <f t="shared" si="8"/>
        <v/>
      </c>
      <c r="E76" t="s">
        <v>112</v>
      </c>
    </row>
    <row r="77" spans="1:5" x14ac:dyDescent="0.2">
      <c r="A77" cm="1">
        <f t="array" ref="A77">_xlfn.AGGREGATE(9,6,D!A7)</f>
        <v>0</v>
      </c>
      <c r="B77">
        <f t="shared" si="6"/>
        <v>0</v>
      </c>
      <c r="C77">
        <f t="shared" si="7"/>
        <v>0</v>
      </c>
      <c r="D77" t="str">
        <f t="shared" si="8"/>
        <v/>
      </c>
      <c r="E77" t="s">
        <v>113</v>
      </c>
    </row>
    <row r="78" spans="1:5" x14ac:dyDescent="0.2">
      <c r="A78" cm="1">
        <f t="array" ref="A78">SUBTOTAL(1,D!B1:B8,D!D1:D8)</f>
        <v>11.295454545454545</v>
      </c>
      <c r="B78">
        <f t="shared" si="6"/>
        <v>0</v>
      </c>
      <c r="C78">
        <f t="shared" si="7"/>
        <v>11.295454545454545</v>
      </c>
      <c r="D78" t="str">
        <f t="shared" si="8"/>
        <v/>
      </c>
      <c r="E78" t="s">
        <v>114</v>
      </c>
    </row>
    <row r="79" spans="1:5" x14ac:dyDescent="0.2">
      <c r="A79" cm="1">
        <f t="array" ref="A79">SUBTOTAL("9",T!P1:P6)</f>
        <v>108</v>
      </c>
      <c r="B79">
        <f t="shared" si="6"/>
        <v>0</v>
      </c>
      <c r="C79">
        <f t="shared" si="7"/>
        <v>108</v>
      </c>
      <c r="D79" t="str">
        <f t="shared" si="8"/>
        <v/>
      </c>
      <c r="E79" t="s">
        <v>115</v>
      </c>
    </row>
    <row r="80" spans="1:5" x14ac:dyDescent="0.2">
      <c r="A80" cm="1">
        <f t="array" ref="A80">SUBTOTAL(TRUE,T!P1:P6)</f>
        <v>18</v>
      </c>
      <c r="B80">
        <f t="shared" si="6"/>
        <v>0</v>
      </c>
      <c r="C80">
        <f t="shared" si="7"/>
        <v>18</v>
      </c>
      <c r="D80" t="str">
        <f t="shared" si="8"/>
        <v/>
      </c>
      <c r="E80" t="s">
        <v>116</v>
      </c>
    </row>
    <row r="81" spans="1:5" x14ac:dyDescent="0.2">
      <c r="A81" t="e" cm="1">
        <f t="array" ref="A81">SUBTOTAL(0,T!P1:P6)</f>
        <v>#VALUE!</v>
      </c>
      <c r="B81">
        <f t="shared" si="6"/>
        <v>3</v>
      </c>
      <c r="C81">
        <f t="shared" si="7"/>
        <v>0</v>
      </c>
      <c r="D81" t="str">
        <f t="shared" si="8"/>
        <v/>
      </c>
      <c r="E81" t="s">
        <v>117</v>
      </c>
    </row>
    <row r="82" spans="1:5" x14ac:dyDescent="0.2">
      <c r="A82" t="e" cm="1">
        <f t="array" ref="A82">SUBTOTAL(12,T!P1:P6)</f>
        <v>#VALUE!</v>
      </c>
      <c r="B82">
        <f t="shared" si="6"/>
        <v>3</v>
      </c>
      <c r="C82">
        <f t="shared" si="7"/>
        <v>0</v>
      </c>
      <c r="D82" t="str">
        <f t="shared" si="8"/>
        <v/>
      </c>
      <c r="E82" t="s">
        <v>118</v>
      </c>
    </row>
    <row r="83" spans="1:5" x14ac:dyDescent="0.2">
      <c r="A83" t="e" cm="1">
        <f t="array" ref="A83">SUBTOTAL(100,T!P1:P6)</f>
        <v>#VALUE!</v>
      </c>
      <c r="B83">
        <f t="shared" si="6"/>
        <v>3</v>
      </c>
      <c r="C83">
        <f t="shared" si="7"/>
        <v>0</v>
      </c>
      <c r="D83" t="str">
        <f t="shared" si="8"/>
        <v/>
      </c>
      <c r="E83" t="s">
        <v>119</v>
      </c>
    </row>
    <row r="84" spans="1:5" x14ac:dyDescent="0.2">
      <c r="A84" t="e" cm="1">
        <f t="array" ref="A84">SUBTOTAL(112,T!P1:P6)</f>
        <v>#VALUE!</v>
      </c>
      <c r="B84">
        <f t="shared" si="6"/>
        <v>3</v>
      </c>
      <c r="C84">
        <f t="shared" si="7"/>
        <v>0</v>
      </c>
      <c r="D84" t="str">
        <f t="shared" si="8"/>
        <v/>
      </c>
      <c r="E84" t="s">
        <v>120</v>
      </c>
    </row>
    <row r="85" spans="1:5" x14ac:dyDescent="0.2">
      <c r="A85" cm="1">
        <f t="array" ref="A85">SUBTOTAL(2.9,T!P1:P6)</f>
        <v>6</v>
      </c>
      <c r="B85">
        <f t="shared" si="6"/>
        <v>0</v>
      </c>
      <c r="C85">
        <f t="shared" si="7"/>
        <v>6</v>
      </c>
      <c r="D85" t="str">
        <f t="shared" si="8"/>
        <v/>
      </c>
      <c r="E85" t="s">
        <v>121</v>
      </c>
    </row>
    <row r="86" spans="1:5" x14ac:dyDescent="0.2">
      <c r="A86" t="e" cm="1">
        <f t="array" ref="A86">SUBTOTAL(-1,T!P1:P6)</f>
        <v>#VALUE!</v>
      </c>
      <c r="B86">
        <f t="shared" si="6"/>
        <v>3</v>
      </c>
      <c r="C86">
        <f t="shared" si="7"/>
        <v>0</v>
      </c>
      <c r="D86" t="str">
        <f t="shared" si="8"/>
        <v/>
      </c>
      <c r="E86" t="s">
        <v>122</v>
      </c>
    </row>
    <row r="87" spans="1:5" x14ac:dyDescent="0.2">
      <c r="A87" t="e" cm="1">
        <f t="array" ref="A87">SUBTOTAL(T!J1,T!P1:P6)</f>
        <v>#VALUE!</v>
      </c>
      <c r="B87">
        <f t="shared" si="6"/>
        <v>3</v>
      </c>
      <c r="C87">
        <f t="shared" si="7"/>
        <v>0</v>
      </c>
      <c r="D87" t="str">
        <f t="shared" si="8"/>
        <v/>
      </c>
      <c r="E87" t="s">
        <v>123</v>
      </c>
    </row>
    <row r="88" spans="1:5" x14ac:dyDescent="0.2">
      <c r="A88" t="e" cm="1">
        <f t="array" ref="A88">SUBTOTAL("abc",T!P1:P6)</f>
        <v>#VALUE!</v>
      </c>
      <c r="B88">
        <f t="shared" si="6"/>
        <v>3</v>
      </c>
      <c r="C88">
        <f t="shared" si="7"/>
        <v>0</v>
      </c>
      <c r="D88" t="str">
        <f t="shared" si="8"/>
        <v/>
      </c>
      <c r="E88" t="s">
        <v>124</v>
      </c>
    </row>
    <row r="89" spans="1:5" x14ac:dyDescent="0.2">
      <c r="A89" cm="1">
        <f t="array" ref="A89">SUBTOTAL(101.5,T!P1:P6)</f>
        <v>18</v>
      </c>
      <c r="B89">
        <f t="shared" si="6"/>
        <v>0</v>
      </c>
      <c r="C89">
        <f t="shared" si="7"/>
        <v>18</v>
      </c>
      <c r="D89" t="str">
        <f t="shared" si="8"/>
        <v/>
      </c>
      <c r="E89" t="s">
        <v>125</v>
      </c>
    </row>
    <row r="90" spans="1:5" x14ac:dyDescent="0.2">
      <c r="A90" t="e" cm="1">
        <f t="array" ref="A90">SUBTOTAL(D!A7,T!P1:P6)</f>
        <v>#DIV/0!</v>
      </c>
      <c r="B90">
        <f t="shared" si="6"/>
        <v>2</v>
      </c>
      <c r="C90">
        <f t="shared" si="7"/>
        <v>0</v>
      </c>
      <c r="D90" t="str">
        <f t="shared" si="8"/>
        <v/>
      </c>
      <c r="E90" t="s">
        <v>126</v>
      </c>
    </row>
    <row r="91" spans="1:5" x14ac:dyDescent="0.2">
      <c r="A91" t="e" cm="1">
        <f t="array" ref="A91">_xlfn.AGGREGATE(0,0,T!P1:P6)</f>
        <v>#VALUE!</v>
      </c>
      <c r="B91">
        <f t="shared" si="6"/>
        <v>3</v>
      </c>
      <c r="C91">
        <f t="shared" si="7"/>
        <v>0</v>
      </c>
      <c r="D91" t="str">
        <f t="shared" si="8"/>
        <v/>
      </c>
      <c r="E91" t="s">
        <v>127</v>
      </c>
    </row>
    <row r="92" spans="1:5" x14ac:dyDescent="0.2">
      <c r="A92" t="e" cm="1">
        <f t="array" ref="A92">_xlfn.AGGREGATE(20,0,T!P1:P6)</f>
        <v>#VALUE!</v>
      </c>
      <c r="B92">
        <f t="shared" si="6"/>
        <v>3</v>
      </c>
      <c r="C92">
        <f t="shared" si="7"/>
        <v>0</v>
      </c>
      <c r="D92" t="str">
        <f t="shared" si="8"/>
        <v/>
      </c>
      <c r="E92" t="s">
        <v>128</v>
      </c>
    </row>
    <row r="93" spans="1:5" x14ac:dyDescent="0.2">
      <c r="A93" t="e" cm="1">
        <f t="array" ref="A93">_xlfn.AGGREGATE(19.5,0,T!P1:P6)</f>
        <v>#VALUE!</v>
      </c>
      <c r="B93">
        <f t="shared" si="6"/>
        <v>3</v>
      </c>
      <c r="C93">
        <f t="shared" si="7"/>
        <v>0</v>
      </c>
      <c r="D93" t="str">
        <f t="shared" si="8"/>
        <v/>
      </c>
      <c r="E93" t="s">
        <v>129</v>
      </c>
    </row>
    <row r="94" spans="1:5" x14ac:dyDescent="0.2">
      <c r="A94" cm="1">
        <f t="array" ref="A94">_xlfn.AGGREGATE(TRUE,0,T!P1:P6)</f>
        <v>18</v>
      </c>
      <c r="B94">
        <f t="shared" si="6"/>
        <v>0</v>
      </c>
      <c r="C94">
        <f t="shared" si="7"/>
        <v>18</v>
      </c>
      <c r="D94" t="str">
        <f t="shared" si="8"/>
        <v/>
      </c>
      <c r="E94" t="s">
        <v>130</v>
      </c>
    </row>
    <row r="95" spans="1:5" x14ac:dyDescent="0.2">
      <c r="A95" cm="1">
        <f t="array" ref="A95">_xlfn.AGGREGATE("9",0,T!P1:P6)</f>
        <v>108</v>
      </c>
      <c r="B95">
        <f t="shared" si="6"/>
        <v>0</v>
      </c>
      <c r="C95">
        <f t="shared" si="7"/>
        <v>108</v>
      </c>
      <c r="D95" t="str">
        <f t="shared" si="8"/>
        <v/>
      </c>
      <c r="E95" t="s">
        <v>131</v>
      </c>
    </row>
    <row r="96" spans="1:5" x14ac:dyDescent="0.2">
      <c r="A96" t="e" cm="1">
        <f t="array" ref="A96">_xlfn.AGGREGATE(D!A8,0,T!P1:P6)</f>
        <v>#N/A</v>
      </c>
      <c r="B96">
        <f t="shared" si="6"/>
        <v>7</v>
      </c>
      <c r="C96">
        <f t="shared" si="7"/>
        <v>0</v>
      </c>
      <c r="D96" t="str">
        <f t="shared" si="8"/>
        <v/>
      </c>
      <c r="E96" t="s">
        <v>132</v>
      </c>
    </row>
    <row r="97" spans="1:5" x14ac:dyDescent="0.2">
      <c r="A97" t="e" cm="1">
        <f t="array" ref="A97">_xlfn.AGGREGATE(9,-1,T!P1:P6)</f>
        <v>#VALUE!</v>
      </c>
      <c r="B97">
        <f t="shared" ref="B97:B128" si="9">IF(ISERROR(A97),ERROR.TYPE(A97),IF(ISNUMBER(A97),0,IF(ISLOGICAL(A97),IF(A97,-1,-2),IF(ISTEXT(A97),-3,-4))))</f>
        <v>3</v>
      </c>
      <c r="C97">
        <f t="shared" ref="C97:C103" si="10">IF(ISNUMBER(A97),A97,0)</f>
        <v>0</v>
      </c>
      <c r="D97" t="str">
        <f t="shared" ref="D97:D103" si="11">IF(ISTEXT(A97),A97,"")</f>
        <v/>
      </c>
      <c r="E97" t="s">
        <v>133</v>
      </c>
    </row>
    <row r="98" spans="1:5" x14ac:dyDescent="0.2">
      <c r="A98" t="e" cm="1">
        <f t="array" ref="A98">_xlfn.AGGREGATE(9,8,T!P1:P6)</f>
        <v>#VALUE!</v>
      </c>
      <c r="B98">
        <f t="shared" si="9"/>
        <v>3</v>
      </c>
      <c r="C98">
        <f t="shared" si="10"/>
        <v>0</v>
      </c>
      <c r="D98" t="str">
        <f t="shared" si="11"/>
        <v/>
      </c>
      <c r="E98" t="s">
        <v>134</v>
      </c>
    </row>
    <row r="99" spans="1:5" x14ac:dyDescent="0.2">
      <c r="A99" cm="1">
        <f t="array" ref="A99">_xlfn.AGGREGATE(9,2.9,T!P1:P6)</f>
        <v>108</v>
      </c>
      <c r="B99">
        <f t="shared" si="9"/>
        <v>0</v>
      </c>
      <c r="C99">
        <f t="shared" si="10"/>
        <v>108</v>
      </c>
      <c r="D99" t="str">
        <f t="shared" si="11"/>
        <v/>
      </c>
      <c r="E99" t="s">
        <v>135</v>
      </c>
    </row>
    <row r="100" spans="1:5" x14ac:dyDescent="0.2">
      <c r="A100" cm="1">
        <f t="array" ref="A100">_xlfn.AGGREGATE(9,TRUE,T!P1:P6)</f>
        <v>108</v>
      </c>
      <c r="B100">
        <f t="shared" si="9"/>
        <v>0</v>
      </c>
      <c r="C100">
        <f t="shared" si="10"/>
        <v>108</v>
      </c>
      <c r="D100" t="str">
        <f t="shared" si="11"/>
        <v/>
      </c>
      <c r="E100" t="s">
        <v>136</v>
      </c>
    </row>
    <row r="101" spans="1:5" x14ac:dyDescent="0.2">
      <c r="A101" cm="1">
        <f t="array" ref="A101">_xlfn.AGGREGATE(9,"6",T!P1:P6)</f>
        <v>108</v>
      </c>
      <c r="B101">
        <f t="shared" si="9"/>
        <v>0</v>
      </c>
      <c r="C101">
        <f t="shared" si="10"/>
        <v>108</v>
      </c>
      <c r="D101" t="str">
        <f t="shared" si="11"/>
        <v/>
      </c>
      <c r="E101" t="s">
        <v>137</v>
      </c>
    </row>
    <row r="102" spans="1:5" x14ac:dyDescent="0.2">
      <c r="A102" cm="1">
        <f t="array" ref="A102">_xlfn.AGGREGATE(9,T!J1,T!P1:P6)</f>
        <v>108</v>
      </c>
      <c r="B102">
        <f t="shared" si="9"/>
        <v>0</v>
      </c>
      <c r="C102">
        <f t="shared" si="10"/>
        <v>108</v>
      </c>
      <c r="D102" t="str">
        <f t="shared" si="11"/>
        <v/>
      </c>
      <c r="E102" t="s">
        <v>138</v>
      </c>
    </row>
    <row r="103" spans="1:5" x14ac:dyDescent="0.2">
      <c r="A103" t="e" cm="1">
        <f t="array" ref="A103">_xlfn.AGGREGATE(9,D!A7,T!P1:P6)</f>
        <v>#DIV/0!</v>
      </c>
      <c r="B103">
        <f t="shared" si="9"/>
        <v>2</v>
      </c>
      <c r="C103">
        <f t="shared" si="10"/>
        <v>0</v>
      </c>
      <c r="D103" t="str">
        <f t="shared" si="11"/>
        <v/>
      </c>
      <c r="E103" t="s">
        <v>139</v>
      </c>
    </row>
    <row r="104" spans="1:5" x14ac:dyDescent="0.2">
      <c r="A104" t="s">
        <v>140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2026-10-07T05:16:35Z</dcterms:created>
  <dcterms:modified xsi:type="dcterms:W3CDTF">2026-10-07T05:16:35Z</dcterms:modified>
  <cp:category/>
</cp:coreProperties>
</file>