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BF4A6AB-A290-6A46-86C3-4D8DC66296B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Ls" sheetId="1" r:id="rId1"/>
    <sheet name="Lt" sheetId="2" r:id="rId2"/>
    <sheet name="Lv" sheetId="3" r:id="rId3"/>
    <sheet name="Lr" sheetId="4" r:id="rId4"/>
    <sheet name="Lq" sheetId="5" r:id="rId5"/>
    <sheet name="Lp" sheetId="6" r:id="rId6"/>
    <sheet name="Lu" sheetId="7" r:id="rId7"/>
    <sheet name="D" sheetId="8" r:id="rId8"/>
    <sheet name="C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8" l="1"/>
  <c r="A14" i="8"/>
  <c r="A13" i="8"/>
  <c r="AL10" i="8"/>
  <c r="A8" i="8"/>
  <c r="A7" i="8"/>
  <c r="E3" i="8"/>
  <c r="F2" i="7" a="1"/>
  <c r="F2" i="7" s="1"/>
  <c r="A9" i="9" s="1" a="1"/>
  <c r="A9" i="9" s="1"/>
  <c r="F10" i="6" a="1"/>
  <c r="F10" i="6" s="1"/>
  <c r="E10" i="6" s="1" a="1"/>
  <c r="E10" i="6" s="1"/>
  <c r="A8" i="9" s="1" a="1"/>
  <c r="A8" i="9" s="1"/>
  <c r="F10" i="5" a="1"/>
  <c r="F10" i="5"/>
  <c r="E10" i="5" s="1" a="1"/>
  <c r="E10" i="5" s="1"/>
  <c r="A7" i="9" s="1" a="1"/>
  <c r="A7" i="9" s="1"/>
  <c r="F10" i="4" a="1"/>
  <c r="F10" i="4"/>
  <c r="I10" i="4" s="1" a="1"/>
  <c r="I10" i="4" s="1"/>
  <c r="A6" i="9" s="1" a="1"/>
  <c r="A6" i="9" s="1"/>
  <c r="B1" i="3" a="1"/>
  <c r="B1" i="2" a="1"/>
  <c r="C1" i="2" s="1" a="1"/>
  <c r="C1" i="2" s="1"/>
  <c r="A4" i="9" s="1" a="1"/>
  <c r="A4" i="9" s="1"/>
  <c r="C3" i="1" a="1"/>
  <c r="C3" i="1" s="1"/>
  <c r="A3" i="9" s="1" a="1"/>
  <c r="A3" i="9" s="1"/>
  <c r="C2" i="1" a="1"/>
  <c r="C2" i="1" s="1"/>
  <c r="A2" i="9" s="1" a="1"/>
  <c r="A2" i="9" s="1"/>
  <c r="B1" i="1" a="1"/>
  <c r="B1" i="1" s="1"/>
  <c r="C4" i="9" l="1"/>
  <c r="B4" i="9"/>
  <c r="D4" i="9"/>
  <c r="B1" i="3"/>
  <c r="C1" i="3" a="1"/>
  <c r="C1" i="3" s="1"/>
  <c r="A5" i="9" s="1" a="1"/>
  <c r="A5" i="9" s="1"/>
  <c r="D6" i="9"/>
  <c r="C6" i="9"/>
  <c r="B6" i="9"/>
  <c r="B8" i="9"/>
  <c r="D8" i="9"/>
  <c r="C8" i="9"/>
  <c r="D7" i="9"/>
  <c r="C7" i="9"/>
  <c r="B7" i="9"/>
  <c r="D9" i="9"/>
  <c r="C9" i="9"/>
  <c r="B9" i="9"/>
  <c r="C2" i="9"/>
  <c r="B2" i="9"/>
  <c r="D2" i="9"/>
  <c r="D3" i="9"/>
  <c r="C3" i="9"/>
  <c r="B3" i="9"/>
  <c r="C1" i="1" a="1"/>
  <c r="C1" i="1" s="1"/>
  <c r="A1" i="9" s="1" a="1"/>
  <c r="A1" i="9" s="1"/>
  <c r="B1" i="2"/>
  <c r="D5" i="9" l="1"/>
  <c r="C5" i="9"/>
  <c r="B5" i="9"/>
  <c r="C1" i="9"/>
  <c r="D1" i="9"/>
  <c r="B1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<sst xmlns="http://schemas.openxmlformats.org/spreadsheetml/2006/main" count="90" uniqueCount="60">
  <si>
    <t>e1</t>
  </si>
  <si>
    <t>e2</t>
  </si>
  <si>
    <t>x</t>
  </si>
  <si>
    <t>b</t>
  </si>
  <si>
    <t>c</t>
  </si>
  <si>
    <t>d</t>
  </si>
  <si>
    <t>b1</t>
  </si>
  <si>
    <t>c1</t>
  </si>
  <si>
    <t>d1</t>
  </si>
  <si>
    <t>b2</t>
  </si>
  <si>
    <t>c2</t>
  </si>
  <si>
    <t>d2</t>
  </si>
  <si>
    <t>b3</t>
  </si>
  <si>
    <t>c3</t>
  </si>
  <si>
    <t>d3</t>
  </si>
  <si>
    <t>c5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</si>
  <si>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</si>
  <si>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</si>
  <si>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</si>
  <si>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</si>
  <si>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</si>
  <si>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</si>
  <si>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</si>
  <si>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</si>
  <si>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</si>
  <si>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</si>
  <si>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</si>
  <si>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</si>
  <si>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</si>
  <si>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</si>
  <si>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</si>
  <si>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</si>
  <si>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</si>
  <si>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</si>
  <si>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</si>
  <si>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</si>
  <si>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</si>
  <si>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</si>
  <si>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</si>
  <si>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</si>
  <si>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</si>
  <si>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</si>
  <si>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</si>
  <si>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</si>
  <si>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</si>
  <si>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</si>
  <si>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</si>
  <si>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</si>
  <si>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</si>
  <si>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</si>
  <si>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LOOKUP#1</t>
  </si>
  <si>
    <t>LOOKUP#2</t>
  </si>
  <si>
    <t>LOOKUP#3</t>
  </si>
  <si>
    <t>LOOKUP#4</t>
  </si>
  <si>
    <t>LOOKUP#5</t>
  </si>
  <si>
    <t>LOOKUP#6</t>
  </si>
  <si>
    <t>LOOKUP#7</t>
  </si>
  <si>
    <t>LOOKUP#8</t>
  </si>
  <si>
    <t>LOOKUP#9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</si>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</sst>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 cm="1">
        <f t="array" ref="B1:B3">_xlfn.SEQUENCE(D1)*10</f>
        <v>10</v>
      </c>
      <c r="C1" t="str" cm="1">
        <f t="array" aca="1" ref="C1" ca="1">LOOKUP(5,A1:A6,_xlfn.ANCHORARRAY(B1))&amp;""</f>
        <v/>
      </c>
      <c r="D1">
        <v>3</v>
      </c>
      <c r="E1" t="s">
        <v>0</v>
      </c>
    </row>
    <row r="2" spans="1:5" x14ac:dyDescent="0.2">
      <c r="A2">
        <v>2</v>
      </c>
      <c r="B2">
        <v>20</v>
      </c>
      <c r="C2" t="str" cm="1">
        <f t="array" aca="1" ref="C2" ca="1">LOOKUP(5,A1:A6,IF(TRUE,E1:E2))&amp;""</f>
        <v>7</v>
      </c>
      <c r="E2" t="s">
        <v>1</v>
      </c>
    </row>
    <row r="3" spans="1:5" x14ac:dyDescent="0.2">
      <c r="A3">
        <v>3</v>
      </c>
      <c r="B3">
        <v>30</v>
      </c>
      <c r="C3" t="str" cm="1">
        <f t="array" aca="1" ref="C3" ca="1">LOOKUP(4,A1:A6,(E1:E2))&amp;""</f>
        <v>x</v>
      </c>
    </row>
    <row r="4" spans="1:5" x14ac:dyDescent="0.2">
      <c r="A4">
        <v>4</v>
      </c>
      <c r="E4" t="s">
        <v>2</v>
      </c>
    </row>
    <row r="5" spans="1:5" x14ac:dyDescent="0.2">
      <c r="A5">
        <v>5</v>
      </c>
      <c r="E5">
        <v>7</v>
      </c>
    </row>
    <row r="6" spans="1:5" x14ac:dyDescent="0.2">
      <c r="A6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>
        <v>1</v>
      </c>
      <c r="B1" cm="1">
        <f t="array" ref="B1:B5">_xlfn.SEQUENCE(D1)*10</f>
        <v>10</v>
      </c>
      <c r="C1" t="str" cm="1">
        <f t="array" aca="1" ref="C1" ca="1">LOOKUP(5,A1:A6,_xlfn.ANCHORARRAY(B1))&amp;""</f>
        <v>50</v>
      </c>
      <c r="D1">
        <v>5</v>
      </c>
    </row>
    <row r="2" spans="1:4" x14ac:dyDescent="0.2">
      <c r="A2">
        <v>2</v>
      </c>
      <c r="B2">
        <v>20</v>
      </c>
    </row>
    <row r="3" spans="1:4" x14ac:dyDescent="0.2">
      <c r="A3">
        <v>3</v>
      </c>
      <c r="B3">
        <v>30</v>
      </c>
    </row>
    <row r="4" spans="1:4" x14ac:dyDescent="0.2">
      <c r="A4">
        <v>4</v>
      </c>
      <c r="B4">
        <v>40</v>
      </c>
    </row>
    <row r="5" spans="1:4" x14ac:dyDescent="0.2">
      <c r="A5">
        <v>5</v>
      </c>
      <c r="B5">
        <v>50</v>
      </c>
    </row>
    <row r="6" spans="1:4" x14ac:dyDescent="0.2">
      <c r="A6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>
        <v>1</v>
      </c>
      <c r="B1" t="e" cm="1" vm="1">
        <f t="array" aca="1" ref="B1" ca="1">_xlfn.SEQUENCE(D1)*10</f>
        <v>#VALUE!</v>
      </c>
      <c r="C1" t="str" cm="1">
        <f t="array" aca="1" ref="C1" ca="1">LOOKUP(5,A1:A6,_xlfn.ANCHORARRAY(B1))&amp;""</f>
        <v/>
      </c>
      <c r="D1">
        <v>5</v>
      </c>
    </row>
    <row r="2" spans="1:4" x14ac:dyDescent="0.2">
      <c r="A2">
        <v>2</v>
      </c>
    </row>
    <row r="3" spans="1:4" x14ac:dyDescent="0.2">
      <c r="A3">
        <v>3</v>
      </c>
    </row>
    <row r="4" spans="1:4" x14ac:dyDescent="0.2">
      <c r="A4">
        <v>4</v>
      </c>
    </row>
    <row r="5" spans="1:4" x14ac:dyDescent="0.2">
      <c r="A5">
        <v>5</v>
      </c>
      <c r="B5">
        <v>99</v>
      </c>
    </row>
    <row r="6" spans="1:4" x14ac:dyDescent="0.2">
      <c r="A6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baseColWidth="10" defaultColWidth="8.83203125" defaultRowHeight="15" x14ac:dyDescent="0.2"/>
  <sheetData>
    <row r="1" spans="1:9" x14ac:dyDescent="0.2">
      <c r="A1">
        <v>1</v>
      </c>
    </row>
    <row r="2" spans="1:9" x14ac:dyDescent="0.2">
      <c r="A2">
        <v>2</v>
      </c>
    </row>
    <row r="3" spans="1:9" x14ac:dyDescent="0.2">
      <c r="A3">
        <v>3</v>
      </c>
    </row>
    <row r="4" spans="1:9" x14ac:dyDescent="0.2">
      <c r="A4">
        <v>4</v>
      </c>
    </row>
    <row r="5" spans="1:9" x14ac:dyDescent="0.2">
      <c r="A5">
        <v>5</v>
      </c>
    </row>
    <row r="6" spans="1:9" x14ac:dyDescent="0.2">
      <c r="A6">
        <v>6</v>
      </c>
    </row>
    <row r="10" spans="1:9" x14ac:dyDescent="0.2">
      <c r="B10" t="s">
        <v>3</v>
      </c>
      <c r="C10" t="s">
        <v>4</v>
      </c>
      <c r="D10" t="s">
        <v>5</v>
      </c>
      <c r="F10" t="str" cm="1">
        <f t="array" ref="F10">UPPER("f")</f>
        <v>F</v>
      </c>
      <c r="I10" t="str" cm="1">
        <f t="array" aca="1" ref="I10" ca="1">LOOKUP(5,A1:A6,IF(TRUE,B10:D10))&amp;""</f>
        <v>F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/>
  </sheetViews>
  <sheetFormatPr baseColWidth="10" defaultColWidth="8.83203125" defaultRowHeight="15" x14ac:dyDescent="0.2"/>
  <sheetData>
    <row r="1" spans="1:6" x14ac:dyDescent="0.2">
      <c r="A1">
        <v>1</v>
      </c>
    </row>
    <row r="2" spans="1:6" x14ac:dyDescent="0.2">
      <c r="A2">
        <v>2</v>
      </c>
    </row>
    <row r="3" spans="1:6" x14ac:dyDescent="0.2">
      <c r="A3">
        <v>3</v>
      </c>
    </row>
    <row r="4" spans="1:6" x14ac:dyDescent="0.2">
      <c r="A4">
        <v>4</v>
      </c>
    </row>
    <row r="5" spans="1:6" x14ac:dyDescent="0.2">
      <c r="A5">
        <v>5</v>
      </c>
    </row>
    <row r="6" spans="1:6" x14ac:dyDescent="0.2">
      <c r="A6">
        <v>6</v>
      </c>
    </row>
    <row r="10" spans="1:6" x14ac:dyDescent="0.2">
      <c r="B10" t="s">
        <v>3</v>
      </c>
      <c r="C10" t="s">
        <v>4</v>
      </c>
      <c r="D10" t="s">
        <v>5</v>
      </c>
      <c r="E10" t="str" cm="1">
        <f t="array" aca="1" ref="E10" ca="1">LOOKUP(5,A1:A6,IF(TRUE,B10:D10))&amp;""</f>
        <v>F</v>
      </c>
      <c r="F10" t="str" cm="1">
        <f t="array" ref="F10">UPPER("f")</f>
        <v>F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/>
  </sheetViews>
  <sheetFormatPr baseColWidth="10" defaultColWidth="8.83203125" defaultRowHeight="15" x14ac:dyDescent="0.2"/>
  <sheetData>
    <row r="1" spans="1:6" x14ac:dyDescent="0.2">
      <c r="A1">
        <v>1</v>
      </c>
    </row>
    <row r="2" spans="1:6" x14ac:dyDescent="0.2">
      <c r="A2">
        <v>2</v>
      </c>
    </row>
    <row r="3" spans="1:6" x14ac:dyDescent="0.2">
      <c r="A3">
        <v>3</v>
      </c>
    </row>
    <row r="4" spans="1:6" x14ac:dyDescent="0.2">
      <c r="A4">
        <v>4</v>
      </c>
    </row>
    <row r="5" spans="1:6" x14ac:dyDescent="0.2">
      <c r="A5">
        <v>5</v>
      </c>
    </row>
    <row r="6" spans="1:6" x14ac:dyDescent="0.2">
      <c r="A6">
        <v>6</v>
      </c>
    </row>
    <row r="10" spans="1:6" x14ac:dyDescent="0.2">
      <c r="B10" t="s">
        <v>3</v>
      </c>
      <c r="C10" t="s">
        <v>4</v>
      </c>
      <c r="D10" t="s">
        <v>5</v>
      </c>
      <c r="E10" t="str" cm="1">
        <f t="array" aca="1" ref="E10" ca="1">LOOKUP(5,A1:A6,B10:D10)&amp;""</f>
        <v>F</v>
      </c>
      <c r="F10" t="str" cm="1">
        <f t="array" ref="F10">UPPER("f")</f>
        <v>F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>
        <v>1</v>
      </c>
      <c r="B1" t="s">
        <v>6</v>
      </c>
      <c r="C1" t="s">
        <v>7</v>
      </c>
      <c r="D1" t="s">
        <v>8</v>
      </c>
    </row>
    <row r="2" spans="1:6" x14ac:dyDescent="0.2">
      <c r="A2">
        <v>2</v>
      </c>
      <c r="B2" t="s">
        <v>9</v>
      </c>
      <c r="C2" t="s">
        <v>10</v>
      </c>
      <c r="D2" t="s">
        <v>11</v>
      </c>
      <c r="F2" t="str" cm="1">
        <f t="array" aca="1" ref="F2" ca="1">LOOKUP(5,A1:A6,INDEX(B1:D3,0,2))&amp;""</f>
        <v>c5</v>
      </c>
    </row>
    <row r="3" spans="1:6" x14ac:dyDescent="0.2">
      <c r="A3">
        <v>3</v>
      </c>
      <c r="B3" t="s">
        <v>12</v>
      </c>
      <c r="C3" t="s">
        <v>13</v>
      </c>
      <c r="D3" t="s">
        <v>14</v>
      </c>
    </row>
    <row r="4" spans="1:6" x14ac:dyDescent="0.2">
      <c r="A4">
        <v>4</v>
      </c>
    </row>
    <row r="5" spans="1:6" x14ac:dyDescent="0.2">
      <c r="A5">
        <v>5</v>
      </c>
      <c r="C5" t="s">
        <v>15</v>
      </c>
    </row>
    <row r="6" spans="1:6" x14ac:dyDescent="0.2">
      <c r="A6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17</v>
      </c>
      <c r="N1">
        <v>10</v>
      </c>
      <c r="P1">
        <v>1</v>
      </c>
      <c r="Q1">
        <v>2</v>
      </c>
      <c r="R1">
        <v>5</v>
      </c>
      <c r="S1">
        <v>6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AA1" t="s">
        <v>18</v>
      </c>
      <c r="AB1" t="s">
        <v>19</v>
      </c>
      <c r="AC1" t="s">
        <v>18</v>
      </c>
      <c r="AD1" t="s">
        <v>18</v>
      </c>
      <c r="AE1" t="s">
        <v>18</v>
      </c>
      <c r="AF1" t="s">
        <v>18</v>
      </c>
      <c r="AG1" t="s">
        <v>18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23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23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42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43</v>
      </c>
      <c r="G6">
        <v>32</v>
      </c>
      <c r="H6" s="1">
        <v>45473</v>
      </c>
      <c r="L6">
        <v>13</v>
      </c>
      <c r="M6" t="s">
        <v>44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45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46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</v>
      </c>
      <c r="AU8" s="1">
        <v>39448</v>
      </c>
      <c r="BG8">
        <v>2</v>
      </c>
    </row>
    <row r="9" spans="1:60" x14ac:dyDescent="0.2">
      <c r="A9" t="s">
        <v>47</v>
      </c>
      <c r="I9">
        <v>4200</v>
      </c>
      <c r="J9">
        <v>300</v>
      </c>
      <c r="L9" t="s">
        <v>17</v>
      </c>
      <c r="M9" t="s">
        <v>26</v>
      </c>
      <c r="N9" t="s">
        <v>35</v>
      </c>
      <c r="O9" t="s">
        <v>38</v>
      </c>
      <c r="P9" t="s">
        <v>40</v>
      </c>
      <c r="Q9" t="s">
        <v>44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48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49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aca="1" ref="A1" ca="1">Ls!C1</f>
        <v/>
      </c>
      <c r="B1">
        <f t="shared" ref="B1:B9" ca="1" si="0">IF(ISERROR(A1),ERROR.TYPE(A1),IF(ISNUMBER(A1),0,IF(ISLOGICAL(A1),IF(A1,-1,-2),IF(ISTEXT(A1),-3,-4))))</f>
        <v>-3</v>
      </c>
      <c r="C1">
        <f t="shared" ref="C1:C9" ca="1" si="1">IF(ISNUMBER(A1),A1,0)</f>
        <v>0</v>
      </c>
      <c r="D1" t="str">
        <f t="shared" ref="D1:D9" ca="1" si="2">IF(ISTEXT(A1),A1,"")</f>
        <v/>
      </c>
      <c r="E1" t="s">
        <v>50</v>
      </c>
    </row>
    <row r="2" spans="1:5" x14ac:dyDescent="0.2">
      <c r="A2" t="str" cm="1">
        <f t="array" aca="1" ref="A2" ca="1">Ls!C2</f>
        <v>7</v>
      </c>
      <c r="B2">
        <f t="shared" ca="1" si="0"/>
        <v>-3</v>
      </c>
      <c r="C2">
        <f t="shared" ca="1" si="1"/>
        <v>0</v>
      </c>
      <c r="D2" t="str">
        <f t="shared" ca="1" si="2"/>
        <v>7</v>
      </c>
      <c r="E2" t="s">
        <v>51</v>
      </c>
    </row>
    <row r="3" spans="1:5" x14ac:dyDescent="0.2">
      <c r="A3" t="str" cm="1">
        <f t="array" aca="1" ref="A3" ca="1">Ls!C3</f>
        <v>x</v>
      </c>
      <c r="B3">
        <f t="shared" ca="1" si="0"/>
        <v>-3</v>
      </c>
      <c r="C3">
        <f t="shared" ca="1" si="1"/>
        <v>0</v>
      </c>
      <c r="D3" t="str">
        <f t="shared" ca="1" si="2"/>
        <v>x</v>
      </c>
      <c r="E3" t="s">
        <v>52</v>
      </c>
    </row>
    <row r="4" spans="1:5" x14ac:dyDescent="0.2">
      <c r="A4" t="str" cm="1">
        <f t="array" aca="1" ref="A4" ca="1">Lt!C1</f>
        <v>50</v>
      </c>
      <c r="B4">
        <f t="shared" ca="1" si="0"/>
        <v>-3</v>
      </c>
      <c r="C4">
        <f t="shared" ca="1" si="1"/>
        <v>0</v>
      </c>
      <c r="D4" t="str">
        <f t="shared" ca="1" si="2"/>
        <v>50</v>
      </c>
      <c r="E4" t="s">
        <v>53</v>
      </c>
    </row>
    <row r="5" spans="1:5" x14ac:dyDescent="0.2">
      <c r="A5" t="str" cm="1">
        <f t="array" aca="1" ref="A5" ca="1">Lv!C1</f>
        <v/>
      </c>
      <c r="B5">
        <f t="shared" ca="1" si="0"/>
        <v>-3</v>
      </c>
      <c r="C5">
        <f t="shared" ca="1" si="1"/>
        <v>0</v>
      </c>
      <c r="D5" t="str">
        <f t="shared" ca="1" si="2"/>
        <v/>
      </c>
      <c r="E5" t="s">
        <v>54</v>
      </c>
    </row>
    <row r="6" spans="1:5" x14ac:dyDescent="0.2">
      <c r="A6" t="str" cm="1">
        <f t="array" aca="1" ref="A6" ca="1">Lr!I10</f>
        <v>F</v>
      </c>
      <c r="B6">
        <f t="shared" ca="1" si="0"/>
        <v>-3</v>
      </c>
      <c r="C6">
        <f t="shared" ca="1" si="1"/>
        <v>0</v>
      </c>
      <c r="D6" t="str">
        <f t="shared" ca="1" si="2"/>
        <v>F</v>
      </c>
      <c r="E6" t="s">
        <v>55</v>
      </c>
    </row>
    <row r="7" spans="1:5" x14ac:dyDescent="0.2">
      <c r="A7" t="str" cm="1">
        <f t="array" aca="1" ref="A7" ca="1">Lq!E10</f>
        <v>F</v>
      </c>
      <c r="B7">
        <f t="shared" ca="1" si="0"/>
        <v>-3</v>
      </c>
      <c r="C7">
        <f t="shared" ca="1" si="1"/>
        <v>0</v>
      </c>
      <c r="D7" t="str">
        <f t="shared" ca="1" si="2"/>
        <v>F</v>
      </c>
      <c r="E7" t="s">
        <v>56</v>
      </c>
    </row>
    <row r="8" spans="1:5" x14ac:dyDescent="0.2">
      <c r="A8" t="str" cm="1">
        <f t="array" aca="1" ref="A8" ca="1">Lp!E10</f>
        <v>F</v>
      </c>
      <c r="B8">
        <f t="shared" ca="1" si="0"/>
        <v>-3</v>
      </c>
      <c r="C8">
        <f t="shared" ca="1" si="1"/>
        <v>0</v>
      </c>
      <c r="D8" t="str">
        <f t="shared" ca="1" si="2"/>
        <v>F</v>
      </c>
      <c r="E8" t="s">
        <v>57</v>
      </c>
    </row>
    <row r="9" spans="1:5" x14ac:dyDescent="0.2">
      <c r="A9" t="str" cm="1">
        <f t="array" aca="1" ref="A9" ca="1">Lu!F2</f>
        <v>c5</v>
      </c>
      <c r="B9">
        <f t="shared" ca="1" si="0"/>
        <v>-3</v>
      </c>
      <c r="C9">
        <f t="shared" ca="1" si="1"/>
        <v>0</v>
      </c>
      <c r="D9" t="str">
        <f t="shared" ca="1" si="2"/>
        <v>c5</v>
      </c>
      <c r="E9" t="s">
        <v>58</v>
      </c>
    </row>
    <row r="10" spans="1:5" x14ac:dyDescent="0.2">
      <c r="A10" t="s">
        <v>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Ls</vt:lpstr>
      <vt:lpstr>Lt</vt:lpstr>
      <vt:lpstr>Lv</vt:lpstr>
      <vt:lpstr>Lr</vt:lpstr>
      <vt:lpstr>Lq</vt:lpstr>
      <vt:lpstr>Lp</vt:lpstr>
      <vt:lpstr>Lu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2026-10-09T23:06:56Z</dcterms:created>
  <dcterms:modified xsi:type="dcterms:W3CDTF">2026-10-09T23:06:56Z</dcterms:modified>
  <cp:category/>
</cp:coreProperties>
</file>