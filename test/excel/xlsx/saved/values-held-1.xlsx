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filterPrivacy="1"/>
  <xr:revisionPtr revIDLastSave="0" documentId="8_{C34FB5F9-8513-624F-9E0F-94D31036D24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5" i="2" l="1" a="1"/>
  <c r="A34" i="2" a="1"/>
  <c r="A33" i="2" a="1"/>
  <c r="A32" i="2" a="1"/>
  <c r="A31" i="2" a="1"/>
  <c r="A30" i="2" a="1"/>
  <c r="A29" i="2" a="1"/>
  <c r="A28" i="2" a="1"/>
  <c r="A27" i="2" a="1"/>
  <c r="A26" i="2" a="1"/>
  <c r="A25" i="2" a="1"/>
  <c r="A24" i="2" a="1"/>
  <c r="A23" i="2" a="1"/>
  <c r="A22" i="2" a="1"/>
  <c r="A21" i="2" a="1"/>
  <c r="A20" i="2" a="1"/>
  <c r="A19" i="2" a="1"/>
  <c r="A18" i="2" a="1"/>
  <c r="A17" i="2" a="1"/>
  <c r="A16" i="2" a="1"/>
  <c r="A15" i="2" a="1"/>
  <c r="A14" i="2" a="1"/>
  <c r="A13" i="2" a="1"/>
  <c r="D13" i="2" s="1"/>
  <c r="A12" i="2" a="1"/>
  <c r="A11" i="2" a="1"/>
  <c r="A10" i="2" a="1"/>
  <c r="A9" i="2" a="1"/>
  <c r="A8" i="2" a="1"/>
  <c r="A7" i="2" a="1"/>
  <c r="A6" i="2" a="1"/>
  <c r="A5" i="2" a="1"/>
  <c r="A4" i="2" a="1"/>
  <c r="A3" i="2" a="1"/>
  <c r="A2" i="2" a="1"/>
  <c r="A1" i="2" a="1"/>
  <c r="I15" i="1"/>
  <c r="A14" i="1"/>
  <c r="A13" i="1"/>
  <c r="AL10" i="1"/>
  <c r="A8" i="1"/>
  <c r="A7" i="1"/>
  <c r="E3" i="1"/>
  <c r="B7" i="2" l="1"/>
  <c r="D7" i="2"/>
  <c r="C7" i="2"/>
  <c r="B5" i="2"/>
  <c r="D5" i="2"/>
  <c r="C5" i="2"/>
  <c r="B3" i="2"/>
  <c r="D3" i="2"/>
  <c r="C3" i="2"/>
  <c r="D35" i="2"/>
  <c r="C35" i="2"/>
  <c r="B35" i="2"/>
  <c r="B34" i="2"/>
  <c r="C34" i="2"/>
  <c r="D34" i="2"/>
  <c r="D33" i="2"/>
  <c r="C33" i="2"/>
  <c r="B33" i="2"/>
  <c r="B32" i="2"/>
  <c r="C32" i="2"/>
  <c r="D32" i="2"/>
  <c r="D31" i="2"/>
  <c r="C31" i="2"/>
  <c r="B31" i="2"/>
  <c r="D30" i="2"/>
  <c r="C30" i="2"/>
  <c r="B30" i="2"/>
  <c r="D29" i="2"/>
  <c r="C29" i="2"/>
  <c r="B29" i="2"/>
  <c r="D28" i="2"/>
  <c r="C28" i="2"/>
  <c r="B28" i="2"/>
  <c r="C27" i="2"/>
  <c r="D27" i="2"/>
  <c r="B27" i="2"/>
  <c r="B26" i="2"/>
  <c r="C26" i="2"/>
  <c r="D26" i="2"/>
  <c r="D25" i="2"/>
  <c r="B25" i="2"/>
  <c r="C25" i="2"/>
  <c r="B24" i="2"/>
  <c r="C24" i="2"/>
  <c r="D24" i="2"/>
  <c r="B23" i="2"/>
  <c r="C23" i="2"/>
  <c r="D23" i="2"/>
  <c r="D22" i="2"/>
  <c r="C22" i="2"/>
  <c r="B22" i="2"/>
  <c r="C21" i="2"/>
  <c r="D21" i="2"/>
  <c r="B21" i="2"/>
  <c r="C20" i="2"/>
  <c r="D20" i="2"/>
  <c r="B20" i="2"/>
  <c r="D19" i="2"/>
  <c r="B19" i="2"/>
  <c r="C19" i="2"/>
  <c r="B18" i="2"/>
  <c r="C18" i="2"/>
  <c r="D18" i="2"/>
  <c r="C17" i="2"/>
  <c r="D17" i="2"/>
  <c r="B17" i="2"/>
  <c r="C16" i="2"/>
  <c r="B16" i="2"/>
  <c r="D16" i="2"/>
  <c r="D15" i="2"/>
  <c r="C15" i="2"/>
  <c r="B15" i="2"/>
  <c r="B14" i="2"/>
  <c r="D14" i="2"/>
  <c r="C14" i="2"/>
  <c r="C13" i="2"/>
  <c r="B13" i="2"/>
  <c r="D12" i="2"/>
  <c r="C12" i="2"/>
  <c r="B12" i="2"/>
  <c r="D11" i="2"/>
  <c r="C11" i="2"/>
  <c r="B11" i="2"/>
  <c r="C10" i="2"/>
  <c r="B10" i="2"/>
  <c r="D10" i="2"/>
  <c r="C9" i="2"/>
  <c r="D9" i="2"/>
  <c r="B9" i="2"/>
  <c r="D8" i="2"/>
  <c r="C8" i="2"/>
  <c r="B8" i="2"/>
  <c r="D6" i="2"/>
  <c r="C6" i="2"/>
  <c r="B6" i="2"/>
  <c r="D4" i="2"/>
  <c r="C4" i="2"/>
  <c r="B4" i="2"/>
  <c r="D2" i="2"/>
  <c r="C2" i="2"/>
  <c r="B2" i="2"/>
  <c r="D1" i="2"/>
  <c r="C1" i="2"/>
  <c r="B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<sst xmlns="http://schemas.openxmlformats.org/spreadsheetml/2006/main" count="94" uniqueCount="71">
  <si>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</si>
  <si>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</si>
  <si>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</si>
  <si>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</si>
  <si>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</si>
  <si>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</si>
  <si>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</si>
  <si>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</si>
  <si>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</si>
  <si>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</si>
  <si>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</si>
  <si>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</si>
  <si>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</si>
  <si>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</si>
  <si>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</si>
  <si>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</si>
  <si>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</si>
  <si>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</si>
  <si>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</si>
  <si>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</si>
  <si>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</si>
  <si>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</si>
  <si>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</si>
  <si>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</si>
  <si>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</si>
  <si>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</si>
  <si>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</si>
  <si>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</si>
  <si>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</si>
  <si>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</si>
  <si>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</si>
  <si>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</si>
  <si>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</si>
  <si>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</si>
  <si>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</si>
  <si>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FIXED#1</t>
  </si>
  <si>
    <t>FIXED#2</t>
  </si>
  <si>
    <t>FIXED#3</t>
  </si>
  <si>
    <t>FIXED#4</t>
  </si>
  <si>
    <t>FIXED#5</t>
  </si>
  <si>
    <t>FIXED#6</t>
  </si>
  <si>
    <t>FIXED#7</t>
  </si>
  <si>
    <t>FIXED#8</t>
  </si>
  <si>
    <t>FIXED#9</t>
  </si>
  <si>
    <t>FIXED#10</t>
  </si>
  <si>
    <t>DOLLAR#1</t>
  </si>
  <si>
    <t>DOLLAR#2</t>
  </si>
  <si>
    <t>DOLLAR#3</t>
  </si>
  <si>
    <t>TEXT#1</t>
  </si>
  <si>
    <t>TEXT#2</t>
  </si>
  <si>
    <t>TEXT#3</t>
  </si>
  <si>
    <t>TEXT#4</t>
  </si>
  <si>
    <t>TEXT#5</t>
  </si>
  <si>
    <t>TEXT#6</t>
  </si>
  <si>
    <t>TEXT#7</t>
  </si>
  <si>
    <t>TEXT#8</t>
  </si>
  <si>
    <t>TEXT#9</t>
  </si>
  <si>
    <t>TEXT#10</t>
  </si>
  <si>
    <t>TEXT#11</t>
  </si>
  <si>
    <t>TEXT#12</t>
  </si>
  <si>
    <t>TEXT#13</t>
  </si>
  <si>
    <t>TEXT#14</t>
  </si>
  <si>
    <t>TEXT#15</t>
  </si>
  <si>
    <t>TEXT#16</t>
  </si>
  <si>
    <t>TEXT#17</t>
  </si>
  <si>
    <t>TEXT#18</t>
  </si>
  <si>
    <t>TEXT#19</t>
  </si>
  <si>
    <t>TEXT#20</t>
  </si>
  <si>
    <t>TEXT#21</t>
  </si>
  <si>
    <t>TEXT#22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</si>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</sst>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"/>
  <sheetViews>
    <sheetView workbookViewId="0"/>
  </sheetViews>
  <sheetFormatPr baseColWidth="10" defaultColWidth="8.83203125" defaultRowHeight="15" x14ac:dyDescent="0.2"/>
  <sheetData>
    <row r="1" spans="1:5" x14ac:dyDescent="0.2">
      <c r="A1" t="str" cm="1">
        <f t="array" ref="A1">FIXED(1E+21)</f>
        <v>1,000,000,000,000,000,000,000.00</v>
      </c>
      <c r="B1">
        <f t="shared" ref="B1:B35" si="0">IF(ISERROR(A1),ERROR.TYPE(A1),IF(ISNUMBER(A1),0,IF(ISLOGICAL(A1),IF(A1,-1,-2),IF(ISTEXT(A1),-3,-4))))</f>
        <v>-3</v>
      </c>
      <c r="C1">
        <f t="shared" ref="C1:C35" si="1">IF(ISNUMBER(A1),A1,0)</f>
        <v>0</v>
      </c>
      <c r="D1" t="str">
        <f t="shared" ref="D1:D35" si="2">IF(ISTEXT(A1),A1,"")</f>
        <v>1,000,000,000,000,000,000,000.00</v>
      </c>
      <c r="E1" t="s">
        <v>35</v>
      </c>
    </row>
    <row r="2" spans="1:5" x14ac:dyDescent="0.2">
      <c r="A2" t="str" cm="1">
        <f t="array" ref="A2">FIXED(1E+21,2,TRUE)</f>
        <v>1000000000000000000000.00</v>
      </c>
      <c r="B2">
        <f t="shared" si="0"/>
        <v>-3</v>
      </c>
      <c r="C2">
        <f t="shared" si="1"/>
        <v>0</v>
      </c>
      <c r="D2" t="str">
        <f t="shared" si="2"/>
        <v>1000000000000000000000.00</v>
      </c>
      <c r="E2" t="s">
        <v>36</v>
      </c>
    </row>
    <row r="3" spans="1:5" x14ac:dyDescent="0.2">
      <c r="A3" t="str" cm="1">
        <f t="array" ref="A3">FIXED(-1E+21,0)</f>
        <v>-1,000,000,000,000,000,000,000</v>
      </c>
      <c r="B3">
        <f t="shared" si="0"/>
        <v>-3</v>
      </c>
      <c r="C3">
        <f t="shared" si="1"/>
        <v>0</v>
      </c>
      <c r="D3" t="str">
        <f t="shared" si="2"/>
        <v>-1,000,000,000,000,000,000,000</v>
      </c>
      <c r="E3" t="s">
        <v>37</v>
      </c>
    </row>
    <row r="4" spans="1:5" x14ac:dyDescent="0.2">
      <c r="A4" t="str" cm="1">
        <f t="array" ref="A4">FIXED(1E+21,-3)</f>
        <v>1,000,000,000,000,000,000,000</v>
      </c>
      <c r="B4">
        <f t="shared" si="0"/>
        <v>-3</v>
      </c>
      <c r="C4">
        <f t="shared" si="1"/>
        <v>0</v>
      </c>
      <c r="D4" t="str">
        <f t="shared" si="2"/>
        <v>1,000,000,000,000,000,000,000</v>
      </c>
      <c r="E4" t="s">
        <v>38</v>
      </c>
    </row>
    <row r="5" spans="1:5" x14ac:dyDescent="0.2">
      <c r="A5" t="str" cm="1">
        <f t="array" ref="A5">FIXED(1.23456789012345E+23,0)</f>
        <v>123,456,789,012,345,000,000,000</v>
      </c>
      <c r="B5">
        <f t="shared" si="0"/>
        <v>-3</v>
      </c>
      <c r="C5">
        <f t="shared" si="1"/>
        <v>0</v>
      </c>
      <c r="D5" t="str">
        <f t="shared" si="2"/>
        <v>123,456,789,012,345,000,000,000</v>
      </c>
      <c r="E5" t="s">
        <v>39</v>
      </c>
    </row>
    <row r="6" spans="1:5" x14ac:dyDescent="0.2">
      <c r="A6" t="str" cm="1">
        <f t="array" ref="A6">FIXED(2^70,1)</f>
        <v>1,180,591,620,717,410,000,000.0</v>
      </c>
      <c r="B6">
        <f t="shared" si="0"/>
        <v>-3</v>
      </c>
      <c r="C6">
        <f t="shared" si="1"/>
        <v>0</v>
      </c>
      <c r="D6" t="str">
        <f t="shared" si="2"/>
        <v>1,180,591,620,717,410,000,000.0</v>
      </c>
      <c r="E6" t="s">
        <v>40</v>
      </c>
    </row>
    <row r="7" spans="1:5" x14ac:dyDescent="0.2">
      <c r="A7" t="str" cm="1">
        <f t="array" ref="A7">FIXED(2^60,0)</f>
        <v>1,152,921,504,606,850,000</v>
      </c>
      <c r="B7">
        <f t="shared" si="0"/>
        <v>-3</v>
      </c>
      <c r="C7">
        <f t="shared" si="1"/>
        <v>0</v>
      </c>
      <c r="D7" t="str">
        <f t="shared" si="2"/>
        <v>1,152,921,504,606,850,000</v>
      </c>
      <c r="E7" t="s">
        <v>41</v>
      </c>
    </row>
    <row r="8" spans="1:5" x14ac:dyDescent="0.2">
      <c r="A8" t="str" cm="1">
        <f t="array" ref="A8">FIXED(1/3,20)</f>
        <v>0.33333333333333300000</v>
      </c>
      <c r="B8">
        <f t="shared" si="0"/>
        <v>-3</v>
      </c>
      <c r="C8">
        <f t="shared" si="1"/>
        <v>0</v>
      </c>
      <c r="D8" t="str">
        <f t="shared" si="2"/>
        <v>0.33333333333333300000</v>
      </c>
      <c r="E8" t="s">
        <v>42</v>
      </c>
    </row>
    <row r="9" spans="1:5" x14ac:dyDescent="0.2">
      <c r="A9" t="e" cm="1">
        <f t="array" ref="A9">LEN(FIXED(1E+200,0))</f>
        <v>#VALUE!</v>
      </c>
      <c r="B9">
        <f t="shared" si="0"/>
        <v>3</v>
      </c>
      <c r="C9">
        <f t="shared" si="1"/>
        <v>0</v>
      </c>
      <c r="D9" t="str">
        <f t="shared" si="2"/>
        <v/>
      </c>
      <c r="E9" t="s">
        <v>43</v>
      </c>
    </row>
    <row r="10" spans="1:5" x14ac:dyDescent="0.2">
      <c r="A10" cm="1">
        <f t="array" ref="A10">LEN(FIXED(1E+200,0,TRUE))</f>
        <v>201</v>
      </c>
      <c r="B10">
        <f t="shared" si="0"/>
        <v>0</v>
      </c>
      <c r="C10">
        <f t="shared" si="1"/>
        <v>201</v>
      </c>
      <c r="D10" t="str">
        <f t="shared" si="2"/>
        <v/>
      </c>
      <c r="E10" t="s">
        <v>44</v>
      </c>
    </row>
    <row r="11" spans="1:5" x14ac:dyDescent="0.2">
      <c r="A11" t="str" cm="1">
        <f t="array" ref="A11">DOLLAR(1E+21)</f>
        <v>$1,000,000,000,000,000,000,000.00</v>
      </c>
      <c r="B11">
        <f t="shared" si="0"/>
        <v>-3</v>
      </c>
      <c r="C11">
        <f t="shared" si="1"/>
        <v>0</v>
      </c>
      <c r="D11" t="str">
        <f t="shared" si="2"/>
        <v>$1,000,000,000,000,000,000,000.00</v>
      </c>
      <c r="E11" t="s">
        <v>45</v>
      </c>
    </row>
    <row r="12" spans="1:5" x14ac:dyDescent="0.2">
      <c r="A12" t="str" cm="1">
        <f t="array" ref="A12">DOLLAR(-1E+21)</f>
        <v>($1,000,000,000,000,000,000,000.00)</v>
      </c>
      <c r="B12">
        <f t="shared" si="0"/>
        <v>-3</v>
      </c>
      <c r="C12">
        <f t="shared" si="1"/>
        <v>0</v>
      </c>
      <c r="D12" t="str">
        <f t="shared" si="2"/>
        <v>($1,000,000,000,000,000,000,000.00)</v>
      </c>
      <c r="E12" t="s">
        <v>46</v>
      </c>
    </row>
    <row r="13" spans="1:5" x14ac:dyDescent="0.2">
      <c r="A13" t="str" cm="1">
        <f t="array" ref="A13">DOLLAR(2^70,0)</f>
        <v>$1,180,591,620,717,410,000,000</v>
      </c>
      <c r="B13">
        <f t="shared" si="0"/>
        <v>-3</v>
      </c>
      <c r="C13">
        <f t="shared" si="1"/>
        <v>0</v>
      </c>
      <c r="D13" t="str">
        <f t="shared" si="2"/>
        <v>$1,180,591,620,717,410,000,000</v>
      </c>
      <c r="E13" t="s">
        <v>47</v>
      </c>
    </row>
    <row r="14" spans="1:5" x14ac:dyDescent="0.2">
      <c r="A14" t="str" cm="1">
        <f t="array" ref="A14">TEXT(1/3,"0.00000000000000000000")</f>
        <v>0.33333333333333300000</v>
      </c>
      <c r="B14">
        <f t="shared" si="0"/>
        <v>-3</v>
      </c>
      <c r="C14">
        <f t="shared" si="1"/>
        <v>0</v>
      </c>
      <c r="D14" t="str">
        <f t="shared" si="2"/>
        <v>0.33333333333333300000</v>
      </c>
      <c r="E14" t="s">
        <v>48</v>
      </c>
    </row>
    <row r="15" spans="1:5" x14ac:dyDescent="0.2">
      <c r="A15" t="str" cm="1">
        <f t="array" ref="A15">TEXT(2^60,"0")</f>
        <v>1152921504606850000</v>
      </c>
      <c r="B15">
        <f t="shared" si="0"/>
        <v>-3</v>
      </c>
      <c r="C15">
        <f t="shared" si="1"/>
        <v>0</v>
      </c>
      <c r="D15" t="str">
        <f t="shared" si="2"/>
        <v>1152921504606850000</v>
      </c>
      <c r="E15" t="s">
        <v>49</v>
      </c>
    </row>
    <row r="16" spans="1:5" x14ac:dyDescent="0.2">
      <c r="A16" t="str" cm="1">
        <f t="array" ref="A16">TEXT(2^60,"#,##0")</f>
        <v>1,152,921,504,606,850,000</v>
      </c>
      <c r="B16">
        <f t="shared" si="0"/>
        <v>-3</v>
      </c>
      <c r="C16">
        <f t="shared" si="1"/>
        <v>0</v>
      </c>
      <c r="D16" t="str">
        <f t="shared" si="2"/>
        <v>1,152,921,504,606,850,000</v>
      </c>
      <c r="E16" t="s">
        <v>50</v>
      </c>
    </row>
    <row r="17" spans="1:5" x14ac:dyDescent="0.2">
      <c r="A17" t="str" cm="1">
        <f t="array" ref="A17">TEXT(793853.646,"0.0000000000")</f>
        <v>793853.6460000000</v>
      </c>
      <c r="B17">
        <f t="shared" si="0"/>
        <v>-3</v>
      </c>
      <c r="C17">
        <f t="shared" si="1"/>
        <v>0</v>
      </c>
      <c r="D17" t="str">
        <f t="shared" si="2"/>
        <v>793853.6460000000</v>
      </c>
      <c r="E17" t="s">
        <v>51</v>
      </c>
    </row>
    <row r="18" spans="1:5" x14ac:dyDescent="0.2">
      <c r="A18" t="str" cm="1">
        <f t="array" ref="A18">TEXT(0.1+0.2,"0.00000000000000000")</f>
        <v>0.30000000000000000</v>
      </c>
      <c r="B18">
        <f t="shared" si="0"/>
        <v>-3</v>
      </c>
      <c r="C18">
        <f t="shared" si="1"/>
        <v>0</v>
      </c>
      <c r="D18" t="str">
        <f t="shared" si="2"/>
        <v>0.30000000000000000</v>
      </c>
      <c r="E18" t="s">
        <v>52</v>
      </c>
    </row>
    <row r="19" spans="1:5" x14ac:dyDescent="0.2">
      <c r="A19" t="str" cm="1">
        <f t="array" ref="A19">TEXT(1/3*1000000,"#,##0.0000000000")</f>
        <v>333,333.3333333330</v>
      </c>
      <c r="B19">
        <f t="shared" si="0"/>
        <v>-3</v>
      </c>
      <c r="C19">
        <f t="shared" si="1"/>
        <v>0</v>
      </c>
      <c r="D19" t="str">
        <f t="shared" si="2"/>
        <v>333,333.3333333330</v>
      </c>
      <c r="E19" t="s">
        <v>53</v>
      </c>
    </row>
    <row r="20" spans="1:5" x14ac:dyDescent="0.2">
      <c r="A20" t="str" cm="1">
        <f t="array" ref="A20">TEXT(123456789012345000,"0%")</f>
        <v>12345678901234500000%</v>
      </c>
      <c r="B20">
        <f t="shared" si="0"/>
        <v>-3</v>
      </c>
      <c r="C20">
        <f t="shared" si="1"/>
        <v>0</v>
      </c>
      <c r="D20" t="str">
        <f t="shared" si="2"/>
        <v>12345678901234500000%</v>
      </c>
      <c r="E20" t="s">
        <v>54</v>
      </c>
    </row>
    <row r="21" spans="1:5" x14ac:dyDescent="0.2">
      <c r="A21" t="str" cm="1">
        <f t="array" ref="A21">TEXT(2^60,"# ?/?")</f>
        <v xml:space="preserve">1152921504606850000    </v>
      </c>
      <c r="B21">
        <f t="shared" si="0"/>
        <v>-3</v>
      </c>
      <c r="C21">
        <f t="shared" si="1"/>
        <v>0</v>
      </c>
      <c r="D21" t="str">
        <f t="shared" si="2"/>
        <v xml:space="preserve">1152921504606850000    </v>
      </c>
      <c r="E21" t="s">
        <v>55</v>
      </c>
    </row>
    <row r="22" spans="1:5" x14ac:dyDescent="0.2">
      <c r="A22" t="e" cm="1">
        <f t="array" ref="A22">TEXT(-0.25,"h:mm;@")</f>
        <v>#VALUE!</v>
      </c>
      <c r="B22">
        <f t="shared" si="0"/>
        <v>3</v>
      </c>
      <c r="C22">
        <f t="shared" si="1"/>
        <v>0</v>
      </c>
      <c r="D22" t="str">
        <f t="shared" si="2"/>
        <v/>
      </c>
      <c r="E22" t="s">
        <v>56</v>
      </c>
    </row>
    <row r="23" spans="1:5" x14ac:dyDescent="0.2">
      <c r="A23" t="e" cm="1">
        <f t="array" ref="A23">TEXT(-1,"m/d/yyyy;@")</f>
        <v>#VALUE!</v>
      </c>
      <c r="B23">
        <f t="shared" si="0"/>
        <v>3</v>
      </c>
      <c r="C23">
        <f t="shared" si="1"/>
        <v>0</v>
      </c>
      <c r="D23" t="str">
        <f t="shared" si="2"/>
        <v/>
      </c>
      <c r="E23" t="s">
        <v>57</v>
      </c>
    </row>
    <row r="24" spans="1:5" x14ac:dyDescent="0.2">
      <c r="A24" t="e" cm="1">
        <f t="array" ref="A24">TEXT(-1,"m/d/yy;@")</f>
        <v>#VALUE!</v>
      </c>
      <c r="B24">
        <f t="shared" si="0"/>
        <v>3</v>
      </c>
      <c r="C24">
        <f t="shared" si="1"/>
        <v>0</v>
      </c>
      <c r="D24" t="str">
        <f t="shared" si="2"/>
        <v/>
      </c>
      <c r="E24" t="s">
        <v>58</v>
      </c>
    </row>
    <row r="25" spans="1:5" x14ac:dyDescent="0.2">
      <c r="A25" t="e" cm="1">
        <f t="array" ref="A25">TEXT(-0.25,"[$-409]h:mm AM/PM;@")</f>
        <v>#VALUE!</v>
      </c>
      <c r="B25">
        <f t="shared" si="0"/>
        <v>3</v>
      </c>
      <c r="C25">
        <f t="shared" si="1"/>
        <v>0</v>
      </c>
      <c r="D25" t="str">
        <f t="shared" si="2"/>
        <v/>
      </c>
      <c r="E25" t="s">
        <v>59</v>
      </c>
    </row>
    <row r="26" spans="1:5" x14ac:dyDescent="0.2">
      <c r="A26" t="str" cm="1">
        <f t="array" ref="A26">TEXT(1.5,"h:mm;@")</f>
        <v>12:00</v>
      </c>
      <c r="B26">
        <f t="shared" si="0"/>
        <v>-3</v>
      </c>
      <c r="C26">
        <f t="shared" si="1"/>
        <v>0</v>
      </c>
      <c r="D26" t="str">
        <f t="shared" si="2"/>
        <v>12:00</v>
      </c>
      <c r="E26" t="s">
        <v>60</v>
      </c>
    </row>
    <row r="27" spans="1:5" x14ac:dyDescent="0.2">
      <c r="A27" t="str" cm="1">
        <f t="array" ref="A27">TEXT(-5,"0;@")</f>
        <v>-5</v>
      </c>
      <c r="B27">
        <f t="shared" si="0"/>
        <v>-3</v>
      </c>
      <c r="C27">
        <f t="shared" si="1"/>
        <v>0</v>
      </c>
      <c r="D27" t="str">
        <f t="shared" si="2"/>
        <v>-5</v>
      </c>
      <c r="E27" t="s">
        <v>61</v>
      </c>
    </row>
    <row r="28" spans="1:5" x14ac:dyDescent="0.2">
      <c r="A28" t="str" cm="1">
        <f t="array" ref="A28">TEXT(-5,"0.00;""t""@")</f>
        <v>-5.00</v>
      </c>
      <c r="B28">
        <f t="shared" si="0"/>
        <v>-3</v>
      </c>
      <c r="C28">
        <f t="shared" si="1"/>
        <v>0</v>
      </c>
      <c r="D28" t="str">
        <f t="shared" si="2"/>
        <v>-5.00</v>
      </c>
      <c r="E28" t="s">
        <v>62</v>
      </c>
    </row>
    <row r="29" spans="1:5" x14ac:dyDescent="0.2">
      <c r="A29" t="str" cm="1">
        <f t="array" ref="A29">TEXT(0,"0.00;-0.00;@")</f>
        <v>0.00</v>
      </c>
      <c r="B29">
        <f t="shared" si="0"/>
        <v>-3</v>
      </c>
      <c r="C29">
        <f t="shared" si="1"/>
        <v>0</v>
      </c>
      <c r="D29" t="str">
        <f t="shared" si="2"/>
        <v>0.00</v>
      </c>
      <c r="E29" t="s">
        <v>63</v>
      </c>
    </row>
    <row r="30" spans="1:5" x14ac:dyDescent="0.2">
      <c r="A30" t="str" cm="1">
        <f t="array" ref="A30">TEXT(-5,"0;0;@")</f>
        <v>5</v>
      </c>
      <c r="B30">
        <f t="shared" si="0"/>
        <v>-3</v>
      </c>
      <c r="C30">
        <f t="shared" si="1"/>
        <v>0</v>
      </c>
      <c r="D30" t="str">
        <f t="shared" si="2"/>
        <v>5</v>
      </c>
      <c r="E30" t="s">
        <v>64</v>
      </c>
    </row>
    <row r="31" spans="1:5" x14ac:dyDescent="0.2">
      <c r="A31" t="e" cm="1">
        <f t="array" ref="A31">TEXT(-5,"[&gt;10]0;@")</f>
        <v>#VALUE!</v>
      </c>
      <c r="B31">
        <f t="shared" si="0"/>
        <v>3</v>
      </c>
      <c r="C31">
        <f t="shared" si="1"/>
        <v>0</v>
      </c>
      <c r="D31" t="str">
        <f t="shared" si="2"/>
        <v/>
      </c>
      <c r="E31" t="s">
        <v>65</v>
      </c>
    </row>
    <row r="32" spans="1:5" x14ac:dyDescent="0.2">
      <c r="A32" t="e" cm="1">
        <f t="array" ref="A32">TEXT(5,"[&lt;0]0;[&gt;10]0;@")</f>
        <v>#VALUE!</v>
      </c>
      <c r="B32">
        <f t="shared" si="0"/>
        <v>3</v>
      </c>
      <c r="C32">
        <f t="shared" si="1"/>
        <v>0</v>
      </c>
      <c r="D32" t="str">
        <f t="shared" si="2"/>
        <v/>
      </c>
      <c r="E32" t="s">
        <v>66</v>
      </c>
    </row>
    <row r="33" spans="1:5" x14ac:dyDescent="0.2">
      <c r="A33" t="str" cm="1">
        <f t="array" ref="A33">TEXT(-5,"[&lt;0]0;[&gt;10]0;@")</f>
        <v>5</v>
      </c>
      <c r="B33">
        <f t="shared" si="0"/>
        <v>-3</v>
      </c>
      <c r="C33">
        <f t="shared" si="1"/>
        <v>0</v>
      </c>
      <c r="D33" t="str">
        <f t="shared" si="2"/>
        <v>5</v>
      </c>
      <c r="E33" t="s">
        <v>67</v>
      </c>
    </row>
    <row r="34" spans="1:5" x14ac:dyDescent="0.2">
      <c r="A34" t="str" cm="1">
        <f t="array" ref="A34">TEXT(20,"[&lt;0]0;[&gt;10]0;@")</f>
        <v>20</v>
      </c>
      <c r="B34">
        <f t="shared" si="0"/>
        <v>-3</v>
      </c>
      <c r="C34">
        <f t="shared" si="1"/>
        <v>0</v>
      </c>
      <c r="D34" t="str">
        <f t="shared" si="2"/>
        <v>20</v>
      </c>
      <c r="E34" t="s">
        <v>68</v>
      </c>
    </row>
    <row r="35" spans="1:5" x14ac:dyDescent="0.2">
      <c r="A35" t="str" cm="1">
        <f t="array" ref="A35">TEXT(-5,"[&lt;0]0;@")</f>
        <v>-5</v>
      </c>
      <c r="B35">
        <f t="shared" si="0"/>
        <v>-3</v>
      </c>
      <c r="C35">
        <f t="shared" si="1"/>
        <v>0</v>
      </c>
      <c r="D35" t="str">
        <f t="shared" si="2"/>
        <v>-5</v>
      </c>
      <c r="E35" t="s">
        <v>69</v>
      </c>
    </row>
    <row r="36" spans="1:5" x14ac:dyDescent="0.2">
      <c r="A36" t="s">
        <v>70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2026-10-22T10:30:41Z</dcterms:created>
  <dcterms:modified xsi:type="dcterms:W3CDTF">2026-10-22T10:30:41Z</dcterms:modified>
  <cp:category/>
</cp:coreProperties>
</file>