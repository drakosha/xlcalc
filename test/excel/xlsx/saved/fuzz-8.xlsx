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247EEBF-1893-3D42-88ED-10B830D245E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D400" i="2" s="1"/>
  <c r="A399" i="2" a="1"/>
  <c r="A399" i="2" s="1"/>
  <c r="A398" i="2" a="1"/>
  <c r="A398" i="2" s="1"/>
  <c r="A397" i="2" a="1"/>
  <c r="A397" i="2" s="1"/>
  <c r="A396" i="2" a="1"/>
  <c r="A396" i="2" s="1"/>
  <c r="A395" i="2" a="1"/>
  <c r="A395" i="2" s="1"/>
  <c r="A394" i="2" a="1"/>
  <c r="A394" i="2" s="1"/>
  <c r="A393" i="2" a="1"/>
  <c r="A393" i="2" s="1"/>
  <c r="A392" i="2" a="1"/>
  <c r="A392" i="2" s="1"/>
  <c r="A391" i="2" a="1"/>
  <c r="A391" i="2" s="1"/>
  <c r="A390" i="2" a="1"/>
  <c r="A390" i="2" s="1"/>
  <c r="A389" i="2" a="1"/>
  <c r="A389" i="2" s="1"/>
  <c r="A388" i="2" a="1"/>
  <c r="A388" i="2"/>
  <c r="D388" i="2" s="1"/>
  <c r="A387" i="2" a="1"/>
  <c r="A387" i="2" s="1"/>
  <c r="D386" i="2"/>
  <c r="A386" i="2" a="1"/>
  <c r="A386" i="2"/>
  <c r="B386" i="2" s="1"/>
  <c r="A385" i="2" a="1"/>
  <c r="A385" i="2"/>
  <c r="A384" i="2" a="1"/>
  <c r="A384" i="2"/>
  <c r="C384" i="2" s="1"/>
  <c r="A383" i="2" a="1"/>
  <c r="A383" i="2"/>
  <c r="A382" i="2" a="1"/>
  <c r="A382" i="2" s="1"/>
  <c r="D382" i="2" s="1"/>
  <c r="A381" i="2" a="1"/>
  <c r="A381" i="2" s="1"/>
  <c r="D381" i="2" s="1"/>
  <c r="A380" i="2" a="1"/>
  <c r="A380" i="2"/>
  <c r="D380" i="2" s="1"/>
  <c r="A378" i="2" a="1"/>
  <c r="A378" i="2" s="1"/>
  <c r="A377" i="2" a="1"/>
  <c r="A377" i="2" s="1"/>
  <c r="B377" i="2" s="1"/>
  <c r="A376" i="2" a="1"/>
  <c r="A376" i="2" s="1"/>
  <c r="A375" i="2" a="1"/>
  <c r="A375" i="2" s="1"/>
  <c r="A374" i="2" a="1"/>
  <c r="A374" i="2"/>
  <c r="D374" i="2" s="1"/>
  <c r="A373" i="2" a="1"/>
  <c r="A373" i="2"/>
  <c r="A372" i="2" a="1"/>
  <c r="A372" i="2" s="1"/>
  <c r="B372" i="2" s="1"/>
  <c r="A371" i="2" a="1"/>
  <c r="A371" i="2" s="1"/>
  <c r="A370" i="2" a="1"/>
  <c r="A370" i="2"/>
  <c r="D370" i="2" s="1"/>
  <c r="A369" i="2" a="1"/>
  <c r="A369" i="2"/>
  <c r="D369" i="2" s="1"/>
  <c r="A368" i="2" a="1"/>
  <c r="A368" i="2" s="1"/>
  <c r="A367" i="2" a="1"/>
  <c r="A367" i="2" s="1"/>
  <c r="A366" i="2" a="1"/>
  <c r="A366" i="2"/>
  <c r="C366" i="2" s="1"/>
  <c r="A365" i="2" a="1"/>
  <c r="A365" i="2"/>
  <c r="B365" i="2" s="1"/>
  <c r="A364" i="2" a="1"/>
  <c r="A364" i="2"/>
  <c r="D364" i="2" s="1"/>
  <c r="A363" i="2" a="1"/>
  <c r="A363" i="2" s="1"/>
  <c r="A362" i="2" a="1"/>
  <c r="A362" i="2"/>
  <c r="D362" i="2" s="1"/>
  <c r="A361" i="2" a="1"/>
  <c r="A361" i="2" s="1"/>
  <c r="A360" i="2" a="1"/>
  <c r="A360" i="2" s="1"/>
  <c r="A359" i="2" a="1"/>
  <c r="A359" i="2" s="1"/>
  <c r="A358" i="2" a="1"/>
  <c r="A358" i="2"/>
  <c r="B358" i="2" s="1"/>
  <c r="A357" i="2" a="1"/>
  <c r="A357" i="2" s="1"/>
  <c r="A356" i="2" a="1"/>
  <c r="A356" i="2" s="1"/>
  <c r="D356" i="2" s="1"/>
  <c r="A355" i="2" a="1"/>
  <c r="A355" i="2" s="1"/>
  <c r="A353" i="2" a="1"/>
  <c r="A353" i="2"/>
  <c r="A352" i="2" a="1"/>
  <c r="A352" i="2" s="1"/>
  <c r="D351" i="2"/>
  <c r="A351" i="2" a="1"/>
  <c r="A351" i="2"/>
  <c r="B351" i="2" s="1"/>
  <c r="A350" i="2" a="1"/>
  <c r="A350" i="2" s="1"/>
  <c r="B350" i="2" s="1"/>
  <c r="A349" i="2" a="1"/>
  <c r="A349" i="2"/>
  <c r="A348" i="2" a="1"/>
  <c r="A348" i="2"/>
  <c r="D348" i="2" s="1"/>
  <c r="A347" i="2" a="1"/>
  <c r="A347" i="2"/>
  <c r="D347" i="2" s="1"/>
  <c r="A346" i="2" a="1"/>
  <c r="A346" i="2" s="1"/>
  <c r="D346" i="2" s="1"/>
  <c r="A345" i="2" a="1"/>
  <c r="A345" i="2" s="1"/>
  <c r="D345" i="2" s="1"/>
  <c r="A344" i="2" a="1"/>
  <c r="A344" i="2" s="1"/>
  <c r="D344" i="2" s="1"/>
  <c r="A343" i="2" a="1"/>
  <c r="A343" i="2" s="1"/>
  <c r="A342" i="2" a="1"/>
  <c r="A342" i="2" s="1"/>
  <c r="A341" i="2" a="1"/>
  <c r="A341" i="2" s="1"/>
  <c r="A340" i="2" a="1"/>
  <c r="A340" i="2"/>
  <c r="A339" i="2" a="1"/>
  <c r="A339" i="2" s="1"/>
  <c r="D339" i="2" s="1"/>
  <c r="A338" i="2" a="1"/>
  <c r="A338" i="2" s="1"/>
  <c r="A337" i="2" a="1"/>
  <c r="A337" i="2" s="1"/>
  <c r="D337" i="2" s="1"/>
  <c r="A336" i="2" a="1"/>
  <c r="A336" i="2" s="1"/>
  <c r="D336" i="2" s="1"/>
  <c r="A335" i="2" a="1"/>
  <c r="A335" i="2"/>
  <c r="A334" i="2" a="1"/>
  <c r="A334" i="2"/>
  <c r="D334" i="2" s="1"/>
  <c r="A333" i="2" a="1"/>
  <c r="A333" i="2" s="1"/>
  <c r="D332" i="2"/>
  <c r="A332" i="2" a="1"/>
  <c r="A332" i="2" s="1"/>
  <c r="B332" i="2" s="1"/>
  <c r="A331" i="2" a="1"/>
  <c r="A331" i="2"/>
  <c r="B331" i="2" s="1"/>
  <c r="A330" i="2" a="1"/>
  <c r="A330" i="2" s="1"/>
  <c r="B330" i="2" s="1"/>
  <c r="A329" i="2" a="1"/>
  <c r="A329" i="2" s="1"/>
  <c r="C329" i="2" s="1"/>
  <c r="A328" i="2" a="1"/>
  <c r="A328" i="2" s="1"/>
  <c r="D328" i="2" s="1"/>
  <c r="A327" i="2" a="1"/>
  <c r="A327" i="2" s="1"/>
  <c r="B327" i="2" s="1"/>
  <c r="A326" i="2" a="1"/>
  <c r="A326" i="2" s="1"/>
  <c r="A324" i="2" a="1"/>
  <c r="A324" i="2"/>
  <c r="A323" i="2" a="1"/>
  <c r="A323" i="2"/>
  <c r="B323" i="2" s="1"/>
  <c r="A322" i="2" a="1"/>
  <c r="A322" i="2" s="1"/>
  <c r="A321" i="2" a="1"/>
  <c r="A321" i="2" s="1"/>
  <c r="A320" i="2" a="1"/>
  <c r="A320" i="2"/>
  <c r="A319" i="2" a="1"/>
  <c r="A319" i="2" s="1"/>
  <c r="D318" i="2"/>
  <c r="C318" i="2"/>
  <c r="B318" i="2"/>
  <c r="A318" i="2" a="1"/>
  <c r="A318" i="2" s="1"/>
  <c r="A317" i="2" a="1"/>
  <c r="A317" i="2" s="1"/>
  <c r="A316" i="2" a="1"/>
  <c r="A316" i="2"/>
  <c r="D316" i="2" s="1"/>
  <c r="C315" i="2"/>
  <c r="B315" i="2"/>
  <c r="A315" i="2" a="1"/>
  <c r="A315" i="2" s="1"/>
  <c r="D315" i="2" s="1"/>
  <c r="A314" i="2" a="1"/>
  <c r="A314" i="2" s="1"/>
  <c r="B314" i="2" s="1"/>
  <c r="A313" i="2" a="1"/>
  <c r="A313" i="2" s="1"/>
  <c r="A312" i="2" a="1"/>
  <c r="A312" i="2"/>
  <c r="C312" i="2" s="1"/>
  <c r="A311" i="2" a="1"/>
  <c r="A311" i="2"/>
  <c r="A310" i="2" a="1"/>
  <c r="A310" i="2" s="1"/>
  <c r="A309" i="2" a="1"/>
  <c r="A309" i="2" s="1"/>
  <c r="D309" i="2" s="1"/>
  <c r="C308" i="2"/>
  <c r="B308" i="2"/>
  <c r="A308" i="2" a="1"/>
  <c r="A308" i="2"/>
  <c r="D308" i="2" s="1"/>
  <c r="A307" i="2" a="1"/>
  <c r="A307" i="2"/>
  <c r="D307" i="2" s="1"/>
  <c r="A306" i="2" a="1"/>
  <c r="A306" i="2"/>
  <c r="A305" i="2" a="1"/>
  <c r="A305" i="2" s="1"/>
  <c r="D305" i="2" s="1"/>
  <c r="A304" i="2" a="1"/>
  <c r="A304" i="2"/>
  <c r="B304" i="2" s="1"/>
  <c r="A303" i="2" a="1"/>
  <c r="A303" i="2" s="1"/>
  <c r="A302" i="2" a="1"/>
  <c r="A302" i="2"/>
  <c r="D302" i="2" s="1"/>
  <c r="A301" i="2" a="1"/>
  <c r="A301" i="2" s="1"/>
  <c r="A300" i="2" a="1"/>
  <c r="A300" i="2" s="1"/>
  <c r="D300" i="2" s="1"/>
  <c r="A299" i="2" a="1"/>
  <c r="A299" i="2"/>
  <c r="A298" i="2" a="1"/>
  <c r="A298" i="2"/>
  <c r="B298" i="2" s="1"/>
  <c r="A297" i="2" a="1"/>
  <c r="A297" i="2" s="1"/>
  <c r="C296" i="2"/>
  <c r="A296" i="2" a="1"/>
  <c r="A296" i="2" s="1"/>
  <c r="B296" i="2" s="1"/>
  <c r="A295" i="2" a="1"/>
  <c r="A295" i="2"/>
  <c r="A294" i="2" a="1"/>
  <c r="A294" i="2"/>
  <c r="C294" i="2" s="1"/>
  <c r="A293" i="2" a="1"/>
  <c r="A293" i="2" s="1"/>
  <c r="A292" i="2" a="1"/>
  <c r="A292" i="2"/>
  <c r="D292" i="2" s="1"/>
  <c r="A291" i="2" a="1"/>
  <c r="A291" i="2" s="1"/>
  <c r="B291" i="2" s="1"/>
  <c r="A290" i="2" a="1"/>
  <c r="A290" i="2"/>
  <c r="D290" i="2" s="1"/>
  <c r="A288" i="2" a="1"/>
  <c r="A288" i="2" s="1"/>
  <c r="A287" i="2" a="1"/>
  <c r="A287" i="2"/>
  <c r="A286" i="2" a="1"/>
  <c r="A286" i="2"/>
  <c r="B286" i="2" s="1"/>
  <c r="A285" i="2" a="1"/>
  <c r="A285" i="2" s="1"/>
  <c r="D285" i="2" s="1"/>
  <c r="A284" i="2" a="1"/>
  <c r="A284" i="2" s="1"/>
  <c r="D284" i="2" s="1"/>
  <c r="B283" i="2"/>
  <c r="A283" i="2" a="1"/>
  <c r="A283" i="2"/>
  <c r="D283" i="2" s="1"/>
  <c r="A282" i="2" a="1"/>
  <c r="A282" i="2" s="1"/>
  <c r="D282" i="2" s="1"/>
  <c r="A281" i="2" a="1"/>
  <c r="A281" i="2" s="1"/>
  <c r="A280" i="2" a="1"/>
  <c r="A280" i="2" s="1"/>
  <c r="B280" i="2" s="1"/>
  <c r="D279" i="2"/>
  <c r="A279" i="2" a="1"/>
  <c r="A279" i="2"/>
  <c r="B279" i="2" s="1"/>
  <c r="A278" i="2" a="1"/>
  <c r="A278" i="2" s="1"/>
  <c r="B278" i="2" s="1"/>
  <c r="A277" i="2" a="1"/>
  <c r="A277" i="2" s="1"/>
  <c r="A276" i="2" a="1"/>
  <c r="A276" i="2" s="1"/>
  <c r="A275" i="2" a="1"/>
  <c r="A275" i="2"/>
  <c r="D275" i="2" s="1"/>
  <c r="C274" i="2"/>
  <c r="A274" i="2" a="1"/>
  <c r="A274" i="2"/>
  <c r="D274" i="2" s="1"/>
  <c r="A273" i="2" a="1"/>
  <c r="A273" i="2" s="1"/>
  <c r="A272" i="2" a="1"/>
  <c r="A272" i="2" s="1"/>
  <c r="A271" i="2" a="1"/>
  <c r="A271" i="2" s="1"/>
  <c r="A269" i="2" a="1"/>
  <c r="A269" i="2" s="1"/>
  <c r="A268" i="2" a="1"/>
  <c r="A268" i="2" s="1"/>
  <c r="A267" i="2" a="1"/>
  <c r="A267" i="2" s="1"/>
  <c r="A266" i="2" a="1"/>
  <c r="A266" i="2" s="1"/>
  <c r="A265" i="2" a="1"/>
  <c r="A265" i="2" s="1"/>
  <c r="A264" i="2" a="1"/>
  <c r="A264" i="2" s="1"/>
  <c r="A263" i="2" a="1"/>
  <c r="A263" i="2"/>
  <c r="A262" i="2" a="1"/>
  <c r="A262" i="2"/>
  <c r="D262" i="2" s="1"/>
  <c r="A261" i="2" a="1"/>
  <c r="A261" i="2" s="1"/>
  <c r="D260" i="2"/>
  <c r="A260" i="2" a="1"/>
  <c r="A260" i="2" s="1"/>
  <c r="B260" i="2" s="1"/>
  <c r="A259" i="2" a="1"/>
  <c r="A259" i="2"/>
  <c r="A258" i="2" a="1"/>
  <c r="A258" i="2" s="1"/>
  <c r="A257" i="2" a="1"/>
  <c r="A257" i="2" s="1"/>
  <c r="C256" i="2"/>
  <c r="A256" i="2" a="1"/>
  <c r="A256" i="2"/>
  <c r="D256" i="2" s="1"/>
  <c r="A255" i="2" a="1"/>
  <c r="A255" i="2" s="1"/>
  <c r="A254" i="2" a="1"/>
  <c r="A254" i="2"/>
  <c r="B254" i="2" s="1"/>
  <c r="A253" i="2" a="1"/>
  <c r="A253" i="2"/>
  <c r="D253" i="2" s="1"/>
  <c r="A252" i="2" a="1"/>
  <c r="A252" i="2" s="1"/>
  <c r="A251" i="2" a="1"/>
  <c r="A251" i="2" s="1"/>
  <c r="A250" i="2" a="1"/>
  <c r="A250" i="2"/>
  <c r="D250" i="2" s="1"/>
  <c r="A249" i="2" a="1"/>
  <c r="A249" i="2" s="1"/>
  <c r="C249" i="2" s="1"/>
  <c r="C248" i="2"/>
  <c r="A248" i="2" a="1"/>
  <c r="A248" i="2" s="1"/>
  <c r="D248" i="2" s="1"/>
  <c r="A247" i="2" a="1"/>
  <c r="A247" i="2"/>
  <c r="D247" i="2" s="1"/>
  <c r="A246" i="2" a="1"/>
  <c r="A246" i="2" s="1"/>
  <c r="B246" i="2" s="1"/>
  <c r="A245" i="2" a="1"/>
  <c r="A245" i="2"/>
  <c r="A244" i="2" a="1"/>
  <c r="A244" i="2" s="1"/>
  <c r="A243" i="2" a="1"/>
  <c r="A243" i="2" s="1"/>
  <c r="A242" i="2" a="1"/>
  <c r="A242" i="2" s="1"/>
  <c r="C242" i="2" s="1"/>
  <c r="A240" i="2" a="1"/>
  <c r="A240" i="2" s="1"/>
  <c r="A239" i="2" a="1"/>
  <c r="A239" i="2" s="1"/>
  <c r="A238" i="2" a="1"/>
  <c r="A238" i="2"/>
  <c r="D238" i="2" s="1"/>
  <c r="A236" i="2" a="1"/>
  <c r="A236" i="2"/>
  <c r="D236" i="2" s="1"/>
  <c r="A235" i="2" a="1"/>
  <c r="A235" i="2"/>
  <c r="B235" i="2" s="1"/>
  <c r="A234" i="2" a="1"/>
  <c r="A234" i="2"/>
  <c r="A233" i="2" a="1"/>
  <c r="A233" i="2"/>
  <c r="D233" i="2" s="1"/>
  <c r="A232" i="2" a="1"/>
  <c r="A232" i="2"/>
  <c r="D232" i="2" s="1"/>
  <c r="A231" i="2" a="1"/>
  <c r="A231" i="2" s="1"/>
  <c r="C231" i="2" s="1"/>
  <c r="A230" i="2" a="1"/>
  <c r="A230" i="2" s="1"/>
  <c r="A229" i="2" a="1"/>
  <c r="A229" i="2" s="1"/>
  <c r="A228" i="2" a="1"/>
  <c r="A228" i="2" s="1"/>
  <c r="C228" i="2" s="1"/>
  <c r="A227" i="2" a="1"/>
  <c r="A227" i="2"/>
  <c r="A226" i="2" a="1"/>
  <c r="A226" i="2"/>
  <c r="B226" i="2" s="1"/>
  <c r="A225" i="2" a="1"/>
  <c r="A225" i="2"/>
  <c r="D224" i="2"/>
  <c r="C224" i="2"/>
  <c r="A224" i="2" a="1"/>
  <c r="A224" i="2" s="1"/>
  <c r="B224" i="2" s="1"/>
  <c r="A223" i="2" a="1"/>
  <c r="A223" i="2" s="1"/>
  <c r="A222" i="2" a="1"/>
  <c r="A222" i="2" s="1"/>
  <c r="D222" i="2" s="1"/>
  <c r="A221" i="2" a="1"/>
  <c r="A221" i="2"/>
  <c r="D221" i="2" s="1"/>
  <c r="A220" i="2" a="1"/>
  <c r="A220" i="2"/>
  <c r="D220" i="2" s="1"/>
  <c r="A219" i="2" a="1"/>
  <c r="A219" i="2"/>
  <c r="C219" i="2" s="1"/>
  <c r="A218" i="2" a="1"/>
  <c r="A218" i="2" s="1"/>
  <c r="C218" i="2" s="1"/>
  <c r="A217" i="2" a="1"/>
  <c r="A217" i="2"/>
  <c r="D217" i="2" s="1"/>
  <c r="A216" i="2" a="1"/>
  <c r="A216" i="2" s="1"/>
  <c r="A215" i="2" a="1"/>
  <c r="A215" i="2" s="1"/>
  <c r="B215" i="2" s="1"/>
  <c r="A214" i="2" a="1"/>
  <c r="A214" i="2"/>
  <c r="B214" i="2" s="1"/>
  <c r="A213" i="2" a="1"/>
  <c r="A213" i="2" s="1"/>
  <c r="C213" i="2" s="1"/>
  <c r="A212" i="2" a="1"/>
  <c r="A212" i="2" s="1"/>
  <c r="C211" i="2"/>
  <c r="A211" i="2" a="1"/>
  <c r="A211" i="2"/>
  <c r="B211" i="2" s="1"/>
  <c r="A210" i="2" a="1"/>
  <c r="A210" i="2" s="1"/>
  <c r="C210" i="2" s="1"/>
  <c r="D209" i="2"/>
  <c r="A209" i="2" a="1"/>
  <c r="A209" i="2"/>
  <c r="A208" i="2" a="1"/>
  <c r="A208" i="2" s="1"/>
  <c r="D208" i="2" s="1"/>
  <c r="A207" i="2" a="1"/>
  <c r="A207" i="2" s="1"/>
  <c r="B207" i="2" s="1"/>
  <c r="A206" i="2" a="1"/>
  <c r="A206" i="2" s="1"/>
  <c r="A205" i="2" a="1"/>
  <c r="A205" i="2"/>
  <c r="A204" i="2" a="1"/>
  <c r="A204" i="2" s="1"/>
  <c r="A203" i="2" a="1"/>
  <c r="A203" i="2" s="1"/>
  <c r="C202" i="2"/>
  <c r="A202" i="2" a="1"/>
  <c r="A202" i="2"/>
  <c r="D202" i="2" s="1"/>
  <c r="A201" i="2" a="1"/>
  <c r="A201" i="2" s="1"/>
  <c r="D201" i="2" s="1"/>
  <c r="A200" i="2" a="1"/>
  <c r="A200" i="2" s="1"/>
  <c r="D200" i="2" s="1"/>
  <c r="A199" i="2" a="1"/>
  <c r="A199" i="2"/>
  <c r="A198" i="2" a="1"/>
  <c r="A198" i="2" s="1"/>
  <c r="A197" i="2" a="1"/>
  <c r="A197" i="2" s="1"/>
  <c r="A196" i="2" a="1"/>
  <c r="A196" i="2"/>
  <c r="B196" i="2" s="1"/>
  <c r="A195" i="2" a="1"/>
  <c r="A195" i="2" s="1"/>
  <c r="C195" i="2" s="1"/>
  <c r="A194" i="2" a="1"/>
  <c r="A194" i="2" s="1"/>
  <c r="A193" i="2" a="1"/>
  <c r="A193" i="2" s="1"/>
  <c r="A192" i="2" a="1"/>
  <c r="A192" i="2" s="1"/>
  <c r="D192" i="2" s="1"/>
  <c r="A191" i="2" a="1"/>
  <c r="A191" i="2"/>
  <c r="D191" i="2" s="1"/>
  <c r="A190" i="2" a="1"/>
  <c r="A190" i="2"/>
  <c r="B190" i="2" s="1"/>
  <c r="A189" i="2" a="1"/>
  <c r="A189" i="2" s="1"/>
  <c r="A188" i="2" a="1"/>
  <c r="A188" i="2" s="1"/>
  <c r="B188" i="2" s="1"/>
  <c r="A187" i="2" a="1"/>
  <c r="A187" i="2"/>
  <c r="B187" i="2" s="1"/>
  <c r="A186" i="2" a="1"/>
  <c r="A186" i="2"/>
  <c r="A185" i="2" a="1"/>
  <c r="A185" i="2" s="1"/>
  <c r="D185" i="2" s="1"/>
  <c r="A184" i="2" a="1"/>
  <c r="A184" i="2" s="1"/>
  <c r="A183" i="2" a="1"/>
  <c r="A183" i="2" s="1"/>
  <c r="A182" i="2" a="1"/>
  <c r="A182" i="2" s="1"/>
  <c r="A181" i="2" a="1"/>
  <c r="A181" i="2"/>
  <c r="D181" i="2" s="1"/>
  <c r="A180" i="2" a="1"/>
  <c r="A180" i="2"/>
  <c r="A179" i="2" a="1"/>
  <c r="A179" i="2" s="1"/>
  <c r="A178" i="2" a="1"/>
  <c r="A178" i="2"/>
  <c r="D178" i="2" s="1"/>
  <c r="A177" i="2" a="1"/>
  <c r="A177" i="2" s="1"/>
  <c r="C177" i="2" s="1"/>
  <c r="A176" i="2" a="1"/>
  <c r="A176" i="2"/>
  <c r="C176" i="2" s="1"/>
  <c r="A175" i="2" a="1"/>
  <c r="A175" i="2" s="1"/>
  <c r="B175" i="2" s="1"/>
  <c r="A174" i="2" a="1"/>
  <c r="A174" i="2" s="1"/>
  <c r="D174" i="2" s="1"/>
  <c r="A173" i="2" a="1"/>
  <c r="A173" i="2" s="1"/>
  <c r="A172" i="2" a="1"/>
  <c r="A172" i="2" s="1"/>
  <c r="A171" i="2" a="1"/>
  <c r="A171" i="2" s="1"/>
  <c r="A170" i="2" a="1"/>
  <c r="A170" i="2" s="1"/>
  <c r="B170" i="2" s="1"/>
  <c r="A169" i="2" a="1"/>
  <c r="A169" i="2"/>
  <c r="A168" i="2" a="1"/>
  <c r="A168" i="2" s="1"/>
  <c r="D168" i="2" s="1"/>
  <c r="A167" i="2" a="1"/>
  <c r="A167" i="2" s="1"/>
  <c r="A166" i="2" a="1"/>
  <c r="A166" i="2"/>
  <c r="C166" i="2" s="1"/>
  <c r="A165" i="2" a="1"/>
  <c r="A165" i="2"/>
  <c r="A164" i="2" a="1"/>
  <c r="A164" i="2" s="1"/>
  <c r="A163" i="2" a="1"/>
  <c r="A163" i="2"/>
  <c r="B163" i="2" s="1"/>
  <c r="A162" i="2" a="1"/>
  <c r="A162" i="2"/>
  <c r="B162" i="2" s="1"/>
  <c r="A161" i="2" a="1"/>
  <c r="A161" i="2" s="1"/>
  <c r="A160" i="2" a="1"/>
  <c r="A160" i="2" s="1"/>
  <c r="D160" i="2" s="1"/>
  <c r="A159" i="2" a="1"/>
  <c r="A159" i="2" s="1"/>
  <c r="B158" i="2"/>
  <c r="A158" i="2" a="1"/>
  <c r="A158" i="2"/>
  <c r="C158" i="2" s="1"/>
  <c r="A157" i="2" a="1"/>
  <c r="A157" i="2" s="1"/>
  <c r="A156" i="2" a="1"/>
  <c r="A156" i="2" s="1"/>
  <c r="B156" i="2" s="1"/>
  <c r="A155" i="2" a="1"/>
  <c r="A155" i="2" s="1"/>
  <c r="D155" i="2" s="1"/>
  <c r="C154" i="2"/>
  <c r="A154" i="2" a="1"/>
  <c r="A154" i="2" s="1"/>
  <c r="B154" i="2" s="1"/>
  <c r="A153" i="2" a="1"/>
  <c r="A153" i="2"/>
  <c r="D153" i="2" s="1"/>
  <c r="A152" i="2" a="1"/>
  <c r="A152" i="2" s="1"/>
  <c r="B152" i="2" s="1"/>
  <c r="A151" i="2" a="1"/>
  <c r="A151" i="2" s="1"/>
  <c r="A150" i="2" a="1"/>
  <c r="A150" i="2" s="1"/>
  <c r="A149" i="2" a="1"/>
  <c r="A149" i="2" s="1"/>
  <c r="A148" i="2" a="1"/>
  <c r="A148" i="2"/>
  <c r="A147" i="2" a="1"/>
  <c r="A147" i="2"/>
  <c r="B147" i="2" s="1"/>
  <c r="A146" i="2" a="1"/>
  <c r="A146" i="2" s="1"/>
  <c r="A145" i="2" a="1"/>
  <c r="A145" i="2" s="1"/>
  <c r="A144" i="2" a="1"/>
  <c r="A144" i="2"/>
  <c r="C143" i="2"/>
  <c r="A143" i="2" a="1"/>
  <c r="A143" i="2"/>
  <c r="B143" i="2" s="1"/>
  <c r="A142" i="2" a="1"/>
  <c r="A142" i="2" s="1"/>
  <c r="A141" i="2" a="1"/>
  <c r="A141" i="2" s="1"/>
  <c r="C141" i="2" s="1"/>
  <c r="A140" i="2" a="1"/>
  <c r="A140" i="2" s="1"/>
  <c r="A139" i="2" a="1"/>
  <c r="A139" i="2" s="1"/>
  <c r="A138" i="2" a="1"/>
  <c r="A138" i="2" s="1"/>
  <c r="A137" i="2" a="1"/>
  <c r="A137" i="2" s="1"/>
  <c r="A136" i="2" a="1"/>
  <c r="A136" i="2" s="1"/>
  <c r="A135" i="2" a="1"/>
  <c r="A135" i="2"/>
  <c r="D135" i="2" s="1"/>
  <c r="A134" i="2" a="1"/>
  <c r="A134" i="2" s="1"/>
  <c r="A133" i="2" a="1"/>
  <c r="A133" i="2" s="1"/>
  <c r="D133" i="2" s="1"/>
  <c r="A132" i="2" a="1"/>
  <c r="A132" i="2"/>
  <c r="D132" i="2" s="1"/>
  <c r="D131" i="2"/>
  <c r="A131" i="2" a="1"/>
  <c r="A131" i="2" s="1"/>
  <c r="C131" i="2" s="1"/>
  <c r="A130" i="2" a="1"/>
  <c r="A130" i="2"/>
  <c r="D129" i="2"/>
  <c r="C129" i="2"/>
  <c r="B129" i="2"/>
  <c r="A129" i="2" a="1"/>
  <c r="A129" i="2" s="1"/>
  <c r="A128" i="2" a="1"/>
  <c r="A128" i="2"/>
  <c r="D128" i="2" s="1"/>
  <c r="A127" i="2" a="1"/>
  <c r="A127" i="2"/>
  <c r="B127" i="2" s="1"/>
  <c r="B126" i="2"/>
  <c r="A126" i="2" a="1"/>
  <c r="A126" i="2"/>
  <c r="A125" i="2" a="1"/>
  <c r="A125" i="2" s="1"/>
  <c r="A124" i="2" a="1"/>
  <c r="A124" i="2"/>
  <c r="D124" i="2" s="1"/>
  <c r="A123" i="2" a="1"/>
  <c r="A123" i="2" s="1"/>
  <c r="C123" i="2" s="1"/>
  <c r="A122" i="2" a="1"/>
  <c r="A122" i="2" s="1"/>
  <c r="D121" i="2"/>
  <c r="C121" i="2"/>
  <c r="B121" i="2"/>
  <c r="A121" i="2" a="1"/>
  <c r="A121" i="2" s="1"/>
  <c r="C120" i="2"/>
  <c r="A120" i="2" a="1"/>
  <c r="A120" i="2" s="1"/>
  <c r="D120" i="2" s="1"/>
  <c r="A119" i="2" a="1"/>
  <c r="A119" i="2"/>
  <c r="A118" i="2" a="1"/>
  <c r="A118" i="2" s="1"/>
  <c r="A117" i="2" a="1"/>
  <c r="A117" i="2" s="1"/>
  <c r="A115" i="2" a="1"/>
  <c r="A115" i="2" s="1"/>
  <c r="A114" i="2" a="1"/>
  <c r="A114" i="2" s="1"/>
  <c r="A113" i="2" a="1"/>
  <c r="A113" i="2"/>
  <c r="B113" i="2" s="1"/>
  <c r="A112" i="2" a="1"/>
  <c r="A112" i="2"/>
  <c r="C112" i="2" s="1"/>
  <c r="A111" i="2" a="1"/>
  <c r="A111" i="2" s="1"/>
  <c r="A110" i="2" a="1"/>
  <c r="A110" i="2"/>
  <c r="D110" i="2" s="1"/>
  <c r="A109" i="2" a="1"/>
  <c r="A109" i="2"/>
  <c r="D109" i="2" s="1"/>
  <c r="A108" i="2" a="1"/>
  <c r="A108" i="2" s="1"/>
  <c r="A107" i="2" a="1"/>
  <c r="A107" i="2" s="1"/>
  <c r="A106" i="2" a="1"/>
  <c r="A106" i="2"/>
  <c r="B106" i="2" s="1"/>
  <c r="A105" i="2" a="1"/>
  <c r="A105" i="2"/>
  <c r="C105" i="2" s="1"/>
  <c r="A104" i="2" a="1"/>
  <c r="A104" i="2" s="1"/>
  <c r="A103" i="2" a="1"/>
  <c r="A103" i="2" s="1"/>
  <c r="A102" i="2" a="1"/>
  <c r="A102" i="2" s="1"/>
  <c r="C102" i="2" s="1"/>
  <c r="A101" i="2" a="1"/>
  <c r="A101" i="2" s="1"/>
  <c r="A100" i="2" a="1"/>
  <c r="A100" i="2" s="1"/>
  <c r="A99" i="2" a="1"/>
  <c r="A99" i="2"/>
  <c r="D99" i="2" s="1"/>
  <c r="A98" i="2" a="1"/>
  <c r="A98" i="2"/>
  <c r="A97" i="2" a="1"/>
  <c r="A97" i="2" s="1"/>
  <c r="D97" i="2" s="1"/>
  <c r="A96" i="2" a="1"/>
  <c r="A96" i="2" s="1"/>
  <c r="D96" i="2" s="1"/>
  <c r="A95" i="2" a="1"/>
  <c r="A95" i="2" s="1"/>
  <c r="D95" i="2" s="1"/>
  <c r="A94" i="2" a="1"/>
  <c r="A94" i="2" s="1"/>
  <c r="A93" i="2" a="1"/>
  <c r="A93" i="2" s="1"/>
  <c r="A92" i="2" a="1"/>
  <c r="A92" i="2"/>
  <c r="A91" i="2" a="1"/>
  <c r="A91" i="2" s="1"/>
  <c r="A90" i="2" a="1"/>
  <c r="A90" i="2" s="1"/>
  <c r="D90" i="2" s="1"/>
  <c r="A89" i="2" a="1"/>
  <c r="A89" i="2" s="1"/>
  <c r="A88" i="2" a="1"/>
  <c r="A88" i="2"/>
  <c r="A87" i="2" a="1"/>
  <c r="A87" i="2"/>
  <c r="A86" i="2" a="1"/>
  <c r="A86" i="2" s="1"/>
  <c r="A85" i="2" a="1"/>
  <c r="A85" i="2" s="1"/>
  <c r="C84" i="2"/>
  <c r="A84" i="2" a="1"/>
  <c r="A84" i="2" s="1"/>
  <c r="D84" i="2" s="1"/>
  <c r="A83" i="2" a="1"/>
  <c r="A83" i="2" s="1"/>
  <c r="A82" i="2" a="1"/>
  <c r="A82" i="2" s="1"/>
  <c r="D82" i="2" s="1"/>
  <c r="A81" i="2" a="1"/>
  <c r="A81" i="2"/>
  <c r="D81" i="2" s="1"/>
  <c r="A80" i="2" a="1"/>
  <c r="A80" i="2"/>
  <c r="B80" i="2" s="1"/>
  <c r="A79" i="2" a="1"/>
  <c r="A79" i="2"/>
  <c r="D79" i="2" s="1"/>
  <c r="A78" i="2" a="1"/>
  <c r="A78" i="2" s="1"/>
  <c r="A77" i="2" a="1"/>
  <c r="A77" i="2"/>
  <c r="A76" i="2" a="1"/>
  <c r="A76" i="2" s="1"/>
  <c r="D76" i="2" s="1"/>
  <c r="A75" i="2" a="1"/>
  <c r="A75" i="2" s="1"/>
  <c r="A74" i="2" a="1"/>
  <c r="A74" i="2" s="1"/>
  <c r="A73" i="2"/>
  <c r="A72" i="2" a="1"/>
  <c r="A72" i="2"/>
  <c r="C72" i="2" s="1"/>
  <c r="A71" i="2" a="1"/>
  <c r="A71" i="2" s="1"/>
  <c r="A70" i="2" a="1"/>
  <c r="A70" i="2" s="1"/>
  <c r="A69" i="2" a="1"/>
  <c r="A69" i="2" s="1"/>
  <c r="A68" i="2" a="1"/>
  <c r="A68" i="2" s="1"/>
  <c r="B68" i="2" s="1"/>
  <c r="A67" i="2" a="1"/>
  <c r="A67" i="2"/>
  <c r="C67" i="2" s="1"/>
  <c r="B66" i="2"/>
  <c r="A66" i="2" a="1"/>
  <c r="A66" i="2" s="1"/>
  <c r="D66" i="2" s="1"/>
  <c r="A65" i="2" a="1"/>
  <c r="A65" i="2" s="1"/>
  <c r="A64" i="2" a="1"/>
  <c r="A64" i="2"/>
  <c r="C64" i="2" s="1"/>
  <c r="A63" i="2" a="1"/>
  <c r="A63" i="2" s="1"/>
  <c r="D63" i="2" s="1"/>
  <c r="A62" i="2" a="1"/>
  <c r="A62" i="2" s="1"/>
  <c r="A61" i="2" a="1"/>
  <c r="A61" i="2"/>
  <c r="D61" i="2" s="1"/>
  <c r="A60" i="2" a="1"/>
  <c r="A60" i="2" s="1"/>
  <c r="D60" i="2" s="1"/>
  <c r="A59" i="2" a="1"/>
  <c r="A59" i="2"/>
  <c r="D59" i="2" s="1"/>
  <c r="A57" i="2" a="1"/>
  <c r="A57" i="2" s="1"/>
  <c r="D57" i="2" s="1"/>
  <c r="A56" i="2" a="1"/>
  <c r="A56" i="2" s="1"/>
  <c r="A55" i="2" a="1"/>
  <c r="A55" i="2" s="1"/>
  <c r="A54" i="2" a="1"/>
  <c r="A54" i="2" s="1"/>
  <c r="A53" i="2" a="1"/>
  <c r="A53" i="2" s="1"/>
  <c r="A52" i="2" a="1"/>
  <c r="A52" i="2" s="1"/>
  <c r="A51" i="2" a="1"/>
  <c r="A51" i="2" s="1"/>
  <c r="A50" i="2" a="1"/>
  <c r="A50" i="2" s="1"/>
  <c r="D50" i="2" s="1"/>
  <c r="A49" i="2" a="1"/>
  <c r="A49" i="2" s="1"/>
  <c r="A48" i="2" a="1"/>
  <c r="A48" i="2" s="1"/>
  <c r="D48" i="2" s="1"/>
  <c r="A47" i="2" a="1"/>
  <c r="A47" i="2" s="1"/>
  <c r="C46" i="2"/>
  <c r="A46" i="2" a="1"/>
  <c r="A46" i="2"/>
  <c r="D46" i="2" s="1"/>
  <c r="A45" i="2" a="1"/>
  <c r="A45" i="2" s="1"/>
  <c r="D45" i="2" s="1"/>
  <c r="A44" i="2" a="1"/>
  <c r="A44" i="2" s="1"/>
  <c r="B44" i="2" s="1"/>
  <c r="A43" i="2" a="1"/>
  <c r="A43" i="2" s="1"/>
  <c r="C42" i="2"/>
  <c r="A42" i="2" a="1"/>
  <c r="A42" i="2" s="1"/>
  <c r="B42" i="2" s="1"/>
  <c r="A41" i="2" a="1"/>
  <c r="A41" i="2"/>
  <c r="C41" i="2" s="1"/>
  <c r="A40" i="2" a="1"/>
  <c r="A40" i="2"/>
  <c r="D40" i="2" s="1"/>
  <c r="A39" i="2" a="1"/>
  <c r="A39" i="2"/>
  <c r="A38" i="2" a="1"/>
  <c r="A38" i="2"/>
  <c r="D38" i="2" s="1"/>
  <c r="A37" i="2" a="1"/>
  <c r="A37" i="2" s="1"/>
  <c r="D37" i="2" s="1"/>
  <c r="A36" i="2" a="1"/>
  <c r="A36" i="2" s="1"/>
  <c r="A35" i="2" a="1"/>
  <c r="A35" i="2" s="1"/>
  <c r="D35" i="2" s="1"/>
  <c r="A34" i="2" a="1"/>
  <c r="A34" i="2" s="1"/>
  <c r="A33" i="2" a="1"/>
  <c r="A33" i="2" s="1"/>
  <c r="D33" i="2" s="1"/>
  <c r="A32" i="2" a="1"/>
  <c r="A32" i="2" s="1"/>
  <c r="A31" i="2" a="1"/>
  <c r="A31" i="2" s="1"/>
  <c r="B31" i="2" s="1"/>
  <c r="A30" i="2" a="1"/>
  <c r="A30" i="2"/>
  <c r="B30" i="2" s="1"/>
  <c r="A28" i="2" a="1"/>
  <c r="A28" i="2"/>
  <c r="B28" i="2" s="1"/>
  <c r="A27" i="2" a="1"/>
  <c r="A27" i="2" s="1"/>
  <c r="B27" i="2" s="1"/>
  <c r="A26" i="2" a="1"/>
  <c r="A26" i="2"/>
  <c r="B26" i="2" s="1"/>
  <c r="A25" i="2" a="1"/>
  <c r="A25" i="2"/>
  <c r="D25" i="2" s="1"/>
  <c r="D24" i="2"/>
  <c r="A24" i="2" a="1"/>
  <c r="A24" i="2"/>
  <c r="C24" i="2" s="1"/>
  <c r="A22" i="2" a="1"/>
  <c r="A22" i="2" s="1"/>
  <c r="B22" i="2" s="1"/>
  <c r="A21" i="2" a="1"/>
  <c r="A21" i="2" s="1"/>
  <c r="A20" i="2" a="1"/>
  <c r="A20" i="2" s="1"/>
  <c r="B20" i="2" s="1"/>
  <c r="A19" i="2" a="1"/>
  <c r="A19" i="2"/>
  <c r="D19" i="2" s="1"/>
  <c r="A18" i="2" a="1"/>
  <c r="A18" i="2" s="1"/>
  <c r="B18" i="2" s="1"/>
  <c r="B17" i="2"/>
  <c r="A17" i="2" a="1"/>
  <c r="A17" i="2"/>
  <c r="D17" i="2" s="1"/>
  <c r="A16" i="2" a="1"/>
  <c r="A16" i="2"/>
  <c r="C16" i="2" s="1"/>
  <c r="A15" i="2" a="1"/>
  <c r="A15" i="2"/>
  <c r="C15" i="2" s="1"/>
  <c r="A14" i="2" a="1"/>
  <c r="A14" i="2" s="1"/>
  <c r="A13" i="2" a="1"/>
  <c r="A13" i="2" s="1"/>
  <c r="D13" i="2" s="1"/>
  <c r="A12" i="2" a="1"/>
  <c r="A12" i="2"/>
  <c r="C12" i="2" s="1"/>
  <c r="B11" i="2"/>
  <c r="A11" i="2" a="1"/>
  <c r="A11" i="2"/>
  <c r="D11" i="2" s="1"/>
  <c r="A10" i="2" a="1"/>
  <c r="A10" i="2"/>
  <c r="A9" i="2" a="1"/>
  <c r="A9" i="2"/>
  <c r="B9" i="2" s="1"/>
  <c r="A8" i="2" a="1"/>
  <c r="A8" i="2" s="1"/>
  <c r="B7" i="2"/>
  <c r="A7" i="2" a="1"/>
  <c r="A7" i="2"/>
  <c r="C7" i="2" s="1"/>
  <c r="A6" i="2" a="1"/>
  <c r="A6" i="2"/>
  <c r="C6" i="2" s="1"/>
  <c r="A5" i="2" a="1"/>
  <c r="A5" i="2" s="1"/>
  <c r="D5" i="2" s="1"/>
  <c r="A4" i="2" a="1"/>
  <c r="A4" i="2" s="1"/>
  <c r="B4" i="2" s="1"/>
  <c r="A3" i="2" a="1"/>
  <c r="A3" i="2"/>
  <c r="A2" i="2" a="1"/>
  <c r="A2" i="2" s="1"/>
  <c r="A1" i="2" a="1"/>
  <c r="A1" i="2" s="1"/>
  <c r="I15" i="1"/>
  <c r="A14" i="1"/>
  <c r="A379" i="2" s="1" a="1"/>
  <c r="A379" i="2" s="1"/>
  <c r="A13" i="1"/>
  <c r="A237" i="2" s="1" a="1"/>
  <c r="A237" i="2" s="1"/>
  <c r="AL10" i="1"/>
  <c r="A8" i="1"/>
  <c r="A73" i="2" s="1" a="1"/>
  <c r="A7" i="1"/>
  <c r="A325" i="2" s="1" a="1"/>
  <c r="A325" i="2" s="1"/>
  <c r="D325" i="2" s="1"/>
  <c r="E3" i="1"/>
  <c r="A289" i="2" s="1" a="1"/>
  <c r="A289" i="2" s="1"/>
  <c r="A354" i="2" a="1"/>
  <c r="D293" i="2" l="1"/>
  <c r="B293" i="2"/>
  <c r="D117" i="2"/>
  <c r="B117" i="2"/>
  <c r="D243" i="2"/>
  <c r="B243" i="2"/>
  <c r="D352" i="2"/>
  <c r="C352" i="2"/>
  <c r="B352" i="2"/>
  <c r="D244" i="2"/>
  <c r="B244" i="2"/>
  <c r="B269" i="2"/>
  <c r="C269" i="2"/>
  <c r="D310" i="2"/>
  <c r="C310" i="2"/>
  <c r="D343" i="2"/>
  <c r="C343" i="2"/>
  <c r="B343" i="2"/>
  <c r="B361" i="2"/>
  <c r="D361" i="2"/>
  <c r="C361" i="2"/>
  <c r="B91" i="2"/>
  <c r="D91" i="2"/>
  <c r="C91" i="2"/>
  <c r="C86" i="2"/>
  <c r="B86" i="2"/>
  <c r="D86" i="2"/>
  <c r="B146" i="2"/>
  <c r="C146" i="2"/>
  <c r="D146" i="2"/>
  <c r="B258" i="2"/>
  <c r="D258" i="2"/>
  <c r="D149" i="2"/>
  <c r="B149" i="2"/>
  <c r="C2" i="2"/>
  <c r="B2" i="2"/>
  <c r="D2" i="2"/>
  <c r="C56" i="2"/>
  <c r="D56" i="2"/>
  <c r="B74" i="2"/>
  <c r="D74" i="2"/>
  <c r="C74" i="2"/>
  <c r="C159" i="2"/>
  <c r="D159" i="2"/>
  <c r="C78" i="2"/>
  <c r="B78" i="2"/>
  <c r="D78" i="2"/>
  <c r="D164" i="2"/>
  <c r="C164" i="2"/>
  <c r="B164" i="2"/>
  <c r="B322" i="2"/>
  <c r="D322" i="2"/>
  <c r="C322" i="2"/>
  <c r="B239" i="2"/>
  <c r="D239" i="2"/>
  <c r="C239" i="2"/>
  <c r="B55" i="2"/>
  <c r="D55" i="2"/>
  <c r="C55" i="2"/>
  <c r="D184" i="2"/>
  <c r="C184" i="2"/>
  <c r="C75" i="2"/>
  <c r="D75" i="2"/>
  <c r="B261" i="2"/>
  <c r="C261" i="2"/>
  <c r="D261" i="2"/>
  <c r="C93" i="2"/>
  <c r="D93" i="2"/>
  <c r="B93" i="2"/>
  <c r="D108" i="2"/>
  <c r="C108" i="2"/>
  <c r="D265" i="2"/>
  <c r="C265" i="2"/>
  <c r="D271" i="2"/>
  <c r="C271" i="2"/>
  <c r="B271" i="2"/>
  <c r="B8" i="2"/>
  <c r="D8" i="2"/>
  <c r="C8" i="2"/>
  <c r="C237" i="2"/>
  <c r="B237" i="2"/>
  <c r="D237" i="2"/>
  <c r="B114" i="2"/>
  <c r="D114" i="2"/>
  <c r="C114" i="2"/>
  <c r="B183" i="2"/>
  <c r="D183" i="2"/>
  <c r="C183" i="2"/>
  <c r="D145" i="2"/>
  <c r="B145" i="2"/>
  <c r="D272" i="2"/>
  <c r="B272" i="2"/>
  <c r="C333" i="2"/>
  <c r="D333" i="2"/>
  <c r="C327" i="2"/>
  <c r="D22" i="2"/>
  <c r="C156" i="2"/>
  <c r="B222" i="2"/>
  <c r="C298" i="2"/>
  <c r="D327" i="2"/>
  <c r="B380" i="2"/>
  <c r="C196" i="2"/>
  <c r="D15" i="2"/>
  <c r="A23" i="2" a="1"/>
  <c r="A23" i="2" s="1"/>
  <c r="C79" i="2"/>
  <c r="C106" i="2"/>
  <c r="D156" i="2"/>
  <c r="B181" i="2"/>
  <c r="D196" i="2"/>
  <c r="C214" i="2"/>
  <c r="C222" i="2"/>
  <c r="D298" i="2"/>
  <c r="B307" i="2"/>
  <c r="B370" i="2"/>
  <c r="C380" i="2"/>
  <c r="C181" i="2"/>
  <c r="D214" i="2"/>
  <c r="B232" i="2"/>
  <c r="C238" i="2"/>
  <c r="C292" i="2"/>
  <c r="C307" i="2"/>
  <c r="D312" i="2"/>
  <c r="C370" i="2"/>
  <c r="C232" i="2"/>
  <c r="B282" i="2"/>
  <c r="C336" i="2"/>
  <c r="C22" i="2"/>
  <c r="D44" i="2"/>
  <c r="C4" i="2"/>
  <c r="C44" i="2"/>
  <c r="C31" i="2"/>
  <c r="D4" i="2"/>
  <c r="B24" i="2"/>
  <c r="D31" i="2"/>
  <c r="B40" i="2"/>
  <c r="C80" i="2"/>
  <c r="C40" i="2"/>
  <c r="B46" i="2"/>
  <c r="D80" i="2"/>
  <c r="C174" i="2"/>
  <c r="B248" i="2"/>
  <c r="C364" i="2"/>
  <c r="B133" i="2"/>
  <c r="D158" i="2"/>
  <c r="D175" i="2"/>
  <c r="B210" i="2"/>
  <c r="A241" i="2" a="1"/>
  <c r="A241" i="2" s="1"/>
  <c r="D294" i="2"/>
  <c r="C365" i="2"/>
  <c r="B15" i="2"/>
  <c r="C11" i="2"/>
  <c r="B33" i="2"/>
  <c r="D365" i="2"/>
  <c r="D72" i="2"/>
  <c r="D143" i="2"/>
  <c r="C175" i="2"/>
  <c r="B41" i="2"/>
  <c r="D6" i="2"/>
  <c r="B25" i="2"/>
  <c r="D210" i="2"/>
  <c r="D41" i="2"/>
  <c r="B48" i="2"/>
  <c r="C127" i="2"/>
  <c r="B192" i="2"/>
  <c r="C226" i="2"/>
  <c r="C235" i="2"/>
  <c r="B250" i="2"/>
  <c r="B309" i="2"/>
  <c r="C33" i="2"/>
  <c r="D12" i="2"/>
  <c r="C48" i="2"/>
  <c r="B59" i="2"/>
  <c r="D127" i="2"/>
  <c r="B135" i="2"/>
  <c r="C192" i="2"/>
  <c r="D226" i="2"/>
  <c r="D235" i="2"/>
  <c r="C304" i="2"/>
  <c r="C309" i="2"/>
  <c r="B325" i="2"/>
  <c r="C135" i="2"/>
  <c r="D304" i="2"/>
  <c r="C325" i="2"/>
  <c r="B79" i="2"/>
  <c r="C17" i="2"/>
  <c r="C26" i="2"/>
  <c r="C59" i="2"/>
  <c r="D7" i="2"/>
  <c r="D26" i="2"/>
  <c r="D42" i="2"/>
  <c r="D154" i="2"/>
  <c r="D211" i="2"/>
  <c r="D296" i="2"/>
  <c r="D67" i="2"/>
  <c r="C220" i="2"/>
  <c r="C279" i="2"/>
  <c r="C351" i="2"/>
  <c r="C386" i="2"/>
  <c r="A354" i="2"/>
  <c r="C122" i="2"/>
  <c r="D122" i="2"/>
  <c r="B122" i="2"/>
  <c r="B107" i="2"/>
  <c r="D107" i="2"/>
  <c r="C107" i="2"/>
  <c r="D197" i="2"/>
  <c r="C197" i="2"/>
  <c r="B197" i="2"/>
  <c r="D223" i="2"/>
  <c r="C223" i="2"/>
  <c r="B223" i="2"/>
  <c r="D363" i="2"/>
  <c r="C363" i="2"/>
  <c r="B363" i="2"/>
  <c r="B125" i="2"/>
  <c r="C125" i="2"/>
  <c r="D125" i="2"/>
  <c r="D142" i="2"/>
  <c r="C142" i="2"/>
  <c r="B142" i="2"/>
  <c r="C189" i="2"/>
  <c r="B189" i="2"/>
  <c r="D189" i="2"/>
  <c r="D313" i="2"/>
  <c r="C313" i="2"/>
  <c r="B313" i="2"/>
  <c r="C390" i="2"/>
  <c r="B390" i="2"/>
  <c r="D390" i="2"/>
  <c r="C65" i="2"/>
  <c r="D65" i="2"/>
  <c r="B65" i="2"/>
  <c r="D391" i="2"/>
  <c r="C391" i="2"/>
  <c r="B391" i="2"/>
  <c r="B53" i="2"/>
  <c r="C53" i="2"/>
  <c r="D53" i="2"/>
  <c r="D338" i="2"/>
  <c r="C338" i="2"/>
  <c r="B338" i="2"/>
  <c r="B118" i="2"/>
  <c r="C118" i="2"/>
  <c r="D118" i="2"/>
  <c r="B134" i="2"/>
  <c r="D134" i="2"/>
  <c r="C134" i="2"/>
  <c r="D266" i="2"/>
  <c r="C266" i="2"/>
  <c r="B266" i="2"/>
  <c r="B395" i="2"/>
  <c r="D395" i="2"/>
  <c r="C395" i="2"/>
  <c r="D151" i="2"/>
  <c r="B151" i="2"/>
  <c r="C151" i="2"/>
  <c r="B240" i="2"/>
  <c r="C240" i="2"/>
  <c r="D240" i="2"/>
  <c r="C276" i="2"/>
  <c r="B276" i="2"/>
  <c r="D276" i="2"/>
  <c r="B139" i="2"/>
  <c r="C139" i="2"/>
  <c r="D139" i="2"/>
  <c r="D140" i="2"/>
  <c r="B140" i="2"/>
  <c r="C140" i="2"/>
  <c r="C257" i="2"/>
  <c r="D257" i="2"/>
  <c r="B257" i="2"/>
  <c r="C83" i="2"/>
  <c r="D83" i="2"/>
  <c r="B83" i="2"/>
  <c r="C34" i="2"/>
  <c r="B34" i="2"/>
  <c r="D34" i="2"/>
  <c r="D268" i="2"/>
  <c r="C268" i="2"/>
  <c r="B268" i="2"/>
  <c r="D277" i="2"/>
  <c r="C277" i="2"/>
  <c r="B277" i="2"/>
  <c r="D301" i="2"/>
  <c r="C301" i="2"/>
  <c r="B301" i="2"/>
  <c r="C150" i="2"/>
  <c r="D150" i="2"/>
  <c r="B150" i="2"/>
  <c r="D101" i="2"/>
  <c r="C101" i="2"/>
  <c r="B101" i="2"/>
  <c r="D255" i="2"/>
  <c r="C255" i="2"/>
  <c r="B255" i="2"/>
  <c r="D1" i="2"/>
  <c r="C1" i="2"/>
  <c r="B1" i="2"/>
  <c r="C49" i="2"/>
  <c r="D49" i="2"/>
  <c r="B49" i="2"/>
  <c r="C69" i="2"/>
  <c r="B69" i="2"/>
  <c r="D69" i="2"/>
  <c r="D167" i="2"/>
  <c r="B167" i="2"/>
  <c r="C167" i="2"/>
  <c r="D376" i="2"/>
  <c r="C376" i="2"/>
  <c r="B376" i="2"/>
  <c r="B52" i="2"/>
  <c r="D52" i="2"/>
  <c r="C52" i="2"/>
  <c r="B206" i="2"/>
  <c r="C206" i="2"/>
  <c r="D206" i="2"/>
  <c r="D23" i="2"/>
  <c r="C23" i="2"/>
  <c r="B23" i="2"/>
  <c r="D94" i="2"/>
  <c r="C94" i="2"/>
  <c r="B94" i="2"/>
  <c r="B172" i="2"/>
  <c r="D172" i="2"/>
  <c r="C172" i="2"/>
  <c r="C103" i="2"/>
  <c r="D103" i="2"/>
  <c r="B103" i="2"/>
  <c r="D193" i="2"/>
  <c r="C193" i="2"/>
  <c r="B193" i="2"/>
  <c r="C229" i="2"/>
  <c r="D229" i="2"/>
  <c r="B229" i="2"/>
  <c r="C138" i="2"/>
  <c r="D138" i="2"/>
  <c r="B138" i="2"/>
  <c r="D319" i="2"/>
  <c r="B319" i="2"/>
  <c r="C319" i="2"/>
  <c r="D54" i="2"/>
  <c r="B54" i="2"/>
  <c r="C54" i="2"/>
  <c r="C171" i="2"/>
  <c r="D171" i="2"/>
  <c r="B171" i="2"/>
  <c r="C71" i="2"/>
  <c r="B71" i="2"/>
  <c r="D71" i="2"/>
  <c r="B179" i="2"/>
  <c r="C179" i="2"/>
  <c r="D179" i="2"/>
  <c r="D194" i="2"/>
  <c r="B194" i="2"/>
  <c r="C194" i="2"/>
  <c r="D251" i="2"/>
  <c r="C251" i="2"/>
  <c r="B251" i="2"/>
  <c r="B359" i="2"/>
  <c r="D359" i="2"/>
  <c r="C359" i="2"/>
  <c r="C377" i="2"/>
  <c r="D360" i="2"/>
  <c r="C360" i="2"/>
  <c r="B360" i="2"/>
  <c r="D371" i="2"/>
  <c r="C371" i="2"/>
  <c r="B371" i="2"/>
  <c r="D377" i="2"/>
  <c r="D385" i="2"/>
  <c r="C385" i="2"/>
  <c r="B60" i="2"/>
  <c r="C87" i="2"/>
  <c r="B87" i="2"/>
  <c r="D130" i="2"/>
  <c r="B130" i="2"/>
  <c r="C113" i="2"/>
  <c r="B201" i="2"/>
  <c r="C201" i="2"/>
  <c r="C207" i="2"/>
  <c r="B231" i="2"/>
  <c r="D246" i="2"/>
  <c r="C280" i="2"/>
  <c r="D286" i="2"/>
  <c r="B329" i="2"/>
  <c r="C334" i="2"/>
  <c r="B341" i="2"/>
  <c r="D341" i="2"/>
  <c r="C341" i="2"/>
  <c r="C347" i="2"/>
  <c r="B385" i="2"/>
  <c r="D392" i="2"/>
  <c r="B392" i="2"/>
  <c r="C392" i="2"/>
  <c r="D340" i="2"/>
  <c r="C340" i="2"/>
  <c r="B76" i="2"/>
  <c r="B97" i="2"/>
  <c r="C97" i="2"/>
  <c r="C119" i="2"/>
  <c r="B119" i="2"/>
  <c r="D119" i="2"/>
  <c r="D218" i="2"/>
  <c r="C262" i="2"/>
  <c r="B334" i="2"/>
  <c r="B340" i="2"/>
  <c r="B347" i="2"/>
  <c r="D3" i="2"/>
  <c r="C3" i="2"/>
  <c r="B3" i="2"/>
  <c r="D136" i="2"/>
  <c r="C136" i="2"/>
  <c r="B136" i="2"/>
  <c r="C163" i="2"/>
  <c r="C263" i="2"/>
  <c r="B263" i="2"/>
  <c r="D30" i="2"/>
  <c r="C82" i="2"/>
  <c r="D88" i="2"/>
  <c r="C88" i="2"/>
  <c r="B98" i="2"/>
  <c r="D98" i="2"/>
  <c r="B109" i="2"/>
  <c r="D147" i="2"/>
  <c r="D163" i="2"/>
  <c r="B168" i="2"/>
  <c r="D180" i="2"/>
  <c r="C180" i="2"/>
  <c r="B180" i="2"/>
  <c r="D207" i="2"/>
  <c r="D225" i="2"/>
  <c r="C225" i="2"/>
  <c r="B225" i="2"/>
  <c r="D231" i="2"/>
  <c r="C236" i="2"/>
  <c r="B275" i="2"/>
  <c r="D280" i="2"/>
  <c r="B287" i="2"/>
  <c r="D287" i="2"/>
  <c r="C287" i="2"/>
  <c r="D306" i="2"/>
  <c r="C306" i="2"/>
  <c r="B306" i="2"/>
  <c r="D329" i="2"/>
  <c r="D342" i="2"/>
  <c r="C342" i="2"/>
  <c r="B342" i="2"/>
  <c r="C372" i="2"/>
  <c r="C173" i="2"/>
  <c r="B173" i="2"/>
  <c r="D173" i="2"/>
  <c r="C246" i="2"/>
  <c r="C30" i="2"/>
  <c r="D113" i="2"/>
  <c r="C130" i="2"/>
  <c r="C147" i="2"/>
  <c r="B236" i="2"/>
  <c r="C289" i="2"/>
  <c r="B289" i="2"/>
  <c r="D21" i="2"/>
  <c r="C21" i="2"/>
  <c r="B21" i="2"/>
  <c r="B12" i="2"/>
  <c r="C36" i="2"/>
  <c r="B36" i="2"/>
  <c r="B56" i="2"/>
  <c r="B67" i="2"/>
  <c r="C104" i="2"/>
  <c r="B104" i="2"/>
  <c r="C109" i="2"/>
  <c r="D126" i="2"/>
  <c r="C126" i="2"/>
  <c r="B131" i="2"/>
  <c r="C137" i="2"/>
  <c r="B137" i="2"/>
  <c r="D148" i="2"/>
  <c r="B148" i="2"/>
  <c r="C148" i="2"/>
  <c r="B185" i="2"/>
  <c r="B219" i="2"/>
  <c r="B253" i="2"/>
  <c r="D263" i="2"/>
  <c r="A270" i="2" a="1"/>
  <c r="A270" i="2" s="1"/>
  <c r="C275" i="2"/>
  <c r="B300" i="2"/>
  <c r="D311" i="2"/>
  <c r="C311" i="2"/>
  <c r="B311" i="2"/>
  <c r="C323" i="2"/>
  <c r="C330" i="2"/>
  <c r="D330" i="2"/>
  <c r="D335" i="2"/>
  <c r="C335" i="2"/>
  <c r="B335" i="2"/>
  <c r="C348" i="2"/>
  <c r="B348" i="2"/>
  <c r="B366" i="2"/>
  <c r="D372" i="2"/>
  <c r="D394" i="2"/>
  <c r="C394" i="2"/>
  <c r="B394" i="2"/>
  <c r="B102" i="2"/>
  <c r="C20" i="2"/>
  <c r="C76" i="2"/>
  <c r="D152" i="2"/>
  <c r="D190" i="2"/>
  <c r="C190" i="2"/>
  <c r="C286" i="2"/>
  <c r="D299" i="2"/>
  <c r="C299" i="2"/>
  <c r="B299" i="2"/>
  <c r="B16" i="2"/>
  <c r="D20" i="2"/>
  <c r="B35" i="2"/>
  <c r="B45" i="2"/>
  <c r="B50" i="2"/>
  <c r="D77" i="2"/>
  <c r="C77" i="2"/>
  <c r="B77" i="2"/>
  <c r="B82" i="2"/>
  <c r="D87" i="2"/>
  <c r="D16" i="2"/>
  <c r="C35" i="2"/>
  <c r="C45" i="2"/>
  <c r="C50" i="2"/>
  <c r="C51" i="2"/>
  <c r="D51" i="2"/>
  <c r="B51" i="2"/>
  <c r="B61" i="2"/>
  <c r="B72" i="2"/>
  <c r="C168" i="2"/>
  <c r="D36" i="2"/>
  <c r="C61" i="2"/>
  <c r="B88" i="2"/>
  <c r="C98" i="2"/>
  <c r="D104" i="2"/>
  <c r="D137" i="2"/>
  <c r="B159" i="2"/>
  <c r="C185" i="2"/>
  <c r="D219" i="2"/>
  <c r="B242" i="2"/>
  <c r="D242" i="2"/>
  <c r="C253" i="2"/>
  <c r="C258" i="2"/>
  <c r="D264" i="2"/>
  <c r="C264" i="2"/>
  <c r="B264" i="2"/>
  <c r="D288" i="2"/>
  <c r="C288" i="2"/>
  <c r="B288" i="2"/>
  <c r="B294" i="2"/>
  <c r="C300" i="2"/>
  <c r="D323" i="2"/>
  <c r="D366" i="2"/>
  <c r="D373" i="2"/>
  <c r="C373" i="2"/>
  <c r="B373" i="2"/>
  <c r="D169" i="2"/>
  <c r="C169" i="2"/>
  <c r="B169" i="2"/>
  <c r="D289" i="2"/>
  <c r="D324" i="2"/>
  <c r="C324" i="2"/>
  <c r="B324" i="2"/>
  <c r="D355" i="2"/>
  <c r="C355" i="2"/>
  <c r="B355" i="2"/>
  <c r="D367" i="2"/>
  <c r="C367" i="2"/>
  <c r="D203" i="2"/>
  <c r="C203" i="2"/>
  <c r="D259" i="2"/>
  <c r="C259" i="2"/>
  <c r="B259" i="2"/>
  <c r="D295" i="2"/>
  <c r="C295" i="2"/>
  <c r="D349" i="2"/>
  <c r="C349" i="2"/>
  <c r="D387" i="2"/>
  <c r="C387" i="2"/>
  <c r="B218" i="2"/>
  <c r="C152" i="2"/>
  <c r="B262" i="2"/>
  <c r="C89" i="2"/>
  <c r="B89" i="2"/>
  <c r="D73" i="2"/>
  <c r="B73" i="2"/>
  <c r="C73" i="2"/>
  <c r="D115" i="2"/>
  <c r="C115" i="2"/>
  <c r="B115" i="2"/>
  <c r="B356" i="2"/>
  <c r="B362" i="2"/>
  <c r="B367" i="2"/>
  <c r="B387" i="2"/>
  <c r="D92" i="2"/>
  <c r="C92" i="2"/>
  <c r="B92" i="2"/>
  <c r="D212" i="2"/>
  <c r="C212" i="2"/>
  <c r="B212" i="2"/>
  <c r="D230" i="2"/>
  <c r="C230" i="2"/>
  <c r="B230" i="2"/>
  <c r="B305" i="2"/>
  <c r="C305" i="2"/>
  <c r="D89" i="2"/>
  <c r="D186" i="2"/>
  <c r="C186" i="2"/>
  <c r="B186" i="2"/>
  <c r="B13" i="2"/>
  <c r="B37" i="2"/>
  <c r="B63" i="2"/>
  <c r="B110" i="2"/>
  <c r="C13" i="2"/>
  <c r="C18" i="2"/>
  <c r="C37" i="2"/>
  <c r="D47" i="2"/>
  <c r="C47" i="2"/>
  <c r="B47" i="2"/>
  <c r="C57" i="2"/>
  <c r="C63" i="2"/>
  <c r="C68" i="2"/>
  <c r="C99" i="2"/>
  <c r="D105" i="2"/>
  <c r="C110" i="2"/>
  <c r="B160" i="2"/>
  <c r="D165" i="2"/>
  <c r="C165" i="2"/>
  <c r="B165" i="2"/>
  <c r="B203" i="2"/>
  <c r="C227" i="2"/>
  <c r="B227" i="2"/>
  <c r="B249" i="2"/>
  <c r="C254" i="2"/>
  <c r="B290" i="2"/>
  <c r="B295" i="2"/>
  <c r="B337" i="2"/>
  <c r="B349" i="2"/>
  <c r="C356" i="2"/>
  <c r="C362" i="2"/>
  <c r="B368" i="2"/>
  <c r="D368" i="2"/>
  <c r="C375" i="2"/>
  <c r="B375" i="2"/>
  <c r="B381" i="2"/>
  <c r="D396" i="2"/>
  <c r="C396" i="2"/>
  <c r="B396" i="2"/>
  <c r="D379" i="2"/>
  <c r="C379" i="2"/>
  <c r="B379" i="2"/>
  <c r="B57" i="2"/>
  <c r="B99" i="2"/>
  <c r="D144" i="2"/>
  <c r="C144" i="2"/>
  <c r="B144" i="2"/>
  <c r="C27" i="2"/>
  <c r="D68" i="2"/>
  <c r="B84" i="2"/>
  <c r="B90" i="2"/>
  <c r="D100" i="2"/>
  <c r="C100" i="2"/>
  <c r="B100" i="2"/>
  <c r="C160" i="2"/>
  <c r="B176" i="2"/>
  <c r="D182" i="2"/>
  <c r="C182" i="2"/>
  <c r="B182" i="2"/>
  <c r="C204" i="2"/>
  <c r="B204" i="2"/>
  <c r="C215" i="2"/>
  <c r="B233" i="2"/>
  <c r="D249" i="2"/>
  <c r="D254" i="2"/>
  <c r="C290" i="2"/>
  <c r="C337" i="2"/>
  <c r="C357" i="2"/>
  <c r="B357" i="2"/>
  <c r="C368" i="2"/>
  <c r="D375" i="2"/>
  <c r="C381" i="2"/>
  <c r="D397" i="2"/>
  <c r="C397" i="2"/>
  <c r="D111" i="2"/>
  <c r="C111" i="2"/>
  <c r="B111" i="2"/>
  <c r="C133" i="2"/>
  <c r="D176" i="2"/>
  <c r="D198" i="2"/>
  <c r="C198" i="2"/>
  <c r="B198" i="2"/>
  <c r="D204" i="2"/>
  <c r="D215" i="2"/>
  <c r="D227" i="2"/>
  <c r="C233" i="2"/>
  <c r="D326" i="2"/>
  <c r="C326" i="2"/>
  <c r="B326" i="2"/>
  <c r="B344" i="2"/>
  <c r="D357" i="2"/>
  <c r="B397" i="2"/>
  <c r="D320" i="2"/>
  <c r="C320" i="2"/>
  <c r="C344" i="2"/>
  <c r="D398" i="2"/>
  <c r="C398" i="2"/>
  <c r="B398" i="2"/>
  <c r="D102" i="2"/>
  <c r="C60" i="2"/>
  <c r="B105" i="2"/>
  <c r="C155" i="2"/>
  <c r="B155" i="2"/>
  <c r="C282" i="2"/>
  <c r="B5" i="2"/>
  <c r="C9" i="2"/>
  <c r="D18" i="2"/>
  <c r="C5" i="2"/>
  <c r="C90" i="2"/>
  <c r="D10" i="2"/>
  <c r="C10" i="2"/>
  <c r="D199" i="2"/>
  <c r="C199" i="2"/>
  <c r="D205" i="2"/>
  <c r="C205" i="2"/>
  <c r="D216" i="2"/>
  <c r="C216" i="2"/>
  <c r="B216" i="2"/>
  <c r="B19" i="2"/>
  <c r="B38" i="2"/>
  <c r="D43" i="2"/>
  <c r="C43" i="2"/>
  <c r="B43" i="2"/>
  <c r="B64" i="2"/>
  <c r="C70" i="2"/>
  <c r="B70" i="2"/>
  <c r="D106" i="2"/>
  <c r="B177" i="2"/>
  <c r="C188" i="2"/>
  <c r="B228" i="2"/>
  <c r="C244" i="2"/>
  <c r="C267" i="2"/>
  <c r="D267" i="2"/>
  <c r="C272" i="2"/>
  <c r="B284" i="2"/>
  <c r="C291" i="2"/>
  <c r="D297" i="2"/>
  <c r="C297" i="2"/>
  <c r="B297" i="2"/>
  <c r="C314" i="2"/>
  <c r="D85" i="2"/>
  <c r="C85" i="2"/>
  <c r="B85" i="2"/>
  <c r="B95" i="2"/>
  <c r="D161" i="2"/>
  <c r="C161" i="2"/>
  <c r="B161" i="2"/>
  <c r="C95" i="2"/>
  <c r="C117" i="2"/>
  <c r="B6" i="2"/>
  <c r="B10" i="2"/>
  <c r="C19" i="2"/>
  <c r="C38" i="2"/>
  <c r="D64" i="2"/>
  <c r="D70" i="2"/>
  <c r="B75" i="2"/>
  <c r="B123" i="2"/>
  <c r="D177" i="2"/>
  <c r="D188" i="2"/>
  <c r="B199" i="2"/>
  <c r="B205" i="2"/>
  <c r="D228" i="2"/>
  <c r="C250" i="2"/>
  <c r="B267" i="2"/>
  <c r="C284" i="2"/>
  <c r="D291" i="2"/>
  <c r="D314" i="2"/>
  <c r="B320" i="2"/>
  <c r="B333" i="2"/>
  <c r="C358" i="2"/>
  <c r="D383" i="2"/>
  <c r="C383" i="2"/>
  <c r="B383" i="2"/>
  <c r="D39" i="2"/>
  <c r="C39" i="2"/>
  <c r="B39" i="2"/>
  <c r="B62" i="2"/>
  <c r="D62" i="2"/>
  <c r="C62" i="2"/>
  <c r="D32" i="2"/>
  <c r="C32" i="2"/>
  <c r="B32" i="2"/>
  <c r="D9" i="2"/>
  <c r="D14" i="2"/>
  <c r="C14" i="2"/>
  <c r="B14" i="2"/>
  <c r="D27" i="2"/>
  <c r="D28" i="2"/>
  <c r="C28" i="2"/>
  <c r="D123" i="2"/>
  <c r="D157" i="2"/>
  <c r="C157" i="2"/>
  <c r="B157" i="2"/>
  <c r="C200" i="2"/>
  <c r="B200" i="2"/>
  <c r="C245" i="2"/>
  <c r="B245" i="2"/>
  <c r="D245" i="2"/>
  <c r="D273" i="2"/>
  <c r="C273" i="2"/>
  <c r="B273" i="2"/>
  <c r="C285" i="2"/>
  <c r="B285" i="2"/>
  <c r="D358" i="2"/>
  <c r="D281" i="2"/>
  <c r="C281" i="2"/>
  <c r="B281" i="2"/>
  <c r="C339" i="2"/>
  <c r="B339" i="2"/>
  <c r="D353" i="2"/>
  <c r="C353" i="2"/>
  <c r="B353" i="2"/>
  <c r="D378" i="2"/>
  <c r="C378" i="2"/>
  <c r="B378" i="2"/>
  <c r="C393" i="2"/>
  <c r="B393" i="2"/>
  <c r="D393" i="2"/>
  <c r="A58" i="2" a="1"/>
  <c r="A58" i="2" s="1"/>
  <c r="B195" i="2"/>
  <c r="D234" i="2"/>
  <c r="C234" i="2"/>
  <c r="B234" i="2"/>
  <c r="C278" i="2"/>
  <c r="C321" i="2"/>
  <c r="B321" i="2"/>
  <c r="D331" i="2"/>
  <c r="C331" i="2"/>
  <c r="B345" i="2"/>
  <c r="C350" i="2"/>
  <c r="B81" i="2"/>
  <c r="B96" i="2"/>
  <c r="B120" i="2"/>
  <c r="B124" i="2"/>
  <c r="B128" i="2"/>
  <c r="B132" i="2"/>
  <c r="B153" i="2"/>
  <c r="B174" i="2"/>
  <c r="B178" i="2"/>
  <c r="C191" i="2"/>
  <c r="B191" i="2"/>
  <c r="D195" i="2"/>
  <c r="B208" i="2"/>
  <c r="B217" i="2"/>
  <c r="B221" i="2"/>
  <c r="B247" i="2"/>
  <c r="C260" i="2"/>
  <c r="D278" i="2"/>
  <c r="B302" i="2"/>
  <c r="B316" i="2"/>
  <c r="D321" i="2"/>
  <c r="B336" i="2"/>
  <c r="C345" i="2"/>
  <c r="D350" i="2"/>
  <c r="B369" i="2"/>
  <c r="B388" i="2"/>
  <c r="D399" i="2"/>
  <c r="C399" i="2"/>
  <c r="C81" i="2"/>
  <c r="A116" i="2" a="1"/>
  <c r="A116" i="2" s="1"/>
  <c r="C124" i="2"/>
  <c r="C128" i="2"/>
  <c r="C132" i="2"/>
  <c r="C153" i="2"/>
  <c r="C178" i="2"/>
  <c r="C208" i="2"/>
  <c r="C217" i="2"/>
  <c r="C221" i="2"/>
  <c r="C247" i="2"/>
  <c r="C302" i="2"/>
  <c r="C316" i="2"/>
  <c r="C369" i="2"/>
  <c r="C388" i="2"/>
  <c r="B399" i="2"/>
  <c r="C96" i="2"/>
  <c r="C25" i="2"/>
  <c r="A29" i="2" a="1"/>
  <c r="A29" i="2" s="1"/>
  <c r="C66" i="2"/>
  <c r="D112" i="2"/>
  <c r="B112" i="2"/>
  <c r="B141" i="2"/>
  <c r="C145" i="2"/>
  <c r="C149" i="2"/>
  <c r="D162" i="2"/>
  <c r="C162" i="2"/>
  <c r="D166" i="2"/>
  <c r="B166" i="2"/>
  <c r="C170" i="2"/>
  <c r="D187" i="2"/>
  <c r="C187" i="2"/>
  <c r="B213" i="2"/>
  <c r="C243" i="2"/>
  <c r="D252" i="2"/>
  <c r="C252" i="2"/>
  <c r="B252" i="2"/>
  <c r="D269" i="2"/>
  <c r="C283" i="2"/>
  <c r="C293" i="2"/>
  <c r="C303" i="2"/>
  <c r="B303" i="2"/>
  <c r="B374" i="2"/>
  <c r="B384" i="2"/>
  <c r="D389" i="2"/>
  <c r="C389" i="2"/>
  <c r="B389" i="2"/>
  <c r="B108" i="2"/>
  <c r="D141" i="2"/>
  <c r="D170" i="2"/>
  <c r="C209" i="2"/>
  <c r="B209" i="2"/>
  <c r="D213" i="2"/>
  <c r="B265" i="2"/>
  <c r="D303" i="2"/>
  <c r="B312" i="2"/>
  <c r="D317" i="2"/>
  <c r="C317" i="2"/>
  <c r="B317" i="2"/>
  <c r="C332" i="2"/>
  <c r="C374" i="2"/>
  <c r="D384" i="2"/>
  <c r="B184" i="2"/>
  <c r="B202" i="2"/>
  <c r="B220" i="2"/>
  <c r="B238" i="2"/>
  <c r="B256" i="2"/>
  <c r="B274" i="2"/>
  <c r="B292" i="2"/>
  <c r="B310" i="2"/>
  <c r="B328" i="2"/>
  <c r="B346" i="2"/>
  <c r="B364" i="2"/>
  <c r="B382" i="2"/>
  <c r="B400" i="2"/>
  <c r="C328" i="2"/>
  <c r="C346" i="2"/>
  <c r="C382" i="2"/>
  <c r="C400" i="2"/>
  <c r="D241" i="2" l="1"/>
  <c r="C241" i="2"/>
  <c r="B241" i="2"/>
  <c r="B116" i="2"/>
  <c r="D116" i="2"/>
  <c r="C116" i="2"/>
  <c r="D270" i="2"/>
  <c r="C270" i="2"/>
  <c r="B270" i="2"/>
  <c r="D58" i="2"/>
  <c r="C58" i="2"/>
  <c r="B58" i="2"/>
  <c r="B29" i="2"/>
  <c r="C29" i="2"/>
  <c r="D29" i="2"/>
  <c r="D354" i="2"/>
  <c r="C354" i="2"/>
  <c r="B35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cellMetadata count="1">
    <bk>
      <rc t="1" v="0"/>
    </bk>
  </cellMetadata>
  <valueMetadata count="1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<sst xmlns="http://schemas.openxmlformats.org/spreadsheetml/2006/main" count="459" uniqueCount="436">
  <si>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</si>
  <si>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</si>
  <si>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</si>
  <si>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</si>
  <si>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</si>
  <si>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</si>
  <si>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</si>
  <si>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</si>
  <si>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</si>
  <si>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</si>
  <si>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</si>
  <si>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</si>
  <si>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</si>
  <si>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</si>
  <si>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</si>
  <si>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</si>
  <si>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</si>
  <si>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</si>
  <si>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</si>
  <si>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</si>
  <si>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</si>
  <si>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</si>
  <si>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</si>
  <si>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</si>
  <si>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</si>
  <si>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</si>
  <si>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</si>
  <si>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</si>
  <si>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</si>
  <si>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</si>
  <si>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</si>
  <si>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</si>
  <si>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</si>
  <si>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</si>
  <si>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</si>
  <si>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2#801</t>
  </si>
  <si>
    <t>2#802</t>
  </si>
  <si>
    <t>2#803</t>
  </si>
  <si>
    <t>2#804</t>
  </si>
  <si>
    <t>2#805</t>
  </si>
  <si>
    <t>2#806</t>
  </si>
  <si>
    <t>2#807</t>
  </si>
  <si>
    <t>2#808</t>
  </si>
  <si>
    <t>2#809</t>
  </si>
  <si>
    <t>2#810</t>
  </si>
  <si>
    <t>2#811</t>
  </si>
  <si>
    <t>2#812</t>
  </si>
  <si>
    <t>2#813</t>
  </si>
  <si>
    <t>2#814</t>
  </si>
  <si>
    <t>2#815</t>
  </si>
  <si>
    <t>2#816</t>
  </si>
  <si>
    <t>2#817</t>
  </si>
  <si>
    <t>2#818</t>
  </si>
  <si>
    <t>2#819</t>
  </si>
  <si>
    <t>2#820</t>
  </si>
  <si>
    <t>2#821</t>
  </si>
  <si>
    <t>2#822</t>
  </si>
  <si>
    <t>2#823</t>
  </si>
  <si>
    <t>2#824</t>
  </si>
  <si>
    <t>2#825</t>
  </si>
  <si>
    <t>2#826</t>
  </si>
  <si>
    <t>2#827</t>
  </si>
  <si>
    <t>2#828</t>
  </si>
  <si>
    <t>2#829</t>
  </si>
  <si>
    <t>2#830</t>
  </si>
  <si>
    <t>2#831</t>
  </si>
  <si>
    <t>2#832</t>
  </si>
  <si>
    <t>2#833</t>
  </si>
  <si>
    <t>2#834</t>
  </si>
  <si>
    <t>2#835</t>
  </si>
  <si>
    <t>2#836</t>
  </si>
  <si>
    <t>2#837</t>
  </si>
  <si>
    <t>2#838</t>
  </si>
  <si>
    <t>2#839</t>
  </si>
  <si>
    <t>2#840</t>
  </si>
  <si>
    <t>2#841</t>
  </si>
  <si>
    <t>2#842</t>
  </si>
  <si>
    <t>2#843</t>
  </si>
  <si>
    <t>2#844</t>
  </si>
  <si>
    <t>2#845</t>
  </si>
  <si>
    <t>2#846</t>
  </si>
  <si>
    <t>2#847</t>
  </si>
  <si>
    <t>2#848</t>
  </si>
  <si>
    <t>2#849</t>
  </si>
  <si>
    <t>2#850</t>
  </si>
  <si>
    <t>2#851</t>
  </si>
  <si>
    <t>2#852</t>
  </si>
  <si>
    <t>2#853</t>
  </si>
  <si>
    <t>2#854</t>
  </si>
  <si>
    <t>2#855</t>
  </si>
  <si>
    <t>2#856</t>
  </si>
  <si>
    <t>2#857</t>
  </si>
  <si>
    <t>2#858</t>
  </si>
  <si>
    <t>2#859</t>
  </si>
  <si>
    <t>2#860</t>
  </si>
  <si>
    <t>2#861</t>
  </si>
  <si>
    <t>2#862</t>
  </si>
  <si>
    <t>2#863</t>
  </si>
  <si>
    <t>2#864</t>
  </si>
  <si>
    <t>2#865</t>
  </si>
  <si>
    <t>2#866</t>
  </si>
  <si>
    <t>2#867</t>
  </si>
  <si>
    <t>2#868</t>
  </si>
  <si>
    <t>2#869</t>
  </si>
  <si>
    <t>2#870</t>
  </si>
  <si>
    <t>2#871</t>
  </si>
  <si>
    <t>2#872</t>
  </si>
  <si>
    <t>2#873</t>
  </si>
  <si>
    <t>2#874</t>
  </si>
  <si>
    <t>2#875</t>
  </si>
  <si>
    <t>2#876</t>
  </si>
  <si>
    <t>2#877</t>
  </si>
  <si>
    <t>2#878</t>
  </si>
  <si>
    <t>2#879</t>
  </si>
  <si>
    <t>2#880</t>
  </si>
  <si>
    <t>2#881</t>
  </si>
  <si>
    <t>2#882</t>
  </si>
  <si>
    <t>2#883</t>
  </si>
  <si>
    <t>2#884</t>
  </si>
  <si>
    <t>2#885</t>
  </si>
  <si>
    <t>2#886</t>
  </si>
  <si>
    <t>2#887</t>
  </si>
  <si>
    <t>2#888</t>
  </si>
  <si>
    <t>2#889</t>
  </si>
  <si>
    <t>2#890</t>
  </si>
  <si>
    <t>2#891</t>
  </si>
  <si>
    <t>2#892</t>
  </si>
  <si>
    <t>2#893</t>
  </si>
  <si>
    <t>2#894</t>
  </si>
  <si>
    <t>2#895</t>
  </si>
  <si>
    <t>2#896</t>
  </si>
  <si>
    <t>2#897</t>
  </si>
  <si>
    <t>2#898</t>
  </si>
  <si>
    <t>2#899</t>
  </si>
  <si>
    <t>2#900</t>
  </si>
  <si>
    <t>2#901</t>
  </si>
  <si>
    <t>2#902</t>
  </si>
  <si>
    <t>2#903</t>
  </si>
  <si>
    <t>2#904</t>
  </si>
  <si>
    <t>2#905</t>
  </si>
  <si>
    <t>2#906</t>
  </si>
  <si>
    <t>2#907</t>
  </si>
  <si>
    <t>2#908</t>
  </si>
  <si>
    <t>2#909</t>
  </si>
  <si>
    <t>2#910</t>
  </si>
  <si>
    <t>2#911</t>
  </si>
  <si>
    <t>2#912</t>
  </si>
  <si>
    <t>2#913</t>
  </si>
  <si>
    <t>2#914</t>
  </si>
  <si>
    <t>2#915</t>
  </si>
  <si>
    <t>2#916</t>
  </si>
  <si>
    <t>2#917</t>
  </si>
  <si>
    <t>2#918</t>
  </si>
  <si>
    <t>2#919</t>
  </si>
  <si>
    <t>2#920</t>
  </si>
  <si>
    <t>2#921</t>
  </si>
  <si>
    <t>2#922</t>
  </si>
  <si>
    <t>2#923</t>
  </si>
  <si>
    <t>2#924</t>
  </si>
  <si>
    <t>2#925</t>
  </si>
  <si>
    <t>2#926</t>
  </si>
  <si>
    <t>2#927</t>
  </si>
  <si>
    <t>2#928</t>
  </si>
  <si>
    <t>2#929</t>
  </si>
  <si>
    <t>2#930</t>
  </si>
  <si>
    <t>2#931</t>
  </si>
  <si>
    <t>2#932</t>
  </si>
  <si>
    <t>2#933</t>
  </si>
  <si>
    <t>2#934</t>
  </si>
  <si>
    <t>2#935</t>
  </si>
  <si>
    <t>2#936</t>
  </si>
  <si>
    <t>2#937</t>
  </si>
  <si>
    <t>2#938</t>
  </si>
  <si>
    <t>2#939</t>
  </si>
  <si>
    <t>2#940</t>
  </si>
  <si>
    <t>2#941</t>
  </si>
  <si>
    <t>2#942</t>
  </si>
  <si>
    <t>2#943</t>
  </si>
  <si>
    <t>2#944</t>
  </si>
  <si>
    <t>2#945</t>
  </si>
  <si>
    <t>2#946</t>
  </si>
  <si>
    <t>2#947</t>
  </si>
  <si>
    <t>2#948</t>
  </si>
  <si>
    <t>2#949</t>
  </si>
  <si>
    <t>2#950</t>
  </si>
  <si>
    <t>2#951</t>
  </si>
  <si>
    <t>2#952</t>
  </si>
  <si>
    <t>2#953</t>
  </si>
  <si>
    <t>2#954</t>
  </si>
  <si>
    <t>2#955</t>
  </si>
  <si>
    <t>2#956</t>
  </si>
  <si>
    <t>2#957</t>
  </si>
  <si>
    <t>2#958</t>
  </si>
  <si>
    <t>2#959</t>
  </si>
  <si>
    <t>2#960</t>
  </si>
  <si>
    <t>2#961</t>
  </si>
  <si>
    <t>2#962</t>
  </si>
  <si>
    <t>2#963</t>
  </si>
  <si>
    <t>2#964</t>
  </si>
  <si>
    <t>2#965</t>
  </si>
  <si>
    <t>2#966</t>
  </si>
  <si>
    <t>2#967</t>
  </si>
  <si>
    <t>2#968</t>
  </si>
  <si>
    <t>2#969</t>
  </si>
  <si>
    <t>2#970</t>
  </si>
  <si>
    <t>2#971</t>
  </si>
  <si>
    <t>2#972</t>
  </si>
  <si>
    <t>2#973</t>
  </si>
  <si>
    <t>2#974</t>
  </si>
  <si>
    <t>2#975</t>
  </si>
  <si>
    <t>2#976</t>
  </si>
  <si>
    <t>2#977</t>
  </si>
  <si>
    <t>2#978</t>
  </si>
  <si>
    <t>2#979</t>
  </si>
  <si>
    <t>2#980</t>
  </si>
  <si>
    <t>2#981</t>
  </si>
  <si>
    <t>2#982</t>
  </si>
  <si>
    <t>2#983</t>
  </si>
  <si>
    <t>2#984</t>
  </si>
  <si>
    <t>2#985</t>
  </si>
  <si>
    <t>2#986</t>
  </si>
  <si>
    <t>2#987</t>
  </si>
  <si>
    <t>2#988</t>
  </si>
  <si>
    <t>2#989</t>
  </si>
  <si>
    <t>2#990</t>
  </si>
  <si>
    <t>2#991</t>
  </si>
  <si>
    <t>2#992</t>
  </si>
  <si>
    <t>2#993</t>
  </si>
  <si>
    <t>2#994</t>
  </si>
  <si>
    <t>2#995</t>
  </si>
  <si>
    <t>2#996</t>
  </si>
  <si>
    <t>2#997</t>
  </si>
  <si>
    <t>2#998</t>
  </si>
  <si>
    <t>2#999</t>
  </si>
  <si>
    <t>2#1000</t>
  </si>
  <si>
    <t>2#1001</t>
  </si>
  <si>
    <t>2#1002</t>
  </si>
  <si>
    <t>2#1003</t>
  </si>
  <si>
    <t>2#1004</t>
  </si>
  <si>
    <t>2#1005</t>
  </si>
  <si>
    <t>2#1006</t>
  </si>
  <si>
    <t>2#1007</t>
  </si>
  <si>
    <t>2#1008</t>
  </si>
  <si>
    <t>2#1009</t>
  </si>
  <si>
    <t>2#1010</t>
  </si>
  <si>
    <t>2#1011</t>
  </si>
  <si>
    <t>2#1012</t>
  </si>
  <si>
    <t>2#1013</t>
  </si>
  <si>
    <t>2#1014</t>
  </si>
  <si>
    <t>2#1015</t>
  </si>
  <si>
    <t>2#1016</t>
  </si>
  <si>
    <t>2#1017</t>
  </si>
  <si>
    <t>2#1018</t>
  </si>
  <si>
    <t>2#1019</t>
  </si>
  <si>
    <t>2#1020</t>
  </si>
  <si>
    <t>2#1021</t>
  </si>
  <si>
    <t>2#1022</t>
  </si>
  <si>
    <t>2#1023</t>
  </si>
  <si>
    <t>2#1024</t>
  </si>
  <si>
    <t>2#1025</t>
  </si>
  <si>
    <t>2#1026</t>
  </si>
  <si>
    <t>2#1027</t>
  </si>
  <si>
    <t>2#1028</t>
  </si>
  <si>
    <t>2#1029</t>
  </si>
  <si>
    <t>2#1030</t>
  </si>
  <si>
    <t>2#1031</t>
  </si>
  <si>
    <t>2#1032</t>
  </si>
  <si>
    <t>2#1033</t>
  </si>
  <si>
    <t>2#1034</t>
  </si>
  <si>
    <t>2#1035</t>
  </si>
  <si>
    <t>2#1036</t>
  </si>
  <si>
    <t>2#1037</t>
  </si>
  <si>
    <t>2#1038</t>
  </si>
  <si>
    <t>2#1039</t>
  </si>
  <si>
    <t>2#1040</t>
  </si>
  <si>
    <t>2#1041</t>
  </si>
  <si>
    <t>2#1042</t>
  </si>
  <si>
    <t>2#1043</t>
  </si>
  <si>
    <t>2#1044</t>
  </si>
  <si>
    <t>2#1045</t>
  </si>
  <si>
    <t>2#1046</t>
  </si>
  <si>
    <t>2#1047</t>
  </si>
  <si>
    <t>2#1048</t>
  </si>
  <si>
    <t>2#1049</t>
  </si>
  <si>
    <t>2#1050</t>
  </si>
  <si>
    <t>2#1051</t>
  </si>
  <si>
    <t>2#1052</t>
  </si>
  <si>
    <t>2#1053</t>
  </si>
  <si>
    <t>2#1054</t>
  </si>
  <si>
    <t>2#1055</t>
  </si>
  <si>
    <t>2#1056</t>
  </si>
  <si>
    <t>2#1057</t>
  </si>
  <si>
    <t>2#1058</t>
  </si>
  <si>
    <t>2#1059</t>
  </si>
  <si>
    <t>2#1060</t>
  </si>
  <si>
    <t>2#1061</t>
  </si>
  <si>
    <t>2#1062</t>
  </si>
  <si>
    <t>2#1063</t>
  </si>
  <si>
    <t>2#1064</t>
  </si>
  <si>
    <t>2#1065</t>
  </si>
  <si>
    <t>2#1066</t>
  </si>
  <si>
    <t>2#1067</t>
  </si>
  <si>
    <t>2#1068</t>
  </si>
  <si>
    <t>2#1069</t>
  </si>
  <si>
    <t>2#1070</t>
  </si>
  <si>
    <t>2#1071</t>
  </si>
  <si>
    <t>2#1072</t>
  </si>
  <si>
    <t>2#1073</t>
  </si>
  <si>
    <t>2#1074</t>
  </si>
  <si>
    <t>2#1075</t>
  </si>
  <si>
    <t>2#1076</t>
  </si>
  <si>
    <t>2#1077</t>
  </si>
  <si>
    <t>2#1078</t>
  </si>
  <si>
    <t>2#1079</t>
  </si>
  <si>
    <t>2#1080</t>
  </si>
  <si>
    <t>2#1081</t>
  </si>
  <si>
    <t>2#1082</t>
  </si>
  <si>
    <t>2#1083</t>
  </si>
  <si>
    <t>2#1084</t>
  </si>
  <si>
    <t>2#1085</t>
  </si>
  <si>
    <t>2#1086</t>
  </si>
  <si>
    <t>2#1087</t>
  </si>
  <si>
    <t>2#1088</t>
  </si>
  <si>
    <t>2#1089</t>
  </si>
  <si>
    <t>2#1090</t>
  </si>
  <si>
    <t>2#1091</t>
  </si>
  <si>
    <t>2#1092</t>
  </si>
  <si>
    <t>2#1093</t>
  </si>
  <si>
    <t>2#1094</t>
  </si>
  <si>
    <t>2#1095</t>
  </si>
  <si>
    <t>2#1096</t>
  </si>
  <si>
    <t>2#1097</t>
  </si>
  <si>
    <t>2#1098</t>
  </si>
  <si>
    <t>2#1099</t>
  </si>
  <si>
    <t>2#1100</t>
  </si>
  <si>
    <t>2#1101</t>
  </si>
  <si>
    <t>2#1102</t>
  </si>
  <si>
    <t>2#1103</t>
  </si>
  <si>
    <t>2#1104</t>
  </si>
  <si>
    <t>2#1105</t>
  </si>
  <si>
    <t>2#1106</t>
  </si>
  <si>
    <t>2#1107</t>
  </si>
  <si>
    <t>2#1108</t>
  </si>
  <si>
    <t>2#1109</t>
  </si>
  <si>
    <t>2#1110</t>
  </si>
  <si>
    <t>2#1111</t>
  </si>
  <si>
    <t>2#1112</t>
  </si>
  <si>
    <t>2#1113</t>
  </si>
  <si>
    <t>2#1114</t>
  </si>
  <si>
    <t>2#1115</t>
  </si>
  <si>
    <t>2#1116</t>
  </si>
  <si>
    <t>2#1117</t>
  </si>
  <si>
    <t>2#1118</t>
  </si>
  <si>
    <t>2#1119</t>
  </si>
  <si>
    <t>2#1120</t>
  </si>
  <si>
    <t>2#1121</t>
  </si>
  <si>
    <t>2#1122</t>
  </si>
  <si>
    <t>2#1123</t>
  </si>
  <si>
    <t>2#1124</t>
  </si>
  <si>
    <t>2#1125</t>
  </si>
  <si>
    <t>2#1126</t>
  </si>
  <si>
    <t>2#1127</t>
  </si>
  <si>
    <t>2#1128</t>
  </si>
  <si>
    <t>2#1129</t>
  </si>
  <si>
    <t>2#1130</t>
  </si>
  <si>
    <t>2#1131</t>
  </si>
  <si>
    <t>2#1132</t>
  </si>
  <si>
    <t>2#1133</t>
  </si>
  <si>
    <t>2#1134</t>
  </si>
  <si>
    <t>2#1135</t>
  </si>
  <si>
    <t>2#1136</t>
  </si>
  <si>
    <t>2#1137</t>
  </si>
  <si>
    <t>2#1138</t>
  </si>
  <si>
    <t>2#1139</t>
  </si>
  <si>
    <t>2#1140</t>
  </si>
  <si>
    <t>2#1141</t>
  </si>
  <si>
    <t>2#1142</t>
  </si>
  <si>
    <t>2#1143</t>
  </si>
  <si>
    <t>2#1144</t>
  </si>
  <si>
    <t>2#1145</t>
  </si>
  <si>
    <t>2#1146</t>
  </si>
  <si>
    <t>2#1147</t>
  </si>
  <si>
    <t>2#1148</t>
  </si>
  <si>
    <t>2#1149</t>
  </si>
  <si>
    <t>2#1150</t>
  </si>
  <si>
    <t>2#1151</t>
  </si>
  <si>
    <t>2#1152</t>
  </si>
  <si>
    <t>2#1153</t>
  </si>
  <si>
    <t>2#1154</t>
  </si>
  <si>
    <t>2#1155</t>
  </si>
  <si>
    <t>2#1156</t>
  </si>
  <si>
    <t>2#1157</t>
  </si>
  <si>
    <t>2#1158</t>
  </si>
  <si>
    <t>2#1159</t>
  </si>
  <si>
    <t>2#1160</t>
  </si>
  <si>
    <t>2#1161</t>
  </si>
  <si>
    <t>2#1162</t>
  </si>
  <si>
    <t>2#1163</t>
  </si>
  <si>
    <t>2#1164</t>
  </si>
  <si>
    <t>2#1165</t>
  </si>
  <si>
    <t>2#1166</t>
  </si>
  <si>
    <t>2#1167</t>
  </si>
  <si>
    <t>2#1168</t>
  </si>
  <si>
    <t>2#1169</t>
  </si>
  <si>
    <t>2#1170</t>
  </si>
  <si>
    <t>2#1171</t>
  </si>
  <si>
    <t>2#1172</t>
  </si>
  <si>
    <t>2#1173</t>
  </si>
  <si>
    <t>2#1174</t>
  </si>
  <si>
    <t>2#1175</t>
  </si>
  <si>
    <t>2#1176</t>
  </si>
  <si>
    <t>2#1177</t>
  </si>
  <si>
    <t>2#1178</t>
  </si>
  <si>
    <t>2#1179</t>
  </si>
  <si>
    <t>2#1180</t>
  </si>
  <si>
    <t>2#1181</t>
  </si>
  <si>
    <t>2#1182</t>
  </si>
  <si>
    <t>2#1183</t>
  </si>
  <si>
    <t>2#1184</t>
  </si>
  <si>
    <t>2#1185</t>
  </si>
  <si>
    <t>2#1186</t>
  </si>
  <si>
    <t>2#1187</t>
  </si>
  <si>
    <t>2#1188</t>
  </si>
  <si>
    <t>2#1189</t>
  </si>
  <si>
    <t>2#1190</t>
  </si>
  <si>
    <t>2#1191</t>
  </si>
  <si>
    <t>2#1192</t>
  </si>
  <si>
    <t>2#1193</t>
  </si>
  <si>
    <t>2#1194</t>
  </si>
  <si>
    <t>2#1195</t>
  </si>
  <si>
    <t>2#1196</t>
  </si>
  <si>
    <t>2#1197</t>
  </si>
  <si>
    <t>2#1198</t>
  </si>
  <si>
    <t>2#1199</t>
  </si>
  <si>
    <t>2#1200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</si>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</sst>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3</v>
    <v>8</v>
    <v>1</v>
    <v>1</v>
  </rv>
  <rv s="0">
    <v>0</v>
    <v>8</v>
    <v>5</v>
    <v>1</v>
  </rv>
  <rv s="0">
    <v>0</v>
    <v>8</v>
    <v>7</v>
    <v>1</v>
  </rv>
  <rv s="0">
    <v>0</v>
    <v>8</v>
    <v>1</v>
    <v>1</v>
  </rv>
  <rv s="0">
    <v>1</v>
    <v>8</v>
    <v>1</v>
    <v>1</v>
  </rv>
  <rv s="0">
    <v>0</v>
    <v>8</v>
    <v>6</v>
    <v>1</v>
  </rv>
  <rv s="0">
    <v>1</v>
    <v>8</v>
    <v>0</v>
    <v>1</v>
  </rv>
  <rv s="0">
    <v>2</v>
    <v>8</v>
    <v>4</v>
    <v>1</v>
  </rv>
  <rv s="0">
    <v>0</v>
    <v>8</v>
    <v>2</v>
    <v>1</v>
  </rv>
  <rv s="0">
    <v>0</v>
    <v>8</v>
    <v>4</v>
    <v>1</v>
  </rv>
  <rv s="0">
    <v>1</v>
    <v>8</v>
    <v>2</v>
    <v>1</v>
  </rv>
  <rv s="0">
    <v>2</v>
    <v>8</v>
    <v>0</v>
    <v>1</v>
  </rv>
  <rv s="0">
    <v>4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_xlfn.TEXTJOIN(";",FALSE,VLOOKUP(D!C2,D!M2,2,D!B7))</f>
        <v>#N/A</v>
      </c>
      <c r="B1">
        <f t="shared" ref="B1:B64" si="0">IF(ISERROR(A1),ERROR.TYPE(A1),IF(ISNUMBER(A1),0,IF(ISLOGICAL(A1),IF(A1,-1,-2),IF(ISTEXT(A1),-3,-4))))</f>
        <v>7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b" cm="1">
        <f t="array" ref="A2">EVEN(1.5)&gt;=ASIN(-0.5)</f>
        <v>1</v>
      </c>
      <c r="B2">
        <f t="shared" si="0"/>
        <v>-1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_xlfn.RRI(-1,_xlfn.STDEV.S(D!B1:B8,2,4,#VALUE!),10)&lt;DELTA(5,4)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str" cm="1">
        <f t="array" ref="A4">IMSQRT("1+i")</f>
        <v>1.09868411346781+0.455089860562227i</v>
      </c>
      <c r="B4">
        <f t="shared" si="0"/>
        <v>-3</v>
      </c>
      <c r="C4">
        <f t="shared" si="1"/>
        <v>0</v>
      </c>
      <c r="D4" t="str">
        <f t="shared" si="2"/>
        <v>1.09868411346781+0.455089860562227i</v>
      </c>
      <c r="E4" t="s">
        <v>38</v>
      </c>
    </row>
    <row r="5" spans="1:5" x14ac:dyDescent="0.2">
      <c r="A5" t="str" cm="1">
        <f t="array" ref="A5">_xlfn.IMSEC("4+3i")</f>
        <v>-0.0652940278579471-0.0752249603027732i</v>
      </c>
      <c r="B5">
        <f t="shared" si="0"/>
        <v>-3</v>
      </c>
      <c r="C5">
        <f t="shared" si="1"/>
        <v>0</v>
      </c>
      <c r="D5" t="str">
        <f t="shared" si="2"/>
        <v>-0.0652940278579471-0.0752249603027732i</v>
      </c>
      <c r="E5" t="s">
        <v>39</v>
      </c>
    </row>
    <row r="6" spans="1:5" x14ac:dyDescent="0.2">
      <c r="A6" t="e" cm="1">
        <f t="array" ref="A6">SUM(_xlfn.T.INV.2T(D!B1,60))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MIN(D!B1:B8)</f>
        <v>-3.5</v>
      </c>
      <c r="B7">
        <f t="shared" si="0"/>
        <v>0</v>
      </c>
      <c r="C7">
        <f t="shared" si="1"/>
        <v>-3.5</v>
      </c>
      <c r="D7" t="str">
        <f t="shared" si="2"/>
        <v/>
      </c>
      <c r="E7" t="s">
        <v>41</v>
      </c>
    </row>
    <row r="8" spans="1:5" x14ac:dyDescent="0.2">
      <c r="A8" cm="1">
        <f t="array" ref="A8">SUMX2PY2(D!B1:B8,D!C1:C8)</f>
        <v>5629.3125</v>
      </c>
      <c r="B8">
        <f t="shared" si="0"/>
        <v>0</v>
      </c>
      <c r="C8">
        <f t="shared" si="1"/>
        <v>5629.3125</v>
      </c>
      <c r="D8" t="str">
        <f t="shared" si="2"/>
        <v/>
      </c>
      <c r="E8" t="s">
        <v>42</v>
      </c>
    </row>
    <row r="9" spans="1:5" x14ac:dyDescent="0.2">
      <c r="A9" cm="1">
        <f t="array" ref="A9">COLUMNS(STDEVP(D!B1:B8))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43</v>
      </c>
    </row>
    <row r="10" spans="1:5" x14ac:dyDescent="0.2">
      <c r="A10" t="e" cm="1">
        <f t="array" ref="A10">SIGN(10)&gt;=TIMEVALUE(_xlfn.RANK.EQ(_xlfn.T.TEST(D!B1:B8,D!C1:C8,"TRUE",0),D!N1:N6,D!A12))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ACOSH(D!A12)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cm="1">
        <f t="array" ref="A12">LN(86)</f>
        <v>4.4543472962535073</v>
      </c>
      <c r="B12">
        <f t="shared" si="0"/>
        <v>0</v>
      </c>
      <c r="C12">
        <f t="shared" si="1"/>
        <v>4.4543472962535073</v>
      </c>
      <c r="D12" t="str">
        <f t="shared" si="2"/>
        <v/>
      </c>
      <c r="E12" t="s">
        <v>46</v>
      </c>
    </row>
    <row r="13" spans="1:5" x14ac:dyDescent="0.2">
      <c r="A13" t="e" cm="1">
        <f t="array" ref="A13">MEDIAN(D!AZ1:AZ5,_xlfn.XLOOKUP(3,D!L1:N6,D!D1:D8,INDEX(D!C2,2,D!A3,_xlfn.GAUSS(1000))))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_xlfn.COT(IMEXP("1+i")&gt;=TRUE)-COUNT(D!B1:B8)</f>
        <v>#DIV/0!</v>
      </c>
      <c r="B14">
        <f t="shared" si="0"/>
        <v>2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CEILING("-4"/LENB(" "),1)</f>
        <v>-4</v>
      </c>
      <c r="B15">
        <f t="shared" si="0"/>
        <v>0</v>
      </c>
      <c r="C15">
        <f t="shared" si="1"/>
        <v>-4</v>
      </c>
      <c r="D15" t="str">
        <f t="shared" si="2"/>
        <v/>
      </c>
      <c r="E15" t="s">
        <v>49</v>
      </c>
    </row>
    <row r="16" spans="1:5" x14ac:dyDescent="0.2">
      <c r="A16" cm="1">
        <f t="array" ref="A16">N(7)</f>
        <v>7</v>
      </c>
      <c r="B16">
        <f t="shared" si="0"/>
        <v>0</v>
      </c>
      <c r="C16">
        <f t="shared" si="1"/>
        <v>7</v>
      </c>
      <c r="D16" t="str">
        <f t="shared" si="2"/>
        <v/>
      </c>
      <c r="E16" t="s">
        <v>50</v>
      </c>
    </row>
    <row r="17" spans="1:5" x14ac:dyDescent="0.2">
      <c r="A17" cm="1">
        <f t="array" ref="A17">_xlfn.NORM.INV(0.908789,D!N2,2.5)</f>
        <v>23.333336682610266</v>
      </c>
      <c r="B17">
        <f t="shared" si="0"/>
        <v>0</v>
      </c>
      <c r="C17">
        <f t="shared" si="1"/>
        <v>23.333336682610266</v>
      </c>
      <c r="D17" t="str">
        <f t="shared" si="2"/>
        <v/>
      </c>
      <c r="E17" t="s">
        <v>51</v>
      </c>
    </row>
    <row r="18" spans="1:5" x14ac:dyDescent="0.2">
      <c r="A18" cm="1">
        <f t="array" ref="A18">CEILING(2.5,IMLOG10(10))</f>
        <v>3</v>
      </c>
      <c r="B18">
        <f t="shared" si="0"/>
        <v>0</v>
      </c>
      <c r="C18">
        <f t="shared" si="1"/>
        <v>3</v>
      </c>
      <c r="D18" t="str">
        <f t="shared" si="2"/>
        <v/>
      </c>
      <c r="E18" t="s">
        <v>52</v>
      </c>
    </row>
    <row r="19" spans="1:5" x14ac:dyDescent="0.2">
      <c r="A19" t="e" cm="1">
        <f t="array" ref="A19">WORKDAY(2.5,D!AZ1:AZ5)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_xlfn.TEXTSPLIT("FALSE",_xlfn.VSTACK(D!P1:Q2,_xlfn.SEQUENCE(3,1),"Привет"),";",FALSE,0.25)</f>
        <v>#N/A</v>
      </c>
      <c r="B20">
        <f t="shared" si="0"/>
        <v>7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str" cm="1">
        <f t="array" ref="A21">RIGHTB("TRUE",2)</f>
        <v>UE</v>
      </c>
      <c r="B21">
        <f t="shared" si="0"/>
        <v>-3</v>
      </c>
      <c r="C21">
        <f t="shared" si="1"/>
        <v>0</v>
      </c>
      <c r="D21" t="str">
        <f t="shared" si="2"/>
        <v>UE</v>
      </c>
      <c r="E21" t="s">
        <v>55</v>
      </c>
    </row>
    <row r="22" spans="1:5" x14ac:dyDescent="0.2">
      <c r="A22" t="e" cm="1">
        <f t="array" ref="A22">TEXT(D!N2,"TRUE")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ODDLYIELD(DATE(2008,4,20),D!A7,_xlfn.COTH("31-Jan-2025"),0.0375,99.875,D!B2:B3,D!AY1:AY5)</f>
        <v>#DIV/0!</v>
      </c>
      <c r="B23">
        <f t="shared" si="0"/>
        <v>2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b" cm="1">
        <f t="array" ref="A24">ISTEXT(2.5)</f>
        <v>0</v>
      </c>
      <c r="B24">
        <f t="shared" si="0"/>
        <v>-2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DB(#REF!,0.5,6,D!A15,100)&gt;IF(60,"a,b",#NUM!)</f>
        <v>#REF!</v>
      </c>
      <c r="B25">
        <f t="shared" si="0"/>
        <v>4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DOLLARDE("a,b",16)</f>
        <v>#VALUE!</v>
      </c>
      <c r="B26">
        <f t="shared" si="0"/>
        <v>3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cm="1">
        <f t="array" ref="A27">XNPV(0.09,D!J1:J5,D!AU1:AU5)</f>
        <v>2086.6476020315349</v>
      </c>
      <c r="B27">
        <f t="shared" si="0"/>
        <v>0</v>
      </c>
      <c r="C27">
        <f t="shared" si="1"/>
        <v>2086.6476020315349</v>
      </c>
      <c r="D27" t="str">
        <f t="shared" si="2"/>
        <v/>
      </c>
      <c r="E27" t="s">
        <v>61</v>
      </c>
    </row>
    <row r="28" spans="1:5" x14ac:dyDescent="0.2">
      <c r="A28" t="str" cm="1">
        <f t="array" ref="A28">LEFT(" ",10)</f>
        <v xml:space="preserve"> </v>
      </c>
      <c r="B28">
        <f t="shared" si="0"/>
        <v>-3</v>
      </c>
      <c r="C28">
        <f t="shared" si="1"/>
        <v>0</v>
      </c>
      <c r="D28" t="str">
        <f t="shared" si="2"/>
        <v xml:space="preserve"> </v>
      </c>
      <c r="E28" t="s">
        <v>62</v>
      </c>
    </row>
    <row r="29" spans="1:5" x14ac:dyDescent="0.2">
      <c r="A29" t="e" cm="1">
        <f t="array" ref="A29">GAMMAINV(D!A7,7,"$1,000")&gt;T("Rainfall")</f>
        <v>#DIV/0!</v>
      </c>
      <c r="B29">
        <f t="shared" si="0"/>
        <v>2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TIMEVALUE("2:24 AM")</f>
        <v>0.1</v>
      </c>
      <c r="B30">
        <f t="shared" si="0"/>
        <v>0</v>
      </c>
      <c r="C30">
        <f t="shared" si="1"/>
        <v>0.1</v>
      </c>
      <c r="D30" t="str">
        <f t="shared" si="2"/>
        <v/>
      </c>
      <c r="E30" t="s">
        <v>64</v>
      </c>
    </row>
    <row r="31" spans="1:5" x14ac:dyDescent="0.2">
      <c r="A31" t="str" cm="1">
        <f t="array" ref="A31">DEC2HEX(2.5)</f>
        <v>2</v>
      </c>
      <c r="B31">
        <f t="shared" si="0"/>
        <v>-3</v>
      </c>
      <c r="C31">
        <f t="shared" si="1"/>
        <v>0</v>
      </c>
      <c r="D31" t="str">
        <f t="shared" si="2"/>
        <v>2</v>
      </c>
      <c r="E31" t="s">
        <v>65</v>
      </c>
    </row>
    <row r="32" spans="1:5" x14ac:dyDescent="0.2">
      <c r="A32" cm="1">
        <f t="array" ref="A32">TANH(-2)</f>
        <v>-0.96402758007581701</v>
      </c>
      <c r="B32">
        <f t="shared" si="0"/>
        <v>0</v>
      </c>
      <c r="C32">
        <f t="shared" si="1"/>
        <v>-0.96402758007581701</v>
      </c>
      <c r="D32" t="str">
        <f t="shared" si="2"/>
        <v/>
      </c>
      <c r="E32" t="s">
        <v>66</v>
      </c>
    </row>
    <row r="33" spans="1:5" x14ac:dyDescent="0.2">
      <c r="A33" t="e" cm="1">
        <f t="array" ref="A33">NA()</f>
        <v>#N/A</v>
      </c>
      <c r="B33">
        <f t="shared" si="0"/>
        <v>7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DPRODUCT(D!E1:E8,"-4",D!A1:A5)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ROWS(PMT(-1.5,10,"a,b"))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b" cm="1">
        <f t="array" ref="A36">ISNA(IMSUB("13+4i","5+3i"))</f>
        <v>0</v>
      </c>
      <c r="B36">
        <f t="shared" si="0"/>
        <v>-2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b" cm="1">
        <f t="array" ref="A37">SUM(D!B1:B8)&lt;=_xlfn.NORM.INV(0.5,DEGREES(3.14159265358979),EOMONTH(40544,VALUE("$1,000")))</f>
        <v>1</v>
      </c>
      <c r="B37">
        <f t="shared" si="0"/>
        <v>-1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cm="1">
        <f t="array" ref="A38">INDEX(WEEKNUM(40977),1,1)</f>
        <v>10</v>
      </c>
      <c r="B38">
        <f t="shared" si="0"/>
        <v>0</v>
      </c>
      <c r="C38">
        <f t="shared" si="1"/>
        <v>10</v>
      </c>
      <c r="D38" t="str">
        <f t="shared" si="2"/>
        <v/>
      </c>
      <c r="E38" t="s">
        <v>72</v>
      </c>
    </row>
    <row r="39" spans="1:5" x14ac:dyDescent="0.2">
      <c r="A39" cm="1">
        <f t="array" ref="A39">COUNTBLANK(D!AS1:AS8)</f>
        <v>0</v>
      </c>
      <c r="B39">
        <f t="shared" si="0"/>
        <v>0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cm="1">
        <f t="array" ref="A40">COLUMNS(_xlfn.GAMMALN.PRECISE(4))</f>
        <v>1</v>
      </c>
      <c r="B40">
        <f t="shared" si="0"/>
        <v>0</v>
      </c>
      <c r="C40">
        <f t="shared" si="1"/>
        <v>1</v>
      </c>
      <c r="D40" t="str">
        <f t="shared" si="2"/>
        <v/>
      </c>
      <c r="E40" t="s">
        <v>74</v>
      </c>
    </row>
    <row r="41" spans="1:5" x14ac:dyDescent="0.2">
      <c r="A41" t="e" cm="1">
        <f t="array" ref="A41">_xlfn.TEXTJOIN(D!A2,FALSE&amp;"aBc",_xlfn.TOROW(D!P4:R5),FALSE,"b")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HLOOKUP(SUMXMY2(_xlfn.TEXTSPLIT("a,b;c",",",-1&lt;&gt;"2025-01-31 12:00","50%"),D!AA1:AB2),D!L8:Q10,COVAR(D!B1:B8,D!C1:C8),FALSE)</f>
        <v>#VALUE!</v>
      </c>
      <c r="B42">
        <f t="shared" si="0"/>
        <v>3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 vm="1">
        <f t="array" aca="1" ref="A43" ca="1">_xlfn.BETA.DIST(-TRUE/3,_xlfn.HSTACK(D!P1:Q2,D!R1:S2),10,TRUE,"18:30",3)^SUMX2PY2(D!B1:B8,D!L8:Q10)</f>
        <v>#VALUE!</v>
      </c>
      <c r="B43">
        <f t="shared" ca="1" si="0"/>
        <v>9</v>
      </c>
      <c r="C43">
        <f t="shared" ca="1" si="1"/>
        <v>0</v>
      </c>
      <c r="D43" t="str">
        <f t="shared" ca="1" si="2"/>
        <v/>
      </c>
      <c r="E43" t="s">
        <v>77</v>
      </c>
    </row>
    <row r="44" spans="1:5" x14ac:dyDescent="0.2">
      <c r="A44" cm="1">
        <f t="array" ref="A44">COLUMNS(INDEX(D!L1:N6,2,3))</f>
        <v>1</v>
      </c>
      <c r="B44">
        <f t="shared" si="0"/>
        <v>0</v>
      </c>
      <c r="C44">
        <f t="shared" si="1"/>
        <v>1</v>
      </c>
      <c r="D44" t="str">
        <f t="shared" si="2"/>
        <v/>
      </c>
      <c r="E44" t="s">
        <v>78</v>
      </c>
    </row>
    <row r="45" spans="1:5" x14ac:dyDescent="0.2">
      <c r="A45" t="str" cm="1">
        <f t="array" ref="A45">_xlfn.TEXTJOIN(D!I1:I5,TRUE,D!M1:M6,"",D!M1:M6)</f>
        <v>one-10000two3000three4200five6800eight1200thirteen-10000one3000two4200three6800five1200eight-10000thirteen</v>
      </c>
      <c r="B45">
        <f t="shared" si="0"/>
        <v>-3</v>
      </c>
      <c r="C45">
        <f t="shared" si="1"/>
        <v>0</v>
      </c>
      <c r="D45" t="str">
        <f t="shared" si="2"/>
        <v>one-10000two3000three4200five6800eight1200thirteen-10000one3000two4200three6800five1200eight-10000thirteen</v>
      </c>
      <c r="E45" t="s">
        <v>79</v>
      </c>
    </row>
    <row r="46" spans="1:5" x14ac:dyDescent="0.2">
      <c r="A46" t="e" cm="1">
        <f t="array" ref="A46">SUM(_xlfn.XMATCH(3,_xlfn.WRAPCOLS(D!B1:B8,2)))</f>
        <v>#VALUE!</v>
      </c>
      <c r="B46">
        <f t="shared" si="0"/>
        <v>3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cm="1">
        <f t="array" ref="A47">INDEX(KURT(D!B1:B8),1,1)</f>
        <v>1.8461329296275348</v>
      </c>
      <c r="B47">
        <f t="shared" si="0"/>
        <v>0</v>
      </c>
      <c r="C47">
        <f t="shared" si="1"/>
        <v>1.8461329296275348</v>
      </c>
      <c r="D47" t="str">
        <f t="shared" si="2"/>
        <v/>
      </c>
      <c r="E47" t="s">
        <v>81</v>
      </c>
    </row>
    <row r="48" spans="1:5" x14ac:dyDescent="0.2">
      <c r="A48" t="e" cm="1">
        <f t="array" ref="A48">TTEST(COUPNUM(45658,"TRUE",2,1),D!C1:C8,2,1)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b" cm="1">
        <f t="array" ref="A49">ISTEXT(2.5)</f>
        <v>0</v>
      </c>
      <c r="B49">
        <f t="shared" si="0"/>
        <v>-2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cm="1">
        <f t="array" ref="A50">LN(86)</f>
        <v>4.4543472962535073</v>
      </c>
      <c r="B50">
        <f t="shared" si="0"/>
        <v>0</v>
      </c>
      <c r="C50">
        <f t="shared" si="1"/>
        <v>4.4543472962535073</v>
      </c>
      <c r="D50" t="str">
        <f t="shared" si="2"/>
        <v/>
      </c>
      <c r="E50" t="s">
        <v>84</v>
      </c>
    </row>
    <row r="51" spans="1:5" x14ac:dyDescent="0.2">
      <c r="A51" cm="1">
        <f t="array" ref="A51">ROWS(ACOSH(QUOTIENT(5,D!L4)))</f>
        <v>1</v>
      </c>
      <c r="B51">
        <f t="shared" si="0"/>
        <v>0</v>
      </c>
      <c r="C51">
        <f t="shared" si="1"/>
        <v>1</v>
      </c>
      <c r="D51" t="str">
        <f t="shared" si="2"/>
        <v/>
      </c>
      <c r="E51" t="s">
        <v>85</v>
      </c>
    </row>
    <row r="52" spans="1:5" x14ac:dyDescent="0.2">
      <c r="A52" t="str" cm="1">
        <f t="array" ref="A52">ATAN(1)&amp;ROUND(100,-1.5)</f>
        <v>0.785398163397448100</v>
      </c>
      <c r="B52">
        <f t="shared" si="0"/>
        <v>-3</v>
      </c>
      <c r="C52">
        <f t="shared" si="1"/>
        <v>0</v>
      </c>
      <c r="D52" t="str">
        <f t="shared" si="2"/>
        <v>0.785398163397448100</v>
      </c>
      <c r="E52" t="s">
        <v>86</v>
      </c>
    </row>
    <row r="53" spans="1:5" x14ac:dyDescent="0.2">
      <c r="A53" cm="1">
        <f t="array" ref="A53">COLUMNS(_xlfn.WRAPROWS(D!B1:B8,1))</f>
        <v>1</v>
      </c>
      <c r="B53">
        <f t="shared" si="0"/>
        <v>0</v>
      </c>
      <c r="C53">
        <f t="shared" si="1"/>
        <v>1</v>
      </c>
      <c r="D53" t="str">
        <f t="shared" si="2"/>
        <v/>
      </c>
      <c r="E53" t="s">
        <v>87</v>
      </c>
    </row>
    <row r="54" spans="1:5" x14ac:dyDescent="0.2">
      <c r="A54" cm="1">
        <f t="array" ref="A54">INDEX(_xlfn.NORM.S.INV(0.908789),1,1)</f>
        <v>1.3333346730441071</v>
      </c>
      <c r="B54">
        <f t="shared" si="0"/>
        <v>0</v>
      </c>
      <c r="C54">
        <f t="shared" si="1"/>
        <v>1.3333346730441071</v>
      </c>
      <c r="D54" t="str">
        <f t="shared" si="2"/>
        <v/>
      </c>
      <c r="E54" t="s">
        <v>88</v>
      </c>
    </row>
    <row r="55" spans="1:5" x14ac:dyDescent="0.2">
      <c r="A55" t="e" cm="1">
        <f t="array" ref="A55">IPMT(0.00833333333333333,D!B7,D!A1,8000)&lt;&gt;_xlfn.IFS("x y",1,45351,"18:30","a,b",0.25)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IPMT("Привет",_xlfn.CHISQ.DIST(0.5,"FALSE",_xlfn.POISSON.DIST(2,D!M2,TRUE)),36,8000)</f>
        <v>#VALUE!</v>
      </c>
      <c r="B56">
        <f t="shared" si="0"/>
        <v>3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cm="1">
        <f t="array" ref="A57">_xlfn.BITOR(23,7)</f>
        <v>23</v>
      </c>
      <c r="B57">
        <f t="shared" si="0"/>
        <v>0</v>
      </c>
      <c r="C57">
        <f t="shared" si="1"/>
        <v>23</v>
      </c>
      <c r="D57" t="str">
        <f t="shared" si="2"/>
        <v/>
      </c>
      <c r="E57" t="s">
        <v>91</v>
      </c>
    </row>
    <row r="58" spans="1:5" x14ac:dyDescent="0.2">
      <c r="A58" t="e" cm="1">
        <f t="array" ref="A58">INDEX(_xlfn.RANK.AVG(D!A7,D!H1:H7,"abc"),1,1)</f>
        <v>#DIV/0!</v>
      </c>
      <c r="B58">
        <f t="shared" si="0"/>
        <v>2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>
        <f t="array" ref="A59">IMLOG10(45351)&lt;&gt;_xlfn.NUMBERVALUE("2.500,27",DATEVALUE(D!B7),".")</f>
        <v>#VALUE!</v>
      </c>
      <c r="B59">
        <f t="shared" si="0"/>
        <v>3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e" cm="1">
        <f t="array" ref="A60">XNPV(FALSE,_xlfn.VSTACK(D!P1:Q2,PROB(D!AH1:AH4,D!AI1:AI4,D!L4)+"6:35 AM","2025-01-31",D!A5),D!AU1:AU5)</f>
        <v>#VALUE!</v>
      </c>
      <c r="B60">
        <f t="shared" si="0"/>
        <v>3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cm="1">
        <f t="array" ref="A61">_xlfn.GAMMA.INV(0.068094,9,2)</f>
        <v>10.00001119143718</v>
      </c>
      <c r="B61">
        <f t="shared" si="0"/>
        <v>0</v>
      </c>
      <c r="C61">
        <f t="shared" si="1"/>
        <v>10.00001119143718</v>
      </c>
      <c r="D61" t="str">
        <f t="shared" si="2"/>
        <v/>
      </c>
      <c r="E61" t="s">
        <v>95</v>
      </c>
    </row>
    <row r="62" spans="1:5" x14ac:dyDescent="0.2">
      <c r="A62" cm="1">
        <f t="array" ref="A62">COLUMNS(_xlfn.SWITCH(2,1,"one",FALSE,"two","other"))</f>
        <v>1</v>
      </c>
      <c r="B62">
        <f t="shared" si="0"/>
        <v>0</v>
      </c>
      <c r="C62">
        <f t="shared" si="1"/>
        <v>1</v>
      </c>
      <c r="D62" t="str">
        <f t="shared" si="2"/>
        <v/>
      </c>
      <c r="E62" t="s">
        <v>96</v>
      </c>
    </row>
    <row r="63" spans="1:5" x14ac:dyDescent="0.2">
      <c r="A63" t="str" cm="1">
        <f t="array" ref="A63">DOLLARFR(1.125,16)&amp;TBILLYIELD(39538,39600,GAMMADIST(10.00001131,100,2,-1.5))</f>
        <v>1.029.68949490769306E+92</v>
      </c>
      <c r="B63">
        <f t="shared" si="0"/>
        <v>-3</v>
      </c>
      <c r="C63">
        <f t="shared" si="1"/>
        <v>0</v>
      </c>
      <c r="D63" t="str">
        <f t="shared" si="2"/>
        <v>1.029.68949490769306E+92</v>
      </c>
      <c r="E63" t="s">
        <v>97</v>
      </c>
    </row>
    <row r="64" spans="1:5" x14ac:dyDescent="0.2">
      <c r="A64" t="str" cm="1">
        <f t="array" ref="A64">OCT2BIN("3",3)&amp;COUNT(D!AS1:AS8)</f>
        <v>0115</v>
      </c>
      <c r="B64">
        <f t="shared" si="0"/>
        <v>-3</v>
      </c>
      <c r="C64">
        <f t="shared" si="1"/>
        <v>0</v>
      </c>
      <c r="D64" t="str">
        <f t="shared" si="2"/>
        <v>0115</v>
      </c>
      <c r="E64" t="s">
        <v>98</v>
      </c>
    </row>
    <row r="65" spans="1:5" x14ac:dyDescent="0.2">
      <c r="A65" cm="1">
        <f t="array" ref="A65">STDEVA(D!B1:B8)</f>
        <v>13.760020699216158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13.760020699216158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INT(8.9)</f>
        <v>8</v>
      </c>
      <c r="B66">
        <f t="shared" si="3"/>
        <v>0</v>
      </c>
      <c r="C66">
        <f t="shared" si="4"/>
        <v>8</v>
      </c>
      <c r="D66" t="str">
        <f t="shared" si="5"/>
        <v/>
      </c>
      <c r="E66" t="s">
        <v>100</v>
      </c>
    </row>
    <row r="67" spans="1:5" x14ac:dyDescent="0.2">
      <c r="A67" cm="1">
        <f t="array" ref="A67">AVERAGE(D!N2)</f>
        <v>20</v>
      </c>
      <c r="B67">
        <f t="shared" si="3"/>
        <v>0</v>
      </c>
      <c r="C67">
        <f t="shared" si="4"/>
        <v>20</v>
      </c>
      <c r="D67" t="str">
        <f t="shared" si="5"/>
        <v/>
      </c>
      <c r="E67" t="s">
        <v>101</v>
      </c>
    </row>
    <row r="68" spans="1:5" x14ac:dyDescent="0.2">
      <c r="A68" t="e" cm="1">
        <f t="array" ref="A68">_xlfn.CHOOSEROWS(D!P4:R5,3,5)&lt;=_xlfn.VAR.P(D!G1:G7,{1,2,3},D!L1:L6,D!N1:N6)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 vm="2">
        <f t="array" aca="1" ref="A69" ca="1">BESSELI(1,1)&gt;_xlfn.T.INV.2T(0.546449,D!L1:L6)</f>
        <v>#VALUE!</v>
      </c>
      <c r="B69">
        <f t="shared" ca="1" si="3"/>
        <v>9</v>
      </c>
      <c r="C69">
        <f t="shared" ca="1" si="4"/>
        <v>0</v>
      </c>
      <c r="D69" t="str">
        <f t="shared" ca="1" si="5"/>
        <v/>
      </c>
      <c r="E69" t="s">
        <v>103</v>
      </c>
    </row>
    <row r="70" spans="1:5" x14ac:dyDescent="0.2">
      <c r="A70" cm="1">
        <f t="array" ref="A70">_xlfn.HYPGEOM.DIST(1,4,8,20,0.25)</f>
        <v>0.46542827657378727</v>
      </c>
      <c r="B70">
        <f t="shared" si="3"/>
        <v>0</v>
      </c>
      <c r="C70">
        <f t="shared" si="4"/>
        <v>0.46542827657378727</v>
      </c>
      <c r="D70" t="str">
        <f t="shared" si="5"/>
        <v/>
      </c>
      <c r="E70" t="s">
        <v>104</v>
      </c>
    </row>
    <row r="71" spans="1:5" x14ac:dyDescent="0.2">
      <c r="A71" t="str" cm="1">
        <f t="array" ref="A71">_xlfn.TEXTJOIN(";",FALSE,NORMSDIST(1.333333))</f>
        <v>0.908788725604095</v>
      </c>
      <c r="B71">
        <f t="shared" si="3"/>
        <v>-3</v>
      </c>
      <c r="C71">
        <f t="shared" si="4"/>
        <v>0</v>
      </c>
      <c r="D71" t="str">
        <f t="shared" si="5"/>
        <v>0.908788725604095</v>
      </c>
      <c r="E71" t="s">
        <v>105</v>
      </c>
    </row>
    <row r="72" spans="1:5" x14ac:dyDescent="0.2">
      <c r="A72" cm="1">
        <f t="array" ref="A72">ATANH(0.76159416)</f>
        <v>1.0000000096297197</v>
      </c>
      <c r="B72">
        <f t="shared" si="3"/>
        <v>0</v>
      </c>
      <c r="C72">
        <f t="shared" si="4"/>
        <v>1.0000000096297197</v>
      </c>
      <c r="D72" t="str">
        <f t="shared" si="5"/>
        <v/>
      </c>
      <c r="E72" t="s">
        <v>106</v>
      </c>
    </row>
    <row r="73" spans="1:5" x14ac:dyDescent="0.2">
      <c r="A73" t="e" cm="1">
        <f t="array" ref="A73">HEX2OCT("F",D!A8)</f>
        <v>#N/A</v>
      </c>
      <c r="B73">
        <f t="shared" si="3"/>
        <v>7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str" cm="1">
        <f t="array" ref="A74">_xlfn.TEXTJOIN(";",FALSE,MIRR(D!I1:I5,_xlfn.F.INV.RT(0.01,6,D!G4),0.12))</f>
        <v>0.16307683419049</v>
      </c>
      <c r="B74">
        <f t="shared" si="3"/>
        <v>-3</v>
      </c>
      <c r="C74">
        <f t="shared" si="4"/>
        <v>0</v>
      </c>
      <c r="D74" t="str">
        <f t="shared" si="5"/>
        <v>0.16307683419049</v>
      </c>
      <c r="E74" t="s">
        <v>108</v>
      </c>
    </row>
    <row r="75" spans="1:5" x14ac:dyDescent="0.2">
      <c r="A75" t="e" cm="1">
        <f t="array" ref="A75">AVERAGEIFS(D!B1,D!F1:F7,"a,b")</f>
        <v>#VALUE!</v>
      </c>
      <c r="B75">
        <f t="shared" si="3"/>
        <v>3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BETAINV(0.685470581,#NUM!,0.25,1,4)</f>
        <v>#NUM!</v>
      </c>
      <c r="B76">
        <f t="shared" si="3"/>
        <v>6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COLUMNS(FIND(D!A4,"$1,000"))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_xlfn.GAMMA.INV(-1,0,FALSE)</f>
        <v>#NUM!</v>
      </c>
      <c r="B78">
        <f t="shared" si="3"/>
        <v>6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str" cm="1">
        <f t="array" ref="A79">_xlfn.TEXTJOIN(";",FALSE,NORMSINV(0.908789))</f>
        <v>1.33333467304411</v>
      </c>
      <c r="B79">
        <f t="shared" si="3"/>
        <v>-3</v>
      </c>
      <c r="C79">
        <f t="shared" si="4"/>
        <v>0</v>
      </c>
      <c r="D79" t="str">
        <f t="shared" si="5"/>
        <v>1.33333467304411</v>
      </c>
      <c r="E79" t="s">
        <v>113</v>
      </c>
    </row>
    <row r="80" spans="1:5" x14ac:dyDescent="0.2">
      <c r="A80" t="e" cm="1">
        <f t="array" ref="A80">IMARGUMENT(WORKDAY(GESTEP(-1,#REF!),"FALSE",PPMT(D!B1,1000,-1.5,2000)))</f>
        <v>#REF!</v>
      </c>
      <c r="B80">
        <f t="shared" si="3"/>
        <v>4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ROWS(HEX2BIN("F",ATANH(0.76159416)))</f>
        <v>#NUM!</v>
      </c>
      <c r="B81">
        <f t="shared" si="3"/>
        <v>6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cm="1">
        <f t="array" ref="A82">_xlfn.QUARTILE.EXC(D!B1:B8,1)</f>
        <v>5</v>
      </c>
      <c r="B82">
        <f t="shared" si="3"/>
        <v>0</v>
      </c>
      <c r="C82">
        <f t="shared" si="4"/>
        <v>5</v>
      </c>
      <c r="D82" t="str">
        <f t="shared" si="5"/>
        <v/>
      </c>
      <c r="E82" t="s">
        <v>116</v>
      </c>
    </row>
    <row r="83" spans="1:5" x14ac:dyDescent="0.2">
      <c r="A83" cm="1">
        <f t="array" ref="A83">TAN(2)</f>
        <v>-2.1850398632615189</v>
      </c>
      <c r="B83">
        <f t="shared" si="3"/>
        <v>0</v>
      </c>
      <c r="C83">
        <f t="shared" si="4"/>
        <v>-2.1850398632615189</v>
      </c>
      <c r="D83" t="str">
        <f t="shared" si="5"/>
        <v/>
      </c>
      <c r="E83" t="s">
        <v>117</v>
      </c>
    </row>
    <row r="84" spans="1:5" x14ac:dyDescent="0.2">
      <c r="A84" cm="1">
        <f t="array" ref="A84">_xlfn.ERFC.PRECISE(1)</f>
        <v>0.15729920705028513</v>
      </c>
      <c r="B84">
        <f t="shared" si="3"/>
        <v>0</v>
      </c>
      <c r="C84">
        <f t="shared" si="4"/>
        <v>0.15729920705028513</v>
      </c>
      <c r="D84" t="str">
        <f t="shared" si="5"/>
        <v/>
      </c>
      <c r="E84" t="s">
        <v>118</v>
      </c>
    </row>
    <row r="85" spans="1:5" x14ac:dyDescent="0.2">
      <c r="A85" cm="1">
        <f t="array" ref="A85">MINA(D!B1:B8,LOGEST(D!BB1:BB6),D!H1:H7,{3,1,2})</f>
        <v>-3.5</v>
      </c>
      <c r="B85">
        <f t="shared" si="3"/>
        <v>0</v>
      </c>
      <c r="C85">
        <f t="shared" si="4"/>
        <v>-3.5</v>
      </c>
      <c r="D85" t="str">
        <f t="shared" si="5"/>
        <v/>
      </c>
      <c r="E85" t="s">
        <v>119</v>
      </c>
    </row>
    <row r="86" spans="1:5" x14ac:dyDescent="0.2">
      <c r="A86" t="e" cm="1">
        <f t="array" ref="A86">_xlfn.HYPGEOM.DIST(100,10,D!F1,D!A10,TRUE)</f>
        <v>#VALUE!</v>
      </c>
      <c r="B86">
        <f t="shared" si="3"/>
        <v>3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SLN(#REF!%=D!L4,0,10)</f>
        <v>#REF!</v>
      </c>
      <c r="B87">
        <f t="shared" si="3"/>
        <v>4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ROWS(_xlfn.EXPAND(D!P1:Q2,1,2,0))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aca="1" ref="A89" ca="1">SKEW(AVEDEV(INDEX({"a","b"},"18:30",0))%&lt;AVERAGEIF(D!G1:G7,"&gt;4",D!C2),D!I1:I5)</f>
        <v>#NUM!</v>
      </c>
      <c r="B89">
        <f t="shared" ca="1" si="3"/>
        <v>6</v>
      </c>
      <c r="C89">
        <f t="shared" ca="1" si="4"/>
        <v>0</v>
      </c>
      <c r="D89" t="str">
        <f t="shared" ca="1" si="5"/>
        <v/>
      </c>
      <c r="E89" t="s">
        <v>123</v>
      </c>
    </row>
    <row r="90" spans="1:5" x14ac:dyDescent="0.2">
      <c r="A90" t="b" cm="1">
        <f t="array" ref="A90">CONVERT(-1,"lbm","kg")&lt;ISPMT(RADIANS(0.25),1,36,8000000)</f>
        <v>0</v>
      </c>
      <c r="B90">
        <f t="shared" si="3"/>
        <v>-2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 vm="3">
        <f t="array" aca="1" ref="A91" ca="1">ROW(D!K1:K8)</f>
        <v>#VALUE!</v>
      </c>
      <c r="B91">
        <f t="shared" ca="1" si="3"/>
        <v>9</v>
      </c>
      <c r="C91">
        <f t="shared" ca="1" si="4"/>
        <v>0</v>
      </c>
      <c r="D91" t="str">
        <f t="shared" ca="1" si="5"/>
        <v/>
      </c>
      <c r="E91" t="s">
        <v>125</v>
      </c>
    </row>
    <row r="92" spans="1:5" x14ac:dyDescent="0.2">
      <c r="A92" t="e" cm="1">
        <f t="array" ref="A92">INDEX(D!A10,2,3)</f>
        <v>#REF!</v>
      </c>
      <c r="B92">
        <f t="shared" si="3"/>
        <v>4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cm="1">
        <f t="array" ref="A93">_xlfn.AGGREGATE(" 2 ",4,D!L4,D!M1:M6,D!AW1:AW4)</f>
        <v>1</v>
      </c>
      <c r="B93">
        <f t="shared" si="3"/>
        <v>0</v>
      </c>
      <c r="C93">
        <f t="shared" si="4"/>
        <v>1</v>
      </c>
      <c r="D93" t="str">
        <f t="shared" si="5"/>
        <v/>
      </c>
      <c r="E93" t="s">
        <v>127</v>
      </c>
    </row>
    <row r="94" spans="1:5" x14ac:dyDescent="0.2">
      <c r="A94" t="e" cm="1" vm="4">
        <f t="array" aca="1" ref="A94" ca="1">FIXED({"x";""},1)</f>
        <v>#VALUE!</v>
      </c>
      <c r="B94">
        <f t="shared" ca="1" si="3"/>
        <v>9</v>
      </c>
      <c r="C94">
        <f t="shared" ca="1" si="4"/>
        <v>0</v>
      </c>
      <c r="D94" t="str">
        <f t="shared" ca="1" si="5"/>
        <v/>
      </c>
      <c r="E94" t="s">
        <v>128</v>
      </c>
    </row>
    <row r="95" spans="1:5" x14ac:dyDescent="0.2">
      <c r="A95" t="e" cm="1">
        <f t="array" ref="A95">KURT(D!B1:B8,_xlfn._xlws.SORT(D!B1:B8),D!E1:E8)+MMULT(D!P1:Q2,D!AY1:AY5)</f>
        <v>#DIV/0!</v>
      </c>
      <c r="B95">
        <f t="shared" si="3"/>
        <v>2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cm="1">
        <f t="array" ref="A96">FACT(5)</f>
        <v>120</v>
      </c>
      <c r="B96">
        <f t="shared" si="3"/>
        <v>0</v>
      </c>
      <c r="C96">
        <f t="shared" si="4"/>
        <v>120</v>
      </c>
      <c r="D96" t="str">
        <f t="shared" si="5"/>
        <v/>
      </c>
      <c r="E96" t="s">
        <v>130</v>
      </c>
    </row>
    <row r="97" spans="1:5" x14ac:dyDescent="0.2">
      <c r="A97" t="e" cm="1">
        <f t="array" ref="A97">QUARTILE(D!F1:F7,45688.75)^TBILLPRICE(0.5,39600,#DIV/0!)</f>
        <v>#NUM!</v>
      </c>
      <c r="B97">
        <f t="shared" si="3"/>
        <v>6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POISSON(2,TRUE,TRUE)*MATCH(D!A9,D!L1:L6,D!A2)</f>
        <v>#N/A</v>
      </c>
      <c r="B98">
        <f t="shared" si="3"/>
        <v>7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b" cm="1">
        <f t="array" ref="A99">_xlfn.SKEW.P(D!B1:B8)&gt;=_xlfn.AGGREGATE(9,0.25,D!N1:N6)</f>
        <v>0</v>
      </c>
      <c r="B99">
        <f t="shared" si="3"/>
        <v>-2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e" cm="1" vm="5">
        <f t="array" aca="1" ref="A100" ca="1">_xlfn.QUARTILE.EXC(D!B1:B8,1)&lt;&gt;_xlfn.MUNIT(2)</f>
        <v>#VALUE!</v>
      </c>
      <c r="B100">
        <f t="shared" ca="1" si="3"/>
        <v>9</v>
      </c>
      <c r="C100">
        <f t="shared" ca="1" si="4"/>
        <v>0</v>
      </c>
      <c r="D100" t="str">
        <f t="shared" ca="1" si="5"/>
        <v/>
      </c>
      <c r="E100" t="s">
        <v>134</v>
      </c>
    </row>
    <row r="101" spans="1:5" x14ac:dyDescent="0.2">
      <c r="A101" cm="1">
        <f t="array" ref="A101">_xlfn.GAMMA(D!M2&gt;="")</f>
        <v>1</v>
      </c>
      <c r="B101">
        <f t="shared" si="3"/>
        <v>0</v>
      </c>
      <c r="C101">
        <f t="shared" si="4"/>
        <v>1</v>
      </c>
      <c r="D101" t="str">
        <f t="shared" si="5"/>
        <v/>
      </c>
      <c r="E101" t="s">
        <v>135</v>
      </c>
    </row>
    <row r="102" spans="1:5" x14ac:dyDescent="0.2">
      <c r="A102" cm="1">
        <f t="array" ref="A102">MIRR(D!I1:I5,D!A12,"3")</f>
        <v>1.3157795817211899</v>
      </c>
      <c r="B102">
        <f t="shared" si="3"/>
        <v>0</v>
      </c>
      <c r="C102">
        <f t="shared" si="4"/>
        <v>1.3157795817211899</v>
      </c>
      <c r="D102" t="str">
        <f t="shared" si="5"/>
        <v/>
      </c>
      <c r="E102" t="s">
        <v>136</v>
      </c>
    </row>
    <row r="103" spans="1:5" x14ac:dyDescent="0.2">
      <c r="A103" t="e" cm="1" vm="6">
        <f t="array" aca="1" ref="A103" ca="1">FINDB("b",D!F1:F7)</f>
        <v>#VALUE!</v>
      </c>
      <c r="B103">
        <f t="shared" ca="1" si="3"/>
        <v>9</v>
      </c>
      <c r="C103">
        <f t="shared" ca="1" si="4"/>
        <v>0</v>
      </c>
      <c r="D103" t="str">
        <f t="shared" ca="1" si="5"/>
        <v/>
      </c>
      <c r="E103" t="s">
        <v>137</v>
      </c>
    </row>
    <row r="104" spans="1:5" x14ac:dyDescent="0.2">
      <c r="A104" t="e" cm="1">
        <f t="array" ref="A104">GAMMADIST(10.00001131,#NAME?,0,AND(D!A1:A5,_xlfn.DAYS("2025-01-31",44228),_xlfn.SECH(45),_xlfn.MAXIFS(D!B1:B8,D!C1:C8,"&gt;4")))</f>
        <v>#NAME?</v>
      </c>
      <c r="B104">
        <f t="shared" si="3"/>
        <v>5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cm="1">
        <f t="array" ref="A105">IMAGINARY(ASIN(-0.5))</f>
        <v>0</v>
      </c>
      <c r="B105">
        <f t="shared" si="3"/>
        <v>0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t="e" cm="1">
        <f t="array" ref="A106">PV(0.00666666666666667,D!A13,"x y")</f>
        <v>#VALUE!</v>
      </c>
      <c r="B106">
        <f t="shared" si="3"/>
        <v>3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t="e" cm="1">
        <f t="array" ref="A107">INDEX(CRITBINOM("2024-02-29","1/2/2025",0.75),1,1)</f>
        <v>#NUM!</v>
      </c>
      <c r="B107">
        <f t="shared" si="3"/>
        <v>6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cm="1">
        <f t="array" ref="A108">FDIST(15.2069,6,4)</f>
        <v>9.9999569972373126E-3</v>
      </c>
      <c r="B108">
        <f t="shared" si="3"/>
        <v>0</v>
      </c>
      <c r="C108">
        <f t="shared" si="4"/>
        <v>9.9999569972373126E-3</v>
      </c>
      <c r="D108" t="str">
        <f t="shared" si="5"/>
        <v/>
      </c>
      <c r="E108" t="s">
        <v>142</v>
      </c>
    </row>
    <row r="109" spans="1:5" x14ac:dyDescent="0.2">
      <c r="A109" cm="1">
        <f t="array" ref="A109">ROWS(POWER(ROUNDUP(3.2,0),2))</f>
        <v>1</v>
      </c>
      <c r="B109">
        <f t="shared" si="3"/>
        <v>0</v>
      </c>
      <c r="C109">
        <f t="shared" si="4"/>
        <v>1</v>
      </c>
      <c r="D109" t="str">
        <f t="shared" si="5"/>
        <v/>
      </c>
      <c r="E109" t="s">
        <v>143</v>
      </c>
    </row>
    <row r="110" spans="1:5" x14ac:dyDescent="0.2">
      <c r="A110" t="b" cm="1">
        <f t="array" ref="A110">OR(FALSE,D!A1:A5)</f>
        <v>1</v>
      </c>
      <c r="B110">
        <f t="shared" si="3"/>
        <v>-1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YIELDDISC(DATE(2008,2,16),DATE(2008,3,1),1000,_xlfn.CONFIDENCE.NORM(D!G4,2.5,40000),2)</f>
        <v>#NUM!</v>
      </c>
      <c r="B111">
        <f t="shared" si="3"/>
        <v>6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cm="1">
        <f t="array" ref="A112">SUM(_xlfn.CHISQ.INV(0.93,1000))</f>
        <v>1066.7669411750805</v>
      </c>
      <c r="B112">
        <f t="shared" si="3"/>
        <v>0</v>
      </c>
      <c r="C112">
        <f t="shared" si="4"/>
        <v>1066.7669411750805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DOLLAR(1234.567,2)-MULTINOMIAL(2,3,D!A8)</f>
        <v>#N/A</v>
      </c>
      <c r="B113">
        <f t="shared" si="3"/>
        <v>7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 vm="7">
        <f t="array" aca="1" ref="A114" ca="1">SERIESSUM(1000,{"a","b"},2,COLUMN(D!AZ1:AZ5))</f>
        <v>#VALUE!</v>
      </c>
      <c r="B114">
        <f t="shared" ca="1" si="3"/>
        <v>9</v>
      </c>
      <c r="C114">
        <f t="shared" ca="1" si="4"/>
        <v>0</v>
      </c>
      <c r="D114" t="str">
        <f t="shared" ca="1" si="5"/>
        <v/>
      </c>
      <c r="E114" t="s">
        <v>148</v>
      </c>
    </row>
    <row r="115" spans="1:5" x14ac:dyDescent="0.2">
      <c r="A115" cm="1">
        <f t="array" ref="A115">_xlfn.ISOWEEKNUM(D!A15)</f>
        <v>5</v>
      </c>
      <c r="B115">
        <f t="shared" si="3"/>
        <v>0</v>
      </c>
      <c r="C115">
        <f t="shared" si="4"/>
        <v>5</v>
      </c>
      <c r="D115" t="str">
        <f t="shared" si="5"/>
        <v/>
      </c>
      <c r="E115" t="s">
        <v>149</v>
      </c>
    </row>
    <row r="116" spans="1:5" x14ac:dyDescent="0.2">
      <c r="A116" t="e" cm="1">
        <f t="array" ref="A116">VARA(D!A8)</f>
        <v>#N/A</v>
      </c>
      <c r="B116">
        <f t="shared" si="3"/>
        <v>7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cm="1">
        <f t="array" ref="A117">_xlfn.BITXOR(5,TRUE)</f>
        <v>4</v>
      </c>
      <c r="B117">
        <f t="shared" si="3"/>
        <v>0</v>
      </c>
      <c r="C117">
        <f t="shared" si="4"/>
        <v>4</v>
      </c>
      <c r="D117" t="str">
        <f t="shared" si="5"/>
        <v/>
      </c>
      <c r="E117" t="s">
        <v>151</v>
      </c>
    </row>
    <row r="118" spans="1:5" x14ac:dyDescent="0.2">
      <c r="A118" cm="1">
        <f t="array" ref="A118">_xlfn.T.DIST.RT(1.959999998,10)</f>
        <v>3.9218120254039396E-2</v>
      </c>
      <c r="B118">
        <f t="shared" si="3"/>
        <v>0</v>
      </c>
      <c r="C118">
        <f t="shared" si="4"/>
        <v>3.9218120254039396E-2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ROWS(BETAINV(-1.5,D!F1,"abc",-1,0.25))</f>
        <v>#VALUE!</v>
      </c>
      <c r="B119">
        <f t="shared" si="3"/>
        <v>3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cm="1">
        <f t="array" ref="A120">RANK(15,D!B3)</f>
        <v>1</v>
      </c>
      <c r="B120">
        <f t="shared" si="3"/>
        <v>0</v>
      </c>
      <c r="C120">
        <f t="shared" si="4"/>
        <v>1</v>
      </c>
      <c r="D120" t="str">
        <f t="shared" si="5"/>
        <v/>
      </c>
      <c r="E120" t="s">
        <v>154</v>
      </c>
    </row>
    <row r="121" spans="1:5" x14ac:dyDescent="0.2">
      <c r="A121" cm="1">
        <f t="array" ref="A121">ROWS(_xlfn.GAMMA.DIST(10.00001131,9,2,FALSE))</f>
        <v>1</v>
      </c>
      <c r="B121">
        <f t="shared" si="3"/>
        <v>0</v>
      </c>
      <c r="C121">
        <f t="shared" si="4"/>
        <v>1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_xlfn.F.INV(4,2.5,4)</f>
        <v>#NUM!</v>
      </c>
      <c r="B122">
        <f t="shared" si="3"/>
        <v>6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cm="1">
        <f t="array" ref="A123">SUM(_xlfn.AGGREGATE(D!L4,2.5,D!N1:N6,D!G1:G7,D!B3))</f>
        <v>1</v>
      </c>
      <c r="B123">
        <f t="shared" si="3"/>
        <v>0</v>
      </c>
      <c r="C123">
        <f t="shared" si="4"/>
        <v>1</v>
      </c>
      <c r="D123" t="str">
        <f t="shared" si="5"/>
        <v/>
      </c>
      <c r="E123" t="s">
        <v>157</v>
      </c>
    </row>
    <row r="124" spans="1:5" x14ac:dyDescent="0.2">
      <c r="A124" cm="1">
        <f t="array" ref="A124">COLUMNS(HOUR(0.75))</f>
        <v>1</v>
      </c>
      <c r="B124">
        <f t="shared" si="3"/>
        <v>0</v>
      </c>
      <c r="C124">
        <f t="shared" si="4"/>
        <v>1</v>
      </c>
      <c r="D124" t="str">
        <f t="shared" si="5"/>
        <v/>
      </c>
      <c r="E124" t="s">
        <v>158</v>
      </c>
    </row>
    <row r="125" spans="1:5" x14ac:dyDescent="0.2">
      <c r="A125" t="e" cm="1" vm="8">
        <f t="array" aca="1" ref="A125" ca="1">_xlfn.BASE(2.5%^_xlfn.DROP(D!L1:N6,1),2)</f>
        <v>#VALUE!</v>
      </c>
      <c r="B125">
        <f t="shared" ca="1" si="3"/>
        <v>9</v>
      </c>
      <c r="C125">
        <f t="shared" ca="1" si="4"/>
        <v>0</v>
      </c>
      <c r="D125" t="str">
        <f t="shared" ca="1" si="5"/>
        <v/>
      </c>
      <c r="E125" t="s">
        <v>159</v>
      </c>
    </row>
    <row r="126" spans="1:5" x14ac:dyDescent="0.2">
      <c r="A126" t="e" cm="1">
        <f t="array" ref="A126">_xlfn.CHOOSEROWS(D!L1:N6,0,-1)</f>
        <v>#VALUE!</v>
      </c>
      <c r="B126">
        <f t="shared" si="3"/>
        <v>3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cm="1">
        <f t="array" ref="A127">STDEVPA(D!B1:B8,D!AV1:AV7,100,D!B3)</f>
        <v>23.202825415591867</v>
      </c>
      <c r="B127">
        <f t="shared" si="3"/>
        <v>0</v>
      </c>
      <c r="C127">
        <f t="shared" si="4"/>
        <v>23.202825415591867</v>
      </c>
      <c r="D127" t="str">
        <f t="shared" si="5"/>
        <v/>
      </c>
      <c r="E127" t="s">
        <v>161</v>
      </c>
    </row>
    <row r="128" spans="1:5" x14ac:dyDescent="0.2">
      <c r="A128" cm="1">
        <f t="array" ref="A128">INDEX(_xlfn.RRI(96,D!C2,11000),1,1)</f>
        <v>7.9679202756998357E-2</v>
      </c>
      <c r="B128">
        <f t="shared" si="3"/>
        <v>0</v>
      </c>
      <c r="C128">
        <f t="shared" si="4"/>
        <v>7.9679202756998357E-2</v>
      </c>
      <c r="D128" t="str">
        <f t="shared" si="5"/>
        <v/>
      </c>
      <c r="E128" t="s">
        <v>162</v>
      </c>
    </row>
    <row r="129" spans="1:5" x14ac:dyDescent="0.2">
      <c r="A129" t="str" cm="1">
        <f t="array" ref="A129">INDEX(RIGHT("Sale Price",5),1,1)</f>
        <v>Price</v>
      </c>
      <c r="B129">
        <f t="shared" ref="B129:B192" si="6">IF(ISERROR(A129),ERROR.TYPE(A129),IF(ISNUMBER(A129),0,IF(ISLOGICAL(A129),IF(A129,-1,-2),IF(ISTEXT(A129),-3,-4))))</f>
        <v>-3</v>
      </c>
      <c r="C129">
        <f t="shared" ref="C129:C192" si="7">IF(ISNUMBER(A129),A129,0)</f>
        <v>0</v>
      </c>
      <c r="D129" t="str">
        <f t="shared" ref="D129:D192" si="8">IF(ISTEXT(A129),A129,"")</f>
        <v>Price</v>
      </c>
      <c r="E129" t="s">
        <v>163</v>
      </c>
    </row>
    <row r="130" spans="1:5" x14ac:dyDescent="0.2">
      <c r="A130" t="e" cm="1">
        <f t="array" ref="A130">COLUMNS(T(_xlfn.WRAPROWS(D!M1:N6,2)))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_xlfn.F.INV(100,6,4)&gt;=_xlfn.F.TEST(D!A3,_xlfn.UNIQUE(D!AS1:AS8))</f>
        <v>#NUM!</v>
      </c>
      <c r="B131">
        <f t="shared" si="6"/>
        <v>6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cm="1">
        <f t="array" ref="A132">DDB(2400,300,3650,1)</f>
        <v>1.3150684931506849</v>
      </c>
      <c r="B132">
        <f t="shared" si="6"/>
        <v>0</v>
      </c>
      <c r="C132">
        <f t="shared" si="7"/>
        <v>1.3150684931506849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_xlfn.COT(#N/A)</f>
        <v>#N/A</v>
      </c>
      <c r="B133">
        <f t="shared" si="6"/>
        <v>7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 vm="2">
        <f t="array" aca="1" ref="A134" ca="1">SIGN(D!N1:N6)</f>
        <v>#VALUE!</v>
      </c>
      <c r="B134">
        <f t="shared" ca="1" si="6"/>
        <v>9</v>
      </c>
      <c r="C134">
        <f t="shared" ca="1" si="7"/>
        <v>0</v>
      </c>
      <c r="D134" t="str">
        <f t="shared" ca="1" si="8"/>
        <v/>
      </c>
      <c r="E134" t="s">
        <v>168</v>
      </c>
    </row>
    <row r="135" spans="1:5" x14ac:dyDescent="0.2">
      <c r="A135" cm="1">
        <f t="array" ref="A135">BIN2DEC("1100100")</f>
        <v>100</v>
      </c>
      <c r="B135">
        <f t="shared" si="6"/>
        <v>0</v>
      </c>
      <c r="C135">
        <f t="shared" si="7"/>
        <v>100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WORKDAY(BETAINV(_xlfn.XMATCH(3,D!B1:C8,1,D!B7),8,10,1,"x y"),151)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cm="1">
        <f t="array" ref="A137">LN(86)*_xlfn.DAYS(44270,44228)</f>
        <v>187.08258644264731</v>
      </c>
      <c r="B137">
        <f t="shared" si="6"/>
        <v>0</v>
      </c>
      <c r="C137">
        <f t="shared" si="7"/>
        <v>187.08258644264731</v>
      </c>
      <c r="D137" t="str">
        <f t="shared" si="8"/>
        <v/>
      </c>
      <c r="E137" t="s">
        <v>171</v>
      </c>
    </row>
    <row r="138" spans="1:5" x14ac:dyDescent="0.2">
      <c r="A138" t="e" cm="1" vm="3">
        <f t="array" aca="1" ref="A138" ca="1">FV(0.005,10,-200,-500,D!B1:B8)</f>
        <v>#VALUE!</v>
      </c>
      <c r="B138">
        <f t="shared" ca="1" si="6"/>
        <v>9</v>
      </c>
      <c r="C138">
        <f t="shared" ca="1" si="7"/>
        <v>0</v>
      </c>
      <c r="D138" t="str">
        <f t="shared" ca="1" si="8"/>
        <v/>
      </c>
      <c r="E138" t="s">
        <v>172</v>
      </c>
    </row>
    <row r="139" spans="1:5" x14ac:dyDescent="0.2">
      <c r="A139" t="e" cm="1" vm="4">
        <f t="array" aca="1" ref="A139" ca="1">WORKDAY.INTL({"x";""},90,45658)</f>
        <v>#VALUE!</v>
      </c>
      <c r="B139">
        <f t="shared" ca="1" si="6"/>
        <v>9</v>
      </c>
      <c r="C139">
        <f t="shared" ca="1" si="7"/>
        <v>0</v>
      </c>
      <c r="D139" t="str">
        <f t="shared" ca="1" si="8"/>
        <v/>
      </c>
      <c r="E139" t="s">
        <v>173</v>
      </c>
    </row>
    <row r="140" spans="1:5" x14ac:dyDescent="0.2">
      <c r="A140" t="e" cm="1">
        <f t="array" ref="A140">XNPV("1E2",D!J1:J5,{2,"a";TRUE,#N/A})</f>
        <v>#NUM!</v>
      </c>
      <c r="B140">
        <f t="shared" si="6"/>
        <v>6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_xlfn.IMCSCH(#DIV/0!)</f>
        <v>#DIV/0!</v>
      </c>
      <c r="B141">
        <f t="shared" si="6"/>
        <v>2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e" cm="1" vm="7">
        <f t="array" aca="1" ref="A142" ca="1">ODDLYIELD("?",DATE(2008,6,15),"1/2/2025",D!F1,FORECAST(30,{1,2;3,4},D!B1:B8),100,2,WORKDAY(39722,TRUE))&lt;&gt;REPT({45658,45689},3)</f>
        <v>#VALUE!</v>
      </c>
      <c r="B142">
        <f t="shared" ca="1" si="6"/>
        <v>9</v>
      </c>
      <c r="C142">
        <f t="shared" ca="1" si="7"/>
        <v>0</v>
      </c>
      <c r="D142" t="str">
        <f t="shared" ca="1" si="8"/>
        <v/>
      </c>
      <c r="E142" t="s">
        <v>176</v>
      </c>
    </row>
    <row r="143" spans="1:5" x14ac:dyDescent="0.2">
      <c r="A143" t="e" cm="1">
        <f t="array" ref="A143">DGET(D!L1:L6,"Yield",D!C2)</f>
        <v>#VALUE!</v>
      </c>
      <c r="B143">
        <f t="shared" si="6"/>
        <v>3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cm="1">
        <f t="array" ref="A144">INDEX(NETWORKDAYS(45658,41334),1,1)</f>
        <v>-3089</v>
      </c>
      <c r="B144">
        <f t="shared" si="6"/>
        <v>0</v>
      </c>
      <c r="C144">
        <f t="shared" si="7"/>
        <v>-3089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DISC(43282,HLOOKUP(5,D!L8:Q10,2,""),97.975,100," ")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_xlfn.UNICHAR(3)+SECOND(0.70020833)</f>
        <v>#VALUE!</v>
      </c>
      <c r="B146">
        <f t="shared" si="6"/>
        <v>3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str" cm="1">
        <f t="array" ref="A147">REPT("*-",2)</f>
        <v>*-*-</v>
      </c>
      <c r="B147">
        <f t="shared" si="6"/>
        <v>-3</v>
      </c>
      <c r="C147">
        <f t="shared" si="7"/>
        <v>0</v>
      </c>
      <c r="D147" t="str">
        <f t="shared" si="8"/>
        <v>*-*-</v>
      </c>
      <c r="E147" t="s">
        <v>181</v>
      </c>
    </row>
    <row r="148" spans="1:5" x14ac:dyDescent="0.2">
      <c r="A148" t="e" cm="1">
        <f t="array" ref="A148">HLOOKUP(5,D!B1:B3,2,FALSE)</f>
        <v>#N/A</v>
      </c>
      <c r="B148">
        <f t="shared" si="6"/>
        <v>7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str" cm="1">
        <f t="array" ref="A149">_xlfn.TEXTJOIN(";",FALSE,_xlfn.IFNA("2025-01-31",#NAME?))</f>
        <v>2025-01-31</v>
      </c>
      <c r="B149">
        <f t="shared" si="6"/>
        <v>-3</v>
      </c>
      <c r="C149">
        <f t="shared" si="7"/>
        <v>0</v>
      </c>
      <c r="D149" t="str">
        <f t="shared" si="8"/>
        <v>2025-01-31</v>
      </c>
      <c r="E149" t="s">
        <v>183</v>
      </c>
    </row>
    <row r="150" spans="1:5" x14ac:dyDescent="0.2">
      <c r="A150" t="str" cm="1">
        <f t="array" ref="A150">_xlfn.TEXTJOIN(";",FALSE,OCT2HEX("100",4))</f>
        <v>0040</v>
      </c>
      <c r="B150">
        <f t="shared" si="6"/>
        <v>-3</v>
      </c>
      <c r="C150">
        <f t="shared" si="7"/>
        <v>0</v>
      </c>
      <c r="D150" t="str">
        <f t="shared" si="8"/>
        <v>0040</v>
      </c>
      <c r="E150" t="s">
        <v>184</v>
      </c>
    </row>
    <row r="151" spans="1:5" x14ac:dyDescent="0.2">
      <c r="A151" t="e" cm="1">
        <f t="array" ref="A151">_xlfn.F.TEST(D!AS1:AS8,D!C1:C8)&lt;=MIN(#DIV/0!,D!AS1:AS8,D!C1:C8)</f>
        <v>#DIV/0!</v>
      </c>
      <c r="B151">
        <f t="shared" si="6"/>
        <v>2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str" cm="1">
        <f t="array" ref="A152">RIGHT(1000,5)</f>
        <v>1000</v>
      </c>
      <c r="B152">
        <f t="shared" si="6"/>
        <v>-3</v>
      </c>
      <c r="C152">
        <f t="shared" si="7"/>
        <v>0</v>
      </c>
      <c r="D152" t="str">
        <f t="shared" si="8"/>
        <v>1000</v>
      </c>
      <c r="E152" t="s">
        <v>186</v>
      </c>
    </row>
    <row r="153" spans="1:5" x14ac:dyDescent="0.2">
      <c r="A153" cm="1">
        <f t="array" ref="A153">SQRT(16)</f>
        <v>4</v>
      </c>
      <c r="B153">
        <f t="shared" si="6"/>
        <v>0</v>
      </c>
      <c r="C153">
        <f t="shared" si="7"/>
        <v>4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_xlfn.TEXTJOIN(";",FALSE,IPMT(D!N2,1,EFFECT("A",100),2.5))</f>
        <v>#VALUE!</v>
      </c>
      <c r="B154">
        <f t="shared" si="6"/>
        <v>3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cm="1">
        <f t="array" ref="A155">_xlfn.ARABIC("LVII")</f>
        <v>57</v>
      </c>
      <c r="B155">
        <f t="shared" si="6"/>
        <v>0</v>
      </c>
      <c r="C155">
        <f t="shared" si="7"/>
        <v>57</v>
      </c>
      <c r="D155" t="str">
        <f t="shared" si="8"/>
        <v/>
      </c>
      <c r="E155" t="s">
        <v>189</v>
      </c>
    </row>
    <row r="156" spans="1:5" x14ac:dyDescent="0.2">
      <c r="A156" cm="1">
        <f t="array" ref="A156">IFERROR(D!N2,"err")</f>
        <v>20</v>
      </c>
      <c r="B156">
        <f t="shared" si="6"/>
        <v>0</v>
      </c>
      <c r="C156">
        <f t="shared" si="7"/>
        <v>20</v>
      </c>
      <c r="D156" t="str">
        <f t="shared" si="8"/>
        <v/>
      </c>
      <c r="E156" t="s">
        <v>190</v>
      </c>
    </row>
    <row r="157" spans="1:5" x14ac:dyDescent="0.2">
      <c r="A157" t="e" cm="1" vm="6">
        <f t="array" aca="1" ref="A157" ca="1">PERCENTILE(_xlfn.WRAPCOLS(D!B1:B8,2),D!F1:F7)</f>
        <v>#VALUE!</v>
      </c>
      <c r="B157">
        <f t="shared" ca="1" si="6"/>
        <v>9</v>
      </c>
      <c r="C157">
        <f t="shared" ca="1" si="7"/>
        <v>0</v>
      </c>
      <c r="D157" t="str">
        <f t="shared" ca="1" si="8"/>
        <v/>
      </c>
      <c r="E157" t="s">
        <v>191</v>
      </c>
    </row>
    <row r="158" spans="1:5" x14ac:dyDescent="0.2">
      <c r="A158" t="e" cm="1">
        <f t="array" ref="A158">REPLACE("abcdefghijk",D!B1,5,AMORLINC(TRUE,"abc",D!A4,300,2.5,D!A2,1))</f>
        <v>#VALUE!</v>
      </c>
      <c r="B158">
        <f t="shared" si="6"/>
        <v>3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e" cm="1" vm="9">
        <f t="array" aca="1" ref="A159" ca="1">_xlfn.COTH(0.5-D!B3)*_xlfn.MODE.MULT(D!BG1:BG12,D!M1:N6)</f>
        <v>#VALUE!</v>
      </c>
      <c r="B159">
        <f t="shared" ca="1" si="6"/>
        <v>9</v>
      </c>
      <c r="C159">
        <f t="shared" ca="1" si="7"/>
        <v>0</v>
      </c>
      <c r="D159" t="str">
        <f t="shared" ca="1" si="8"/>
        <v/>
      </c>
      <c r="E159" t="s">
        <v>193</v>
      </c>
    </row>
    <row r="160" spans="1:5" x14ac:dyDescent="0.2">
      <c r="A160" t="str" cm="1">
        <f t="array" ref="A160">_xlfn.IMSINH(D!L4)</f>
        <v>74.2032105777888</v>
      </c>
      <c r="B160">
        <f t="shared" si="6"/>
        <v>-3</v>
      </c>
      <c r="C160">
        <f t="shared" si="7"/>
        <v>0</v>
      </c>
      <c r="D160" t="str">
        <f t="shared" si="8"/>
        <v>74.2032105777888</v>
      </c>
      <c r="E160" t="s">
        <v>194</v>
      </c>
    </row>
    <row r="161" spans="1:5" x14ac:dyDescent="0.2">
      <c r="A161" t="e" cm="1" vm="5">
        <f t="array" aca="1" ref="A161" ca="1">MINVERSE(D!P1:Q2)</f>
        <v>#VALUE!</v>
      </c>
      <c r="B161">
        <f t="shared" ca="1" si="6"/>
        <v>9</v>
      </c>
      <c r="C161">
        <f t="shared" ca="1" si="7"/>
        <v>0</v>
      </c>
      <c r="D161" t="str">
        <f t="shared" ca="1" si="8"/>
        <v/>
      </c>
      <c r="E161" t="s">
        <v>195</v>
      </c>
    </row>
    <row r="162" spans="1:5" x14ac:dyDescent="0.2">
      <c r="A162" cm="1">
        <f t="array" ref="A162">STDEVPA(D!B1:B8)</f>
        <v>12.871320772846119</v>
      </c>
      <c r="B162">
        <f t="shared" si="6"/>
        <v>0</v>
      </c>
      <c r="C162">
        <f t="shared" si="7"/>
        <v>12.871320772846119</v>
      </c>
      <c r="D162" t="str">
        <f t="shared" si="8"/>
        <v/>
      </c>
      <c r="E162" t="s">
        <v>196</v>
      </c>
    </row>
    <row r="163" spans="1:5" x14ac:dyDescent="0.2">
      <c r="A163" cm="1">
        <f t="array" ref="A163">HEX2DEC(7)</f>
        <v>7</v>
      </c>
      <c r="B163">
        <f t="shared" si="6"/>
        <v>0</v>
      </c>
      <c r="C163">
        <f t="shared" si="7"/>
        <v>7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CRITBINOM(6,60,D!C2)&amp;FISHER(0.75)</f>
        <v>#NUM!</v>
      </c>
      <c r="B164">
        <f t="shared" si="6"/>
        <v>6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INDEX(FINV(0.01,6,"a*"),1,1)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cm="1">
        <f t="array" ref="A166">STDEV(COLUMN(D!B3),0.5,D!AS1:AS8)</f>
        <v>0.85216810324634673</v>
      </c>
      <c r="B166">
        <f t="shared" si="6"/>
        <v>0</v>
      </c>
      <c r="C166">
        <f t="shared" si="7"/>
        <v>0.85216810324634673</v>
      </c>
      <c r="D166" t="str">
        <f t="shared" si="8"/>
        <v/>
      </c>
      <c r="E166" t="s">
        <v>200</v>
      </c>
    </row>
    <row r="167" spans="1:5" x14ac:dyDescent="0.2">
      <c r="A167" cm="1">
        <f t="array" ref="A167">_xlfn.POISSON.DIST(COUNTIF(D!AS1:AS8,D!A15)&gt;=SUMIF(D!L4,"&gt;4",D!E1:E8),NETWORKDAYS(10,1000),TRUE)</f>
        <v>0</v>
      </c>
      <c r="B167">
        <f t="shared" si="6"/>
        <v>0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COLUMNS(_xlfn.COVARIANCE.P(BAHTTEXT(#NAME?)&lt;&gt;10,D!C1:C8))</f>
        <v>#NAME?</v>
      </c>
      <c r="B168">
        <f t="shared" si="6"/>
        <v>5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str" cm="1">
        <f t="array" ref="A169">_xlfn.IMCSC("4+3i")</f>
        <v>-0.0754898329158637+0.0648774713706355i</v>
      </c>
      <c r="B169">
        <f t="shared" si="6"/>
        <v>-3</v>
      </c>
      <c r="C169">
        <f t="shared" si="7"/>
        <v>0</v>
      </c>
      <c r="D169" t="str">
        <f t="shared" si="8"/>
        <v>-0.0754898329158637+0.0648774713706355i</v>
      </c>
      <c r="E169" t="s">
        <v>203</v>
      </c>
    </row>
    <row r="170" spans="1:5" x14ac:dyDescent="0.2">
      <c r="A170" t="e" cm="1">
        <f t="array" ref="A170">BESSELY(CHIINV(0.050001,_xlfn.T.TEST({45658,45689},D!B1:B3,2,1)),0)</f>
        <v>#N/A</v>
      </c>
      <c r="B170">
        <f t="shared" si="6"/>
        <v>7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cm="1">
        <f t="array" ref="A171">_xlfn.WEIBULL.DIST(1000,20,100,ISNA(2.5))/WORKDAY(39722,151)</f>
        <v>0</v>
      </c>
      <c r="B171">
        <f t="shared" si="6"/>
        <v>0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FISHER(10)</f>
        <v>#NUM!</v>
      </c>
      <c r="B172">
        <f t="shared" si="6"/>
        <v>6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str" cm="1">
        <f t="array" ref="A173">_xlfn.TEXTJOIN(";",FALSE,FACTDOUBLE(6))</f>
        <v>48</v>
      </c>
      <c r="B173">
        <f t="shared" si="6"/>
        <v>-3</v>
      </c>
      <c r="C173">
        <f t="shared" si="7"/>
        <v>0</v>
      </c>
      <c r="D173" t="str">
        <f t="shared" si="8"/>
        <v>48</v>
      </c>
      <c r="E173" t="s">
        <v>207</v>
      </c>
    </row>
    <row r="174" spans="1:5" x14ac:dyDescent="0.2">
      <c r="A174" t="str" cm="1">
        <f t="array" ref="A174">HYPERLINK(0,"50%")</f>
        <v>50%</v>
      </c>
      <c r="B174">
        <f t="shared" si="6"/>
        <v>-3</v>
      </c>
      <c r="C174">
        <f t="shared" si="7"/>
        <v>0</v>
      </c>
      <c r="D174" t="str">
        <f t="shared" si="8"/>
        <v>50%</v>
      </c>
      <c r="E174" t="s">
        <v>208</v>
      </c>
    </row>
    <row r="175" spans="1:5" x14ac:dyDescent="0.2">
      <c r="A175" cm="1">
        <f t="array" ref="A175">COLUMNS(ROW(D!C2))</f>
        <v>1</v>
      </c>
      <c r="B175">
        <f t="shared" si="6"/>
        <v>0</v>
      </c>
      <c r="C175">
        <f t="shared" si="7"/>
        <v>1</v>
      </c>
      <c r="D175" t="str">
        <f t="shared" si="8"/>
        <v/>
      </c>
      <c r="E175" t="s">
        <v>209</v>
      </c>
    </row>
    <row r="176" spans="1:5" x14ac:dyDescent="0.2">
      <c r="A176" t="b" cm="1">
        <f t="array" ref="A176">COS(1.047)&lt;=IMABS("5+12i")</f>
        <v>1</v>
      </c>
      <c r="B176">
        <f t="shared" si="6"/>
        <v>-1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 vm="5">
        <f t="array" aca="1" ref="A177" ca="1">TRANSPOSE(D!R1:S2)</f>
        <v>#VALUE!</v>
      </c>
      <c r="B177">
        <f t="shared" ca="1" si="6"/>
        <v>9</v>
      </c>
      <c r="C177">
        <f t="shared" ca="1" si="7"/>
        <v>0</v>
      </c>
      <c r="D177" t="str">
        <f t="shared" ca="1" si="8"/>
        <v/>
      </c>
      <c r="E177" t="s">
        <v>211</v>
      </c>
    </row>
    <row r="178" spans="1:5" x14ac:dyDescent="0.2">
      <c r="A178" t="str" cm="1">
        <f t="array" ref="A178">_xlfn.IMSECH(D!A1)</f>
        <v>1</v>
      </c>
      <c r="B178">
        <f t="shared" si="6"/>
        <v>-3</v>
      </c>
      <c r="C178">
        <f t="shared" si="7"/>
        <v>0</v>
      </c>
      <c r="D178" t="str">
        <f t="shared" si="8"/>
        <v>1</v>
      </c>
      <c r="E178" t="s">
        <v>212</v>
      </c>
    </row>
    <row r="179" spans="1:5" x14ac:dyDescent="0.2">
      <c r="A179" t="e" cm="1" vm="4">
        <f t="array" aca="1" ref="A179" ca="1">_xlfn.VSTACK("FALSE","1E2")</f>
        <v>#VALUE!</v>
      </c>
      <c r="B179">
        <f t="shared" ca="1" si="6"/>
        <v>9</v>
      </c>
      <c r="C179">
        <f t="shared" ca="1" si="7"/>
        <v>0</v>
      </c>
      <c r="D179" t="str">
        <f t="shared" ca="1" si="8"/>
        <v/>
      </c>
      <c r="E179" t="s">
        <v>213</v>
      </c>
    </row>
    <row r="180" spans="1:5" x14ac:dyDescent="0.2">
      <c r="A180" t="e" cm="1">
        <f t="array" ref="A180">_xlfn.TEXTBEFORE("A","aBc")</f>
        <v>#N/A</v>
      </c>
      <c r="B180">
        <f t="shared" si="6"/>
        <v>7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ROWS(_xlfn.EXPAND(D!M1:N6,-1,1,0))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cm="1">
        <f t="array" ref="A182">SUM(MOD(3,2))</f>
        <v>1</v>
      </c>
      <c r="B182">
        <f t="shared" si="6"/>
        <v>0</v>
      </c>
      <c r="C182">
        <f t="shared" si="7"/>
        <v>1</v>
      </c>
      <c r="D182" t="str">
        <f t="shared" si="8"/>
        <v/>
      </c>
      <c r="E182" t="s">
        <v>216</v>
      </c>
    </row>
    <row r="183" spans="1:5" x14ac:dyDescent="0.2">
      <c r="A183" cm="1">
        <f t="array" ref="A183">ROWS(LEFT("Sale Price",D!N2))</f>
        <v>1</v>
      </c>
      <c r="B183">
        <f t="shared" si="6"/>
        <v>0</v>
      </c>
      <c r="C183">
        <f t="shared" si="7"/>
        <v>1</v>
      </c>
      <c r="D183" t="str">
        <f t="shared" si="8"/>
        <v/>
      </c>
      <c r="E183" t="s">
        <v>217</v>
      </c>
    </row>
    <row r="184" spans="1:5" x14ac:dyDescent="0.2">
      <c r="A184" t="str" cm="1">
        <f t="array" ref="A184">REPLACE(ODD(FALSE),6,2.5,D!M2)</f>
        <v>1two</v>
      </c>
      <c r="B184">
        <f t="shared" si="6"/>
        <v>-3</v>
      </c>
      <c r="C184">
        <f t="shared" si="7"/>
        <v>0</v>
      </c>
      <c r="D184" t="str">
        <f t="shared" si="8"/>
        <v>1two</v>
      </c>
      <c r="E184" t="s">
        <v>218</v>
      </c>
    </row>
    <row r="185" spans="1:5" x14ac:dyDescent="0.2">
      <c r="A185" cm="1">
        <f t="array" ref="A185">NORMSDIST(1.333333)</f>
        <v>0.90878872560409507</v>
      </c>
      <c r="B185">
        <f t="shared" si="6"/>
        <v>0</v>
      </c>
      <c r="C185">
        <f t="shared" si="7"/>
        <v>0.90878872560409507</v>
      </c>
      <c r="D185" t="str">
        <f t="shared" si="8"/>
        <v/>
      </c>
      <c r="E185" t="s">
        <v>219</v>
      </c>
    </row>
    <row r="186" spans="1:5" x14ac:dyDescent="0.2">
      <c r="A186" t="str" cm="1">
        <f t="array" ref="A186">_xlfn.IMTAN("4+3i")</f>
        <v>0.00490825806749606+1.00070953606723i</v>
      </c>
      <c r="B186">
        <f t="shared" si="6"/>
        <v>-3</v>
      </c>
      <c r="C186">
        <f t="shared" si="7"/>
        <v>0</v>
      </c>
      <c r="D186" t="str">
        <f t="shared" si="8"/>
        <v>0.00490825806749606+1.00070953606723i</v>
      </c>
      <c r="E186" t="s">
        <v>220</v>
      </c>
    </row>
    <row r="187" spans="1:5" x14ac:dyDescent="0.2">
      <c r="A187" t="e" cm="1">
        <f t="array" ref="A187">_xlfn.IFS("-4",1,BESSELJ(1.9,1),2)</f>
        <v>#VALUE!</v>
      </c>
      <c r="B187">
        <f t="shared" si="6"/>
        <v>3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cm="1">
        <f t="array" ref="A188">_xlfn.SKEW.P(D!AS1:AS8)</f>
        <v>0.34362159674454529</v>
      </c>
      <c r="B188">
        <f t="shared" si="6"/>
        <v>0</v>
      </c>
      <c r="C188">
        <f t="shared" si="7"/>
        <v>0.34362159674454529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_xlfn.IMSEC("TRUE")</f>
        <v>#NUM!</v>
      </c>
      <c r="B189">
        <f t="shared" si="6"/>
        <v>6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cm="1">
        <f t="array" ref="A190">COUNTIFS(D!L1:L6,"&gt;4")</f>
        <v>3</v>
      </c>
      <c r="B190">
        <f t="shared" si="6"/>
        <v>0</v>
      </c>
      <c r="C190">
        <f t="shared" si="7"/>
        <v>3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HARMEAN(_xlfn.HSTACK(D!P4:R5,2.5))</f>
        <v>#N/A</v>
      </c>
      <c r="B191">
        <f t="shared" si="6"/>
        <v>7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str" cm="1">
        <f t="array" ref="A192">INDEX(_xlfn.BASE(7,2,1),1,1)</f>
        <v>111</v>
      </c>
      <c r="B192">
        <f t="shared" si="6"/>
        <v>-3</v>
      </c>
      <c r="C192">
        <f t="shared" si="7"/>
        <v>0</v>
      </c>
      <c r="D192" t="str">
        <f t="shared" si="8"/>
        <v>111</v>
      </c>
      <c r="E192" t="s">
        <v>226</v>
      </c>
    </row>
    <row r="193" spans="1:5" x14ac:dyDescent="0.2">
      <c r="A193" t="e" cm="1">
        <f t="array" ref="A193">ERROR.TYPE(NORMSDIST(1.333333)*D!B1)</f>
        <v>#N/A</v>
      </c>
      <c r="B193">
        <f t="shared" ref="B193:B256" si="9">IF(ISERROR(A193),ERROR.TYPE(A193),IF(ISNUMBER(A193),0,IF(ISLOGICAL(A193),IF(A193,-1,-2),IF(ISTEXT(A193),-3,-4))))</f>
        <v>7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GEOMEAN(D!AV1:AV7)</f>
        <v>5.4769869696569629</v>
      </c>
      <c r="B194">
        <f t="shared" si="9"/>
        <v>0</v>
      </c>
      <c r="C194">
        <f t="shared" si="10"/>
        <v>5.4769869696569629</v>
      </c>
      <c r="D194" t="str">
        <f t="shared" si="11"/>
        <v/>
      </c>
      <c r="E194" t="s">
        <v>228</v>
      </c>
    </row>
    <row r="195" spans="1:5" x14ac:dyDescent="0.2">
      <c r="A195" cm="1">
        <f t="array" ref="A195">BESSELJ(1.9,1)</f>
        <v>0.5811570728301696</v>
      </c>
      <c r="B195">
        <f t="shared" si="9"/>
        <v>0</v>
      </c>
      <c r="C195">
        <f t="shared" si="10"/>
        <v>0.5811570728301696</v>
      </c>
      <c r="D195" t="str">
        <f t="shared" si="11"/>
        <v/>
      </c>
      <c r="E195" t="s">
        <v>229</v>
      </c>
    </row>
    <row r="196" spans="1:5" x14ac:dyDescent="0.2">
      <c r="A196" cm="1">
        <f t="array" ref="A196">ROWS(FISHER(0.75))</f>
        <v>1</v>
      </c>
      <c r="B196">
        <f t="shared" si="9"/>
        <v>0</v>
      </c>
      <c r="C196">
        <f t="shared" si="10"/>
        <v>1</v>
      </c>
      <c r="D196" t="str">
        <f t="shared" si="11"/>
        <v/>
      </c>
      <c r="E196" t="s">
        <v>230</v>
      </c>
    </row>
    <row r="197" spans="1:5" x14ac:dyDescent="0.2">
      <c r="A197" t="e" cm="1" vm="7">
        <f t="array" aca="1" ref="A197" ca="1">_xlfn.WEIBULL.DIST(D!A9,{"a","b"},100,TRUE)</f>
        <v>#VALUE!</v>
      </c>
      <c r="B197">
        <f t="shared" ca="1" si="9"/>
        <v>9</v>
      </c>
      <c r="C197">
        <f t="shared" ca="1" si="10"/>
        <v>0</v>
      </c>
      <c r="D197" t="str">
        <f t="shared" ca="1" si="11"/>
        <v/>
      </c>
      <c r="E197" t="s">
        <v>231</v>
      </c>
    </row>
    <row r="198" spans="1:5" x14ac:dyDescent="0.2">
      <c r="A198" cm="1">
        <f t="array" ref="A198">MDURATION(DATE(2018,7,1),45351,0.08,0.09,2)</f>
        <v>4.318818078256113</v>
      </c>
      <c r="B198">
        <f t="shared" si="9"/>
        <v>0</v>
      </c>
      <c r="C198">
        <f t="shared" si="10"/>
        <v>4.318818078256113</v>
      </c>
      <c r="D198" t="str">
        <f t="shared" si="11"/>
        <v/>
      </c>
      <c r="E198" t="s">
        <v>232</v>
      </c>
    </row>
    <row r="199" spans="1:5" x14ac:dyDescent="0.2">
      <c r="A199" cm="1">
        <f t="array" ref="A199">HARMEAN(D!AV1:AV7,{1})</f>
        <v>3.3443423969596884</v>
      </c>
      <c r="B199">
        <f t="shared" si="9"/>
        <v>0</v>
      </c>
      <c r="C199">
        <f t="shared" si="10"/>
        <v>3.3443423969596884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_xlfn.AGGREGATE(9,-1,D!D1:D8)</f>
        <v>#VALUE!</v>
      </c>
      <c r="B200">
        <f t="shared" si="9"/>
        <v>3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_xlfn.NEGBINOM.DIST(10,5,"1/2/2025",TRUE)*EXP(1)</f>
        <v>#NUM!</v>
      </c>
      <c r="B201">
        <f t="shared" si="9"/>
        <v>6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cm="1">
        <f t="array" ref="A202">SUM(DAY(40648))</f>
        <v>15</v>
      </c>
      <c r="B202">
        <f t="shared" si="9"/>
        <v>0</v>
      </c>
      <c r="C202">
        <f t="shared" si="10"/>
        <v>15</v>
      </c>
      <c r="D202" t="str">
        <f t="shared" si="11"/>
        <v/>
      </c>
      <c r="E202" t="s">
        <v>236</v>
      </c>
    </row>
    <row r="203" spans="1:5" x14ac:dyDescent="0.2">
      <c r="A203" cm="1">
        <f t="array" ref="A203">TAN("3")</f>
        <v>-0.1425465430742778</v>
      </c>
      <c r="B203">
        <f t="shared" si="9"/>
        <v>0</v>
      </c>
      <c r="C203">
        <f t="shared" si="10"/>
        <v>-0.1425465430742778</v>
      </c>
      <c r="D203" t="str">
        <f t="shared" si="11"/>
        <v/>
      </c>
      <c r="E203" t="s">
        <v>237</v>
      </c>
    </row>
    <row r="204" spans="1:5" x14ac:dyDescent="0.2">
      <c r="A204" t="e" cm="1" vm="2">
        <f t="array" aca="1" ref="A204" ca="1">_xlfn.GAMMA.INV(100,GROWTH(D!BB1:BB6),2)</f>
        <v>#VALUE!</v>
      </c>
      <c r="B204">
        <f t="shared" ca="1" si="9"/>
        <v>9</v>
      </c>
      <c r="C204">
        <f t="shared" ca="1" si="10"/>
        <v>0</v>
      </c>
      <c r="D204" t="str">
        <f t="shared" ca="1" si="11"/>
        <v/>
      </c>
      <c r="E204" t="s">
        <v>238</v>
      </c>
    </row>
    <row r="205" spans="1:5" x14ac:dyDescent="0.2">
      <c r="A205" t="str" cm="1">
        <f t="array" ref="A205">SUBSTITUTE("","Sales","Cost")</f>
        <v/>
      </c>
      <c r="B205">
        <f t="shared" si="9"/>
        <v>-3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 vm="5">
        <f t="array" aca="1" ref="A206" ca="1">TBILLPRICE(FALSE,GAMMALN(3),{2,"a";TRUE,#N/A})</f>
        <v>#VALUE!</v>
      </c>
      <c r="B206">
        <f t="shared" ca="1" si="9"/>
        <v>9</v>
      </c>
      <c r="C206">
        <f t="shared" ca="1" si="10"/>
        <v>0</v>
      </c>
      <c r="D206" t="str">
        <f t="shared" ca="1" si="11"/>
        <v/>
      </c>
      <c r="E206" t="s">
        <v>240</v>
      </c>
    </row>
    <row r="207" spans="1:5" x14ac:dyDescent="0.2">
      <c r="A207" cm="1">
        <f t="array" ref="A207">GAMMADIST(10.00001131,9,2,FALSE)</f>
        <v>3.2639130418294013E-2</v>
      </c>
      <c r="B207">
        <f t="shared" si="9"/>
        <v>0</v>
      </c>
      <c r="C207">
        <f t="shared" si="10"/>
        <v>3.2639130418294013E-2</v>
      </c>
      <c r="D207" t="str">
        <f t="shared" si="11"/>
        <v/>
      </c>
      <c r="E207" t="s">
        <v>241</v>
      </c>
    </row>
    <row r="208" spans="1:5" x14ac:dyDescent="0.2">
      <c r="A208" cm="1">
        <f t="array" ref="A208">SUMPRODUCT(D!B1:B8,D!C1:C8)</f>
        <v>2791.75</v>
      </c>
      <c r="B208">
        <f t="shared" si="9"/>
        <v>0</v>
      </c>
      <c r="C208">
        <f t="shared" si="10"/>
        <v>2791.75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STANDARDIZE(42,D!A3,1.5)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b" cm="1">
        <f t="array" ref="A210">AND(TRUE)</f>
        <v>1</v>
      </c>
      <c r="B210">
        <f t="shared" si="9"/>
        <v>-1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cm="1">
        <f t="array" ref="A211">SUM(_xlfn.WEIBULL.DIST(105,20,0.5,0.5))</f>
        <v>1</v>
      </c>
      <c r="B211">
        <f t="shared" si="9"/>
        <v>0</v>
      </c>
      <c r="C211">
        <f t="shared" si="10"/>
        <v>1</v>
      </c>
      <c r="D211" t="str">
        <f t="shared" si="11"/>
        <v/>
      </c>
      <c r="E211" t="s">
        <v>245</v>
      </c>
    </row>
    <row r="212" spans="1:5" x14ac:dyDescent="0.2">
      <c r="A212" cm="1">
        <f t="array" ref="A212">_xlfn.MODE.SNGL(D!BF1:BF6)</f>
        <v>2</v>
      </c>
      <c r="B212">
        <f t="shared" si="9"/>
        <v>0</v>
      </c>
      <c r="C212">
        <f t="shared" si="10"/>
        <v>2</v>
      </c>
      <c r="D212" t="str">
        <f t="shared" si="11"/>
        <v/>
      </c>
      <c r="E212" t="s">
        <v>246</v>
      </c>
    </row>
    <row r="213" spans="1:5" x14ac:dyDescent="0.2">
      <c r="A213" cm="1">
        <f t="array" ref="A213">WORKDAY(39722,151)</f>
        <v>39933</v>
      </c>
      <c r="B213">
        <f t="shared" si="9"/>
        <v>0</v>
      </c>
      <c r="C213">
        <f t="shared" si="10"/>
        <v>39933</v>
      </c>
      <c r="D213" t="str">
        <f t="shared" si="11"/>
        <v/>
      </c>
      <c r="E213" t="s">
        <v>247</v>
      </c>
    </row>
    <row r="214" spans="1:5" x14ac:dyDescent="0.2">
      <c r="A214" cm="1">
        <f t="array" ref="A214">INT(_xlfn.PERCENTRANK.INC(D!B1:B8,8))</f>
        <v>0</v>
      </c>
      <c r="B214">
        <f t="shared" si="9"/>
        <v>0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cm="1">
        <f t="array" ref="A215">_xlfn.ARABIC(" ")</f>
        <v>0</v>
      </c>
      <c r="B215">
        <f t="shared" si="9"/>
        <v>0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PERCENTRANK(D!F1:F7,15)^_xlfn.T.DIST.RT(100,PROB(D!AH1:AH4,D!P1:Q2,D!C2))</f>
        <v>#N/A</v>
      </c>
      <c r="B216">
        <f t="shared" si="9"/>
        <v>7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XIRR(D!J1:J5,YIELDMAT(LINEST(D!AY1:AY5,{0.5;-1}),DATE(2008,11,3),DATE(2007,11,8),0.0625,100.0123,0))</f>
        <v>#REF!</v>
      </c>
      <c r="B217">
        <f t="shared" si="9"/>
        <v>4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t="e" cm="1">
        <f t="array" ref="A218">CUMPRINC(0.0075,3,125000,_xlfn.ARRAYTOTEXT(D!L1:N2,D!A12),"0",0)</f>
        <v>#VALUE!</v>
      </c>
      <c r="B218">
        <f t="shared" si="9"/>
        <v>3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ROWS(TBILLEQ(39538,D!G4,0.0914))</f>
        <v>#NUM!</v>
      </c>
      <c r="B219">
        <f t="shared" si="9"/>
        <v>6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cm="1">
        <f t="array" ref="A220">RADIANS(270)/COMBIN(8,2)</f>
        <v>0.16829960644231035</v>
      </c>
      <c r="B220">
        <f t="shared" si="9"/>
        <v>0</v>
      </c>
      <c r="C220">
        <f t="shared" si="10"/>
        <v>0.16829960644231035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ACCRINTM(DATE(2008,4,1),1000,0.1,"3")</f>
        <v>#NUM!</v>
      </c>
      <c r="B221">
        <f t="shared" si="9"/>
        <v>6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cm="1">
        <f t="array" ref="A222">DATE(2025,1,D!A12)</f>
        <v>45657</v>
      </c>
      <c r="B222">
        <f t="shared" si="9"/>
        <v>0</v>
      </c>
      <c r="C222">
        <f t="shared" si="10"/>
        <v>45657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_xlfn.CHOOSECOLS(D!AZ1:AZ5,2,-1)</f>
        <v>#VALUE!</v>
      </c>
      <c r="B223">
        <f t="shared" si="9"/>
        <v>3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str" cm="1">
        <f t="array" ref="A224">_xlfn.TEXTJOIN(";",FALSE,_xlfn.CSCH(D!B7))</f>
        <v>-0.0604498900091561</v>
      </c>
      <c r="B224">
        <f t="shared" si="9"/>
        <v>-3</v>
      </c>
      <c r="C224">
        <f t="shared" si="10"/>
        <v>0</v>
      </c>
      <c r="D224" t="str">
        <f t="shared" si="11"/>
        <v>-0.0604498900091561</v>
      </c>
      <c r="E224" t="s">
        <v>258</v>
      </c>
    </row>
    <row r="225" spans="1:5" x14ac:dyDescent="0.2">
      <c r="A225" t="e" cm="1">
        <f t="array" ref="A225">GROWTH(D!BB1:BB6,_xlfn.XLOOKUP(7,D!L8:Q10,D!G4,D!A1:A5,SERIESSUM(D!L4,"?",TRUE,D!AR1:AR4),LARGE(D!AY1:AY5,3)),D!P1:Q2)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cm="1">
        <f t="array" ref="A226">SUM(EFFECT(0.0525,"3"))</f>
        <v>5.3424109375000084E-2</v>
      </c>
      <c r="B226">
        <f t="shared" si="9"/>
        <v>0</v>
      </c>
      <c r="C226">
        <f t="shared" si="10"/>
        <v>5.3424109375000084E-2</v>
      </c>
      <c r="D226" t="str">
        <f t="shared" si="11"/>
        <v/>
      </c>
      <c r="E226" t="s">
        <v>260</v>
      </c>
    </row>
    <row r="227" spans="1:5" x14ac:dyDescent="0.2">
      <c r="A227" t="str" cm="1">
        <f t="array" ref="A227">_xlfn.TEXTJOIN(";",FALSE,RECEIVED(DATE(2008,2,15),DATE(2008,5,15),1000000,0.0575,2))</f>
        <v>1014584.6544071</v>
      </c>
      <c r="B227">
        <f t="shared" si="9"/>
        <v>-3</v>
      </c>
      <c r="C227">
        <f t="shared" si="10"/>
        <v>0</v>
      </c>
      <c r="D227" t="str">
        <f t="shared" si="11"/>
        <v>1014584.6544071</v>
      </c>
      <c r="E227" t="s">
        <v>261</v>
      </c>
    </row>
    <row r="228" spans="1:5" x14ac:dyDescent="0.2">
      <c r="A228" cm="1">
        <f t="array" ref="A228">NOMINAL(D!C2,4)</f>
        <v>2.727171322029716</v>
      </c>
      <c r="B228">
        <f t="shared" si="9"/>
        <v>0</v>
      </c>
      <c r="C228">
        <f t="shared" si="10"/>
        <v>2.727171322029716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SUM(_xlfn.MODE.SNGL(GROWTH(D!U1:Y7,D!BC1:BC6,{2,"a";TRUE,#N/A})))</f>
        <v>#REF!</v>
      </c>
      <c r="B229">
        <f t="shared" si="9"/>
        <v>4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RSQ(D!K1:K8,D!C1:C8)+ISNONTEXT("FALSE")</f>
        <v>#DIV/0!</v>
      </c>
      <c r="B230">
        <f t="shared" si="9"/>
        <v>2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str" cm="1">
        <f t="array" ref="A231">PROPER("A")</f>
        <v>A</v>
      </c>
      <c r="B231">
        <f t="shared" si="9"/>
        <v>-3</v>
      </c>
      <c r="C231">
        <f t="shared" si="10"/>
        <v>0</v>
      </c>
      <c r="D231" t="str">
        <f t="shared" si="11"/>
        <v>A</v>
      </c>
      <c r="E231" t="s">
        <v>265</v>
      </c>
    </row>
    <row r="232" spans="1:5" x14ac:dyDescent="0.2">
      <c r="A232" cm="1">
        <f t="array" ref="A232">PI()</f>
        <v>3.1415926535897931</v>
      </c>
      <c r="B232">
        <f t="shared" si="9"/>
        <v>0</v>
      </c>
      <c r="C232">
        <f t="shared" si="10"/>
        <v>3.1415926535897931</v>
      </c>
      <c r="D232" t="str">
        <f t="shared" si="11"/>
        <v/>
      </c>
      <c r="E232" t="s">
        <v>266</v>
      </c>
    </row>
    <row r="233" spans="1:5" x14ac:dyDescent="0.2">
      <c r="A233" cm="1">
        <f t="array" ref="A233">ROWS(_xlfn.WRAPCOLS(D!B1:B8,2,45351))</f>
        <v>2</v>
      </c>
      <c r="B233">
        <f t="shared" si="9"/>
        <v>0</v>
      </c>
      <c r="C233">
        <f t="shared" si="10"/>
        <v>2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INDEX(DCOUNT(D!B1,"a*",D!N2),1,1)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str" cm="1">
        <f t="array" ref="A235">REPLACEB("?",2,ISO.CEILING(4.3,"-4"),"x")</f>
        <v>?x</v>
      </c>
      <c r="B235">
        <f t="shared" si="9"/>
        <v>-3</v>
      </c>
      <c r="C235">
        <f t="shared" si="10"/>
        <v>0</v>
      </c>
      <c r="D235" t="str">
        <f t="shared" si="11"/>
        <v>?x</v>
      </c>
      <c r="E235" t="s">
        <v>269</v>
      </c>
    </row>
    <row r="236" spans="1:5" x14ac:dyDescent="0.2">
      <c r="A236" t="str" cm="1">
        <f t="array" ref="A236">MID("Fluid Flow",1,5)</f>
        <v>Fluid</v>
      </c>
      <c r="B236">
        <f t="shared" si="9"/>
        <v>-3</v>
      </c>
      <c r="C236">
        <f t="shared" si="10"/>
        <v>0</v>
      </c>
      <c r="D236" t="str">
        <f t="shared" si="11"/>
        <v>Fluid</v>
      </c>
      <c r="E236" t="s">
        <v>270</v>
      </c>
    </row>
    <row r="237" spans="1:5" x14ac:dyDescent="0.2">
      <c r="A237" t="e" cm="1">
        <f t="array" ref="A237">CUMIPMT(0.0075,360,D!A13,13,24,0)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cm="1">
        <f t="array" ref="A238">NEGBINOMDIST(D!A12,TRUE,0.25)</f>
        <v>0.25</v>
      </c>
      <c r="B238">
        <f t="shared" si="9"/>
        <v>0</v>
      </c>
      <c r="C238">
        <f t="shared" si="10"/>
        <v>0.25</v>
      </c>
      <c r="D238" t="str">
        <f t="shared" si="11"/>
        <v/>
      </c>
      <c r="E238" t="s">
        <v>272</v>
      </c>
    </row>
    <row r="239" spans="1:5" x14ac:dyDescent="0.2">
      <c r="A239" cm="1">
        <f t="array" ref="A239">_xlfn.ERFC.PRECISE(1)</f>
        <v>0.15729920705028513</v>
      </c>
      <c r="B239">
        <f t="shared" si="9"/>
        <v>0</v>
      </c>
      <c r="C239">
        <f t="shared" si="10"/>
        <v>0.15729920705028513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GAMMALN(ATAN(-1))&gt;PROB(D!L8:Q10,D!AI1:AI4,2)</f>
        <v>#NUM!</v>
      </c>
      <c r="B240">
        <f t="shared" si="9"/>
        <v>6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 vm="10">
        <f t="array" aca="1" ref="A241" ca="1">DAYS360(_xlfn.NORM.DIST(42,40,1.5,_xlfn.IFNA(D!A8,D!A1:A5)),40908)</f>
        <v>#VALUE!</v>
      </c>
      <c r="B241">
        <f t="shared" ca="1" si="9"/>
        <v>9</v>
      </c>
      <c r="C241">
        <f t="shared" ca="1" si="10"/>
        <v>0</v>
      </c>
      <c r="D241" t="str">
        <f t="shared" ca="1" si="11"/>
        <v/>
      </c>
      <c r="E241" t="s">
        <v>275</v>
      </c>
    </row>
    <row r="242" spans="1:5" x14ac:dyDescent="0.2">
      <c r="A242" t="e" cm="1">
        <f t="array" ref="A242">INDEX(INTRATE(DATE(2008,2,15),DATE(2008,5,15),1000000,TRUE,2),1,1)</f>
        <v>#VALUE!</v>
      </c>
      <c r="B242">
        <f t="shared" si="9"/>
        <v>3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t="e" cm="1">
        <f t="array" ref="A243">_xlfn.T.DIST(#NUM!,1,TRUE)</f>
        <v>#NUM!</v>
      </c>
      <c r="B243">
        <f t="shared" si="9"/>
        <v>6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cm="1">
        <f t="array" ref="A244">IMABS("5+12i")</f>
        <v>13</v>
      </c>
      <c r="B244">
        <f t="shared" si="9"/>
        <v>0</v>
      </c>
      <c r="C244">
        <f t="shared" si="10"/>
        <v>13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_xlfn.RANK.AVG(D!L4,D!B1:B8)</f>
        <v>#N/A</v>
      </c>
      <c r="B245">
        <f t="shared" si="9"/>
        <v>7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_xlfn.TEXTJOIN(";",FALSE,RANK(15,D!AZ1:AZ5))</f>
        <v>#N/A</v>
      </c>
      <c r="B246">
        <f t="shared" si="9"/>
        <v>7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_xlfn.WEIBULL.DIST(#VALUE!,20,"TRUE",TRUE)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str" cm="1">
        <f t="array" ref="A248">_xlfn.TEXTJOIN(", ",TRUE,D!D1:D8,"",FALSE)</f>
        <v>1, 2, abc, TRUE, 5, FALSE, 3.5, FALSE</v>
      </c>
      <c r="B248">
        <f t="shared" si="9"/>
        <v>-3</v>
      </c>
      <c r="C248">
        <f t="shared" si="10"/>
        <v>0</v>
      </c>
      <c r="D248" t="str">
        <f t="shared" si="11"/>
        <v>1, 2, abc, TRUE, 5, FALSE, 3.5, FALSE</v>
      </c>
      <c r="E248" t="s">
        <v>282</v>
      </c>
    </row>
    <row r="249" spans="1:5" x14ac:dyDescent="0.2">
      <c r="A249" t="e" cm="1">
        <f t="array" ref="A249">SMALL(3,4)</f>
        <v>#NUM!</v>
      </c>
      <c r="B249">
        <f t="shared" si="9"/>
        <v>6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ROWS(MIRR(_xlfn.TAKE(D!L1:N6,5,5),0.1,"0"))</f>
        <v>#DIV/0!</v>
      </c>
      <c r="B250">
        <f t="shared" si="9"/>
        <v>2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e" cm="1" vm="7">
        <f t="array" aca="1" ref="A251" ca="1">_xlfn.PDURATION(0.25,"TRUE",TBILLYIELD({"a","b"},39600,98.45))</f>
        <v>#VALUE!</v>
      </c>
      <c r="B251">
        <f t="shared" ca="1" si="9"/>
        <v>9</v>
      </c>
      <c r="C251">
        <f t="shared" ca="1" si="10"/>
        <v>0</v>
      </c>
      <c r="D251" t="str">
        <f t="shared" ca="1" si="11"/>
        <v/>
      </c>
      <c r="E251" t="s">
        <v>285</v>
      </c>
    </row>
    <row r="252" spans="1:5" x14ac:dyDescent="0.2">
      <c r="A252" t="e" cm="1">
        <f t="array" ref="A252">SUMPRODUCT(D!AK1:AL3,D!A1:A5,D!AA1:AB2)</f>
        <v>#VALUE!</v>
      </c>
      <c r="B252">
        <f t="shared" si="9"/>
        <v>3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t="b" cm="1">
        <f t="array" ref="A253">ISERROR(2.5)</f>
        <v>0</v>
      </c>
      <c r="B253">
        <f t="shared" si="9"/>
        <v>-2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cm="1">
        <f t="array" ref="A254">ISO.CEILING(4.3)</f>
        <v>5</v>
      </c>
      <c r="B254">
        <f t="shared" si="9"/>
        <v>0</v>
      </c>
      <c r="C254">
        <f t="shared" si="10"/>
        <v>5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_xlfn.TEXTJOIN(";",FALSE,COUPNUM(ODDFPRICE(DATE(2008,11,11),_xlfn.BITRSHIFT(RECEIVED(D!A12,FALSE,1000000,1000,2),2),{1},DATE(2009,3,1),D!B1,D!B1:B8,_xlfn.CHISQ.TEST(D!L8:Q10,D!D1:D8),D!B3,COMBIN(8,2)),45351,D!A10))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MID(" "+3,1,5)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YIELD(DATE(2008,2,15),#REF!,0.0575,ZTEST(D!B1:B8,4),100,2,0)</f>
        <v>#REF!</v>
      </c>
      <c r="B257">
        <f t="shared" ref="B257:B320" si="12">IF(ISERROR(A257),ERROR.TYPE(A257),IF(ISNUMBER(A257),0,IF(ISLOGICAL(A257),IF(A257,-1,-2),IF(ISTEXT(A257),-3,-4))))</f>
        <v>4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str" cm="1">
        <f t="array" ref="A258">RIGHT("Sale Price",5)</f>
        <v>Price</v>
      </c>
      <c r="B258">
        <f t="shared" si="12"/>
        <v>-3</v>
      </c>
      <c r="C258">
        <f t="shared" si="13"/>
        <v>0</v>
      </c>
      <c r="D258" t="str">
        <f t="shared" si="14"/>
        <v>Price</v>
      </c>
      <c r="E258" t="s">
        <v>292</v>
      </c>
    </row>
    <row r="259" spans="1:5" x14ac:dyDescent="0.2">
      <c r="A259" t="e" cm="1">
        <f t="array" ref="A259">MINUTE(0.5104166667)&lt;&gt;ADDRESS(2,NORMINV(45688.75,40,0))</f>
        <v>#NUM!</v>
      </c>
      <c r="B259">
        <f t="shared" si="12"/>
        <v>6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cm="1">
        <f t="array" ref="A260">COLUMN(D!A12)</f>
        <v>1</v>
      </c>
      <c r="B260">
        <f t="shared" si="12"/>
        <v>0</v>
      </c>
      <c r="C260">
        <f t="shared" si="13"/>
        <v>1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INTRATE(DATE(2008,2,15),D!A12,1000000,MAXA("0"),2)</f>
        <v>#NUM!</v>
      </c>
      <c r="B261">
        <f t="shared" si="12"/>
        <v>6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b" cm="1">
        <f t="array" ref="A262">TRUE()</f>
        <v>1</v>
      </c>
      <c r="B262">
        <f t="shared" si="12"/>
        <v>-1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cm="1">
        <f t="array" ref="A263">PERCENTILE(D!N1:N6,0.3)</f>
        <v>25</v>
      </c>
      <c r="B263">
        <f t="shared" si="12"/>
        <v>0</v>
      </c>
      <c r="C263">
        <f t="shared" si="13"/>
        <v>25</v>
      </c>
      <c r="D263" t="str">
        <f t="shared" si="14"/>
        <v/>
      </c>
      <c r="E263" t="s">
        <v>297</v>
      </c>
    </row>
    <row r="264" spans="1:5" x14ac:dyDescent="0.2">
      <c r="A264" cm="1">
        <f t="array" ref="A264">_xlfn.PERCENTILE.INC(D!C1:C8,0.3)</f>
        <v>7.2</v>
      </c>
      <c r="B264">
        <f t="shared" si="12"/>
        <v>0</v>
      </c>
      <c r="C264">
        <f t="shared" si="13"/>
        <v>7.2</v>
      </c>
      <c r="D264" t="str">
        <f t="shared" si="14"/>
        <v/>
      </c>
      <c r="E264" t="s">
        <v>298</v>
      </c>
    </row>
    <row r="265" spans="1:5" x14ac:dyDescent="0.2">
      <c r="A265" cm="1">
        <f t="array" ref="A265">SUM(BESSELJ(1.9,0))</f>
        <v>0.28181856183176462</v>
      </c>
      <c r="B265">
        <f t="shared" si="12"/>
        <v>0</v>
      </c>
      <c r="C265">
        <f t="shared" si="13"/>
        <v>0.28181856183176462</v>
      </c>
      <c r="D265" t="str">
        <f t="shared" si="14"/>
        <v/>
      </c>
      <c r="E265" t="s">
        <v>299</v>
      </c>
    </row>
    <row r="266" spans="1:5" x14ac:dyDescent="0.2">
      <c r="A266" cm="1">
        <f t="array" ref="A266">AVERAGEA(D!C2)</f>
        <v>7</v>
      </c>
      <c r="B266">
        <f t="shared" si="12"/>
        <v>0</v>
      </c>
      <c r="C266">
        <f t="shared" si="13"/>
        <v>7</v>
      </c>
      <c r="D266" t="str">
        <f t="shared" si="14"/>
        <v/>
      </c>
      <c r="E266" t="s">
        <v>300</v>
      </c>
    </row>
    <row r="267" spans="1:5" x14ac:dyDescent="0.2">
      <c r="A267" cm="1">
        <f t="array" ref="A267">EXP(1)</f>
        <v>2.7182818284590451</v>
      </c>
      <c r="B267">
        <f t="shared" si="12"/>
        <v>0</v>
      </c>
      <c r="C267">
        <f t="shared" si="13"/>
        <v>2.7182818284590451</v>
      </c>
      <c r="D267" t="str">
        <f t="shared" si="14"/>
        <v/>
      </c>
      <c r="E267" t="s">
        <v>301</v>
      </c>
    </row>
    <row r="268" spans="1:5" x14ac:dyDescent="0.2">
      <c r="A268" t="e" cm="1" vm="2">
        <f t="array" aca="1" ref="A268" ca="1">PRICEMAT(DATE(2008,2,15),D!L4,ROMAN(499,0),0.061,D!L1:L6^D!A1,0)</f>
        <v>#VALUE!</v>
      </c>
      <c r="B268">
        <f t="shared" ca="1" si="12"/>
        <v>9</v>
      </c>
      <c r="C268">
        <f t="shared" ca="1" si="13"/>
        <v>0</v>
      </c>
      <c r="D268" t="str">
        <f t="shared" ca="1" si="14"/>
        <v/>
      </c>
      <c r="E268" t="s">
        <v>302</v>
      </c>
    </row>
    <row r="269" spans="1:5" x14ac:dyDescent="0.2">
      <c r="A269" t="e" cm="1">
        <f t="array" ref="A269">DVARP(D!E1:E8,3,D!AZ1:AZ5)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str" cm="1">
        <f t="array" ref="A270">CLEAN(D!A14)</f>
        <v>abc</v>
      </c>
      <c r="B270">
        <f t="shared" si="12"/>
        <v>-3</v>
      </c>
      <c r="C270">
        <f t="shared" si="13"/>
        <v>0</v>
      </c>
      <c r="D270" t="str">
        <f t="shared" si="14"/>
        <v>abc</v>
      </c>
      <c r="E270" t="s">
        <v>304</v>
      </c>
    </row>
    <row r="271" spans="1:5" x14ac:dyDescent="0.2">
      <c r="A271" cm="1">
        <f t="array" ref="A271">COLUMNS(COUNTA(D!B1:B8,{"a","b"},D!I1:I5))</f>
        <v>1</v>
      </c>
      <c r="B271">
        <f t="shared" si="12"/>
        <v>0</v>
      </c>
      <c r="C271">
        <f t="shared" si="13"/>
        <v>1</v>
      </c>
      <c r="D271" t="str">
        <f t="shared" si="14"/>
        <v/>
      </c>
      <c r="E271" t="s">
        <v>305</v>
      </c>
    </row>
    <row r="272" spans="1:5" x14ac:dyDescent="0.2">
      <c r="A272" t="e" cm="1" vm="11">
        <f t="array" aca="1" ref="A272" ca="1">_xlfn.VSTACK(D!A10,D!R1:S2)</f>
        <v>#VALUE!</v>
      </c>
      <c r="B272">
        <f t="shared" ca="1" si="12"/>
        <v>9</v>
      </c>
      <c r="C272">
        <f t="shared" ca="1" si="13"/>
        <v>0</v>
      </c>
      <c r="D272" t="str">
        <f t="shared" ca="1" si="14"/>
        <v/>
      </c>
      <c r="E272" t="s">
        <v>306</v>
      </c>
    </row>
    <row r="273" spans="1:5" x14ac:dyDescent="0.2">
      <c r="A273" cm="1">
        <f t="array" ref="A273">_xlfn.CHISQ.INV(0.93,1)</f>
        <v>3.2830202867595295</v>
      </c>
      <c r="B273">
        <f t="shared" si="12"/>
        <v>0</v>
      </c>
      <c r="C273">
        <f t="shared" si="13"/>
        <v>3.2830202867595295</v>
      </c>
      <c r="D273" t="str">
        <f t="shared" si="14"/>
        <v/>
      </c>
      <c r="E273" t="s">
        <v>307</v>
      </c>
    </row>
    <row r="274" spans="1:5" x14ac:dyDescent="0.2">
      <c r="A274" t="e" cm="1">
        <f t="array" ref="A274">_xlfn.TEXTJOIN(";",FALSE,HEX2DEC(#NAME?))</f>
        <v>#NAME?</v>
      </c>
      <c r="B274">
        <f t="shared" si="12"/>
        <v>5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cm="1">
        <f t="array" ref="A275">SUM(_xlfn.XMATCH(3,{1;2;3}))</f>
        <v>3</v>
      </c>
      <c r="B275">
        <f t="shared" si="12"/>
        <v>0</v>
      </c>
      <c r="C275">
        <f t="shared" si="13"/>
        <v>3</v>
      </c>
      <c r="D275" t="str">
        <f t="shared" si="14"/>
        <v/>
      </c>
      <c r="E275" t="s">
        <v>309</v>
      </c>
    </row>
    <row r="276" spans="1:5" x14ac:dyDescent="0.2">
      <c r="A276" cm="1">
        <f t="array" ref="A276">FTEST(D!B1:B8,D!C1:C8)</f>
        <v>0.89907526605691512</v>
      </c>
      <c r="B276">
        <f t="shared" si="12"/>
        <v>0</v>
      </c>
      <c r="C276">
        <f t="shared" si="13"/>
        <v>0.89907526605691512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_xlfn.BITRSHIFT(D!C2,MULTINOMIAL(D!L1:L6,3,{"x";""}))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e" cm="1">
        <f t="array" ref="A278">HYPGEOMDIST(1,4,8,20)&lt;&gt;STDEVPA(ROW(D!AV1:AV7),RSQ({1},D!L1:N6),TREND(D!AY1:AY5,D!U1:Y7,D!AS1:AS8))</f>
        <v>#N/A</v>
      </c>
      <c r="B278">
        <f t="shared" si="12"/>
        <v>7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cm="1">
        <f t="array" ref="A279">_xlfn.ACOT(2)</f>
        <v>0.46364760900080615</v>
      </c>
      <c r="B279">
        <f t="shared" si="12"/>
        <v>0</v>
      </c>
      <c r="C279">
        <f t="shared" si="13"/>
        <v>0.46364760900080615</v>
      </c>
      <c r="D279" t="str">
        <f t="shared" si="14"/>
        <v/>
      </c>
      <c r="E279" t="s">
        <v>313</v>
      </c>
    </row>
    <row r="280" spans="1:5" x14ac:dyDescent="0.2">
      <c r="A280" t="e" cm="1" vm="12">
        <f t="array" aca="1" ref="A280" ca="1">_xlfn.CONFIDENCE.NORM(0.05,{1,2,3},50)</f>
        <v>#VALUE!</v>
      </c>
      <c r="B280">
        <f t="shared" ca="1" si="12"/>
        <v>9</v>
      </c>
      <c r="C280">
        <f t="shared" ca="1" si="13"/>
        <v>0</v>
      </c>
      <c r="D280" t="str">
        <f t="shared" ca="1" si="14"/>
        <v/>
      </c>
      <c r="E280" t="s">
        <v>314</v>
      </c>
    </row>
    <row r="281" spans="1:5" x14ac:dyDescent="0.2">
      <c r="A281" t="e" cm="1" vm="6">
        <f t="array" aca="1" ref="A281" ca="1">_xlfn.PERMUTATIONA(3,D!F1:F7)+_xlfn.CHOOSECOLS(D!A1:A5,-1)</f>
        <v>#VALUE!</v>
      </c>
      <c r="B281">
        <f t="shared" ca="1" si="12"/>
        <v>9</v>
      </c>
      <c r="C281">
        <f t="shared" ca="1" si="13"/>
        <v>0</v>
      </c>
      <c r="D281" t="str">
        <f t="shared" ca="1" si="14"/>
        <v/>
      </c>
      <c r="E281" t="s">
        <v>315</v>
      </c>
    </row>
    <row r="282" spans="1:5" x14ac:dyDescent="0.2">
      <c r="A282" t="e" cm="1">
        <f t="array" ref="A282">_xlfn.VALUETOTEXT(1.5,2)</f>
        <v>#VALUE!</v>
      </c>
      <c r="B282">
        <f t="shared" si="12"/>
        <v>3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cm="1">
        <f t="array" ref="A283">STDEVA(D!G1:G7)</f>
        <v>22.937804104640382</v>
      </c>
      <c r="B283">
        <f t="shared" si="12"/>
        <v>0</v>
      </c>
      <c r="C283">
        <f t="shared" si="13"/>
        <v>22.937804104640382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_xlfn.TEXTJOIN(";",FALSE,STANDARDIZE(D!M2,40,_xlfn.CHISQ.INV.RT(0.050001,-1)))</f>
        <v>#VALUE!</v>
      </c>
      <c r="B284">
        <f t="shared" si="12"/>
        <v>3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_xlfn.NORM.S.INV(0.5)</f>
        <v>0</v>
      </c>
      <c r="B285">
        <f t="shared" si="12"/>
        <v>0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cm="1">
        <f t="array" ref="A286">LCM(D!K1:K8,D!R1:S2)</f>
        <v>0</v>
      </c>
      <c r="B286">
        <f t="shared" si="12"/>
        <v>0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ROWS(YIELDMAT(61,DATE(2008,11,3),DATE(2007,11,8),D!L4,#N/A,1))</f>
        <v>#N/A</v>
      </c>
      <c r="B287">
        <f t="shared" si="12"/>
        <v>7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SEARCHB("B",TRUE)</f>
        <v>#VALUE!</v>
      </c>
      <c r="B288">
        <f t="shared" si="12"/>
        <v>3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COLUMNS(DEVSQ(D!B1:B8,10,D!E1:E8,D!AV1:AV7))</f>
        <v>#DIV/0!</v>
      </c>
      <c r="B289">
        <f t="shared" si="12"/>
        <v>2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str" cm="1">
        <f t="array" ref="A290">IMPOWER(D!C2,ERFC(1))</f>
        <v>1.35810469809652</v>
      </c>
      <c r="B290">
        <f t="shared" si="12"/>
        <v>-3</v>
      </c>
      <c r="C290">
        <f t="shared" si="13"/>
        <v>0</v>
      </c>
      <c r="D290" t="str">
        <f t="shared" si="14"/>
        <v>1.35810469809652</v>
      </c>
      <c r="E290" t="s">
        <v>324</v>
      </c>
    </row>
    <row r="291" spans="1:5" x14ac:dyDescent="0.2">
      <c r="A291" t="e" cm="1">
        <f t="array" ref="A291">_xlfn.ARABIC("50%")+SYD(#REF!,7500,-1,OCT2HEX("100",0.25))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cm="1">
        <f t="array" ref="A292">YEAR(39634)</f>
        <v>2008</v>
      </c>
      <c r="B292">
        <f t="shared" si="12"/>
        <v>0</v>
      </c>
      <c r="C292">
        <f t="shared" si="13"/>
        <v>2008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COMBIN(D!L4,D!N2)</f>
        <v>#NUM!</v>
      </c>
      <c r="B293">
        <f t="shared" si="12"/>
        <v>6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cm="1">
        <f t="array" ref="A294">COLUMNS(_xlfn.GAUSS(2))</f>
        <v>1</v>
      </c>
      <c r="B294">
        <f t="shared" si="12"/>
        <v>0</v>
      </c>
      <c r="C294">
        <f t="shared" si="13"/>
        <v>1</v>
      </c>
      <c r="D294" t="str">
        <f t="shared" si="14"/>
        <v/>
      </c>
      <c r="E294" t="s">
        <v>328</v>
      </c>
    </row>
    <row r="295" spans="1:5" x14ac:dyDescent="0.2">
      <c r="A295" t="e" cm="1">
        <f t="array" ref="A295">FINV(0.01,2,"a,b")</f>
        <v>#VALUE!</v>
      </c>
      <c r="B295">
        <f t="shared" si="12"/>
        <v>3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cm="1">
        <f t="array" ref="A296">ROWS(_xlfn.GAUSS(-1))</f>
        <v>1</v>
      </c>
      <c r="B296">
        <f t="shared" si="12"/>
        <v>0</v>
      </c>
      <c r="C296">
        <f t="shared" si="13"/>
        <v>1</v>
      </c>
      <c r="D296" t="str">
        <f t="shared" si="14"/>
        <v/>
      </c>
      <c r="E296" t="s">
        <v>330</v>
      </c>
    </row>
    <row r="297" spans="1:5" x14ac:dyDescent="0.2">
      <c r="A297" cm="1">
        <f t="array" ref="A297">COLUMNS(ROW(D!AY1:AY5))</f>
        <v>1</v>
      </c>
      <c r="B297">
        <f t="shared" si="12"/>
        <v>0</v>
      </c>
      <c r="C297">
        <f t="shared" si="13"/>
        <v>1</v>
      </c>
      <c r="D297" t="str">
        <f t="shared" si="14"/>
        <v/>
      </c>
      <c r="E297" t="s">
        <v>331</v>
      </c>
    </row>
    <row r="298" spans="1:5" x14ac:dyDescent="0.2">
      <c r="A298" t="str" cm="1">
        <f t="array" ref="A298">INDEX(T("Rainfall"),1,1)</f>
        <v>Rainfall</v>
      </c>
      <c r="B298">
        <f t="shared" si="12"/>
        <v>-3</v>
      </c>
      <c r="C298">
        <f t="shared" si="13"/>
        <v>0</v>
      </c>
      <c r="D298" t="str">
        <f t="shared" si="14"/>
        <v>Rainfall</v>
      </c>
      <c r="E298" t="s">
        <v>332</v>
      </c>
    </row>
    <row r="299" spans="1:5" x14ac:dyDescent="0.2">
      <c r="A299" cm="1">
        <f t="array" ref="A299">_xlfn.BITOR(23,10)</f>
        <v>31</v>
      </c>
      <c r="B299">
        <f t="shared" si="12"/>
        <v>0</v>
      </c>
      <c r="C299">
        <f t="shared" si="13"/>
        <v>31</v>
      </c>
      <c r="D299" t="str">
        <f t="shared" si="14"/>
        <v/>
      </c>
      <c r="E299" t="s">
        <v>333</v>
      </c>
    </row>
    <row r="300" spans="1:5" x14ac:dyDescent="0.2">
      <c r="A300" t="str" cm="1">
        <f t="array" ref="A300">RIGHTB(" 2 ",2)</f>
        <v xml:space="preserve">2 </v>
      </c>
      <c r="B300">
        <f t="shared" si="12"/>
        <v>-3</v>
      </c>
      <c r="C300">
        <f t="shared" si="13"/>
        <v>0</v>
      </c>
      <c r="D300" t="str">
        <f t="shared" si="14"/>
        <v xml:space="preserve">2 </v>
      </c>
      <c r="E300" t="s">
        <v>334</v>
      </c>
    </row>
    <row r="301" spans="1:5" x14ac:dyDescent="0.2">
      <c r="A301" t="e" cm="1">
        <f t="array" ref="A301">_xlfn.CONCAT("a",D!AV1:AV7,HLOOKUP("a*",{"x";""},D!N1:N6))</f>
        <v>#N/A</v>
      </c>
      <c r="B301">
        <f t="shared" si="12"/>
        <v>7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cm="1">
        <f t="array" ref="A302">INDEX(FISHER(0.75),1,1)</f>
        <v>0.97295507452765662</v>
      </c>
      <c r="B302">
        <f t="shared" si="12"/>
        <v>0</v>
      </c>
      <c r="C302">
        <f t="shared" si="13"/>
        <v>0.97295507452765662</v>
      </c>
      <c r="D302" t="str">
        <f t="shared" si="14"/>
        <v/>
      </c>
      <c r="E302" t="s">
        <v>336</v>
      </c>
    </row>
    <row r="303" spans="1:5" x14ac:dyDescent="0.2">
      <c r="A303" cm="1">
        <f t="array" ref="A303">RADIANS(270)</f>
        <v>4.7123889803846897</v>
      </c>
      <c r="B303">
        <f t="shared" si="12"/>
        <v>0</v>
      </c>
      <c r="C303">
        <f t="shared" si="13"/>
        <v>4.7123889803846897</v>
      </c>
      <c r="D303" t="str">
        <f t="shared" si="14"/>
        <v/>
      </c>
      <c r="E303" t="s">
        <v>337</v>
      </c>
    </row>
    <row r="304" spans="1:5" x14ac:dyDescent="0.2">
      <c r="A304" t="e" cm="1">
        <f t="array" ref="A304">_xlfn.GAMMA.DIST(10.00001131,9,2,D!A2)&lt;_xlfn.DAYS(44270,D!H1)</f>
        <v>#VALUE!</v>
      </c>
      <c r="B304">
        <f t="shared" si="12"/>
        <v>3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cm="1">
        <f t="array" ref="A305">SUM(_xlfn.STDEV.S(D!B1:B8))</f>
        <v>13.760020699216158</v>
      </c>
      <c r="B305">
        <f t="shared" si="12"/>
        <v>0</v>
      </c>
      <c r="C305">
        <f t="shared" si="13"/>
        <v>13.760020699216158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MINVERSE(D!M1:N6)</f>
        <v>#VALUE!</v>
      </c>
      <c r="B306">
        <f t="shared" si="12"/>
        <v>3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cm="1">
        <f t="array" ref="A307">ODD(1.5)</f>
        <v>3</v>
      </c>
      <c r="B307">
        <f t="shared" si="12"/>
        <v>0</v>
      </c>
      <c r="C307">
        <f t="shared" si="13"/>
        <v>3</v>
      </c>
      <c r="D307" t="str">
        <f t="shared" si="14"/>
        <v/>
      </c>
      <c r="E307" t="s">
        <v>341</v>
      </c>
    </row>
    <row r="308" spans="1:5" x14ac:dyDescent="0.2">
      <c r="A308" t="str" cm="1">
        <f t="array" ref="A308">_xlfn.ARRAYTOTEXT(D!L1:N2,0)</f>
        <v>1, one, 10, 2, two, 20</v>
      </c>
      <c r="B308">
        <f t="shared" si="12"/>
        <v>-3</v>
      </c>
      <c r="C308">
        <f t="shared" si="13"/>
        <v>0</v>
      </c>
      <c r="D308" t="str">
        <f t="shared" si="14"/>
        <v>1, one, 10, 2, two, 20</v>
      </c>
      <c r="E308" t="s">
        <v>342</v>
      </c>
    </row>
    <row r="309" spans="1:5" x14ac:dyDescent="0.2">
      <c r="A309" t="b" cm="1">
        <f t="array" ref="A309">NOT(TRUE)</f>
        <v>0</v>
      </c>
      <c r="B309">
        <f t="shared" si="12"/>
        <v>-2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cm="1">
        <f t="array" ref="A310">SUM(AND(7,TRUE))</f>
        <v>1</v>
      </c>
      <c r="B310">
        <f t="shared" si="12"/>
        <v>0</v>
      </c>
      <c r="C310">
        <f t="shared" si="13"/>
        <v>1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PRICE(D!B1,0&gt;="a*",0.0575,_xlfn.PERMUTATIONA(3,2),"FALSE",#DIV/0!,D!A15)</f>
        <v>#NUM!</v>
      </c>
      <c r="B311">
        <f t="shared" si="12"/>
        <v>6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cm="1">
        <f t="array" ref="A312">SINH("0")</f>
        <v>0</v>
      </c>
      <c r="B312">
        <f t="shared" si="12"/>
        <v>0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cm="1">
        <f t="array" ref="A313">_xlfn.PERCENTILE.INC(COLUMN(D!AS1:AS8),CHITEST(D!AK1:AL3,D!P4:R5))</f>
        <v>45</v>
      </c>
      <c r="B313">
        <f t="shared" si="12"/>
        <v>0</v>
      </c>
      <c r="C313">
        <f t="shared" si="13"/>
        <v>45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_xlfn.RRI(BESSELK(COMPLEX("1E2",4),2),10000,D!C2)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ROWS(NA())</f>
        <v>#N/A</v>
      </c>
      <c r="B315">
        <f t="shared" si="12"/>
        <v>7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cm="1">
        <f t="array" ref="A316">EXP(SIGN(10)&gt;=D!A12)</f>
        <v>2.7182818284590451</v>
      </c>
      <c r="B316">
        <f t="shared" si="12"/>
        <v>0</v>
      </c>
      <c r="C316">
        <f t="shared" si="13"/>
        <v>2.7182818284590451</v>
      </c>
      <c r="D316" t="str">
        <f t="shared" si="14"/>
        <v/>
      </c>
      <c r="E316" t="s">
        <v>350</v>
      </c>
    </row>
    <row r="317" spans="1:5" x14ac:dyDescent="0.2">
      <c r="A317" cm="1">
        <f t="array" ref="A317">DELTA(5)</f>
        <v>0</v>
      </c>
      <c r="B317">
        <f t="shared" si="12"/>
        <v>0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b" cm="1">
        <f t="array" ref="A318">ATAN(D!N2)=ISBLANK(2.5)</f>
        <v>0</v>
      </c>
      <c r="B318">
        <f t="shared" si="12"/>
        <v>-2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ATAN(_xlfn.NORM.S.INV(1))</f>
        <v>#NUM!</v>
      </c>
      <c r="B319">
        <f t="shared" si="12"/>
        <v>6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str" cm="1">
        <f t="array" ref="A320">_xlfn.TEXTJOIN(";",FALSE,_xlfn.DROP(D!N1:N6,-1))</f>
        <v>10;20;30;50;80</v>
      </c>
      <c r="B320">
        <f t="shared" si="12"/>
        <v>-3</v>
      </c>
      <c r="C320">
        <f t="shared" si="13"/>
        <v>0</v>
      </c>
      <c r="D320" t="str">
        <f t="shared" si="14"/>
        <v>10;20;30;50;80</v>
      </c>
      <c r="E320" t="s">
        <v>354</v>
      </c>
    </row>
    <row r="321" spans="1:5" x14ac:dyDescent="0.2">
      <c r="A321" cm="1">
        <f t="array" ref="A321">AVERAGEA(D!AW1:AW4)</f>
        <v>0.33333333333333331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0.33333333333333331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SMALL(D!B1:B8,"1.5")</f>
        <v>-3.5</v>
      </c>
      <c r="B322">
        <f t="shared" si="15"/>
        <v>0</v>
      </c>
      <c r="C322">
        <f t="shared" si="16"/>
        <v>-3.5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_xlfn.F.INV.RT(TRUE,6,"")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e" cm="1">
        <f t="array" ref="A324">DCOUNT(D!B7,-1,D!B7)*TINV(0.05464493,D!A2)</f>
        <v>#VALUE!</v>
      </c>
      <c r="B324">
        <f t="shared" si="15"/>
        <v>3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e" cm="1">
        <f t="array" ref="A325">COUPNCD(59,D!A7,D!B1,0)</f>
        <v>#DIV/0!</v>
      </c>
      <c r="B325">
        <f t="shared" si="15"/>
        <v>2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t="e" cm="1" vm="5">
        <f t="array" aca="1" ref="A326" ca="1">XIRR(D!J1:J5,D!AU1:AU5)+_xlfn.UNIQUE({2,"a";TRUE,#N/A},TRUE)</f>
        <v>#VALUE!</v>
      </c>
      <c r="B326">
        <f t="shared" ca="1" si="15"/>
        <v>9</v>
      </c>
      <c r="C326">
        <f t="shared" ca="1" si="16"/>
        <v>0</v>
      </c>
      <c r="D326" t="str">
        <f t="shared" ca="1" si="17"/>
        <v/>
      </c>
      <c r="E326" t="s">
        <v>360</v>
      </c>
    </row>
    <row r="327" spans="1:5" x14ac:dyDescent="0.2">
      <c r="A327" t="str" cm="1">
        <f t="array" ref="A327">_xlfn.TEXTJOIN(";",FALSE,FIXED(1234.567,1))</f>
        <v>1,234.6</v>
      </c>
      <c r="B327">
        <f t="shared" si="15"/>
        <v>-3</v>
      </c>
      <c r="C327">
        <f t="shared" si="16"/>
        <v>0</v>
      </c>
      <c r="D327" t="str">
        <f t="shared" si="17"/>
        <v>1,234.6</v>
      </c>
      <c r="E327" t="s">
        <v>361</v>
      </c>
    </row>
    <row r="328" spans="1:5" x14ac:dyDescent="0.2">
      <c r="A328" cm="1">
        <f t="array" ref="A328">ROWS(MID("Fluid Flow",1,5))</f>
        <v>1</v>
      </c>
      <c r="B328">
        <f t="shared" si="15"/>
        <v>0</v>
      </c>
      <c r="C328">
        <f t="shared" si="16"/>
        <v>1</v>
      </c>
      <c r="D328" t="str">
        <f t="shared" si="17"/>
        <v/>
      </c>
      <c r="E328" t="s">
        <v>362</v>
      </c>
    </row>
    <row r="329" spans="1:5" x14ac:dyDescent="0.2">
      <c r="A329" t="e" cm="1">
        <f t="array" ref="A329">_xlfn.COMBINA(4,D!M2)</f>
        <v>#VALUE!</v>
      </c>
      <c r="B329">
        <f t="shared" si="15"/>
        <v>3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e" cm="1">
        <f t="array" ref="A330">_xlfn.BETA.DIST(2,8,10,TRUE,1000,3)</f>
        <v>#NUM!</v>
      </c>
      <c r="B330">
        <f t="shared" si="15"/>
        <v>6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str" cm="1">
        <f t="array" ref="A331">BAHTTEXT(1234)</f>
        <v>หนึ่งพันสองร้อยสามสิบสี่บาทถ้วน</v>
      </c>
      <c r="B331">
        <f t="shared" si="15"/>
        <v>-3</v>
      </c>
      <c r="C331">
        <f t="shared" si="16"/>
        <v>0</v>
      </c>
      <c r="D331" t="str">
        <f t="shared" si="17"/>
        <v>หนึ่งพันสองร้อยสามสิบสี่บาทถ้วน</v>
      </c>
      <c r="E331" t="s">
        <v>365</v>
      </c>
    </row>
    <row r="332" spans="1:5" x14ac:dyDescent="0.2">
      <c r="A332" cm="1">
        <f t="array" ref="A332">_xlfn.CHISQ.DIST(0.5,1,TRUE)</f>
        <v>0.52049987781304652</v>
      </c>
      <c r="B332">
        <f t="shared" si="15"/>
        <v>0</v>
      </c>
      <c r="C332">
        <f t="shared" si="16"/>
        <v>0.52049987781304652</v>
      </c>
      <c r="D332" t="str">
        <f t="shared" si="17"/>
        <v/>
      </c>
      <c r="E332" t="s">
        <v>366</v>
      </c>
    </row>
    <row r="333" spans="1:5" x14ac:dyDescent="0.2">
      <c r="A333" t="e" cm="1">
        <f t="array" ref="A333">ROWS(PERCENTRANK(_xlfn.GAMMA(2.5)&amp;60,15))</f>
        <v>#N/A</v>
      </c>
      <c r="B333">
        <f t="shared" si="15"/>
        <v>7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cm="1">
        <f t="array" ref="A334">COLUMNS(WORKDAY.INTL(40909,90,11))</f>
        <v>1</v>
      </c>
      <c r="B334">
        <f t="shared" si="15"/>
        <v>0</v>
      </c>
      <c r="C334">
        <f t="shared" si="16"/>
        <v>1</v>
      </c>
      <c r="D334" t="str">
        <f t="shared" si="17"/>
        <v/>
      </c>
      <c r="E334" t="s">
        <v>368</v>
      </c>
    </row>
    <row r="335" spans="1:5" x14ac:dyDescent="0.2">
      <c r="A335" t="e" cm="1">
        <f t="array" ref="A335">MDURATION(0,"abc",0.08,0.09,D!A3,HYPERLINK("http://example.com","x"))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cm="1">
        <f t="array" ref="A336">STDEV(_xlfn.UNIQUE({0.5;-1}),0,COLUMN(D!B1:B3))</f>
        <v>1.25</v>
      </c>
      <c r="B336">
        <f t="shared" si="15"/>
        <v>0</v>
      </c>
      <c r="C336">
        <f t="shared" si="16"/>
        <v>1.25</v>
      </c>
      <c r="D336" t="str">
        <f t="shared" si="17"/>
        <v/>
      </c>
      <c r="E336" t="s">
        <v>370</v>
      </c>
    </row>
    <row r="337" spans="1:5" x14ac:dyDescent="0.2">
      <c r="A337" t="e" cm="1">
        <f t="array" ref="A337">_xlfn.TEXTJOIN(", ",TRUE,_xlfn.WRAPCOLS(D!B1:B8,5,#NUM!),"","b")</f>
        <v>#NUM!</v>
      </c>
      <c r="B337">
        <f t="shared" si="15"/>
        <v>6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cm="1">
        <f t="array" ref="A338">KURT(D!B1:B8,D!C1:C8,D!H1:H7,{1,2,3})/_xlfn.F.INV.RT(0.01,1000,4)</f>
        <v>-6.3061861728503671E-2</v>
      </c>
      <c r="B338">
        <f t="shared" si="15"/>
        <v>0</v>
      </c>
      <c r="C338">
        <f t="shared" si="16"/>
        <v>-6.3061861728503671E-2</v>
      </c>
      <c r="D338" t="str">
        <f t="shared" si="17"/>
        <v/>
      </c>
      <c r="E338" t="s">
        <v>372</v>
      </c>
    </row>
    <row r="339" spans="1:5" x14ac:dyDescent="0.2">
      <c r="A339" cm="1">
        <f t="array" ref="A339">ROWS(_xlfn.XOR(TRUE,COS(1.047)))</f>
        <v>1</v>
      </c>
      <c r="B339">
        <f t="shared" si="15"/>
        <v>0</v>
      </c>
      <c r="C339">
        <f t="shared" si="16"/>
        <v>1</v>
      </c>
      <c r="D339" t="str">
        <f t="shared" si="17"/>
        <v/>
      </c>
      <c r="E339" t="s">
        <v>373</v>
      </c>
    </row>
    <row r="340" spans="1:5" x14ac:dyDescent="0.2">
      <c r="A340" cm="1">
        <f t="array" ref="A340">DAY(40648)+_xlfn.COVARIANCE.S(D!B1:B8,D!C1:C8)</f>
        <v>192.51785714285714</v>
      </c>
      <c r="B340">
        <f t="shared" si="15"/>
        <v>0</v>
      </c>
      <c r="C340">
        <f t="shared" si="16"/>
        <v>192.51785714285714</v>
      </c>
      <c r="D340" t="str">
        <f t="shared" si="17"/>
        <v/>
      </c>
      <c r="E340" t="s">
        <v>374</v>
      </c>
    </row>
    <row r="341" spans="1:5" x14ac:dyDescent="0.2">
      <c r="A341" cm="1">
        <f t="array" ref="A341">SUBTOTAL(9,D!D1:D8)</f>
        <v>9.5</v>
      </c>
      <c r="B341">
        <f t="shared" si="15"/>
        <v>0</v>
      </c>
      <c r="C341">
        <f t="shared" si="16"/>
        <v>9.5</v>
      </c>
      <c r="D341" t="str">
        <f t="shared" si="17"/>
        <v/>
      </c>
      <c r="E341" t="s">
        <v>375</v>
      </c>
    </row>
    <row r="342" spans="1:5" x14ac:dyDescent="0.2">
      <c r="A342" cm="1">
        <f t="array" ref="A342">INDEX(AVERAGEA({1}),1,1)</f>
        <v>1</v>
      </c>
      <c r="B342">
        <f t="shared" si="15"/>
        <v>0</v>
      </c>
      <c r="C342">
        <f t="shared" si="16"/>
        <v>1</v>
      </c>
      <c r="D342" t="str">
        <f t="shared" si="17"/>
        <v/>
      </c>
      <c r="E342" t="s">
        <v>376</v>
      </c>
    </row>
    <row r="343" spans="1:5" x14ac:dyDescent="0.2">
      <c r="A343" t="e" cm="1">
        <f t="array" ref="A343">NETWORKDAYS(41183,-1)</f>
        <v>#NUM!</v>
      </c>
      <c r="B343">
        <f t="shared" si="15"/>
        <v>6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cm="1">
        <f t="array" ref="A344">EXP(1)-_xlfn.ERFC.PRECISE(4)</f>
        <v>2.7182818130417874</v>
      </c>
      <c r="B344">
        <f t="shared" si="15"/>
        <v>0</v>
      </c>
      <c r="C344">
        <f t="shared" si="16"/>
        <v>2.7182818130417874</v>
      </c>
      <c r="D344" t="str">
        <f t="shared" si="17"/>
        <v/>
      </c>
      <c r="E344" t="s">
        <v>378</v>
      </c>
    </row>
    <row r="345" spans="1:5" x14ac:dyDescent="0.2">
      <c r="A345" cm="1">
        <f t="array" ref="A345">SIGN(D!B7)</f>
        <v>-1</v>
      </c>
      <c r="B345">
        <f t="shared" si="15"/>
        <v>0</v>
      </c>
      <c r="C345">
        <f t="shared" si="16"/>
        <v>-1</v>
      </c>
      <c r="D345" t="str">
        <f t="shared" si="17"/>
        <v/>
      </c>
      <c r="E345" t="s">
        <v>379</v>
      </c>
    </row>
    <row r="346" spans="1:5" x14ac:dyDescent="0.2">
      <c r="A346" cm="1">
        <f t="array" ref="A346">VARP(D!B1:B8)</f>
        <v>165.6708984375</v>
      </c>
      <c r="B346">
        <f t="shared" si="15"/>
        <v>0</v>
      </c>
      <c r="C346">
        <f t="shared" si="16"/>
        <v>165.6708984375</v>
      </c>
      <c r="D346" t="str">
        <f t="shared" si="17"/>
        <v/>
      </c>
      <c r="E346" t="s">
        <v>380</v>
      </c>
    </row>
    <row r="347" spans="1:5" x14ac:dyDescent="0.2">
      <c r="A347" cm="1">
        <f t="array" ref="A347">INDEX(_xlfn.ISOWEEKNUM(40977),1,1)</f>
        <v>10</v>
      </c>
      <c r="B347">
        <f t="shared" si="15"/>
        <v>0</v>
      </c>
      <c r="C347">
        <f t="shared" si="16"/>
        <v>10</v>
      </c>
      <c r="D347" t="str">
        <f t="shared" si="17"/>
        <v/>
      </c>
      <c r="E347" t="s">
        <v>381</v>
      </c>
    </row>
    <row r="348" spans="1:5" x14ac:dyDescent="0.2">
      <c r="A348" cm="1">
        <f t="array" ref="A348">_xlfn.GAMMA.DIST("1/2/2025",9,2,FALSE)</f>
        <v>0</v>
      </c>
      <c r="B348">
        <f t="shared" si="15"/>
        <v>0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cm="1">
        <f t="array" ref="A349">SUBTOTAL(9,D!AV1:AV7)</f>
        <v>42</v>
      </c>
      <c r="B349">
        <f t="shared" si="15"/>
        <v>0</v>
      </c>
      <c r="C349">
        <f t="shared" si="16"/>
        <v>42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INDEX(TRIM(#NUM!+D!A1),1,1)</f>
        <v>#NUM!</v>
      </c>
      <c r="B350">
        <f t="shared" si="15"/>
        <v>6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cm="1">
        <f t="array" ref="A351">NETWORKDAYS(41183,41334)</f>
        <v>110</v>
      </c>
      <c r="B351">
        <f t="shared" si="15"/>
        <v>0</v>
      </c>
      <c r="C351">
        <f t="shared" si="16"/>
        <v>110</v>
      </c>
      <c r="D351" t="str">
        <f t="shared" si="17"/>
        <v/>
      </c>
      <c r="E351" t="s">
        <v>385</v>
      </c>
    </row>
    <row r="352" spans="1:5" x14ac:dyDescent="0.2">
      <c r="A352" t="e" cm="1" vm="4">
        <f t="array" aca="1" ref="A352" ca="1">_xlfn.WEIBULL.DIST(105,{"x";""},"3",TRUE)</f>
        <v>#VALUE!</v>
      </c>
      <c r="B352">
        <f t="shared" ca="1" si="15"/>
        <v>9</v>
      </c>
      <c r="C352">
        <f t="shared" ca="1" si="16"/>
        <v>0</v>
      </c>
      <c r="D352" t="str">
        <f t="shared" ca="1" si="17"/>
        <v/>
      </c>
      <c r="E352" t="s">
        <v>386</v>
      </c>
    </row>
    <row r="353" spans="1:5" x14ac:dyDescent="0.2">
      <c r="A353" t="e" cm="1">
        <f t="array" ref="A353">SUM(NOMINAL("2024-02-29",D!N1:N6))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cm="1">
        <f t="array" ref="A354">_xlfn.FLOOR.PRECISE(-1.5,3)</f>
        <v>-3</v>
      </c>
      <c r="B354">
        <f t="shared" si="15"/>
        <v>0</v>
      </c>
      <c r="C354">
        <f t="shared" si="16"/>
        <v>-3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NORMINV(TRUE,40,1.5)</f>
        <v>#NUM!</v>
      </c>
      <c r="B355">
        <f t="shared" si="15"/>
        <v>6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DAVERAGE(D!B1,"Yield",D!K1:K8)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t="str" cm="1">
        <f t="array" ref="A357">_xlfn.TEXTJOIN(";",FALSE,IMSUM(D!AV1:AV7,"5-3i"))</f>
        <v>47-3i</v>
      </c>
      <c r="B357">
        <f t="shared" si="15"/>
        <v>-3</v>
      </c>
      <c r="C357">
        <f t="shared" si="16"/>
        <v>0</v>
      </c>
      <c r="D357" t="str">
        <f t="shared" si="17"/>
        <v>47-3i</v>
      </c>
      <c r="E357" t="s">
        <v>391</v>
      </c>
    </row>
    <row r="358" spans="1:5" x14ac:dyDescent="0.2">
      <c r="A358" t="b" cm="1">
        <f t="array" ref="A358">ROUND(2,1)&gt;_xlfn.PERCENTOF(LINEST(D!AY1:AY5,D!AZ1:AZ5),4)</f>
        <v>1</v>
      </c>
      <c r="B358">
        <f t="shared" si="15"/>
        <v>-1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e" cm="1" vm="5">
        <f t="array" aca="1" ref="A359" ca="1">_xlfn.BINOM.DIST(6,10,RSQ(D!B1:C8,D!AY1:AY5),{1,2;3,4})</f>
        <v>#VALUE!</v>
      </c>
      <c r="B359">
        <f t="shared" ca="1" si="15"/>
        <v>9</v>
      </c>
      <c r="C359">
        <f t="shared" ca="1" si="16"/>
        <v>0</v>
      </c>
      <c r="D359" t="str">
        <f t="shared" ca="1" si="17"/>
        <v/>
      </c>
      <c r="E359" t="s">
        <v>393</v>
      </c>
    </row>
    <row r="360" spans="1:5" x14ac:dyDescent="0.2">
      <c r="A360" t="e" cm="1" vm="8">
        <f t="array" aca="1" ref="A360" ca="1">_xlfn.GAMMA.DIST(_xlfn.AGGREGATE(SYD(D!AY1:AY5,D!F1,10,"31-Jan-2025"),4,D!I1:I5,D!E1:E8,D!AZ1:AZ5),3,2,{1,2,3})</f>
        <v>#VALUE!</v>
      </c>
      <c r="B360">
        <f t="shared" ca="1" si="15"/>
        <v>9</v>
      </c>
      <c r="C360">
        <f t="shared" ca="1" si="16"/>
        <v>0</v>
      </c>
      <c r="D360" t="str">
        <f t="shared" ca="1" si="17"/>
        <v/>
      </c>
      <c r="E360" t="s">
        <v>394</v>
      </c>
    </row>
    <row r="361" spans="1:5" x14ac:dyDescent="0.2">
      <c r="A361" t="e" cm="1">
        <f t="array" ref="A361">INTRATE(DATE(2008,2,15),DATE(2008,5,15),1000000,COSH(4),D!B3)</f>
        <v>#NUM!</v>
      </c>
      <c r="B361">
        <f t="shared" si="15"/>
        <v>6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COLUMNS(CONVERT(1,"lbm",-1))</f>
        <v>#N/A</v>
      </c>
      <c r="B362">
        <f t="shared" si="15"/>
        <v>7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 vm="2">
        <f t="array" aca="1" ref="A363" ca="1">_xlfn.RANK.AVG(_xlfn.F.DIST(FALSE,6,_xlfn.BINOM.DIST.RANGE(60,10,{0.5;-1},D!C2),_xlfn.IFS(D!L1:L6,D!A2,D!AW1:AW4,2)),D!F1:F7)</f>
        <v>#VALUE!</v>
      </c>
      <c r="B363">
        <f t="shared" ca="1" si="15"/>
        <v>9</v>
      </c>
      <c r="C363">
        <f t="shared" ca="1" si="16"/>
        <v>0</v>
      </c>
      <c r="D363" t="str">
        <f t="shared" ca="1" si="17"/>
        <v/>
      </c>
      <c r="E363" t="s">
        <v>397</v>
      </c>
    </row>
    <row r="364" spans="1:5" x14ac:dyDescent="0.2">
      <c r="A364" t="e" cm="1">
        <f t="array" ref="A364">FIND("M","50%")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e" cm="1">
        <f t="array" ref="A365">CUMPRINC(0.0075,360,125000,"a,b",-1.5,0)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cm="1">
        <f t="array" ref="A366">PI()</f>
        <v>3.1415926535897931</v>
      </c>
      <c r="B366">
        <f t="shared" si="15"/>
        <v>0</v>
      </c>
      <c r="C366">
        <f t="shared" si="16"/>
        <v>3.1415926535897931</v>
      </c>
      <c r="D366" t="str">
        <f t="shared" si="17"/>
        <v/>
      </c>
      <c r="E366" t="s">
        <v>400</v>
      </c>
    </row>
    <row r="367" spans="1:5" x14ac:dyDescent="0.2">
      <c r="A367" t="e" cm="1" vm="13">
        <f t="array" aca="1" ref="A367" ca="1">TRANSPOSE(D!AZ1:AZ5)</f>
        <v>#VALUE!</v>
      </c>
      <c r="B367">
        <f t="shared" ca="1" si="15"/>
        <v>9</v>
      </c>
      <c r="C367">
        <f t="shared" ca="1" si="16"/>
        <v>0</v>
      </c>
      <c r="D367" t="str">
        <f t="shared" ca="1" si="17"/>
        <v/>
      </c>
      <c r="E367" t="s">
        <v>401</v>
      </c>
    </row>
    <row r="368" spans="1:5" x14ac:dyDescent="0.2">
      <c r="A368" cm="1">
        <f t="array" ref="A368">FINV(0.01,{1},{1})</f>
        <v>4052.1806954768263</v>
      </c>
      <c r="B368">
        <f t="shared" si="15"/>
        <v>0</v>
      </c>
      <c r="C368">
        <f t="shared" si="16"/>
        <v>4052.1806954768263</v>
      </c>
      <c r="D368" t="str">
        <f t="shared" si="17"/>
        <v/>
      </c>
      <c r="E368" t="s">
        <v>402</v>
      </c>
    </row>
    <row r="369" spans="1:5" x14ac:dyDescent="0.2">
      <c r="A369" t="e" cm="1">
        <f t="array" ref="A369">ROWS(BIN2OCT(DCOUNTA(D!B1:B3,"Yield",D!G4),3))</f>
        <v>#VALUE!</v>
      </c>
      <c r="B369">
        <f t="shared" si="15"/>
        <v>3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t="str" cm="1">
        <f t="array" ref="A370">SQRT(D!A15)&amp;HOUR(0.75)</f>
        <v>213.74926900459818</v>
      </c>
      <c r="B370">
        <f t="shared" si="15"/>
        <v>-3</v>
      </c>
      <c r="C370">
        <f t="shared" si="16"/>
        <v>0</v>
      </c>
      <c r="D370" t="str">
        <f t="shared" si="17"/>
        <v>213.74926900459818</v>
      </c>
      <c r="E370" t="s">
        <v>404</v>
      </c>
    </row>
    <row r="371" spans="1:5" x14ac:dyDescent="0.2">
      <c r="A371" cm="1">
        <f t="array" ref="A371">DEGREES(TRUE)</f>
        <v>57.295779513082323</v>
      </c>
      <c r="B371">
        <f t="shared" si="15"/>
        <v>0</v>
      </c>
      <c r="C371">
        <f t="shared" si="16"/>
        <v>57.295779513082323</v>
      </c>
      <c r="D371" t="str">
        <f t="shared" si="17"/>
        <v/>
      </c>
      <c r="E371" t="s">
        <v>405</v>
      </c>
    </row>
    <row r="372" spans="1:5" x14ac:dyDescent="0.2">
      <c r="A372" t="str" cm="1">
        <f t="array" ref="A372">_xlfn.IMCSC("4+3i")</f>
        <v>-0.0754898329158637+0.0648774713706355i</v>
      </c>
      <c r="B372">
        <f t="shared" si="15"/>
        <v>-3</v>
      </c>
      <c r="C372">
        <f t="shared" si="16"/>
        <v>0</v>
      </c>
      <c r="D372" t="str">
        <f t="shared" si="17"/>
        <v>-0.0754898329158637+0.0648774713706355i</v>
      </c>
      <c r="E372" t="s">
        <v>406</v>
      </c>
    </row>
    <row r="373" spans="1:5" x14ac:dyDescent="0.2">
      <c r="A373" cm="1">
        <f t="array" ref="A373">LENB("Привет")</f>
        <v>6</v>
      </c>
      <c r="B373">
        <f t="shared" si="15"/>
        <v>0</v>
      </c>
      <c r="C373">
        <f t="shared" si="16"/>
        <v>6</v>
      </c>
      <c r="D373" t="str">
        <f t="shared" si="17"/>
        <v/>
      </c>
      <c r="E373" t="s">
        <v>407</v>
      </c>
    </row>
    <row r="374" spans="1:5" x14ac:dyDescent="0.2">
      <c r="A374" t="str" cm="1">
        <f t="array" ref="A374">INDEX(CONCATENATE("a","18:30"),1,1)</f>
        <v>a18:30</v>
      </c>
      <c r="B374">
        <f t="shared" si="15"/>
        <v>-3</v>
      </c>
      <c r="C374">
        <f t="shared" si="16"/>
        <v>0</v>
      </c>
      <c r="D374" t="str">
        <f t="shared" si="17"/>
        <v>a18:30</v>
      </c>
      <c r="E374" t="s">
        <v>408</v>
      </c>
    </row>
    <row r="375" spans="1:5" x14ac:dyDescent="0.2">
      <c r="A375" cm="1">
        <f t="array" ref="A375">COS(2)</f>
        <v>-0.41614683654714241</v>
      </c>
      <c r="B375">
        <f t="shared" si="15"/>
        <v>0</v>
      </c>
      <c r="C375">
        <f t="shared" si="16"/>
        <v>-0.41614683654714241</v>
      </c>
      <c r="D375" t="str">
        <f t="shared" si="17"/>
        <v/>
      </c>
      <c r="E375" t="s">
        <v>409</v>
      </c>
    </row>
    <row r="376" spans="1:5" x14ac:dyDescent="0.2">
      <c r="A376" t="e" cm="1">
        <f t="array" ref="A376">DMIN(D!AY1:AY5,"Yield",D!K1:K8)</f>
        <v>#VALUE!</v>
      </c>
      <c r="B376">
        <f t="shared" si="15"/>
        <v>3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cm="1">
        <f t="array" ref="A377">TRIMMEAN(D!B1:B8,0.2)</f>
        <v>14.34375</v>
      </c>
      <c r="B377">
        <f t="shared" si="15"/>
        <v>0</v>
      </c>
      <c r="C377">
        <f t="shared" si="16"/>
        <v>14.34375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TTEST(D!B1:B8,D!C1:C8,2,100)&amp;VARA(D!B1:B8,D!AY1:AY5,4,{2,"a";TRUE,#N/A})</f>
        <v>#NUM!</v>
      </c>
      <c r="B378">
        <f t="shared" si="15"/>
        <v>6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str" cm="1">
        <f t="array" ref="A379">CLEAN(D!A14)</f>
        <v>abc</v>
      </c>
      <c r="B379">
        <f t="shared" si="15"/>
        <v>-3</v>
      </c>
      <c r="C379">
        <f t="shared" si="16"/>
        <v>0</v>
      </c>
      <c r="D379" t="str">
        <f t="shared" si="17"/>
        <v>abc</v>
      </c>
      <c r="E379" t="s">
        <v>413</v>
      </c>
    </row>
    <row r="380" spans="1:5" x14ac:dyDescent="0.2">
      <c r="A380" cm="1">
        <f t="array" ref="A380">LOG10(0.25)</f>
        <v>-0.6020599913279624</v>
      </c>
      <c r="B380">
        <f t="shared" si="15"/>
        <v>0</v>
      </c>
      <c r="C380">
        <f t="shared" si="16"/>
        <v>-0.6020599913279624</v>
      </c>
      <c r="D380" t="str">
        <f t="shared" si="17"/>
        <v/>
      </c>
      <c r="E380" t="s">
        <v>414</v>
      </c>
    </row>
    <row r="381" spans="1:5" x14ac:dyDescent="0.2">
      <c r="A381" cm="1">
        <f t="array" ref="A381">BESSELJ(1.9,2)</f>
        <v>0.3299258286697852</v>
      </c>
      <c r="B381">
        <f t="shared" si="15"/>
        <v>0</v>
      </c>
      <c r="C381">
        <f t="shared" si="16"/>
        <v>0.3299258286697852</v>
      </c>
      <c r="D381" t="str">
        <f t="shared" si="17"/>
        <v/>
      </c>
      <c r="E381" t="s">
        <v>415</v>
      </c>
    </row>
    <row r="382" spans="1:5" x14ac:dyDescent="0.2">
      <c r="A382" cm="1">
        <f t="array" ref="A382">NORMSDIST(0.25)</f>
        <v>0.5987063256829237</v>
      </c>
      <c r="B382">
        <f t="shared" si="15"/>
        <v>0</v>
      </c>
      <c r="C382">
        <f t="shared" si="16"/>
        <v>0.5987063256829237</v>
      </c>
      <c r="D382" t="str">
        <f t="shared" si="17"/>
        <v/>
      </c>
      <c r="E382" t="s">
        <v>416</v>
      </c>
    </row>
    <row r="383" spans="1:5" x14ac:dyDescent="0.2">
      <c r="A383" cm="1">
        <f t="array" ref="A383">FISHERINV(0.972955)</f>
        <v>0.74999996739414843</v>
      </c>
      <c r="B383">
        <f t="shared" si="15"/>
        <v>0</v>
      </c>
      <c r="C383">
        <f t="shared" si="16"/>
        <v>0.74999996739414843</v>
      </c>
      <c r="D383" t="str">
        <f t="shared" si="17"/>
        <v/>
      </c>
      <c r="E383" t="s">
        <v>417</v>
      </c>
    </row>
    <row r="384" spans="1:5" x14ac:dyDescent="0.2">
      <c r="A384" cm="1">
        <f t="array" ref="A384">SUM(_xlfn.TOCOL(D!P4:R5,D!A10))</f>
        <v>21</v>
      </c>
      <c r="B384">
        <f t="shared" si="15"/>
        <v>0</v>
      </c>
      <c r="C384">
        <f t="shared" si="16"/>
        <v>21</v>
      </c>
      <c r="D384" t="str">
        <f t="shared" si="17"/>
        <v/>
      </c>
      <c r="E384" t="s">
        <v>418</v>
      </c>
    </row>
    <row r="385" spans="1:5" x14ac:dyDescent="0.2">
      <c r="A385" t="e" cm="1">
        <f t="array" ref="A385">INTRATE(FACT(2),D!B7&gt;=BESSELK(FALSE,-1),1000000,D!C1:C8,2)</f>
        <v>#VALUE!</v>
      </c>
      <c r="B385">
        <f t="shared" ref="B385:B448" si="18">IF(ISERROR(A385),ERROR.TYPE(A385),IF(ISNUMBER(A385),0,IF(ISLOGICAL(A385),IF(A385,-1,-2),IF(ISTEXT(A385),-3,-4))))</f>
        <v>3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e" cm="1">
        <f t="array" ref="A386">OCT2BIN("3",3)*_xlfn.T.DIST.2T(1000,-1)</f>
        <v>#NUM!</v>
      </c>
      <c r="B386">
        <f t="shared" si="18"/>
        <v>6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ODDFYIELD(DATE(2008,11,11),DATE(2021,3,1),D!A9,TRUE,0.0575,D!M2,#VALUE!,2)</f>
        <v>#VALUE!</v>
      </c>
      <c r="B387">
        <f t="shared" si="18"/>
        <v>3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ATANH(-1)</f>
        <v>#NUM!</v>
      </c>
      <c r="B388">
        <f t="shared" si="18"/>
        <v>6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cm="1">
        <f t="array" ref="A389">VAR(D!AY1:AY5,2,D!AS1:AS8)</f>
        <v>12.618181818181819</v>
      </c>
      <c r="B389">
        <f t="shared" si="18"/>
        <v>0</v>
      </c>
      <c r="C389">
        <f t="shared" si="19"/>
        <v>12.618181818181819</v>
      </c>
      <c r="D389" t="str">
        <f t="shared" si="20"/>
        <v/>
      </c>
      <c r="E389" t="s">
        <v>423</v>
      </c>
    </row>
    <row r="390" spans="1:5" x14ac:dyDescent="0.2">
      <c r="A390" t="e" cm="1" vm="7">
        <f t="array" aca="1" ref="A390" ca="1">SEARCHB("B",{45658,45689},"0")&gt;=NA()</f>
        <v>#VALUE!</v>
      </c>
      <c r="B390">
        <f t="shared" ca="1" si="18"/>
        <v>9</v>
      </c>
      <c r="C390">
        <f t="shared" ca="1" si="19"/>
        <v>0</v>
      </c>
      <c r="D390" t="str">
        <f t="shared" ca="1" si="20"/>
        <v/>
      </c>
      <c r="E390" t="s">
        <v>424</v>
      </c>
    </row>
    <row r="391" spans="1:5" x14ac:dyDescent="0.2">
      <c r="A391" cm="1">
        <f t="array" ref="A391">CHIDIST(18.307,10)</f>
        <v>5.0000589091398109E-2</v>
      </c>
      <c r="B391">
        <f t="shared" si="18"/>
        <v>0</v>
      </c>
      <c r="C391">
        <f t="shared" si="19"/>
        <v>5.0000589091398109E-2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DVARP(D!F1:F7,D!G4,D!G1:G7)</f>
        <v>#VALUE!</v>
      </c>
      <c r="B392">
        <f t="shared" si="18"/>
        <v>3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_xlfn.F.TEST(PROB(D!A1:A5,D!P4:R5+MIN(D!B1:B8),2,#VALUE!),D!C1:C8)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cm="1">
        <f t="array" ref="A394">NOMINAL(0.053543,4)</f>
        <v>5.2500319868356016E-2</v>
      </c>
      <c r="B394">
        <f t="shared" si="18"/>
        <v>0</v>
      </c>
      <c r="C394">
        <f t="shared" si="19"/>
        <v>5.2500319868356016E-2</v>
      </c>
      <c r="D394" t="str">
        <f t="shared" si="20"/>
        <v/>
      </c>
      <c r="E394" t="s">
        <v>428</v>
      </c>
    </row>
    <row r="395" spans="1:5" x14ac:dyDescent="0.2">
      <c r="A395" t="e" cm="1">
        <f t="array" ref="A395">IPMT(1&lt;IMCOS("1+i"),NEGBINOMDIST(10,#N/A,0.25),36,"31-Jan-2025")</f>
        <v>#N/A</v>
      </c>
      <c r="B395">
        <f t="shared" si="18"/>
        <v>7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MROUND(10," "-" 2 ")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cm="1">
        <f t="array" ref="A397">_xlfn.LOGNORM.INV(0.039084,3.5,1.2)</f>
        <v>4.000025218680638</v>
      </c>
      <c r="B397">
        <f t="shared" si="18"/>
        <v>0</v>
      </c>
      <c r="C397">
        <f t="shared" si="19"/>
        <v>4.000025218680638</v>
      </c>
      <c r="D397" t="str">
        <f t="shared" si="20"/>
        <v/>
      </c>
      <c r="E397" t="s">
        <v>431</v>
      </c>
    </row>
    <row r="398" spans="1:5" x14ac:dyDescent="0.2">
      <c r="A398" cm="1">
        <f t="array" ref="A398">PI()</f>
        <v>3.1415926535897931</v>
      </c>
      <c r="B398">
        <f t="shared" si="18"/>
        <v>0</v>
      </c>
      <c r="C398">
        <f t="shared" si="19"/>
        <v>3.1415926535897931</v>
      </c>
      <c r="D398" t="str">
        <f t="shared" si="20"/>
        <v/>
      </c>
      <c r="E398" t="s">
        <v>432</v>
      </c>
    </row>
    <row r="399" spans="1:5" x14ac:dyDescent="0.2">
      <c r="A399" cm="1">
        <f t="array" ref="A399">COLUMNS(COUNTIFS(D!L1:L6,D!B3))</f>
        <v>1</v>
      </c>
      <c r="B399">
        <f t="shared" si="18"/>
        <v>0</v>
      </c>
      <c r="C399">
        <f t="shared" si="19"/>
        <v>1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NPER(0.01,-100,-1000,-1.5,1)-STANDARDIZE(0.25,1000,0)</f>
        <v>#NUM!</v>
      </c>
      <c r="B400">
        <f t="shared" si="18"/>
        <v>6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2026-10-07T05:15:42Z</dcterms:created>
  <dcterms:modified xsi:type="dcterms:W3CDTF">2026-10-07T05:15:43Z</dcterms:modified>
  <cp:category/>
</cp:coreProperties>
</file>