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34BB72CB-684B-E647-ABB1-3A46E0085D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D399" i="2" s="1"/>
  <c r="A398" i="2" a="1"/>
  <c r="A398" i="2" s="1"/>
  <c r="A397" i="2" a="1"/>
  <c r="A397" i="2" s="1"/>
  <c r="B397" i="2" s="1"/>
  <c r="A396" i="2" a="1"/>
  <c r="A396" i="2" s="1"/>
  <c r="A395" i="2" a="1"/>
  <c r="A395" i="2" s="1"/>
  <c r="A394" i="2" a="1"/>
  <c r="A394" i="2"/>
  <c r="D394" i="2" s="1"/>
  <c r="A393" i="2" a="1"/>
  <c r="A393" i="2" s="1"/>
  <c r="A392" i="2" a="1"/>
  <c r="A392" i="2"/>
  <c r="D392" i="2" s="1"/>
  <c r="A391" i="2" a="1"/>
  <c r="A391" i="2"/>
  <c r="B391" i="2" s="1"/>
  <c r="A390" i="2" a="1"/>
  <c r="A390" i="2" s="1"/>
  <c r="A389" i="2" a="1"/>
  <c r="A389" i="2" s="1"/>
  <c r="A388" i="2" a="1"/>
  <c r="A388" i="2" s="1"/>
  <c r="A387" i="2" a="1"/>
  <c r="A387" i="2" s="1"/>
  <c r="A386" i="2" a="1"/>
  <c r="A386" i="2" s="1"/>
  <c r="A385" i="2" a="1"/>
  <c r="A385" i="2" s="1"/>
  <c r="A383" i="2" a="1"/>
  <c r="A383" i="2" s="1"/>
  <c r="A382" i="2" a="1"/>
  <c r="A382" i="2" s="1"/>
  <c r="A381" i="2" a="1"/>
  <c r="A381" i="2"/>
  <c r="D380" i="2"/>
  <c r="A380" i="2" a="1"/>
  <c r="A380" i="2" s="1"/>
  <c r="A379" i="2" a="1"/>
  <c r="A379" i="2" s="1"/>
  <c r="A378" i="2" a="1"/>
  <c r="A378" i="2" s="1"/>
  <c r="A377" i="2" a="1"/>
  <c r="A377" i="2" s="1"/>
  <c r="A376" i="2" a="1"/>
  <c r="A376" i="2" s="1"/>
  <c r="A375" i="2" a="1"/>
  <c r="A375" i="2"/>
  <c r="C375" i="2" s="1"/>
  <c r="A374" i="2" a="1"/>
  <c r="A374" i="2"/>
  <c r="D374" i="2" s="1"/>
  <c r="A373" i="2" a="1"/>
  <c r="A373" i="2" s="1"/>
  <c r="A372" i="2" a="1"/>
  <c r="A372" i="2" s="1"/>
  <c r="A371" i="2" a="1"/>
  <c r="A371" i="2"/>
  <c r="D371" i="2" s="1"/>
  <c r="A370" i="2" a="1"/>
  <c r="A370" i="2" s="1"/>
  <c r="A369" i="2" a="1"/>
  <c r="A369" i="2" s="1"/>
  <c r="A368" i="2" a="1"/>
  <c r="A368" i="2" s="1"/>
  <c r="B367" i="2"/>
  <c r="A367" i="2" a="1"/>
  <c r="A367" i="2"/>
  <c r="C367" i="2" s="1"/>
  <c r="A366" i="2" a="1"/>
  <c r="A366" i="2"/>
  <c r="D366" i="2" s="1"/>
  <c r="A365" i="2" a="1"/>
  <c r="A365" i="2"/>
  <c r="A364" i="2" a="1"/>
  <c r="A364" i="2" s="1"/>
  <c r="A363" i="2" a="1"/>
  <c r="A363" i="2"/>
  <c r="A362" i="2" a="1"/>
  <c r="A362" i="2" s="1"/>
  <c r="A361" i="2" a="1"/>
  <c r="A361" i="2" s="1"/>
  <c r="B361" i="2" s="1"/>
  <c r="A360" i="2" a="1"/>
  <c r="A360" i="2" s="1"/>
  <c r="A359" i="2" a="1"/>
  <c r="A359" i="2" s="1"/>
  <c r="A358" i="2" a="1"/>
  <c r="A358" i="2"/>
  <c r="D358" i="2" s="1"/>
  <c r="A356" i="2" a="1"/>
  <c r="A356" i="2"/>
  <c r="D356" i="2" s="1"/>
  <c r="A355" i="2" a="1"/>
  <c r="A355" i="2"/>
  <c r="B355" i="2" s="1"/>
  <c r="A354" i="2" a="1"/>
  <c r="A354" i="2" s="1"/>
  <c r="A353" i="2" a="1"/>
  <c r="A353" i="2" s="1"/>
  <c r="A352" i="2" a="1"/>
  <c r="A352" i="2" s="1"/>
  <c r="A351" i="2" a="1"/>
  <c r="A351" i="2" s="1"/>
  <c r="A350" i="2" a="1"/>
  <c r="A350" i="2" s="1"/>
  <c r="A349" i="2" a="1"/>
  <c r="A349" i="2" s="1"/>
  <c r="A348" i="2" a="1"/>
  <c r="A348" i="2"/>
  <c r="D348" i="2" s="1"/>
  <c r="A347" i="2" a="1"/>
  <c r="A347" i="2"/>
  <c r="A346" i="2" a="1"/>
  <c r="A346" i="2" s="1"/>
  <c r="A345" i="2" a="1"/>
  <c r="A345" i="2"/>
  <c r="A344" i="2" a="1"/>
  <c r="A344" i="2" s="1"/>
  <c r="A342" i="2" a="1"/>
  <c r="A342" i="2" s="1"/>
  <c r="A341" i="2" a="1"/>
  <c r="A341" i="2" s="1"/>
  <c r="B341" i="2" s="1"/>
  <c r="A340" i="2" a="1"/>
  <c r="A340" i="2"/>
  <c r="D340" i="2" s="1"/>
  <c r="A339" i="2" a="1"/>
  <c r="A339" i="2"/>
  <c r="C339" i="2" s="1"/>
  <c r="A338" i="2" a="1"/>
  <c r="A338" i="2"/>
  <c r="D338" i="2" s="1"/>
  <c r="A337" i="2" a="1"/>
  <c r="A337" i="2" s="1"/>
  <c r="A336" i="2" a="1"/>
  <c r="A336" i="2" s="1"/>
  <c r="A335" i="2" a="1"/>
  <c r="A335" i="2" s="1"/>
  <c r="A334" i="2" a="1"/>
  <c r="A334" i="2"/>
  <c r="A333" i="2" a="1"/>
  <c r="A333" i="2" s="1"/>
  <c r="A332" i="2" a="1"/>
  <c r="A332" i="2" s="1"/>
  <c r="A331" i="2" a="1"/>
  <c r="A331" i="2" s="1"/>
  <c r="A330" i="2" a="1"/>
  <c r="A330" i="2"/>
  <c r="D330" i="2" s="1"/>
  <c r="A329" i="2" a="1"/>
  <c r="A329" i="2"/>
  <c r="A328" i="2" a="1"/>
  <c r="A328" i="2" s="1"/>
  <c r="A327" i="2" a="1"/>
  <c r="A327" i="2" s="1"/>
  <c r="A326" i="2" a="1"/>
  <c r="A326" i="2"/>
  <c r="C326" i="2" s="1"/>
  <c r="A325" i="2" a="1"/>
  <c r="A325" i="2" s="1"/>
  <c r="A324" i="2" a="1"/>
  <c r="A324" i="2" s="1"/>
  <c r="A323" i="2" a="1"/>
  <c r="A323" i="2" s="1"/>
  <c r="A322" i="2" a="1"/>
  <c r="A322" i="2"/>
  <c r="D322" i="2" s="1"/>
  <c r="D321" i="2"/>
  <c r="A321" i="2" a="1"/>
  <c r="A321" i="2"/>
  <c r="C321" i="2" s="1"/>
  <c r="A320" i="2" a="1"/>
  <c r="A320" i="2"/>
  <c r="D320" i="2" s="1"/>
  <c r="A319" i="2" a="1"/>
  <c r="A319" i="2"/>
  <c r="B319" i="2" s="1"/>
  <c r="A318" i="2" a="1"/>
  <c r="A318" i="2" s="1"/>
  <c r="A317" i="2" a="1"/>
  <c r="A317" i="2" s="1"/>
  <c r="A316" i="2" a="1"/>
  <c r="A316" i="2"/>
  <c r="A315" i="2" a="1"/>
  <c r="A315" i="2" s="1"/>
  <c r="A314" i="2" a="1"/>
  <c r="A314" i="2" s="1"/>
  <c r="A313" i="2" a="1"/>
  <c r="A313" i="2" s="1"/>
  <c r="A312" i="2" a="1"/>
  <c r="A312" i="2" s="1"/>
  <c r="D312" i="2" s="1"/>
  <c r="A311" i="2" a="1"/>
  <c r="A311" i="2" s="1"/>
  <c r="A310" i="2" a="1"/>
  <c r="A310" i="2" s="1"/>
  <c r="A309" i="2" a="1"/>
  <c r="A309" i="2"/>
  <c r="A308" i="2" a="1"/>
  <c r="A308" i="2"/>
  <c r="C308" i="2" s="1"/>
  <c r="A307" i="2" a="1"/>
  <c r="A307" i="2" s="1"/>
  <c r="A306" i="2" a="1"/>
  <c r="A306" i="2" s="1"/>
  <c r="A305" i="2" a="1"/>
  <c r="A305" i="2" s="1"/>
  <c r="B305" i="2" s="1"/>
  <c r="A304" i="2" a="1"/>
  <c r="A304" i="2"/>
  <c r="D304" i="2" s="1"/>
  <c r="D303" i="2"/>
  <c r="A303" i="2" a="1"/>
  <c r="A303" i="2"/>
  <c r="C303" i="2" s="1"/>
  <c r="A302" i="2" a="1"/>
  <c r="A302" i="2"/>
  <c r="D302" i="2" s="1"/>
  <c r="A301" i="2" a="1"/>
  <c r="A301" i="2"/>
  <c r="B301" i="2" s="1"/>
  <c r="A300" i="2" a="1"/>
  <c r="A300" i="2" s="1"/>
  <c r="A299" i="2" a="1"/>
  <c r="A299" i="2"/>
  <c r="D299" i="2" s="1"/>
  <c r="A298" i="2" a="1"/>
  <c r="A298" i="2"/>
  <c r="A297" i="2" a="1"/>
  <c r="A297" i="2" s="1"/>
  <c r="A296" i="2" a="1"/>
  <c r="A296" i="2" s="1"/>
  <c r="A295" i="2" a="1"/>
  <c r="A295" i="2" s="1"/>
  <c r="A294" i="2" a="1"/>
  <c r="A294" i="2" s="1"/>
  <c r="D294" i="2" s="1"/>
  <c r="A293" i="2" a="1"/>
  <c r="A293" i="2" s="1"/>
  <c r="A292" i="2" a="1"/>
  <c r="A292" i="2" s="1"/>
  <c r="A291" i="2" a="1"/>
  <c r="A291" i="2"/>
  <c r="A290" i="2" a="1"/>
  <c r="A290" i="2"/>
  <c r="C290" i="2" s="1"/>
  <c r="A289" i="2" a="1"/>
  <c r="A289" i="2" s="1"/>
  <c r="D289" i="2" s="1"/>
  <c r="A288" i="2" a="1"/>
  <c r="A288" i="2" s="1"/>
  <c r="A287" i="2" a="1"/>
  <c r="A287" i="2" s="1"/>
  <c r="A286" i="2" a="1"/>
  <c r="A286" i="2"/>
  <c r="A285" i="2" a="1"/>
  <c r="A285" i="2" s="1"/>
  <c r="A284" i="2" a="1"/>
  <c r="A284" i="2" s="1"/>
  <c r="D284" i="2" s="1"/>
  <c r="A283" i="2" a="1"/>
  <c r="A283" i="2" s="1"/>
  <c r="A282" i="2" a="1"/>
  <c r="A282" i="2" s="1"/>
  <c r="A281" i="2" a="1"/>
  <c r="A281" i="2"/>
  <c r="D281" i="2" s="1"/>
  <c r="A280" i="2" a="1"/>
  <c r="A280" i="2"/>
  <c r="A279" i="2" a="1"/>
  <c r="A279" i="2" s="1"/>
  <c r="A278" i="2" a="1"/>
  <c r="A278" i="2"/>
  <c r="B278" i="2" s="1"/>
  <c r="A276" i="2" a="1"/>
  <c r="A276" i="2" s="1"/>
  <c r="D276" i="2" s="1"/>
  <c r="A275" i="2" a="1"/>
  <c r="A275" i="2"/>
  <c r="A273" i="2" a="1"/>
  <c r="A273" i="2"/>
  <c r="A272" i="2" a="1"/>
  <c r="A272" i="2" s="1"/>
  <c r="A271" i="2" a="1"/>
  <c r="A271" i="2" s="1"/>
  <c r="A270" i="2" a="1"/>
  <c r="A270" i="2" s="1"/>
  <c r="A269" i="2" a="1"/>
  <c r="A269" i="2" s="1"/>
  <c r="A268" i="2" a="1"/>
  <c r="A268" i="2"/>
  <c r="A267" i="2" a="1"/>
  <c r="A267" i="2" s="1"/>
  <c r="A266" i="2" a="1"/>
  <c r="A266" i="2" s="1"/>
  <c r="D266" i="2" s="1"/>
  <c r="A265" i="2" a="1"/>
  <c r="A265" i="2" s="1"/>
  <c r="B265" i="2" s="1"/>
  <c r="A264" i="2" a="1"/>
  <c r="A264" i="2" s="1"/>
  <c r="A263" i="2" a="1"/>
  <c r="A263" i="2" s="1"/>
  <c r="D263" i="2" s="1"/>
  <c r="A262" i="2" a="1"/>
  <c r="A262" i="2" s="1"/>
  <c r="A261" i="2" a="1"/>
  <c r="A261" i="2"/>
  <c r="D261" i="2" s="1"/>
  <c r="A259" i="2" a="1"/>
  <c r="A259" i="2" s="1"/>
  <c r="B258" i="2"/>
  <c r="A258" i="2" a="1"/>
  <c r="A258" i="2" s="1"/>
  <c r="D258" i="2" s="1"/>
  <c r="A257" i="2" a="1"/>
  <c r="A257" i="2" s="1"/>
  <c r="A256" i="2" a="1"/>
  <c r="A256" i="2" s="1"/>
  <c r="A255" i="2" a="1"/>
  <c r="A255" i="2" s="1"/>
  <c r="D254" i="2"/>
  <c r="A254" i="2" a="1"/>
  <c r="A254" i="2"/>
  <c r="C254" i="2" s="1"/>
  <c r="B253" i="2"/>
  <c r="A253" i="2" a="1"/>
  <c r="A253" i="2" s="1"/>
  <c r="D253" i="2" s="1"/>
  <c r="A252" i="2" a="1"/>
  <c r="A252" i="2" s="1"/>
  <c r="A251" i="2" a="1"/>
  <c r="A251" i="2" s="1"/>
  <c r="A250" i="2" a="1"/>
  <c r="A250" i="2" s="1"/>
  <c r="A249" i="2" a="1"/>
  <c r="A249" i="2" s="1"/>
  <c r="A247" i="2" a="1"/>
  <c r="A247" i="2"/>
  <c r="B247" i="2" s="1"/>
  <c r="A245" i="2" a="1"/>
  <c r="A245" i="2"/>
  <c r="D245" i="2" s="1"/>
  <c r="A244" i="2" a="1"/>
  <c r="A244" i="2" s="1"/>
  <c r="A243" i="2" a="1"/>
  <c r="A243" i="2" s="1"/>
  <c r="D243" i="2" s="1"/>
  <c r="A242" i="2" a="1"/>
  <c r="A242" i="2" s="1"/>
  <c r="A241" i="2" a="1"/>
  <c r="A241" i="2" s="1"/>
  <c r="A240" i="2" a="1"/>
  <c r="A240" i="2" s="1"/>
  <c r="D240" i="2" s="1"/>
  <c r="A239" i="2" a="1"/>
  <c r="A239" i="2" s="1"/>
  <c r="A238" i="2" a="1"/>
  <c r="A238" i="2" s="1"/>
  <c r="A237" i="2" a="1"/>
  <c r="A237" i="2" s="1"/>
  <c r="A236" i="2" a="1"/>
  <c r="A236" i="2"/>
  <c r="C236" i="2" s="1"/>
  <c r="A235" i="2" a="1"/>
  <c r="A235" i="2" s="1"/>
  <c r="D235" i="2" s="1"/>
  <c r="A234" i="2" a="1"/>
  <c r="A234" i="2" s="1"/>
  <c r="A233" i="2" a="1"/>
  <c r="A233" i="2" s="1"/>
  <c r="D233" i="2" s="1"/>
  <c r="A231" i="2" a="1"/>
  <c r="A231" i="2" s="1"/>
  <c r="A230" i="2" a="1"/>
  <c r="A230" i="2" s="1"/>
  <c r="A229" i="2" a="1"/>
  <c r="A229" i="2"/>
  <c r="B229" i="2" s="1"/>
  <c r="A228" i="2" a="1"/>
  <c r="A228" i="2" s="1"/>
  <c r="D228" i="2" s="1"/>
  <c r="A227" i="2" a="1"/>
  <c r="A227" i="2" s="1"/>
  <c r="D227" i="2" s="1"/>
  <c r="A226" i="2" a="1"/>
  <c r="A226" i="2" s="1"/>
  <c r="A225" i="2" a="1"/>
  <c r="A225" i="2"/>
  <c r="D224" i="2"/>
  <c r="C224" i="2"/>
  <c r="B224" i="2"/>
  <c r="A224" i="2" a="1"/>
  <c r="A224" i="2"/>
  <c r="A223" i="2" a="1"/>
  <c r="A223" i="2" s="1"/>
  <c r="A221" i="2" a="1"/>
  <c r="A221" i="2" s="1"/>
  <c r="A220" i="2" a="1"/>
  <c r="A220" i="2" s="1"/>
  <c r="A219" i="2" a="1"/>
  <c r="A219" i="2" s="1"/>
  <c r="A218" i="2" a="1"/>
  <c r="A218" i="2"/>
  <c r="C218" i="2" s="1"/>
  <c r="A217" i="2" a="1"/>
  <c r="A217" i="2" s="1"/>
  <c r="D217" i="2" s="1"/>
  <c r="A216" i="2" a="1"/>
  <c r="A216" i="2" s="1"/>
  <c r="A215" i="2" a="1"/>
  <c r="A215" i="2" s="1"/>
  <c r="D215" i="2" s="1"/>
  <c r="A214" i="2" a="1"/>
  <c r="A214" i="2"/>
  <c r="A213" i="2" a="1"/>
  <c r="A213" i="2" s="1"/>
  <c r="A212" i="2" a="1"/>
  <c r="A212" i="2" s="1"/>
  <c r="A211" i="2" a="1"/>
  <c r="A211" i="2" s="1"/>
  <c r="A210" i="2" a="1"/>
  <c r="A210" i="2" s="1"/>
  <c r="D210" i="2" s="1"/>
  <c r="A209" i="2" a="1"/>
  <c r="A209" i="2"/>
  <c r="A207" i="2" a="1"/>
  <c r="A207" i="2"/>
  <c r="A206" i="2" a="1"/>
  <c r="A206" i="2" s="1"/>
  <c r="A205" i="2" a="1"/>
  <c r="A205" i="2" s="1"/>
  <c r="B204" i="2"/>
  <c r="A204" i="2" a="1"/>
  <c r="A204" i="2"/>
  <c r="D204" i="2" s="1"/>
  <c r="A203" i="2" a="1"/>
  <c r="A203" i="2" s="1"/>
  <c r="A202" i="2" a="1"/>
  <c r="A202" i="2" s="1"/>
  <c r="A201" i="2" a="1"/>
  <c r="A201" i="2" s="1"/>
  <c r="A200" i="2" a="1"/>
  <c r="A200" i="2" s="1"/>
  <c r="D199" i="2"/>
  <c r="A199" i="2" a="1"/>
  <c r="A199" i="2" s="1"/>
  <c r="C199" i="2" s="1"/>
  <c r="A198" i="2" a="1"/>
  <c r="A198" i="2" s="1"/>
  <c r="C197" i="2"/>
  <c r="B197" i="2"/>
  <c r="A197" i="2" a="1"/>
  <c r="A197" i="2" s="1"/>
  <c r="D197" i="2" s="1"/>
  <c r="A196" i="2" a="1"/>
  <c r="A196" i="2" s="1"/>
  <c r="A195" i="2" a="1"/>
  <c r="A195" i="2" s="1"/>
  <c r="A194" i="2" a="1"/>
  <c r="A194" i="2" s="1"/>
  <c r="A193" i="2" a="1"/>
  <c r="A193" i="2" s="1"/>
  <c r="A192" i="2" a="1"/>
  <c r="A192" i="2" s="1"/>
  <c r="D192" i="2" s="1"/>
  <c r="A191" i="2" a="1"/>
  <c r="A191" i="2"/>
  <c r="A190" i="2" a="1"/>
  <c r="A190" i="2" s="1"/>
  <c r="A189" i="2" a="1"/>
  <c r="A189" i="2" s="1"/>
  <c r="D188" i="2"/>
  <c r="B188" i="2"/>
  <c r="A188" i="2" a="1"/>
  <c r="A188" i="2"/>
  <c r="C188" i="2" s="1"/>
  <c r="B187" i="2"/>
  <c r="A187" i="2" a="1"/>
  <c r="A187" i="2"/>
  <c r="C187" i="2" s="1"/>
  <c r="C186" i="2"/>
  <c r="A186" i="2" a="1"/>
  <c r="A186" i="2" s="1"/>
  <c r="D186" i="2" s="1"/>
  <c r="A184" i="2" a="1"/>
  <c r="A184" i="2" s="1"/>
  <c r="A183" i="2" a="1"/>
  <c r="A183" i="2" s="1"/>
  <c r="A182" i="2" a="1"/>
  <c r="A182" i="2" s="1"/>
  <c r="A181" i="2" a="1"/>
  <c r="A181" i="2" s="1"/>
  <c r="D181" i="2" s="1"/>
  <c r="A180" i="2" a="1"/>
  <c r="A180" i="2" s="1"/>
  <c r="C180" i="2" s="1"/>
  <c r="A179" i="2" a="1"/>
  <c r="A179" i="2" s="1"/>
  <c r="D179" i="2" s="1"/>
  <c r="A176" i="2" a="1"/>
  <c r="A176" i="2" s="1"/>
  <c r="A175" i="2" a="1"/>
  <c r="A175" i="2" s="1"/>
  <c r="B175" i="2" s="1"/>
  <c r="A172" i="2" a="1"/>
  <c r="A172" i="2" s="1"/>
  <c r="A171" i="2" a="1"/>
  <c r="A171" i="2" s="1"/>
  <c r="A170" i="2" a="1"/>
  <c r="A170" i="2"/>
  <c r="B170" i="2" s="1"/>
  <c r="A169" i="2" a="1"/>
  <c r="A169" i="2" s="1"/>
  <c r="C169" i="2" s="1"/>
  <c r="A168" i="2" a="1"/>
  <c r="A168" i="2" s="1"/>
  <c r="A167" i="2" a="1"/>
  <c r="A167" i="2" s="1"/>
  <c r="A166" i="2" a="1"/>
  <c r="A166" i="2" s="1"/>
  <c r="A165" i="2" a="1"/>
  <c r="A165" i="2"/>
  <c r="A163" i="2" a="1"/>
  <c r="A163" i="2" s="1"/>
  <c r="D163" i="2" s="1"/>
  <c r="A162" i="2" a="1"/>
  <c r="A162" i="2" s="1"/>
  <c r="B162" i="2" s="1"/>
  <c r="A160" i="2" a="1"/>
  <c r="A160" i="2" s="1"/>
  <c r="A159" i="2" a="1"/>
  <c r="A159" i="2" s="1"/>
  <c r="A158" i="2" a="1"/>
  <c r="A158" i="2" s="1"/>
  <c r="A157" i="2" a="1"/>
  <c r="A157" i="2" s="1"/>
  <c r="A156" i="2" a="1"/>
  <c r="A156" i="2"/>
  <c r="B156" i="2" s="1"/>
  <c r="A155" i="2" a="1"/>
  <c r="A155" i="2" s="1"/>
  <c r="A154" i="2" a="1"/>
  <c r="A154" i="2"/>
  <c r="A153" i="2" a="1"/>
  <c r="A153" i="2" s="1"/>
  <c r="A152" i="2" a="1"/>
  <c r="A152" i="2" s="1"/>
  <c r="A150" i="2" a="1"/>
  <c r="A150" i="2" s="1"/>
  <c r="A149" i="2" a="1"/>
  <c r="A149" i="2" s="1"/>
  <c r="A148" i="2" a="1"/>
  <c r="A148" i="2" s="1"/>
  <c r="C148" i="2" s="1"/>
  <c r="A147" i="2" a="1"/>
  <c r="A147" i="2" s="1"/>
  <c r="A146" i="2" a="1"/>
  <c r="A146" i="2" s="1"/>
  <c r="A145" i="2" a="1"/>
  <c r="A145" i="2" s="1"/>
  <c r="D145" i="2" s="1"/>
  <c r="A144" i="2" a="1"/>
  <c r="A144" i="2" s="1"/>
  <c r="B144" i="2" s="1"/>
  <c r="A143" i="2" a="1"/>
  <c r="A143" i="2" s="1"/>
  <c r="D143" i="2" s="1"/>
  <c r="A142" i="2" a="1"/>
  <c r="A142" i="2" s="1"/>
  <c r="A141" i="2" a="1"/>
  <c r="A141" i="2" s="1"/>
  <c r="A140" i="2" a="1"/>
  <c r="A140" i="2"/>
  <c r="A139" i="2" a="1"/>
  <c r="A139" i="2"/>
  <c r="C139" i="2" s="1"/>
  <c r="A138" i="2" a="1"/>
  <c r="A138" i="2" s="1"/>
  <c r="B138" i="2" s="1"/>
  <c r="A137" i="2" a="1"/>
  <c r="A137" i="2"/>
  <c r="D137" i="2" s="1"/>
  <c r="A136" i="2" a="1"/>
  <c r="A136" i="2"/>
  <c r="A135" i="2" a="1"/>
  <c r="A135" i="2" s="1"/>
  <c r="A134" i="2" a="1"/>
  <c r="A134" i="2" s="1"/>
  <c r="A133" i="2" a="1"/>
  <c r="A133" i="2" s="1"/>
  <c r="A132" i="2" a="1"/>
  <c r="A132" i="2" s="1"/>
  <c r="A131" i="2" a="1"/>
  <c r="A131" i="2"/>
  <c r="C131" i="2" s="1"/>
  <c r="D130" i="2"/>
  <c r="A130" i="2" a="1"/>
  <c r="A130" i="2" s="1"/>
  <c r="C130" i="2" s="1"/>
  <c r="A129" i="2" a="1"/>
  <c r="A129" i="2" s="1"/>
  <c r="A127" i="2" a="1"/>
  <c r="A127" i="2" s="1"/>
  <c r="A126" i="2" a="1"/>
  <c r="A126" i="2" s="1"/>
  <c r="B126" i="2" s="1"/>
  <c r="A125" i="2" a="1"/>
  <c r="A125" i="2" s="1"/>
  <c r="A124" i="2" a="1"/>
  <c r="A124" i="2"/>
  <c r="C124" i="2" s="1"/>
  <c r="A123" i="2" a="1"/>
  <c r="A123" i="2" s="1"/>
  <c r="A122" i="2" a="1"/>
  <c r="A122" i="2" s="1"/>
  <c r="A121" i="2" a="1"/>
  <c r="A121" i="2" s="1"/>
  <c r="B121" i="2" s="1"/>
  <c r="A120" i="2" a="1"/>
  <c r="A120" i="2" s="1"/>
  <c r="A119" i="2" a="1"/>
  <c r="A119" i="2"/>
  <c r="D119" i="2" s="1"/>
  <c r="A118" i="2" a="1"/>
  <c r="A118" i="2"/>
  <c r="D118" i="2" s="1"/>
  <c r="A117" i="2" a="1"/>
  <c r="A117" i="2" s="1"/>
  <c r="A116" i="2" a="1"/>
  <c r="A116" i="2" s="1"/>
  <c r="A114" i="2" a="1"/>
  <c r="A114" i="2" s="1"/>
  <c r="A113" i="2" a="1"/>
  <c r="A113" i="2" s="1"/>
  <c r="A112" i="2" a="1"/>
  <c r="A112" i="2" s="1"/>
  <c r="D112" i="2" s="1"/>
  <c r="B111" i="2"/>
  <c r="A111" i="2" a="1"/>
  <c r="A111" i="2"/>
  <c r="D111" i="2" s="1"/>
  <c r="A110" i="2" a="1"/>
  <c r="A110" i="2" s="1"/>
  <c r="A109" i="2" a="1"/>
  <c r="A109" i="2" s="1"/>
  <c r="A108" i="2" a="1"/>
  <c r="A108" i="2" s="1"/>
  <c r="A107" i="2" a="1"/>
  <c r="A107" i="2" s="1"/>
  <c r="A106" i="2" a="1"/>
  <c r="A106" i="2" s="1"/>
  <c r="A105" i="2" a="1"/>
  <c r="A105" i="2" s="1"/>
  <c r="A104" i="2" a="1"/>
  <c r="A104" i="2" s="1"/>
  <c r="D103" i="2"/>
  <c r="A103" i="2" a="1"/>
  <c r="A103" i="2"/>
  <c r="C103" i="2" s="1"/>
  <c r="A102" i="2" a="1"/>
  <c r="A102" i="2"/>
  <c r="B102" i="2" s="1"/>
  <c r="A101" i="2" a="1"/>
  <c r="A101" i="2" s="1"/>
  <c r="A100" i="2" a="1"/>
  <c r="A100" i="2" s="1"/>
  <c r="A99" i="2" a="1"/>
  <c r="A99" i="2" s="1"/>
  <c r="B98" i="2"/>
  <c r="A98" i="2" a="1"/>
  <c r="A98" i="2"/>
  <c r="D98" i="2" s="1"/>
  <c r="A97" i="2" a="1"/>
  <c r="A97" i="2" s="1"/>
  <c r="B96" i="2"/>
  <c r="A96" i="2" a="1"/>
  <c r="A96" i="2"/>
  <c r="D96" i="2" s="1"/>
  <c r="A95" i="2" a="1"/>
  <c r="A95" i="2" s="1"/>
  <c r="C94" i="2"/>
  <c r="A94" i="2" a="1"/>
  <c r="A94" i="2" s="1"/>
  <c r="D94" i="2" s="1"/>
  <c r="A93" i="2" a="1"/>
  <c r="A93" i="2" s="1"/>
  <c r="A92" i="2" a="1"/>
  <c r="A92" i="2" s="1"/>
  <c r="A91" i="2" a="1"/>
  <c r="A91" i="2"/>
  <c r="D91" i="2" s="1"/>
  <c r="A90" i="2" a="1"/>
  <c r="A90" i="2" s="1"/>
  <c r="A89" i="2" a="1"/>
  <c r="A89" i="2" s="1"/>
  <c r="A88" i="2" a="1"/>
  <c r="A88" i="2"/>
  <c r="C88" i="2" s="1"/>
  <c r="A87" i="2" a="1"/>
  <c r="A87" i="2" s="1"/>
  <c r="B87" i="2" s="1"/>
  <c r="A86" i="2" a="1"/>
  <c r="A86" i="2" s="1"/>
  <c r="A85" i="2" a="1"/>
  <c r="A85" i="2"/>
  <c r="D85" i="2" s="1"/>
  <c r="A84" i="2" a="1"/>
  <c r="A84" i="2"/>
  <c r="D84" i="2" s="1"/>
  <c r="A83" i="2" a="1"/>
  <c r="A83" i="2"/>
  <c r="C83" i="2" s="1"/>
  <c r="A82" i="2" a="1"/>
  <c r="A82" i="2" s="1"/>
  <c r="A81" i="2" a="1"/>
  <c r="A81" i="2"/>
  <c r="D81" i="2" s="1"/>
  <c r="A80" i="2" a="1"/>
  <c r="A80" i="2" s="1"/>
  <c r="A79" i="2" a="1"/>
  <c r="A79" i="2" s="1"/>
  <c r="A78" i="2" a="1"/>
  <c r="A78" i="2" s="1"/>
  <c r="A77" i="2" a="1"/>
  <c r="A77" i="2" s="1"/>
  <c r="A76" i="2" a="1"/>
  <c r="A76" i="2" s="1"/>
  <c r="A75" i="2" a="1"/>
  <c r="A75" i="2" s="1"/>
  <c r="A74" i="2" a="1"/>
  <c r="A74" i="2" s="1"/>
  <c r="A73" i="2" a="1"/>
  <c r="A73" i="2"/>
  <c r="C73" i="2" s="1"/>
  <c r="A72" i="2" a="1"/>
  <c r="A72" i="2"/>
  <c r="B72" i="2" s="1"/>
  <c r="A71" i="2" a="1"/>
  <c r="A71" i="2" s="1"/>
  <c r="A70" i="2" a="1"/>
  <c r="A70" i="2" s="1"/>
  <c r="D70" i="2" s="1"/>
  <c r="A69" i="2" a="1"/>
  <c r="A69" i="2"/>
  <c r="D69" i="2" s="1"/>
  <c r="A68" i="2" a="1"/>
  <c r="A68" i="2" s="1"/>
  <c r="D68" i="2" s="1"/>
  <c r="A67" i="2" a="1"/>
  <c r="A67" i="2"/>
  <c r="D67" i="2" s="1"/>
  <c r="A66" i="2" a="1"/>
  <c r="A66" i="2" s="1"/>
  <c r="A65" i="2" a="1"/>
  <c r="A65" i="2"/>
  <c r="D65" i="2" s="1"/>
  <c r="A64" i="2" a="1"/>
  <c r="A64" i="2"/>
  <c r="D64" i="2" s="1"/>
  <c r="A63" i="2" a="1"/>
  <c r="A63" i="2" s="1"/>
  <c r="A62" i="2" a="1"/>
  <c r="A62" i="2" s="1"/>
  <c r="A61" i="2" a="1"/>
  <c r="A61" i="2" s="1"/>
  <c r="A60" i="2" a="1"/>
  <c r="A60" i="2" s="1"/>
  <c r="A59" i="2" a="1"/>
  <c r="A59" i="2" s="1"/>
  <c r="A58" i="2" a="1"/>
  <c r="A58" i="2" s="1"/>
  <c r="A57" i="2" a="1"/>
  <c r="A57" i="2" s="1"/>
  <c r="A56" i="2" a="1"/>
  <c r="A56" i="2" s="1"/>
  <c r="A55" i="2" a="1"/>
  <c r="A55" i="2"/>
  <c r="D55" i="2" s="1"/>
  <c r="A54" i="2" a="1"/>
  <c r="A54" i="2"/>
  <c r="B54" i="2" s="1"/>
  <c r="A53" i="2" a="1"/>
  <c r="A53" i="2" s="1"/>
  <c r="A52" i="2" a="1"/>
  <c r="A52" i="2"/>
  <c r="D52" i="2" s="1"/>
  <c r="A51" i="2" a="1"/>
  <c r="A51" i="2" s="1"/>
  <c r="A50" i="2" a="1"/>
  <c r="A50" i="2" s="1"/>
  <c r="D50" i="2" s="1"/>
  <c r="A49" i="2" a="1"/>
  <c r="A49" i="2" s="1"/>
  <c r="A48" i="2" a="1"/>
  <c r="A48" i="2" s="1"/>
  <c r="B47" i="2"/>
  <c r="A47" i="2" a="1"/>
  <c r="A47" i="2"/>
  <c r="D47" i="2" s="1"/>
  <c r="A46" i="2" a="1"/>
  <c r="A46" i="2" s="1"/>
  <c r="A45" i="2" a="1"/>
  <c r="A45" i="2" s="1"/>
  <c r="A44" i="2" a="1"/>
  <c r="A44" i="2" s="1"/>
  <c r="A43" i="2" a="1"/>
  <c r="A43" i="2"/>
  <c r="C43" i="2" s="1"/>
  <c r="A42" i="2" a="1"/>
  <c r="A42" i="2"/>
  <c r="C42" i="2" s="1"/>
  <c r="A41" i="2" a="1"/>
  <c r="A41" i="2" s="1"/>
  <c r="C40" i="2"/>
  <c r="B40" i="2"/>
  <c r="A40" i="2" a="1"/>
  <c r="A40" i="2" s="1"/>
  <c r="D40" i="2" s="1"/>
  <c r="A39" i="2" a="1"/>
  <c r="A39" i="2" s="1"/>
  <c r="A38" i="2" a="1"/>
  <c r="A38" i="2" s="1"/>
  <c r="B38" i="2" s="1"/>
  <c r="A37" i="2" a="1"/>
  <c r="A37" i="2" s="1"/>
  <c r="A36" i="2" a="1"/>
  <c r="A36" i="2" s="1"/>
  <c r="B36" i="2" s="1"/>
  <c r="A35" i="2" a="1"/>
  <c r="A35" i="2" s="1"/>
  <c r="D35" i="2" s="1"/>
  <c r="A34" i="2" a="1"/>
  <c r="A34" i="2" s="1"/>
  <c r="A33" i="2" a="1"/>
  <c r="A33" i="2" s="1"/>
  <c r="A32" i="2" a="1"/>
  <c r="A32" i="2" s="1"/>
  <c r="A31" i="2" a="1"/>
  <c r="A31" i="2"/>
  <c r="D31" i="2" s="1"/>
  <c r="A30" i="2" a="1"/>
  <c r="A30" i="2" s="1"/>
  <c r="B29" i="2"/>
  <c r="A29" i="2" a="1"/>
  <c r="A29" i="2"/>
  <c r="D29" i="2" s="1"/>
  <c r="A28" i="2" a="1"/>
  <c r="A28" i="2"/>
  <c r="B28" i="2" s="1"/>
  <c r="A27" i="2" a="1"/>
  <c r="A27" i="2"/>
  <c r="D27" i="2" s="1"/>
  <c r="A26" i="2" a="1"/>
  <c r="A26" i="2" s="1"/>
  <c r="A25" i="2" a="1"/>
  <c r="A25" i="2"/>
  <c r="C25" i="2" s="1"/>
  <c r="A24" i="2" a="1"/>
  <c r="A24" i="2" s="1"/>
  <c r="A23" i="2" a="1"/>
  <c r="A23" i="2"/>
  <c r="B23" i="2" s="1"/>
  <c r="A21" i="2" a="1"/>
  <c r="A21" i="2" s="1"/>
  <c r="A20" i="2" a="1"/>
  <c r="A20" i="2" s="1"/>
  <c r="D20" i="2" s="1"/>
  <c r="A19" i="2" a="1"/>
  <c r="A19" i="2"/>
  <c r="D19" i="2" s="1"/>
  <c r="A18" i="2" a="1"/>
  <c r="A18" i="2"/>
  <c r="D18" i="2" s="1"/>
  <c r="A17" i="2" a="1"/>
  <c r="A17" i="2" s="1"/>
  <c r="C16" i="2"/>
  <c r="B16" i="2"/>
  <c r="A16" i="2" a="1"/>
  <c r="A16" i="2"/>
  <c r="D16" i="2" s="1"/>
  <c r="A15" i="2" a="1"/>
  <c r="A15" i="2" s="1"/>
  <c r="A14" i="2" a="1"/>
  <c r="A14" i="2" s="1"/>
  <c r="D14" i="2" s="1"/>
  <c r="A13" i="2" a="1"/>
  <c r="A13" i="2"/>
  <c r="D13" i="2" s="1"/>
  <c r="A12" i="2" a="1"/>
  <c r="A12" i="2" s="1"/>
  <c r="A11" i="2" a="1"/>
  <c r="A11" i="2" s="1"/>
  <c r="A10" i="2" a="1"/>
  <c r="A10" i="2"/>
  <c r="D10" i="2" s="1"/>
  <c r="A9" i="2" a="1"/>
  <c r="A9" i="2" s="1"/>
  <c r="A8" i="2" a="1"/>
  <c r="A8" i="2" s="1"/>
  <c r="A7" i="2" a="1"/>
  <c r="A7" i="2"/>
  <c r="D7" i="2" s="1"/>
  <c r="D6" i="2"/>
  <c r="A6" i="2" a="1"/>
  <c r="A6" i="2"/>
  <c r="C6" i="2" s="1"/>
  <c r="A5" i="2" a="1"/>
  <c r="A5" i="2"/>
  <c r="B5" i="2" s="1"/>
  <c r="A4" i="2" a="1"/>
  <c r="A4" i="2"/>
  <c r="D4" i="2" s="1"/>
  <c r="A3" i="2" a="1"/>
  <c r="A3" i="2" s="1"/>
  <c r="A2" i="2" a="1"/>
  <c r="A2" i="2" s="1"/>
  <c r="A1" i="2" a="1"/>
  <c r="A1" i="2"/>
  <c r="D1" i="2" s="1"/>
  <c r="I15" i="1"/>
  <c r="A14" i="1"/>
  <c r="A384" i="2" s="1" a="1"/>
  <c r="A384" i="2" s="1"/>
  <c r="D384" i="2" s="1"/>
  <c r="A13" i="1"/>
  <c r="A115" i="2" s="1" a="1"/>
  <c r="A115" i="2" s="1"/>
  <c r="AL10" i="1"/>
  <c r="A8" i="1"/>
  <c r="A248" i="2" s="1" a="1"/>
  <c r="A248" i="2" s="1"/>
  <c r="A7" i="1"/>
  <c r="E3" i="1"/>
  <c r="A161" i="2" a="1"/>
  <c r="D37" i="2" l="1"/>
  <c r="C37" i="2"/>
  <c r="C39" i="2"/>
  <c r="D39" i="2"/>
  <c r="D101" i="2"/>
  <c r="C101" i="2"/>
  <c r="B332" i="2"/>
  <c r="D332" i="2"/>
  <c r="C332" i="2"/>
  <c r="C133" i="2"/>
  <c r="D133" i="2"/>
  <c r="B133" i="2"/>
  <c r="B283" i="2"/>
  <c r="D283" i="2"/>
  <c r="C283" i="2"/>
  <c r="D335" i="2"/>
  <c r="B335" i="2"/>
  <c r="B211" i="2"/>
  <c r="D211" i="2"/>
  <c r="C211" i="2"/>
  <c r="B296" i="2"/>
  <c r="C296" i="2"/>
  <c r="D296" i="2"/>
  <c r="B373" i="2"/>
  <c r="D373" i="2"/>
  <c r="C373" i="2"/>
  <c r="B314" i="2"/>
  <c r="C314" i="2"/>
  <c r="D314" i="2"/>
  <c r="D353" i="2"/>
  <c r="B353" i="2"/>
  <c r="D113" i="2"/>
  <c r="B113" i="2"/>
  <c r="D389" i="2"/>
  <c r="C389" i="2"/>
  <c r="C79" i="2"/>
  <c r="B79" i="2"/>
  <c r="C285" i="2"/>
  <c r="D285" i="2"/>
  <c r="D271" i="2"/>
  <c r="C271" i="2"/>
  <c r="B271" i="2"/>
  <c r="B159" i="2"/>
  <c r="D159" i="2"/>
  <c r="C159" i="2"/>
  <c r="B386" i="2"/>
  <c r="D386" i="2"/>
  <c r="C386" i="2"/>
  <c r="B193" i="2"/>
  <c r="D193" i="2"/>
  <c r="C193" i="2"/>
  <c r="D30" i="2"/>
  <c r="C30" i="2"/>
  <c r="B30" i="2"/>
  <c r="D57" i="2"/>
  <c r="C57" i="2"/>
  <c r="B57" i="2"/>
  <c r="D155" i="2"/>
  <c r="C155" i="2"/>
  <c r="B155" i="2"/>
  <c r="D317" i="2"/>
  <c r="B317" i="2"/>
  <c r="B368" i="2"/>
  <c r="D368" i="2"/>
  <c r="C368" i="2"/>
  <c r="C267" i="2"/>
  <c r="D267" i="2"/>
  <c r="D134" i="2"/>
  <c r="C134" i="2"/>
  <c r="B134" i="2"/>
  <c r="D135" i="2"/>
  <c r="C135" i="2"/>
  <c r="B135" i="2"/>
  <c r="B337" i="2"/>
  <c r="C337" i="2"/>
  <c r="D337" i="2"/>
  <c r="B350" i="2"/>
  <c r="D350" i="2"/>
  <c r="C350" i="2"/>
  <c r="C213" i="2"/>
  <c r="D213" i="2"/>
  <c r="B17" i="2"/>
  <c r="C17" i="2"/>
  <c r="D17" i="2"/>
  <c r="D106" i="2"/>
  <c r="B106" i="2"/>
  <c r="C106" i="2"/>
  <c r="D325" i="2"/>
  <c r="C325" i="2"/>
  <c r="B325" i="2"/>
  <c r="C231" i="2"/>
  <c r="D231" i="2"/>
  <c r="C249" i="2"/>
  <c r="D249" i="2"/>
  <c r="C362" i="2"/>
  <c r="D362" i="2"/>
  <c r="C272" i="2"/>
  <c r="D272" i="2"/>
  <c r="B242" i="2"/>
  <c r="D242" i="2"/>
  <c r="C242" i="2"/>
  <c r="D152" i="2"/>
  <c r="C152" i="2"/>
  <c r="B152" i="2"/>
  <c r="D157" i="2"/>
  <c r="C157" i="2"/>
  <c r="B157" i="2"/>
  <c r="C344" i="2"/>
  <c r="D344" i="2"/>
  <c r="B206" i="2"/>
  <c r="C206" i="2"/>
  <c r="D206" i="2"/>
  <c r="C195" i="2"/>
  <c r="D195" i="2"/>
  <c r="C129" i="2"/>
  <c r="B129" i="2"/>
  <c r="C205" i="2"/>
  <c r="D205" i="2"/>
  <c r="B205" i="2"/>
  <c r="D385" i="2"/>
  <c r="B385" i="2"/>
  <c r="B330" i="2"/>
  <c r="B42" i="2"/>
  <c r="D131" i="2"/>
  <c r="C156" i="2"/>
  <c r="D236" i="2"/>
  <c r="C278" i="2"/>
  <c r="C330" i="2"/>
  <c r="C355" i="2"/>
  <c r="C391" i="2"/>
  <c r="B81" i="2"/>
  <c r="C1" i="2"/>
  <c r="C72" i="2"/>
  <c r="B91" i="2"/>
  <c r="B137" i="2"/>
  <c r="D156" i="2"/>
  <c r="C247" i="2"/>
  <c r="D278" i="2"/>
  <c r="D355" i="2"/>
  <c r="D391" i="2"/>
  <c r="D42" i="2"/>
  <c r="D72" i="2"/>
  <c r="C91" i="2"/>
  <c r="B186" i="2"/>
  <c r="C217" i="2"/>
  <c r="D247" i="2"/>
  <c r="B348" i="2"/>
  <c r="B366" i="2"/>
  <c r="B18" i="2"/>
  <c r="C348" i="2"/>
  <c r="C366" i="2"/>
  <c r="B1" i="2"/>
  <c r="C10" i="2"/>
  <c r="C52" i="2"/>
  <c r="D339" i="2"/>
  <c r="D83" i="2"/>
  <c r="B112" i="2"/>
  <c r="D218" i="2"/>
  <c r="B299" i="2"/>
  <c r="B27" i="2"/>
  <c r="B19" i="2"/>
  <c r="C19" i="2"/>
  <c r="D43" i="2"/>
  <c r="D73" i="2"/>
  <c r="C4" i="2"/>
  <c r="D124" i="2"/>
  <c r="D139" i="2"/>
  <c r="C229" i="2"/>
  <c r="B240" i="2"/>
  <c r="D290" i="2"/>
  <c r="D308" i="2"/>
  <c r="B64" i="2"/>
  <c r="D229" i="2"/>
  <c r="C28" i="2"/>
  <c r="B83" i="2"/>
  <c r="D28" i="2"/>
  <c r="D187" i="2"/>
  <c r="C204" i="2"/>
  <c r="D367" i="2"/>
  <c r="C27" i="2"/>
  <c r="C67" i="2"/>
  <c r="C301" i="2"/>
  <c r="C319" i="2"/>
  <c r="D326" i="2"/>
  <c r="D375" i="2"/>
  <c r="D301" i="2"/>
  <c r="D319" i="2"/>
  <c r="B10" i="2"/>
  <c r="C253" i="2"/>
  <c r="C294" i="2"/>
  <c r="D88" i="2"/>
  <c r="B130" i="2"/>
  <c r="C144" i="2"/>
  <c r="A161" i="2"/>
  <c r="C34" i="2"/>
  <c r="B34" i="2"/>
  <c r="D34" i="2"/>
  <c r="D226" i="2"/>
  <c r="C226" i="2"/>
  <c r="B226" i="2"/>
  <c r="C41" i="2"/>
  <c r="B41" i="2"/>
  <c r="D41" i="2"/>
  <c r="D257" i="2"/>
  <c r="C257" i="2"/>
  <c r="B257" i="2"/>
  <c r="D33" i="2"/>
  <c r="C33" i="2"/>
  <c r="B33" i="2"/>
  <c r="C201" i="2"/>
  <c r="B201" i="2"/>
  <c r="D201" i="2"/>
  <c r="D60" i="2"/>
  <c r="B60" i="2"/>
  <c r="C60" i="2"/>
  <c r="D51" i="2"/>
  <c r="C51" i="2"/>
  <c r="B51" i="2"/>
  <c r="D239" i="2"/>
  <c r="C239" i="2"/>
  <c r="B239" i="2"/>
  <c r="C61" i="2"/>
  <c r="D61" i="2"/>
  <c r="B61" i="2"/>
  <c r="B90" i="2"/>
  <c r="C90" i="2"/>
  <c r="D90" i="2"/>
  <c r="D190" i="2"/>
  <c r="C190" i="2"/>
  <c r="B190" i="2"/>
  <c r="C147" i="2"/>
  <c r="B147" i="2"/>
  <c r="D147" i="2"/>
  <c r="B110" i="2"/>
  <c r="D110" i="2"/>
  <c r="C110" i="2"/>
  <c r="D149" i="2"/>
  <c r="C149" i="2"/>
  <c r="B149" i="2"/>
  <c r="C12" i="2"/>
  <c r="B12" i="2"/>
  <c r="D12" i="2"/>
  <c r="C44" i="2"/>
  <c r="D44" i="2"/>
  <c r="B44" i="2"/>
  <c r="D66" i="2"/>
  <c r="C66" i="2"/>
  <c r="B66" i="2"/>
  <c r="D74" i="2"/>
  <c r="C74" i="2"/>
  <c r="B74" i="2"/>
  <c r="D318" i="2"/>
  <c r="C318" i="2"/>
  <c r="B318" i="2"/>
  <c r="C182" i="2"/>
  <c r="B182" i="2"/>
  <c r="D182" i="2"/>
  <c r="D63" i="2"/>
  <c r="C63" i="2"/>
  <c r="B63" i="2"/>
  <c r="D167" i="2"/>
  <c r="C167" i="2"/>
  <c r="B167" i="2"/>
  <c r="D93" i="2"/>
  <c r="C93" i="2"/>
  <c r="B93" i="2"/>
  <c r="D45" i="2"/>
  <c r="B45" i="2"/>
  <c r="C45" i="2"/>
  <c r="C56" i="2"/>
  <c r="B56" i="2"/>
  <c r="D56" i="2"/>
  <c r="D75" i="2"/>
  <c r="B75" i="2"/>
  <c r="C75" i="2"/>
  <c r="C125" i="2"/>
  <c r="B125" i="2"/>
  <c r="D125" i="2"/>
  <c r="D262" i="2"/>
  <c r="C262" i="2"/>
  <c r="B262" i="2"/>
  <c r="B108" i="2"/>
  <c r="D108" i="2"/>
  <c r="C108" i="2"/>
  <c r="D82" i="2"/>
  <c r="C82" i="2"/>
  <c r="B82" i="2"/>
  <c r="D168" i="2"/>
  <c r="C168" i="2"/>
  <c r="B168" i="2"/>
  <c r="D150" i="2"/>
  <c r="C150" i="2"/>
  <c r="B150" i="2"/>
  <c r="B3" i="2"/>
  <c r="D3" i="2"/>
  <c r="C3" i="2"/>
  <c r="B123" i="2"/>
  <c r="D123" i="2"/>
  <c r="C123" i="2"/>
  <c r="D203" i="2"/>
  <c r="C203" i="2"/>
  <c r="B203" i="2"/>
  <c r="C15" i="2"/>
  <c r="B15" i="2"/>
  <c r="D15" i="2"/>
  <c r="C46" i="2"/>
  <c r="D46" i="2"/>
  <c r="B46" i="2"/>
  <c r="D76" i="2"/>
  <c r="C76" i="2"/>
  <c r="B76" i="2"/>
  <c r="D95" i="2"/>
  <c r="C95" i="2"/>
  <c r="B95" i="2"/>
  <c r="D104" i="2"/>
  <c r="C104" i="2"/>
  <c r="B104" i="2"/>
  <c r="B153" i="2"/>
  <c r="D153" i="2"/>
  <c r="C153" i="2"/>
  <c r="C89" i="2"/>
  <c r="D89" i="2"/>
  <c r="B89" i="2"/>
  <c r="C71" i="2"/>
  <c r="B71" i="2"/>
  <c r="D71" i="2"/>
  <c r="C183" i="2"/>
  <c r="B183" i="2"/>
  <c r="D183" i="2"/>
  <c r="D132" i="2"/>
  <c r="C132" i="2"/>
  <c r="B132" i="2"/>
  <c r="D2" i="2"/>
  <c r="C2" i="2"/>
  <c r="B2" i="2"/>
  <c r="D122" i="2"/>
  <c r="B122" i="2"/>
  <c r="C122" i="2"/>
  <c r="D21" i="2"/>
  <c r="B21" i="2"/>
  <c r="C21" i="2"/>
  <c r="C77" i="2"/>
  <c r="D77" i="2"/>
  <c r="B77" i="2"/>
  <c r="C105" i="2"/>
  <c r="B105" i="2"/>
  <c r="D105" i="2"/>
  <c r="D114" i="2"/>
  <c r="C114" i="2"/>
  <c r="B114" i="2"/>
  <c r="C127" i="2"/>
  <c r="D127" i="2"/>
  <c r="B127" i="2"/>
  <c r="B141" i="2"/>
  <c r="D141" i="2"/>
  <c r="C141" i="2"/>
  <c r="D221" i="2"/>
  <c r="C221" i="2"/>
  <c r="B221" i="2"/>
  <c r="D100" i="2"/>
  <c r="C100" i="2"/>
  <c r="B100" i="2"/>
  <c r="B171" i="2"/>
  <c r="D171" i="2"/>
  <c r="C171" i="2"/>
  <c r="D86" i="2"/>
  <c r="C86" i="2"/>
  <c r="B86" i="2"/>
  <c r="D78" i="2"/>
  <c r="C78" i="2"/>
  <c r="B78" i="2"/>
  <c r="C115" i="2"/>
  <c r="D115" i="2"/>
  <c r="B115" i="2"/>
  <c r="C142" i="2"/>
  <c r="B142" i="2"/>
  <c r="D142" i="2"/>
  <c r="D293" i="2"/>
  <c r="C293" i="2"/>
  <c r="B293" i="2"/>
  <c r="D109" i="2"/>
  <c r="B109" i="2"/>
  <c r="C109" i="2"/>
  <c r="C92" i="2"/>
  <c r="D92" i="2"/>
  <c r="B92" i="2"/>
  <c r="D116" i="2"/>
  <c r="C116" i="2"/>
  <c r="B116" i="2"/>
  <c r="D196" i="2"/>
  <c r="C196" i="2"/>
  <c r="B196" i="2"/>
  <c r="D352" i="2"/>
  <c r="C352" i="2"/>
  <c r="B352" i="2"/>
  <c r="D388" i="2"/>
  <c r="C388" i="2"/>
  <c r="B388" i="2"/>
  <c r="D99" i="2"/>
  <c r="C99" i="2"/>
  <c r="B99" i="2"/>
  <c r="D146" i="2"/>
  <c r="C146" i="2"/>
  <c r="B146" i="2"/>
  <c r="D120" i="2"/>
  <c r="C120" i="2"/>
  <c r="B120" i="2"/>
  <c r="D11" i="2"/>
  <c r="C11" i="2"/>
  <c r="B11" i="2"/>
  <c r="B53" i="2"/>
  <c r="D53" i="2"/>
  <c r="C53" i="2"/>
  <c r="C97" i="2"/>
  <c r="D97" i="2"/>
  <c r="B97" i="2"/>
  <c r="C117" i="2"/>
  <c r="B117" i="2"/>
  <c r="D117" i="2"/>
  <c r="B160" i="2"/>
  <c r="D160" i="2"/>
  <c r="C160" i="2"/>
  <c r="C107" i="2"/>
  <c r="D107" i="2"/>
  <c r="B107" i="2"/>
  <c r="C62" i="2"/>
  <c r="D62" i="2"/>
  <c r="B62" i="2"/>
  <c r="C49" i="2"/>
  <c r="B49" i="2"/>
  <c r="D49" i="2"/>
  <c r="D58" i="2"/>
  <c r="C58" i="2"/>
  <c r="B58" i="2"/>
  <c r="C9" i="2"/>
  <c r="B9" i="2"/>
  <c r="D9" i="2"/>
  <c r="D24" i="2"/>
  <c r="C24" i="2"/>
  <c r="B24" i="2"/>
  <c r="D48" i="2"/>
  <c r="C48" i="2"/>
  <c r="B48" i="2"/>
  <c r="D8" i="2"/>
  <c r="B8" i="2"/>
  <c r="C8" i="2"/>
  <c r="C26" i="2"/>
  <c r="B26" i="2"/>
  <c r="D26" i="2"/>
  <c r="D32" i="2"/>
  <c r="B32" i="2"/>
  <c r="C32" i="2"/>
  <c r="D59" i="2"/>
  <c r="C59" i="2"/>
  <c r="B59" i="2"/>
  <c r="D80" i="2"/>
  <c r="C80" i="2"/>
  <c r="B80" i="2"/>
  <c r="D244" i="2"/>
  <c r="C244" i="2"/>
  <c r="B244" i="2"/>
  <c r="C68" i="2"/>
  <c r="C87" i="2"/>
  <c r="C102" i="2"/>
  <c r="C121" i="2"/>
  <c r="C138" i="2"/>
  <c r="C165" i="2"/>
  <c r="B165" i="2"/>
  <c r="D270" i="2"/>
  <c r="C270" i="2"/>
  <c r="B270" i="2"/>
  <c r="D286" i="2"/>
  <c r="C286" i="2"/>
  <c r="B286" i="2"/>
  <c r="D334" i="2"/>
  <c r="C334" i="2"/>
  <c r="B334" i="2"/>
  <c r="D5" i="2"/>
  <c r="D87" i="2"/>
  <c r="D121" i="2"/>
  <c r="D138" i="2"/>
  <c r="B192" i="2"/>
  <c r="D209" i="2"/>
  <c r="C209" i="2"/>
  <c r="B209" i="2"/>
  <c r="B215" i="2"/>
  <c r="D295" i="2"/>
  <c r="C295" i="2"/>
  <c r="B295" i="2"/>
  <c r="D342" i="2"/>
  <c r="C342" i="2"/>
  <c r="B342" i="2"/>
  <c r="D359" i="2"/>
  <c r="C359" i="2"/>
  <c r="B384" i="2"/>
  <c r="C5" i="2"/>
  <c r="B20" i="2"/>
  <c r="C126" i="2"/>
  <c r="D165" i="2"/>
  <c r="C170" i="2"/>
  <c r="B181" i="2"/>
  <c r="C192" i="2"/>
  <c r="D198" i="2"/>
  <c r="C198" i="2"/>
  <c r="B198" i="2"/>
  <c r="C215" i="2"/>
  <c r="D223" i="2"/>
  <c r="C223" i="2"/>
  <c r="B223" i="2"/>
  <c r="D237" i="2"/>
  <c r="C237" i="2"/>
  <c r="B237" i="2"/>
  <c r="D279" i="2"/>
  <c r="C279" i="2"/>
  <c r="B279" i="2"/>
  <c r="D287" i="2"/>
  <c r="C287" i="2"/>
  <c r="B312" i="2"/>
  <c r="D327" i="2"/>
  <c r="C327" i="2"/>
  <c r="B327" i="2"/>
  <c r="B359" i="2"/>
  <c r="C384" i="2"/>
  <c r="D38" i="2"/>
  <c r="D102" i="2"/>
  <c r="B65" i="2"/>
  <c r="C65" i="2"/>
  <c r="B69" i="2"/>
  <c r="B84" i="2"/>
  <c r="B118" i="2"/>
  <c r="D126" i="2"/>
  <c r="B143" i="2"/>
  <c r="B148" i="2"/>
  <c r="D166" i="2"/>
  <c r="C166" i="2"/>
  <c r="D170" i="2"/>
  <c r="C175" i="2"/>
  <c r="C181" i="2"/>
  <c r="D216" i="2"/>
  <c r="C216" i="2"/>
  <c r="B216" i="2"/>
  <c r="A246" i="2" a="1"/>
  <c r="A246" i="2" s="1"/>
  <c r="D280" i="2"/>
  <c r="C280" i="2"/>
  <c r="B280" i="2"/>
  <c r="B287" i="2"/>
  <c r="C312" i="2"/>
  <c r="D351" i="2"/>
  <c r="C351" i="2"/>
  <c r="B351" i="2"/>
  <c r="D360" i="2"/>
  <c r="C360" i="2"/>
  <c r="B360" i="2"/>
  <c r="B31" i="2"/>
  <c r="B13" i="2"/>
  <c r="C20" i="2"/>
  <c r="C31" i="2"/>
  <c r="B35" i="2"/>
  <c r="B50" i="2"/>
  <c r="C13" i="2"/>
  <c r="C35" i="2"/>
  <c r="B39" i="2"/>
  <c r="C69" i="2"/>
  <c r="C84" i="2"/>
  <c r="B88" i="2"/>
  <c r="B103" i="2"/>
  <c r="C118" i="2"/>
  <c r="B131" i="2"/>
  <c r="B139" i="2"/>
  <c r="C143" i="2"/>
  <c r="D148" i="2"/>
  <c r="B166" i="2"/>
  <c r="D175" i="2"/>
  <c r="B199" i="2"/>
  <c r="B210" i="2"/>
  <c r="D230" i="2"/>
  <c r="C230" i="2"/>
  <c r="B230" i="2"/>
  <c r="D238" i="2"/>
  <c r="C238" i="2"/>
  <c r="B238" i="2"/>
  <c r="D264" i="2"/>
  <c r="C264" i="2"/>
  <c r="D288" i="2"/>
  <c r="C288" i="2"/>
  <c r="B288" i="2"/>
  <c r="D313" i="2"/>
  <c r="C313" i="2"/>
  <c r="B313" i="2"/>
  <c r="D328" i="2"/>
  <c r="C328" i="2"/>
  <c r="B328" i="2"/>
  <c r="D361" i="2"/>
  <c r="C361" i="2"/>
  <c r="D23" i="2"/>
  <c r="B6" i="2"/>
  <c r="C50" i="2"/>
  <c r="C54" i="2"/>
  <c r="B73" i="2"/>
  <c r="B43" i="2"/>
  <c r="D54" i="2"/>
  <c r="D176" i="2"/>
  <c r="B176" i="2"/>
  <c r="C210" i="2"/>
  <c r="B217" i="2"/>
  <c r="D255" i="2"/>
  <c r="C255" i="2"/>
  <c r="B255" i="2"/>
  <c r="B264" i="2"/>
  <c r="D329" i="2"/>
  <c r="C329" i="2"/>
  <c r="B329" i="2"/>
  <c r="D336" i="2"/>
  <c r="C336" i="2"/>
  <c r="B336" i="2"/>
  <c r="C393" i="2"/>
  <c r="B393" i="2"/>
  <c r="C38" i="2"/>
  <c r="B289" i="2"/>
  <c r="D297" i="2"/>
  <c r="C297" i="2"/>
  <c r="B297" i="2"/>
  <c r="D305" i="2"/>
  <c r="C305" i="2"/>
  <c r="D345" i="2"/>
  <c r="C345" i="2"/>
  <c r="B345" i="2"/>
  <c r="D376" i="2"/>
  <c r="C376" i="2"/>
  <c r="B376" i="2"/>
  <c r="D393" i="2"/>
  <c r="C47" i="2"/>
  <c r="C81" i="2"/>
  <c r="C96" i="2"/>
  <c r="C111" i="2"/>
  <c r="D140" i="2"/>
  <c r="B140" i="2"/>
  <c r="D144" i="2"/>
  <c r="C162" i="2"/>
  <c r="C176" i="2"/>
  <c r="C200" i="2"/>
  <c r="B200" i="2"/>
  <c r="D256" i="2"/>
  <c r="C256" i="2"/>
  <c r="B256" i="2"/>
  <c r="C265" i="2"/>
  <c r="D282" i="2"/>
  <c r="C282" i="2"/>
  <c r="C289" i="2"/>
  <c r="D298" i="2"/>
  <c r="C298" i="2"/>
  <c r="B298" i="2"/>
  <c r="D377" i="2"/>
  <c r="C377" i="2"/>
  <c r="A177" i="2" a="1"/>
  <c r="A177" i="2" s="1"/>
  <c r="A274" i="2" a="1"/>
  <c r="A274" i="2" s="1"/>
  <c r="A232" i="2" a="1"/>
  <c r="A232" i="2" s="1"/>
  <c r="A260" i="2" a="1"/>
  <c r="A260" i="2" s="1"/>
  <c r="A357" i="2" a="1"/>
  <c r="A357" i="2" s="1"/>
  <c r="A222" i="2" a="1"/>
  <c r="A222" i="2" s="1"/>
  <c r="D248" i="2"/>
  <c r="C248" i="2"/>
  <c r="B248" i="2"/>
  <c r="B14" i="2"/>
  <c r="C36" i="2"/>
  <c r="B55" i="2"/>
  <c r="B70" i="2"/>
  <c r="B85" i="2"/>
  <c r="B119" i="2"/>
  <c r="D136" i="2"/>
  <c r="C136" i="2"/>
  <c r="D158" i="2"/>
  <c r="B158" i="2"/>
  <c r="D162" i="2"/>
  <c r="D194" i="2"/>
  <c r="B194" i="2"/>
  <c r="D225" i="2"/>
  <c r="C225" i="2"/>
  <c r="B225" i="2"/>
  <c r="D265" i="2"/>
  <c r="B282" i="2"/>
  <c r="D306" i="2"/>
  <c r="C306" i="2"/>
  <c r="B306" i="2"/>
  <c r="D346" i="2"/>
  <c r="C346" i="2"/>
  <c r="B346" i="2"/>
  <c r="B377" i="2"/>
  <c r="B7" i="2"/>
  <c r="C14" i="2"/>
  <c r="B25" i="2"/>
  <c r="D36" i="2"/>
  <c r="C55" i="2"/>
  <c r="C70" i="2"/>
  <c r="C85" i="2"/>
  <c r="C119" i="2"/>
  <c r="A128" i="2" a="1"/>
  <c r="A128" i="2" s="1"/>
  <c r="C140" i="2"/>
  <c r="B145" i="2"/>
  <c r="D154" i="2"/>
  <c r="C154" i="2"/>
  <c r="D172" i="2"/>
  <c r="C172" i="2"/>
  <c r="D200" i="2"/>
  <c r="C240" i="2"/>
  <c r="D273" i="2"/>
  <c r="C273" i="2"/>
  <c r="B273" i="2"/>
  <c r="D307" i="2"/>
  <c r="C307" i="2"/>
  <c r="D315" i="2"/>
  <c r="C315" i="2"/>
  <c r="B315" i="2"/>
  <c r="D323" i="2"/>
  <c r="C323" i="2"/>
  <c r="D347" i="2"/>
  <c r="C347" i="2"/>
  <c r="B347" i="2"/>
  <c r="D354" i="2"/>
  <c r="C354" i="2"/>
  <c r="B354" i="2"/>
  <c r="D363" i="2"/>
  <c r="C363" i="2"/>
  <c r="B363" i="2"/>
  <c r="D369" i="2"/>
  <c r="C369" i="2"/>
  <c r="B369" i="2"/>
  <c r="D378" i="2"/>
  <c r="C378" i="2"/>
  <c r="B378" i="2"/>
  <c r="D395" i="2"/>
  <c r="C395" i="2"/>
  <c r="B136" i="2"/>
  <c r="C145" i="2"/>
  <c r="C158" i="2"/>
  <c r="B163" i="2"/>
  <c r="C194" i="2"/>
  <c r="D212" i="2"/>
  <c r="B212" i="2"/>
  <c r="D241" i="2"/>
  <c r="C241" i="2"/>
  <c r="B241" i="2"/>
  <c r="B307" i="2"/>
  <c r="D316" i="2"/>
  <c r="C316" i="2"/>
  <c r="B316" i="2"/>
  <c r="B323" i="2"/>
  <c r="D370" i="2"/>
  <c r="C370" i="2"/>
  <c r="B370" i="2"/>
  <c r="D379" i="2"/>
  <c r="C379" i="2"/>
  <c r="D387" i="2"/>
  <c r="C387" i="2"/>
  <c r="B387" i="2"/>
  <c r="B395" i="2"/>
  <c r="A343" i="2" a="1"/>
  <c r="A343" i="2" s="1"/>
  <c r="A173" i="2" a="1"/>
  <c r="A173" i="2" s="1"/>
  <c r="A277" i="2" a="1"/>
  <c r="A277" i="2" s="1"/>
  <c r="A151" i="2" a="1"/>
  <c r="A151" i="2" s="1"/>
  <c r="C7" i="2"/>
  <c r="C18" i="2"/>
  <c r="A22" i="2" a="1"/>
  <c r="A22" i="2" s="1"/>
  <c r="C29" i="2"/>
  <c r="C112" i="2"/>
  <c r="B124" i="2"/>
  <c r="B154" i="2"/>
  <c r="C163" i="2"/>
  <c r="B172" i="2"/>
  <c r="A178" i="2" a="1"/>
  <c r="A178" i="2" s="1"/>
  <c r="D184" i="2"/>
  <c r="C184" i="2"/>
  <c r="B184" i="2"/>
  <c r="D189" i="2"/>
  <c r="C189" i="2"/>
  <c r="B189" i="2"/>
  <c r="D219" i="2"/>
  <c r="C219" i="2"/>
  <c r="B219" i="2"/>
  <c r="B233" i="2"/>
  <c r="D275" i="2"/>
  <c r="C275" i="2"/>
  <c r="B275" i="2"/>
  <c r="D291" i="2"/>
  <c r="C291" i="2"/>
  <c r="B291" i="2"/>
  <c r="D324" i="2"/>
  <c r="C324" i="2"/>
  <c r="B324" i="2"/>
  <c r="D364" i="2"/>
  <c r="C364" i="2"/>
  <c r="B364" i="2"/>
  <c r="B379" i="2"/>
  <c r="D396" i="2"/>
  <c r="C396" i="2"/>
  <c r="B396" i="2"/>
  <c r="C23" i="2"/>
  <c r="D25" i="2"/>
  <c r="B4" i="2"/>
  <c r="B37" i="2"/>
  <c r="B52" i="2"/>
  <c r="B67" i="2"/>
  <c r="B101" i="2"/>
  <c r="C212" i="2"/>
  <c r="C233" i="2"/>
  <c r="D250" i="2"/>
  <c r="C250" i="2"/>
  <c r="B250" i="2"/>
  <c r="C258" i="2"/>
  <c r="D300" i="2"/>
  <c r="C300" i="2"/>
  <c r="B300" i="2"/>
  <c r="D331" i="2"/>
  <c r="C331" i="2"/>
  <c r="B331" i="2"/>
  <c r="D365" i="2"/>
  <c r="C365" i="2"/>
  <c r="B365" i="2"/>
  <c r="C380" i="2"/>
  <c r="B380" i="2"/>
  <c r="D397" i="2"/>
  <c r="C397" i="2"/>
  <c r="A185" i="2" a="1"/>
  <c r="A185" i="2" s="1"/>
  <c r="D202" i="2"/>
  <c r="C202" i="2"/>
  <c r="B202" i="2"/>
  <c r="D220" i="2"/>
  <c r="C220" i="2"/>
  <c r="B220" i="2"/>
  <c r="D234" i="2"/>
  <c r="C234" i="2"/>
  <c r="B234" i="2"/>
  <c r="D259" i="2"/>
  <c r="C259" i="2"/>
  <c r="B259" i="2"/>
  <c r="D292" i="2"/>
  <c r="C292" i="2"/>
  <c r="B292" i="2"/>
  <c r="B94" i="2"/>
  <c r="C137" i="2"/>
  <c r="A164" i="2" a="1"/>
  <c r="A164" i="2" s="1"/>
  <c r="D207" i="2"/>
  <c r="C207" i="2"/>
  <c r="B207" i="2"/>
  <c r="D251" i="2"/>
  <c r="C251" i="2"/>
  <c r="D268" i="2"/>
  <c r="C268" i="2"/>
  <c r="B268" i="2"/>
  <c r="B276" i="2"/>
  <c r="D309" i="2"/>
  <c r="C309" i="2"/>
  <c r="B309" i="2"/>
  <c r="D372" i="2"/>
  <c r="C372" i="2"/>
  <c r="B372" i="2"/>
  <c r="D381" i="2"/>
  <c r="C381" i="2"/>
  <c r="B381" i="2"/>
  <c r="D398" i="2"/>
  <c r="C398" i="2"/>
  <c r="B398" i="2"/>
  <c r="A174" i="2" a="1"/>
  <c r="A174" i="2" s="1"/>
  <c r="B179" i="2"/>
  <c r="B235" i="2"/>
  <c r="B251" i="2"/>
  <c r="C276" i="2"/>
  <c r="B169" i="2"/>
  <c r="C179" i="2"/>
  <c r="D191" i="2"/>
  <c r="C191" i="2"/>
  <c r="B191" i="2"/>
  <c r="D214" i="2"/>
  <c r="C214" i="2"/>
  <c r="B214" i="2"/>
  <c r="B228" i="2"/>
  <c r="C235" i="2"/>
  <c r="D252" i="2"/>
  <c r="C252" i="2"/>
  <c r="B252" i="2"/>
  <c r="D269" i="2"/>
  <c r="C269" i="2"/>
  <c r="D310" i="2"/>
  <c r="C310" i="2"/>
  <c r="B310" i="2"/>
  <c r="D349" i="2"/>
  <c r="C349" i="2"/>
  <c r="B349" i="2"/>
  <c r="D382" i="2"/>
  <c r="C382" i="2"/>
  <c r="B382" i="2"/>
  <c r="D390" i="2"/>
  <c r="C390" i="2"/>
  <c r="B390" i="2"/>
  <c r="C64" i="2"/>
  <c r="D79" i="2"/>
  <c r="C98" i="2"/>
  <c r="C113" i="2"/>
  <c r="D129" i="2"/>
  <c r="B68" i="2"/>
  <c r="D169" i="2"/>
  <c r="D180" i="2"/>
  <c r="B180" i="2"/>
  <c r="A208" i="2" a="1"/>
  <c r="A208" i="2" s="1"/>
  <c r="C228" i="2"/>
  <c r="B269" i="2"/>
  <c r="B294" i="2"/>
  <c r="D311" i="2"/>
  <c r="C311" i="2"/>
  <c r="B311" i="2"/>
  <c r="D333" i="2"/>
  <c r="C333" i="2"/>
  <c r="B333" i="2"/>
  <c r="D341" i="2"/>
  <c r="C341" i="2"/>
  <c r="D383" i="2"/>
  <c r="C383" i="2"/>
  <c r="B383" i="2"/>
  <c r="D400" i="2"/>
  <c r="C400" i="2"/>
  <c r="B400" i="2"/>
  <c r="B304" i="2"/>
  <c r="B322" i="2"/>
  <c r="B340" i="2"/>
  <c r="B358" i="2"/>
  <c r="B394" i="2"/>
  <c r="B243" i="2"/>
  <c r="B261" i="2"/>
  <c r="C304" i="2"/>
  <c r="C322" i="2"/>
  <c r="C340" i="2"/>
  <c r="C358" i="2"/>
  <c r="C394" i="2"/>
  <c r="B218" i="2"/>
  <c r="B236" i="2"/>
  <c r="C243" i="2"/>
  <c r="B254" i="2"/>
  <c r="C261" i="2"/>
  <c r="B272" i="2"/>
  <c r="B290" i="2"/>
  <c r="B308" i="2"/>
  <c r="B326" i="2"/>
  <c r="B344" i="2"/>
  <c r="B362" i="2"/>
  <c r="B399" i="2"/>
  <c r="B266" i="2"/>
  <c r="B284" i="2"/>
  <c r="B302" i="2"/>
  <c r="B320" i="2"/>
  <c r="B338" i="2"/>
  <c r="B356" i="2"/>
  <c r="B374" i="2"/>
  <c r="B392" i="2"/>
  <c r="C399" i="2"/>
  <c r="C266" i="2"/>
  <c r="C284" i="2"/>
  <c r="C302" i="2"/>
  <c r="C320" i="2"/>
  <c r="C338" i="2"/>
  <c r="C356" i="2"/>
  <c r="C374" i="2"/>
  <c r="C392" i="2"/>
  <c r="C385" i="2"/>
  <c r="B227" i="2"/>
  <c r="B245" i="2"/>
  <c r="B263" i="2"/>
  <c r="B281" i="2"/>
  <c r="B371" i="2"/>
  <c r="B389" i="2"/>
  <c r="C227" i="2"/>
  <c r="C245" i="2"/>
  <c r="C263" i="2"/>
  <c r="C281" i="2"/>
  <c r="C299" i="2"/>
  <c r="C317" i="2"/>
  <c r="C335" i="2"/>
  <c r="C353" i="2"/>
  <c r="C371" i="2"/>
  <c r="B195" i="2"/>
  <c r="B213" i="2"/>
  <c r="B231" i="2"/>
  <c r="B249" i="2"/>
  <c r="B267" i="2"/>
  <c r="B285" i="2"/>
  <c r="B303" i="2"/>
  <c r="B321" i="2"/>
  <c r="B339" i="2"/>
  <c r="B375" i="2"/>
  <c r="D185" i="2" l="1"/>
  <c r="C185" i="2"/>
  <c r="B185" i="2"/>
  <c r="D274" i="2"/>
  <c r="C274" i="2"/>
  <c r="B274" i="2"/>
  <c r="B260" i="2"/>
  <c r="D260" i="2"/>
  <c r="C260" i="2"/>
  <c r="D22" i="2"/>
  <c r="C22" i="2"/>
  <c r="B22" i="2"/>
  <c r="C177" i="2"/>
  <c r="B177" i="2"/>
  <c r="D177" i="2"/>
  <c r="D164" i="2"/>
  <c r="B164" i="2"/>
  <c r="C164" i="2"/>
  <c r="D128" i="2"/>
  <c r="C128" i="2"/>
  <c r="B128" i="2"/>
  <c r="B222" i="2"/>
  <c r="D222" i="2"/>
  <c r="C222" i="2"/>
  <c r="D208" i="2"/>
  <c r="C208" i="2"/>
  <c r="B208" i="2"/>
  <c r="C151" i="2"/>
  <c r="D151" i="2"/>
  <c r="B151" i="2"/>
  <c r="D178" i="2"/>
  <c r="C178" i="2"/>
  <c r="B178" i="2"/>
  <c r="D232" i="2"/>
  <c r="C232" i="2"/>
  <c r="B232" i="2"/>
  <c r="D277" i="2"/>
  <c r="C277" i="2"/>
  <c r="B277" i="2"/>
  <c r="D173" i="2"/>
  <c r="C173" i="2"/>
  <c r="B173" i="2"/>
  <c r="D246" i="2"/>
  <c r="C246" i="2"/>
  <c r="B246" i="2"/>
  <c r="C357" i="2"/>
  <c r="B357" i="2"/>
  <c r="D357" i="2"/>
  <c r="D343" i="2"/>
  <c r="C343" i="2"/>
  <c r="B343" i="2"/>
  <c r="C174" i="2"/>
  <c r="B174" i="2"/>
  <c r="D174" i="2"/>
  <c r="D161" i="2"/>
  <c r="C161" i="2"/>
  <c r="B16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1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<sst xmlns="http://schemas.openxmlformats.org/spreadsheetml/2006/main" count="459" uniqueCount="436">
  <si>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</si>
  <si>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</si>
  <si>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</si>
  <si>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</si>
  <si>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</si>
  <si>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</si>
  <si>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</si>
  <si>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</si>
  <si>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</si>
  <si>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</si>
  <si>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</si>
  <si>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</si>
  <si>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</si>
  <si>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</si>
  <si>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</si>
  <si>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</si>
  <si>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</si>
  <si>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</si>
  <si>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</si>
  <si>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</si>
  <si>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</si>
  <si>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</si>
  <si>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</si>
  <si>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</si>
  <si>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</si>
  <si>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</si>
  <si>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</si>
  <si>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</si>
  <si>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</si>
  <si>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</si>
  <si>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</si>
  <si>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</si>
  <si>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</si>
  <si>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</si>
  <si>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</si>
  <si>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1#1</t>
  </si>
  <si>
    <t>1#2</t>
  </si>
  <si>
    <t>1#3</t>
  </si>
  <si>
    <t>1#4</t>
  </si>
  <si>
    <t>1#5</t>
  </si>
  <si>
    <t>1#6</t>
  </si>
  <si>
    <t>1#7</t>
  </si>
  <si>
    <t>1#8</t>
  </si>
  <si>
    <t>1#9</t>
  </si>
  <si>
    <t>1#10</t>
  </si>
  <si>
    <t>1#11</t>
  </si>
  <si>
    <t>1#12</t>
  </si>
  <si>
    <t>1#13</t>
  </si>
  <si>
    <t>1#14</t>
  </si>
  <si>
    <t>1#15</t>
  </si>
  <si>
    <t>1#16</t>
  </si>
  <si>
    <t>1#17</t>
  </si>
  <si>
    <t>1#18</t>
  </si>
  <si>
    <t>1#19</t>
  </si>
  <si>
    <t>1#20</t>
  </si>
  <si>
    <t>1#21</t>
  </si>
  <si>
    <t>1#22</t>
  </si>
  <si>
    <t>1#23</t>
  </si>
  <si>
    <t>1#24</t>
  </si>
  <si>
    <t>1#25</t>
  </si>
  <si>
    <t>1#26</t>
  </si>
  <si>
    <t>1#27</t>
  </si>
  <si>
    <t>1#28</t>
  </si>
  <si>
    <t>1#29</t>
  </si>
  <si>
    <t>1#30</t>
  </si>
  <si>
    <t>1#31</t>
  </si>
  <si>
    <t>1#32</t>
  </si>
  <si>
    <t>1#33</t>
  </si>
  <si>
    <t>1#34</t>
  </si>
  <si>
    <t>1#35</t>
  </si>
  <si>
    <t>1#36</t>
  </si>
  <si>
    <t>1#37</t>
  </si>
  <si>
    <t>1#38</t>
  </si>
  <si>
    <t>1#39</t>
  </si>
  <si>
    <t>1#40</t>
  </si>
  <si>
    <t>1#41</t>
  </si>
  <si>
    <t>1#42</t>
  </si>
  <si>
    <t>1#43</t>
  </si>
  <si>
    <t>1#44</t>
  </si>
  <si>
    <t>1#45</t>
  </si>
  <si>
    <t>1#46</t>
  </si>
  <si>
    <t>1#47</t>
  </si>
  <si>
    <t>1#48</t>
  </si>
  <si>
    <t>1#49</t>
  </si>
  <si>
    <t>1#50</t>
  </si>
  <si>
    <t>1#51</t>
  </si>
  <si>
    <t>1#52</t>
  </si>
  <si>
    <t>1#53</t>
  </si>
  <si>
    <t>1#54</t>
  </si>
  <si>
    <t>1#55</t>
  </si>
  <si>
    <t>1#56</t>
  </si>
  <si>
    <t>1#57</t>
  </si>
  <si>
    <t>1#58</t>
  </si>
  <si>
    <t>1#59</t>
  </si>
  <si>
    <t>1#60</t>
  </si>
  <si>
    <t>1#61</t>
  </si>
  <si>
    <t>1#62</t>
  </si>
  <si>
    <t>1#63</t>
  </si>
  <si>
    <t>1#64</t>
  </si>
  <si>
    <t>1#65</t>
  </si>
  <si>
    <t>1#66</t>
  </si>
  <si>
    <t>1#67</t>
  </si>
  <si>
    <t>1#68</t>
  </si>
  <si>
    <t>1#69</t>
  </si>
  <si>
    <t>1#70</t>
  </si>
  <si>
    <t>1#71</t>
  </si>
  <si>
    <t>1#72</t>
  </si>
  <si>
    <t>1#73</t>
  </si>
  <si>
    <t>1#74</t>
  </si>
  <si>
    <t>1#75</t>
  </si>
  <si>
    <t>1#76</t>
  </si>
  <si>
    <t>1#77</t>
  </si>
  <si>
    <t>1#78</t>
  </si>
  <si>
    <t>1#79</t>
  </si>
  <si>
    <t>1#80</t>
  </si>
  <si>
    <t>1#81</t>
  </si>
  <si>
    <t>1#82</t>
  </si>
  <si>
    <t>1#83</t>
  </si>
  <si>
    <t>1#84</t>
  </si>
  <si>
    <t>1#85</t>
  </si>
  <si>
    <t>1#86</t>
  </si>
  <si>
    <t>1#87</t>
  </si>
  <si>
    <t>1#88</t>
  </si>
  <si>
    <t>1#89</t>
  </si>
  <si>
    <t>1#90</t>
  </si>
  <si>
    <t>1#91</t>
  </si>
  <si>
    <t>1#92</t>
  </si>
  <si>
    <t>1#93</t>
  </si>
  <si>
    <t>1#94</t>
  </si>
  <si>
    <t>1#95</t>
  </si>
  <si>
    <t>1#96</t>
  </si>
  <si>
    <t>1#97</t>
  </si>
  <si>
    <t>1#98</t>
  </si>
  <si>
    <t>1#99</t>
  </si>
  <si>
    <t>1#100</t>
  </si>
  <si>
    <t>1#101</t>
  </si>
  <si>
    <t>1#102</t>
  </si>
  <si>
    <t>1#103</t>
  </si>
  <si>
    <t>1#104</t>
  </si>
  <si>
    <t>1#105</t>
  </si>
  <si>
    <t>1#106</t>
  </si>
  <si>
    <t>1#107</t>
  </si>
  <si>
    <t>1#108</t>
  </si>
  <si>
    <t>1#109</t>
  </si>
  <si>
    <t>1#110</t>
  </si>
  <si>
    <t>1#111</t>
  </si>
  <si>
    <t>1#112</t>
  </si>
  <si>
    <t>1#113</t>
  </si>
  <si>
    <t>1#114</t>
  </si>
  <si>
    <t>1#115</t>
  </si>
  <si>
    <t>1#116</t>
  </si>
  <si>
    <t>1#117</t>
  </si>
  <si>
    <t>1#118</t>
  </si>
  <si>
    <t>1#119</t>
  </si>
  <si>
    <t>1#120</t>
  </si>
  <si>
    <t>1#121</t>
  </si>
  <si>
    <t>1#122</t>
  </si>
  <si>
    <t>1#123</t>
  </si>
  <si>
    <t>1#124</t>
  </si>
  <si>
    <t>1#125</t>
  </si>
  <si>
    <t>1#126</t>
  </si>
  <si>
    <t>1#127</t>
  </si>
  <si>
    <t>1#128</t>
  </si>
  <si>
    <t>1#129</t>
  </si>
  <si>
    <t>1#130</t>
  </si>
  <si>
    <t>1#131</t>
  </si>
  <si>
    <t>1#132</t>
  </si>
  <si>
    <t>1#133</t>
  </si>
  <si>
    <t>1#134</t>
  </si>
  <si>
    <t>1#135</t>
  </si>
  <si>
    <t>1#136</t>
  </si>
  <si>
    <t>1#137</t>
  </si>
  <si>
    <t>1#138</t>
  </si>
  <si>
    <t>1#139</t>
  </si>
  <si>
    <t>1#140</t>
  </si>
  <si>
    <t>1#141</t>
  </si>
  <si>
    <t>1#142</t>
  </si>
  <si>
    <t>1#143</t>
  </si>
  <si>
    <t>1#144</t>
  </si>
  <si>
    <t>1#145</t>
  </si>
  <si>
    <t>1#146</t>
  </si>
  <si>
    <t>1#147</t>
  </si>
  <si>
    <t>1#148</t>
  </si>
  <si>
    <t>1#149</t>
  </si>
  <si>
    <t>1#150</t>
  </si>
  <si>
    <t>1#151</t>
  </si>
  <si>
    <t>1#152</t>
  </si>
  <si>
    <t>1#153</t>
  </si>
  <si>
    <t>1#154</t>
  </si>
  <si>
    <t>1#155</t>
  </si>
  <si>
    <t>1#156</t>
  </si>
  <si>
    <t>1#157</t>
  </si>
  <si>
    <t>1#158</t>
  </si>
  <si>
    <t>1#159</t>
  </si>
  <si>
    <t>1#160</t>
  </si>
  <si>
    <t>1#161</t>
  </si>
  <si>
    <t>1#162</t>
  </si>
  <si>
    <t>1#163</t>
  </si>
  <si>
    <t>1#164</t>
  </si>
  <si>
    <t>1#165</t>
  </si>
  <si>
    <t>1#166</t>
  </si>
  <si>
    <t>1#167</t>
  </si>
  <si>
    <t>1#168</t>
  </si>
  <si>
    <t>1#169</t>
  </si>
  <si>
    <t>1#170</t>
  </si>
  <si>
    <t>1#171</t>
  </si>
  <si>
    <t>1#172</t>
  </si>
  <si>
    <t>1#173</t>
  </si>
  <si>
    <t>1#174</t>
  </si>
  <si>
    <t>1#175</t>
  </si>
  <si>
    <t>1#176</t>
  </si>
  <si>
    <t>1#177</t>
  </si>
  <si>
    <t>1#178</t>
  </si>
  <si>
    <t>1#179</t>
  </si>
  <si>
    <t>1#180</t>
  </si>
  <si>
    <t>1#181</t>
  </si>
  <si>
    <t>1#182</t>
  </si>
  <si>
    <t>1#183</t>
  </si>
  <si>
    <t>1#184</t>
  </si>
  <si>
    <t>1#185</t>
  </si>
  <si>
    <t>1#186</t>
  </si>
  <si>
    <t>1#187</t>
  </si>
  <si>
    <t>1#188</t>
  </si>
  <si>
    <t>1#189</t>
  </si>
  <si>
    <t>1#190</t>
  </si>
  <si>
    <t>1#191</t>
  </si>
  <si>
    <t>1#192</t>
  </si>
  <si>
    <t>1#193</t>
  </si>
  <si>
    <t>1#194</t>
  </si>
  <si>
    <t>1#195</t>
  </si>
  <si>
    <t>1#196</t>
  </si>
  <si>
    <t>1#197</t>
  </si>
  <si>
    <t>1#198</t>
  </si>
  <si>
    <t>1#199</t>
  </si>
  <si>
    <t>1#200</t>
  </si>
  <si>
    <t>1#201</t>
  </si>
  <si>
    <t>1#202</t>
  </si>
  <si>
    <t>1#203</t>
  </si>
  <si>
    <t>1#204</t>
  </si>
  <si>
    <t>1#205</t>
  </si>
  <si>
    <t>1#206</t>
  </si>
  <si>
    <t>1#207</t>
  </si>
  <si>
    <t>1#208</t>
  </si>
  <si>
    <t>1#209</t>
  </si>
  <si>
    <t>1#210</t>
  </si>
  <si>
    <t>1#211</t>
  </si>
  <si>
    <t>1#212</t>
  </si>
  <si>
    <t>1#213</t>
  </si>
  <si>
    <t>1#214</t>
  </si>
  <si>
    <t>1#215</t>
  </si>
  <si>
    <t>1#216</t>
  </si>
  <si>
    <t>1#217</t>
  </si>
  <si>
    <t>1#218</t>
  </si>
  <si>
    <t>1#219</t>
  </si>
  <si>
    <t>1#220</t>
  </si>
  <si>
    <t>1#221</t>
  </si>
  <si>
    <t>1#222</t>
  </si>
  <si>
    <t>1#223</t>
  </si>
  <si>
    <t>1#224</t>
  </si>
  <si>
    <t>1#225</t>
  </si>
  <si>
    <t>1#226</t>
  </si>
  <si>
    <t>1#227</t>
  </si>
  <si>
    <t>1#228</t>
  </si>
  <si>
    <t>1#229</t>
  </si>
  <si>
    <t>1#230</t>
  </si>
  <si>
    <t>1#231</t>
  </si>
  <si>
    <t>1#232</t>
  </si>
  <si>
    <t>1#233</t>
  </si>
  <si>
    <t>1#234</t>
  </si>
  <si>
    <t>1#235</t>
  </si>
  <si>
    <t>1#236</t>
  </si>
  <si>
    <t>1#237</t>
  </si>
  <si>
    <t>1#238</t>
  </si>
  <si>
    <t>1#239</t>
  </si>
  <si>
    <t>1#240</t>
  </si>
  <si>
    <t>1#241</t>
  </si>
  <si>
    <t>1#242</t>
  </si>
  <si>
    <t>1#243</t>
  </si>
  <si>
    <t>1#244</t>
  </si>
  <si>
    <t>1#245</t>
  </si>
  <si>
    <t>1#246</t>
  </si>
  <si>
    <t>1#247</t>
  </si>
  <si>
    <t>1#248</t>
  </si>
  <si>
    <t>1#249</t>
  </si>
  <si>
    <t>1#250</t>
  </si>
  <si>
    <t>1#251</t>
  </si>
  <si>
    <t>1#252</t>
  </si>
  <si>
    <t>1#253</t>
  </si>
  <si>
    <t>1#254</t>
  </si>
  <si>
    <t>1#255</t>
  </si>
  <si>
    <t>1#256</t>
  </si>
  <si>
    <t>1#257</t>
  </si>
  <si>
    <t>1#258</t>
  </si>
  <si>
    <t>1#259</t>
  </si>
  <si>
    <t>1#260</t>
  </si>
  <si>
    <t>1#261</t>
  </si>
  <si>
    <t>1#262</t>
  </si>
  <si>
    <t>1#263</t>
  </si>
  <si>
    <t>1#264</t>
  </si>
  <si>
    <t>1#265</t>
  </si>
  <si>
    <t>1#266</t>
  </si>
  <si>
    <t>1#267</t>
  </si>
  <si>
    <t>1#268</t>
  </si>
  <si>
    <t>1#269</t>
  </si>
  <si>
    <t>1#270</t>
  </si>
  <si>
    <t>1#271</t>
  </si>
  <si>
    <t>1#272</t>
  </si>
  <si>
    <t>1#273</t>
  </si>
  <si>
    <t>1#274</t>
  </si>
  <si>
    <t>1#275</t>
  </si>
  <si>
    <t>1#276</t>
  </si>
  <si>
    <t>1#277</t>
  </si>
  <si>
    <t>1#278</t>
  </si>
  <si>
    <t>1#279</t>
  </si>
  <si>
    <t>1#280</t>
  </si>
  <si>
    <t>1#281</t>
  </si>
  <si>
    <t>1#282</t>
  </si>
  <si>
    <t>1#283</t>
  </si>
  <si>
    <t>1#284</t>
  </si>
  <si>
    <t>1#285</t>
  </si>
  <si>
    <t>1#286</t>
  </si>
  <si>
    <t>1#287</t>
  </si>
  <si>
    <t>1#288</t>
  </si>
  <si>
    <t>1#289</t>
  </si>
  <si>
    <t>1#290</t>
  </si>
  <si>
    <t>1#291</t>
  </si>
  <si>
    <t>1#292</t>
  </si>
  <si>
    <t>1#293</t>
  </si>
  <si>
    <t>1#294</t>
  </si>
  <si>
    <t>1#295</t>
  </si>
  <si>
    <t>1#296</t>
  </si>
  <si>
    <t>1#297</t>
  </si>
  <si>
    <t>1#298</t>
  </si>
  <si>
    <t>1#299</t>
  </si>
  <si>
    <t>1#300</t>
  </si>
  <si>
    <t>1#301</t>
  </si>
  <si>
    <t>1#302</t>
  </si>
  <si>
    <t>1#303</t>
  </si>
  <si>
    <t>1#304</t>
  </si>
  <si>
    <t>1#305</t>
  </si>
  <si>
    <t>1#306</t>
  </si>
  <si>
    <t>1#307</t>
  </si>
  <si>
    <t>1#308</t>
  </si>
  <si>
    <t>1#309</t>
  </si>
  <si>
    <t>1#310</t>
  </si>
  <si>
    <t>1#311</t>
  </si>
  <si>
    <t>1#312</t>
  </si>
  <si>
    <t>1#313</t>
  </si>
  <si>
    <t>1#314</t>
  </si>
  <si>
    <t>1#315</t>
  </si>
  <si>
    <t>1#316</t>
  </si>
  <si>
    <t>1#317</t>
  </si>
  <si>
    <t>1#318</t>
  </si>
  <si>
    <t>1#319</t>
  </si>
  <si>
    <t>1#320</t>
  </si>
  <si>
    <t>1#321</t>
  </si>
  <si>
    <t>1#322</t>
  </si>
  <si>
    <t>1#323</t>
  </si>
  <si>
    <t>1#324</t>
  </si>
  <si>
    <t>1#325</t>
  </si>
  <si>
    <t>1#326</t>
  </si>
  <si>
    <t>1#327</t>
  </si>
  <si>
    <t>1#328</t>
  </si>
  <si>
    <t>1#329</t>
  </si>
  <si>
    <t>1#330</t>
  </si>
  <si>
    <t>1#331</t>
  </si>
  <si>
    <t>1#332</t>
  </si>
  <si>
    <t>1#333</t>
  </si>
  <si>
    <t>1#334</t>
  </si>
  <si>
    <t>1#335</t>
  </si>
  <si>
    <t>1#336</t>
  </si>
  <si>
    <t>1#337</t>
  </si>
  <si>
    <t>1#338</t>
  </si>
  <si>
    <t>1#339</t>
  </si>
  <si>
    <t>1#340</t>
  </si>
  <si>
    <t>1#341</t>
  </si>
  <si>
    <t>1#342</t>
  </si>
  <si>
    <t>1#343</t>
  </si>
  <si>
    <t>1#344</t>
  </si>
  <si>
    <t>1#345</t>
  </si>
  <si>
    <t>1#346</t>
  </si>
  <si>
    <t>1#347</t>
  </si>
  <si>
    <t>1#348</t>
  </si>
  <si>
    <t>1#349</t>
  </si>
  <si>
    <t>1#350</t>
  </si>
  <si>
    <t>1#351</t>
  </si>
  <si>
    <t>1#352</t>
  </si>
  <si>
    <t>1#353</t>
  </si>
  <si>
    <t>1#354</t>
  </si>
  <si>
    <t>1#355</t>
  </si>
  <si>
    <t>1#356</t>
  </si>
  <si>
    <t>1#357</t>
  </si>
  <si>
    <t>1#358</t>
  </si>
  <si>
    <t>1#359</t>
  </si>
  <si>
    <t>1#360</t>
  </si>
  <si>
    <t>1#361</t>
  </si>
  <si>
    <t>1#362</t>
  </si>
  <si>
    <t>1#363</t>
  </si>
  <si>
    <t>1#364</t>
  </si>
  <si>
    <t>1#365</t>
  </si>
  <si>
    <t>1#366</t>
  </si>
  <si>
    <t>1#367</t>
  </si>
  <si>
    <t>1#368</t>
  </si>
  <si>
    <t>1#369</t>
  </si>
  <si>
    <t>1#370</t>
  </si>
  <si>
    <t>1#371</t>
  </si>
  <si>
    <t>1#372</t>
  </si>
  <si>
    <t>1#373</t>
  </si>
  <si>
    <t>1#374</t>
  </si>
  <si>
    <t>1#375</t>
  </si>
  <si>
    <t>1#376</t>
  </si>
  <si>
    <t>1#377</t>
  </si>
  <si>
    <t>1#378</t>
  </si>
  <si>
    <t>1#379</t>
  </si>
  <si>
    <t>1#380</t>
  </si>
  <si>
    <t>1#381</t>
  </si>
  <si>
    <t>1#382</t>
  </si>
  <si>
    <t>1#383</t>
  </si>
  <si>
    <t>1#384</t>
  </si>
  <si>
    <t>1#385</t>
  </si>
  <si>
    <t>1#386</t>
  </si>
  <si>
    <t>1#387</t>
  </si>
  <si>
    <t>1#388</t>
  </si>
  <si>
    <t>1#389</t>
  </si>
  <si>
    <t>1#390</t>
  </si>
  <si>
    <t>1#391</t>
  </si>
  <si>
    <t>1#392</t>
  </si>
  <si>
    <t>1#393</t>
  </si>
  <si>
    <t>1#394</t>
  </si>
  <si>
    <t>1#395</t>
  </si>
  <si>
    <t>1#396</t>
  </si>
  <si>
    <t>1#397</t>
  </si>
  <si>
    <t>1#398</t>
  </si>
  <si>
    <t>1#399</t>
  </si>
  <si>
    <t>1#400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</si>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</sst>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8</v>
    <v>1</v>
    <v>1</v>
  </rv>
  <rv s="0">
    <v>0</v>
    <v>8</v>
    <v>4</v>
    <v>1</v>
  </rv>
  <rv s="0">
    <v>1</v>
    <v>8</v>
    <v>2</v>
    <v>1</v>
  </rv>
  <rv s="0">
    <v>1</v>
    <v>8</v>
    <v>1</v>
    <v>1</v>
  </rv>
  <rv s="0">
    <v>1</v>
    <v>8</v>
    <v>0</v>
    <v>1</v>
  </rv>
  <rv s="0">
    <v>6</v>
    <v>8</v>
    <v>0</v>
    <v>1</v>
  </rv>
  <rv s="0">
    <v>2</v>
    <v>8</v>
    <v>1</v>
    <v>1</v>
  </rv>
  <rv s="0">
    <v>0</v>
    <v>8</v>
    <v>2</v>
    <v>1</v>
  </rv>
  <rv s="0">
    <v>0</v>
    <v>8</v>
    <v>7</v>
    <v>1</v>
  </rv>
  <rv s="0">
    <v>0</v>
    <v>8</v>
    <v>5</v>
    <v>1</v>
  </rv>
  <rv s="0">
    <v>0</v>
    <v>8</v>
    <v>6</v>
    <v>1</v>
  </rv>
  <rv s="0">
    <v>1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HARMEAN(D!D1:D8)</f>
        <v>2.0192307692307692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2.0192307692307692</v>
      </c>
      <c r="D1" t="str">
        <f t="shared" ref="D1:D64" si="2">IF(ISTEXT(A1),A1,"")</f>
        <v/>
      </c>
      <c r="E1" t="s">
        <v>35</v>
      </c>
    </row>
    <row r="2" spans="1:5" x14ac:dyDescent="0.2">
      <c r="A2" t="e" cm="1" vm="1">
        <f t="array" aca="1" ref="A2" ca="1">_xlfn.Z.TEST(1,_xlfn.UNIQUE(D!AS1:AS8,D!A5,1000))</f>
        <v>#VALUE!</v>
      </c>
      <c r="B2">
        <f t="shared" ca="1" si="0"/>
        <v>9</v>
      </c>
      <c r="C2">
        <f t="shared" ca="1" si="1"/>
        <v>0</v>
      </c>
      <c r="D2" t="str">
        <f t="shared" ca="1" si="2"/>
        <v/>
      </c>
      <c r="E2" t="s">
        <v>36</v>
      </c>
    </row>
    <row r="3" spans="1:5" x14ac:dyDescent="0.2">
      <c r="A3" t="str" cm="1">
        <f t="array" ref="A3">IF(TRUE,"Привет",D!A2)</f>
        <v>Привет</v>
      </c>
      <c r="B3">
        <f t="shared" si="0"/>
        <v>-3</v>
      </c>
      <c r="C3">
        <f t="shared" si="1"/>
        <v>0</v>
      </c>
      <c r="D3" t="str">
        <f t="shared" si="2"/>
        <v>Привет</v>
      </c>
      <c r="E3" t="s">
        <v>37</v>
      </c>
    </row>
    <row r="4" spans="1:5" x14ac:dyDescent="0.2">
      <c r="A4" cm="1">
        <f t="array" ref="A4">LOOKUP(4.19,D!L1:L6)</f>
        <v>3</v>
      </c>
      <c r="B4">
        <f t="shared" si="0"/>
        <v>0</v>
      </c>
      <c r="C4">
        <f t="shared" si="1"/>
        <v>3</v>
      </c>
      <c r="D4" t="str">
        <f t="shared" si="2"/>
        <v/>
      </c>
      <c r="E4" t="s">
        <v>38</v>
      </c>
    </row>
    <row r="5" spans="1:5" x14ac:dyDescent="0.2">
      <c r="A5" t="b" cm="1">
        <f t="array" ref="A5">FALSE()</f>
        <v>0</v>
      </c>
      <c r="B5">
        <f t="shared" si="0"/>
        <v>-2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str" cm="1">
        <f t="array" ref="A6">IMCONJUGATE(D!C2)</f>
        <v>7</v>
      </c>
      <c r="B6">
        <f t="shared" si="0"/>
        <v>-3</v>
      </c>
      <c r="C6">
        <f t="shared" si="1"/>
        <v>0</v>
      </c>
      <c r="D6" t="str">
        <f t="shared" si="2"/>
        <v>7</v>
      </c>
      <c r="E6" t="s">
        <v>40</v>
      </c>
    </row>
    <row r="7" spans="1:5" x14ac:dyDescent="0.2">
      <c r="A7" t="str" cm="1">
        <f t="array" ref="A7">_xlfn.CONCAT(PV(D!A10,240,500),"b","c")</f>
        <v>-333.333333333333bc</v>
      </c>
      <c r="B7">
        <f t="shared" si="0"/>
        <v>-3</v>
      </c>
      <c r="C7">
        <f t="shared" si="1"/>
        <v>0</v>
      </c>
      <c r="D7" t="str">
        <f t="shared" si="2"/>
        <v>-333.333333333333bc</v>
      </c>
      <c r="E7" t="s">
        <v>41</v>
      </c>
    </row>
    <row r="8" spans="1:5" x14ac:dyDescent="0.2">
      <c r="A8" cm="1">
        <f t="array" ref="A8">FACT(5)</f>
        <v>120</v>
      </c>
      <c r="B8">
        <f t="shared" si="0"/>
        <v>0</v>
      </c>
      <c r="C8">
        <f t="shared" si="1"/>
        <v>120</v>
      </c>
      <c r="D8" t="str">
        <f t="shared" si="2"/>
        <v/>
      </c>
      <c r="E8" t="s">
        <v>42</v>
      </c>
    </row>
    <row r="9" spans="1:5" x14ac:dyDescent="0.2">
      <c r="A9" cm="1">
        <f t="array" ref="A9">GAMMADIST(10.00001131,"3",NORMSINV(0.908789),FALSE)</f>
        <v>1.1666603611521725E-2</v>
      </c>
      <c r="B9">
        <f t="shared" si="0"/>
        <v>0</v>
      </c>
      <c r="C9">
        <f t="shared" si="1"/>
        <v>1.1666603611521725E-2</v>
      </c>
      <c r="D9" t="str">
        <f t="shared" si="2"/>
        <v/>
      </c>
      <c r="E9" t="s">
        <v>43</v>
      </c>
    </row>
    <row r="10" spans="1:5" x14ac:dyDescent="0.2">
      <c r="A10" t="e" cm="1">
        <f t="array" ref="A10">TDIST(0.5,#DIV/0!,"a*")</f>
        <v>#DIV/0!</v>
      </c>
      <c r="B10">
        <f t="shared" si="0"/>
        <v>2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SUM(TANH(-2))</f>
        <v>-0.96402758007581701</v>
      </c>
      <c r="B11">
        <f t="shared" si="0"/>
        <v>0</v>
      </c>
      <c r="C11">
        <f t="shared" si="1"/>
        <v>-0.96402758007581701</v>
      </c>
      <c r="D11" t="str">
        <f t="shared" si="2"/>
        <v/>
      </c>
      <c r="E11" t="s">
        <v>45</v>
      </c>
    </row>
    <row r="12" spans="1:5" x14ac:dyDescent="0.2">
      <c r="A12" t="e" cm="1">
        <f t="array" ref="A12">SUM(DOLLARDE(#N/A,16))</f>
        <v>#N/A</v>
      </c>
      <c r="B12">
        <f t="shared" si="0"/>
        <v>7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ROWS(_xlfn.BINOM.INV(6,0.5,0.75))</f>
        <v>1</v>
      </c>
      <c r="B13">
        <f t="shared" si="0"/>
        <v>0</v>
      </c>
      <c r="C13">
        <f t="shared" si="1"/>
        <v>1</v>
      </c>
      <c r="D13" t="str">
        <f t="shared" si="2"/>
        <v/>
      </c>
      <c r="E13" t="s">
        <v>47</v>
      </c>
    </row>
    <row r="14" spans="1:5" x14ac:dyDescent="0.2">
      <c r="A14" cm="1">
        <f t="array" ref="A14">ROWS(_xlfn.UNICODE("B"))</f>
        <v>1</v>
      </c>
      <c r="B14">
        <f t="shared" si="0"/>
        <v>0</v>
      </c>
      <c r="C14">
        <f t="shared" si="1"/>
        <v>1</v>
      </c>
      <c r="D14" t="str">
        <f t="shared" si="2"/>
        <v/>
      </c>
      <c r="E14" t="s">
        <v>48</v>
      </c>
    </row>
    <row r="15" spans="1:5" x14ac:dyDescent="0.2">
      <c r="A15" cm="1">
        <f t="array" ref="A15">TYPE(D!AV1:AV7)</f>
        <v>64</v>
      </c>
      <c r="B15">
        <f t="shared" si="0"/>
        <v>0</v>
      </c>
      <c r="C15">
        <f t="shared" si="1"/>
        <v>64</v>
      </c>
      <c r="D15" t="str">
        <f t="shared" si="2"/>
        <v/>
      </c>
      <c r="E15" t="s">
        <v>49</v>
      </c>
    </row>
    <row r="16" spans="1:5" x14ac:dyDescent="0.2">
      <c r="A16" t="e" cm="1">
        <f t="array" ref="A16">CUMPRINC(2.5,360,-1.5,13,D!F1:F7,0)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REPT("-4",-1)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b" cm="1">
        <f t="array" ref="A18">ISODD(-1)</f>
        <v>1</v>
      </c>
      <c r="B18">
        <f t="shared" si="0"/>
        <v>-1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b" cm="1">
        <f t="array" ref="A19">ISNONTEXT(2.5)</f>
        <v>1</v>
      </c>
      <c r="B19">
        <f t="shared" si="0"/>
        <v>-1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ERROR.TYPE(100)</f>
        <v>#N/A</v>
      </c>
      <c r="B20">
        <f t="shared" si="0"/>
        <v>7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_xlfn.ERF.PRECISE(45658)</f>
        <v>1</v>
      </c>
      <c r="B21">
        <f t="shared" si="0"/>
        <v>0</v>
      </c>
      <c r="C21">
        <f t="shared" si="1"/>
        <v>1</v>
      </c>
      <c r="D21" t="str">
        <f t="shared" si="2"/>
        <v/>
      </c>
      <c r="E21" t="s">
        <v>55</v>
      </c>
    </row>
    <row r="22" spans="1:5" x14ac:dyDescent="0.2">
      <c r="A22" t="e" cm="1">
        <f t="array" ref="A22">COUPDAYBS(DATE(2011,1,25),D!A8,2,0.25)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DDB(3,-1.5,3650,1)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 vm="2">
        <f t="array" aca="1" ref="A24" ca="1">FREQUENCY(D!A10,D!R1:S2)</f>
        <v>#VALUE!</v>
      </c>
      <c r="B24">
        <f t="shared" ca="1" si="0"/>
        <v>9</v>
      </c>
      <c r="C24">
        <f t="shared" ca="1" si="1"/>
        <v>0</v>
      </c>
      <c r="D24" t="str">
        <f t="shared" ca="1" si="2"/>
        <v/>
      </c>
      <c r="E24" t="s">
        <v>58</v>
      </c>
    </row>
    <row r="25" spans="1:5" x14ac:dyDescent="0.2">
      <c r="A25" t="e" cm="1">
        <f t="array" ref="A25">_xlfn.TEXTJOIN(";",FALSE,HEX2OCT("F",100))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cm="1">
        <f t="array" ref="A26">TTEST(D!B1:B8,D!C1:C8,SKEW(D!B1:B8),1)</f>
        <v>0.17601370359339447</v>
      </c>
      <c r="B26">
        <f t="shared" si="0"/>
        <v>0</v>
      </c>
      <c r="C26">
        <f t="shared" si="1"/>
        <v>0.17601370359339447</v>
      </c>
      <c r="D26" t="str">
        <f t="shared" si="2"/>
        <v/>
      </c>
      <c r="E26" t="s">
        <v>60</v>
      </c>
    </row>
    <row r="27" spans="1:5" x14ac:dyDescent="0.2">
      <c r="A27" cm="1">
        <f t="array" ref="A27">LOG10(D!N2)</f>
        <v>1.3010299956639813</v>
      </c>
      <c r="B27">
        <f t="shared" si="0"/>
        <v>0</v>
      </c>
      <c r="C27">
        <f t="shared" si="1"/>
        <v>1.3010299956639813</v>
      </c>
      <c r="D27" t="str">
        <f t="shared" si="2"/>
        <v/>
      </c>
      <c r="E27" t="s">
        <v>61</v>
      </c>
    </row>
    <row r="28" spans="1:5" x14ac:dyDescent="0.2">
      <c r="A28" cm="1">
        <f t="array" ref="A28">NORMINV(0.908789,40,0.5)</f>
        <v>40.666667336522053</v>
      </c>
      <c r="B28">
        <f t="shared" si="0"/>
        <v>0</v>
      </c>
      <c r="C28">
        <f t="shared" si="1"/>
        <v>40.666667336522053</v>
      </c>
      <c r="D28" t="str">
        <f t="shared" si="2"/>
        <v/>
      </c>
      <c r="E28" t="s">
        <v>62</v>
      </c>
    </row>
    <row r="29" spans="1:5" x14ac:dyDescent="0.2">
      <c r="A29" t="b" cm="1">
        <f t="array" ref="A29">ISLOGICAL(FALSE)</f>
        <v>1</v>
      </c>
      <c r="B29">
        <f t="shared" si="0"/>
        <v>-1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_xlfn.GAMMA.DIST(10.00001131,MAXA({2,"a";TRUE,#N/A}),2,FALSE)</f>
        <v>#N/A</v>
      </c>
      <c r="B30">
        <f t="shared" si="0"/>
        <v>7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COLUMNS(_xlfn.IMCSCH("4+3i"))</f>
        <v>1</v>
      </c>
      <c r="B31">
        <f t="shared" si="0"/>
        <v>0</v>
      </c>
      <c r="C31">
        <f t="shared" si="1"/>
        <v>1</v>
      </c>
      <c r="D31" t="str">
        <f t="shared" si="2"/>
        <v/>
      </c>
      <c r="E31" t="s">
        <v>65</v>
      </c>
    </row>
    <row r="32" spans="1:5" x14ac:dyDescent="0.2">
      <c r="A32" t="e" cm="1">
        <f t="array" ref="A32">EXPONDIST(D!G4,"a*",#NAME?)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cm="1">
        <f t="array" ref="A33">EVEN(D!A15)</f>
        <v>45690</v>
      </c>
      <c r="B33">
        <f t="shared" si="0"/>
        <v>0</v>
      </c>
      <c r="C33">
        <f t="shared" si="1"/>
        <v>45690</v>
      </c>
      <c r="D33" t="str">
        <f t="shared" si="2"/>
        <v/>
      </c>
      <c r="E33" t="s">
        <v>67</v>
      </c>
    </row>
    <row r="34" spans="1:5" x14ac:dyDescent="0.2">
      <c r="A34" t="e" cm="1">
        <f t="array" ref="A34">GEOMEAN(FREQUENCY(D!B1:B8,PRODUCT({1},D!AZ1:AZ5,D!K1:K8)))</f>
        <v>#NUM!</v>
      </c>
      <c r="B34">
        <f t="shared" si="0"/>
        <v>6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DMIN(D!F1:F7,"Yield",D!C1:C8)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ODDFPRICE("31-Jan-2025",DATE(2021,3,1),DATE(2008,10,15),DATE(2009,3,1),0.0785,FALSE,#DIV/0!,#REF!,TRUE)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str" cm="1">
        <f t="array" ref="A37">INDEX(FIXED(1234.567,LOG10("50%"),FALSE()),1,1)</f>
        <v>1,235</v>
      </c>
      <c r="B37">
        <f t="shared" si="0"/>
        <v>-3</v>
      </c>
      <c r="C37">
        <f t="shared" si="1"/>
        <v>0</v>
      </c>
      <c r="D37" t="str">
        <f t="shared" si="2"/>
        <v>1,235</v>
      </c>
      <c r="E37" t="s">
        <v>71</v>
      </c>
    </row>
    <row r="38" spans="1:5" x14ac:dyDescent="0.2">
      <c r="A38" cm="1">
        <f t="array" ref="A38">CHIINV(0.050001,100)</f>
        <v>124.34195496800078</v>
      </c>
      <c r="B38">
        <f t="shared" si="0"/>
        <v>0</v>
      </c>
      <c r="C38">
        <f t="shared" si="1"/>
        <v>124.34195496800078</v>
      </c>
      <c r="D38" t="str">
        <f t="shared" si="2"/>
        <v/>
      </c>
      <c r="E38" t="s">
        <v>72</v>
      </c>
    </row>
    <row r="39" spans="1:5" x14ac:dyDescent="0.2">
      <c r="A39" t="str" cm="1">
        <f t="array" ref="A39">IMSUB("13+4i","5+3i")</f>
        <v>8+i</v>
      </c>
      <c r="B39">
        <f t="shared" si="0"/>
        <v>-3</v>
      </c>
      <c r="C39">
        <f t="shared" si="1"/>
        <v>0</v>
      </c>
      <c r="D39" t="str">
        <f t="shared" si="2"/>
        <v>8+i</v>
      </c>
      <c r="E39" t="s">
        <v>73</v>
      </c>
    </row>
    <row r="40" spans="1:5" x14ac:dyDescent="0.2">
      <c r="A40" t="e" cm="1">
        <f t="array" ref="A40">INDEX(DSTDEVP(D!B7,"Yield",D!F1:F7),1,1)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cm="1">
        <f t="array" ref="A41">COLUMNS(EVEN(1.5))</f>
        <v>1</v>
      </c>
      <c r="B41">
        <f t="shared" si="0"/>
        <v>0</v>
      </c>
      <c r="C41">
        <f t="shared" si="1"/>
        <v>1</v>
      </c>
      <c r="D41" t="str">
        <f t="shared" si="2"/>
        <v/>
      </c>
      <c r="E41" t="s">
        <v>75</v>
      </c>
    </row>
    <row r="42" spans="1:5" x14ac:dyDescent="0.2">
      <c r="A42" cm="1">
        <f t="array" ref="A42">SUM(D!B1:B8)</f>
        <v>114.75</v>
      </c>
      <c r="B42">
        <f t="shared" si="0"/>
        <v>0</v>
      </c>
      <c r="C42">
        <f t="shared" si="1"/>
        <v>114.75</v>
      </c>
      <c r="D42" t="str">
        <f t="shared" si="2"/>
        <v/>
      </c>
      <c r="E42" t="s">
        <v>76</v>
      </c>
    </row>
    <row r="43" spans="1:5" x14ac:dyDescent="0.2">
      <c r="A43" t="e" cm="1">
        <f t="array" ref="A43">SUMX2PY2(D!B1:B8,_xlfn.VALUETOTEXT(FALSE,100-BESSELK(-1,2)))</f>
        <v>#NUM!</v>
      </c>
      <c r="B43">
        <f t="shared" si="0"/>
        <v>6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SUM(_xlfn.BINOM.INV(6,"1/2/2025",-1))</f>
        <v>#NUM!</v>
      </c>
      <c r="B44">
        <f t="shared" si="0"/>
        <v>6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cm="1">
        <f t="array" ref="A45">_xlfn.PERCENTILE.INC(D!B1:B8,0.3)</f>
        <v>8.2249999999999996</v>
      </c>
      <c r="B45">
        <f t="shared" si="0"/>
        <v>0</v>
      </c>
      <c r="C45">
        <f t="shared" si="1"/>
        <v>8.2249999999999996</v>
      </c>
      <c r="D45" t="str">
        <f t="shared" si="2"/>
        <v/>
      </c>
      <c r="E45" t="s">
        <v>79</v>
      </c>
    </row>
    <row r="46" spans="1:5" x14ac:dyDescent="0.2">
      <c r="A46" t="e" cm="1">
        <f t="array" ref="A46">SUMPRODUCT(D!B1:B8,MMULT(D!M1:N6,{1,2;3,4}))</f>
        <v>#VALUE!</v>
      </c>
      <c r="B46">
        <f t="shared" si="0"/>
        <v>3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cm="1">
        <f t="array" ref="A47">_xlfn.DAYS(44270,"2025-01-31")/BESSELI(1.5,1)</f>
        <v>-1444.482523663966</v>
      </c>
      <c r="B47">
        <f t="shared" si="0"/>
        <v>0</v>
      </c>
      <c r="C47">
        <f t="shared" si="1"/>
        <v>-1444.482523663966</v>
      </c>
      <c r="D47" t="str">
        <f t="shared" si="2"/>
        <v/>
      </c>
      <c r="E47" t="s">
        <v>81</v>
      </c>
    </row>
    <row r="48" spans="1:5" x14ac:dyDescent="0.2">
      <c r="A48" t="e" cm="1">
        <f t="array" ref="A48">_xlfn.MAXIFS(D!B7,D!D1:D8,"&gt;4",D!F1:F7,TRUE)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cm="1">
        <f t="array" ref="A49">IMREAL("6-9i")</f>
        <v>6</v>
      </c>
      <c r="B49">
        <f t="shared" si="0"/>
        <v>0</v>
      </c>
      <c r="C49">
        <f t="shared" si="1"/>
        <v>6</v>
      </c>
      <c r="D49" t="str">
        <f t="shared" si="2"/>
        <v/>
      </c>
      <c r="E49" t="s">
        <v>83</v>
      </c>
    </row>
    <row r="50" spans="1:5" x14ac:dyDescent="0.2">
      <c r="A50" cm="1">
        <f t="array" ref="A50">STANDARDIZE(1000,"0",1.5)</f>
        <v>666.66666666666663</v>
      </c>
      <c r="B50">
        <f t="shared" si="0"/>
        <v>0</v>
      </c>
      <c r="C50">
        <f t="shared" si="1"/>
        <v>666.66666666666663</v>
      </c>
      <c r="D50" t="str">
        <f t="shared" si="2"/>
        <v/>
      </c>
      <c r="E50" t="s">
        <v>84</v>
      </c>
    </row>
    <row r="51" spans="1:5" x14ac:dyDescent="0.2">
      <c r="A51" t="e" cm="1">
        <f t="array" ref="A51">LOGEST(D!BB1:BB6,D!P4:R5)</f>
        <v>#REF!</v>
      </c>
      <c r="B51">
        <f t="shared" si="0"/>
        <v>4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cm="1">
        <f t="array" ref="A52">STDEVP(3,D!AW1:AW4,D!H1:H7,D!AW1:AW4)</f>
        <v>15112.346217166281</v>
      </c>
      <c r="B52">
        <f t="shared" si="0"/>
        <v>0</v>
      </c>
      <c r="C52">
        <f t="shared" si="1"/>
        <v>15112.346217166281</v>
      </c>
      <c r="D52" t="str">
        <f t="shared" si="2"/>
        <v/>
      </c>
      <c r="E52" t="s">
        <v>86</v>
      </c>
    </row>
    <row r="53" spans="1:5" x14ac:dyDescent="0.2">
      <c r="A53" t="e" cm="1" vm="3">
        <f t="array" aca="1" ref="A53" ca="1">TRANSPOSE(D!P4:R5)</f>
        <v>#VALUE!</v>
      </c>
      <c r="B53">
        <f t="shared" ca="1" si="0"/>
        <v>9</v>
      </c>
      <c r="C53">
        <f t="shared" ca="1" si="1"/>
        <v>0</v>
      </c>
      <c r="D53" t="str">
        <f t="shared" ca="1" si="2"/>
        <v/>
      </c>
      <c r="E53" t="s">
        <v>87</v>
      </c>
    </row>
    <row r="54" spans="1:5" x14ac:dyDescent="0.2">
      <c r="A54" t="b" cm="1">
        <f t="array" ref="A54">INDEX(FALSE(),1,1)</f>
        <v>0</v>
      </c>
      <c r="B54">
        <f t="shared" si="0"/>
        <v>-2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DEC2BIN(100,4)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cm="1">
        <f t="array" ref="A56">LN(COSH(4))</f>
        <v>3.3071882258129506</v>
      </c>
      <c r="B56">
        <f t="shared" si="0"/>
        <v>0</v>
      </c>
      <c r="C56">
        <f t="shared" si="1"/>
        <v>3.3071882258129506</v>
      </c>
      <c r="D56" t="str">
        <f t="shared" si="2"/>
        <v/>
      </c>
      <c r="E56" t="s">
        <v>90</v>
      </c>
    </row>
    <row r="57" spans="1:5" x14ac:dyDescent="0.2">
      <c r="A57" t="e" cm="1">
        <f t="array" ref="A57">CHOOSE(2,"a","b","c")-_xlfn.IMSECH("4+3i")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 vm="4">
        <f t="array" aca="1" ref="A58" ca="1">IPMT(0.00833333333333333,1,36,3,MINA(D!F1:F7,D!K1:K8,D!L1:L6,{1,2;3,4}),"$1,000")&gt;_xlfn.CHISQ.INV.RT(0.050001,MINVERSE(D!P1:Q2))</f>
        <v>#VALUE!</v>
      </c>
      <c r="B58">
        <f t="shared" ca="1" si="0"/>
        <v>9</v>
      </c>
      <c r="C58">
        <f t="shared" ca="1" si="1"/>
        <v>0</v>
      </c>
      <c r="D58" t="str">
        <f t="shared" ca="1" si="2"/>
        <v/>
      </c>
      <c r="E58" t="s">
        <v>92</v>
      </c>
    </row>
    <row r="59" spans="1:5" x14ac:dyDescent="0.2">
      <c r="A59" t="e" cm="1">
        <f t="array" ref="A59">INDEX(ACCRINT(D!AZ1:AZ5,39691,100,0.1,-1.5,-1,"?"),1,1)</f>
        <v>#VALUE!</v>
      </c>
      <c r="B59">
        <f t="shared" si="0"/>
        <v>3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cm="1">
        <f t="array" ref="A60">_xlfn.STDEV.S(D!B1:B8)</f>
        <v>13.760020699216158</v>
      </c>
      <c r="B60">
        <f t="shared" si="0"/>
        <v>0</v>
      </c>
      <c r="C60">
        <f t="shared" si="1"/>
        <v>13.760020699216158</v>
      </c>
      <c r="D60" t="str">
        <f t="shared" si="2"/>
        <v/>
      </c>
      <c r="E60" t="s">
        <v>94</v>
      </c>
    </row>
    <row r="61" spans="1:5" x14ac:dyDescent="0.2">
      <c r="A61" cm="1">
        <f t="array" ref="A61">DEVSQ(D!B1:B8,"1.5")</f>
        <v>1472</v>
      </c>
      <c r="B61">
        <f t="shared" si="0"/>
        <v>0</v>
      </c>
      <c r="C61">
        <f t="shared" si="1"/>
        <v>1472</v>
      </c>
      <c r="D61" t="str">
        <f t="shared" si="2"/>
        <v/>
      </c>
      <c r="E61" t="s">
        <v>95</v>
      </c>
    </row>
    <row r="62" spans="1:5" x14ac:dyDescent="0.2">
      <c r="A62" t="e" cm="1">
        <f t="array" ref="A62">COVAR(D!B1:C8,D!C1:C8)</f>
        <v>#N/A</v>
      </c>
      <c r="B62">
        <f t="shared" si="0"/>
        <v>7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cm="1">
        <f t="array" ref="A63">LEN("Phoenix, AZ")</f>
        <v>11</v>
      </c>
      <c r="B63">
        <f t="shared" si="0"/>
        <v>0</v>
      </c>
      <c r="C63">
        <f t="shared" si="1"/>
        <v>11</v>
      </c>
      <c r="D63" t="str">
        <f t="shared" si="2"/>
        <v/>
      </c>
      <c r="E63" t="s">
        <v>97</v>
      </c>
    </row>
    <row r="64" spans="1:5" x14ac:dyDescent="0.2">
      <c r="A64" t="str" cm="1">
        <f t="array" ref="A64">HLOOKUP({1},D!L8:Q10,2,7)</f>
        <v>one</v>
      </c>
      <c r="B64">
        <f t="shared" si="0"/>
        <v>-3</v>
      </c>
      <c r="C64">
        <f t="shared" si="1"/>
        <v>0</v>
      </c>
      <c r="D64" t="str">
        <f t="shared" si="2"/>
        <v>one</v>
      </c>
      <c r="E64" t="s">
        <v>98</v>
      </c>
    </row>
    <row r="65" spans="1:5" x14ac:dyDescent="0.2">
      <c r="A65" t="b" cm="1">
        <f t="array" ref="A65">ISBLANK(D!B3)</f>
        <v>0</v>
      </c>
      <c r="B65">
        <f t="shared" ref="B65:B128" si="3">IF(ISERROR(A65),ERROR.TYPE(A65),IF(ISNUMBER(A65),0,IF(ISLOGICAL(A65),IF(A65,-1,-2),IF(ISTEXT(A65),-3,-4))))</f>
        <v>-2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t="e" cm="1">
        <f t="array" ref="A66">QUARTILE(1000,10)</f>
        <v>#NUM!</v>
      </c>
      <c r="B66">
        <f t="shared" si="3"/>
        <v>6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>
        <f t="array" ref="A67">IMCONJUGATE(LOGNORMDIST(4,2,"-4"))</f>
        <v>#NUM!</v>
      </c>
      <c r="B67">
        <f t="shared" si="3"/>
        <v>6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str" cm="1">
        <f t="array" ref="A68">_xlfn.TEXTJOIN(";",FALSE,ABS(3))</f>
        <v>3</v>
      </c>
      <c r="B68">
        <f t="shared" si="3"/>
        <v>-3</v>
      </c>
      <c r="C68">
        <f t="shared" si="4"/>
        <v>0</v>
      </c>
      <c r="D68" t="str">
        <f t="shared" si="5"/>
        <v>3</v>
      </c>
      <c r="E68" t="s">
        <v>102</v>
      </c>
    </row>
    <row r="69" spans="1:5" x14ac:dyDescent="0.2">
      <c r="A69" t="e" cm="1">
        <f t="array" ref="A69">INDEX(_xlfn.PERMUTATIONA(3,D!A15*D!B1:B8),1,1)</f>
        <v>#NUM!</v>
      </c>
      <c r="B69">
        <f t="shared" si="3"/>
        <v>6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str" cm="1">
        <f t="array" ref="A70">_xlfn.TEXTJOIN(";",FALSE,_xlfn.PERCENTILE.INC(FALSE,0.3))</f>
        <v>0</v>
      </c>
      <c r="B70">
        <f t="shared" si="3"/>
        <v>-3</v>
      </c>
      <c r="C70">
        <f t="shared" si="4"/>
        <v>0</v>
      </c>
      <c r="D70" t="str">
        <f t="shared" si="5"/>
        <v>0</v>
      </c>
      <c r="E70" t="s">
        <v>104</v>
      </c>
    </row>
    <row r="71" spans="1:5" x14ac:dyDescent="0.2">
      <c r="A71" t="e" cm="1">
        <f t="array" ref="A71">INDEX(AVERAGEIF(D!B1:B3,"&gt;4",D!A1:A5),1,1)</f>
        <v>#DIV/0!</v>
      </c>
      <c r="B71">
        <f t="shared" si="3"/>
        <v>2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cm="1">
        <f t="array" ref="A72">SUM(_xlfn.NORM.S.DIST("0",FALSE))</f>
        <v>0.3989422804014327</v>
      </c>
      <c r="B72">
        <f t="shared" si="3"/>
        <v>0</v>
      </c>
      <c r="C72">
        <f t="shared" si="4"/>
        <v>0.3989422804014327</v>
      </c>
      <c r="D72" t="str">
        <f t="shared" si="5"/>
        <v/>
      </c>
      <c r="E72" t="s">
        <v>106</v>
      </c>
    </row>
    <row r="73" spans="1:5" x14ac:dyDescent="0.2">
      <c r="A73" t="e" cm="1">
        <f t="array" ref="A73">DEC2BIN(9,4)*IRR(0)</f>
        <v>#NUM!</v>
      </c>
      <c r="B73">
        <f t="shared" si="3"/>
        <v>6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str" cm="1">
        <f t="array" ref="A74">IMLOG2(45688.75)</f>
        <v>15.4795513518951</v>
      </c>
      <c r="B74">
        <f t="shared" si="3"/>
        <v>-3</v>
      </c>
      <c r="C74">
        <f t="shared" si="4"/>
        <v>0</v>
      </c>
      <c r="D74" t="str">
        <f t="shared" si="5"/>
        <v>15.4795513518951</v>
      </c>
      <c r="E74" t="s">
        <v>108</v>
      </c>
    </row>
    <row r="75" spans="1:5" x14ac:dyDescent="0.2">
      <c r="A75" t="e" cm="1">
        <f t="array" ref="A75">EXACT(#NAME?,"a,b")</f>
        <v>#NAME?</v>
      </c>
      <c r="B75">
        <f t="shared" si="3"/>
        <v>5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 vm="5">
        <f t="array" aca="1" ref="A76" ca="1">PRICEMAT(DATE(2008,2,15),"2025-01-31 12:00",DATE(2007,11,11),{"a","b"},0.061,TRUE)</f>
        <v>#VALUE!</v>
      </c>
      <c r="B76">
        <f t="shared" ca="1" si="3"/>
        <v>9</v>
      </c>
      <c r="C76">
        <f t="shared" ca="1" si="4"/>
        <v>0</v>
      </c>
      <c r="D76" t="str">
        <f t="shared" ca="1" si="5"/>
        <v/>
      </c>
      <c r="E76" t="s">
        <v>110</v>
      </c>
    </row>
    <row r="77" spans="1:5" x14ac:dyDescent="0.2">
      <c r="A77" t="e" cm="1">
        <f t="array" ref="A77">SUM(AVEDEV(D!B1:B8,{2,"a";TRUE,#N/A}))</f>
        <v>#N/A</v>
      </c>
      <c r="B77">
        <f t="shared" si="3"/>
        <v>7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SUM(DMAX(D!AS1:AS8,7,D!D1:D8))</f>
        <v>#VALUE!</v>
      </c>
      <c r="B78">
        <f t="shared" si="3"/>
        <v>3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DAVERAGE(D!A1:A5,D!N1:N6,D!A15)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PPMT(D!B3,1,#VALUE!,3)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cm="1">
        <f t="array" ref="A81">N(-1.5)</f>
        <v>-1.5</v>
      </c>
      <c r="B81">
        <f t="shared" si="3"/>
        <v>0</v>
      </c>
      <c r="C81">
        <f t="shared" si="4"/>
        <v>-1.5</v>
      </c>
      <c r="D81" t="str">
        <f t="shared" si="5"/>
        <v/>
      </c>
      <c r="E81" t="s">
        <v>115</v>
      </c>
    </row>
    <row r="82" spans="1:5" x14ac:dyDescent="0.2">
      <c r="A82" t="b" cm="1">
        <f t="array" ref="A82">AND(TRUE,D!K1:K8)</f>
        <v>1</v>
      </c>
      <c r="B82">
        <f t="shared" si="3"/>
        <v>-1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cm="1">
        <f t="array" ref="A83">_xlfn.PHI(0.75)</f>
        <v>0.30113743215480443</v>
      </c>
      <c r="B83">
        <f t="shared" si="3"/>
        <v>0</v>
      </c>
      <c r="C83">
        <f t="shared" si="4"/>
        <v>0.30113743215480443</v>
      </c>
      <c r="D83" t="str">
        <f t="shared" si="5"/>
        <v/>
      </c>
      <c r="E83" t="s">
        <v>117</v>
      </c>
    </row>
    <row r="84" spans="1:5" x14ac:dyDescent="0.2">
      <c r="A84" cm="1">
        <f t="array" ref="A84">_xlfn.NORM.S.DIST(D!G4,4)</f>
        <v>0.99999999999999933</v>
      </c>
      <c r="B84">
        <f t="shared" si="3"/>
        <v>0</v>
      </c>
      <c r="C84">
        <f t="shared" si="4"/>
        <v>0.99999999999999933</v>
      </c>
      <c r="D84" t="str">
        <f t="shared" si="5"/>
        <v/>
      </c>
      <c r="E84" t="s">
        <v>118</v>
      </c>
    </row>
    <row r="85" spans="1:5" x14ac:dyDescent="0.2">
      <c r="A85" t="e" cm="1">
        <f t="array" ref="A85">DB(TANH(D!A5),AMORLINC(2400,"aBc",DATE(2008,12,31),10,D!A9,0.15,D!A2),4,1,0.25)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cm="1">
        <f t="array" ref="A86">_xlfn.ACOT(10)</f>
        <v>9.9668652491162038E-2</v>
      </c>
      <c r="B86">
        <f t="shared" si="3"/>
        <v>0</v>
      </c>
      <c r="C86">
        <f t="shared" si="4"/>
        <v>9.9668652491162038E-2</v>
      </c>
      <c r="D86" t="str">
        <f t="shared" si="5"/>
        <v/>
      </c>
      <c r="E86" t="s">
        <v>120</v>
      </c>
    </row>
    <row r="87" spans="1:5" x14ac:dyDescent="0.2">
      <c r="A87" cm="1">
        <f t="array" ref="A87">PMT(0.00666666666666667,10,10)</f>
        <v>-1.037032089359152</v>
      </c>
      <c r="B87">
        <f t="shared" si="3"/>
        <v>0</v>
      </c>
      <c r="C87">
        <f t="shared" si="4"/>
        <v>-1.037032089359152</v>
      </c>
      <c r="D87" t="str">
        <f t="shared" si="5"/>
        <v/>
      </c>
      <c r="E87" t="s">
        <v>121</v>
      </c>
    </row>
    <row r="88" spans="1:5" x14ac:dyDescent="0.2">
      <c r="A88" t="e" cm="1">
        <f t="array" ref="A88">SEARCHB(_xlfn.T.DIST.2T(1.959999998,60)&lt;=WORKDAY(_xlfn.LOGNORM.DIST(-1,3.5,10,TRUE),"a,b"),"")</f>
        <v>#NUM!</v>
      </c>
      <c r="B88">
        <f t="shared" si="3"/>
        <v>6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 vm="1">
        <f t="array" aca="1" ref="A89" ca="1">COUPPCD("TRUE",CONCATENATE("A",D!A3,"TRUE"),_xlfn.CHISQ.INV(0.93,{"x";""}),1)</f>
        <v>#VALUE!</v>
      </c>
      <c r="B89">
        <f t="shared" ca="1" si="3"/>
        <v>9</v>
      </c>
      <c r="C89">
        <f t="shared" ca="1" si="4"/>
        <v>0</v>
      </c>
      <c r="D89" t="str">
        <f t="shared" ca="1" si="5"/>
        <v/>
      </c>
      <c r="E89" t="s">
        <v>123</v>
      </c>
    </row>
    <row r="90" spans="1:5" x14ac:dyDescent="0.2">
      <c r="A90" t="e" cm="1">
        <f t="array" ref="A90">CHIDIST(18.307,0)</f>
        <v>#NUM!</v>
      </c>
      <c r="B90">
        <f t="shared" si="3"/>
        <v>6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INDEX(TBILLEQ(39538,0.5,0.0914),1,1)</f>
        <v>#NUM!</v>
      </c>
      <c r="B91">
        <f t="shared" si="3"/>
        <v>6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HYPGEOMDIST(1,AND(TRUE,TRUE),"A",CORREL(D!B1:B8,D!AK1:AL3))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 vm="6">
        <f t="array" aca="1" ref="A93" ca="1">LOGEST(1000,D!BC1:BC6)</f>
        <v>#VALUE!</v>
      </c>
      <c r="B93">
        <f t="shared" ca="1" si="3"/>
        <v>9</v>
      </c>
      <c r="C93">
        <f t="shared" ca="1" si="4"/>
        <v>0</v>
      </c>
      <c r="D93" t="str">
        <f t="shared" ca="1" si="5"/>
        <v/>
      </c>
      <c r="E93" t="s">
        <v>127</v>
      </c>
    </row>
    <row r="94" spans="1:5" x14ac:dyDescent="0.2">
      <c r="A94" t="e" cm="1">
        <f t="array" ref="A94">_xlfn.TEXTAFTER(-100+"x y",2.5,PRODUCT(D!B1:B8,"-4",TREND(D!A3,D!AZ1:AZ5,D!BA1:BA2)),YIELD(DATE(2008,2,15),DATE(2016,11,15),45688.75,95.04287,0.25,IMCOS(D!L4))&lt;INDEX(D!L1:N6,2,3))</f>
        <v>#VALUE!</v>
      </c>
      <c r="B94">
        <f t="shared" si="3"/>
        <v>3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cm="1">
        <f t="array" ref="A95">_xlfn.PERCENTILE.INC(D!B1:B8,0.3)</f>
        <v>8.2249999999999996</v>
      </c>
      <c r="B95">
        <f t="shared" si="3"/>
        <v>0</v>
      </c>
      <c r="C95">
        <f t="shared" si="4"/>
        <v>8.2249999999999996</v>
      </c>
      <c r="D95" t="str">
        <f t="shared" si="5"/>
        <v/>
      </c>
      <c r="E95" t="s">
        <v>129</v>
      </c>
    </row>
    <row r="96" spans="1:5" x14ac:dyDescent="0.2">
      <c r="A96" t="e" cm="1">
        <f t="array" ref="A96">GROWTH(D!R1:S2,_xlfn.BINOM.DIST.RANGE(#VALUE!,0.75,48),DISC(43282,10,-1,"31-Jan-2025","x y"))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str" cm="1">
        <f t="array" ref="A97">TEXT(1234.567,"Привет")</f>
        <v>Привет</v>
      </c>
      <c r="B97">
        <f t="shared" si="3"/>
        <v>-3</v>
      </c>
      <c r="C97">
        <f t="shared" si="4"/>
        <v>0</v>
      </c>
      <c r="D97" t="str">
        <f t="shared" si="5"/>
        <v>Привет</v>
      </c>
      <c r="E97" t="s">
        <v>131</v>
      </c>
    </row>
    <row r="98" spans="1:5" x14ac:dyDescent="0.2">
      <c r="A98" cm="1">
        <f t="array" ref="A98">_xlfn.ACOTH(2)</f>
        <v>0.54930614433405489</v>
      </c>
      <c r="B98">
        <f t="shared" si="3"/>
        <v>0</v>
      </c>
      <c r="C98">
        <f t="shared" si="4"/>
        <v>0.54930614433405489</v>
      </c>
      <c r="D98" t="str">
        <f t="shared" si="5"/>
        <v/>
      </c>
      <c r="E98" t="s">
        <v>132</v>
      </c>
    </row>
    <row r="99" spans="1:5" x14ac:dyDescent="0.2">
      <c r="A99" t="e" cm="1">
        <f t="array" ref="A99">_xlfn.ERFC.PRECISE(1)^MIDB("abcdef",2,3)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str" cm="1">
        <f t="array" ref="A100">_xlfn.IMCSC("4+3i")</f>
        <v>-0.0754898329158637+0.0648774713706355i</v>
      </c>
      <c r="B100">
        <f t="shared" si="3"/>
        <v>-3</v>
      </c>
      <c r="C100">
        <f t="shared" si="4"/>
        <v>0</v>
      </c>
      <c r="D100" t="str">
        <f t="shared" si="5"/>
        <v>-0.0754898329158637+0.0648774713706355i</v>
      </c>
      <c r="E100" t="s">
        <v>134</v>
      </c>
    </row>
    <row r="101" spans="1:5" x14ac:dyDescent="0.2">
      <c r="A101" t="e" cm="1">
        <f t="array" ref="A101">_xlfn.PERCENTILE.EXC(_xlfn.IMSINH(D!N2),MIRR(D!C2,1000,4))</f>
        <v>#DIV/0!</v>
      </c>
      <c r="B101">
        <f t="shared" si="3"/>
        <v>2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cm="1">
        <f t="array" aca="1" ref="A102" ca="1">INDEX(LOOKUP(4.19,D!D1:D8,D!N1:N6),1,1)</f>
        <v>10</v>
      </c>
      <c r="B102">
        <f t="shared" ca="1" si="3"/>
        <v>0</v>
      </c>
      <c r="C102">
        <f t="shared" ca="1" si="4"/>
        <v>10</v>
      </c>
      <c r="D102" t="str">
        <f t="shared" ca="1" si="5"/>
        <v/>
      </c>
      <c r="E102" t="s">
        <v>136</v>
      </c>
    </row>
    <row r="103" spans="1:5" x14ac:dyDescent="0.2">
      <c r="A103" t="e" cm="1">
        <f t="array" ref="A103">DCOUNTA(D!AW1:AW4,"Yield",D!E1:E8)</f>
        <v>#VALUE!</v>
      </c>
      <c r="B103">
        <f t="shared" si="3"/>
        <v>3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LINEST(D!AY1:AY5,D!R1:S2)</f>
        <v>#REF!</v>
      </c>
      <c r="B104">
        <f t="shared" si="3"/>
        <v>4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cm="1">
        <f t="array" aca="1" ref="A105" ca="1">LOOKUP(D!F1,D!D1:D8,D!N1:N6)</f>
        <v>30</v>
      </c>
      <c r="B105">
        <f t="shared" ca="1" si="3"/>
        <v>0</v>
      </c>
      <c r="C105">
        <f t="shared" ca="1" si="4"/>
        <v>30</v>
      </c>
      <c r="D105" t="str">
        <f t="shared" ca="1" si="5"/>
        <v/>
      </c>
      <c r="E105" t="s">
        <v>139</v>
      </c>
    </row>
    <row r="106" spans="1:5" x14ac:dyDescent="0.2">
      <c r="A106" t="e" cm="1">
        <f t="array" ref="A106">MROUND("A",7)-_xlfn.WEIBULL.DIST(105,20,D!G4,TRUE)</f>
        <v>#VALUE!</v>
      </c>
      <c r="B106">
        <f t="shared" si="3"/>
        <v>3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cm="1">
        <f t="array" ref="A107">BETAINV(0.685470581,8,10,"50%","1E2")</f>
        <v>50.249999998166345</v>
      </c>
      <c r="B107">
        <f t="shared" si="3"/>
        <v>0</v>
      </c>
      <c r="C107">
        <f t="shared" si="4"/>
        <v>50.249999998166345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COUPDAYSNC(D!A5,DATE(2011,11,15),D!L4,FALSE)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b" cm="1">
        <f t="array" ref="A109">AND(D!L1:L6)</f>
        <v>1</v>
      </c>
      <c r="B109">
        <f t="shared" si="3"/>
        <v>-1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ISPMT(BETAINV(0.685470581,8,10,"2024-02-29","A"),1,36,#REF!)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CONFIDENCE(0.05,-1,#NUM!)</f>
        <v>#NUM!</v>
      </c>
      <c r="B111">
        <f t="shared" si="3"/>
        <v>6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cm="1">
        <f t="array" ref="A112">COLUMNS(_xlfn.CHISQ.INV.RT(0.050001,10))</f>
        <v>1</v>
      </c>
      <c r="B112">
        <f t="shared" si="3"/>
        <v>0</v>
      </c>
      <c r="C112">
        <f t="shared" si="4"/>
        <v>1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IMCONJUGATE(D!F1)</f>
        <v>#NUM!</v>
      </c>
      <c r="B113">
        <f t="shared" si="3"/>
        <v>6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cm="1">
        <f t="array" ref="A114">INDEX(SINH({1}),1,1)</f>
        <v>1.1752011936438014</v>
      </c>
      <c r="B114">
        <f t="shared" si="3"/>
        <v>0</v>
      </c>
      <c r="C114">
        <f t="shared" si="4"/>
        <v>1.1752011936438014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CHITEST({45658,45689}^D!A13,D!AM1:AN3)</f>
        <v>#N/A</v>
      </c>
      <c r="B115">
        <f t="shared" si="3"/>
        <v>7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cm="1">
        <f t="array" ref="A116">QUOTIENT(SERIESSUM(0.785398163,2.5,"31-Jan-2025",D!AR1:AR4),2)</f>
        <v>0</v>
      </c>
      <c r="B116">
        <f t="shared" si="3"/>
        <v>0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cm="1">
        <f t="array" ref="A117">COLUMNS(BAHTTEXT(1234))</f>
        <v>1</v>
      </c>
      <c r="B117">
        <f t="shared" si="3"/>
        <v>0</v>
      </c>
      <c r="C117">
        <f t="shared" si="4"/>
        <v>1</v>
      </c>
      <c r="D117" t="str">
        <f t="shared" si="5"/>
        <v/>
      </c>
      <c r="E117" t="s">
        <v>151</v>
      </c>
    </row>
    <row r="118" spans="1:5" x14ac:dyDescent="0.2">
      <c r="A118" cm="1">
        <f t="array" ref="A118">WEEKNUM(40977)</f>
        <v>10</v>
      </c>
      <c r="B118">
        <f t="shared" si="3"/>
        <v>0</v>
      </c>
      <c r="C118">
        <f t="shared" si="4"/>
        <v>10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SEARCH(0.5,"-4",6)-_xlfn.NORM.S.INV(0.908789)</f>
        <v>#VALUE!</v>
      </c>
      <c r="B119">
        <f t="shared" si="3"/>
        <v>3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cm="1">
        <f t="array" ref="A120">ROWS(COMPLEX(3,4))</f>
        <v>1</v>
      </c>
      <c r="B120">
        <f t="shared" si="3"/>
        <v>0</v>
      </c>
      <c r="C120">
        <f t="shared" si="4"/>
        <v>1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CHITEST(D!P1:Q2,D!AM1:AN3)</f>
        <v>#N/A</v>
      </c>
      <c r="B121">
        <f t="shared" si="3"/>
        <v>7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e" cm="1" vm="7">
        <f t="array" aca="1" ref="A122" ca="1">_xlfn.CHOOSEROWS(D!L1:N6,5,-1)</f>
        <v>#VALUE!</v>
      </c>
      <c r="B122">
        <f t="shared" ca="1" si="3"/>
        <v>9</v>
      </c>
      <c r="C122">
        <f t="shared" ca="1" si="4"/>
        <v>0</v>
      </c>
      <c r="D122" t="str">
        <f t="shared" ca="1" si="5"/>
        <v/>
      </c>
      <c r="E122" t="s">
        <v>156</v>
      </c>
    </row>
    <row r="123" spans="1:5" x14ac:dyDescent="0.2">
      <c r="A123" t="e" cm="1">
        <f t="array" ref="A123">_xlfn.MAXIFS(D!B1:B3,D!B2:B3,_xlfn.T.INV.2T(0.546449,2))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cm="1">
        <f t="array" ref="A124">DELTA(5)</f>
        <v>0</v>
      </c>
      <c r="B124">
        <f t="shared" si="3"/>
        <v>0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cm="1">
        <f t="array" ref="A125">_xlfn.SKEW.P(D!B1:B8)</f>
        <v>0.86139784882393156</v>
      </c>
      <c r="B125">
        <f t="shared" si="3"/>
        <v>0</v>
      </c>
      <c r="C125">
        <f t="shared" si="4"/>
        <v>0.86139784882393156</v>
      </c>
      <c r="D125" t="str">
        <f t="shared" si="5"/>
        <v/>
      </c>
      <c r="E125" t="s">
        <v>159</v>
      </c>
    </row>
    <row r="126" spans="1:5" x14ac:dyDescent="0.2">
      <c r="A126" cm="1">
        <f t="array" ref="A126">INDEX(EFFECT(SUM({"a","b"},D!B3),D!A10),1,1)</f>
        <v>15</v>
      </c>
      <c r="B126">
        <f t="shared" si="3"/>
        <v>0</v>
      </c>
      <c r="C126">
        <f t="shared" si="4"/>
        <v>15</v>
      </c>
      <c r="D126" t="str">
        <f t="shared" si="5"/>
        <v/>
      </c>
      <c r="E126" t="s">
        <v>160</v>
      </c>
    </row>
    <row r="127" spans="1:5" x14ac:dyDescent="0.2">
      <c r="A127" t="e" cm="1" vm="7">
        <f t="array" aca="1" ref="A127" ca="1">_xlfn.CHOOSEROWS(D!L1:N6,2,3)^SQRTPI(1)</f>
        <v>#VALUE!</v>
      </c>
      <c r="B127">
        <f t="shared" ca="1" si="3"/>
        <v>9</v>
      </c>
      <c r="C127">
        <f t="shared" ca="1" si="4"/>
        <v>0</v>
      </c>
      <c r="D127" t="str">
        <f t="shared" ca="1" si="5"/>
        <v/>
      </c>
      <c r="E127" t="s">
        <v>161</v>
      </c>
    </row>
    <row r="128" spans="1:5" x14ac:dyDescent="0.2">
      <c r="A128" t="e" cm="1">
        <f t="array" ref="A128">ODDFPRICE(DATE(2008,11,11),_xlfn.XMATCH("50%",D!L8:Q10),DATE(2008,10,15),-2.5*DATEDIF(TIME(12,D!A15,0),D!A8,"Y"),0.0785,TRUE,100,"1E2",COUPNUM("3",DATE(2011,11,15),HYPERLINK("http://example.com","x"),SECOND("12:00")))</f>
        <v>#VALUE!</v>
      </c>
      <c r="B128">
        <f t="shared" si="3"/>
        <v>3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INDEX(GCD(_xlfn.UNIQUE(IMEXP(0)),D!L1:N6),1,1)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MINVERSE(D!AW1:AW4)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cm="1">
        <f t="array" ref="A131">_xlfn.WEIBULL.DIST(105,20,D!L4,TRUE)</f>
        <v>1</v>
      </c>
      <c r="B131">
        <f t="shared" si="6"/>
        <v>0</v>
      </c>
      <c r="C131">
        <f t="shared" si="7"/>
        <v>1</v>
      </c>
      <c r="D131" t="str">
        <f t="shared" si="8"/>
        <v/>
      </c>
      <c r="E131" t="s">
        <v>165</v>
      </c>
    </row>
    <row r="132" spans="1:5" x14ac:dyDescent="0.2">
      <c r="A132" cm="1">
        <f t="array" ref="A132">AMORLINC(" 2 ",DATE(2008,8,19),DATE(2008,12,31),{1},1,D!C2,1)</f>
        <v>0</v>
      </c>
      <c r="B132">
        <f t="shared" si="6"/>
        <v>0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LOGNORMDIST(3,#VALUE!,0.25)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NA()</f>
        <v>#N/A</v>
      </c>
      <c r="B134">
        <f t="shared" si="6"/>
        <v>7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str" cm="1">
        <f t="array" ref="A135">_xlfn.IMSEC("4+3i")</f>
        <v>-0.0652940278579471-0.0752249603027732i</v>
      </c>
      <c r="B135">
        <f t="shared" si="6"/>
        <v>-3</v>
      </c>
      <c r="C135">
        <f t="shared" si="7"/>
        <v>0</v>
      </c>
      <c r="D135" t="str">
        <f t="shared" si="8"/>
        <v>-0.0652940278579471-0.0752249603027732i</v>
      </c>
      <c r="E135" t="s">
        <v>169</v>
      </c>
    </row>
    <row r="136" spans="1:5" x14ac:dyDescent="0.2">
      <c r="A136" t="e" cm="1">
        <f t="array" ref="A136">_xlfn.CHISQ.TEST(D!L1:N6,{1})</f>
        <v>#N/A</v>
      </c>
      <c r="B136">
        <f t="shared" si="6"/>
        <v>7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b" cm="1">
        <f t="array" ref="A137">ISERROR(2.5)</f>
        <v>0</v>
      </c>
      <c r="B137">
        <f t="shared" si="6"/>
        <v>-2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_xlfn.WEIBULL.DIST(105,SUMX2MY2(D!I1:I5,D!C1:C8),100,{1}*"3")</f>
        <v>#N/A</v>
      </c>
      <c r="B138">
        <f t="shared" si="6"/>
        <v>7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cm="1">
        <f t="array" ref="A139">INT(0.25)</f>
        <v>0</v>
      </c>
      <c r="B139">
        <f t="shared" si="6"/>
        <v>0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str" cm="1">
        <f t="array" ref="A140">_xlfn.IMSEC("4+3i")</f>
        <v>-0.0652940278579471-0.0752249603027732i</v>
      </c>
      <c r="B140">
        <f t="shared" si="6"/>
        <v>-3</v>
      </c>
      <c r="C140">
        <f t="shared" si="7"/>
        <v>0</v>
      </c>
      <c r="D140" t="str">
        <f t="shared" si="8"/>
        <v>-0.0652940278579471-0.0752249603027732i</v>
      </c>
      <c r="E140" t="s">
        <v>174</v>
      </c>
    </row>
    <row r="141" spans="1:5" x14ac:dyDescent="0.2">
      <c r="A141" cm="1">
        <f t="array" ref="A141">ROWS(GAMMALN(4))</f>
        <v>1</v>
      </c>
      <c r="B141">
        <f t="shared" si="6"/>
        <v>0</v>
      </c>
      <c r="C141">
        <f t="shared" si="7"/>
        <v>1</v>
      </c>
      <c r="D141" t="str">
        <f t="shared" si="8"/>
        <v/>
      </c>
      <c r="E141" t="s">
        <v>175</v>
      </c>
    </row>
    <row r="142" spans="1:5" x14ac:dyDescent="0.2">
      <c r="A142" cm="1">
        <f t="array" ref="A142">_xlfn.ISOWEEKNUM(40977)</f>
        <v>10</v>
      </c>
      <c r="B142">
        <f t="shared" si="6"/>
        <v>0</v>
      </c>
      <c r="C142">
        <f t="shared" si="7"/>
        <v>10</v>
      </c>
      <c r="D142" t="str">
        <f t="shared" si="8"/>
        <v/>
      </c>
      <c r="E142" t="s">
        <v>176</v>
      </c>
    </row>
    <row r="143" spans="1:5" x14ac:dyDescent="0.2">
      <c r="A143" cm="1">
        <f t="array" ref="A143">SUMX2MY2(D!B1:B8,D!C1:C8)</f>
        <v>313.3125</v>
      </c>
      <c r="B143">
        <f t="shared" si="6"/>
        <v>0</v>
      </c>
      <c r="C143">
        <f t="shared" si="7"/>
        <v>313.3125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LCM(D!AS1:AS8,D!B1:C8)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cm="1">
        <f t="array" ref="A145">PERCENTILE(D!B1:B8,0.3)</f>
        <v>8.2249999999999996</v>
      </c>
      <c r="B145">
        <f t="shared" si="6"/>
        <v>0</v>
      </c>
      <c r="C145">
        <f t="shared" si="7"/>
        <v>8.2249999999999996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SKEW(FALSE)</f>
        <v>#DIV/0!</v>
      </c>
      <c r="B146">
        <f t="shared" si="6"/>
        <v>2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str" cm="1">
        <f t="array" ref="A147">_xlfn.TEXTJOIN(";",FALSE,_xlfn.TAKE(D!L1:N6,5,1))</f>
        <v>1;2;3;5;8</v>
      </c>
      <c r="B147">
        <f t="shared" si="6"/>
        <v>-3</v>
      </c>
      <c r="C147">
        <f t="shared" si="7"/>
        <v>0</v>
      </c>
      <c r="D147" t="str">
        <f t="shared" si="8"/>
        <v>1;2;3;5;8</v>
      </c>
      <c r="E147" t="s">
        <v>181</v>
      </c>
    </row>
    <row r="148" spans="1:5" x14ac:dyDescent="0.2">
      <c r="A148" cm="1">
        <f t="array" ref="A148">COSH(DOLLARFR(1.125,16))</f>
        <v>1.5668948520686881</v>
      </c>
      <c r="B148">
        <f t="shared" si="6"/>
        <v>0</v>
      </c>
      <c r="C148">
        <f t="shared" si="7"/>
        <v>1.5668948520686881</v>
      </c>
      <c r="D148" t="str">
        <f t="shared" si="8"/>
        <v/>
      </c>
      <c r="E148" t="s">
        <v>182</v>
      </c>
    </row>
    <row r="149" spans="1:5" x14ac:dyDescent="0.2">
      <c r="A149" cm="1">
        <f t="array" ref="A149">LARGE(D!B1:B8,3)</f>
        <v>16</v>
      </c>
      <c r="B149">
        <f t="shared" si="6"/>
        <v>0</v>
      </c>
      <c r="C149">
        <f t="shared" si="7"/>
        <v>16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HEX2OCT(TRUE,3)</f>
        <v>#VALUE!</v>
      </c>
      <c r="B150">
        <f t="shared" si="6"/>
        <v>3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TINV(0.05464493,D!A13)</f>
        <v>#VALUE!</v>
      </c>
      <c r="B151">
        <f t="shared" si="6"/>
        <v>3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str" cm="1">
        <f t="array" ref="A152">_xlfn.ARRAYTOTEXT(D!L1:N2,0)</f>
        <v>1, one, 10, 2, two, 20</v>
      </c>
      <c r="B152">
        <f t="shared" si="6"/>
        <v>-3</v>
      </c>
      <c r="C152">
        <f t="shared" si="7"/>
        <v>0</v>
      </c>
      <c r="D152" t="str">
        <f t="shared" si="8"/>
        <v>1, one, 10, 2, two, 20</v>
      </c>
      <c r="E152" t="s">
        <v>186</v>
      </c>
    </row>
    <row r="153" spans="1:5" x14ac:dyDescent="0.2">
      <c r="A153" cm="1">
        <f t="array" ref="A153">_xlfn.COMBINA(4,3)</f>
        <v>20</v>
      </c>
      <c r="B153">
        <f t="shared" si="6"/>
        <v>0</v>
      </c>
      <c r="C153">
        <f t="shared" si="7"/>
        <v>20</v>
      </c>
      <c r="D153" t="str">
        <f t="shared" si="8"/>
        <v/>
      </c>
      <c r="E153" t="s">
        <v>187</v>
      </c>
    </row>
    <row r="154" spans="1:5" x14ac:dyDescent="0.2">
      <c r="A154" cm="1">
        <f t="array" ref="A154">_xlfn.STDEV.S(D!B1:B8)</f>
        <v>13.760020699216158</v>
      </c>
      <c r="B154">
        <f t="shared" si="6"/>
        <v>0</v>
      </c>
      <c r="C154">
        <f t="shared" si="7"/>
        <v>13.760020699216158</v>
      </c>
      <c r="D154" t="str">
        <f t="shared" si="8"/>
        <v/>
      </c>
      <c r="E154" t="s">
        <v>188</v>
      </c>
    </row>
    <row r="155" spans="1:5" x14ac:dyDescent="0.2">
      <c r="A155" cm="1">
        <f t="array" ref="A155">ROWS(MULTINOMIAL(2))</f>
        <v>1</v>
      </c>
      <c r="B155">
        <f t="shared" si="6"/>
        <v>0</v>
      </c>
      <c r="C155">
        <f t="shared" si="7"/>
        <v>1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MINVERSE(D!B1:C8)</f>
        <v>#VALUE!</v>
      </c>
      <c r="B156">
        <f t="shared" si="6"/>
        <v>3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cm="1">
        <f t="array" ref="A157">INT(8.9)</f>
        <v>8</v>
      </c>
      <c r="B157">
        <f t="shared" si="6"/>
        <v>0</v>
      </c>
      <c r="C157">
        <f t="shared" si="7"/>
        <v>8</v>
      </c>
      <c r="D157" t="str">
        <f t="shared" si="8"/>
        <v/>
      </c>
      <c r="E157" t="s">
        <v>191</v>
      </c>
    </row>
    <row r="158" spans="1:5" x14ac:dyDescent="0.2">
      <c r="A158" t="str" cm="1">
        <f t="array" ref="A158">_xlfn.TEXTJOIN(";",FALSE,TAN(-1.5))</f>
        <v>-14.1014199471717</v>
      </c>
      <c r="B158">
        <f t="shared" si="6"/>
        <v>-3</v>
      </c>
      <c r="C158">
        <f t="shared" si="7"/>
        <v>0</v>
      </c>
      <c r="D158" t="str">
        <f t="shared" si="8"/>
        <v>-14.1014199471717</v>
      </c>
      <c r="E158" t="s">
        <v>192</v>
      </c>
    </row>
    <row r="159" spans="1:5" x14ac:dyDescent="0.2">
      <c r="A159" cm="1">
        <f t="array" ref="A159">ROUNDDOWN(3.2,"$1,000")</f>
        <v>3.2</v>
      </c>
      <c r="B159">
        <f t="shared" si="6"/>
        <v>0</v>
      </c>
      <c r="C159">
        <f t="shared" si="7"/>
        <v>3.2</v>
      </c>
      <c r="D159" t="str">
        <f t="shared" si="8"/>
        <v/>
      </c>
      <c r="E159" t="s">
        <v>193</v>
      </c>
    </row>
    <row r="160" spans="1:5" x14ac:dyDescent="0.2">
      <c r="A160" t="e" cm="1" vm="4">
        <f t="array" aca="1" ref="A160" ca="1">_xlfn._xlws.SORT(D!R1:S2)</f>
        <v>#VALUE!</v>
      </c>
      <c r="B160">
        <f t="shared" ca="1" si="6"/>
        <v>9</v>
      </c>
      <c r="C160">
        <f t="shared" ca="1" si="7"/>
        <v>0</v>
      </c>
      <c r="D160" t="str">
        <f t="shared" ca="1" si="8"/>
        <v/>
      </c>
      <c r="E160" t="s">
        <v>194</v>
      </c>
    </row>
    <row r="161" spans="1:5" x14ac:dyDescent="0.2">
      <c r="A161" t="e" cm="1">
        <f t="array" ref="A161">_xlfn.PDURATION(_xlfn.FLOOR.PRECISE(-3.2,-1),2000,_xlfn.GAUSS(D!A2))</f>
        <v>#NUM!</v>
      </c>
      <c r="B161">
        <f t="shared" si="6"/>
        <v>6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cm="1">
        <f t="array" ref="A162">INDEX(BESSELI(2.5,5),1,1)</f>
        <v>3.2843475454961787E-2</v>
      </c>
      <c r="B162">
        <f t="shared" si="6"/>
        <v>0</v>
      </c>
      <c r="C162">
        <f t="shared" si="7"/>
        <v>3.2843475454961787E-2</v>
      </c>
      <c r="D162" t="str">
        <f t="shared" si="8"/>
        <v/>
      </c>
      <c r="E162" t="s">
        <v>196</v>
      </c>
    </row>
    <row r="163" spans="1:5" x14ac:dyDescent="0.2">
      <c r="A163" t="b" cm="1">
        <f t="array" ref="A163">ISTEXT(2.5)</f>
        <v>0</v>
      </c>
      <c r="B163">
        <f t="shared" si="6"/>
        <v>-2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LEN(SUMPRODUCT(D!N1:N6,D!C1:C8,D!A13))</f>
        <v>#VALUE!</v>
      </c>
      <c r="B164">
        <f t="shared" si="6"/>
        <v>3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cm="1">
        <f t="array" ref="A165">VALUE(D!A1)</f>
        <v>0</v>
      </c>
      <c r="B165">
        <f t="shared" si="6"/>
        <v>0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cm="1">
        <f t="array" ref="A166">ROWS(FACTDOUBLE(6))</f>
        <v>1</v>
      </c>
      <c r="B166">
        <f t="shared" si="6"/>
        <v>0</v>
      </c>
      <c r="C166">
        <f t="shared" si="7"/>
        <v>1</v>
      </c>
      <c r="D166" t="str">
        <f t="shared" si="8"/>
        <v/>
      </c>
      <c r="E166" t="s">
        <v>200</v>
      </c>
    </row>
    <row r="167" spans="1:5" x14ac:dyDescent="0.2">
      <c r="A167" t="e" cm="1" vm="3">
        <f t="array" aca="1" ref="A167" ca="1">TRANSPOSE(D!P4:R5)</f>
        <v>#VALUE!</v>
      </c>
      <c r="B167">
        <f t="shared" ca="1" si="6"/>
        <v>9</v>
      </c>
      <c r="C167">
        <f t="shared" ca="1" si="7"/>
        <v>0</v>
      </c>
      <c r="D167" t="str">
        <f t="shared" ca="1" si="8"/>
        <v/>
      </c>
      <c r="E167" t="s">
        <v>201</v>
      </c>
    </row>
    <row r="168" spans="1:5" x14ac:dyDescent="0.2">
      <c r="A168" t="e" cm="1">
        <f t="array" ref="A168">_xlfn.TEXTJOIN(";",FALSE,SUBTOTAL(0,D!AY1:AY5))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 vm="4">
        <f t="array" aca="1" ref="A169" ca="1">ODDFYIELD(DATE(2008,11,11),1,"a,b",DATE(2009,3,1),{1,2;3,4},84.5,100,2)</f>
        <v>#VALUE!</v>
      </c>
      <c r="B169">
        <f t="shared" ca="1" si="6"/>
        <v>9</v>
      </c>
      <c r="C169">
        <f t="shared" ca="1" si="7"/>
        <v>0</v>
      </c>
      <c r="D169" t="str">
        <f t="shared" ca="1" si="8"/>
        <v/>
      </c>
      <c r="E169" t="s">
        <v>203</v>
      </c>
    </row>
    <row r="170" spans="1:5" x14ac:dyDescent="0.2">
      <c r="A170" cm="1">
        <f t="array" ref="A170">_xlfn.EXPON.DIST(0.2,10,TRUE)</f>
        <v>0.8646647167633873</v>
      </c>
      <c r="B170">
        <f t="shared" si="6"/>
        <v>0</v>
      </c>
      <c r="C170">
        <f t="shared" si="7"/>
        <v>0.8646647167633873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DSTDEV(D!AY1:AY5,"Yield",D!G1:G7)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ROWS(_xlfn.LOGNORM.INV("A",3.5,TRUNC(MDURATION(DATE(2018,7,1),DATE(2048,1,1),"1/2/2025",0.09,D!A9)&lt;" ")))</f>
        <v>#VALUE!</v>
      </c>
      <c r="B172">
        <f t="shared" si="6"/>
        <v>3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DATEDIF(36892,37622,D!A13)</f>
        <v>#NUM!</v>
      </c>
      <c r="B173">
        <f t="shared" si="6"/>
        <v>6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_xlfn.NORM.DIST(42,40,DOLLARFR(1.125,16),D!A13)</f>
        <v>#VALUE!</v>
      </c>
      <c r="B174">
        <f t="shared" si="6"/>
        <v>3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cm="1">
        <f t="array" ref="A175">_xlfn.IFNA(0.25,"nf")</f>
        <v>0.25</v>
      </c>
      <c r="B175">
        <f t="shared" si="6"/>
        <v>0</v>
      </c>
      <c r="C175">
        <f t="shared" si="7"/>
        <v>0.25</v>
      </c>
      <c r="D175" t="str">
        <f t="shared" si="8"/>
        <v/>
      </c>
      <c r="E175" t="s">
        <v>209</v>
      </c>
    </row>
    <row r="176" spans="1:5" x14ac:dyDescent="0.2">
      <c r="A176" cm="1">
        <f t="array" ref="A176">SUM(MOD(3,2))</f>
        <v>1</v>
      </c>
      <c r="B176">
        <f t="shared" si="6"/>
        <v>0</v>
      </c>
      <c r="C176">
        <f t="shared" si="7"/>
        <v>1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BESSELY(D!B3,-1)+SLOPE(D!E1:E8,D!B1:B8)</f>
        <v>#NUM!</v>
      </c>
      <c r="B177">
        <f t="shared" si="6"/>
        <v>6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COMPLEX(D!A8,4)</f>
        <v>#N/A</v>
      </c>
      <c r="B178">
        <f t="shared" si="6"/>
        <v>7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e" cm="1">
        <f t="array" ref="A179">YIELDDISC(DATE(2008,2,16),DATE(2008,3,1),"",0)</f>
        <v>#VALUE!</v>
      </c>
      <c r="B179">
        <f t="shared" si="6"/>
        <v>3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e" cm="1">
        <f t="array" ref="A180">SUM(FTEST(D!N1:N6,D!M1:M6))</f>
        <v>#DIV/0!</v>
      </c>
      <c r="B180">
        <f t="shared" si="6"/>
        <v>2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b" cm="1">
        <f t="array" ref="A181">_xlfn.SECH(45)=_xlfn.CEILING.MATH(0.5,5)</f>
        <v>0</v>
      </c>
      <c r="B181">
        <f t="shared" si="6"/>
        <v>-2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BIN2HEX("11111011",ODDFYIELD(DATE(2008,11,11),D!A3,DATE(2008,10,15),DATE(2009,3,1),0.0575,84.5,100,_xlfn.F.DIST(15.2069,"$1,000","$1,000",TRUE),_xlfn.ERFC.PRECISE(1)))&lt;&gt;TDIST(D!L4,ATAN2(-1.5&lt;&gt;_xlfn.NORM.S.INV(0.908789),KURT(D!AS1:AS8)),2)</f>
        <v>#VALUE!</v>
      </c>
      <c r="B182">
        <f t="shared" si="6"/>
        <v>3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e" cm="1" vm="8">
        <f t="array" aca="1" ref="A183" ca="1">TRANSPOSE({3,1,2})</f>
        <v>#VALUE!</v>
      </c>
      <c r="B183">
        <f t="shared" ca="1" si="6"/>
        <v>9</v>
      </c>
      <c r="C183">
        <f t="shared" ca="1" si="7"/>
        <v>0</v>
      </c>
      <c r="D183" t="str">
        <f t="shared" ca="1" si="8"/>
        <v/>
      </c>
      <c r="E183" t="s">
        <v>217</v>
      </c>
    </row>
    <row r="184" spans="1:5" x14ac:dyDescent="0.2">
      <c r="A184" t="e" cm="1">
        <f t="array" ref="A184">FLOOR(3.7,SLN(ASINH(0.25),7500,0))</f>
        <v>#DIV/0!</v>
      </c>
      <c r="B184">
        <f t="shared" si="6"/>
        <v>2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 vm="9">
        <f t="array" aca="1" ref="A185" ca="1">_xlfn.AGGREGATE(_xlfn.SORTBY(D!P1:Q2,{0.5;-1},-1,D!P4:R5,D!E1:E8)&gt;=59,4,D!C2,D!AW1:AW4,D!B7)</f>
        <v>#VALUE!</v>
      </c>
      <c r="B185">
        <f t="shared" ca="1" si="6"/>
        <v>9</v>
      </c>
      <c r="C185">
        <f t="shared" ca="1" si="7"/>
        <v>0</v>
      </c>
      <c r="D185" t="str">
        <f t="shared" ca="1" si="8"/>
        <v/>
      </c>
      <c r="E185" t="s">
        <v>219</v>
      </c>
    </row>
    <row r="186" spans="1:5" x14ac:dyDescent="0.2">
      <c r="A186" cm="1">
        <f t="array" ref="A186">SECOND(D!A6)</f>
        <v>0</v>
      </c>
      <c r="B186">
        <f t="shared" si="6"/>
        <v>0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cm="1">
        <f t="array" ref="A187">COLUMNS(DOLLAR(-1.5))</f>
        <v>1</v>
      </c>
      <c r="B187">
        <f t="shared" si="6"/>
        <v>0</v>
      </c>
      <c r="C187">
        <f t="shared" si="7"/>
        <v>1</v>
      </c>
      <c r="D187" t="str">
        <f t="shared" si="8"/>
        <v/>
      </c>
      <c r="E187" t="s">
        <v>221</v>
      </c>
    </row>
    <row r="188" spans="1:5" x14ac:dyDescent="0.2">
      <c r="A188" t="str" cm="1">
        <f t="array" ref="A188">INDEX(CHOOSE(2,"abc","b","c"),1,1)</f>
        <v>b</v>
      </c>
      <c r="B188">
        <f t="shared" si="6"/>
        <v>-3</v>
      </c>
      <c r="C188">
        <f t="shared" si="7"/>
        <v>0</v>
      </c>
      <c r="D188" t="str">
        <f t="shared" si="8"/>
        <v>b</v>
      </c>
      <c r="E188" t="s">
        <v>222</v>
      </c>
    </row>
    <row r="189" spans="1:5" x14ac:dyDescent="0.2">
      <c r="A189" t="str" cm="1">
        <f t="array" ref="A189">HEX2BIN("F",8)</f>
        <v>00001111</v>
      </c>
      <c r="B189">
        <f t="shared" si="6"/>
        <v>-3</v>
      </c>
      <c r="C189">
        <f t="shared" si="7"/>
        <v>0</v>
      </c>
      <c r="D189" t="str">
        <f t="shared" si="8"/>
        <v>00001111</v>
      </c>
      <c r="E189" t="s">
        <v>223</v>
      </c>
    </row>
    <row r="190" spans="1:5" x14ac:dyDescent="0.2">
      <c r="A190" t="e" cm="1" vm="9">
        <f t="array" aca="1" ref="A190" ca="1">PRICE(INTRATE(#N/A,#REF!,D!N2,_xlfn.MINIFS(D!B2:B3,D!A12,D!A2)),DATE(2017,11,15),0.0575,0.065,#VALUE!,2,D!B3/D!K1:K8)</f>
        <v>#VALUE!</v>
      </c>
      <c r="B190">
        <f t="shared" ca="1" si="6"/>
        <v>9</v>
      </c>
      <c r="C190">
        <f t="shared" ca="1" si="7"/>
        <v>0</v>
      </c>
      <c r="D190" t="str">
        <f t="shared" ca="1" si="8"/>
        <v/>
      </c>
      <c r="E190" t="s">
        <v>224</v>
      </c>
    </row>
    <row r="191" spans="1:5" x14ac:dyDescent="0.2">
      <c r="A191" cm="1">
        <f t="array" ref="A191">_xlfn.MUNIT(1)</f>
        <v>1</v>
      </c>
      <c r="B191">
        <f t="shared" si="6"/>
        <v>0</v>
      </c>
      <c r="C191">
        <f t="shared" si="7"/>
        <v>1</v>
      </c>
      <c r="D191" t="str">
        <f t="shared" si="8"/>
        <v/>
      </c>
      <c r="E191" t="s">
        <v>225</v>
      </c>
    </row>
    <row r="192" spans="1:5" x14ac:dyDescent="0.2">
      <c r="A192" t="e" cm="1">
        <f t="array" ref="A192">_xlfn.SWITCH(2,#NAME?%+-1.5,SLN(30000,7500,10),100,D!A7,#DIV/0!)</f>
        <v>#NAME?</v>
      </c>
      <c r="B192">
        <f t="shared" si="6"/>
        <v>5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cm="1">
        <f t="array" ref="A193">MONTH(40648)</f>
        <v>4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4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 vm="10">
        <f t="array" aca="1" ref="A194" ca="1">_xlfn.WRAPROWS(D!M1:M6,1)</f>
        <v>#VALUE!</v>
      </c>
      <c r="B194">
        <f t="shared" ca="1" si="9"/>
        <v>9</v>
      </c>
      <c r="C194">
        <f t="shared" ca="1" si="10"/>
        <v>0</v>
      </c>
      <c r="D194" t="str">
        <f t="shared" ca="1" si="11"/>
        <v/>
      </c>
      <c r="E194" t="s">
        <v>228</v>
      </c>
    </row>
    <row r="195" spans="1:5" x14ac:dyDescent="0.2">
      <c r="A195" t="e" cm="1">
        <f t="array" ref="A195">_xlfn.CONCAT("a","b",{1;2;3}&lt;"aBc",_xlfn.F.DIST.RT(15.2069,6,#N/A))</f>
        <v>#N/A</v>
      </c>
      <c r="B195">
        <f t="shared" si="9"/>
        <v>7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cm="1">
        <f t="array" ref="A196">_xlfn.BITOR(23,10)</f>
        <v>31</v>
      </c>
      <c r="B196">
        <f t="shared" si="9"/>
        <v>0</v>
      </c>
      <c r="C196">
        <f t="shared" si="10"/>
        <v>31</v>
      </c>
      <c r="D196" t="str">
        <f t="shared" si="11"/>
        <v/>
      </c>
      <c r="E196" t="s">
        <v>230</v>
      </c>
    </row>
    <row r="197" spans="1:5" x14ac:dyDescent="0.2">
      <c r="A197" cm="1">
        <f t="array" ref="A197">LOGINV(0.039084,7,1.2)</f>
        <v>132.46264296277633</v>
      </c>
      <c r="B197">
        <f t="shared" si="9"/>
        <v>0</v>
      </c>
      <c r="C197">
        <f t="shared" si="10"/>
        <v>132.46264296277633</v>
      </c>
      <c r="D197" t="str">
        <f t="shared" si="11"/>
        <v/>
      </c>
      <c r="E197" t="s">
        <v>231</v>
      </c>
    </row>
    <row r="198" spans="1:5" x14ac:dyDescent="0.2">
      <c r="A198" cm="1">
        <f t="array" ref="A198">ROWS(NORMDIST(42,D!A4,1.5,TRUE))</f>
        <v>1</v>
      </c>
      <c r="B198">
        <f t="shared" si="9"/>
        <v>0</v>
      </c>
      <c r="C198">
        <f t="shared" si="10"/>
        <v>1</v>
      </c>
      <c r="D198" t="str">
        <f t="shared" si="11"/>
        <v/>
      </c>
      <c r="E198" t="s">
        <v>232</v>
      </c>
    </row>
    <row r="199" spans="1:5" x14ac:dyDescent="0.2">
      <c r="A199" cm="1">
        <f t="array" ref="A199">N(-1)</f>
        <v>-1</v>
      </c>
      <c r="B199">
        <f t="shared" si="9"/>
        <v>0</v>
      </c>
      <c r="C199">
        <f t="shared" si="10"/>
        <v>-1</v>
      </c>
      <c r="D199" t="str">
        <f t="shared" si="11"/>
        <v/>
      </c>
      <c r="E199" t="s">
        <v>233</v>
      </c>
    </row>
    <row r="200" spans="1:5" x14ac:dyDescent="0.2">
      <c r="A200" cm="1">
        <f t="array" ref="A200">INDEX(SQRT(FALSE),1,1)</f>
        <v>0</v>
      </c>
      <c r="B200">
        <f t="shared" si="9"/>
        <v>0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str" cm="1">
        <f t="array" ref="A201">_xlfn.TEXTJOIN(";",FALSE,COUNTIFS(D!F1:F7,FALSE))</f>
        <v>0</v>
      </c>
      <c r="B201">
        <f t="shared" si="9"/>
        <v>-3</v>
      </c>
      <c r="C201">
        <f t="shared" si="10"/>
        <v>0</v>
      </c>
      <c r="D201" t="str">
        <f t="shared" si="11"/>
        <v>0</v>
      </c>
      <c r="E201" t="s">
        <v>235</v>
      </c>
    </row>
    <row r="202" spans="1:5" x14ac:dyDescent="0.2">
      <c r="A202" t="e" cm="1">
        <f t="array" ref="A202">OR(" 2 ",TRUE,COLUMN(D!A1:A5),_xlfn.FORECAST.LINEAR(30,D!F1:F7,D!P1:Q2))^NORMDIST(42,_xlfn.ACOTH("0"),1.5,TRUE)</f>
        <v>#N/A</v>
      </c>
      <c r="B202">
        <f t="shared" si="9"/>
        <v>7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RANK(15,D!C2)</f>
        <v>#N/A</v>
      </c>
      <c r="B203">
        <f t="shared" si="9"/>
        <v>7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t="e" cm="1">
        <f t="array" ref="A204">_xlfn.F.INV.RT("3",6,#VALUE!)</f>
        <v>#VALUE!</v>
      </c>
      <c r="B204">
        <f t="shared" si="9"/>
        <v>3</v>
      </c>
      <c r="C204">
        <f t="shared" si="10"/>
        <v>0</v>
      </c>
      <c r="D204" t="str">
        <f t="shared" si="11"/>
        <v/>
      </c>
      <c r="E204" t="s">
        <v>238</v>
      </c>
    </row>
    <row r="205" spans="1:5" x14ac:dyDescent="0.2">
      <c r="A205" cm="1">
        <f t="array" ref="A205">FVSCHEDULE(1,D!AQ1:AQ3)</f>
        <v>1.3308900000000004</v>
      </c>
      <c r="B205">
        <f t="shared" si="9"/>
        <v>0</v>
      </c>
      <c r="C205">
        <f t="shared" si="10"/>
        <v>1.3308900000000004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FDIST(15.2069,1000,D!A9)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cm="1">
        <f t="array" ref="A207">BESSELJ(-1,2)</f>
        <v>0.11490348499246938</v>
      </c>
      <c r="B207">
        <f t="shared" si="9"/>
        <v>0</v>
      </c>
      <c r="C207">
        <f t="shared" si="10"/>
        <v>0.11490348499246938</v>
      </c>
      <c r="D207" t="str">
        <f t="shared" si="11"/>
        <v/>
      </c>
      <c r="E207" t="s">
        <v>241</v>
      </c>
    </row>
    <row r="208" spans="1:5" x14ac:dyDescent="0.2">
      <c r="A208" t="e" cm="1">
        <f t="array" ref="A208">COUPDAYBS(D!A10,DATE(2011,11,15),D!A8)</f>
        <v>#N/A</v>
      </c>
      <c r="B208">
        <f t="shared" si="9"/>
        <v>7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cm="1">
        <f t="array" ref="A209">TAN(0.785)</f>
        <v>0.99920399010504268</v>
      </c>
      <c r="B209">
        <f t="shared" si="9"/>
        <v>0</v>
      </c>
      <c r="C209">
        <f t="shared" si="10"/>
        <v>0.99920399010504268</v>
      </c>
      <c r="D209" t="str">
        <f t="shared" si="11"/>
        <v/>
      </c>
      <c r="E209" t="s">
        <v>243</v>
      </c>
    </row>
    <row r="210" spans="1:5" x14ac:dyDescent="0.2">
      <c r="A210" cm="1">
        <f t="array" ref="A210">_xlfn.BINOM.INV(2.5,0.5,0.75)</f>
        <v>1</v>
      </c>
      <c r="B210">
        <f t="shared" si="9"/>
        <v>0</v>
      </c>
      <c r="C210">
        <f t="shared" si="10"/>
        <v>1</v>
      </c>
      <c r="D210" t="str">
        <f t="shared" si="11"/>
        <v/>
      </c>
      <c r="E210" t="s">
        <v>244</v>
      </c>
    </row>
    <row r="211" spans="1:5" x14ac:dyDescent="0.2">
      <c r="A211" cm="1">
        <f t="array" ref="A211">_xlfn.T.INV(0.75,2)^MAXA(D!B1:B8)</f>
        <v>2.0048577321447739E-4</v>
      </c>
      <c r="B211">
        <f t="shared" si="9"/>
        <v>0</v>
      </c>
      <c r="C211">
        <f t="shared" si="10"/>
        <v>2.0048577321447739E-4</v>
      </c>
      <c r="D211" t="str">
        <f t="shared" si="11"/>
        <v/>
      </c>
      <c r="E211" t="s">
        <v>245</v>
      </c>
    </row>
    <row r="212" spans="1:5" x14ac:dyDescent="0.2">
      <c r="A212" t="e" cm="1" vm="8">
        <f t="array" aca="1" ref="A212" ca="1">_xlfn.TEXTSPLIT({1;2;3},0.25)</f>
        <v>#VALUE!</v>
      </c>
      <c r="B212">
        <f t="shared" ca="1" si="9"/>
        <v>9</v>
      </c>
      <c r="C212">
        <f t="shared" ca="1" si="10"/>
        <v>0</v>
      </c>
      <c r="D212" t="str">
        <f t="shared" ca="1" si="11"/>
        <v/>
      </c>
      <c r="E212" t="s">
        <v>246</v>
      </c>
    </row>
    <row r="213" spans="1:5" x14ac:dyDescent="0.2">
      <c r="A213" t="e" cm="1">
        <f t="array" ref="A213">DEC2HEX(100,TRUE)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_xlfn.CHOOSECOLS(D!L1:N6,2,0)</f>
        <v>#VALUE!</v>
      </c>
      <c r="B214">
        <f t="shared" si="9"/>
        <v>3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_xlfn._xlws.FILTER(D!P1:Q2,D!B1:B8&gt;10)</f>
        <v>#VALUE!</v>
      </c>
      <c r="B215">
        <f t="shared" si="9"/>
        <v>3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cm="1">
        <f t="array" ref="A216">EXACT(0.25,"word")/PEARSON(D!B1:B8,D!C1:C8)</f>
        <v>0</v>
      </c>
      <c r="B216">
        <f t="shared" si="9"/>
        <v>0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PRICE(DATE(2008,2,15),DATE(2017,11,15),ODDFPRICE(61,DATE(2021,3,1),_xlfn.BITRSHIFT(D!L4,2),-1,0.0785,_xlfn.WEIBULL.DIST(105,3,100,TRUE),100,D!L1:L6,D!A7),PRICEMAT(DATE(2008,2,15),DATE(2008,4,13),0.5,0.061,DCOUNTA(D!A12,"Yield",D!N1:N6),"?"),"a*"&gt;DOLLAR(1234.567,2),45351,0)</f>
        <v>#NUM!</v>
      </c>
      <c r="B217">
        <f t="shared" si="9"/>
        <v>6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cm="1">
        <f t="array" ref="A218">_xlfn.VAR.P(D!B1:B8)</f>
        <v>165.6708984375</v>
      </c>
      <c r="B218">
        <f t="shared" si="9"/>
        <v>0</v>
      </c>
      <c r="C218">
        <f t="shared" si="10"/>
        <v>165.6708984375</v>
      </c>
      <c r="D218" t="str">
        <f t="shared" si="11"/>
        <v/>
      </c>
      <c r="E218" t="s">
        <v>252</v>
      </c>
    </row>
    <row r="219" spans="1:5" x14ac:dyDescent="0.2">
      <c r="A219" cm="1">
        <f t="array" ref="A219">SIGN(10)</f>
        <v>1</v>
      </c>
      <c r="B219">
        <f t="shared" si="9"/>
        <v>0</v>
      </c>
      <c r="C219">
        <f t="shared" si="10"/>
        <v>1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SUM(COMPLEX(D!B1,3=" 2 "))</f>
        <v>#VALUE!</v>
      </c>
      <c r="B220">
        <f t="shared" si="9"/>
        <v>3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cm="1">
        <f t="array" ref="A221">STDEVPA(D!B1:B8,_xlfn.CHOOSECOLS(D!U1:Y7,1,5),D!A5)</f>
        <v>38.610032375018804</v>
      </c>
      <c r="B221">
        <f t="shared" si="9"/>
        <v>0</v>
      </c>
      <c r="C221">
        <f t="shared" si="10"/>
        <v>38.610032375018804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CUMIPMT("0",360,125000,D!A7,24,0)</f>
        <v>#DIV/0!</v>
      </c>
      <c r="B222">
        <f t="shared" si="9"/>
        <v>2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str" cm="1">
        <f t="array" ref="A223">_xlfn.TEXTJOIN(";",FALSE,SKEW(D!B1:B8,TRUE,DAY(40648)))</f>
        <v>1.17641967964088</v>
      </c>
      <c r="B223">
        <f t="shared" si="9"/>
        <v>-3</v>
      </c>
      <c r="C223">
        <f t="shared" si="10"/>
        <v>0</v>
      </c>
      <c r="D223" t="str">
        <f t="shared" si="11"/>
        <v>1.17641967964088</v>
      </c>
      <c r="E223" t="s">
        <v>257</v>
      </c>
    </row>
    <row r="224" spans="1:5" x14ac:dyDescent="0.2">
      <c r="A224" t="e" cm="1">
        <f t="array" ref="A224">GROWTH(D!B1:C8)</f>
        <v>#NUM!</v>
      </c>
      <c r="B224">
        <f t="shared" si="9"/>
        <v>6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_xlfn.T.TEST(D!B1:B3,D!C1:C8,2,1)</f>
        <v>#N/A</v>
      </c>
      <c r="B225">
        <f t="shared" si="9"/>
        <v>7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 vm="1">
        <f t="array" aca="1" ref="A226" ca="1">_xlfn.SEQUENCE(2)</f>
        <v>#VALUE!</v>
      </c>
      <c r="B226">
        <f t="shared" ca="1" si="9"/>
        <v>9</v>
      </c>
      <c r="C226">
        <f t="shared" ca="1" si="10"/>
        <v>0</v>
      </c>
      <c r="D226" t="str">
        <f t="shared" ca="1" si="11"/>
        <v/>
      </c>
      <c r="E226" t="s">
        <v>260</v>
      </c>
    </row>
    <row r="227" spans="1:5" x14ac:dyDescent="0.2">
      <c r="A227" cm="1">
        <f t="array" ref="A227">VAR("1.5",2.5,D!B1:B3)</f>
        <v>30.325000000000003</v>
      </c>
      <c r="B227">
        <f t="shared" si="9"/>
        <v>0</v>
      </c>
      <c r="C227">
        <f t="shared" si="10"/>
        <v>30.325000000000003</v>
      </c>
      <c r="D227" t="str">
        <f t="shared" si="11"/>
        <v/>
      </c>
      <c r="E227" t="s">
        <v>261</v>
      </c>
    </row>
    <row r="228" spans="1:5" x14ac:dyDescent="0.2">
      <c r="A228" cm="1">
        <f t="array" ref="A228">COLUMNS(ROMAN(2))</f>
        <v>1</v>
      </c>
      <c r="B228">
        <f t="shared" si="9"/>
        <v>0</v>
      </c>
      <c r="C228">
        <f t="shared" si="10"/>
        <v>1</v>
      </c>
      <c r="D228" t="str">
        <f t="shared" si="11"/>
        <v/>
      </c>
      <c r="E228" t="s">
        <v>262</v>
      </c>
    </row>
    <row r="229" spans="1:5" x14ac:dyDescent="0.2">
      <c r="A229" cm="1">
        <f t="array" ref="A229">BESSELJ("3",2)</f>
        <v>0.48609126323495477</v>
      </c>
      <c r="B229">
        <f t="shared" si="9"/>
        <v>0</v>
      </c>
      <c r="C229">
        <f t="shared" si="10"/>
        <v>0.48609126323495477</v>
      </c>
      <c r="D229" t="str">
        <f t="shared" si="11"/>
        <v/>
      </c>
      <c r="E229" t="s">
        <v>263</v>
      </c>
    </row>
    <row r="230" spans="1:5" x14ac:dyDescent="0.2">
      <c r="A230" t="str" cm="1">
        <f t="array" ref="A230">_xlfn.TEXTJOIN(";",FALSE,MOD(3,1))</f>
        <v>0</v>
      </c>
      <c r="B230">
        <f t="shared" si="9"/>
        <v>-3</v>
      </c>
      <c r="C230">
        <f t="shared" si="10"/>
        <v>0</v>
      </c>
      <c r="D230" t="str">
        <f t="shared" si="11"/>
        <v>0</v>
      </c>
      <c r="E230" t="s">
        <v>264</v>
      </c>
    </row>
    <row r="231" spans="1:5" x14ac:dyDescent="0.2">
      <c r="A231" t="e" cm="1">
        <f t="array" ref="A231">INDEX(_xlfn.GAMMALN.PRECISE(#VALUE!),1,1)</f>
        <v>#VALUE!</v>
      </c>
      <c r="B231">
        <f t="shared" si="9"/>
        <v>3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str" cm="1">
        <f t="array" ref="A232">_xlfn.TEXTJOIN(";",FALSE,_xlfn.ARRAYTOTEXT(_xlfn.SORTBY(D!M1:M6,D!N1:N6,-1,D!U1:Y7,D!E1:E8),0))</f>
        <v>#VALUE!, #VALUE!, #DIV/0!, #VALUE!, #VALUE!, #VALUE!, #VALUE!, #VALUE!</v>
      </c>
      <c r="B232">
        <f t="shared" si="9"/>
        <v>-3</v>
      </c>
      <c r="C232">
        <f t="shared" si="10"/>
        <v>0</v>
      </c>
      <c r="D232" t="str">
        <f t="shared" si="11"/>
        <v>#VALUE!, #VALUE!, #DIV/0!, #VALUE!, #VALUE!, #VALUE!, #VALUE!, #VALUE!</v>
      </c>
      <c r="E232" t="s">
        <v>266</v>
      </c>
    </row>
    <row r="233" spans="1:5" x14ac:dyDescent="0.2">
      <c r="A233" t="str" cm="1">
        <f t="array" ref="A233">_xlfn.TEXTJOIN(";",FALSE,PERCENTILE(D!G1:G7,0.25))</f>
        <v>3</v>
      </c>
      <c r="B233">
        <f t="shared" si="9"/>
        <v>-3</v>
      </c>
      <c r="C233">
        <f t="shared" si="10"/>
        <v>0</v>
      </c>
      <c r="D233" t="str">
        <f t="shared" si="11"/>
        <v>3</v>
      </c>
      <c r="E233" t="s">
        <v>267</v>
      </c>
    </row>
    <row r="234" spans="1:5" x14ac:dyDescent="0.2">
      <c r="A234" t="str" cm="1">
        <f t="array" ref="A234">_xlfn.TEXTJOIN(";",FALSE,BESSELK(10,3))</f>
        <v>2.72527006358477E-05</v>
      </c>
      <c r="B234">
        <f t="shared" si="9"/>
        <v>-3</v>
      </c>
      <c r="C234">
        <f t="shared" si="10"/>
        <v>0</v>
      </c>
      <c r="D234" t="str">
        <f t="shared" si="11"/>
        <v>2.72527006358477E-05</v>
      </c>
      <c r="E234" t="s">
        <v>268</v>
      </c>
    </row>
    <row r="235" spans="1:5" x14ac:dyDescent="0.2">
      <c r="A235" t="e" cm="1">
        <f t="array" ref="A235">DURATION(DATE(2018,7,1),DATE(2048,1,1),"a,b",D!C2,_xlfn.IMCSC("4+3i"),1)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ODDLYIELD(_xlfn.NORM.S.INV(0.908789),DATE(2008,6,15),DATE(2007,12,24),"aBc",99.875,_xlfn.SEC(45),#NUM!,0)</f>
        <v>#VALUE!</v>
      </c>
      <c r="B236">
        <f t="shared" si="9"/>
        <v>3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DCOUNTA(D!AZ1:AZ5,"Yield",D!AZ1:AZ5)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t="e" cm="1">
        <f t="array" ref="A238">_xlfn.TEXTJOIN(";",FALSE,YIELDMAT(DATE(2008,3,15),D!G4,DATE(2007,11,8),0.0625,100.0123))</f>
        <v>#NUM!</v>
      </c>
      <c r="B238">
        <f t="shared" si="9"/>
        <v>6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t="e" cm="1">
        <f t="array" aca="1" ref="A239" ca="1">LOOKUP(4.19,D!L1:L6,D!B1:C8)</f>
        <v>#N/A</v>
      </c>
      <c r="B239">
        <f t="shared" ca="1" si="9"/>
        <v>7</v>
      </c>
      <c r="C239">
        <f t="shared" ca="1" si="10"/>
        <v>0</v>
      </c>
      <c r="D239" t="str">
        <f t="shared" ca="1" si="11"/>
        <v/>
      </c>
      <c r="E239" t="s">
        <v>273</v>
      </c>
    </row>
    <row r="240" spans="1:5" x14ac:dyDescent="0.2">
      <c r="A240" t="e" cm="1">
        <f t="array" ref="A240">_xlfn.COTH(D!A5)</f>
        <v>#DIV/0!</v>
      </c>
      <c r="B240">
        <f t="shared" si="9"/>
        <v>2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cm="1">
        <f t="array" ref="A241">GAMMALN(4)</f>
        <v>1.791759469228055</v>
      </c>
      <c r="B241">
        <f t="shared" si="9"/>
        <v>0</v>
      </c>
      <c r="C241">
        <f t="shared" si="10"/>
        <v>1.791759469228055</v>
      </c>
      <c r="D241" t="str">
        <f t="shared" si="11"/>
        <v/>
      </c>
      <c r="E241" t="s">
        <v>275</v>
      </c>
    </row>
    <row r="242" spans="1:5" x14ac:dyDescent="0.2">
      <c r="A242" cm="1">
        <f t="array" ref="A242">SUM(_xlfn.MODE.MULT(D!BG1:BG12))</f>
        <v>6</v>
      </c>
      <c r="B242">
        <f t="shared" si="9"/>
        <v>0</v>
      </c>
      <c r="C242">
        <f t="shared" si="10"/>
        <v>6</v>
      </c>
      <c r="D242" t="str">
        <f t="shared" si="11"/>
        <v/>
      </c>
      <c r="E242" t="s">
        <v>276</v>
      </c>
    </row>
    <row r="243" spans="1:5" x14ac:dyDescent="0.2">
      <c r="A243" t="str" cm="1">
        <f t="array" ref="A243">_xlfn.IMCSC("4+3i")</f>
        <v>-0.0754898329158637+0.0648774713706355i</v>
      </c>
      <c r="B243">
        <f t="shared" si="9"/>
        <v>-3</v>
      </c>
      <c r="C243">
        <f t="shared" si="10"/>
        <v>0</v>
      </c>
      <c r="D243" t="str">
        <f t="shared" si="11"/>
        <v>-0.0754898329158637+0.0648774713706355i</v>
      </c>
      <c r="E243" t="s">
        <v>277</v>
      </c>
    </row>
    <row r="244" spans="1:5" x14ac:dyDescent="0.2">
      <c r="A244" cm="1">
        <f t="array" ref="A244">GESTEP(5,4)</f>
        <v>1</v>
      </c>
      <c r="B244">
        <f t="shared" si="9"/>
        <v>0</v>
      </c>
      <c r="C244">
        <f t="shared" si="10"/>
        <v>1</v>
      </c>
      <c r="D244" t="str">
        <f t="shared" si="11"/>
        <v/>
      </c>
      <c r="E244" t="s">
        <v>278</v>
      </c>
    </row>
    <row r="245" spans="1:5" x14ac:dyDescent="0.2">
      <c r="A245" cm="1">
        <f t="array" ref="A245">_xlfn.PERCENTOF(2,4)</f>
        <v>0.5</v>
      </c>
      <c r="B245">
        <f t="shared" si="9"/>
        <v>0</v>
      </c>
      <c r="C245">
        <f t="shared" si="10"/>
        <v>0.5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SUM(PMT(1000,YIELDDISC(DATE(2008,2,16),DATE(2008,3,1),D!A1:A5,D!B3,D!A8*"2025-01-31 12:00"),10000,2,0.25))</f>
        <v>#N/A</v>
      </c>
      <c r="B246">
        <f t="shared" si="9"/>
        <v>7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_xlfn.IMCOSH(" ")</f>
        <v>#NUM!</v>
      </c>
      <c r="B247">
        <f t="shared" si="9"/>
        <v>6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e" cm="1">
        <f t="array" ref="A248">ROWS(LOOKUP(D!A8*D!A3,VLOOKUP(5,D!A1:A5,D!P4:R5,10),{3,1,2}))</f>
        <v>#N/A</v>
      </c>
      <c r="B248">
        <f t="shared" si="9"/>
        <v>7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CRITBINOM(6,10,D!G4)</f>
        <v>#NUM!</v>
      </c>
      <c r="B249">
        <f t="shared" si="9"/>
        <v>6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SIN(_xlfn.NEGBINOM.DIST(0,_xlfn.CHOOSECOLS(D!A1:A5,2,1,5),-1+"a*",TRUE))</f>
        <v>#VALUE!</v>
      </c>
      <c r="B250">
        <f t="shared" si="9"/>
        <v>3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cm="1">
        <f t="array" ref="A251">FDIST(15.2069,1000,4)</f>
        <v>7.9396356202428645E-3</v>
      </c>
      <c r="B251">
        <f t="shared" si="9"/>
        <v>0</v>
      </c>
      <c r="C251">
        <f t="shared" si="10"/>
        <v>7.9396356202428645E-3</v>
      </c>
      <c r="D251" t="str">
        <f t="shared" si="11"/>
        <v/>
      </c>
      <c r="E251" t="s">
        <v>285</v>
      </c>
    </row>
    <row r="252" spans="1:5" x14ac:dyDescent="0.2">
      <c r="A252" t="e" cm="1" vm="1">
        <f t="array" aca="1" ref="A252" ca="1">WEIBULL(105,20,"2025-01-31 12:00",{0.5;-1})</f>
        <v>#VALUE!</v>
      </c>
      <c r="B252">
        <f t="shared" ca="1" si="9"/>
        <v>9</v>
      </c>
      <c r="C252">
        <f t="shared" ca="1" si="10"/>
        <v>0</v>
      </c>
      <c r="D252" t="str">
        <f t="shared" ca="1" si="11"/>
        <v/>
      </c>
      <c r="E252" t="s">
        <v>286</v>
      </c>
    </row>
    <row r="253" spans="1:5" x14ac:dyDescent="0.2">
      <c r="A253" t="e" cm="1">
        <f t="array" ref="A253">IMLOG10("3+4i")-NA()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t="e" cm="1">
        <f t="array" ref="A254">COLUMNS(_xlfn.ACOT("FALSE"))</f>
        <v>#VALUE!</v>
      </c>
      <c r="B254">
        <f t="shared" si="9"/>
        <v>3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_xlfn.NEGBINOM.DIST(10,-1.5,0.25,TRUE)</f>
        <v>#NUM!</v>
      </c>
      <c r="B255">
        <f t="shared" si="9"/>
        <v>6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DSTDEVP(D!C1:C8,D!A1,D!B1:B3)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cm="1">
        <f t="array" ref="A257">STDEVPA(D!AS1:AS8)</f>
        <v>1.0532687216470449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1.0532687216470449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NEGBINOMDIST(10,5,0.25)*DATE(2025,10,TRUE)</f>
        <v>2528.4400196922938</v>
      </c>
      <c r="B258">
        <f t="shared" si="12"/>
        <v>0</v>
      </c>
      <c r="C258">
        <f t="shared" si="13"/>
        <v>2528.4400196922938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INDEX(CORREL(D!B1:B8,D!R1:S2),1,1)</f>
        <v>#N/A</v>
      </c>
      <c r="B259">
        <f t="shared" si="12"/>
        <v>7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cm="1">
        <f t="array" ref="A260">INDEX(IFERROR(D!A7,D!C1:C8),1,1)</f>
        <v>2</v>
      </c>
      <c r="B260">
        <f t="shared" si="12"/>
        <v>0</v>
      </c>
      <c r="C260">
        <f t="shared" si="13"/>
        <v>2</v>
      </c>
      <c r="D260" t="str">
        <f t="shared" si="14"/>
        <v/>
      </c>
      <c r="E260" t="s">
        <v>294</v>
      </c>
    </row>
    <row r="261" spans="1:5" x14ac:dyDescent="0.2">
      <c r="A261" cm="1">
        <f t="array" ref="A261">_xlfn.NORM.S.DIST(1.333333,TRUE)</f>
        <v>0.90878872560409507</v>
      </c>
      <c r="B261">
        <f t="shared" si="12"/>
        <v>0</v>
      </c>
      <c r="C261">
        <f t="shared" si="13"/>
        <v>0.90878872560409507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_xlfn.PERCENTILE.EXC(D!B1:B3,0.25)*_xlfn.NUMBERVALUE("2.500,27","Привет"," 2 ")</f>
        <v>#VALUE!</v>
      </c>
      <c r="B262">
        <f t="shared" si="12"/>
        <v>3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_xlfn.CONFIDENCE.T(_xlfn.VAR.S({1,2;3,4},{1;2;3},{1,2;3,4},{1}),1,OCT2BIN("3",3))</f>
        <v>#NUM!</v>
      </c>
      <c r="B263">
        <f t="shared" si="12"/>
        <v>6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_xlfn.F.INV(0.01,"",D!A1)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t="e" cm="1" vm="8">
        <f t="array" aca="1" ref="A265" ca="1">SQRT({1;2;3})</f>
        <v>#VALUE!</v>
      </c>
      <c r="B265">
        <f t="shared" ca="1" si="12"/>
        <v>9</v>
      </c>
      <c r="C265">
        <f t="shared" ca="1" si="13"/>
        <v>0</v>
      </c>
      <c r="D265" t="str">
        <f t="shared" ca="1" si="14"/>
        <v/>
      </c>
      <c r="E265" t="s">
        <v>299</v>
      </c>
    </row>
    <row r="266" spans="1:5" x14ac:dyDescent="0.2">
      <c r="A266" t="e" cm="1">
        <f t="array" ref="A266">INDEX(_xlfn.IFS(FALSE,"18:30",#N/A,2),1,1)</f>
        <v>#N/A</v>
      </c>
      <c r="B266">
        <f t="shared" si="12"/>
        <v>7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MIDB("abcdef",MROUND(10,1000),AVERAGEA(D!B1:B8))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cm="1">
        <f t="array" ref="A268">STEYX(D!C1:C8,D!B1:B8)*EDATE(40558,1)</f>
        <v>97963.975396759095</v>
      </c>
      <c r="B268">
        <f t="shared" si="12"/>
        <v>0</v>
      </c>
      <c r="C268">
        <f t="shared" si="13"/>
        <v>97963.975396759095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_xlfn.PERCENTRANK.EXC(D!N1:N6,8)</f>
        <v>#N/A</v>
      </c>
      <c r="B269">
        <f t="shared" si="12"/>
        <v>7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e" cm="1">
        <f t="array" ref="A270">_xlfn.F.TEST("$1,000"*_xlfn.MODE.SNGL({"x";""}),_xlfn.CHOOSEROWS(D!L1:N6,-1,2,2,5))</f>
        <v>#N/A</v>
      </c>
      <c r="B270">
        <f t="shared" si="12"/>
        <v>7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cm="1">
        <f t="array" ref="A271">DAYS360(45351,40908)</f>
        <v>-4380</v>
      </c>
      <c r="B271">
        <f t="shared" si="12"/>
        <v>0</v>
      </c>
      <c r="C271">
        <f t="shared" si="13"/>
        <v>-4380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DVAR(D!K1:K8,10,D!A12)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_xlfn.TEXTJOIN(";",FALSE,_xlfn.VSTACK(D!P1:Q2,D!R1:S2,"-4",D!AW1:AW4))</f>
        <v>#N/A</v>
      </c>
      <c r="B273">
        <f t="shared" si="12"/>
        <v>7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t="e" cm="1">
        <f t="array" ref="A274">ROWS(PRODUCT(D!E1:E8))</f>
        <v>#DIV/0!</v>
      </c>
      <c r="B274">
        <f t="shared" si="12"/>
        <v>2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DCOUNTA(D!C2,"Yield",D!G1:G7)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ACOSH(61)</f>
        <v>4.8039538517210012</v>
      </c>
      <c r="B276">
        <f t="shared" si="12"/>
        <v>0</v>
      </c>
      <c r="C276">
        <f t="shared" si="13"/>
        <v>4.8039538517210012</v>
      </c>
      <c r="D276" t="str">
        <f t="shared" si="14"/>
        <v/>
      </c>
      <c r="E276" t="s">
        <v>310</v>
      </c>
    </row>
    <row r="277" spans="1:5" x14ac:dyDescent="0.2">
      <c r="A277" t="str" cm="1">
        <f t="array" ref="A277">TEXT(1234.567,D!A13)</f>
        <v/>
      </c>
      <c r="B277">
        <f t="shared" si="12"/>
        <v>-3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e" cm="1">
        <f t="array" ref="A278">LEFT(N(100),PERCENTRANK({3,1,2},0.5))</f>
        <v>#N/A</v>
      </c>
      <c r="B278">
        <f t="shared" si="12"/>
        <v>7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COLUMNS(_xlfn._xlws.FILTER(D!B1:B3,D!B1:B8&gt;10))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cm="1">
        <f t="array" ref="A280">_xlfn.VAR.S(D!D1:D8)</f>
        <v>4.0833333333333339</v>
      </c>
      <c r="B280">
        <f t="shared" si="12"/>
        <v>0</v>
      </c>
      <c r="C280">
        <f t="shared" si="13"/>
        <v>4.0833333333333339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_xlfn.NEGBINOM.DIST(0,D!A12,0.25,0)+CONFIDENCE(D!A15,2.5,50)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_xlfn.F.DIST(CHIINV(2.5,10),6,4,TRUE)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cm="1">
        <f t="array" ref="A283">SQRT(D!B1)</f>
        <v>2</v>
      </c>
      <c r="B283">
        <f t="shared" si="12"/>
        <v>0</v>
      </c>
      <c r="C283">
        <f t="shared" si="13"/>
        <v>2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COLUMNS(SUMX2MY2(D!F1:F7,D!F1:F7))</f>
        <v>#DIV/0!</v>
      </c>
      <c r="B284">
        <f t="shared" si="12"/>
        <v>2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ISO.CEILING(4.3)</f>
        <v>5</v>
      </c>
      <c r="B285">
        <f t="shared" si="12"/>
        <v>0</v>
      </c>
      <c r="C285">
        <f t="shared" si="13"/>
        <v>5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MIRR(D!I1:I5,INT("50%"),-1.5)</f>
        <v>#NUM!</v>
      </c>
      <c r="B286">
        <f t="shared" si="12"/>
        <v>6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b" cm="1">
        <f t="array" ref="A287">CRITBINOM(6,0.25,0.75)&gt;=YEAR(39634)</f>
        <v>0</v>
      </c>
      <c r="B287">
        <f t="shared" si="12"/>
        <v>-2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 vm="2">
        <f t="array" aca="1" ref="A288" ca="1">_xlfn.EXPON.DIST(3,10,D!A1:A5)</f>
        <v>#VALUE!</v>
      </c>
      <c r="B288">
        <f t="shared" ca="1" si="12"/>
        <v>9</v>
      </c>
      <c r="C288">
        <f t="shared" ca="1" si="13"/>
        <v>0</v>
      </c>
      <c r="D288" t="str">
        <f t="shared" ca="1" si="14"/>
        <v/>
      </c>
      <c r="E288" t="s">
        <v>322</v>
      </c>
    </row>
    <row r="289" spans="1:5" x14ac:dyDescent="0.2">
      <c r="A289" cm="1">
        <f t="array" ref="A289">POWER(5,2)</f>
        <v>25</v>
      </c>
      <c r="B289">
        <f t="shared" si="12"/>
        <v>0</v>
      </c>
      <c r="C289">
        <f t="shared" si="13"/>
        <v>25</v>
      </c>
      <c r="D289" t="str">
        <f t="shared" si="14"/>
        <v/>
      </c>
      <c r="E289" t="s">
        <v>323</v>
      </c>
    </row>
    <row r="290" spans="1:5" x14ac:dyDescent="0.2">
      <c r="A290" cm="1">
        <f t="array" ref="A290">_xlfn.Z.TEST(D!L1:L6,3)</f>
        <v>0.10211652604718609</v>
      </c>
      <c r="B290">
        <f t="shared" si="12"/>
        <v>0</v>
      </c>
      <c r="C290">
        <f t="shared" si="13"/>
        <v>0.10211652604718609</v>
      </c>
      <c r="D290" t="str">
        <f t="shared" si="14"/>
        <v/>
      </c>
      <c r="E290" t="s">
        <v>324</v>
      </c>
    </row>
    <row r="291" spans="1:5" x14ac:dyDescent="0.2">
      <c r="A291" cm="1">
        <f t="array" ref="A291">COLUMNS(NOT(FALSE))</f>
        <v>1</v>
      </c>
      <c r="B291">
        <f t="shared" si="12"/>
        <v>0</v>
      </c>
      <c r="C291">
        <f t="shared" si="13"/>
        <v>1</v>
      </c>
      <c r="D291" t="str">
        <f t="shared" si="14"/>
        <v/>
      </c>
      <c r="E291" t="s">
        <v>325</v>
      </c>
    </row>
    <row r="292" spans="1:5" x14ac:dyDescent="0.2">
      <c r="A292" t="e" cm="1" vm="3">
        <f t="array" aca="1" ref="A292" ca="1">TRANSPOSE(D!P4:R5)&lt;&gt;TRANSPOSE(D!P4:R5)</f>
        <v>#VALUE!</v>
      </c>
      <c r="B292">
        <f t="shared" ca="1" si="12"/>
        <v>9</v>
      </c>
      <c r="C292">
        <f t="shared" ca="1" si="13"/>
        <v>0</v>
      </c>
      <c r="D292" t="str">
        <f t="shared" ca="1" si="14"/>
        <v/>
      </c>
      <c r="E292" t="s">
        <v>326</v>
      </c>
    </row>
    <row r="293" spans="1:5" x14ac:dyDescent="0.2">
      <c r="A293" cm="1">
        <f t="array" ref="A293">ABS(D!L4)</f>
        <v>5</v>
      </c>
      <c r="B293">
        <f t="shared" si="12"/>
        <v>0</v>
      </c>
      <c r="C293">
        <f t="shared" si="13"/>
        <v>5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TDIST(1.959999998,60,2)=GAMMALN(D!A15%&lt;D!A12)</f>
        <v>#NUM!</v>
      </c>
      <c r="B294">
        <f t="shared" si="12"/>
        <v>6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cm="1">
        <f t="array" ref="A295">_xlfn.RRI(96,10000,11000)</f>
        <v>9.9330737629133026E-4</v>
      </c>
      <c r="B295">
        <f t="shared" si="12"/>
        <v>0</v>
      </c>
      <c r="C295">
        <f t="shared" si="13"/>
        <v>9.9330737629133026E-4</v>
      </c>
      <c r="D295" t="str">
        <f t="shared" si="14"/>
        <v/>
      </c>
      <c r="E295" t="s">
        <v>329</v>
      </c>
    </row>
    <row r="296" spans="1:5" x14ac:dyDescent="0.2">
      <c r="A296" t="e" cm="1">
        <f t="array" ref="A296">_xlfn.WRAPCOLS(D!B1:C8,0)</f>
        <v>#VALUE!</v>
      </c>
      <c r="B296">
        <f t="shared" si="12"/>
        <v>3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BETAINV(LN(40000),_xlfn.COT(10),100)</f>
        <v>#NUM!</v>
      </c>
      <c r="B297">
        <f t="shared" si="12"/>
        <v>6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cm="1">
        <f t="array" ref="A298">_xlfn.STDEV.S(D!B1:B8,D!B1:B3,TRUE,{3,1,2})</f>
        <v>11.389871231347028</v>
      </c>
      <c r="B298">
        <f t="shared" si="12"/>
        <v>0</v>
      </c>
      <c r="C298">
        <f t="shared" si="13"/>
        <v>11.389871231347028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NETWORKDAYS(FALSE,"6:35 AM",{1,2,3})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YEARFRAC(40909,41120,10)</f>
        <v>#NUM!</v>
      </c>
      <c r="B300">
        <f t="shared" si="12"/>
        <v>6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BESSELJ(60,-1)</f>
        <v>#NUM!</v>
      </c>
      <c r="B301">
        <f t="shared" si="12"/>
        <v>6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cm="1">
        <f t="array" ref="A302">IF(TRUE,-1.5)</f>
        <v>-1.5</v>
      </c>
      <c r="B302">
        <f t="shared" si="12"/>
        <v>0</v>
      </c>
      <c r="C302">
        <f t="shared" si="13"/>
        <v>-1.5</v>
      </c>
      <c r="D302" t="str">
        <f t="shared" si="14"/>
        <v/>
      </c>
      <c r="E302" t="s">
        <v>336</v>
      </c>
    </row>
    <row r="303" spans="1:5" x14ac:dyDescent="0.2">
      <c r="A303" cm="1">
        <f t="array" ref="A303">DEVSQ(D!B1:B8)</f>
        <v>1325.3671875</v>
      </c>
      <c r="B303">
        <f t="shared" si="12"/>
        <v>0</v>
      </c>
      <c r="C303">
        <f t="shared" si="13"/>
        <v>1325.3671875</v>
      </c>
      <c r="D303" t="str">
        <f t="shared" si="14"/>
        <v/>
      </c>
      <c r="E303" t="s">
        <v>337</v>
      </c>
    </row>
    <row r="304" spans="1:5" x14ac:dyDescent="0.2">
      <c r="A304" cm="1">
        <f t="array" ref="A304">PERMUT(100,61)</f>
        <v>4.5752894870380333E+111</v>
      </c>
      <c r="B304">
        <f t="shared" si="12"/>
        <v>0</v>
      </c>
      <c r="C304">
        <f t="shared" si="13"/>
        <v>4.5752894870380333E+111</v>
      </c>
      <c r="D304" t="str">
        <f t="shared" si="14"/>
        <v/>
      </c>
      <c r="E304" t="s">
        <v>338</v>
      </c>
    </row>
    <row r="305" spans="1:5" x14ac:dyDescent="0.2">
      <c r="A305" cm="1">
        <f t="array" ref="A305">_xlfn.T.INV.2T(0.546449,10&lt;=D!N2)</f>
        <v>0.86377367973669927</v>
      </c>
      <c r="B305">
        <f t="shared" si="12"/>
        <v>0</v>
      </c>
      <c r="C305">
        <f t="shared" si="13"/>
        <v>0.86377367973669927</v>
      </c>
      <c r="D305" t="str">
        <f t="shared" si="14"/>
        <v/>
      </c>
      <c r="E305" t="s">
        <v>339</v>
      </c>
    </row>
    <row r="306" spans="1:5" x14ac:dyDescent="0.2">
      <c r="A306" t="b" cm="1">
        <f t="array" ref="A306">TRUE()</f>
        <v>1</v>
      </c>
      <c r="B306">
        <f t="shared" si="12"/>
        <v>-1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cm="1">
        <f t="array" ref="A307">SUMIFS(D!L4,D!B7,"&gt;4")</f>
        <v>0</v>
      </c>
      <c r="B307">
        <f t="shared" si="12"/>
        <v>0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cm="1">
        <f t="array" ref="A308">FLOOR(100,2)</f>
        <v>100</v>
      </c>
      <c r="B308">
        <f t="shared" si="12"/>
        <v>0</v>
      </c>
      <c r="C308">
        <f t="shared" si="13"/>
        <v>100</v>
      </c>
      <c r="D308" t="str">
        <f t="shared" si="14"/>
        <v/>
      </c>
      <c r="E308" t="s">
        <v>342</v>
      </c>
    </row>
    <row r="309" spans="1:5" x14ac:dyDescent="0.2">
      <c r="A309" t="b" cm="1">
        <f t="array" ref="A309">FALSE()</f>
        <v>0</v>
      </c>
      <c r="B309">
        <f t="shared" si="12"/>
        <v>-2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cm="1">
        <f t="array" ref="A310">VARPA(D!B1:B8)</f>
        <v>165.6708984375</v>
      </c>
      <c r="B310">
        <f t="shared" si="12"/>
        <v>0</v>
      </c>
      <c r="C310">
        <f t="shared" si="13"/>
        <v>165.6708984375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SUM(CUMPRINC(0.0075,"aBc",125000,13,24,0))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cm="1">
        <f t="array" ref="A312">_xlfn.NORM.DIST(D!C2,-1,1,TRUE)</f>
        <v>0.99999999999999933</v>
      </c>
      <c r="B312">
        <f t="shared" si="12"/>
        <v>0</v>
      </c>
      <c r="C312">
        <f t="shared" si="13"/>
        <v>0.99999999999999933</v>
      </c>
      <c r="D312" t="str">
        <f t="shared" si="14"/>
        <v/>
      </c>
      <c r="E312" t="s">
        <v>346</v>
      </c>
    </row>
    <row r="313" spans="1:5" x14ac:dyDescent="0.2">
      <c r="A313" t="e" cm="1">
        <f t="array" ref="A313">_xlfn.TEXTJOIN(";",FALSE,_xlfn.CONFIDENCE.T(" 2 "&gt;D!A5,1,50))</f>
        <v>#NUM!</v>
      </c>
      <c r="B313">
        <f t="shared" si="12"/>
        <v>6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IF(D!F1,"yes","no")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str" cm="1">
        <f t="array" ref="A315">REPT("aBc",3)</f>
        <v>aBcaBcaBc</v>
      </c>
      <c r="B315">
        <f t="shared" si="12"/>
        <v>-3</v>
      </c>
      <c r="C315">
        <f t="shared" si="13"/>
        <v>0</v>
      </c>
      <c r="D315" t="str">
        <f t="shared" si="14"/>
        <v>aBcaBcaBc</v>
      </c>
      <c r="E315" t="s">
        <v>349</v>
      </c>
    </row>
    <row r="316" spans="1:5" x14ac:dyDescent="0.2">
      <c r="A316" t="e" cm="1">
        <f t="array" ref="A316">_xlfn.QUARTILE.EXC(EOMONTH(40000,"0"),1)</f>
        <v>#NUM!</v>
      </c>
      <c r="B316">
        <f t="shared" si="12"/>
        <v>6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_xlfn.F.INV(#NUM!,0,D!A10)</f>
        <v>#NUM!</v>
      </c>
      <c r="B317">
        <f t="shared" si="12"/>
        <v>6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e" cm="1" vm="11">
        <f t="array" aca="1" ref="A318" ca="1">COSH(D!G1:G7)</f>
        <v>#VALUE!</v>
      </c>
      <c r="B318">
        <f t="shared" ca="1" si="12"/>
        <v>9</v>
      </c>
      <c r="C318">
        <f t="shared" ca="1" si="13"/>
        <v>0</v>
      </c>
      <c r="D318" t="str">
        <f t="shared" ca="1" si="14"/>
        <v/>
      </c>
      <c r="E318" t="s">
        <v>352</v>
      </c>
    </row>
    <row r="319" spans="1:5" x14ac:dyDescent="0.2">
      <c r="A319" cm="1">
        <f t="array" ref="A319">SECOND(0.70020833)</f>
        <v>18</v>
      </c>
      <c r="B319">
        <f t="shared" si="12"/>
        <v>0</v>
      </c>
      <c r="C319">
        <f t="shared" si="13"/>
        <v>18</v>
      </c>
      <c r="D319" t="str">
        <f t="shared" si="14"/>
        <v/>
      </c>
      <c r="E319" t="s">
        <v>353</v>
      </c>
    </row>
    <row r="320" spans="1:5" x14ac:dyDescent="0.2">
      <c r="A320" cm="1">
        <f t="array" ref="A320">SECOND(0.70020833)</f>
        <v>18</v>
      </c>
      <c r="B320">
        <f t="shared" si="12"/>
        <v>0</v>
      </c>
      <c r="C320">
        <f t="shared" si="13"/>
        <v>18</v>
      </c>
      <c r="D320" t="str">
        <f t="shared" si="14"/>
        <v/>
      </c>
      <c r="E320" t="s">
        <v>354</v>
      </c>
    </row>
    <row r="321" spans="1:5" x14ac:dyDescent="0.2">
      <c r="A321" t="str" cm="1">
        <f t="array" ref="A321">IMSUM("3+4i",{1,2;3,4})</f>
        <v>13+4i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13+4i</v>
      </c>
      <c r="E321" t="s">
        <v>355</v>
      </c>
    </row>
    <row r="322" spans="1:5" x14ac:dyDescent="0.2">
      <c r="A322" t="e" cm="1">
        <f t="array" ref="A322">TREND(D!AS1:AS8,_xlfn.SORTBY(D!M1:M6,D!AS1:AS8,-1),{"a","b"})</f>
        <v>#VALUE!</v>
      </c>
      <c r="B322">
        <f t="shared" si="15"/>
        <v>3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COLUMNS(DEC2HEX(100,#NAME?))</f>
        <v>#NAME?</v>
      </c>
      <c r="B323">
        <f t="shared" si="15"/>
        <v>5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cm="1">
        <f t="array" ref="A324">ROWS(NORMDIST(1000,40,1.5,0))</f>
        <v>1</v>
      </c>
      <c r="B324">
        <f t="shared" si="15"/>
        <v>0</v>
      </c>
      <c r="C324">
        <f t="shared" si="16"/>
        <v>1</v>
      </c>
      <c r="D324" t="str">
        <f t="shared" si="17"/>
        <v/>
      </c>
      <c r="E324" t="s">
        <v>358</v>
      </c>
    </row>
    <row r="325" spans="1:5" x14ac:dyDescent="0.2">
      <c r="A325" t="e" cm="1">
        <f t="array" ref="A325">DSUM(D!B2:B3,"Yield",D!AS1:AS8)</f>
        <v>#VALUE!</v>
      </c>
      <c r="B325">
        <f t="shared" si="15"/>
        <v>3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cm="1">
        <f t="array" ref="A326">_xlfn.COT("$1,000")</f>
        <v>0.68012213233486973</v>
      </c>
      <c r="B326">
        <f t="shared" si="15"/>
        <v>0</v>
      </c>
      <c r="C326">
        <f t="shared" si="16"/>
        <v>0.68012213233486973</v>
      </c>
      <c r="D326" t="str">
        <f t="shared" si="17"/>
        <v/>
      </c>
      <c r="E326" t="s">
        <v>360</v>
      </c>
    </row>
    <row r="327" spans="1:5" x14ac:dyDescent="0.2">
      <c r="A327" t="b" cm="1">
        <f t="array" ref="A327">ISERR(EXACT("1E2",RADIANS(270)))</f>
        <v>0</v>
      </c>
      <c r="B327">
        <f t="shared" si="15"/>
        <v>-2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e" cm="1">
        <f t="array" ref="A328">DSTDEVP(D!B3,"Yield",D!AW1:AW4)</f>
        <v>#VALUE!</v>
      </c>
      <c r="B328">
        <f t="shared" si="15"/>
        <v>3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cm="1">
        <f t="array" ref="A329">COLUMNS(COUNTIF(D!B1:B8,"&gt;4"))</f>
        <v>1</v>
      </c>
      <c r="B329">
        <f t="shared" si="15"/>
        <v>0</v>
      </c>
      <c r="C329">
        <f t="shared" si="16"/>
        <v>1</v>
      </c>
      <c r="D329" t="str">
        <f t="shared" si="17"/>
        <v/>
      </c>
      <c r="E329" t="s">
        <v>363</v>
      </c>
    </row>
    <row r="330" spans="1:5" x14ac:dyDescent="0.2">
      <c r="A330" cm="1">
        <f t="array" ref="A330">BESSELY(2.5,5)</f>
        <v>-3.8301759916745386</v>
      </c>
      <c r="B330">
        <f t="shared" si="15"/>
        <v>0</v>
      </c>
      <c r="C330">
        <f t="shared" si="16"/>
        <v>-3.8301759916745386</v>
      </c>
      <c r="D330" t="str">
        <f t="shared" si="17"/>
        <v/>
      </c>
      <c r="E330" t="s">
        <v>364</v>
      </c>
    </row>
    <row r="331" spans="1:5" x14ac:dyDescent="0.2">
      <c r="A331" t="e" cm="1">
        <f t="array" ref="A331">_xlfn.RANK.AVG(94,D!B1:B8)&lt;=ASIN(1000)</f>
        <v>#N/A</v>
      </c>
      <c r="B331">
        <f t="shared" si="15"/>
        <v>7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SUBTOTAL(9,D!B1:B3)+IMPRODUCT(DEGREES(1),"5-3i")</f>
        <v>#VALUE!</v>
      </c>
      <c r="B332">
        <f t="shared" si="15"/>
        <v>3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e" cm="1" vm="1">
        <f t="array" aca="1" ref="A333" ca="1">HEX2OCT({"x";""},3)</f>
        <v>#VALUE!</v>
      </c>
      <c r="B333">
        <f t="shared" ca="1" si="15"/>
        <v>9</v>
      </c>
      <c r="C333">
        <f t="shared" ca="1" si="16"/>
        <v>0</v>
      </c>
      <c r="D333" t="str">
        <f t="shared" ca="1" si="17"/>
        <v/>
      </c>
      <c r="E333" t="s">
        <v>367</v>
      </c>
    </row>
    <row r="334" spans="1:5" x14ac:dyDescent="0.2">
      <c r="A334" cm="1">
        <f t="array" ref="A334">BESSELJ(-1.5,2)</f>
        <v>0.23208767901744795</v>
      </c>
      <c r="B334">
        <f t="shared" si="15"/>
        <v>0</v>
      </c>
      <c r="C334">
        <f t="shared" si="16"/>
        <v>0.23208767901744795</v>
      </c>
      <c r="D334" t="str">
        <f t="shared" si="17"/>
        <v/>
      </c>
      <c r="E334" t="s">
        <v>368</v>
      </c>
    </row>
    <row r="335" spans="1:5" x14ac:dyDescent="0.2">
      <c r="A335" cm="1">
        <f t="array" ref="A335">_xlfn.ACOTH(6)</f>
        <v>0.16823611831060645</v>
      </c>
      <c r="B335">
        <f t="shared" si="15"/>
        <v>0</v>
      </c>
      <c r="C335">
        <f t="shared" si="16"/>
        <v>0.16823611831060645</v>
      </c>
      <c r="D335" t="str">
        <f t="shared" si="17"/>
        <v/>
      </c>
      <c r="E335" t="s">
        <v>369</v>
      </c>
    </row>
    <row r="336" spans="1:5" x14ac:dyDescent="0.2">
      <c r="A336" cm="1">
        <f t="array" ref="A336">TYPE(2)</f>
        <v>1</v>
      </c>
      <c r="B336">
        <f t="shared" si="15"/>
        <v>0</v>
      </c>
      <c r="C336">
        <f t="shared" si="16"/>
        <v>1</v>
      </c>
      <c r="D336" t="str">
        <f t="shared" si="17"/>
        <v/>
      </c>
      <c r="E336" t="s">
        <v>370</v>
      </c>
    </row>
    <row r="337" spans="1:5" x14ac:dyDescent="0.2">
      <c r="A337" t="str" cm="1">
        <f t="array" ref="A337">_xlfn.TEXTJOIN(";",FALSE,_xlfn.SEC(45))</f>
        <v>1.90359440740442</v>
      </c>
      <c r="B337">
        <f t="shared" si="15"/>
        <v>-3</v>
      </c>
      <c r="C337">
        <f t="shared" si="16"/>
        <v>0</v>
      </c>
      <c r="D337" t="str">
        <f t="shared" si="17"/>
        <v>1.90359440740442</v>
      </c>
      <c r="E337" t="s">
        <v>371</v>
      </c>
    </row>
    <row r="338" spans="1:5" x14ac:dyDescent="0.2">
      <c r="A338" cm="1">
        <f t="array" ref="A338">ATAN2(1,1)</f>
        <v>0.78539816339744828</v>
      </c>
      <c r="B338">
        <f t="shared" si="15"/>
        <v>0</v>
      </c>
      <c r="C338">
        <f t="shared" si="16"/>
        <v>0.78539816339744828</v>
      </c>
      <c r="D338" t="str">
        <f t="shared" si="17"/>
        <v/>
      </c>
      <c r="E338" t="s">
        <v>372</v>
      </c>
    </row>
    <row r="339" spans="1:5" x14ac:dyDescent="0.2">
      <c r="A339" t="e" cm="1">
        <f t="array" ref="A339">IMSIN("2025-01-31 12:00")&lt;&gt;CHIINV(100,10)</f>
        <v>#NUM!</v>
      </c>
      <c r="B339">
        <f t="shared" si="15"/>
        <v>6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cm="1">
        <f t="array" ref="A340">COS(1.047)</f>
        <v>0.50017107459707011</v>
      </c>
      <c r="B340">
        <f t="shared" si="15"/>
        <v>0</v>
      </c>
      <c r="C340">
        <f t="shared" si="16"/>
        <v>0.50017107459707011</v>
      </c>
      <c r="D340" t="str">
        <f t="shared" si="17"/>
        <v/>
      </c>
      <c r="E340" t="s">
        <v>374</v>
      </c>
    </row>
    <row r="341" spans="1:5" x14ac:dyDescent="0.2">
      <c r="A341" cm="1">
        <f t="array" ref="A341">TAN(0.785)</f>
        <v>0.99920399010504268</v>
      </c>
      <c r="B341">
        <f t="shared" si="15"/>
        <v>0</v>
      </c>
      <c r="C341">
        <f t="shared" si="16"/>
        <v>0.99920399010504268</v>
      </c>
      <c r="D341" t="str">
        <f t="shared" si="17"/>
        <v/>
      </c>
      <c r="E341" t="s">
        <v>375</v>
      </c>
    </row>
    <row r="342" spans="1:5" x14ac:dyDescent="0.2">
      <c r="A342" t="str" cm="1">
        <f t="array" ref="A342">_xlfn.TEXTJOIN(";",FALSE,WORKDAY(39722,7))</f>
        <v>39731</v>
      </c>
      <c r="B342">
        <f t="shared" si="15"/>
        <v>-3</v>
      </c>
      <c r="C342">
        <f t="shared" si="16"/>
        <v>0</v>
      </c>
      <c r="D342" t="str">
        <f t="shared" si="17"/>
        <v>39731</v>
      </c>
      <c r="E342" t="s">
        <v>376</v>
      </c>
    </row>
    <row r="343" spans="1:5" x14ac:dyDescent="0.2">
      <c r="A343" t="e" cm="1">
        <f t="array" ref="A343">FVSCHEDULE(FDIST(100,3&gt;"a,b",D!A13),D!A8)</f>
        <v>#VALUE!</v>
      </c>
      <c r="B343">
        <f t="shared" si="15"/>
        <v>3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t="e" cm="1">
        <f t="array" ref="A344">_xlfn.TEXTAFTER("a-b-c",FALSE)</f>
        <v>#N/A</v>
      </c>
      <c r="B344">
        <f t="shared" si="15"/>
        <v>7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cm="1">
        <f t="array" ref="A345">COUNTA(D!I1:I5)</f>
        <v>5</v>
      </c>
      <c r="B345">
        <f t="shared" si="15"/>
        <v>0</v>
      </c>
      <c r="C345">
        <f t="shared" si="16"/>
        <v>5</v>
      </c>
      <c r="D345" t="str">
        <f t="shared" si="17"/>
        <v/>
      </c>
      <c r="E345" t="s">
        <v>379</v>
      </c>
    </row>
    <row r="346" spans="1:5" x14ac:dyDescent="0.2">
      <c r="A346" t="e" cm="1">
        <f t="array" ref="A346">_xlfn.TEXTJOIN(";",FALSE,NOMINAL(DGET(D!AZ1:AZ5,"Yield",D!C2),D!A7))</f>
        <v>#VALUE!</v>
      </c>
      <c r="B346">
        <f t="shared" si="15"/>
        <v>3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IMPOWER(D!A3,3)/WEEKDAY(59)</f>
        <v>#NUM!</v>
      </c>
      <c r="B347">
        <f t="shared" si="15"/>
        <v>6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str" cm="1">
        <f t="array" ref="A348">IMSQRT("1+i")</f>
        <v>1.09868411346781+0.455089860562227i</v>
      </c>
      <c r="B348">
        <f t="shared" si="15"/>
        <v>-3</v>
      </c>
      <c r="C348">
        <f t="shared" si="16"/>
        <v>0</v>
      </c>
      <c r="D348" t="str">
        <f t="shared" si="17"/>
        <v>1.09868411346781+0.455089860562227i</v>
      </c>
      <c r="E348" t="s">
        <v>382</v>
      </c>
    </row>
    <row r="349" spans="1:5" x14ac:dyDescent="0.2">
      <c r="A349" t="str" cm="1">
        <f t="array" ref="A349">HEX2OCT(D!A2,3)</f>
        <v>002</v>
      </c>
      <c r="B349">
        <f t="shared" si="15"/>
        <v>-3</v>
      </c>
      <c r="C349">
        <f t="shared" si="16"/>
        <v>0</v>
      </c>
      <c r="D349" t="str">
        <f t="shared" si="17"/>
        <v>002</v>
      </c>
      <c r="E349" t="s">
        <v>383</v>
      </c>
    </row>
    <row r="350" spans="1:5" x14ac:dyDescent="0.2">
      <c r="A350" cm="1">
        <f t="array" ref="A350">SIN(D!B7)</f>
        <v>0.35078322768961984</v>
      </c>
      <c r="B350">
        <f t="shared" si="15"/>
        <v>0</v>
      </c>
      <c r="C350">
        <f t="shared" si="16"/>
        <v>0.35078322768961984</v>
      </c>
      <c r="D350" t="str">
        <f t="shared" si="17"/>
        <v/>
      </c>
      <c r="E350" t="s">
        <v>384</v>
      </c>
    </row>
    <row r="351" spans="1:5" x14ac:dyDescent="0.2">
      <c r="A351" cm="1">
        <f t="array" ref="A351">LCM(5,2)</f>
        <v>10</v>
      </c>
      <c r="B351">
        <f t="shared" si="15"/>
        <v>0</v>
      </c>
      <c r="C351">
        <f t="shared" si="16"/>
        <v>10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MULTINOMIAL(2,3,D!AW1:AW4)</f>
        <v>#VALUE!</v>
      </c>
      <c r="B352">
        <f t="shared" si="15"/>
        <v>3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GROWTH(D!AY1:AY5,D!AK1:AL3,D!BD1:BD2)</f>
        <v>#REF!</v>
      </c>
      <c r="B353">
        <f t="shared" si="15"/>
        <v>4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cm="1">
        <f t="array" ref="A354">LEN(_xlfn.PERMUTATIONA(3,2.5))</f>
        <v>1</v>
      </c>
      <c r="B354">
        <f t="shared" si="15"/>
        <v>0</v>
      </c>
      <c r="C354">
        <f t="shared" si="16"/>
        <v>1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COLUMNS(PEARSON({1},D!AS1:AS8))</f>
        <v>#N/A</v>
      </c>
      <c r="B355">
        <f t="shared" si="15"/>
        <v>7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DMIN(D!G4,ISNA(2.5),D!K1:K8)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t="e" cm="1">
        <f t="array" ref="A357">_xlfn.TEXTJOIN(";",FALSE,ACCRINT(100,39691,39569,0.1,D!L4,D!A7,D!A1))</f>
        <v>#DIV/0!</v>
      </c>
      <c r="B357">
        <f t="shared" si="15"/>
        <v>2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str" cm="1">
        <f t="array" ref="A358">MIDB("abcdef",D!L4,3)</f>
        <v>ef</v>
      </c>
      <c r="B358">
        <f t="shared" si="15"/>
        <v>-3</v>
      </c>
      <c r="C358">
        <f t="shared" si="16"/>
        <v>0</v>
      </c>
      <c r="D358" t="str">
        <f t="shared" si="17"/>
        <v>ef</v>
      </c>
      <c r="E358" t="s">
        <v>392</v>
      </c>
    </row>
    <row r="359" spans="1:5" x14ac:dyDescent="0.2">
      <c r="A359" cm="1">
        <f t="array" ref="A359">DAYS360(40573,40908)</f>
        <v>330</v>
      </c>
      <c r="B359">
        <f t="shared" si="15"/>
        <v>0</v>
      </c>
      <c r="C359">
        <f t="shared" si="16"/>
        <v>330</v>
      </c>
      <c r="D359" t="str">
        <f t="shared" si="17"/>
        <v/>
      </c>
      <c r="E359" t="s">
        <v>393</v>
      </c>
    </row>
    <row r="360" spans="1:5" x14ac:dyDescent="0.2">
      <c r="A360" cm="1">
        <f t="array" ref="A360">_xlfn.GAMMA(2.5)</f>
        <v>1.329340388179137</v>
      </c>
      <c r="B360">
        <f t="shared" si="15"/>
        <v>0</v>
      </c>
      <c r="C360">
        <f t="shared" si="16"/>
        <v>1.329340388179137</v>
      </c>
      <c r="D360" t="str">
        <f t="shared" si="17"/>
        <v/>
      </c>
      <c r="E360" t="s">
        <v>394</v>
      </c>
    </row>
    <row r="361" spans="1:5" x14ac:dyDescent="0.2">
      <c r="A361" t="e" cm="1">
        <f t="array" ref="A361">ROWS(COUPNUM(D!M2,#VALUE!,2,1))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cm="1">
        <f t="array" ref="A362">_xlfn.T.DIST.RT(1.959999998,60)</f>
        <v>2.7322464987960478E-2</v>
      </c>
      <c r="B362">
        <f t="shared" si="15"/>
        <v>0</v>
      </c>
      <c r="C362">
        <f t="shared" si="16"/>
        <v>2.7322464987960478E-2</v>
      </c>
      <c r="D362" t="str">
        <f t="shared" si="17"/>
        <v/>
      </c>
      <c r="E362" t="s">
        <v>396</v>
      </c>
    </row>
    <row r="363" spans="1:5" x14ac:dyDescent="0.2">
      <c r="A363" t="e" cm="1">
        <f t="array" ref="A363">_xlfn.TEXTBEFORE("a-b-c","-")&lt;=CONFIDENCE(D!A12,2.5,-1)</f>
        <v>#NUM!</v>
      </c>
      <c r="B363">
        <f t="shared" si="15"/>
        <v>6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 vm="12">
        <f t="array" aca="1" ref="A364" ca="1">_xlfn.CHOOSECOLS(D!L1:N6,2,1)</f>
        <v>#VALUE!</v>
      </c>
      <c r="B364">
        <f t="shared" ca="1" si="15"/>
        <v>9</v>
      </c>
      <c r="C364">
        <f t="shared" ca="1" si="16"/>
        <v>0</v>
      </c>
      <c r="D364" t="str">
        <f t="shared" ca="1" si="17"/>
        <v/>
      </c>
      <c r="E364" t="s">
        <v>398</v>
      </c>
    </row>
    <row r="365" spans="1:5" x14ac:dyDescent="0.2">
      <c r="A365" t="e" cm="1">
        <f t="array" ref="A365">MDETERM(D!K1:K8)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t="e" cm="1">
        <f t="array" ref="A366">COSH(1000)</f>
        <v>#NUM!</v>
      </c>
      <c r="B366">
        <f t="shared" si="15"/>
        <v>6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e" cm="1">
        <f t="array" ref="A367">INDEX(_xlfn.LOGNORM.INV("1.5",3.5,1.2),1,1)</f>
        <v>#NUM!</v>
      </c>
      <c r="B367">
        <f t="shared" si="15"/>
        <v>6</v>
      </c>
      <c r="C367">
        <f t="shared" si="16"/>
        <v>0</v>
      </c>
      <c r="D367" t="str">
        <f t="shared" si="17"/>
        <v/>
      </c>
      <c r="E367" t="s">
        <v>401</v>
      </c>
    </row>
    <row r="368" spans="1:5" x14ac:dyDescent="0.2">
      <c r="A368" t="str" cm="1">
        <f t="array" ref="A368">FIXED(1234.567,1)</f>
        <v>1,234.6</v>
      </c>
      <c r="B368">
        <f t="shared" si="15"/>
        <v>-3</v>
      </c>
      <c r="C368">
        <f t="shared" si="16"/>
        <v>0</v>
      </c>
      <c r="D368" t="str">
        <f t="shared" si="17"/>
        <v>1,234.6</v>
      </c>
      <c r="E368" t="s">
        <v>402</v>
      </c>
    </row>
    <row r="369" spans="1:5" x14ac:dyDescent="0.2">
      <c r="A369" cm="1">
        <f t="array" ref="A369">INDEX(SUMIF(D!M1:M6,D!A15,D!N1:N6),1,1)</f>
        <v>0</v>
      </c>
      <c r="B369">
        <f t="shared" si="15"/>
        <v>0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cm="1">
        <f t="array" ref="A370">COLUMNS(EXACT("?","word"))</f>
        <v>1</v>
      </c>
      <c r="B370">
        <f t="shared" si="15"/>
        <v>0</v>
      </c>
      <c r="C370">
        <f t="shared" si="16"/>
        <v>1</v>
      </c>
      <c r="D370" t="str">
        <f t="shared" si="17"/>
        <v/>
      </c>
      <c r="E370" t="s">
        <v>404</v>
      </c>
    </row>
    <row r="371" spans="1:5" x14ac:dyDescent="0.2">
      <c r="A371" cm="1">
        <f t="array" ref="A371">VARP(D!B1:B8)</f>
        <v>165.6708984375</v>
      </c>
      <c r="B371">
        <f t="shared" si="15"/>
        <v>0</v>
      </c>
      <c r="C371">
        <f t="shared" si="16"/>
        <v>165.6708984375</v>
      </c>
      <c r="D371" t="str">
        <f t="shared" si="17"/>
        <v/>
      </c>
      <c r="E371" t="s">
        <v>405</v>
      </c>
    </row>
    <row r="372" spans="1:5" x14ac:dyDescent="0.2">
      <c r="A372" t="e" cm="1">
        <f t="array" ref="A372">CHIINV(D!B1,10)</f>
        <v>#NUM!</v>
      </c>
      <c r="B372">
        <f t="shared" si="15"/>
        <v>6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cm="1">
        <f t="array" ref="A373">COLUMNS(_xlfn.CHISQ.TEST(D!AK1:AL3,D!AM1:AN3))</f>
        <v>1</v>
      </c>
      <c r="B373">
        <f t="shared" si="15"/>
        <v>0</v>
      </c>
      <c r="C373">
        <f t="shared" si="16"/>
        <v>1</v>
      </c>
      <c r="D373" t="str">
        <f t="shared" si="17"/>
        <v/>
      </c>
      <c r="E373" t="s">
        <v>407</v>
      </c>
    </row>
    <row r="374" spans="1:5" x14ac:dyDescent="0.2">
      <c r="A374" t="e" cm="1">
        <f t="array" ref="A374">ZTEST(D!B1:B8,YEARFRAC(-1,D!G4)&lt;&gt;45351)</f>
        <v>#NUM!</v>
      </c>
      <c r="B374">
        <f t="shared" si="15"/>
        <v>6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t="str" cm="1">
        <f t="array" ref="A375">RIGHTB("abc",2)</f>
        <v>bc</v>
      </c>
      <c r="B375">
        <f t="shared" si="15"/>
        <v>-3</v>
      </c>
      <c r="C375">
        <f t="shared" si="16"/>
        <v>0</v>
      </c>
      <c r="D375" t="str">
        <f t="shared" si="17"/>
        <v>bc</v>
      </c>
      <c r="E375" t="s">
        <v>409</v>
      </c>
    </row>
    <row r="376" spans="1:5" x14ac:dyDescent="0.2">
      <c r="A376" t="e" cm="1" vm="4">
        <f t="array" aca="1" ref="A376" ca="1">_xlfn.MUNIT(2)</f>
        <v>#VALUE!</v>
      </c>
      <c r="B376">
        <f t="shared" ca="1" si="15"/>
        <v>9</v>
      </c>
      <c r="C376">
        <f t="shared" ca="1" si="16"/>
        <v>0</v>
      </c>
      <c r="D376" t="str">
        <f t="shared" ca="1" si="17"/>
        <v/>
      </c>
      <c r="E376" t="s">
        <v>410</v>
      </c>
    </row>
    <row r="377" spans="1:5" x14ac:dyDescent="0.2">
      <c r="A377" cm="1">
        <f t="array" ref="A377">FDIST(D!C2,100,10)</f>
        <v>9.8770826484459386E-4</v>
      </c>
      <c r="B377">
        <f t="shared" si="15"/>
        <v>0</v>
      </c>
      <c r="C377">
        <f t="shared" si="16"/>
        <v>9.8770826484459386E-4</v>
      </c>
      <c r="D377" t="str">
        <f t="shared" si="17"/>
        <v/>
      </c>
      <c r="E377" t="s">
        <v>411</v>
      </c>
    </row>
    <row r="378" spans="1:5" x14ac:dyDescent="0.2">
      <c r="A378" cm="1">
        <f t="array" ref="A378">_xlfn.F.TEST(D!B1:B8,D!C1:C8)</f>
        <v>0.89907526605691512</v>
      </c>
      <c r="B378">
        <f t="shared" si="15"/>
        <v>0</v>
      </c>
      <c r="C378">
        <f t="shared" si="16"/>
        <v>0.89907526605691512</v>
      </c>
      <c r="D378" t="str">
        <f t="shared" si="17"/>
        <v/>
      </c>
      <c r="E378" t="s">
        <v>412</v>
      </c>
    </row>
    <row r="379" spans="1:5" x14ac:dyDescent="0.2">
      <c r="A379" cm="1">
        <f t="array" ref="A379">VARP(D!B2:B3)</f>
        <v>12.25</v>
      </c>
      <c r="B379">
        <f t="shared" si="15"/>
        <v>0</v>
      </c>
      <c r="C379">
        <f t="shared" si="16"/>
        <v>12.25</v>
      </c>
      <c r="D379" t="str">
        <f t="shared" si="17"/>
        <v/>
      </c>
      <c r="E379" t="s">
        <v>413</v>
      </c>
    </row>
    <row r="380" spans="1:5" x14ac:dyDescent="0.2">
      <c r="A380" cm="1">
        <f t="array" ref="A380">ABS("2025-01-31")</f>
        <v>45688</v>
      </c>
      <c r="B380">
        <f t="shared" si="15"/>
        <v>0</v>
      </c>
      <c r="C380">
        <f t="shared" si="16"/>
        <v>45688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ACCRINTM(D!C2,DATE(2008,6,15),D!B3,1000,"aBc")</f>
        <v>#VALUE!</v>
      </c>
      <c r="B381">
        <f t="shared" si="15"/>
        <v>3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 vm="5">
        <f t="array" aca="1" ref="A382" ca="1">LOGEST(D!BB1:BB6,D!BC1:BC6)-FORECAST(30,D!C1:C8,D!B1:B8)</f>
        <v>#VALUE!</v>
      </c>
      <c r="B382">
        <f t="shared" ca="1" si="15"/>
        <v>9</v>
      </c>
      <c r="C382">
        <f t="shared" ca="1" si="16"/>
        <v>0</v>
      </c>
      <c r="D382" t="str">
        <f t="shared" ca="1" si="17"/>
        <v/>
      </c>
      <c r="E382" t="s">
        <v>416</v>
      </c>
    </row>
    <row r="383" spans="1:5" x14ac:dyDescent="0.2">
      <c r="A383" cm="1">
        <f t="array" ref="A383">SUM(BESSELJ(1.9,5))</f>
        <v>5.5384930136158821E-3</v>
      </c>
      <c r="B383">
        <f t="shared" si="15"/>
        <v>0</v>
      </c>
      <c r="C383">
        <f t="shared" si="16"/>
        <v>5.5384930136158821E-3</v>
      </c>
      <c r="D383" t="str">
        <f t="shared" si="17"/>
        <v/>
      </c>
      <c r="E383" t="s">
        <v>417</v>
      </c>
    </row>
    <row r="384" spans="1:5" x14ac:dyDescent="0.2">
      <c r="A384" t="str" cm="1">
        <f t="array" ref="A384">INDEX(CLEAN(D!A14),1,1)</f>
        <v>abc</v>
      </c>
      <c r="B384">
        <f t="shared" si="15"/>
        <v>-3</v>
      </c>
      <c r="C384">
        <f t="shared" si="16"/>
        <v>0</v>
      </c>
      <c r="D384" t="str">
        <f t="shared" si="17"/>
        <v>abc</v>
      </c>
      <c r="E384" t="s">
        <v>418</v>
      </c>
    </row>
    <row r="385" spans="1:5" x14ac:dyDescent="0.2">
      <c r="A385" cm="1">
        <f t="array" ref="A385">LOGNORMDIST(2.5,7,1.2)</f>
        <v>1.9916121230405155E-7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1.9916121230405155E-7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INT(0)</f>
        <v>0</v>
      </c>
      <c r="B386">
        <f t="shared" si="18"/>
        <v>0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COUPNUM(" ",DATE(2011,11,15),2,HEX2OCT("F",3))</f>
        <v>#VALUE!</v>
      </c>
      <c r="B387">
        <f t="shared" si="18"/>
        <v>3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BIN2DEC(D!A1:A5)</f>
        <v>#VALUE!</v>
      </c>
      <c r="B388">
        <f t="shared" si="18"/>
        <v>3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e" cm="1">
        <f t="array" ref="A389">_xlfn.SEQUENCE(-1)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cm="1">
        <f t="array" ref="A390">GAMMAINV(0.068094,9,2)</f>
        <v>10.00001119143718</v>
      </c>
      <c r="B390">
        <f t="shared" si="18"/>
        <v>0</v>
      </c>
      <c r="C390">
        <f t="shared" si="19"/>
        <v>10.00001119143718</v>
      </c>
      <c r="D390" t="str">
        <f t="shared" si="20"/>
        <v/>
      </c>
      <c r="E390" t="s">
        <v>424</v>
      </c>
    </row>
    <row r="391" spans="1:5" x14ac:dyDescent="0.2">
      <c r="A391" t="b" cm="1">
        <f t="array" ref="A391">HYPERLINK(D!A2,TRUE)</f>
        <v>1</v>
      </c>
      <c r="B391">
        <f t="shared" si="18"/>
        <v>-1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cm="1">
        <f t="array" ref="A392">DSTDEVP(D!G1:G7,D!A4,D!K1:K8)</f>
        <v>21.656407827707714</v>
      </c>
      <c r="B392">
        <f t="shared" si="18"/>
        <v>0</v>
      </c>
      <c r="C392">
        <f t="shared" si="19"/>
        <v>21.656407827707714</v>
      </c>
      <c r="D392" t="str">
        <f t="shared" si="20"/>
        <v/>
      </c>
      <c r="E392" t="s">
        <v>426</v>
      </c>
    </row>
    <row r="393" spans="1:5" x14ac:dyDescent="0.2">
      <c r="A393" t="str" cm="1">
        <f t="array" ref="A393">IMLOG10("3+4i")</f>
        <v>0.698970004336019+0.402719196273373i</v>
      </c>
      <c r="B393">
        <f t="shared" si="18"/>
        <v>-3</v>
      </c>
      <c r="C393">
        <f t="shared" si="19"/>
        <v>0</v>
      </c>
      <c r="D393" t="str">
        <f t="shared" si="20"/>
        <v>0.698970004336019+0.402719196273373i</v>
      </c>
      <c r="E393" t="s">
        <v>427</v>
      </c>
    </row>
    <row r="394" spans="1:5" x14ac:dyDescent="0.2">
      <c r="A394" t="e" cm="1">
        <f t="array" ref="A394">VARA(D!L4)</f>
        <v>#DIV/0!</v>
      </c>
      <c r="B394">
        <f t="shared" si="18"/>
        <v>2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t="e" cm="1">
        <f t="array" ref="A395">LOOKUP(" ",D!L1:L6,{1;2;3})</f>
        <v>#N/A</v>
      </c>
      <c r="B395">
        <f t="shared" si="18"/>
        <v>7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_xlfn.TEXTSPLIT(REPT("*-",-1),",",D!A2,TRUE,FISHER(0.5))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cm="1">
        <f t="array" ref="A397">_xlfn.BETA.DIST(2,4,10,TRUE,1,3)</f>
        <v>0.953857421875</v>
      </c>
      <c r="B397">
        <f t="shared" si="18"/>
        <v>0</v>
      </c>
      <c r="C397">
        <f t="shared" si="19"/>
        <v>0.953857421875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_xlfn.WEIBULL.DIST(105,"0",100,TRUE)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TBILLPRICE(D!A12,45688.75,-1)</f>
        <v>#NUM!</v>
      </c>
      <c r="B399">
        <f t="shared" si="18"/>
        <v>6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cm="1">
        <f t="array" ref="A400">_xlfn.PDURATION(0.025,2000,2200)</f>
        <v>3.8598661626226551</v>
      </c>
      <c r="B400">
        <f t="shared" si="18"/>
        <v>0</v>
      </c>
      <c r="C400">
        <f t="shared" si="19"/>
        <v>3.8598661626226551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2026-10-07T05:15:34Z</dcterms:created>
  <dcterms:modified xsi:type="dcterms:W3CDTF">2026-10-07T05:15:35Z</dcterms:modified>
  <cp:category/>
</cp:coreProperties>
</file>