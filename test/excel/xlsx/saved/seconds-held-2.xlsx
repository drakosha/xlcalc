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87B4337E-0CF0-AA49-BAAC-4D25D02DA86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3" l="1" a="1"/>
  <c r="A20" i="3" s="1"/>
  <c r="D20" i="3" s="1"/>
  <c r="A19" i="3" a="1"/>
  <c r="A19" i="3" s="1"/>
  <c r="D19" i="3" s="1"/>
  <c r="A18" i="3" a="1"/>
  <c r="A18" i="3"/>
  <c r="D18" i="3" s="1"/>
  <c r="A17" i="3" a="1"/>
  <c r="A17" i="3" s="1"/>
  <c r="A16" i="3" a="1"/>
  <c r="A16" i="3"/>
  <c r="C16" i="3" s="1"/>
  <c r="A15" i="3" a="1"/>
  <c r="A15" i="3"/>
  <c r="D15" i="3" s="1"/>
  <c r="A14" i="3" a="1"/>
  <c r="A14" i="3" s="1"/>
  <c r="D14" i="3" s="1"/>
  <c r="A13" i="3" a="1"/>
  <c r="A13" i="3" s="1"/>
  <c r="A12" i="3" a="1"/>
  <c r="A12" i="3" s="1"/>
  <c r="A11" i="3" a="1"/>
  <c r="A11" i="3"/>
  <c r="B11" i="3" s="1"/>
  <c r="A10" i="3" a="1"/>
  <c r="A10" i="3" s="1"/>
  <c r="A9" i="3" a="1"/>
  <c r="A9" i="3" s="1"/>
  <c r="A8" i="3" a="1"/>
  <c r="A8" i="3" s="1"/>
  <c r="A7" i="3" a="1"/>
  <c r="A7" i="3" s="1"/>
  <c r="A6" i="3" a="1"/>
  <c r="A6" i="3"/>
  <c r="D6" i="3" s="1"/>
  <c r="A5" i="3" a="1"/>
  <c r="A5" i="3"/>
  <c r="D5" i="3" s="1"/>
  <c r="A4" i="3" a="1"/>
  <c r="A4" i="3" s="1"/>
  <c r="C4" i="3" s="1"/>
  <c r="A3" i="3" a="1"/>
  <c r="A3" i="3" s="1"/>
  <c r="B3" i="3" s="1"/>
  <c r="A2" i="3" a="1"/>
  <c r="A2" i="3"/>
  <c r="C2" i="3" s="1"/>
  <c r="A1" i="3" a="1"/>
  <c r="A1" i="3"/>
  <c r="B1" i="3" s="1"/>
  <c r="I15" i="2"/>
  <c r="A14" i="2"/>
  <c r="A13" i="2"/>
  <c r="AL10" i="2"/>
  <c r="A8" i="2"/>
  <c r="A7" i="2"/>
  <c r="E3" i="2"/>
  <c r="B12" i="3" l="1"/>
  <c r="C12" i="3"/>
  <c r="C13" i="3"/>
  <c r="D13" i="3"/>
  <c r="B6" i="3"/>
  <c r="C6" i="3"/>
  <c r="D2" i="3"/>
  <c r="C7" i="3"/>
  <c r="D7" i="3"/>
  <c r="B7" i="3"/>
  <c r="C17" i="3"/>
  <c r="D17" i="3"/>
  <c r="B17" i="3"/>
  <c r="C8" i="3"/>
  <c r="D8" i="3"/>
  <c r="B8" i="3"/>
  <c r="D9" i="3"/>
  <c r="C9" i="3"/>
  <c r="B9" i="3"/>
  <c r="D10" i="3"/>
  <c r="B10" i="3"/>
  <c r="C10" i="3"/>
  <c r="D3" i="3"/>
  <c r="C14" i="3"/>
  <c r="B18" i="3"/>
  <c r="C18" i="3"/>
  <c r="C11" i="3"/>
  <c r="D11" i="3"/>
  <c r="C1" i="3"/>
  <c r="C19" i="3"/>
  <c r="D1" i="3"/>
  <c r="D12" i="3"/>
  <c r="C3" i="3"/>
  <c r="B14" i="3"/>
  <c r="B15" i="3"/>
  <c r="D4" i="3"/>
  <c r="C15" i="3"/>
  <c r="D16" i="3"/>
  <c r="B20" i="3"/>
  <c r="B19" i="3"/>
  <c r="B5" i="3"/>
  <c r="C5" i="3"/>
  <c r="B16" i="3"/>
  <c r="B2" i="3"/>
  <c r="B13" i="3"/>
  <c r="C20" i="3"/>
  <c r="B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<sst xmlns="http://schemas.openxmlformats.org/spreadsheetml/2006/main" count="79" uniqueCount="56">
  <si>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</si>
  <si>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</si>
  <si>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</si>
  <si>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</si>
  <si>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</si>
  <si>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</si>
  <si>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</si>
  <si>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</si>
  <si>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</si>
  <si>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</si>
  <si>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</si>
  <si>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</si>
  <si>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</si>
  <si>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</si>
  <si>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</si>
  <si>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</si>
  <si>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</si>
  <si>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</si>
  <si>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</si>
  <si>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</si>
  <si>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</si>
  <si>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</si>
  <si>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</si>
  <si>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</si>
  <si>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</si>
  <si>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</si>
  <si>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</si>
  <si>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</si>
  <si>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</si>
  <si>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</si>
  <si>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</si>
  <si>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</si>
  <si>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</si>
  <si>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</si>
  <si>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</si>
  <si>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load#16</t>
  </si>
  <si>
    <t>load#17</t>
  </si>
  <si>
    <t>load#18</t>
  </si>
  <si>
    <t>load#19</t>
  </si>
  <si>
    <t>load#20</t>
  </si>
  <si>
    <t>load#21</t>
  </si>
  <si>
    <t>load#22</t>
  </si>
  <si>
    <t>load#23</t>
  </si>
  <si>
    <t>load#24</t>
  </si>
  <si>
    <t>load#25</t>
  </si>
  <si>
    <t>load#26</t>
  </si>
  <si>
    <t>load#27</t>
  </si>
  <si>
    <t>load#28</t>
  </si>
  <si>
    <t>load#29</t>
  </si>
  <si>
    <t>load#30</t>
  </si>
  <si>
    <t>load#31</t>
  </si>
  <si>
    <t>load#32</t>
  </si>
  <si>
    <t>load#33</t>
  </si>
  <si>
    <t>load#34</t>
  </si>
  <si>
    <t>load#35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</si>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</sst>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45688.430907407404</v>
      </c>
    </row>
    <row r="2" spans="1:1" x14ac:dyDescent="0.2">
      <c r="A2">
        <v>45688.430908553244</v>
      </c>
    </row>
    <row r="3" spans="1:1" x14ac:dyDescent="0.2">
      <c r="A3">
        <v>45688.430908557872</v>
      </c>
    </row>
    <row r="4" spans="1:1" x14ac:dyDescent="0.2">
      <c r="A4">
        <v>45688.430908560185</v>
      </c>
    </row>
    <row r="5" spans="1:1" x14ac:dyDescent="0.2">
      <c r="A5">
        <v>45688.430908563656</v>
      </c>
    </row>
    <row r="6" spans="1:1" x14ac:dyDescent="0.2">
      <c r="A6">
        <v>45688.430908564696</v>
      </c>
    </row>
    <row r="7" spans="1:1" x14ac:dyDescent="0.2">
      <c r="A7">
        <v>45688.430908564798</v>
      </c>
    </row>
    <row r="8" spans="1:1" x14ac:dyDescent="0.2">
      <c r="A8">
        <v>45688.430908564813</v>
      </c>
    </row>
    <row r="9" spans="1:1" x14ac:dyDescent="0.2">
      <c r="A9">
        <v>45688.43090856482</v>
      </c>
    </row>
    <row r="10" spans="1:1" x14ac:dyDescent="0.2">
      <c r="A10">
        <v>45688.43090856597</v>
      </c>
    </row>
    <row r="11" spans="1:1" x14ac:dyDescent="0.2">
      <c r="A11">
        <v>444615.13495949074</v>
      </c>
    </row>
    <row r="12" spans="1:1" x14ac:dyDescent="0.2">
      <c r="A12">
        <v>2504553.1110706017</v>
      </c>
    </row>
    <row r="13" spans="1:1" x14ac:dyDescent="0.2">
      <c r="A13">
        <v>2577729.1113368054</v>
      </c>
    </row>
    <row r="14" spans="1:1" x14ac:dyDescent="0.2">
      <c r="A14">
        <v>1963420.4880381944</v>
      </c>
    </row>
    <row r="15" spans="1:1" x14ac:dyDescent="0.2">
      <c r="A15">
        <v>2693171.0251446757</v>
      </c>
    </row>
    <row r="16" spans="1:1" x14ac:dyDescent="0.2">
      <c r="A16">
        <v>2072685.8261053241</v>
      </c>
    </row>
    <row r="17" spans="1:1" x14ac:dyDescent="0.2">
      <c r="A17">
        <v>45688.00390625</v>
      </c>
    </row>
    <row r="18" spans="1:1" x14ac:dyDescent="0.2">
      <c r="A18">
        <v>45688.01171875</v>
      </c>
    </row>
    <row r="19" spans="1:1" x14ac:dyDescent="0.2">
      <c r="A19">
        <v>45688.99609375</v>
      </c>
    </row>
    <row r="20" spans="1:1" x14ac:dyDescent="0.2">
      <c r="A20">
        <v>45688.999994206017</v>
      </c>
    </row>
    <row r="21" spans="1:1" x14ac:dyDescent="0.2">
      <c r="A21">
        <v>45688.99999420833</v>
      </c>
    </row>
    <row r="22" spans="1:1" x14ac:dyDescent="0.2">
      <c r="A22">
        <v>45688.999994212951</v>
      </c>
    </row>
    <row r="23" spans="1:1" x14ac:dyDescent="0.2">
      <c r="A23">
        <v>45688.999994212965</v>
      </c>
    </row>
    <row r="24" spans="1:1" x14ac:dyDescent="0.2">
      <c r="A24">
        <v>46022.999994210055</v>
      </c>
    </row>
    <row r="25" spans="1:1" x14ac:dyDescent="0.2">
      <c r="A25">
        <v>46022.999994212951</v>
      </c>
    </row>
    <row r="26" spans="1:1" x14ac:dyDescent="0.2">
      <c r="A26">
        <v>59.999994212962953</v>
      </c>
    </row>
    <row r="27" spans="1:1" x14ac:dyDescent="0.2">
      <c r="A27">
        <v>59.99999421296296</v>
      </c>
    </row>
    <row r="28" spans="1:1" x14ac:dyDescent="0.2">
      <c r="A28">
        <v>0.99999421296296254</v>
      </c>
    </row>
    <row r="29" spans="1:1" x14ac:dyDescent="0.2">
      <c r="A29">
        <v>999999.99999421288</v>
      </c>
    </row>
    <row r="30" spans="1:1" x14ac:dyDescent="0.2">
      <c r="A30">
        <v>1020183.9999942129</v>
      </c>
    </row>
    <row r="31" spans="1:1" x14ac:dyDescent="0.2">
      <c r="A31">
        <v>1000000.999994213</v>
      </c>
    </row>
    <row r="32" spans="1:1" x14ac:dyDescent="0.2">
      <c r="A32">
        <v>2958464.9999942128</v>
      </c>
    </row>
    <row r="33" spans="1:1" x14ac:dyDescent="0.2">
      <c r="A33">
        <v>2958464.9999942132</v>
      </c>
    </row>
    <row r="34" spans="1:1" x14ac:dyDescent="0.2">
      <c r="A34">
        <v>2958465.9999942132</v>
      </c>
    </row>
    <row r="35" spans="1:1" x14ac:dyDescent="0.2">
      <c r="A35">
        <v>2958465.9999942128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(T!A16-INT(T!A16))*86400-71375</f>
        <v>0.50000101327896118</v>
      </c>
      <c r="B1">
        <f t="shared" ref="B1:B20" si="0">IF(ISERROR(A1),ERROR.TYPE(A1),IF(ISNUMBER(A1),0,IF(ISLOGICAL(A1),IF(A1,-1,-2),IF(ISTEXT(A1),-3,-4))))</f>
        <v>0</v>
      </c>
      <c r="C1">
        <f t="shared" ref="C1:C20" si="1">IF(ISNUMBER(A1),A1,0)</f>
        <v>0.50000101327896118</v>
      </c>
      <c r="D1" t="str">
        <f t="shared" ref="D1:D20" si="2">IF(ISTEXT(A1),A1,"")</f>
        <v/>
      </c>
      <c r="E1" t="s">
        <v>35</v>
      </c>
    </row>
    <row r="2" spans="1:5" x14ac:dyDescent="0.2">
      <c r="A2" cm="1">
        <f t="array" ref="A2">(T!A17-INT(T!A17))*86400-337</f>
        <v>0.5</v>
      </c>
      <c r="B2">
        <f t="shared" si="0"/>
        <v>0</v>
      </c>
      <c r="C2">
        <f t="shared" si="1"/>
        <v>0.5</v>
      </c>
      <c r="D2" t="str">
        <f t="shared" si="2"/>
        <v/>
      </c>
      <c r="E2" t="s">
        <v>36</v>
      </c>
    </row>
    <row r="3" spans="1:5" x14ac:dyDescent="0.2">
      <c r="A3" cm="1">
        <f t="array" ref="A3">(T!A18-INT(T!A18))*86400-1012</f>
        <v>0.5</v>
      </c>
      <c r="B3">
        <f t="shared" si="0"/>
        <v>0</v>
      </c>
      <c r="C3">
        <f t="shared" si="1"/>
        <v>0.5</v>
      </c>
      <c r="D3" t="str">
        <f t="shared" si="2"/>
        <v/>
      </c>
      <c r="E3" t="s">
        <v>37</v>
      </c>
    </row>
    <row r="4" spans="1:5" x14ac:dyDescent="0.2">
      <c r="A4" cm="1">
        <f t="array" ref="A4">(T!A19-INT(T!A19))*86400-86062</f>
        <v>0.5</v>
      </c>
      <c r="B4">
        <f t="shared" si="0"/>
        <v>0</v>
      </c>
      <c r="C4">
        <f t="shared" si="1"/>
        <v>0.5</v>
      </c>
      <c r="D4" t="str">
        <f t="shared" si="2"/>
        <v/>
      </c>
      <c r="E4" t="s">
        <v>38</v>
      </c>
    </row>
    <row r="5" spans="1:5" x14ac:dyDescent="0.2">
      <c r="A5" cm="1">
        <f t="array" ref="A5">(T!A20-INT(T!A20))*86400-86399</f>
        <v>0.49939984362572432</v>
      </c>
      <c r="B5">
        <f t="shared" si="0"/>
        <v>0</v>
      </c>
      <c r="C5">
        <f t="shared" si="1"/>
        <v>0.49939984362572432</v>
      </c>
      <c r="D5" t="str">
        <f t="shared" si="2"/>
        <v/>
      </c>
      <c r="E5" t="s">
        <v>39</v>
      </c>
    </row>
    <row r="6" spans="1:5" x14ac:dyDescent="0.2">
      <c r="A6" cm="1">
        <f t="array" ref="A6">(T!A21-INT(T!A21))*86400-86399</f>
        <v>0.49959975201636553</v>
      </c>
      <c r="B6">
        <f t="shared" si="0"/>
        <v>0</v>
      </c>
      <c r="C6">
        <f t="shared" si="1"/>
        <v>0.49959975201636553</v>
      </c>
      <c r="D6" t="str">
        <f t="shared" si="2"/>
        <v/>
      </c>
      <c r="E6" t="s">
        <v>40</v>
      </c>
    </row>
    <row r="7" spans="1:5" x14ac:dyDescent="0.2">
      <c r="A7" cm="1">
        <f t="array" ref="A7">(T!A22-INT(T!A22))*86400-86399</f>
        <v>0.49999894015491009</v>
      </c>
      <c r="B7">
        <f t="shared" si="0"/>
        <v>0</v>
      </c>
      <c r="C7">
        <f t="shared" si="1"/>
        <v>0.49999894015491009</v>
      </c>
      <c r="D7" t="str">
        <f t="shared" si="2"/>
        <v/>
      </c>
      <c r="E7" t="s">
        <v>41</v>
      </c>
    </row>
    <row r="8" spans="1:5" x14ac:dyDescent="0.2">
      <c r="A8" cm="1">
        <f t="array" ref="A8">(T!A23-INT(T!A23))*86400-86399</f>
        <v>0.50000019744038582</v>
      </c>
      <c r="B8">
        <f t="shared" si="0"/>
        <v>0</v>
      </c>
      <c r="C8">
        <f t="shared" si="1"/>
        <v>0.50000019744038582</v>
      </c>
      <c r="D8" t="str">
        <f t="shared" si="2"/>
        <v/>
      </c>
      <c r="E8" t="s">
        <v>42</v>
      </c>
    </row>
    <row r="9" spans="1:5" x14ac:dyDescent="0.2">
      <c r="A9" cm="1">
        <f t="array" ref="A9">(T!A24-INT(T!A24))*86400-86399</f>
        <v>0.49974874034523964</v>
      </c>
      <c r="B9">
        <f t="shared" si="0"/>
        <v>0</v>
      </c>
      <c r="C9">
        <f t="shared" si="1"/>
        <v>0.49974874034523964</v>
      </c>
      <c r="D9" t="str">
        <f t="shared" si="2"/>
        <v/>
      </c>
      <c r="E9" t="s">
        <v>43</v>
      </c>
    </row>
    <row r="10" spans="1:5" x14ac:dyDescent="0.2">
      <c r="A10" cm="1">
        <f t="array" ref="A10">(T!A25-INT(T!A25))*86400-86399</f>
        <v>0.49999894015491009</v>
      </c>
      <c r="B10">
        <f t="shared" si="0"/>
        <v>0</v>
      </c>
      <c r="C10">
        <f t="shared" si="1"/>
        <v>0.49999894015491009</v>
      </c>
      <c r="D10" t="str">
        <f t="shared" si="2"/>
        <v/>
      </c>
      <c r="E10" t="s">
        <v>44</v>
      </c>
    </row>
    <row r="11" spans="1:5" x14ac:dyDescent="0.2">
      <c r="A11" cm="1">
        <f t="array" ref="A11">(T!A26-INT(T!A26))*86400-86399</f>
        <v>0.499999999141437</v>
      </c>
      <c r="B11">
        <f t="shared" si="0"/>
        <v>0</v>
      </c>
      <c r="C11">
        <f t="shared" si="1"/>
        <v>0.499999999141437</v>
      </c>
      <c r="D11" t="str">
        <f t="shared" si="2"/>
        <v/>
      </c>
      <c r="E11" t="s">
        <v>45</v>
      </c>
    </row>
    <row r="12" spans="1:5" x14ac:dyDescent="0.2">
      <c r="A12" cm="1">
        <f t="array" ref="A12">(T!A27-INT(T!A27))*86400-86399</f>
        <v>0.49999999976716936</v>
      </c>
      <c r="B12">
        <f t="shared" si="0"/>
        <v>0</v>
      </c>
      <c r="C12">
        <f t="shared" si="1"/>
        <v>0.49999999976716936</v>
      </c>
      <c r="D12" t="str">
        <f t="shared" si="2"/>
        <v/>
      </c>
      <c r="E12" t="s">
        <v>46</v>
      </c>
    </row>
    <row r="13" spans="1:5" x14ac:dyDescent="0.2">
      <c r="A13" cm="1">
        <f t="array" ref="A13">(T!A28-INT(T!A28))*86400-86399</f>
        <v>0.49999999995634425</v>
      </c>
      <c r="B13">
        <f t="shared" si="0"/>
        <v>0</v>
      </c>
      <c r="C13">
        <f t="shared" si="1"/>
        <v>0.49999999995634425</v>
      </c>
      <c r="D13" t="str">
        <f t="shared" si="2"/>
        <v/>
      </c>
      <c r="E13" t="s">
        <v>47</v>
      </c>
    </row>
    <row r="14" spans="1:5" x14ac:dyDescent="0.2">
      <c r="A14" cm="1">
        <f t="array" ref="A14">(T!A29-INT(T!A29))*86400-86399</f>
        <v>0.49999265372753143</v>
      </c>
      <c r="B14">
        <f t="shared" si="0"/>
        <v>0</v>
      </c>
      <c r="C14">
        <f t="shared" si="1"/>
        <v>0.49999265372753143</v>
      </c>
      <c r="D14" t="str">
        <f t="shared" si="2"/>
        <v/>
      </c>
      <c r="E14" t="s">
        <v>48</v>
      </c>
    </row>
    <row r="15" spans="1:5" x14ac:dyDescent="0.2">
      <c r="A15" cm="1">
        <f t="array" ref="A15">(T!A30-INT(T!A30))*86400-86399</f>
        <v>0.49999265372753143</v>
      </c>
      <c r="B15">
        <f t="shared" si="0"/>
        <v>0</v>
      </c>
      <c r="C15">
        <f t="shared" si="1"/>
        <v>0.49999265372753143</v>
      </c>
      <c r="D15" t="str">
        <f t="shared" si="2"/>
        <v/>
      </c>
      <c r="E15" t="s">
        <v>49</v>
      </c>
    </row>
    <row r="16" spans="1:5" x14ac:dyDescent="0.2">
      <c r="A16" cm="1">
        <f t="array" ref="A16">(T!A31-INT(T!A31))*86400-86399</f>
        <v>0.50000271201133728</v>
      </c>
      <c r="B16">
        <f t="shared" si="0"/>
        <v>0</v>
      </c>
      <c r="C16">
        <f t="shared" si="1"/>
        <v>0.50000271201133728</v>
      </c>
      <c r="D16" t="str">
        <f t="shared" si="2"/>
        <v/>
      </c>
      <c r="E16" t="s">
        <v>50</v>
      </c>
    </row>
    <row r="17" spans="1:5" x14ac:dyDescent="0.2">
      <c r="A17" cm="1">
        <f t="array" ref="A17">(T!A32-INT(T!A32))*86400-86399</f>
        <v>0.49998259544372559</v>
      </c>
      <c r="B17">
        <f t="shared" si="0"/>
        <v>0</v>
      </c>
      <c r="C17">
        <f t="shared" si="1"/>
        <v>0.49998259544372559</v>
      </c>
      <c r="D17" t="str">
        <f t="shared" si="2"/>
        <v/>
      </c>
      <c r="E17" t="s">
        <v>51</v>
      </c>
    </row>
    <row r="18" spans="1:5" x14ac:dyDescent="0.2">
      <c r="A18" cm="1">
        <f t="array" ref="A18">(T!A33-INT(T!A33))*86400-86399</f>
        <v>0.50002282857894897</v>
      </c>
      <c r="B18">
        <f t="shared" si="0"/>
        <v>0</v>
      </c>
      <c r="C18">
        <f t="shared" si="1"/>
        <v>0.50002282857894897</v>
      </c>
      <c r="D18" t="str">
        <f t="shared" si="2"/>
        <v/>
      </c>
      <c r="E18" t="s">
        <v>52</v>
      </c>
    </row>
    <row r="19" spans="1:5" x14ac:dyDescent="0.2">
      <c r="A19" cm="1">
        <f t="array" ref="A19">(T!A34-INT(T!A34))*86400-86399</f>
        <v>0.50002282857894897</v>
      </c>
      <c r="B19">
        <f t="shared" si="0"/>
        <v>0</v>
      </c>
      <c r="C19">
        <f t="shared" si="1"/>
        <v>0.50002282857894897</v>
      </c>
      <c r="D19" t="str">
        <f t="shared" si="2"/>
        <v/>
      </c>
      <c r="E19" t="s">
        <v>53</v>
      </c>
    </row>
    <row r="20" spans="1:5" x14ac:dyDescent="0.2">
      <c r="A20" cm="1">
        <f t="array" ref="A20">(T!A35-INT(T!A35))*86400-86399</f>
        <v>0.49998259544372559</v>
      </c>
      <c r="B20">
        <f t="shared" si="0"/>
        <v>0</v>
      </c>
      <c r="C20">
        <f t="shared" si="1"/>
        <v>0.49998259544372559</v>
      </c>
      <c r="D20" t="str">
        <f t="shared" si="2"/>
        <v/>
      </c>
      <c r="E20" t="s">
        <v>54</v>
      </c>
    </row>
    <row r="21" spans="1:5" x14ac:dyDescent="0.2">
      <c r="A21" t="s">
        <v>55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2026-10-11T20:18:40Z</dcterms:created>
  <dcterms:modified xsi:type="dcterms:W3CDTF">2026-10-11T20:18:40Z</dcterms:modified>
  <cp:category/>
</cp:coreProperties>
</file>