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filterPrivacy="1"/>
  <xr:revisionPtr revIDLastSave="0" documentId="8_{4F0D83F7-9555-AE46-8333-63D9F7FDDDD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Ac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2" i="3" l="1" a="1"/>
  <c r="A42" i="3" s="1"/>
  <c r="D42" i="3" s="1"/>
  <c r="A41" i="3" a="1"/>
  <c r="A41" i="3" s="1"/>
  <c r="A40" i="3" a="1"/>
  <c r="A40" i="3" s="1"/>
  <c r="A39" i="3" a="1"/>
  <c r="A39" i="3" s="1"/>
  <c r="A38" i="3" a="1"/>
  <c r="A38" i="3" s="1"/>
  <c r="D38" i="3" s="1"/>
  <c r="A37" i="3" a="1"/>
  <c r="A37" i="3" s="1"/>
  <c r="A36" i="3" a="1"/>
  <c r="A36" i="3" s="1"/>
  <c r="A35" i="3" a="1"/>
  <c r="A35" i="3" s="1"/>
  <c r="A34" i="3" a="1"/>
  <c r="A34" i="3" s="1"/>
  <c r="C34" i="3" s="1"/>
  <c r="A33" i="3" a="1"/>
  <c r="A33" i="3" s="1"/>
  <c r="C33" i="3" s="1"/>
  <c r="A32" i="3" a="1"/>
  <c r="A32" i="3" s="1"/>
  <c r="A31" i="3" a="1"/>
  <c r="A31" i="3" s="1"/>
  <c r="D31" i="3" s="1"/>
  <c r="A30" i="3" a="1"/>
  <c r="A30" i="3"/>
  <c r="D30" i="3" s="1"/>
  <c r="A29" i="3" a="1"/>
  <c r="A29" i="3" s="1"/>
  <c r="C29" i="3" s="1"/>
  <c r="A28" i="3" a="1"/>
  <c r="A28" i="3" s="1"/>
  <c r="A27" i="3" a="1"/>
  <c r="A27" i="3"/>
  <c r="B27" i="3" s="1"/>
  <c r="A26" i="3" a="1"/>
  <c r="A26" i="3" s="1"/>
  <c r="A25" i="3" a="1"/>
  <c r="A25" i="3" s="1"/>
  <c r="A24" i="3" a="1"/>
  <c r="A24" i="3" s="1"/>
  <c r="D24" i="3" s="1"/>
  <c r="A23" i="3" a="1"/>
  <c r="A23" i="3"/>
  <c r="D23" i="3" s="1"/>
  <c r="A22" i="3" a="1"/>
  <c r="A22" i="3" s="1"/>
  <c r="B22" i="3" s="1"/>
  <c r="A21" i="3" a="1"/>
  <c r="A21" i="3" s="1"/>
  <c r="A20" i="3" a="1"/>
  <c r="A20" i="3"/>
  <c r="D20" i="3" s="1"/>
  <c r="A19" i="3" a="1"/>
  <c r="A19" i="3" s="1"/>
  <c r="A18" i="3" a="1"/>
  <c r="A18" i="3" s="1"/>
  <c r="A17" i="3" a="1"/>
  <c r="A17" i="3" s="1"/>
  <c r="A16" i="3" a="1"/>
  <c r="A16" i="3" s="1"/>
  <c r="C16" i="3" s="1"/>
  <c r="A15" i="3" a="1"/>
  <c r="A15" i="3" s="1"/>
  <c r="A14" i="3" a="1"/>
  <c r="A14" i="3" s="1"/>
  <c r="A13" i="3" a="1"/>
  <c r="A13" i="3" s="1"/>
  <c r="D13" i="3" s="1"/>
  <c r="A12" i="3" a="1"/>
  <c r="A12" i="3"/>
  <c r="D12" i="3" s="1"/>
  <c r="A11" i="3" a="1"/>
  <c r="A11" i="3" s="1"/>
  <c r="D11" i="3" s="1"/>
  <c r="A10" i="3" a="1"/>
  <c r="A10" i="3" s="1"/>
  <c r="A6" i="3" a="1"/>
  <c r="A6" i="3" s="1"/>
  <c r="D6" i="3" s="1"/>
  <c r="A5" i="3" a="1"/>
  <c r="A5" i="3" s="1"/>
  <c r="D5" i="3" s="1"/>
  <c r="A4" i="3" a="1"/>
  <c r="A4" i="3" s="1"/>
  <c r="D4" i="3" s="1"/>
  <c r="A3" i="3" a="1"/>
  <c r="A3" i="3" s="1"/>
  <c r="A2" i="3" a="1"/>
  <c r="A2" i="3" s="1"/>
  <c r="B2" i="3" s="1"/>
  <c r="A1" i="3" a="1"/>
  <c r="A1" i="3"/>
  <c r="D1" i="3" s="1"/>
  <c r="I15" i="2"/>
  <c r="A14" i="2"/>
  <c r="A13" i="2"/>
  <c r="AL10" i="2"/>
  <c r="A8" i="2"/>
  <c r="A7" i="2"/>
  <c r="E3" i="2"/>
  <c r="C2" i="1"/>
  <c r="B2" i="1"/>
  <c r="A2" i="1"/>
  <c r="A9" i="3" s="1" a="1"/>
  <c r="A9" i="3" s="1"/>
  <c r="B9" i="3" s="1"/>
  <c r="C1" i="1"/>
  <c r="B1" i="1"/>
  <c r="A1" i="1"/>
  <c r="D28" i="3" l="1"/>
  <c r="C28" i="3"/>
  <c r="B28" i="3"/>
  <c r="B17" i="3"/>
  <c r="D17" i="3"/>
  <c r="C17" i="3"/>
  <c r="D25" i="3"/>
  <c r="B25" i="3"/>
  <c r="C25" i="3"/>
  <c r="D41" i="3"/>
  <c r="B41" i="3"/>
  <c r="A7" i="3" a="1"/>
  <c r="A7" i="3" s="1"/>
  <c r="C7" i="3" s="1"/>
  <c r="A8" i="3" a="1"/>
  <c r="A8" i="3" s="1"/>
  <c r="C8" i="3" s="1"/>
  <c r="D7" i="3"/>
  <c r="B7" i="3"/>
  <c r="C26" i="3"/>
  <c r="D26" i="3"/>
  <c r="B26" i="3"/>
  <c r="B36" i="3"/>
  <c r="C36" i="3"/>
  <c r="D36" i="3"/>
  <c r="B10" i="3"/>
  <c r="D10" i="3"/>
  <c r="C10" i="3"/>
  <c r="D14" i="3"/>
  <c r="B14" i="3"/>
  <c r="C14" i="3"/>
  <c r="C32" i="3"/>
  <c r="D32" i="3"/>
  <c r="B32" i="3"/>
  <c r="C18" i="3"/>
  <c r="B18" i="3"/>
  <c r="D18" i="3"/>
  <c r="D37" i="3"/>
  <c r="C37" i="3"/>
  <c r="B37" i="3"/>
  <c r="D15" i="3"/>
  <c r="C15" i="3"/>
  <c r="B15" i="3"/>
  <c r="C19" i="3"/>
  <c r="B19" i="3"/>
  <c r="D19" i="3"/>
  <c r="D39" i="3"/>
  <c r="C39" i="3"/>
  <c r="B39" i="3"/>
  <c r="C21" i="3"/>
  <c r="B21" i="3"/>
  <c r="D21" i="3"/>
  <c r="B40" i="3"/>
  <c r="C40" i="3"/>
  <c r="D40" i="3"/>
  <c r="D3" i="3"/>
  <c r="C3" i="3"/>
  <c r="B3" i="3"/>
  <c r="C35" i="3"/>
  <c r="B35" i="3"/>
  <c r="D35" i="3"/>
  <c r="B4" i="3"/>
  <c r="C11" i="3"/>
  <c r="C4" i="3"/>
  <c r="C22" i="3"/>
  <c r="D29" i="3"/>
  <c r="B11" i="3"/>
  <c r="B29" i="3"/>
  <c r="B33" i="3"/>
  <c r="B38" i="3"/>
  <c r="D9" i="3"/>
  <c r="B13" i="3"/>
  <c r="C20" i="3"/>
  <c r="D27" i="3"/>
  <c r="B31" i="3"/>
  <c r="C38" i="3"/>
  <c r="D22" i="3"/>
  <c r="D33" i="3"/>
  <c r="C1" i="3"/>
  <c r="B30" i="3"/>
  <c r="B23" i="3"/>
  <c r="C30" i="3"/>
  <c r="B34" i="3"/>
  <c r="C41" i="3"/>
  <c r="C9" i="3"/>
  <c r="D16" i="3"/>
  <c r="B20" i="3"/>
  <c r="C27" i="3"/>
  <c r="D34" i="3"/>
  <c r="C2" i="3"/>
  <c r="D2" i="3"/>
  <c r="B6" i="3"/>
  <c r="C13" i="3"/>
  <c r="B24" i="3"/>
  <c r="C31" i="3"/>
  <c r="B42" i="3"/>
  <c r="B1" i="3"/>
  <c r="B12" i="3"/>
  <c r="B5" i="3"/>
  <c r="C12" i="3"/>
  <c r="B16" i="3"/>
  <c r="C23" i="3"/>
  <c r="C6" i="3"/>
  <c r="C24" i="3"/>
  <c r="C42" i="3"/>
  <c r="C5" i="3"/>
  <c r="B8" i="3" l="1"/>
  <c r="D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<sst xmlns="http://schemas.openxmlformats.org/spreadsheetml/2006/main" count="101" uniqueCount="78">
  <si>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</si>
  <si>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</si>
  <si>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</si>
  <si>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</si>
  <si>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</si>
  <si>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</si>
  <si>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</si>
  <si>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</si>
  <si>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</si>
  <si>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</si>
  <si>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</si>
  <si>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</si>
  <si>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</si>
  <si>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</si>
  <si>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</si>
  <si>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</si>
  <si>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</si>
  <si>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</si>
  <si>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</si>
  <si>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</si>
  <si>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</si>
  <si>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</si>
  <si>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</si>
  <si>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</si>
  <si>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</si>
  <si>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</si>
  <si>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</si>
  <si>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</si>
  <si>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</si>
  <si>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</si>
  <si>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</si>
  <si>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</si>
  <si>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</si>
  <si>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</si>
  <si>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</si>
  <si>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ACCRINT#1</t>
  </si>
  <si>
    <t>ACCRINT#2</t>
  </si>
  <si>
    <t>ACCRINT#3</t>
  </si>
  <si>
    <t>ACCRINT#4</t>
  </si>
  <si>
    <t>ACCRINT#5</t>
  </si>
  <si>
    <t>ACCRINT#6</t>
  </si>
  <si>
    <t>ACCRINT#7</t>
  </si>
  <si>
    <t>ACCRINT#8</t>
  </si>
  <si>
    <t>ACCRINT#9</t>
  </si>
  <si>
    <t>ACCRINT#10</t>
  </si>
  <si>
    <t>ACCRINT#11</t>
  </si>
  <si>
    <t>ACCRINT#12</t>
  </si>
  <si>
    <t>ACCRINT#13</t>
  </si>
  <si>
    <t>ACCRINT#14</t>
  </si>
  <si>
    <t>ACCRINT#15</t>
  </si>
  <si>
    <t>ACCRINT#16</t>
  </si>
  <si>
    <t>ACCRINT#17</t>
  </si>
  <si>
    <t>ACCRINT#18</t>
  </si>
  <si>
    <t>ACCRINT#19</t>
  </si>
  <si>
    <t>ACCRINT#20</t>
  </si>
  <si>
    <t>ACCRINT#21</t>
  </si>
  <si>
    <t>ACCRINT#22</t>
  </si>
  <si>
    <t>ACCRINT#23</t>
  </si>
  <si>
    <t>ACCRINT#24</t>
  </si>
  <si>
    <t>ACCRINT#25</t>
  </si>
  <si>
    <t>ACCRINT#26</t>
  </si>
  <si>
    <t>ACCRINT#27</t>
  </si>
  <si>
    <t>ACCRINT#28</t>
  </si>
  <si>
    <t>ACCRINT#29</t>
  </si>
  <si>
    <t>ACCRINT#30</t>
  </si>
  <si>
    <t>ACCRINT#31</t>
  </si>
  <si>
    <t>ACCRINT#32</t>
  </si>
  <si>
    <t>ACCRINT#33</t>
  </si>
  <si>
    <t>ACCRINT#34</t>
  </si>
  <si>
    <t>ACCRINT#35</t>
  </si>
  <si>
    <t>ACCRINT#36</t>
  </si>
  <si>
    <t>ACCRINT#37</t>
  </si>
  <si>
    <t>ACCRINT#38</t>
  </si>
  <si>
    <t>ACCRINT#39</t>
  </si>
  <si>
    <t>ACCRINT#40</t>
  </si>
  <si>
    <t>ACCRINT#41</t>
  </si>
  <si>
    <t>ACCRINT#42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</si>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</sst>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/>
  </sheetViews>
  <sheetFormatPr baseColWidth="10" defaultColWidth="8.83203125" defaultRowHeight="15" x14ac:dyDescent="0.2"/>
  <sheetData>
    <row r="1" spans="1:8" x14ac:dyDescent="0.2">
      <c r="A1">
        <f>DATE(2017,1,1)</f>
        <v>42736</v>
      </c>
      <c r="B1">
        <f>DATE(2017,12,1)</f>
        <v>43070</v>
      </c>
      <c r="C1">
        <f>DATE(2017, 4,1)</f>
        <v>42826</v>
      </c>
      <c r="D1">
        <v>0.33</v>
      </c>
      <c r="E1">
        <v>3000</v>
      </c>
      <c r="F1">
        <v>4</v>
      </c>
      <c r="G1">
        <v>1</v>
      </c>
      <c r="H1" t="b">
        <v>0</v>
      </c>
    </row>
    <row r="2" spans="1:8" x14ac:dyDescent="0.2">
      <c r="A2">
        <f>DATE(2020,2,3)</f>
        <v>43864</v>
      </c>
      <c r="B2">
        <f>DATE(2023,12,1)</f>
        <v>45261</v>
      </c>
      <c r="C2">
        <f>DATE(2023, 4,12)</f>
        <v>45028</v>
      </c>
      <c r="D2">
        <v>0.33</v>
      </c>
      <c r="E2">
        <v>3000</v>
      </c>
      <c r="F2">
        <v>4.3</v>
      </c>
      <c r="G2">
        <v>1</v>
      </c>
      <c r="H2" t="b">
        <v>0</v>
      </c>
    </row>
    <row r="3" spans="1:8" x14ac:dyDescent="0.2">
      <c r="A3">
        <v>44166</v>
      </c>
      <c r="B3">
        <v>44531</v>
      </c>
      <c r="C3">
        <v>44301</v>
      </c>
      <c r="D3">
        <v>2.5000000000000001E-2</v>
      </c>
      <c r="E3">
        <v>5000</v>
      </c>
      <c r="F3">
        <v>4</v>
      </c>
      <c r="G3">
        <v>1</v>
      </c>
      <c r="H3" t="b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3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ACCRINT(DATE(2017,1,1), DATE(2017,12,1), DATE(2017,4,1), 0.33, 3000, 4, 1)</f>
        <v>241.12362637362637</v>
      </c>
      <c r="B1">
        <f t="shared" ref="B1:B42" si="0">IF(ISERROR(A1),ERROR.TYPE(A1),IF(ISNUMBER(A1),0,IF(ISLOGICAL(A1),IF(A1,-1,-2),IF(ISTEXT(A1),-3,-4))))</f>
        <v>0</v>
      </c>
      <c r="C1">
        <f t="shared" ref="C1:C42" si="1">IF(ISNUMBER(A1),A1,0)</f>
        <v>241.12362637362637</v>
      </c>
      <c r="D1" t="str">
        <f t="shared" ref="D1:D42" si="2">IF(ISTEXT(A1),A1,"")</f>
        <v/>
      </c>
      <c r="E1" t="s">
        <v>35</v>
      </c>
    </row>
    <row r="2" spans="1:5" x14ac:dyDescent="0.2">
      <c r="A2" cm="1">
        <f t="array" ref="A2">ACCRINT(DATE(2017,1,1), DATE(2017,12,1), DATE(2017,4,1), 0.33, 3000, 4, 2)</f>
        <v>236.5</v>
      </c>
      <c r="B2">
        <f t="shared" si="0"/>
        <v>0</v>
      </c>
      <c r="C2">
        <f t="shared" si="1"/>
        <v>236.5</v>
      </c>
      <c r="D2" t="str">
        <f t="shared" si="2"/>
        <v/>
      </c>
      <c r="E2" t="s">
        <v>36</v>
      </c>
    </row>
    <row r="3" spans="1:5" x14ac:dyDescent="0.2">
      <c r="A3" cm="1">
        <f t="array" ref="A3">ACCRINT(DATE(2017,1,1), DATE(2017,12,1), DATE(2017,4,1), 0.33, 3000, 4, 3)</f>
        <v>240.04109589041096</v>
      </c>
      <c r="B3">
        <f t="shared" si="0"/>
        <v>0</v>
      </c>
      <c r="C3">
        <f t="shared" si="1"/>
        <v>240.04109589041096</v>
      </c>
      <c r="D3" t="str">
        <f t="shared" si="2"/>
        <v/>
      </c>
      <c r="E3" t="s">
        <v>37</v>
      </c>
    </row>
    <row r="4" spans="1:5" x14ac:dyDescent="0.2">
      <c r="A4" cm="1">
        <f t="array" ref="A4">ACCRINT(DATE(2016,6,1), DATE(2017,12,1), DATE(2016,9,1), 0.33, 3000, 2, 2)</f>
        <v>239.25000000000003</v>
      </c>
      <c r="B4">
        <f t="shared" si="0"/>
        <v>0</v>
      </c>
      <c r="C4">
        <f t="shared" si="1"/>
        <v>239.25000000000003</v>
      </c>
      <c r="D4" t="str">
        <f t="shared" si="2"/>
        <v/>
      </c>
      <c r="E4" t="s">
        <v>38</v>
      </c>
    </row>
    <row r="5" spans="1:5" x14ac:dyDescent="0.2">
      <c r="A5" cm="1">
        <f t="array" ref="A5">ACCRINT(DATE(2016,6,1), DATE(2017,12,1), DATE(2016,9,1), 0.33, 3000, 2, 1)</f>
        <v>251.55737704918027</v>
      </c>
      <c r="B5">
        <f t="shared" si="0"/>
        <v>0</v>
      </c>
      <c r="C5">
        <f t="shared" si="1"/>
        <v>251.55737704918027</v>
      </c>
      <c r="D5" t="str">
        <f t="shared" si="2"/>
        <v/>
      </c>
      <c r="E5" t="s">
        <v>39</v>
      </c>
    </row>
    <row r="6" spans="1:5" x14ac:dyDescent="0.2">
      <c r="A6" cm="1">
        <f t="array" ref="A6">ACCRINT(DATE(2007,3,1), DATE(2008,8,31), DATE(2008,5,1), 0.1, 1000, 2, 0, FALSE)</f>
        <v>66.944444444444457</v>
      </c>
      <c r="B6">
        <f t="shared" si="0"/>
        <v>0</v>
      </c>
      <c r="C6">
        <f t="shared" si="1"/>
        <v>66.944444444444457</v>
      </c>
      <c r="D6" t="str">
        <f t="shared" si="2"/>
        <v/>
      </c>
      <c r="E6" t="s">
        <v>40</v>
      </c>
    </row>
    <row r="7" spans="1:5" x14ac:dyDescent="0.2">
      <c r="A7" cm="1">
        <f t="array" ref="A7">ACCRINT(Ac!A1,Ac!B1,Ac!C1,Ac!D1,Ac!E1,Ac!F1,Ac!G1,Ac!H1)</f>
        <v>-253.87637362637361</v>
      </c>
      <c r="B7">
        <f t="shared" si="0"/>
        <v>0</v>
      </c>
      <c r="C7">
        <f t="shared" si="1"/>
        <v>-253.87637362637361</v>
      </c>
      <c r="D7" t="str">
        <f t="shared" si="2"/>
        <v/>
      </c>
      <c r="E7" t="s">
        <v>41</v>
      </c>
    </row>
    <row r="8" spans="1:5" x14ac:dyDescent="0.2">
      <c r="A8" cm="1">
        <f t="array" ref="A8">ACCRINT(Ac!A1,Ac!B1,Ac!C1,Ac!D1,Ac!E1,Ac!F1,Ac!G1)</f>
        <v>241.12362637362637</v>
      </c>
      <c r="B8">
        <f t="shared" si="0"/>
        <v>0</v>
      </c>
      <c r="C8">
        <f t="shared" si="1"/>
        <v>241.12362637362637</v>
      </c>
      <c r="D8" t="str">
        <f t="shared" si="2"/>
        <v/>
      </c>
      <c r="E8" t="s">
        <v>42</v>
      </c>
    </row>
    <row r="9" spans="1:5" x14ac:dyDescent="0.2">
      <c r="A9" cm="1">
        <f t="array" ref="A9">ACCRINT(Ac!A2,Ac!B2,Ac!C2,Ac!D2,Ac!E2,Ac!F2,Ac!G2,Ac!H2)</f>
        <v>-312.77472527472526</v>
      </c>
      <c r="B9">
        <f t="shared" si="0"/>
        <v>0</v>
      </c>
      <c r="C9">
        <f t="shared" si="1"/>
        <v>-312.77472527472526</v>
      </c>
      <c r="D9" t="str">
        <f t="shared" si="2"/>
        <v/>
      </c>
      <c r="E9" t="s">
        <v>43</v>
      </c>
    </row>
    <row r="10" spans="1:5" x14ac:dyDescent="0.2">
      <c r="A10" cm="1">
        <f t="array" ref="A10">ACCRINT(Ac!A3,Ac!B3,Ac!C3,Ac!D3,Ac!E3,Ac!F3,Ac!G3,Ac!H3)</f>
        <v>-47.733516483516482</v>
      </c>
      <c r="B10">
        <f t="shared" si="0"/>
        <v>0</v>
      </c>
      <c r="C10">
        <f t="shared" si="1"/>
        <v>-47.733516483516482</v>
      </c>
      <c r="D10" t="str">
        <f t="shared" si="2"/>
        <v/>
      </c>
      <c r="E10" t="s">
        <v>44</v>
      </c>
    </row>
    <row r="11" spans="1:5" x14ac:dyDescent="0.2">
      <c r="A11" cm="1">
        <f t="array" ref="A11">ACCRINT(39508,39691,39569,0.1,1000,4)</f>
        <v>16.944444444444446</v>
      </c>
      <c r="B11">
        <f t="shared" si="0"/>
        <v>0</v>
      </c>
      <c r="C11">
        <f t="shared" si="1"/>
        <v>16.944444444444446</v>
      </c>
      <c r="D11" t="str">
        <f t="shared" si="2"/>
        <v/>
      </c>
      <c r="E11" t="s">
        <v>45</v>
      </c>
    </row>
    <row r="12" spans="1:5" x14ac:dyDescent="0.2">
      <c r="A12" cm="1">
        <f t="array" ref="A12">ACCRINT(42736,43070,42826,0.33,3000,2,1,FALSE)</f>
        <v>245.68681318681323</v>
      </c>
      <c r="B12">
        <f t="shared" si="0"/>
        <v>0</v>
      </c>
      <c r="C12">
        <f t="shared" si="1"/>
        <v>245.68681318681323</v>
      </c>
      <c r="D12" t="str">
        <f t="shared" si="2"/>
        <v/>
      </c>
      <c r="E12" t="s">
        <v>46</v>
      </c>
    </row>
    <row r="13" spans="1:5" x14ac:dyDescent="0.2">
      <c r="A13" cm="1">
        <f t="array" ref="A13">ACCRINT(43864,45261,45028,0.33,3000,1,1,FALSE)</f>
        <v>1174.9126431619134</v>
      </c>
      <c r="B13">
        <f t="shared" si="0"/>
        <v>0</v>
      </c>
      <c r="C13">
        <f t="shared" si="1"/>
        <v>1174.9126431619134</v>
      </c>
      <c r="D13" t="str">
        <f t="shared" si="2"/>
        <v/>
      </c>
      <c r="E13" t="s">
        <v>47</v>
      </c>
    </row>
    <row r="14" spans="1:5" x14ac:dyDescent="0.2">
      <c r="A14" cm="1">
        <f t="array" ref="A14">ACCRINT(43864,45261,45028,0.33,3000,2,4,FALSE)</f>
        <v>189.75</v>
      </c>
      <c r="B14">
        <f t="shared" si="0"/>
        <v>0</v>
      </c>
      <c r="C14">
        <f t="shared" si="1"/>
        <v>189.75</v>
      </c>
      <c r="D14" t="str">
        <f t="shared" si="2"/>
        <v/>
      </c>
      <c r="E14" t="s">
        <v>48</v>
      </c>
    </row>
    <row r="15" spans="1:5" x14ac:dyDescent="0.2">
      <c r="A15" cm="1">
        <f t="array" ref="A15">ACCRINT(43864,45261,45028,0.33,3000,4.7,3)</f>
        <v>3153.0821917808221</v>
      </c>
      <c r="B15">
        <f t="shared" si="0"/>
        <v>0</v>
      </c>
      <c r="C15">
        <f t="shared" si="1"/>
        <v>3153.0821917808221</v>
      </c>
      <c r="D15" t="str">
        <f t="shared" si="2"/>
        <v/>
      </c>
      <c r="E15" t="s">
        <v>49</v>
      </c>
    </row>
    <row r="16" spans="1:5" x14ac:dyDescent="0.2">
      <c r="A16" cm="1">
        <f t="array" ref="A16">ACCRINT(44166,44531,44531,0.1,1000,2,2,FALSE)</f>
        <v>50.833333333333329</v>
      </c>
      <c r="B16">
        <f t="shared" si="0"/>
        <v>0</v>
      </c>
      <c r="C16">
        <f t="shared" si="1"/>
        <v>50.833333333333329</v>
      </c>
      <c r="D16" t="str">
        <f t="shared" si="2"/>
        <v/>
      </c>
      <c r="E16" t="s">
        <v>50</v>
      </c>
    </row>
    <row r="17" spans="1:5" x14ac:dyDescent="0.2">
      <c r="A17" cm="1">
        <f t="array" ref="A17">ACCRINT(44191,44531,44256,0.025,5000,2,1,TRUE)</f>
        <v>22.494070137512765</v>
      </c>
      <c r="B17">
        <f t="shared" si="0"/>
        <v>0</v>
      </c>
      <c r="C17">
        <f t="shared" si="1"/>
        <v>22.494070137512765</v>
      </c>
      <c r="D17" t="str">
        <f t="shared" si="2"/>
        <v/>
      </c>
      <c r="E17" t="s">
        <v>51</v>
      </c>
    </row>
    <row r="18" spans="1:5" x14ac:dyDescent="0.2">
      <c r="A18" cm="1">
        <f t="array" ref="A18">ACCRINT(44804,45351,45047,0.075,100,2,4,TRUE)</f>
        <v>5.0208333333333339</v>
      </c>
      <c r="B18">
        <f t="shared" si="0"/>
        <v>0</v>
      </c>
      <c r="C18">
        <f t="shared" si="1"/>
        <v>5.0208333333333339</v>
      </c>
      <c r="D18" t="str">
        <f t="shared" si="2"/>
        <v/>
      </c>
      <c r="E18" t="s">
        <v>52</v>
      </c>
    </row>
    <row r="19" spans="1:5" x14ac:dyDescent="0.2">
      <c r="A19" cm="1">
        <f t="array" ref="A19">ACCRINT(43435,44531,43983,0.1,1000,1,0,FALSE)</f>
        <v>-50</v>
      </c>
      <c r="B19">
        <f t="shared" si="0"/>
        <v>0</v>
      </c>
      <c r="C19">
        <f t="shared" si="1"/>
        <v>-50</v>
      </c>
      <c r="D19" t="str">
        <f t="shared" si="2"/>
        <v/>
      </c>
      <c r="E19" t="s">
        <v>53</v>
      </c>
    </row>
    <row r="20" spans="1:5" x14ac:dyDescent="0.2">
      <c r="A20" cm="1">
        <f t="array" ref="A20">ACCRINT(44135,44408,44242,0.025,5000,4,1,TRUE)</f>
        <v>37.364130434782609</v>
      </c>
      <c r="B20">
        <f t="shared" si="0"/>
        <v>0</v>
      </c>
      <c r="C20">
        <f t="shared" si="1"/>
        <v>37.364130434782609</v>
      </c>
      <c r="D20" t="str">
        <f t="shared" si="2"/>
        <v/>
      </c>
      <c r="E20" t="s">
        <v>54</v>
      </c>
    </row>
    <row r="21" spans="1:5" x14ac:dyDescent="0.2">
      <c r="A21" cm="1">
        <f t="array" ref="A21">ACCRINT(43845,44166,43922,0.05,1000,4,0,FALSE)</f>
        <v>-14.444444444444446</v>
      </c>
      <c r="B21">
        <f t="shared" si="0"/>
        <v>0</v>
      </c>
      <c r="C21">
        <f t="shared" si="1"/>
        <v>-14.444444444444446</v>
      </c>
      <c r="D21" t="str">
        <f t="shared" si="2"/>
        <v/>
      </c>
      <c r="E21" t="s">
        <v>55</v>
      </c>
    </row>
    <row r="22" spans="1:5" x14ac:dyDescent="0.2">
      <c r="A22" cm="1">
        <f t="array" ref="A22">ACCRINT(43800,44531,44440,0.1,1000,2,3,FALSE)</f>
        <v>25.205479452054796</v>
      </c>
      <c r="B22">
        <f t="shared" si="0"/>
        <v>0</v>
      </c>
      <c r="C22">
        <f t="shared" si="1"/>
        <v>25.205479452054796</v>
      </c>
      <c r="D22" t="str">
        <f t="shared" si="2"/>
        <v/>
      </c>
      <c r="E22" t="s">
        <v>56</v>
      </c>
    </row>
    <row r="23" spans="1:5" x14ac:dyDescent="0.2">
      <c r="A23" cm="1">
        <f t="array" ref="A23">ACCRINT(DATE(2024,10,1),DATE(2024,8,30),DATE(2025,9,15),0.05,1000,2,0)</f>
        <v>47.553418803418808</v>
      </c>
      <c r="B23">
        <f t="shared" si="0"/>
        <v>0</v>
      </c>
      <c r="C23">
        <f t="shared" si="1"/>
        <v>47.553418803418808</v>
      </c>
      <c r="D23" t="str">
        <f t="shared" si="2"/>
        <v/>
      </c>
      <c r="E23" t="s">
        <v>57</v>
      </c>
    </row>
    <row r="24" spans="1:5" x14ac:dyDescent="0.2">
      <c r="A24" cm="1">
        <f t="array" ref="A24">ACCRINT(DATE(2024,3,15),DATE(2024,8,30),DATE(2025,9,15),0.05,1000,2,1)</f>
        <v>75.26121419564042</v>
      </c>
      <c r="B24">
        <f t="shared" si="0"/>
        <v>0</v>
      </c>
      <c r="C24">
        <f t="shared" si="1"/>
        <v>75.26121419564042</v>
      </c>
      <c r="D24" t="str">
        <f t="shared" si="2"/>
        <v/>
      </c>
      <c r="E24" t="s">
        <v>58</v>
      </c>
    </row>
    <row r="25" spans="1:5" x14ac:dyDescent="0.2">
      <c r="A25" cm="1">
        <f t="array" ref="A25">ACCRINT(DATE(2022,9,10),DATE(2024,8,30),DATE(2024,5,1),0.05,1000,2,1)</f>
        <v>81.703641007365164</v>
      </c>
      <c r="B25">
        <f t="shared" si="0"/>
        <v>0</v>
      </c>
      <c r="C25">
        <f t="shared" si="1"/>
        <v>81.703641007365164</v>
      </c>
      <c r="D25" t="str">
        <f t="shared" si="2"/>
        <v/>
      </c>
      <c r="E25" t="s">
        <v>59</v>
      </c>
    </row>
    <row r="26" spans="1:5" x14ac:dyDescent="0.2">
      <c r="A26" cm="1">
        <f t="array" ref="A26">ACCRINT(DATE(2022,9,10),DATE(2024,8,30),DATE(2024,5,1),0.05,1000,2,0)</f>
        <v>81.549145299145295</v>
      </c>
      <c r="B26">
        <f t="shared" si="0"/>
        <v>0</v>
      </c>
      <c r="C26">
        <f t="shared" si="1"/>
        <v>81.549145299145295</v>
      </c>
      <c r="D26" t="str">
        <f t="shared" si="2"/>
        <v/>
      </c>
      <c r="E26" t="s">
        <v>60</v>
      </c>
    </row>
    <row r="27" spans="1:5" x14ac:dyDescent="0.2">
      <c r="A27" cm="1">
        <f t="array" ref="A27">ACCRINT(DATE(2024,1,10),DATE(2024,4,30),DATE(2024,11,15),0.05,1000,2,1)</f>
        <v>42.307692307692307</v>
      </c>
      <c r="B27">
        <f t="shared" si="0"/>
        <v>0</v>
      </c>
      <c r="C27">
        <f t="shared" si="1"/>
        <v>42.307692307692307</v>
      </c>
      <c r="D27" t="str">
        <f t="shared" si="2"/>
        <v/>
      </c>
      <c r="E27" t="s">
        <v>61</v>
      </c>
    </row>
    <row r="28" spans="1:5" x14ac:dyDescent="0.2">
      <c r="A28" cm="1">
        <f t="array" ref="A28">ACCRINT(DATE(2022,6,1),DATE(2024,2,28),DATE(2025,6,1),0.05,1000,1,1)</f>
        <v>150</v>
      </c>
      <c r="B28">
        <f t="shared" si="0"/>
        <v>0</v>
      </c>
      <c r="C28">
        <f t="shared" si="1"/>
        <v>150</v>
      </c>
      <c r="D28" t="str">
        <f t="shared" si="2"/>
        <v/>
      </c>
      <c r="E28" t="s">
        <v>62</v>
      </c>
    </row>
    <row r="29" spans="1:5" x14ac:dyDescent="0.2">
      <c r="A29" cm="1">
        <f t="array" ref="A29">ACCRINT(DATE(2022,6,1),DATE(2024,2,29),DATE(2025,6,1),0.05,1000,1,1)</f>
        <v>149.96519200538961</v>
      </c>
      <c r="B29">
        <f t="shared" si="0"/>
        <v>0</v>
      </c>
      <c r="C29">
        <f t="shared" si="1"/>
        <v>149.96519200538961</v>
      </c>
      <c r="D29" t="str">
        <f t="shared" si="2"/>
        <v/>
      </c>
      <c r="E29" t="s">
        <v>63</v>
      </c>
    </row>
    <row r="30" spans="1:5" x14ac:dyDescent="0.2">
      <c r="A30" cm="1">
        <f t="array" ref="A30">ACCRINT(DATE(2024,1,1),DATE(2024,7,1),DATE(2025,7,1),0.05,1000,2,0)</f>
        <v>75</v>
      </c>
      <c r="B30">
        <f t="shared" si="0"/>
        <v>0</v>
      </c>
      <c r="C30">
        <f t="shared" si="1"/>
        <v>75</v>
      </c>
      <c r="D30" t="str">
        <f t="shared" si="2"/>
        <v/>
      </c>
      <c r="E30" t="s">
        <v>64</v>
      </c>
    </row>
    <row r="31" spans="1:5" x14ac:dyDescent="0.2">
      <c r="A31" cm="1">
        <f t="array" ref="A31">ACCRINT(DATE(2024,1,1),DATE(2024,7,1),DATE(2025,7,1),0.05,1000,2,1)</f>
        <v>74.862637362637358</v>
      </c>
      <c r="B31">
        <f t="shared" si="0"/>
        <v>0</v>
      </c>
      <c r="C31">
        <f t="shared" si="1"/>
        <v>74.862637362637358</v>
      </c>
      <c r="D31" t="str">
        <f t="shared" si="2"/>
        <v/>
      </c>
      <c r="E31" t="s">
        <v>65</v>
      </c>
    </row>
    <row r="32" spans="1:5" x14ac:dyDescent="0.2">
      <c r="A32" cm="1">
        <f t="array" ref="A32">ACCRINT(DATE(2023,7,1),DATE(2024,7,1),DATE(2024,3,15),0.05,1000,2,1)</f>
        <v>35.164835164835161</v>
      </c>
      <c r="B32">
        <f t="shared" si="0"/>
        <v>0</v>
      </c>
      <c r="C32">
        <f t="shared" si="1"/>
        <v>35.164835164835161</v>
      </c>
      <c r="D32" t="str">
        <f t="shared" si="2"/>
        <v/>
      </c>
      <c r="E32" t="s">
        <v>66</v>
      </c>
    </row>
    <row r="33" spans="1:5" x14ac:dyDescent="0.2">
      <c r="A33" cm="1">
        <f t="array" ref="A33">ACCRINT(DATE(2024,9,1),DATE(2024,7,1),DATE(2025,3,1),0.05,1000,2,0)</f>
        <v>25</v>
      </c>
      <c r="B33">
        <f t="shared" si="0"/>
        <v>0</v>
      </c>
      <c r="C33">
        <f t="shared" si="1"/>
        <v>25</v>
      </c>
      <c r="D33" t="str">
        <f t="shared" si="2"/>
        <v/>
      </c>
      <c r="E33" t="s">
        <v>67</v>
      </c>
    </row>
    <row r="34" spans="1:5" x14ac:dyDescent="0.2">
      <c r="A34" cm="1">
        <f t="array" ref="A34">ACCRINT(DATE(2024,9,1),DATE(2024,7,1),DATE(2025,3,1),0.05,1000,2,0,FALSE)</f>
        <v>25</v>
      </c>
      <c r="B34">
        <f t="shared" si="0"/>
        <v>0</v>
      </c>
      <c r="C34">
        <f t="shared" si="1"/>
        <v>25</v>
      </c>
      <c r="D34" t="str">
        <f t="shared" si="2"/>
        <v/>
      </c>
      <c r="E34" t="s">
        <v>68</v>
      </c>
    </row>
    <row r="35" spans="1:5" x14ac:dyDescent="0.2">
      <c r="A35" cm="1">
        <f t="array" ref="A35">ACCRINT(DATE(2023,3,15),DATE(2024,1,31),DATE(2024,9,10),0.06,1000,4,0,FALSE)</f>
        <v>59.166666666666671</v>
      </c>
      <c r="B35">
        <f t="shared" si="0"/>
        <v>0</v>
      </c>
      <c r="C35">
        <f t="shared" si="1"/>
        <v>59.166666666666671</v>
      </c>
      <c r="D35" t="str">
        <f t="shared" si="2"/>
        <v/>
      </c>
      <c r="E35" t="s">
        <v>69</v>
      </c>
    </row>
    <row r="36" spans="1:5" x14ac:dyDescent="0.2">
      <c r="A36" cm="1">
        <f t="array" ref="A36">ACCRINT(DATE(2023,3,15),DATE(2024,1,31),DATE(2024,9,10),0.06,1000,4,4,FALSE)</f>
        <v>59.166666666666671</v>
      </c>
      <c r="B36">
        <f t="shared" si="0"/>
        <v>0</v>
      </c>
      <c r="C36">
        <f t="shared" si="1"/>
        <v>59.166666666666671</v>
      </c>
      <c r="D36" t="str">
        <f t="shared" si="2"/>
        <v/>
      </c>
      <c r="E36" t="s">
        <v>70</v>
      </c>
    </row>
    <row r="37" spans="1:5" x14ac:dyDescent="0.2">
      <c r="A37" cm="1">
        <f t="array" ref="A37">ACCRINT(DATE(2023,3,15),DATE(2024,1,31),DATE(2024,9,10),0.06,1000,4,3,TRUE)</f>
        <v>89.301369863013704</v>
      </c>
      <c r="B37">
        <f t="shared" si="0"/>
        <v>0</v>
      </c>
      <c r="C37">
        <f t="shared" si="1"/>
        <v>89.301369863013704</v>
      </c>
      <c r="D37" t="str">
        <f t="shared" si="2"/>
        <v/>
      </c>
      <c r="E37" t="s">
        <v>71</v>
      </c>
    </row>
    <row r="38" spans="1:5" x14ac:dyDescent="0.2">
      <c r="A38" cm="1">
        <f t="array" ref="A38">ACCRINT(DATE(2024,2,1),DATE(2024,7,1),DATE(2025,3,1),0.05,1000,2,1,FALSE)</f>
        <v>54.120879120879117</v>
      </c>
      <c r="B38">
        <f t="shared" si="0"/>
        <v>0</v>
      </c>
      <c r="C38">
        <f t="shared" si="1"/>
        <v>54.120879120879117</v>
      </c>
      <c r="D38" t="str">
        <f t="shared" si="2"/>
        <v/>
      </c>
      <c r="E38" t="s">
        <v>72</v>
      </c>
    </row>
    <row r="39" spans="1:5" x14ac:dyDescent="0.2">
      <c r="A39" cm="1">
        <f t="array" ref="A39">ACCRINT(DATE(2022,1,1),DATE(2024,6,30),DATE(2023,3,1),0.05,1000,1,0,FALSE)</f>
        <v>8.3333333333333339</v>
      </c>
      <c r="B39">
        <f t="shared" si="0"/>
        <v>0</v>
      </c>
      <c r="C39">
        <f t="shared" si="1"/>
        <v>8.3333333333333339</v>
      </c>
      <c r="D39" t="str">
        <f t="shared" si="2"/>
        <v/>
      </c>
      <c r="E39" t="s">
        <v>73</v>
      </c>
    </row>
    <row r="40" spans="1:5" x14ac:dyDescent="0.2">
      <c r="A40" cm="1">
        <f t="array" ref="A40">ACCRINT(DATE(2023,9,15),DATE(2024,8,31),DATE(2024,10,15),0.05,1000,2,2)</f>
        <v>54.44444444444445</v>
      </c>
      <c r="B40">
        <f t="shared" si="0"/>
        <v>0</v>
      </c>
      <c r="C40">
        <f t="shared" si="1"/>
        <v>54.44444444444445</v>
      </c>
      <c r="D40" t="str">
        <f t="shared" si="2"/>
        <v/>
      </c>
      <c r="E40" t="s">
        <v>74</v>
      </c>
    </row>
    <row r="41" spans="1:5" x14ac:dyDescent="0.2">
      <c r="A41" cm="1">
        <f t="array" ref="A41">ACCRINT(DATE(2023,9,15),DATE(2024,8,31),DATE(2024,10,15),0.05,1000,2,0)</f>
        <v>54.027777777777771</v>
      </c>
      <c r="B41">
        <f t="shared" si="0"/>
        <v>0</v>
      </c>
      <c r="C41">
        <f t="shared" si="1"/>
        <v>54.027777777777771</v>
      </c>
      <c r="D41" t="str">
        <f t="shared" si="2"/>
        <v/>
      </c>
      <c r="E41" t="s">
        <v>75</v>
      </c>
    </row>
    <row r="42" spans="1:5" x14ac:dyDescent="0.2">
      <c r="A42" cm="1">
        <f t="array" ref="A42">ACCRINT(DATE(2023,10,31),DATE(2024,8,31),DATE(2024,9,30),0.05,1000,4,4)</f>
        <v>45.833333333333329</v>
      </c>
      <c r="B42">
        <f t="shared" si="0"/>
        <v>0</v>
      </c>
      <c r="C42">
        <f t="shared" si="1"/>
        <v>45.833333333333329</v>
      </c>
      <c r="D42" t="str">
        <f t="shared" si="2"/>
        <v/>
      </c>
      <c r="E42" t="s">
        <v>76</v>
      </c>
    </row>
    <row r="43" spans="1:5" x14ac:dyDescent="0.2">
      <c r="A43" t="s">
        <v>77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2026-10-17T13:08:40Z</dcterms:created>
  <dcterms:modified xsi:type="dcterms:W3CDTF">2026-10-17T13:08:41Z</dcterms:modified>
  <cp:category/>
</cp:coreProperties>
</file>