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CEB342B1-870C-7449-944B-EB518BDD2EA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A398" i="2" a="1"/>
  <c r="A398" i="2" s="1"/>
  <c r="B398" i="2" s="1"/>
  <c r="A397" i="2" a="1"/>
  <c r="A397" i="2" s="1"/>
  <c r="D397" i="2" s="1"/>
  <c r="A396" i="2" a="1"/>
  <c r="A396" i="2" s="1"/>
  <c r="A395" i="2" a="1"/>
  <c r="A395" i="2" s="1"/>
  <c r="A394" i="2" a="1"/>
  <c r="A394" i="2" s="1"/>
  <c r="A393" i="2" a="1"/>
  <c r="A393" i="2"/>
  <c r="B393" i="2" s="1"/>
  <c r="A392" i="2" a="1"/>
  <c r="A392" i="2"/>
  <c r="A391" i="2" a="1"/>
  <c r="A391" i="2"/>
  <c r="B391" i="2" s="1"/>
  <c r="C390" i="2"/>
  <c r="A390" i="2" a="1"/>
  <c r="A390" i="2" s="1"/>
  <c r="B390" i="2" s="1"/>
  <c r="A389" i="2" a="1"/>
  <c r="A389" i="2" s="1"/>
  <c r="D389" i="2" s="1"/>
  <c r="A388" i="2" a="1"/>
  <c r="A388" i="2" s="1"/>
  <c r="A387" i="2" a="1"/>
  <c r="A387" i="2" s="1"/>
  <c r="A386" i="2" a="1"/>
  <c r="A386" i="2" s="1"/>
  <c r="C386" i="2" s="1"/>
  <c r="A385" i="2" a="1"/>
  <c r="A385" i="2"/>
  <c r="A384" i="2" a="1"/>
  <c r="A384" i="2" s="1"/>
  <c r="D384" i="2" s="1"/>
  <c r="A383" i="2" a="1"/>
  <c r="A383" i="2" s="1"/>
  <c r="A382" i="2" a="1"/>
  <c r="A382" i="2" s="1"/>
  <c r="A381" i="2" a="1"/>
  <c r="A381" i="2" s="1"/>
  <c r="A380" i="2" a="1"/>
  <c r="A380" i="2"/>
  <c r="B380" i="2" s="1"/>
  <c r="A379" i="2" a="1"/>
  <c r="A379" i="2" s="1"/>
  <c r="D379" i="2" s="1"/>
  <c r="A378" i="2" a="1"/>
  <c r="A378" i="2"/>
  <c r="A377" i="2" a="1"/>
  <c r="A377" i="2"/>
  <c r="D377" i="2" s="1"/>
  <c r="A376" i="2" a="1"/>
  <c r="A376" i="2"/>
  <c r="D376" i="2" s="1"/>
  <c r="A375" i="2" a="1"/>
  <c r="A375" i="2"/>
  <c r="C375" i="2" s="1"/>
  <c r="A374" i="2" a="1"/>
  <c r="A374" i="2" s="1"/>
  <c r="D374" i="2" s="1"/>
  <c r="A373" i="2" a="1"/>
  <c r="A373" i="2"/>
  <c r="D373" i="2" s="1"/>
  <c r="A372" i="2" a="1"/>
  <c r="A372" i="2" s="1"/>
  <c r="B372" i="2" s="1"/>
  <c r="A371" i="2" a="1"/>
  <c r="A371" i="2"/>
  <c r="D370" i="2"/>
  <c r="C370" i="2"/>
  <c r="B370" i="2"/>
  <c r="A370" i="2" a="1"/>
  <c r="A370" i="2"/>
  <c r="A369" i="2" a="1"/>
  <c r="A369" i="2"/>
  <c r="C369" i="2" s="1"/>
  <c r="A368" i="2" a="1"/>
  <c r="A368" i="2" s="1"/>
  <c r="B368" i="2" s="1"/>
  <c r="A367" i="2" a="1"/>
  <c r="A367" i="2" s="1"/>
  <c r="A366" i="2" a="1"/>
  <c r="A366" i="2" s="1"/>
  <c r="C366" i="2" s="1"/>
  <c r="A365" i="2" a="1"/>
  <c r="A365" i="2" s="1"/>
  <c r="B365" i="2" s="1"/>
  <c r="A364" i="2" a="1"/>
  <c r="A364" i="2" s="1"/>
  <c r="A363" i="2" a="1"/>
  <c r="A363" i="2" s="1"/>
  <c r="A362" i="2" a="1"/>
  <c r="A362" i="2"/>
  <c r="A361" i="2" a="1"/>
  <c r="A361" i="2" s="1"/>
  <c r="D361" i="2" s="1"/>
  <c r="A360" i="2" a="1"/>
  <c r="A360" i="2" s="1"/>
  <c r="A359" i="2" a="1"/>
  <c r="A359" i="2" s="1"/>
  <c r="D359" i="2" s="1"/>
  <c r="A358" i="2" a="1"/>
  <c r="A358" i="2" s="1"/>
  <c r="A357" i="2" a="1"/>
  <c r="A357" i="2"/>
  <c r="C357" i="2" s="1"/>
  <c r="A356" i="2" a="1"/>
  <c r="A356" i="2" s="1"/>
  <c r="A355" i="2" a="1"/>
  <c r="A355" i="2" s="1"/>
  <c r="A354" i="2" a="1"/>
  <c r="A354" i="2" s="1"/>
  <c r="D354" i="2" s="1"/>
  <c r="A353" i="2" a="1"/>
  <c r="A353" i="2"/>
  <c r="A352" i="2" a="1"/>
  <c r="A352" i="2"/>
  <c r="D352" i="2" s="1"/>
  <c r="A351" i="2" a="1"/>
  <c r="A351" i="2" s="1"/>
  <c r="C351" i="2" s="1"/>
  <c r="A350" i="2" a="1"/>
  <c r="A350" i="2" s="1"/>
  <c r="B350" i="2" s="1"/>
  <c r="A349" i="2" a="1"/>
  <c r="A349" i="2"/>
  <c r="A348" i="2" a="1"/>
  <c r="A348" i="2" s="1"/>
  <c r="D348" i="2" s="1"/>
  <c r="A347" i="2" a="1"/>
  <c r="A347" i="2"/>
  <c r="B347" i="2" s="1"/>
  <c r="A346" i="2" a="1"/>
  <c r="A346" i="2" s="1"/>
  <c r="A345" i="2" a="1"/>
  <c r="A345" i="2" s="1"/>
  <c r="D345" i="2" s="1"/>
  <c r="A344" i="2" a="1"/>
  <c r="A344" i="2"/>
  <c r="B344" i="2" s="1"/>
  <c r="A343" i="2" a="1"/>
  <c r="A343" i="2" s="1"/>
  <c r="A342" i="2" a="1"/>
  <c r="A342" i="2" s="1"/>
  <c r="A341" i="2" a="1"/>
  <c r="A341" i="2" s="1"/>
  <c r="D341" i="2" s="1"/>
  <c r="A340" i="2" a="1"/>
  <c r="A340" i="2" s="1"/>
  <c r="A339" i="2" a="1"/>
  <c r="A339" i="2" s="1"/>
  <c r="A338" i="2" a="1"/>
  <c r="A338" i="2"/>
  <c r="C337" i="2"/>
  <c r="B337" i="2"/>
  <c r="A337" i="2" a="1"/>
  <c r="A337" i="2"/>
  <c r="D337" i="2" s="1"/>
  <c r="A336" i="2" a="1"/>
  <c r="A336" i="2" s="1"/>
  <c r="D336" i="2" s="1"/>
  <c r="A335" i="2" a="1"/>
  <c r="A335" i="2"/>
  <c r="A334" i="2" a="1"/>
  <c r="A334" i="2"/>
  <c r="D334" i="2" s="1"/>
  <c r="A333" i="2" a="1"/>
  <c r="A333" i="2" s="1"/>
  <c r="C333" i="2" s="1"/>
  <c r="A332" i="2" a="1"/>
  <c r="A332" i="2"/>
  <c r="D332" i="2" s="1"/>
  <c r="A331" i="2" a="1"/>
  <c r="A331" i="2"/>
  <c r="B331" i="2" s="1"/>
  <c r="A330" i="2" a="1"/>
  <c r="A330" i="2" s="1"/>
  <c r="D330" i="2" s="1"/>
  <c r="A329" i="2" a="1"/>
  <c r="A329" i="2" s="1"/>
  <c r="A328" i="2" a="1"/>
  <c r="A328" i="2" s="1"/>
  <c r="A327" i="2" a="1"/>
  <c r="A327" i="2" s="1"/>
  <c r="D327" i="2" s="1"/>
  <c r="A326" i="2" a="1"/>
  <c r="A326" i="2"/>
  <c r="B326" i="2" s="1"/>
  <c r="D325" i="2"/>
  <c r="C325" i="2"/>
  <c r="B325" i="2"/>
  <c r="A325" i="2" a="1"/>
  <c r="A325" i="2" s="1"/>
  <c r="A324" i="2" a="1"/>
  <c r="A324" i="2" s="1"/>
  <c r="A323" i="2" a="1"/>
  <c r="A323" i="2"/>
  <c r="C323" i="2" s="1"/>
  <c r="A322" i="2" a="1"/>
  <c r="A322" i="2" s="1"/>
  <c r="A321" i="2" a="1"/>
  <c r="A321" i="2"/>
  <c r="B321" i="2" s="1"/>
  <c r="A320" i="2" a="1"/>
  <c r="A320" i="2"/>
  <c r="D320" i="2" s="1"/>
  <c r="A319" i="2" a="1"/>
  <c r="A319" i="2"/>
  <c r="B319" i="2" s="1"/>
  <c r="C318" i="2"/>
  <c r="A318" i="2" a="1"/>
  <c r="A318" i="2" s="1"/>
  <c r="B318" i="2" s="1"/>
  <c r="A317" i="2" a="1"/>
  <c r="A317" i="2" s="1"/>
  <c r="A316" i="2" a="1"/>
  <c r="A316" i="2" s="1"/>
  <c r="A315" i="2" a="1"/>
  <c r="A315" i="2"/>
  <c r="D314" i="2"/>
  <c r="A314" i="2" a="1"/>
  <c r="A314" i="2"/>
  <c r="C314" i="2" s="1"/>
  <c r="A313" i="2" a="1"/>
  <c r="A313" i="2" s="1"/>
  <c r="A312" i="2" a="1"/>
  <c r="A312" i="2" s="1"/>
  <c r="D312" i="2" s="1"/>
  <c r="A311" i="2" a="1"/>
  <c r="A311" i="2"/>
  <c r="A310" i="2" a="1"/>
  <c r="A310" i="2" s="1"/>
  <c r="A309" i="2" a="1"/>
  <c r="A309" i="2"/>
  <c r="D309" i="2" s="1"/>
  <c r="A308" i="2" a="1"/>
  <c r="A308" i="2" s="1"/>
  <c r="A307" i="2" a="1"/>
  <c r="A307" i="2" s="1"/>
  <c r="B307" i="2" s="1"/>
  <c r="A306" i="2" a="1"/>
  <c r="A306" i="2" s="1"/>
  <c r="A305" i="2" a="1"/>
  <c r="A305" i="2"/>
  <c r="D305" i="2" s="1"/>
  <c r="A304" i="2" a="1"/>
  <c r="A304" i="2" s="1"/>
  <c r="D304" i="2" s="1"/>
  <c r="D303" i="2"/>
  <c r="A303" i="2" a="1"/>
  <c r="A303" i="2" s="1"/>
  <c r="A302" i="2" a="1"/>
  <c r="A302" i="2"/>
  <c r="D302" i="2" s="1"/>
  <c r="A301" i="2" a="1"/>
  <c r="A301" i="2"/>
  <c r="A300" i="2" a="1"/>
  <c r="A300" i="2" s="1"/>
  <c r="C300" i="2" s="1"/>
  <c r="A299" i="2" a="1"/>
  <c r="A299" i="2"/>
  <c r="C298" i="2"/>
  <c r="A298" i="2" a="1"/>
  <c r="A298" i="2"/>
  <c r="D298" i="2" s="1"/>
  <c r="A297" i="2" a="1"/>
  <c r="A297" i="2" s="1"/>
  <c r="A296" i="2" a="1"/>
  <c r="A296" i="2"/>
  <c r="D296" i="2" s="1"/>
  <c r="A295" i="2" a="1"/>
  <c r="A295" i="2" s="1"/>
  <c r="A294" i="2" a="1"/>
  <c r="A294" i="2" s="1"/>
  <c r="C294" i="2" s="1"/>
  <c r="A293" i="2" a="1"/>
  <c r="A293" i="2"/>
  <c r="D293" i="2" s="1"/>
  <c r="A292" i="2" a="1"/>
  <c r="A292" i="2" s="1"/>
  <c r="A291" i="2" a="1"/>
  <c r="A291" i="2" s="1"/>
  <c r="D290" i="2"/>
  <c r="C290" i="2"/>
  <c r="A290" i="2" a="1"/>
  <c r="A290" i="2"/>
  <c r="B290" i="2" s="1"/>
  <c r="A289" i="2" a="1"/>
  <c r="A289" i="2" s="1"/>
  <c r="D289" i="2" s="1"/>
  <c r="A288" i="2" a="1"/>
  <c r="A288" i="2"/>
  <c r="A287" i="2" a="1"/>
  <c r="A287" i="2"/>
  <c r="D287" i="2" s="1"/>
  <c r="A286" i="2" a="1"/>
  <c r="A286" i="2"/>
  <c r="D286" i="2" s="1"/>
  <c r="A285" i="2" a="1"/>
  <c r="A285" i="2" s="1"/>
  <c r="A284" i="2" a="1"/>
  <c r="A284" i="2" s="1"/>
  <c r="C284" i="2" s="1"/>
  <c r="A283" i="2" a="1"/>
  <c r="A283" i="2"/>
  <c r="D283" i="2" s="1"/>
  <c r="A282" i="2" a="1"/>
  <c r="A282" i="2" s="1"/>
  <c r="A281" i="2" a="1"/>
  <c r="A281" i="2" s="1"/>
  <c r="D280" i="2"/>
  <c r="A280" i="2" a="1"/>
  <c r="A280" i="2" s="1"/>
  <c r="C280" i="2" s="1"/>
  <c r="A279" i="2" a="1"/>
  <c r="A279" i="2"/>
  <c r="C279" i="2" s="1"/>
  <c r="A278" i="2" a="1"/>
  <c r="A278" i="2"/>
  <c r="D278" i="2" s="1"/>
  <c r="A277" i="2" a="1"/>
  <c r="A277" i="2" s="1"/>
  <c r="A276" i="2" a="1"/>
  <c r="A276" i="2" s="1"/>
  <c r="D276" i="2" s="1"/>
  <c r="A275" i="2" a="1"/>
  <c r="A275" i="2" s="1"/>
  <c r="D275" i="2" s="1"/>
  <c r="A274" i="2" a="1"/>
  <c r="A274" i="2" s="1"/>
  <c r="A273" i="2" a="1"/>
  <c r="A273" i="2" s="1"/>
  <c r="A272" i="2" a="1"/>
  <c r="A272" i="2" s="1"/>
  <c r="A271" i="2" a="1"/>
  <c r="A271" i="2" s="1"/>
  <c r="D271" i="2" s="1"/>
  <c r="A270" i="2" a="1"/>
  <c r="A270" i="2"/>
  <c r="A269" i="2" a="1"/>
  <c r="A269" i="2"/>
  <c r="D269" i="2" s="1"/>
  <c r="A268" i="2" a="1"/>
  <c r="A268" i="2"/>
  <c r="D268" i="2" s="1"/>
  <c r="A267" i="2" a="1"/>
  <c r="A267" i="2" s="1"/>
  <c r="D267" i="2" s="1"/>
  <c r="A266" i="2" a="1"/>
  <c r="A266" i="2"/>
  <c r="A265" i="2" a="1"/>
  <c r="A265" i="2"/>
  <c r="C265" i="2" s="1"/>
  <c r="A264" i="2" a="1"/>
  <c r="A264" i="2" s="1"/>
  <c r="D264" i="2" s="1"/>
  <c r="A263" i="2" a="1"/>
  <c r="A263" i="2" s="1"/>
  <c r="A262" i="2" a="1"/>
  <c r="A262" i="2" s="1"/>
  <c r="D262" i="2" s="1"/>
  <c r="A261" i="2" a="1"/>
  <c r="A261" i="2" s="1"/>
  <c r="C261" i="2" s="1"/>
  <c r="A260" i="2" a="1"/>
  <c r="A260" i="2"/>
  <c r="D260" i="2" s="1"/>
  <c r="A259" i="2" a="1"/>
  <c r="A259" i="2" s="1"/>
  <c r="A258" i="2" a="1"/>
  <c r="A258" i="2" s="1"/>
  <c r="A257" i="2" a="1"/>
  <c r="A257" i="2"/>
  <c r="D257" i="2" s="1"/>
  <c r="A256" i="2" a="1"/>
  <c r="A256" i="2" s="1"/>
  <c r="A255" i="2" a="1"/>
  <c r="A255" i="2"/>
  <c r="D255" i="2" s="1"/>
  <c r="A254" i="2" a="1"/>
  <c r="A254" i="2" s="1"/>
  <c r="C253" i="2"/>
  <c r="A253" i="2" a="1"/>
  <c r="A253" i="2" s="1"/>
  <c r="D253" i="2" s="1"/>
  <c r="A252" i="2" a="1"/>
  <c r="A252" i="2" s="1"/>
  <c r="A251" i="2" a="1"/>
  <c r="A251" i="2" s="1"/>
  <c r="B251" i="2" s="1"/>
  <c r="A250" i="2" a="1"/>
  <c r="A250" i="2"/>
  <c r="D250" i="2" s="1"/>
  <c r="A249" i="2" a="1"/>
  <c r="A249" i="2" s="1"/>
  <c r="D249" i="2" s="1"/>
  <c r="A248" i="2" a="1"/>
  <c r="A248" i="2"/>
  <c r="A247" i="2" a="1"/>
  <c r="A247" i="2"/>
  <c r="D247" i="2" s="1"/>
  <c r="C246" i="2"/>
  <c r="A246" i="2" a="1"/>
  <c r="A246" i="2" s="1"/>
  <c r="D246" i="2" s="1"/>
  <c r="A245" i="2" a="1"/>
  <c r="A245" i="2" s="1"/>
  <c r="A244" i="2" a="1"/>
  <c r="A244" i="2"/>
  <c r="D244" i="2" s="1"/>
  <c r="A243" i="2" a="1"/>
  <c r="A243" i="2"/>
  <c r="C243" i="2" s="1"/>
  <c r="A242" i="2" a="1"/>
  <c r="A242" i="2" s="1"/>
  <c r="B242" i="2" s="1"/>
  <c r="A241" i="2" a="1"/>
  <c r="A241" i="2" s="1"/>
  <c r="A240" i="2" a="1"/>
  <c r="A240" i="2" s="1"/>
  <c r="D240" i="2" s="1"/>
  <c r="A239" i="2" a="1"/>
  <c r="A239" i="2"/>
  <c r="A238" i="2" a="1"/>
  <c r="A238" i="2" s="1"/>
  <c r="A237" i="2" a="1"/>
  <c r="A237" i="2" s="1"/>
  <c r="A236" i="2" a="1"/>
  <c r="A236" i="2" s="1"/>
  <c r="A235" i="2" a="1"/>
  <c r="A235" i="2" s="1"/>
  <c r="B235" i="2" s="1"/>
  <c r="A234" i="2" a="1"/>
  <c r="A234" i="2" s="1"/>
  <c r="A233" i="2" a="1"/>
  <c r="A233" i="2" s="1"/>
  <c r="D233" i="2" s="1"/>
  <c r="A232" i="2" a="1"/>
  <c r="A232" i="2" s="1"/>
  <c r="D232" i="2" s="1"/>
  <c r="A231" i="2" a="1"/>
  <c r="A231" i="2"/>
  <c r="B231" i="2" s="1"/>
  <c r="A230" i="2" a="1"/>
  <c r="A230" i="2" s="1"/>
  <c r="A229" i="2" a="1"/>
  <c r="A229" i="2"/>
  <c r="B229" i="2" s="1"/>
  <c r="A228" i="2" a="1"/>
  <c r="A228" i="2" s="1"/>
  <c r="D228" i="2" s="1"/>
  <c r="A227" i="2" a="1"/>
  <c r="A227" i="2"/>
  <c r="A226" i="2" a="1"/>
  <c r="A226" i="2"/>
  <c r="D226" i="2" s="1"/>
  <c r="A225" i="2" a="1"/>
  <c r="A225" i="2" s="1"/>
  <c r="C225" i="2" s="1"/>
  <c r="A224" i="2" a="1"/>
  <c r="A224" i="2" s="1"/>
  <c r="B224" i="2" s="1"/>
  <c r="A223" i="2" a="1"/>
  <c r="A223" i="2" s="1"/>
  <c r="B223" i="2" s="1"/>
  <c r="A222" i="2" a="1"/>
  <c r="A222" i="2" s="1"/>
  <c r="C222" i="2" s="1"/>
  <c r="A221" i="2" a="1"/>
  <c r="A221" i="2"/>
  <c r="D221" i="2" s="1"/>
  <c r="A220" i="2" a="1"/>
  <c r="A220" i="2" s="1"/>
  <c r="A219" i="2" a="1"/>
  <c r="A219" i="2"/>
  <c r="A218" i="2" a="1"/>
  <c r="A218" i="2" s="1"/>
  <c r="A217" i="2" a="1"/>
  <c r="A217" i="2" s="1"/>
  <c r="D217" i="2" s="1"/>
  <c r="A216" i="2" a="1"/>
  <c r="A216" i="2"/>
  <c r="A215" i="2" a="1"/>
  <c r="A215" i="2"/>
  <c r="A214" i="2" a="1"/>
  <c r="A214" i="2" s="1"/>
  <c r="D214" i="2" s="1"/>
  <c r="A213" i="2" a="1"/>
  <c r="A213" i="2"/>
  <c r="B213" i="2" s="1"/>
  <c r="C212" i="2"/>
  <c r="A212" i="2" a="1"/>
  <c r="A212" i="2"/>
  <c r="D212" i="2" s="1"/>
  <c r="A211" i="2" a="1"/>
  <c r="A211" i="2"/>
  <c r="B211" i="2" s="1"/>
  <c r="B210" i="2"/>
  <c r="A210" i="2" a="1"/>
  <c r="A210" i="2" s="1"/>
  <c r="D210" i="2" s="1"/>
  <c r="A209" i="2" a="1"/>
  <c r="A209" i="2" s="1"/>
  <c r="A208" i="2" a="1"/>
  <c r="A208" i="2" s="1"/>
  <c r="B208" i="2" s="1"/>
  <c r="A207" i="2" a="1"/>
  <c r="A207" i="2"/>
  <c r="C207" i="2" s="1"/>
  <c r="A206" i="2" a="1"/>
  <c r="A206" i="2" s="1"/>
  <c r="B206" i="2" s="1"/>
  <c r="A205" i="2" a="1"/>
  <c r="A205" i="2" s="1"/>
  <c r="A204" i="2" a="1"/>
  <c r="A204" i="2" s="1"/>
  <c r="C204" i="2" s="1"/>
  <c r="A203" i="2" a="1"/>
  <c r="A203" i="2" s="1"/>
  <c r="D203" i="2" s="1"/>
  <c r="A202" i="2" a="1"/>
  <c r="A202" i="2" s="1"/>
  <c r="A201" i="2" a="1"/>
  <c r="A201" i="2" s="1"/>
  <c r="A200" i="2" a="1"/>
  <c r="A200" i="2" s="1"/>
  <c r="C200" i="2" s="1"/>
  <c r="A199" i="2" a="1"/>
  <c r="A199" i="2" s="1"/>
  <c r="D199" i="2" s="1"/>
  <c r="A198" i="2" a="1"/>
  <c r="A198" i="2"/>
  <c r="A197" i="2" a="1"/>
  <c r="A197" i="2" s="1"/>
  <c r="D197" i="2" s="1"/>
  <c r="A196" i="2" a="1"/>
  <c r="A196" i="2"/>
  <c r="D196" i="2" s="1"/>
  <c r="A195" i="2" a="1"/>
  <c r="A195" i="2" s="1"/>
  <c r="A194" i="2" a="1"/>
  <c r="A194" i="2"/>
  <c r="D194" i="2" s="1"/>
  <c r="D193" i="2"/>
  <c r="B193" i="2"/>
  <c r="A193" i="2" a="1"/>
  <c r="A193" i="2"/>
  <c r="C193" i="2" s="1"/>
  <c r="A192" i="2" a="1"/>
  <c r="A192" i="2" s="1"/>
  <c r="B192" i="2" s="1"/>
  <c r="A191" i="2" a="1"/>
  <c r="A191" i="2" s="1"/>
  <c r="A190" i="2" a="1"/>
  <c r="A190" i="2"/>
  <c r="D190" i="2" s="1"/>
  <c r="A189" i="2" a="1"/>
  <c r="A189" i="2" s="1"/>
  <c r="C189" i="2" s="1"/>
  <c r="A188" i="2" a="1"/>
  <c r="A188" i="2" s="1"/>
  <c r="B188" i="2" s="1"/>
  <c r="A187" i="2" a="1"/>
  <c r="A187" i="2"/>
  <c r="B187" i="2" s="1"/>
  <c r="A186" i="2" a="1"/>
  <c r="A186" i="2" s="1"/>
  <c r="A185" i="2" a="1"/>
  <c r="A185" i="2" s="1"/>
  <c r="A184" i="2" a="1"/>
  <c r="A184" i="2" s="1"/>
  <c r="A183" i="2" a="1"/>
  <c r="A183" i="2" s="1"/>
  <c r="D183" i="2" s="1"/>
  <c r="A182" i="2" a="1"/>
  <c r="A182" i="2" s="1"/>
  <c r="B182" i="2" s="1"/>
  <c r="A181" i="2" a="1"/>
  <c r="A181" i="2" s="1"/>
  <c r="A180" i="2" a="1"/>
  <c r="A180" i="2" s="1"/>
  <c r="A179" i="2" a="1"/>
  <c r="A179" i="2" s="1"/>
  <c r="B179" i="2" s="1"/>
  <c r="C178" i="2"/>
  <c r="A178" i="2" a="1"/>
  <c r="A178" i="2"/>
  <c r="D178" i="2" s="1"/>
  <c r="A177" i="2" a="1"/>
  <c r="A177" i="2" s="1"/>
  <c r="A176" i="2" a="1"/>
  <c r="A176" i="2"/>
  <c r="D175" i="2"/>
  <c r="C175" i="2"/>
  <c r="B175" i="2"/>
  <c r="A175" i="2" a="1"/>
  <c r="A175" i="2"/>
  <c r="D174" i="2"/>
  <c r="C174" i="2"/>
  <c r="A174" i="2" a="1"/>
  <c r="A174" i="2" s="1"/>
  <c r="B174" i="2" s="1"/>
  <c r="A173" i="2" a="1"/>
  <c r="A173" i="2"/>
  <c r="A172" i="2" a="1"/>
  <c r="A172" i="2" s="1"/>
  <c r="A171" i="2" a="1"/>
  <c r="A171" i="2" s="1"/>
  <c r="B171" i="2" s="1"/>
  <c r="A170" i="2" a="1"/>
  <c r="A170" i="2" s="1"/>
  <c r="B170" i="2" s="1"/>
  <c r="A169" i="2" a="1"/>
  <c r="A169" i="2" s="1"/>
  <c r="B169" i="2" s="1"/>
  <c r="A168" i="2" a="1"/>
  <c r="A168" i="2" s="1"/>
  <c r="B168" i="2" s="1"/>
  <c r="A167" i="2" a="1"/>
  <c r="A167" i="2" s="1"/>
  <c r="A166" i="2" a="1"/>
  <c r="A166" i="2" s="1"/>
  <c r="A165" i="2" a="1"/>
  <c r="A165" i="2" s="1"/>
  <c r="D165" i="2" s="1"/>
  <c r="A164" i="2" a="1"/>
  <c r="A164" i="2" s="1"/>
  <c r="A163" i="2" a="1"/>
  <c r="A163" i="2" s="1"/>
  <c r="D163" i="2" s="1"/>
  <c r="A162" i="2" a="1"/>
  <c r="A162" i="2"/>
  <c r="A161" i="2" a="1"/>
  <c r="A161" i="2" s="1"/>
  <c r="A160" i="2" a="1"/>
  <c r="A160" i="2" s="1"/>
  <c r="A159" i="2" a="1"/>
  <c r="A159" i="2"/>
  <c r="B159" i="2" s="1"/>
  <c r="A158" i="2" a="1"/>
  <c r="A158" i="2"/>
  <c r="D158" i="2" s="1"/>
  <c r="A157" i="2" a="1"/>
  <c r="A157" i="2" s="1"/>
  <c r="A156" i="2" a="1"/>
  <c r="A156" i="2" s="1"/>
  <c r="B156" i="2" s="1"/>
  <c r="A155" i="2" a="1"/>
  <c r="A155" i="2" s="1"/>
  <c r="A154" i="2" a="1"/>
  <c r="A154" i="2"/>
  <c r="D154" i="2" s="1"/>
  <c r="A153" i="2" a="1"/>
  <c r="A153" i="2" s="1"/>
  <c r="A152" i="2" a="1"/>
  <c r="A152" i="2"/>
  <c r="D152" i="2" s="1"/>
  <c r="A151" i="2" a="1"/>
  <c r="A151" i="2"/>
  <c r="B151" i="2" s="1"/>
  <c r="D150" i="2"/>
  <c r="A150" i="2" a="1"/>
  <c r="A150" i="2" s="1"/>
  <c r="C150" i="2" s="1"/>
  <c r="A149" i="2" a="1"/>
  <c r="A149" i="2" s="1"/>
  <c r="D149" i="2" s="1"/>
  <c r="A148" i="2" a="1"/>
  <c r="A148" i="2" s="1"/>
  <c r="A147" i="2" a="1"/>
  <c r="A147" i="2"/>
  <c r="D147" i="2" s="1"/>
  <c r="A146" i="2" a="1"/>
  <c r="A146" i="2" s="1"/>
  <c r="C145" i="2"/>
  <c r="A145" i="2" a="1"/>
  <c r="A145" i="2" s="1"/>
  <c r="D145" i="2" s="1"/>
  <c r="A144" i="2" a="1"/>
  <c r="A144" i="2"/>
  <c r="A143" i="2" a="1"/>
  <c r="A143" i="2"/>
  <c r="A142" i="2" a="1"/>
  <c r="A142" i="2" s="1"/>
  <c r="A141" i="2" a="1"/>
  <c r="A141" i="2" s="1"/>
  <c r="A140" i="2" a="1"/>
  <c r="A140" i="2"/>
  <c r="D140" i="2" s="1"/>
  <c r="A139" i="2" a="1"/>
  <c r="A139" i="2"/>
  <c r="D139" i="2" s="1"/>
  <c r="A138" i="2" a="1"/>
  <c r="A138" i="2" s="1"/>
  <c r="A137" i="2" a="1"/>
  <c r="A137" i="2" s="1"/>
  <c r="A136" i="2" a="1"/>
  <c r="A136" i="2" s="1"/>
  <c r="A135" i="2" a="1"/>
  <c r="A135" i="2"/>
  <c r="C135" i="2" s="1"/>
  <c r="D134" i="2"/>
  <c r="C134" i="2"/>
  <c r="B134" i="2"/>
  <c r="A134" i="2" a="1"/>
  <c r="A134" i="2"/>
  <c r="A133" i="2" a="1"/>
  <c r="A133" i="2"/>
  <c r="B133" i="2" s="1"/>
  <c r="A132" i="2" a="1"/>
  <c r="A132" i="2" s="1"/>
  <c r="B132" i="2" s="1"/>
  <c r="A131" i="2" a="1"/>
  <c r="A131" i="2"/>
  <c r="D131" i="2" s="1"/>
  <c r="A130" i="2" a="1"/>
  <c r="A130" i="2" s="1"/>
  <c r="D130" i="2" s="1"/>
  <c r="A129" i="2" a="1"/>
  <c r="A129" i="2" s="1"/>
  <c r="D129" i="2" s="1"/>
  <c r="A128" i="2" a="1"/>
  <c r="A128" i="2"/>
  <c r="B128" i="2" s="1"/>
  <c r="C127" i="2"/>
  <c r="A127" i="2" a="1"/>
  <c r="A127" i="2" s="1"/>
  <c r="D127" i="2" s="1"/>
  <c r="A126" i="2" a="1"/>
  <c r="A126" i="2"/>
  <c r="C126" i="2" s="1"/>
  <c r="A125" i="2" a="1"/>
  <c r="A125" i="2" s="1"/>
  <c r="A124" i="2" a="1"/>
  <c r="A124" i="2"/>
  <c r="D124" i="2" s="1"/>
  <c r="D123" i="2"/>
  <c r="C123" i="2"/>
  <c r="A123" i="2" a="1"/>
  <c r="A123" i="2"/>
  <c r="B123" i="2" s="1"/>
  <c r="A122" i="2" a="1"/>
  <c r="A122" i="2" s="1"/>
  <c r="A121" i="2" a="1"/>
  <c r="A121" i="2" s="1"/>
  <c r="A120" i="2" a="1"/>
  <c r="A120" i="2" s="1"/>
  <c r="A119" i="2" a="1"/>
  <c r="A119" i="2"/>
  <c r="B119" i="2" s="1"/>
  <c r="A118" i="2" a="1"/>
  <c r="A118" i="2"/>
  <c r="D118" i="2" s="1"/>
  <c r="A117" i="2" a="1"/>
  <c r="A117" i="2" s="1"/>
  <c r="A116" i="2" a="1"/>
  <c r="A116" i="2"/>
  <c r="B116" i="2" s="1"/>
  <c r="A115" i="2" a="1"/>
  <c r="A115" i="2" s="1"/>
  <c r="C115" i="2" s="1"/>
  <c r="A114" i="2" a="1"/>
  <c r="A114" i="2" s="1"/>
  <c r="D114" i="2" s="1"/>
  <c r="B113" i="2"/>
  <c r="A113" i="2" a="1"/>
  <c r="A113" i="2" s="1"/>
  <c r="D112" i="2"/>
  <c r="A112" i="2" a="1"/>
  <c r="A112" i="2" s="1"/>
  <c r="A111" i="2" a="1"/>
  <c r="A111" i="2"/>
  <c r="D111" i="2" s="1"/>
  <c r="A110" i="2" a="1"/>
  <c r="A110" i="2" s="1"/>
  <c r="D110" i="2" s="1"/>
  <c r="A109" i="2" a="1"/>
  <c r="A109" i="2" s="1"/>
  <c r="B109" i="2" s="1"/>
  <c r="A108" i="2" a="1"/>
  <c r="A108" i="2" s="1"/>
  <c r="A107" i="2" a="1"/>
  <c r="A107" i="2"/>
  <c r="B107" i="2" s="1"/>
  <c r="A106" i="2" a="1"/>
  <c r="A106" i="2" s="1"/>
  <c r="D106" i="2" s="1"/>
  <c r="A105" i="2" a="1"/>
  <c r="A105" i="2"/>
  <c r="B105" i="2" s="1"/>
  <c r="A104" i="2" a="1"/>
  <c r="A104" i="2"/>
  <c r="A103" i="2" a="1"/>
  <c r="A103" i="2"/>
  <c r="D103" i="2" s="1"/>
  <c r="A102" i="2" a="1"/>
  <c r="A102" i="2" s="1"/>
  <c r="B102" i="2" s="1"/>
  <c r="A101" i="2" a="1"/>
  <c r="A101" i="2"/>
  <c r="B101" i="2" s="1"/>
  <c r="A100" i="2" a="1"/>
  <c r="A100" i="2"/>
  <c r="A99" i="2" a="1"/>
  <c r="A99" i="2" s="1"/>
  <c r="A98" i="2" a="1"/>
  <c r="A98" i="2"/>
  <c r="D98" i="2" s="1"/>
  <c r="A97" i="2" a="1"/>
  <c r="A97" i="2" s="1"/>
  <c r="A96" i="2" a="1"/>
  <c r="A96" i="2" s="1"/>
  <c r="A95" i="2" a="1"/>
  <c r="A95" i="2" s="1"/>
  <c r="C95" i="2" s="1"/>
  <c r="A94" i="2" a="1"/>
  <c r="A94" i="2" s="1"/>
  <c r="A93" i="2" a="1"/>
  <c r="A93" i="2"/>
  <c r="D93" i="2" s="1"/>
  <c r="A92" i="2" a="1"/>
  <c r="A92" i="2"/>
  <c r="B92" i="2" s="1"/>
  <c r="A91" i="2" a="1"/>
  <c r="A91" i="2" s="1"/>
  <c r="D91" i="2" s="1"/>
  <c r="A90" i="2" a="1"/>
  <c r="A90" i="2"/>
  <c r="A89" i="2" a="1"/>
  <c r="A89" i="2" s="1"/>
  <c r="A88" i="2" a="1"/>
  <c r="A88" i="2" s="1"/>
  <c r="A87" i="2" a="1"/>
  <c r="A87" i="2" s="1"/>
  <c r="A86" i="2" a="1"/>
  <c r="A86" i="2" s="1"/>
  <c r="C86" i="2" s="1"/>
  <c r="A85" i="2" a="1"/>
  <c r="A85" i="2"/>
  <c r="D85" i="2" s="1"/>
  <c r="A84" i="2" a="1"/>
  <c r="A84" i="2" s="1"/>
  <c r="D84" i="2" s="1"/>
  <c r="A83" i="2" a="1"/>
  <c r="A83" i="2"/>
  <c r="A82" i="2" a="1"/>
  <c r="A82" i="2"/>
  <c r="B82" i="2" s="1"/>
  <c r="A81" i="2" a="1"/>
  <c r="A81" i="2"/>
  <c r="C81" i="2" s="1"/>
  <c r="D80" i="2"/>
  <c r="A80" i="2" a="1"/>
  <c r="A80" i="2" s="1"/>
  <c r="B80" i="2" s="1"/>
  <c r="A79" i="2" a="1"/>
  <c r="A79" i="2" s="1"/>
  <c r="C79" i="2" s="1"/>
  <c r="A78" i="2" a="1"/>
  <c r="A78" i="2" s="1"/>
  <c r="B78" i="2" s="1"/>
  <c r="D77" i="2"/>
  <c r="A77" i="2" a="1"/>
  <c r="A77" i="2"/>
  <c r="C77" i="2" s="1"/>
  <c r="A76" i="2" a="1"/>
  <c r="A76" i="2" s="1"/>
  <c r="A75" i="2" a="1"/>
  <c r="A75" i="2" s="1"/>
  <c r="A74" i="2" a="1"/>
  <c r="A74" i="2"/>
  <c r="A73" i="2" a="1"/>
  <c r="A73" i="2" s="1"/>
  <c r="C73" i="2" s="1"/>
  <c r="A72" i="2" a="1"/>
  <c r="A72" i="2"/>
  <c r="A71" i="2" a="1"/>
  <c r="A71" i="2"/>
  <c r="D71" i="2" s="1"/>
  <c r="A70" i="2" a="1"/>
  <c r="A70" i="2"/>
  <c r="D70" i="2" s="1"/>
  <c r="A69" i="2" a="1"/>
  <c r="A69" i="2"/>
  <c r="B69" i="2" s="1"/>
  <c r="A68" i="2" a="1"/>
  <c r="A68" i="2"/>
  <c r="D68" i="2" s="1"/>
  <c r="D67" i="2"/>
  <c r="C67" i="2"/>
  <c r="B67" i="2"/>
  <c r="A67" i="2" a="1"/>
  <c r="A67" i="2"/>
  <c r="A66" i="2" a="1"/>
  <c r="A66" i="2" s="1"/>
  <c r="D66" i="2" s="1"/>
  <c r="A65" i="2" a="1"/>
  <c r="A65" i="2"/>
  <c r="A64" i="2" a="1"/>
  <c r="A64" i="2"/>
  <c r="D64" i="2" s="1"/>
  <c r="A63" i="2" a="1"/>
  <c r="A63" i="2" s="1"/>
  <c r="D63" i="2" s="1"/>
  <c r="A62" i="2" a="1"/>
  <c r="A62" i="2"/>
  <c r="D62" i="2" s="1"/>
  <c r="A61" i="2" a="1"/>
  <c r="A61" i="2" s="1"/>
  <c r="A60" i="2" a="1"/>
  <c r="A60" i="2" s="1"/>
  <c r="A59" i="2" a="1"/>
  <c r="A59" i="2" s="1"/>
  <c r="D58" i="2"/>
  <c r="A58" i="2" a="1"/>
  <c r="A58" i="2" s="1"/>
  <c r="A57" i="2" a="1"/>
  <c r="A57" i="2"/>
  <c r="A56" i="2" a="1"/>
  <c r="A56" i="2"/>
  <c r="D56" i="2" s="1"/>
  <c r="A55" i="2" a="1"/>
  <c r="A55" i="2" s="1"/>
  <c r="C55" i="2" s="1"/>
  <c r="A54" i="2" a="1"/>
  <c r="A54" i="2"/>
  <c r="A53" i="2" a="1"/>
  <c r="A53" i="2"/>
  <c r="A52" i="2" a="1"/>
  <c r="A52" i="2"/>
  <c r="C52" i="2" s="1"/>
  <c r="A51" i="2" a="1"/>
  <c r="A51" i="2"/>
  <c r="B51" i="2" s="1"/>
  <c r="A50" i="2" a="1"/>
  <c r="A50" i="2" s="1"/>
  <c r="C50" i="2" s="1"/>
  <c r="A49" i="2" a="1"/>
  <c r="A49" i="2" s="1"/>
  <c r="A48" i="2" a="1"/>
  <c r="A48" i="2" s="1"/>
  <c r="A47" i="2" a="1"/>
  <c r="A47" i="2"/>
  <c r="B47" i="2" s="1"/>
  <c r="D46" i="2"/>
  <c r="A46" i="2" a="1"/>
  <c r="A46" i="2"/>
  <c r="B46" i="2" s="1"/>
  <c r="A45" i="2" a="1"/>
  <c r="A45" i="2"/>
  <c r="A44" i="2" a="1"/>
  <c r="A44" i="2" s="1"/>
  <c r="A43" i="2" a="1"/>
  <c r="A43" i="2" s="1"/>
  <c r="C43" i="2" s="1"/>
  <c r="A42" i="2" a="1"/>
  <c r="A42" i="2" s="1"/>
  <c r="A41" i="2" a="1"/>
  <c r="A41" i="2"/>
  <c r="A40" i="2" a="1"/>
  <c r="A40" i="2" s="1"/>
  <c r="A39" i="2" a="1"/>
  <c r="A39" i="2"/>
  <c r="D39" i="2" s="1"/>
  <c r="A38" i="2" a="1"/>
  <c r="A38" i="2"/>
  <c r="B38" i="2" s="1"/>
  <c r="A37" i="2" a="1"/>
  <c r="A37" i="2" s="1"/>
  <c r="B37" i="2" s="1"/>
  <c r="A36" i="2" a="1"/>
  <c r="A36" i="2" s="1"/>
  <c r="A35" i="2" a="1"/>
  <c r="A35" i="2"/>
  <c r="B35" i="2" s="1"/>
  <c r="A34" i="2" a="1"/>
  <c r="A34" i="2" s="1"/>
  <c r="A33" i="2" a="1"/>
  <c r="A33" i="2"/>
  <c r="B33" i="2" s="1"/>
  <c r="A32" i="2" a="1"/>
  <c r="A32" i="2" s="1"/>
  <c r="B32" i="2" s="1"/>
  <c r="A31" i="2" a="1"/>
  <c r="A31" i="2" s="1"/>
  <c r="D30" i="2"/>
  <c r="A30" i="2" a="1"/>
  <c r="A30" i="2"/>
  <c r="C30" i="2" s="1"/>
  <c r="A29" i="2" a="1"/>
  <c r="A29" i="2"/>
  <c r="A28" i="2" a="1"/>
  <c r="A28" i="2" s="1"/>
  <c r="B28" i="2" s="1"/>
  <c r="A27" i="2" a="1"/>
  <c r="A27" i="2" s="1"/>
  <c r="A26" i="2" a="1"/>
  <c r="A26" i="2" s="1"/>
  <c r="A25" i="2" a="1"/>
  <c r="A25" i="2"/>
  <c r="D25" i="2" s="1"/>
  <c r="A24" i="2" a="1"/>
  <c r="A24" i="2" s="1"/>
  <c r="A23" i="2" a="1"/>
  <c r="A23" i="2"/>
  <c r="C23" i="2" s="1"/>
  <c r="A22" i="2" a="1"/>
  <c r="A22" i="2"/>
  <c r="D22" i="2" s="1"/>
  <c r="A21" i="2" a="1"/>
  <c r="A21" i="2"/>
  <c r="D21" i="2" s="1"/>
  <c r="A20" i="2" a="1"/>
  <c r="A20" i="2"/>
  <c r="B20" i="2" s="1"/>
  <c r="A19" i="2" a="1"/>
  <c r="A19" i="2" s="1"/>
  <c r="A18" i="2" a="1"/>
  <c r="A18" i="2" s="1"/>
  <c r="A17" i="2" a="1"/>
  <c r="A17" i="2" s="1"/>
  <c r="A16" i="2" a="1"/>
  <c r="A16" i="2" s="1"/>
  <c r="A15" i="2" a="1"/>
  <c r="A15" i="2" s="1"/>
  <c r="D15" i="2" s="1"/>
  <c r="A14" i="2" a="1"/>
  <c r="A14" i="2"/>
  <c r="D14" i="2" s="1"/>
  <c r="B13" i="2"/>
  <c r="A13" i="2" a="1"/>
  <c r="A13" i="2"/>
  <c r="D13" i="2" s="1"/>
  <c r="A12" i="2" a="1"/>
  <c r="A12" i="2"/>
  <c r="C12" i="2" s="1"/>
  <c r="A11" i="2" a="1"/>
  <c r="A11" i="2"/>
  <c r="B11" i="2" s="1"/>
  <c r="A10" i="2" a="1"/>
  <c r="A10" i="2" s="1"/>
  <c r="A9" i="2" a="1"/>
  <c r="A9" i="2" s="1"/>
  <c r="C9" i="2" s="1"/>
  <c r="A8" i="2" a="1"/>
  <c r="A8" i="2" s="1"/>
  <c r="D8" i="2" s="1"/>
  <c r="A7" i="2" a="1"/>
  <c r="A7" i="2"/>
  <c r="D7" i="2" s="1"/>
  <c r="A6" i="2" a="1"/>
  <c r="A6" i="2" s="1"/>
  <c r="B6" i="2" s="1"/>
  <c r="A5" i="2" a="1"/>
  <c r="A5" i="2"/>
  <c r="D5" i="2" s="1"/>
  <c r="A4" i="2" a="1"/>
  <c r="A4" i="2"/>
  <c r="B4" i="2" s="1"/>
  <c r="A3" i="2" a="1"/>
  <c r="A3" i="2"/>
  <c r="D3" i="2" s="1"/>
  <c r="A2" i="2" a="1"/>
  <c r="A2" i="2"/>
  <c r="B2" i="2" s="1"/>
  <c r="D1" i="2"/>
  <c r="A1" i="2" a="1"/>
  <c r="A1" i="2"/>
  <c r="C1" i="2" s="1"/>
  <c r="I15" i="1"/>
  <c r="A14" i="1"/>
  <c r="A13" i="1"/>
  <c r="AL10" i="1"/>
  <c r="A8" i="1"/>
  <c r="A7" i="1"/>
  <c r="E3" i="1"/>
  <c r="C34" i="2" l="1"/>
  <c r="B34" i="2"/>
  <c r="D34" i="2"/>
  <c r="D185" i="2"/>
  <c r="B185" i="2"/>
  <c r="C185" i="2"/>
  <c r="D138" i="2"/>
  <c r="B138" i="2"/>
  <c r="C138" i="2"/>
  <c r="C355" i="2"/>
  <c r="D355" i="2"/>
  <c r="B164" i="2"/>
  <c r="D164" i="2"/>
  <c r="C164" i="2"/>
  <c r="D19" i="2"/>
  <c r="B19" i="2"/>
  <c r="D142" i="2"/>
  <c r="B142" i="2"/>
  <c r="C142" i="2"/>
  <c r="B59" i="2"/>
  <c r="D59" i="2"/>
  <c r="C59" i="2"/>
  <c r="B339" i="2"/>
  <c r="D339" i="2"/>
  <c r="C339" i="2"/>
  <c r="B44" i="2"/>
  <c r="D44" i="2"/>
  <c r="C44" i="2"/>
  <c r="C26" i="2"/>
  <c r="B26" i="2"/>
  <c r="D26" i="2"/>
  <c r="D322" i="2"/>
  <c r="C322" i="2"/>
  <c r="D340" i="2"/>
  <c r="B340" i="2"/>
  <c r="B141" i="2"/>
  <c r="D141" i="2"/>
  <c r="C141" i="2"/>
  <c r="C132" i="2"/>
  <c r="C211" i="2"/>
  <c r="B106" i="2"/>
  <c r="D211" i="2"/>
  <c r="C247" i="2"/>
  <c r="B265" i="2"/>
  <c r="C4" i="2"/>
  <c r="C98" i="2"/>
  <c r="B278" i="2"/>
  <c r="C393" i="2"/>
  <c r="D11" i="2"/>
  <c r="C116" i="2"/>
  <c r="D132" i="2"/>
  <c r="C217" i="2"/>
  <c r="C82" i="2"/>
  <c r="B98" i="2"/>
  <c r="D116" i="2"/>
  <c r="C159" i="2"/>
  <c r="D265" i="2"/>
  <c r="D4" i="2"/>
  <c r="B62" i="2"/>
  <c r="B91" i="2"/>
  <c r="B139" i="2"/>
  <c r="D159" i="2"/>
  <c r="D204" i="2"/>
  <c r="C321" i="2"/>
  <c r="B373" i="2"/>
  <c r="C38" i="2"/>
  <c r="C152" i="2"/>
  <c r="C188" i="2"/>
  <c r="C278" i="2"/>
  <c r="B294" i="2"/>
  <c r="B314" i="2"/>
  <c r="D321" i="2"/>
  <c r="B330" i="2"/>
  <c r="D393" i="2"/>
  <c r="C168" i="2"/>
  <c r="B204" i="2"/>
  <c r="D168" i="2"/>
  <c r="D82" i="2"/>
  <c r="B152" i="2"/>
  <c r="B336" i="2"/>
  <c r="B30" i="2"/>
  <c r="B55" i="2"/>
  <c r="C62" i="2"/>
  <c r="C69" i="2"/>
  <c r="B77" i="2"/>
  <c r="C91" i="2"/>
  <c r="C139" i="2"/>
  <c r="D38" i="2"/>
  <c r="C46" i="2"/>
  <c r="D55" i="2"/>
  <c r="D69" i="2"/>
  <c r="B127" i="2"/>
  <c r="B145" i="2"/>
  <c r="B178" i="2"/>
  <c r="D188" i="2"/>
  <c r="B212" i="2"/>
  <c r="D294" i="2"/>
  <c r="C330" i="2"/>
  <c r="C11" i="2"/>
  <c r="C368" i="2"/>
  <c r="C140" i="2"/>
  <c r="B247" i="2"/>
  <c r="C352" i="2"/>
  <c r="D189" i="2"/>
  <c r="B140" i="2"/>
  <c r="D206" i="2"/>
  <c r="B260" i="2"/>
  <c r="B279" i="2"/>
  <c r="C347" i="2"/>
  <c r="D368" i="2"/>
  <c r="D375" i="2"/>
  <c r="C78" i="2"/>
  <c r="B85" i="2"/>
  <c r="B154" i="2"/>
  <c r="C251" i="2"/>
  <c r="C260" i="2"/>
  <c r="B296" i="2"/>
  <c r="D347" i="2"/>
  <c r="B71" i="2"/>
  <c r="D78" i="2"/>
  <c r="C85" i="2"/>
  <c r="B93" i="2"/>
  <c r="D128" i="2"/>
  <c r="C154" i="2"/>
  <c r="C199" i="2"/>
  <c r="D213" i="2"/>
  <c r="D222" i="2"/>
  <c r="D231" i="2"/>
  <c r="C244" i="2"/>
  <c r="D251" i="2"/>
  <c r="C296" i="2"/>
  <c r="D357" i="2"/>
  <c r="C206" i="2"/>
  <c r="C128" i="2"/>
  <c r="B199" i="2"/>
  <c r="C213" i="2"/>
  <c r="B222" i="2"/>
  <c r="C231" i="2"/>
  <c r="D279" i="2"/>
  <c r="B1" i="2"/>
  <c r="C71" i="2"/>
  <c r="C93" i="2"/>
  <c r="B280" i="2"/>
  <c r="B289" i="2"/>
  <c r="B332" i="2"/>
  <c r="B352" i="2"/>
  <c r="C289" i="2"/>
  <c r="C332" i="2"/>
  <c r="B217" i="2"/>
  <c r="C80" i="2"/>
  <c r="B150" i="2"/>
  <c r="B246" i="2"/>
  <c r="B253" i="2"/>
  <c r="D318" i="2"/>
  <c r="D390" i="2"/>
  <c r="C27" i="2"/>
  <c r="D27" i="2"/>
  <c r="B27" i="2"/>
  <c r="D160" i="2"/>
  <c r="C160" i="2"/>
  <c r="B160" i="2"/>
  <c r="C125" i="2"/>
  <c r="B125" i="2"/>
  <c r="D125" i="2"/>
  <c r="D180" i="2"/>
  <c r="C180" i="2"/>
  <c r="B180" i="2"/>
  <c r="D277" i="2"/>
  <c r="C277" i="2"/>
  <c r="B277" i="2"/>
  <c r="D31" i="2"/>
  <c r="C31" i="2"/>
  <c r="B31" i="2"/>
  <c r="D356" i="2"/>
  <c r="C356" i="2"/>
  <c r="B356" i="2"/>
  <c r="D16" i="2"/>
  <c r="B16" i="2"/>
  <c r="C16" i="2"/>
  <c r="B120" i="2"/>
  <c r="D120" i="2"/>
  <c r="C120" i="2"/>
  <c r="D295" i="2"/>
  <c r="C295" i="2"/>
  <c r="B295" i="2"/>
  <c r="D395" i="2"/>
  <c r="C395" i="2"/>
  <c r="B395" i="2"/>
  <c r="B24" i="2"/>
  <c r="D24" i="2"/>
  <c r="C24" i="2"/>
  <c r="C48" i="2"/>
  <c r="D48" i="2"/>
  <c r="B48" i="2"/>
  <c r="B89" i="2"/>
  <c r="C89" i="2"/>
  <c r="D89" i="2"/>
  <c r="C237" i="2"/>
  <c r="D237" i="2"/>
  <c r="B237" i="2"/>
  <c r="C60" i="2"/>
  <c r="B60" i="2"/>
  <c r="D60" i="2"/>
  <c r="B218" i="2"/>
  <c r="D218" i="2"/>
  <c r="C218" i="2"/>
  <c r="B146" i="2"/>
  <c r="D146" i="2"/>
  <c r="C146" i="2"/>
  <c r="C94" i="2"/>
  <c r="B94" i="2"/>
  <c r="D155" i="2"/>
  <c r="C155" i="2"/>
  <c r="B155" i="2"/>
  <c r="C17" i="2"/>
  <c r="B17" i="2"/>
  <c r="D17" i="2"/>
  <c r="D385" i="2"/>
  <c r="C385" i="2"/>
  <c r="B385" i="2"/>
  <c r="D338" i="2"/>
  <c r="C338" i="2"/>
  <c r="B338" i="2"/>
  <c r="C56" i="2"/>
  <c r="D90" i="2"/>
  <c r="B90" i="2"/>
  <c r="D107" i="2"/>
  <c r="D115" i="2"/>
  <c r="C121" i="2"/>
  <c r="D121" i="2"/>
  <c r="B121" i="2"/>
  <c r="D184" i="2"/>
  <c r="C184" i="2"/>
  <c r="B184" i="2"/>
  <c r="C190" i="2"/>
  <c r="D238" i="2"/>
  <c r="C238" i="2"/>
  <c r="B238" i="2"/>
  <c r="B276" i="2"/>
  <c r="D313" i="2"/>
  <c r="C313" i="2"/>
  <c r="B313" i="2"/>
  <c r="D346" i="2"/>
  <c r="C346" i="2"/>
  <c r="B346" i="2"/>
  <c r="C376" i="2"/>
  <c r="D311" i="2"/>
  <c r="C311" i="2"/>
  <c r="B311" i="2"/>
  <c r="B23" i="2"/>
  <c r="D319" i="2"/>
  <c r="D72" i="2"/>
  <c r="B72" i="2"/>
  <c r="C156" i="2"/>
  <c r="B8" i="2"/>
  <c r="D23" i="2"/>
  <c r="B39" i="2"/>
  <c r="C51" i="2"/>
  <c r="D57" i="2"/>
  <c r="C57" i="2"/>
  <c r="B57" i="2"/>
  <c r="D95" i="2"/>
  <c r="C102" i="2"/>
  <c r="D108" i="2"/>
  <c r="B108" i="2"/>
  <c r="D151" i="2"/>
  <c r="C151" i="2"/>
  <c r="D156" i="2"/>
  <c r="C170" i="2"/>
  <c r="C224" i="2"/>
  <c r="D239" i="2"/>
  <c r="C239" i="2"/>
  <c r="B239" i="2"/>
  <c r="B261" i="2"/>
  <c r="C276" i="2"/>
  <c r="D282" i="2"/>
  <c r="C282" i="2"/>
  <c r="B282" i="2"/>
  <c r="B304" i="2"/>
  <c r="D363" i="2"/>
  <c r="C363" i="2"/>
  <c r="B363" i="2"/>
  <c r="C387" i="2"/>
  <c r="D387" i="2"/>
  <c r="B387" i="2"/>
  <c r="D394" i="2"/>
  <c r="C394" i="2"/>
  <c r="B394" i="2"/>
  <c r="C8" i="2"/>
  <c r="C39" i="2"/>
  <c r="D51" i="2"/>
  <c r="C72" i="2"/>
  <c r="C90" i="2"/>
  <c r="B96" i="2"/>
  <c r="C96" i="2"/>
  <c r="D96" i="2"/>
  <c r="D102" i="2"/>
  <c r="C108" i="2"/>
  <c r="D122" i="2"/>
  <c r="C122" i="2"/>
  <c r="B122" i="2"/>
  <c r="D157" i="2"/>
  <c r="C157" i="2"/>
  <c r="B157" i="2"/>
  <c r="D170" i="2"/>
  <c r="D224" i="2"/>
  <c r="B254" i="2"/>
  <c r="D254" i="2"/>
  <c r="C254" i="2"/>
  <c r="D261" i="2"/>
  <c r="C304" i="2"/>
  <c r="D266" i="2"/>
  <c r="C266" i="2"/>
  <c r="B12" i="2"/>
  <c r="D176" i="2"/>
  <c r="C176" i="2"/>
  <c r="B176" i="2"/>
  <c r="C19" i="2"/>
  <c r="B232" i="2"/>
  <c r="D241" i="2"/>
  <c r="C241" i="2"/>
  <c r="B241" i="2"/>
  <c r="D284" i="2"/>
  <c r="B284" i="2"/>
  <c r="B327" i="2"/>
  <c r="C365" i="2"/>
  <c r="C2" i="2"/>
  <c r="C107" i="2"/>
  <c r="D205" i="2"/>
  <c r="C205" i="2"/>
  <c r="B205" i="2"/>
  <c r="D28" i="2"/>
  <c r="C28" i="2"/>
  <c r="D291" i="2"/>
  <c r="C291" i="2"/>
  <c r="B305" i="2"/>
  <c r="C327" i="2"/>
  <c r="D32" i="2"/>
  <c r="C32" i="2"/>
  <c r="C61" i="2"/>
  <c r="D61" i="2"/>
  <c r="B361" i="2"/>
  <c r="B266" i="2"/>
  <c r="B190" i="2"/>
  <c r="C267" i="2"/>
  <c r="B267" i="2"/>
  <c r="D12" i="2"/>
  <c r="D41" i="2"/>
  <c r="C41" i="2"/>
  <c r="B41" i="2"/>
  <c r="D252" i="2"/>
  <c r="C252" i="2"/>
  <c r="B252" i="2"/>
  <c r="D133" i="2"/>
  <c r="C133" i="2"/>
  <c r="C18" i="2"/>
  <c r="B18" i="2"/>
  <c r="B56" i="2"/>
  <c r="B115" i="2"/>
  <c r="B362" i="2"/>
  <c r="D362" i="2"/>
  <c r="C362" i="2"/>
  <c r="D18" i="2"/>
  <c r="D45" i="2"/>
  <c r="C45" i="2"/>
  <c r="B45" i="2"/>
  <c r="C84" i="2"/>
  <c r="B84" i="2"/>
  <c r="D388" i="2"/>
  <c r="C388" i="2"/>
  <c r="B388" i="2"/>
  <c r="C13" i="2"/>
  <c r="C232" i="2"/>
  <c r="B262" i="2"/>
  <c r="D365" i="2"/>
  <c r="B9" i="2"/>
  <c r="D52" i="2"/>
  <c r="B74" i="2"/>
  <c r="D74" i="2"/>
  <c r="C74" i="2"/>
  <c r="C285" i="2"/>
  <c r="B285" i="2"/>
  <c r="C315" i="2"/>
  <c r="D315" i="2"/>
  <c r="B315" i="2"/>
  <c r="B129" i="2"/>
  <c r="D242" i="2"/>
  <c r="D285" i="2"/>
  <c r="D299" i="2"/>
  <c r="C299" i="2"/>
  <c r="B299" i="2"/>
  <c r="D306" i="2"/>
  <c r="C306" i="2"/>
  <c r="B306" i="2"/>
  <c r="D328" i="2"/>
  <c r="C328" i="2"/>
  <c r="B328" i="2"/>
  <c r="B366" i="2"/>
  <c r="C183" i="2"/>
  <c r="B183" i="2"/>
  <c r="C361" i="2"/>
  <c r="B95" i="2"/>
  <c r="C171" i="2"/>
  <c r="D171" i="2"/>
  <c r="C297" i="2"/>
  <c r="B297" i="2"/>
  <c r="D297" i="2"/>
  <c r="B73" i="2"/>
  <c r="D372" i="2"/>
  <c r="C372" i="2"/>
  <c r="C117" i="2"/>
  <c r="D117" i="2"/>
  <c r="D186" i="2"/>
  <c r="C186" i="2"/>
  <c r="B186" i="2"/>
  <c r="D219" i="2"/>
  <c r="C219" i="2"/>
  <c r="D248" i="2"/>
  <c r="C248" i="2"/>
  <c r="B248" i="2"/>
  <c r="B291" i="2"/>
  <c r="C129" i="2"/>
  <c r="B257" i="2"/>
  <c r="B271" i="2"/>
  <c r="D316" i="2"/>
  <c r="C316" i="2"/>
  <c r="B316" i="2"/>
  <c r="D329" i="2"/>
  <c r="C329" i="2"/>
  <c r="D366" i="2"/>
  <c r="C380" i="2"/>
  <c r="D310" i="2"/>
  <c r="C310" i="2"/>
  <c r="B310" i="2"/>
  <c r="D143" i="2"/>
  <c r="C143" i="2"/>
  <c r="B143" i="2"/>
  <c r="C319" i="2"/>
  <c r="B376" i="2"/>
  <c r="C40" i="2"/>
  <c r="B40" i="2"/>
  <c r="D40" i="2"/>
  <c r="B68" i="2"/>
  <c r="D73" i="2"/>
  <c r="B333" i="2"/>
  <c r="C68" i="2"/>
  <c r="C42" i="2"/>
  <c r="B42" i="2"/>
  <c r="B10" i="2"/>
  <c r="D10" i="2"/>
  <c r="C10" i="2"/>
  <c r="C35" i="2"/>
  <c r="C75" i="2"/>
  <c r="B75" i="2"/>
  <c r="B111" i="2"/>
  <c r="C136" i="2"/>
  <c r="B136" i="2"/>
  <c r="B165" i="2"/>
  <c r="C179" i="2"/>
  <c r="D208" i="2"/>
  <c r="B233" i="2"/>
  <c r="C15" i="2"/>
  <c r="D20" i="2"/>
  <c r="D35" i="2"/>
  <c r="D75" i="2"/>
  <c r="C99" i="2"/>
  <c r="D99" i="2"/>
  <c r="C111" i="2"/>
  <c r="B124" i="2"/>
  <c r="D136" i="2"/>
  <c r="C153" i="2"/>
  <c r="B153" i="2"/>
  <c r="D153" i="2"/>
  <c r="C165" i="2"/>
  <c r="D179" i="2"/>
  <c r="C201" i="2"/>
  <c r="D201" i="2"/>
  <c r="B201" i="2"/>
  <c r="D209" i="2"/>
  <c r="C209" i="2"/>
  <c r="B209" i="2"/>
  <c r="C233" i="2"/>
  <c r="C257" i="2"/>
  <c r="C271" i="2"/>
  <c r="B308" i="2"/>
  <c r="D308" i="2"/>
  <c r="C308" i="2"/>
  <c r="B329" i="2"/>
  <c r="B341" i="2"/>
  <c r="D367" i="2"/>
  <c r="C367" i="2"/>
  <c r="B367" i="2"/>
  <c r="D380" i="2"/>
  <c r="D161" i="2"/>
  <c r="C161" i="2"/>
  <c r="D50" i="2"/>
  <c r="B50" i="2"/>
  <c r="B61" i="2"/>
  <c r="B161" i="2"/>
  <c r="D230" i="2"/>
  <c r="B230" i="2"/>
  <c r="C230" i="2"/>
  <c r="C172" i="2"/>
  <c r="D172" i="2"/>
  <c r="B172" i="2"/>
  <c r="B200" i="2"/>
  <c r="D200" i="2"/>
  <c r="C242" i="2"/>
  <c r="D333" i="2"/>
  <c r="D86" i="2"/>
  <c r="B86" i="2"/>
  <c r="B15" i="2"/>
  <c r="D42" i="2"/>
  <c r="B64" i="2"/>
  <c r="C76" i="2"/>
  <c r="B76" i="2"/>
  <c r="B81" i="2"/>
  <c r="B87" i="2"/>
  <c r="C87" i="2"/>
  <c r="D87" i="2"/>
  <c r="C124" i="2"/>
  <c r="D137" i="2"/>
  <c r="C137" i="2"/>
  <c r="B137" i="2"/>
  <c r="B194" i="2"/>
  <c r="B228" i="2"/>
  <c r="D234" i="2"/>
  <c r="C234" i="2"/>
  <c r="B234" i="2"/>
  <c r="B243" i="2"/>
  <c r="D258" i="2"/>
  <c r="C258" i="2"/>
  <c r="B286" i="2"/>
  <c r="B300" i="2"/>
  <c r="C341" i="2"/>
  <c r="B351" i="2"/>
  <c r="D358" i="2"/>
  <c r="C358" i="2"/>
  <c r="B358" i="2"/>
  <c r="D381" i="2"/>
  <c r="C381" i="2"/>
  <c r="D223" i="2"/>
  <c r="C223" i="2"/>
  <c r="C97" i="2"/>
  <c r="D97" i="2"/>
  <c r="B97" i="2"/>
  <c r="B63" i="2"/>
  <c r="D104" i="2"/>
  <c r="B104" i="2"/>
  <c r="C104" i="2"/>
  <c r="B219" i="2"/>
  <c r="B5" i="2"/>
  <c r="D36" i="2"/>
  <c r="B36" i="2"/>
  <c r="C5" i="2"/>
  <c r="C36" i="2"/>
  <c r="B43" i="2"/>
  <c r="C64" i="2"/>
  <c r="D76" i="2"/>
  <c r="D81" i="2"/>
  <c r="B99" i="2"/>
  <c r="C112" i="2"/>
  <c r="B112" i="2"/>
  <c r="B147" i="2"/>
  <c r="D166" i="2"/>
  <c r="C166" i="2"/>
  <c r="B166" i="2"/>
  <c r="C194" i="2"/>
  <c r="C203" i="2"/>
  <c r="B203" i="2"/>
  <c r="B214" i="2"/>
  <c r="C228" i="2"/>
  <c r="D243" i="2"/>
  <c r="B258" i="2"/>
  <c r="B272" i="2"/>
  <c r="D272" i="2"/>
  <c r="C286" i="2"/>
  <c r="D300" i="2"/>
  <c r="B323" i="2"/>
  <c r="D351" i="2"/>
  <c r="B381" i="2"/>
  <c r="C391" i="2"/>
  <c r="C275" i="2"/>
  <c r="B275" i="2"/>
  <c r="C345" i="2"/>
  <c r="B345" i="2"/>
  <c r="D371" i="2"/>
  <c r="C371" i="2"/>
  <c r="B371" i="2"/>
  <c r="B110" i="2"/>
  <c r="C110" i="2"/>
  <c r="C63" i="2"/>
  <c r="C262" i="2"/>
  <c r="C305" i="2"/>
  <c r="D396" i="2"/>
  <c r="C396" i="2"/>
  <c r="B396" i="2"/>
  <c r="D9" i="2"/>
  <c r="B53" i="2"/>
  <c r="D53" i="2"/>
  <c r="C53" i="2"/>
  <c r="C208" i="2"/>
  <c r="C20" i="2"/>
  <c r="D88" i="2"/>
  <c r="C88" i="2"/>
  <c r="B88" i="2"/>
  <c r="C100" i="2"/>
  <c r="D100" i="2"/>
  <c r="B100" i="2"/>
  <c r="C147" i="2"/>
  <c r="D167" i="2"/>
  <c r="C167" i="2"/>
  <c r="B167" i="2"/>
  <c r="D181" i="2"/>
  <c r="C181" i="2"/>
  <c r="C195" i="2"/>
  <c r="B195" i="2"/>
  <c r="C214" i="2"/>
  <c r="B236" i="2"/>
  <c r="D236" i="2"/>
  <c r="C236" i="2"/>
  <c r="D259" i="2"/>
  <c r="C259" i="2"/>
  <c r="B259" i="2"/>
  <c r="C272" i="2"/>
  <c r="D301" i="2"/>
  <c r="C301" i="2"/>
  <c r="B301" i="2"/>
  <c r="B309" i="2"/>
  <c r="D323" i="2"/>
  <c r="D342" i="2"/>
  <c r="C342" i="2"/>
  <c r="B342" i="2"/>
  <c r="D391" i="2"/>
  <c r="D94" i="2"/>
  <c r="D169" i="2"/>
  <c r="C169" i="2"/>
  <c r="B386" i="2"/>
  <c r="D386" i="2"/>
  <c r="D2" i="2"/>
  <c r="B52" i="2"/>
  <c r="B103" i="2"/>
  <c r="D47" i="2"/>
  <c r="C47" i="2"/>
  <c r="C103" i="2"/>
  <c r="B117" i="2"/>
  <c r="D43" i="2"/>
  <c r="D65" i="2"/>
  <c r="C65" i="2"/>
  <c r="B65" i="2"/>
  <c r="C6" i="2"/>
  <c r="D6" i="2"/>
  <c r="D49" i="2"/>
  <c r="C49" i="2"/>
  <c r="B49" i="2"/>
  <c r="C106" i="2"/>
  <c r="D113" i="2"/>
  <c r="C113" i="2"/>
  <c r="B181" i="2"/>
  <c r="B189" i="2"/>
  <c r="D195" i="2"/>
  <c r="C210" i="2"/>
  <c r="D215" i="2"/>
  <c r="C215" i="2"/>
  <c r="B215" i="2"/>
  <c r="D229" i="2"/>
  <c r="C229" i="2"/>
  <c r="C273" i="2"/>
  <c r="D273" i="2"/>
  <c r="B273" i="2"/>
  <c r="C309" i="2"/>
  <c r="D324" i="2"/>
  <c r="C324" i="2"/>
  <c r="B324" i="2"/>
  <c r="D343" i="2"/>
  <c r="C343" i="2"/>
  <c r="B343" i="2"/>
  <c r="D360" i="2"/>
  <c r="C360" i="2"/>
  <c r="B360" i="2"/>
  <c r="D383" i="2"/>
  <c r="C383" i="2"/>
  <c r="B383" i="2"/>
  <c r="D281" i="2"/>
  <c r="C281" i="2"/>
  <c r="B281" i="2"/>
  <c r="D392" i="2"/>
  <c r="C392" i="2"/>
  <c r="D191" i="2"/>
  <c r="C191" i="2"/>
  <c r="B191" i="2"/>
  <c r="D263" i="2"/>
  <c r="C263" i="2"/>
  <c r="B263" i="2"/>
  <c r="B348" i="2"/>
  <c r="D353" i="2"/>
  <c r="C353" i="2"/>
  <c r="B353" i="2"/>
  <c r="D382" i="2"/>
  <c r="C382" i="2"/>
  <c r="B382" i="2"/>
  <c r="B397" i="2"/>
  <c r="C130" i="2"/>
  <c r="B130" i="2"/>
  <c r="D148" i="2"/>
  <c r="C148" i="2"/>
  <c r="B148" i="2"/>
  <c r="B196" i="2"/>
  <c r="D220" i="2"/>
  <c r="C220" i="2"/>
  <c r="B220" i="2"/>
  <c r="B225" i="2"/>
  <c r="B244" i="2"/>
  <c r="C249" i="2"/>
  <c r="B249" i="2"/>
  <c r="B268" i="2"/>
  <c r="B287" i="2"/>
  <c r="D292" i="2"/>
  <c r="C292" i="2"/>
  <c r="B292" i="2"/>
  <c r="B320" i="2"/>
  <c r="B334" i="2"/>
  <c r="C348" i="2"/>
  <c r="B377" i="2"/>
  <c r="B392" i="2"/>
  <c r="C397" i="2"/>
  <c r="D162" i="2"/>
  <c r="C162" i="2"/>
  <c r="B162" i="2"/>
  <c r="C196" i="2"/>
  <c r="D225" i="2"/>
  <c r="C268" i="2"/>
  <c r="C287" i="2"/>
  <c r="C320" i="2"/>
  <c r="C334" i="2"/>
  <c r="C377" i="2"/>
  <c r="D83" i="2"/>
  <c r="C83" i="2"/>
  <c r="D349" i="2"/>
  <c r="C349" i="2"/>
  <c r="B354" i="2"/>
  <c r="C192" i="2"/>
  <c r="D216" i="2"/>
  <c r="C216" i="2"/>
  <c r="B216" i="2"/>
  <c r="B221" i="2"/>
  <c r="C235" i="2"/>
  <c r="B240" i="2"/>
  <c r="D245" i="2"/>
  <c r="C245" i="2"/>
  <c r="B245" i="2"/>
  <c r="C264" i="2"/>
  <c r="B283" i="2"/>
  <c r="D288" i="2"/>
  <c r="C288" i="2"/>
  <c r="B288" i="2"/>
  <c r="B293" i="2"/>
  <c r="C307" i="2"/>
  <c r="B312" i="2"/>
  <c r="D335" i="2"/>
  <c r="C335" i="2"/>
  <c r="B335" i="2"/>
  <c r="C344" i="2"/>
  <c r="C354" i="2"/>
  <c r="C373" i="2"/>
  <c r="D378" i="2"/>
  <c r="C378" i="2"/>
  <c r="B378" i="2"/>
  <c r="C177" i="2"/>
  <c r="B177" i="2"/>
  <c r="B264" i="2"/>
  <c r="B131" i="2"/>
  <c r="D135" i="2"/>
  <c r="C149" i="2"/>
  <c r="B158" i="2"/>
  <c r="B163" i="2"/>
  <c r="D182" i="2"/>
  <c r="D192" i="2"/>
  <c r="B197" i="2"/>
  <c r="D202" i="2"/>
  <c r="C202" i="2"/>
  <c r="B202" i="2"/>
  <c r="B207" i="2"/>
  <c r="C221" i="2"/>
  <c r="B226" i="2"/>
  <c r="D235" i="2"/>
  <c r="C240" i="2"/>
  <c r="B250" i="2"/>
  <c r="B269" i="2"/>
  <c r="D274" i="2"/>
  <c r="C274" i="2"/>
  <c r="B274" i="2"/>
  <c r="C283" i="2"/>
  <c r="C293" i="2"/>
  <c r="B302" i="2"/>
  <c r="D307" i="2"/>
  <c r="C312" i="2"/>
  <c r="D331" i="2"/>
  <c r="C331" i="2"/>
  <c r="D344" i="2"/>
  <c r="B349" i="2"/>
  <c r="C398" i="2"/>
  <c r="D144" i="2"/>
  <c r="C144" i="2"/>
  <c r="B144" i="2"/>
  <c r="B149" i="2"/>
  <c r="C182" i="2"/>
  <c r="B3" i="2"/>
  <c r="B21" i="2"/>
  <c r="B25" i="2"/>
  <c r="D29" i="2"/>
  <c r="C29" i="2"/>
  <c r="C37" i="2"/>
  <c r="B83" i="2"/>
  <c r="C109" i="2"/>
  <c r="C3" i="2"/>
  <c r="B14" i="2"/>
  <c r="C21" i="2"/>
  <c r="C25" i="2"/>
  <c r="C33" i="2"/>
  <c r="D37" i="2"/>
  <c r="C58" i="2"/>
  <c r="B58" i="2"/>
  <c r="B66" i="2"/>
  <c r="B70" i="2"/>
  <c r="B79" i="2"/>
  <c r="C92" i="2"/>
  <c r="D101" i="2"/>
  <c r="C101" i="2"/>
  <c r="D109" i="2"/>
  <c r="B114" i="2"/>
  <c r="B118" i="2"/>
  <c r="C131" i="2"/>
  <c r="C158" i="2"/>
  <c r="C163" i="2"/>
  <c r="D173" i="2"/>
  <c r="C173" i="2"/>
  <c r="B173" i="2"/>
  <c r="C197" i="2"/>
  <c r="D207" i="2"/>
  <c r="C226" i="2"/>
  <c r="C250" i="2"/>
  <c r="B255" i="2"/>
  <c r="C269" i="2"/>
  <c r="C302" i="2"/>
  <c r="D317" i="2"/>
  <c r="C317" i="2"/>
  <c r="B317" i="2"/>
  <c r="C326" i="2"/>
  <c r="B359" i="2"/>
  <c r="D364" i="2"/>
  <c r="C364" i="2"/>
  <c r="B364" i="2"/>
  <c r="B369" i="2"/>
  <c r="D398" i="2"/>
  <c r="D177" i="2"/>
  <c r="B7" i="2"/>
  <c r="C14" i="2"/>
  <c r="B29" i="2"/>
  <c r="D33" i="2"/>
  <c r="D54" i="2"/>
  <c r="B54" i="2"/>
  <c r="C66" i="2"/>
  <c r="C70" i="2"/>
  <c r="D79" i="2"/>
  <c r="D92" i="2"/>
  <c r="C105" i="2"/>
  <c r="C114" i="2"/>
  <c r="C118" i="2"/>
  <c r="C255" i="2"/>
  <c r="B298" i="2"/>
  <c r="C303" i="2"/>
  <c r="B303" i="2"/>
  <c r="D326" i="2"/>
  <c r="C350" i="2"/>
  <c r="C359" i="2"/>
  <c r="D369" i="2"/>
  <c r="B379" i="2"/>
  <c r="B384" i="2"/>
  <c r="D399" i="2"/>
  <c r="C399" i="2"/>
  <c r="B399" i="2"/>
  <c r="D126" i="2"/>
  <c r="B126" i="2"/>
  <c r="B135" i="2"/>
  <c r="D198" i="2"/>
  <c r="C198" i="2"/>
  <c r="B198" i="2"/>
  <c r="D227" i="2"/>
  <c r="C227" i="2"/>
  <c r="B227" i="2"/>
  <c r="D270" i="2"/>
  <c r="C270" i="2"/>
  <c r="B270" i="2"/>
  <c r="C336" i="2"/>
  <c r="C340" i="2"/>
  <c r="D350" i="2"/>
  <c r="B355" i="2"/>
  <c r="B374" i="2"/>
  <c r="C379" i="2"/>
  <c r="C384" i="2"/>
  <c r="D187" i="2"/>
  <c r="C187" i="2"/>
  <c r="C7" i="2"/>
  <c r="C22" i="2"/>
  <c r="B22" i="2"/>
  <c r="D105" i="2"/>
  <c r="C54" i="2"/>
  <c r="D119" i="2"/>
  <c r="C119" i="2"/>
  <c r="D256" i="2"/>
  <c r="C256" i="2"/>
  <c r="B256" i="2"/>
  <c r="B322" i="2"/>
  <c r="C374" i="2"/>
  <c r="D400" i="2"/>
  <c r="C400" i="2"/>
  <c r="B400" i="2"/>
  <c r="B389" i="2"/>
  <c r="C389" i="2"/>
  <c r="B357" i="2"/>
  <c r="B37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<sst xmlns="http://schemas.openxmlformats.org/spreadsheetml/2006/main" count="459" uniqueCount="436">
  <si>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</si>
  <si>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</si>
  <si>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</si>
  <si>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</si>
  <si>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</si>
  <si>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</si>
  <si>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</si>
  <si>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</si>
  <si>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</si>
  <si>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</si>
  <si>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</si>
  <si>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</si>
  <si>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</si>
  <si>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</si>
  <si>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</si>
  <si>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</si>
  <si>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</si>
  <si>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</si>
  <si>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</si>
  <si>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</si>
  <si>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</si>
  <si>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</si>
  <si>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</si>
  <si>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</si>
  <si>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</si>
  <si>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</si>
  <si>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</si>
  <si>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</si>
  <si>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</si>
  <si>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</si>
  <si>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</si>
  <si>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</si>
  <si>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</si>
  <si>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</si>
  <si>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</si>
  <si>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all:WEIBULL.DIST#8</t>
  </si>
  <si>
    <t>all:WEIBULL.DIST#9</t>
  </si>
  <si>
    <t>all:WEIBULL.DIST#10</t>
  </si>
  <si>
    <t>all:WEIBULL.DIST#11</t>
  </si>
  <si>
    <t>all:WEIBULL.DIST#12</t>
  </si>
  <si>
    <t>all:WEIBULL.DIST#13</t>
  </si>
  <si>
    <t>all:WEIBULL.DIST#14</t>
  </si>
  <si>
    <t>all:WEIBULL.DIST#15</t>
  </si>
  <si>
    <t>all:WEIBULL.DIST#16</t>
  </si>
  <si>
    <t>all:WORKDAY#1</t>
  </si>
  <si>
    <t>all:WORKDAY#2</t>
  </si>
  <si>
    <t>all:WORKDAY#3</t>
  </si>
  <si>
    <t>all:WORKDAY#4</t>
  </si>
  <si>
    <t>all:WORKDAY#5</t>
  </si>
  <si>
    <t>all:WORKDAY#6</t>
  </si>
  <si>
    <t>all:WORKDAY#7</t>
  </si>
  <si>
    <t>all:WORKDAY#8</t>
  </si>
  <si>
    <t>all:WORKDAY#9</t>
  </si>
  <si>
    <t>all:WORKDAY#10</t>
  </si>
  <si>
    <t>all:WORKDAY#11</t>
  </si>
  <si>
    <t>all:WORKDAY#12</t>
  </si>
  <si>
    <t>all:WORKDAY#13</t>
  </si>
  <si>
    <t>all:WORKDAY.INTL#1</t>
  </si>
  <si>
    <t>all:WORKDAY.INTL#2</t>
  </si>
  <si>
    <t>all:WORKDAY.INTL#3</t>
  </si>
  <si>
    <t>all:WORKDAY.INTL#4</t>
  </si>
  <si>
    <t>all:WORKDAY.INTL#5</t>
  </si>
  <si>
    <t>all:WORKDAY.INTL#6</t>
  </si>
  <si>
    <t>all:WORKDAY.INTL#7</t>
  </si>
  <si>
    <t>all:WORKDAY.INTL#8</t>
  </si>
  <si>
    <t>all:WORKDAY.INTL#9</t>
  </si>
  <si>
    <t>all:WORKDAY.INTL#10</t>
  </si>
  <si>
    <t>all:WORKDAY.INTL#11</t>
  </si>
  <si>
    <t>all:WORKDAY.INTL#12</t>
  </si>
  <si>
    <t>all:WORKDAY.INTL#13</t>
  </si>
  <si>
    <t>all:WORKDAY.INTL#14</t>
  </si>
  <si>
    <t>all:WORKDAY.INTL#15</t>
  </si>
  <si>
    <t>all:WORKDAY.INTL#16</t>
  </si>
  <si>
    <t>all:WORKDAY.INTL#17</t>
  </si>
  <si>
    <t>all:XIRR#1</t>
  </si>
  <si>
    <t>all:XIRR#2</t>
  </si>
  <si>
    <t>all:XIRR#3</t>
  </si>
  <si>
    <t>all:XIRR#4</t>
  </si>
  <si>
    <t>all:XIRR#5</t>
  </si>
  <si>
    <t>all:XIRR#6</t>
  </si>
  <si>
    <t>all:XIRR#7</t>
  </si>
  <si>
    <t>all:XIRR#8</t>
  </si>
  <si>
    <t>all:XIRR#9</t>
  </si>
  <si>
    <t>all:XIRR#10</t>
  </si>
  <si>
    <t>all:XIRR#11</t>
  </si>
  <si>
    <t>all:XIRR#12</t>
  </si>
  <si>
    <t>all:XIRR#13</t>
  </si>
  <si>
    <t>all:XLOOKUP#1</t>
  </si>
  <si>
    <t>all:XLOOKUP#2</t>
  </si>
  <si>
    <t>all:XLOOKUP#3</t>
  </si>
  <si>
    <t>all:XLOOKUP#4</t>
  </si>
  <si>
    <t>all:XLOOKUP#5</t>
  </si>
  <si>
    <t>all:XLOOKUP#6</t>
  </si>
  <si>
    <t>all:XLOOKUP#7</t>
  </si>
  <si>
    <t>all:XLOOKUP#8</t>
  </si>
  <si>
    <t>all:XLOOKUP#9</t>
  </si>
  <si>
    <t>all:XLOOKUP#10</t>
  </si>
  <si>
    <t>all:XLOOKUP#11</t>
  </si>
  <si>
    <t>all:XLOOKUP#12</t>
  </si>
  <si>
    <t>all:XLOOKUP#13</t>
  </si>
  <si>
    <t>all:XLOOKUP#14</t>
  </si>
  <si>
    <t>all:XLOOKUP#15</t>
  </si>
  <si>
    <t>all:XLOOKUP#16</t>
  </si>
  <si>
    <t>all:XLOOKUP#17</t>
  </si>
  <si>
    <t>all:XMATCH#1</t>
  </si>
  <si>
    <t>all:XMATCH#2</t>
  </si>
  <si>
    <t>all:XMATCH#3</t>
  </si>
  <si>
    <t>all:XMATCH#4</t>
  </si>
  <si>
    <t>all:XMATCH#5</t>
  </si>
  <si>
    <t>all:XMATCH#6</t>
  </si>
  <si>
    <t>all:XMATCH#7</t>
  </si>
  <si>
    <t>all:XMATCH#8</t>
  </si>
  <si>
    <t>all:XMATCH#9</t>
  </si>
  <si>
    <t>all:XMATCH#10</t>
  </si>
  <si>
    <t>all:XMATCH#11</t>
  </si>
  <si>
    <t>all:XMATCH#12</t>
  </si>
  <si>
    <t>all:XMATCH#13</t>
  </si>
  <si>
    <t>all:XNPV#1</t>
  </si>
  <si>
    <t>all:XNPV#2</t>
  </si>
  <si>
    <t>all:XNPV#3</t>
  </si>
  <si>
    <t>all:XNPV#4</t>
  </si>
  <si>
    <t>all:XNPV#5</t>
  </si>
  <si>
    <t>all:XNPV#6</t>
  </si>
  <si>
    <t>all:XNPV#7</t>
  </si>
  <si>
    <t>all:XNPV#8</t>
  </si>
  <si>
    <t>all:XNPV#9</t>
  </si>
  <si>
    <t>all:XNPV#10</t>
  </si>
  <si>
    <t>all:XNPV#11</t>
  </si>
  <si>
    <t>all:XNPV#12</t>
  </si>
  <si>
    <t>all:XOR#1</t>
  </si>
  <si>
    <t>all:XOR#2</t>
  </si>
  <si>
    <t>all:XOR#3</t>
  </si>
  <si>
    <t>all:XOR#4</t>
  </si>
  <si>
    <t>all:XOR#5</t>
  </si>
  <si>
    <t>all:XOR#6</t>
  </si>
  <si>
    <t>all:XOR#7</t>
  </si>
  <si>
    <t>all:XOR#8</t>
  </si>
  <si>
    <t>all:XOR#9</t>
  </si>
  <si>
    <t>all:XOR#10</t>
  </si>
  <si>
    <t>all:XOR#11</t>
  </si>
  <si>
    <t>all:XOR#12</t>
  </si>
  <si>
    <t>all:XOR#13</t>
  </si>
  <si>
    <t>all:YEARFRAC#1</t>
  </si>
  <si>
    <t>all:YEARFRAC#2</t>
  </si>
  <si>
    <t>all:YEARFRAC#3</t>
  </si>
  <si>
    <t>all:YEARFRAC#4</t>
  </si>
  <si>
    <t>all:YEARFRAC#5</t>
  </si>
  <si>
    <t>all:YEARFRAC#6</t>
  </si>
  <si>
    <t>all:YEARFRAC#7</t>
  </si>
  <si>
    <t>all:YEARFRAC#8</t>
  </si>
  <si>
    <t>all:YEARFRAC#9</t>
  </si>
  <si>
    <t>all:YEARFRAC#10</t>
  </si>
  <si>
    <t>all:YEARFRAC#11</t>
  </si>
  <si>
    <t>all:YEARFRAC#12</t>
  </si>
  <si>
    <t>all:YEARFRAC#13</t>
  </si>
  <si>
    <t>all:YIELD#1</t>
  </si>
  <si>
    <t>all:YIELD#2</t>
  </si>
  <si>
    <t>all:YIELD#3</t>
  </si>
  <si>
    <t>all:YIELD#4</t>
  </si>
  <si>
    <t>all:YIELD#5</t>
  </si>
  <si>
    <t>all:YIELD#6</t>
  </si>
  <si>
    <t>all:YIELD#7</t>
  </si>
  <si>
    <t>all:YIELD#8</t>
  </si>
  <si>
    <t>all:YIELD#9</t>
  </si>
  <si>
    <t>all:YIELD#10</t>
  </si>
  <si>
    <t>all:YIELD#11</t>
  </si>
  <si>
    <t>all:YIELD#12</t>
  </si>
  <si>
    <t>all:YIELD#13</t>
  </si>
  <si>
    <t>all:YIELD#14</t>
  </si>
  <si>
    <t>all:YIELD#15</t>
  </si>
  <si>
    <t>all:YIELD#16</t>
  </si>
  <si>
    <t>all:YIELD#17</t>
  </si>
  <si>
    <t>all:YIELD#18</t>
  </si>
  <si>
    <t>all:YIELD#19</t>
  </si>
  <si>
    <t>all:YIELD#20</t>
  </si>
  <si>
    <t>all:YIELD#21</t>
  </si>
  <si>
    <t>all:YIELD#22</t>
  </si>
  <si>
    <t>all:YIELD#23</t>
  </si>
  <si>
    <t>all:YIELD#24</t>
  </si>
  <si>
    <t>all:YIELD#25</t>
  </si>
  <si>
    <t>all:YIELD#26</t>
  </si>
  <si>
    <t>all:YIELD#27</t>
  </si>
  <si>
    <t>all:YIELD#28</t>
  </si>
  <si>
    <t>all:YIELDDISC#1</t>
  </si>
  <si>
    <t>all:YIELDDISC#2</t>
  </si>
  <si>
    <t>all:YIELDDISC#3</t>
  </si>
  <si>
    <t>all:YIELDDISC#4</t>
  </si>
  <si>
    <t>all:YIELDDISC#5</t>
  </si>
  <si>
    <t>all:YIELDDISC#6</t>
  </si>
  <si>
    <t>all:YIELDDISC#7</t>
  </si>
  <si>
    <t>all:YIELDDISC#8</t>
  </si>
  <si>
    <t>all:YIELDDISC#9</t>
  </si>
  <si>
    <t>all:YIELDDISC#10</t>
  </si>
  <si>
    <t>all:YIELDDISC#11</t>
  </si>
  <si>
    <t>all:YIELDDISC#12</t>
  </si>
  <si>
    <t>all:YIELDDISC#13</t>
  </si>
  <si>
    <t>all:YIELDDISC#14</t>
  </si>
  <si>
    <t>all:YIELDDISC#15</t>
  </si>
  <si>
    <t>all:YIELDDISC#16</t>
  </si>
  <si>
    <t>all:YIELDDISC#17</t>
  </si>
  <si>
    <t>all:YIELDDISC#18</t>
  </si>
  <si>
    <t>all:YIELDDISC#19</t>
  </si>
  <si>
    <t>all:YIELDDISC#20</t>
  </si>
  <si>
    <t>all:YIELDMAT#1</t>
  </si>
  <si>
    <t>all:YIELDMAT#2</t>
  </si>
  <si>
    <t>all:YIELDMAT#3</t>
  </si>
  <si>
    <t>all:YIELDMAT#4</t>
  </si>
  <si>
    <t>all:YIELDMAT#5</t>
  </si>
  <si>
    <t>all:YIELDMAT#6</t>
  </si>
  <si>
    <t>all:YIELDMAT#7</t>
  </si>
  <si>
    <t>all:YIELDMAT#8</t>
  </si>
  <si>
    <t>all:YIELDMAT#9</t>
  </si>
  <si>
    <t>all:YIELDMAT#10</t>
  </si>
  <si>
    <t>all:YIELDMAT#11</t>
  </si>
  <si>
    <t>all:YIELDMAT#12</t>
  </si>
  <si>
    <t>all:YIELDMAT#13</t>
  </si>
  <si>
    <t>all:YIELDMAT#14</t>
  </si>
  <si>
    <t>all:YIELDMAT#15</t>
  </si>
  <si>
    <t>all:YIELDMAT#16</t>
  </si>
  <si>
    <t>all:YIELDMAT#17</t>
  </si>
  <si>
    <t>all:YIELDMAT#18</t>
  </si>
  <si>
    <t>all:YIELDMAT#19</t>
  </si>
  <si>
    <t>all:YIELDMAT#20</t>
  </si>
  <si>
    <t>all:YIELDMAT#21</t>
  </si>
  <si>
    <t>all:YIELDMAT#22</t>
  </si>
  <si>
    <t>all:YIELDMAT#23</t>
  </si>
  <si>
    <t>all:YIELDMAT#24</t>
  </si>
  <si>
    <t>all:Z.TEST#1</t>
  </si>
  <si>
    <t>all:Z.TEST#2</t>
  </si>
  <si>
    <t>all:Z.TEST#3</t>
  </si>
  <si>
    <t>all:Z.TEST#4</t>
  </si>
  <si>
    <t>all:Z.TEST#5</t>
  </si>
  <si>
    <t>all:Z.TEST#6</t>
  </si>
  <si>
    <t>all:Z.TEST#7</t>
  </si>
  <si>
    <t>all:Z.TEST#8</t>
  </si>
  <si>
    <t>all:Z.TEST#9</t>
  </si>
  <si>
    <t>all:Z.TEST#10</t>
  </si>
  <si>
    <t>all:Z.TEST#11</t>
  </si>
  <si>
    <t>all:Z.TEST#12</t>
  </si>
  <si>
    <t>all:Z.TEST#13</t>
  </si>
  <si>
    <t>all:ZTEST#1</t>
  </si>
  <si>
    <t>all:ZTEST#2</t>
  </si>
  <si>
    <t>all:ZTEST#3</t>
  </si>
  <si>
    <t>all:ZTEST#4</t>
  </si>
  <si>
    <t>all:ZTEST#5</t>
  </si>
  <si>
    <t>all:ZTEST#6</t>
  </si>
  <si>
    <t>all:ZTEST#7</t>
  </si>
  <si>
    <t>all:ZTEST#8</t>
  </si>
  <si>
    <t>all:ZTEST#9</t>
  </si>
  <si>
    <t>all:ZTEST#10</t>
  </si>
  <si>
    <t>all:ZTEST#11</t>
  </si>
  <si>
    <t>all:ZTEST#12</t>
  </si>
  <si>
    <t>all:ZTEST#13</t>
  </si>
  <si>
    <t>all:CHOOSECOLS#1</t>
  </si>
  <si>
    <t>all:CHOOSECOLS#2</t>
  </si>
  <si>
    <t>all:CHOOSECOLS#3</t>
  </si>
  <si>
    <t>all:CHOOSECOLS#4</t>
  </si>
  <si>
    <t>all:CHOOSECOLS#5</t>
  </si>
  <si>
    <t>all:CHOOSECOLS#6</t>
  </si>
  <si>
    <t>all:CHOOSECOLS#7</t>
  </si>
  <si>
    <t>all:CHOOSECOLS#8</t>
  </si>
  <si>
    <t>all:CHOOSECOLS#9</t>
  </si>
  <si>
    <t>all:CHOOSECOLS#10</t>
  </si>
  <si>
    <t>all:CHOOSECOLS#11</t>
  </si>
  <si>
    <t>all:CHOOSEROWS#1</t>
  </si>
  <si>
    <t>all:CHOOSEROWS#2</t>
  </si>
  <si>
    <t>all:CHOOSEROWS#3</t>
  </si>
  <si>
    <t>all:CHOOSEROWS#4</t>
  </si>
  <si>
    <t>all:CHOOSEROWS#5</t>
  </si>
  <si>
    <t>all:CHOOSEROWS#6</t>
  </si>
  <si>
    <t>all:CHOOSEROWS#7</t>
  </si>
  <si>
    <t>all:CHOOSEROWS#8</t>
  </si>
  <si>
    <t>all:CHOOSEROWS#9</t>
  </si>
  <si>
    <t>all:CHOOSEROWS#10</t>
  </si>
  <si>
    <t>all:CHOOSEROWS#11</t>
  </si>
  <si>
    <t>all:DROP#1</t>
  </si>
  <si>
    <t>all:DROP#2</t>
  </si>
  <si>
    <t>all:DROP#3</t>
  </si>
  <si>
    <t>all:DROP#4</t>
  </si>
  <si>
    <t>all:DROP#5</t>
  </si>
  <si>
    <t>all:DROP#6</t>
  </si>
  <si>
    <t>all:DROP#7</t>
  </si>
  <si>
    <t>all:DROP#8</t>
  </si>
  <si>
    <t>all:EXPAND#1</t>
  </si>
  <si>
    <t>all:EXPAND#2</t>
  </si>
  <si>
    <t>all:EXPAND#3</t>
  </si>
  <si>
    <t>all:EXPAND#4</t>
  </si>
  <si>
    <t>all:EXPAND#5</t>
  </si>
  <si>
    <t>all:EXPAND#6</t>
  </si>
  <si>
    <t>all:EXPAND#7</t>
  </si>
  <si>
    <t>all:EXPAND#8</t>
  </si>
  <si>
    <t>all:EXPAND#9</t>
  </si>
  <si>
    <t>all:EXPAND#10</t>
  </si>
  <si>
    <t>all:EXPAND#11</t>
  </si>
  <si>
    <t>all:EXPAND#12</t>
  </si>
  <si>
    <t>all:FILTER#1</t>
  </si>
  <si>
    <t>all:FILTER#2</t>
  </si>
  <si>
    <t>all:FILTER#3</t>
  </si>
  <si>
    <t>all:FILTER#4</t>
  </si>
  <si>
    <t>all:FILTER#5</t>
  </si>
  <si>
    <t>all:FILTER#6</t>
  </si>
  <si>
    <t>all:FILTER#7</t>
  </si>
  <si>
    <t>all:FILTER#8</t>
  </si>
  <si>
    <t>all:FILTER#9</t>
  </si>
  <si>
    <t>all:FILTER#10</t>
  </si>
  <si>
    <t>all:FILTER#11</t>
  </si>
  <si>
    <t>all:FILTER#12</t>
  </si>
  <si>
    <t>all:FREQUENCY#1</t>
  </si>
  <si>
    <t>all:FREQUENCY#2</t>
  </si>
  <si>
    <t>all:FREQUENCY#3</t>
  </si>
  <si>
    <t>all:FREQUENCY#4</t>
  </si>
  <si>
    <t>all:FREQUENCY#5</t>
  </si>
  <si>
    <t>all:FREQUENCY#6</t>
  </si>
  <si>
    <t>all:FREQUENCY#7</t>
  </si>
  <si>
    <t>all:FREQUENCY#8</t>
  </si>
  <si>
    <t>all:GROWTH#1</t>
  </si>
  <si>
    <t>all:GROWTH#2</t>
  </si>
  <si>
    <t>all:GROWTH#3</t>
  </si>
  <si>
    <t>all:GROWTH#4</t>
  </si>
  <si>
    <t>all:GROWTH#5</t>
  </si>
  <si>
    <t>all:GROWTH#6</t>
  </si>
  <si>
    <t>all:GROWTH#7</t>
  </si>
  <si>
    <t>all:GROWTH#8</t>
  </si>
  <si>
    <t>all:GROWTH#9</t>
  </si>
  <si>
    <t>all:GROWTH#10</t>
  </si>
  <si>
    <t>all:GROWTH#11</t>
  </si>
  <si>
    <t>all:GROWTH#12</t>
  </si>
  <si>
    <t>all:GROWTH#13</t>
  </si>
  <si>
    <t>all:GROWTH#14</t>
  </si>
  <si>
    <t>all:GROWTH#15</t>
  </si>
  <si>
    <t>all:GROWTH#16</t>
  </si>
  <si>
    <t>all:HSTACK#1</t>
  </si>
  <si>
    <t>all:HSTACK#2</t>
  </si>
  <si>
    <t>all:HSTACK#3</t>
  </si>
  <si>
    <t>all:HSTACK#4</t>
  </si>
  <si>
    <t>all:HSTACK#5</t>
  </si>
  <si>
    <t>all:HSTACK#6</t>
  </si>
  <si>
    <t>all:HSTACK#7</t>
  </si>
  <si>
    <t>all:HSTACK#8</t>
  </si>
  <si>
    <t>all:HSTACK#9</t>
  </si>
  <si>
    <t>all:HSTACK#10</t>
  </si>
  <si>
    <t>all:HSTACK#11</t>
  </si>
  <si>
    <t>all:HSTACK#12</t>
  </si>
  <si>
    <t>all:HSTACK#13</t>
  </si>
  <si>
    <t>all:HSTACK#14</t>
  </si>
  <si>
    <t>all:HSTACK#15</t>
  </si>
  <si>
    <t>all:HSTACK#16</t>
  </si>
  <si>
    <t>all:HSTACK#17</t>
  </si>
  <si>
    <t>all:LINEST#1</t>
  </si>
  <si>
    <t>all:LINEST#2</t>
  </si>
  <si>
    <t>all:LINEST#3</t>
  </si>
  <si>
    <t>all:LINEST#4</t>
  </si>
  <si>
    <t>all:LINEST#5</t>
  </si>
  <si>
    <t>all:LINEST#6</t>
  </si>
  <si>
    <t>all:LINEST#7</t>
  </si>
  <si>
    <t>all:LINEST#8</t>
  </si>
  <si>
    <t>all:LINEST#9</t>
  </si>
  <si>
    <t>all:LINEST#10</t>
  </si>
  <si>
    <t>all:LINEST#11</t>
  </si>
  <si>
    <t>all:LINEST#12</t>
  </si>
  <si>
    <t>all:LINEST#13</t>
  </si>
  <si>
    <t>all:LINEST#14</t>
  </si>
  <si>
    <t>all:LINEST#15</t>
  </si>
  <si>
    <t>all:LINEST#16</t>
  </si>
  <si>
    <t>all:LOGEST#1</t>
  </si>
  <si>
    <t>all:LOGEST#2</t>
  </si>
  <si>
    <t>all:LOGEST#3</t>
  </si>
  <si>
    <t>all:LOGEST#4</t>
  </si>
  <si>
    <t>all:LOGEST#5</t>
  </si>
  <si>
    <t>all:LOGEST#6</t>
  </si>
  <si>
    <t>all:LOGEST#7</t>
  </si>
  <si>
    <t>all:LOGEST#8</t>
  </si>
  <si>
    <t>all:LOGEST#9</t>
  </si>
  <si>
    <t>all:LOGEST#10</t>
  </si>
  <si>
    <t>all:LOGEST#11</t>
  </si>
  <si>
    <t>all:LOGEST#12</t>
  </si>
  <si>
    <t>all:LOGEST#13</t>
  </si>
  <si>
    <t>all:LOGEST#14</t>
  </si>
  <si>
    <t>all:LOGEST#15</t>
  </si>
  <si>
    <t>all:LOGEST#16</t>
  </si>
  <si>
    <t>all:MMULT#1</t>
  </si>
  <si>
    <t>all:MMULT#2</t>
  </si>
  <si>
    <t>all:MMULT#3</t>
  </si>
  <si>
    <t>all:MMULT#4</t>
  </si>
  <si>
    <t>all:MMULT#5</t>
  </si>
  <si>
    <t>all:MMULT#6</t>
  </si>
  <si>
    <t>all:MMULT#7</t>
  </si>
  <si>
    <t>all:MMULT#8</t>
  </si>
  <si>
    <t>all:MODE.MULT#1</t>
  </si>
  <si>
    <t>all:MODE.MULT#2</t>
  </si>
  <si>
    <t>all:MODE.MULT#3</t>
  </si>
  <si>
    <t>all:MODE.MULT#4</t>
  </si>
  <si>
    <t>all:MODE.MULT#5</t>
  </si>
  <si>
    <t>all:MODE.MULT#6</t>
  </si>
  <si>
    <t>all:MODE.MULT#7</t>
  </si>
  <si>
    <t>all:MODE.MULT#8</t>
  </si>
  <si>
    <t>all:MODE.MULT#9</t>
  </si>
  <si>
    <t>all:MODE.MULT#10</t>
  </si>
  <si>
    <t>all:MODE.MULT#11</t>
  </si>
  <si>
    <t>all:MODE.MULT#12</t>
  </si>
  <si>
    <t>all:MODE.MULT#13</t>
  </si>
  <si>
    <t>all:MODE.MULT#14</t>
  </si>
  <si>
    <t>all:MODE.MULT#15</t>
  </si>
  <si>
    <t>all:MODE.MULT#16</t>
  </si>
  <si>
    <t>all:MODE.MULT#17</t>
  </si>
  <si>
    <t>all:MODE.MULT#18</t>
  </si>
  <si>
    <t>all:MODE.MULT#19</t>
  </si>
  <si>
    <t>all:MODE.MULT#20</t>
  </si>
  <si>
    <t>all:MODE.MULT#21</t>
  </si>
  <si>
    <t>all:MODE.MULT#22</t>
  </si>
  <si>
    <t>all:MODE.MULT#23</t>
  </si>
  <si>
    <t>all:MODE.MULT#24</t>
  </si>
  <si>
    <t>all:MODE.MULT#25</t>
  </si>
  <si>
    <t>all:SEQUENCE#1</t>
  </si>
  <si>
    <t>all:SEQUENCE#2</t>
  </si>
  <si>
    <t>all:SEQUENCE#3</t>
  </si>
  <si>
    <t>all:SEQUENCE#4</t>
  </si>
  <si>
    <t>all:SEQUENCE#5</t>
  </si>
  <si>
    <t>all:SEQUENCE#6</t>
  </si>
  <si>
    <t>all:SEQUENCE#7</t>
  </si>
  <si>
    <t>all:SEQUENCE#8</t>
  </si>
  <si>
    <t>all:SEQUENCE#9</t>
  </si>
  <si>
    <t>all:SEQUENCE#10</t>
  </si>
  <si>
    <t>all:SEQUENCE#11</t>
  </si>
  <si>
    <t>all:SEQUENCE#12</t>
  </si>
  <si>
    <t>all:SORT#1</t>
  </si>
  <si>
    <t>all:SORT#2</t>
  </si>
  <si>
    <t>all:SORT#3</t>
  </si>
  <si>
    <t>all:SORT#4</t>
  </si>
  <si>
    <t>all:SORT#5</t>
  </si>
  <si>
    <t>all:SORT#6</t>
  </si>
  <si>
    <t>all:SORT#7</t>
  </si>
  <si>
    <t>all:SORT#8</t>
  </si>
  <si>
    <t>all:SORT#9</t>
  </si>
  <si>
    <t>all:SORT#10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</si>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</sst>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_xlfn.WEIBULL.DIST(105,FALSE,100,TRUE)</f>
        <v>#NUM!</v>
      </c>
      <c r="B1">
        <f t="shared" ref="B1:B64" si="0">IF(ISERROR(A1),ERROR.TYPE(A1),IF(ISNUMBER(A1),0,IF(ISLOGICAL(A1),IF(A1,-1,-2),IF(ISTEXT(A1),-3,-4))))</f>
        <v>6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_xlfn.WEIBULL.DIST(105,20,,TRUE)</f>
        <v>#NUM!</v>
      </c>
      <c r="B2">
        <f t="shared" si="0"/>
        <v>6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_xlfn.WEIBULL.DIST(105,20,0,TRUE)</f>
        <v>#NUM!</v>
      </c>
      <c r="B3">
        <f t="shared" si="0"/>
        <v>6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_xlfn.WEIBULL.DIST(105,20,"",TRUE)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_xlfn.WEIBULL.DIST(105,20,FALSE,TRUE)</f>
        <v>#NUM!</v>
      </c>
      <c r="B5">
        <f t="shared" si="0"/>
        <v>6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_xlfn.WEIBULL.DIST(105,20,100,)</f>
        <v>3.5588864024503564E-2</v>
      </c>
      <c r="B6">
        <f t="shared" si="0"/>
        <v>0</v>
      </c>
      <c r="C6">
        <f t="shared" si="1"/>
        <v>3.5588864024503564E-2</v>
      </c>
      <c r="D6" t="str">
        <f t="shared" si="2"/>
        <v/>
      </c>
      <c r="E6" t="s">
        <v>40</v>
      </c>
    </row>
    <row r="7" spans="1:5" x14ac:dyDescent="0.2">
      <c r="A7" cm="1">
        <f t="array" ref="A7">_xlfn.WEIBULL.DIST(105,20,100,0)</f>
        <v>3.5588864024503564E-2</v>
      </c>
      <c r="B7">
        <f t="shared" si="0"/>
        <v>0</v>
      </c>
      <c r="C7">
        <f t="shared" si="1"/>
        <v>3.5588864024503564E-2</v>
      </c>
      <c r="D7" t="str">
        <f t="shared" si="2"/>
        <v/>
      </c>
      <c r="E7" t="s">
        <v>41</v>
      </c>
    </row>
    <row r="8" spans="1:5" x14ac:dyDescent="0.2">
      <c r="A8" t="e" cm="1">
        <f t="array" ref="A8">_xlfn.WEIBULL.DIST(105,20,100,"")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cm="1">
        <f t="array" ref="A9">_xlfn.WEIBULL.DIST(105,20,100,FALSE)</f>
        <v>3.5588864024503564E-2</v>
      </c>
      <c r="B9">
        <f t="shared" si="0"/>
        <v>0</v>
      </c>
      <c r="C9">
        <f t="shared" si="1"/>
        <v>3.5588864024503564E-2</v>
      </c>
      <c r="D9" t="str">
        <f t="shared" si="2"/>
        <v/>
      </c>
      <c r="E9" t="s">
        <v>43</v>
      </c>
    </row>
    <row r="10" spans="1:5" x14ac:dyDescent="0.2">
      <c r="A10" t="e" cm="1">
        <f t="array" ref="A10">WORKDAY(,151)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cm="1">
        <f t="array" ref="A11">WORKDAY(0,151)</f>
        <v>212</v>
      </c>
      <c r="B11">
        <f t="shared" si="0"/>
        <v>0</v>
      </c>
      <c r="C11">
        <f t="shared" si="1"/>
        <v>212</v>
      </c>
      <c r="D11" t="str">
        <f t="shared" si="2"/>
        <v/>
      </c>
      <c r="E11" t="s">
        <v>45</v>
      </c>
    </row>
    <row r="12" spans="1:5" x14ac:dyDescent="0.2">
      <c r="A12" t="e" cm="1">
        <f t="array" ref="A12">WORKDAY("",151)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WORKDAY(FALSE,151)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WORKDAY(39722,)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WORKDAY(39722,0)</f>
        <v>39722</v>
      </c>
      <c r="B15">
        <f t="shared" si="0"/>
        <v>0</v>
      </c>
      <c r="C15">
        <f t="shared" si="1"/>
        <v>39722</v>
      </c>
      <c r="D15" t="str">
        <f t="shared" si="2"/>
        <v/>
      </c>
      <c r="E15" t="s">
        <v>49</v>
      </c>
    </row>
    <row r="16" spans="1:5" x14ac:dyDescent="0.2">
      <c r="A16" t="e" cm="1">
        <f t="array" ref="A16">WORKDAY(39722,"")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WORKDAY(39722,FALSE)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WORKDAY(39722,151)</f>
        <v>39933</v>
      </c>
      <c r="B18">
        <f t="shared" si="0"/>
        <v>0</v>
      </c>
      <c r="C18">
        <f t="shared" si="1"/>
        <v>39933</v>
      </c>
      <c r="D18" t="str">
        <f t="shared" si="2"/>
        <v/>
      </c>
      <c r="E18" t="s">
        <v>52</v>
      </c>
    </row>
    <row r="19" spans="1:5" x14ac:dyDescent="0.2">
      <c r="A19" cm="1">
        <f t="array" ref="A19">WORKDAY(39722,151,)</f>
        <v>39933</v>
      </c>
      <c r="B19">
        <f t="shared" si="0"/>
        <v>0</v>
      </c>
      <c r="C19">
        <f t="shared" si="1"/>
        <v>39933</v>
      </c>
      <c r="D19" t="str">
        <f t="shared" si="2"/>
        <v/>
      </c>
      <c r="E19" t="s">
        <v>53</v>
      </c>
    </row>
    <row r="20" spans="1:5" x14ac:dyDescent="0.2">
      <c r="A20" cm="1">
        <f t="array" ref="A20">WORKDAY(39722,151,0)</f>
        <v>39933</v>
      </c>
      <c r="B20">
        <f t="shared" si="0"/>
        <v>0</v>
      </c>
      <c r="C20">
        <f t="shared" si="1"/>
        <v>39933</v>
      </c>
      <c r="D20" t="str">
        <f t="shared" si="2"/>
        <v/>
      </c>
      <c r="E20" t="s">
        <v>54</v>
      </c>
    </row>
    <row r="21" spans="1:5" x14ac:dyDescent="0.2">
      <c r="A21" t="e" cm="1">
        <f t="array" ref="A21">WORKDAY(39722,151,"")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WORKDAY(39722,151,FALSE)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WORKDAY.INTL(,90,11)</f>
        <v>#N/A</v>
      </c>
      <c r="B23">
        <f t="shared" si="0"/>
        <v>7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cm="1">
        <f t="array" ref="A24">WORKDAY.INTL(0,90,11)</f>
        <v>105</v>
      </c>
      <c r="B24">
        <f t="shared" si="0"/>
        <v>0</v>
      </c>
      <c r="C24">
        <f t="shared" si="1"/>
        <v>105</v>
      </c>
      <c r="D24" t="str">
        <f t="shared" si="2"/>
        <v/>
      </c>
      <c r="E24" t="s">
        <v>58</v>
      </c>
    </row>
    <row r="25" spans="1:5" x14ac:dyDescent="0.2">
      <c r="A25" t="e" cm="1">
        <f t="array" ref="A25">WORKDAY.INTL("",90,11)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WORKDAY.INTL(FALSE,90,11)</f>
        <v>#VALUE!</v>
      </c>
      <c r="B26">
        <f t="shared" si="0"/>
        <v>3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WORKDAY.INTL(40909,,11)</f>
        <v>#N/A</v>
      </c>
      <c r="B27">
        <f t="shared" si="0"/>
        <v>7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cm="1">
        <f t="array" ref="A28">WORKDAY.INTL(40909,0,11)</f>
        <v>40909</v>
      </c>
      <c r="B28">
        <f t="shared" si="0"/>
        <v>0</v>
      </c>
      <c r="C28">
        <f t="shared" si="1"/>
        <v>40909</v>
      </c>
      <c r="D28" t="str">
        <f t="shared" si="2"/>
        <v/>
      </c>
      <c r="E28" t="s">
        <v>62</v>
      </c>
    </row>
    <row r="29" spans="1:5" x14ac:dyDescent="0.2">
      <c r="A29" t="e" cm="1">
        <f t="array" ref="A29">WORKDAY.INTL(40909,"",11)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WORKDAY.INTL(40909,FALSE,11)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WORKDAY.INTL(40909,90,)</f>
        <v>41033</v>
      </c>
      <c r="B31">
        <f t="shared" si="0"/>
        <v>0</v>
      </c>
      <c r="C31">
        <f t="shared" si="1"/>
        <v>41033</v>
      </c>
      <c r="D31" t="str">
        <f t="shared" si="2"/>
        <v/>
      </c>
      <c r="E31" t="s">
        <v>65</v>
      </c>
    </row>
    <row r="32" spans="1:5" x14ac:dyDescent="0.2">
      <c r="A32" t="e" cm="1">
        <f t="array" ref="A32">WORKDAY.INTL(40909,90,0)</f>
        <v>#NUM!</v>
      </c>
      <c r="B32">
        <f t="shared" si="0"/>
        <v>6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WORKDAY.INTL(40909,90,"")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e" cm="1">
        <f t="array" ref="A34">WORKDAY.INTL(40909,90,FALSE)</f>
        <v>#NUM!</v>
      </c>
      <c r="B34">
        <f t="shared" si="0"/>
        <v>6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cm="1">
        <f t="array" ref="A35">WORKDAY.INTL(40909,90,11)</f>
        <v>41013</v>
      </c>
      <c r="B35">
        <f t="shared" si="0"/>
        <v>0</v>
      </c>
      <c r="C35">
        <f t="shared" si="1"/>
        <v>41013</v>
      </c>
      <c r="D35" t="str">
        <f t="shared" si="2"/>
        <v/>
      </c>
      <c r="E35" t="s">
        <v>69</v>
      </c>
    </row>
    <row r="36" spans="1:5" x14ac:dyDescent="0.2">
      <c r="A36" cm="1">
        <f t="array" ref="A36">WORKDAY.INTL(40909,90,11,)</f>
        <v>41013</v>
      </c>
      <c r="B36">
        <f t="shared" si="0"/>
        <v>0</v>
      </c>
      <c r="C36">
        <f t="shared" si="1"/>
        <v>41013</v>
      </c>
      <c r="D36" t="str">
        <f t="shared" si="2"/>
        <v/>
      </c>
      <c r="E36" t="s">
        <v>70</v>
      </c>
    </row>
    <row r="37" spans="1:5" x14ac:dyDescent="0.2">
      <c r="A37" cm="1">
        <f t="array" ref="A37">WORKDAY.INTL(40909,90,11,0)</f>
        <v>41013</v>
      </c>
      <c r="B37">
        <f t="shared" si="0"/>
        <v>0</v>
      </c>
      <c r="C37">
        <f t="shared" si="1"/>
        <v>41013</v>
      </c>
      <c r="D37" t="str">
        <f t="shared" si="2"/>
        <v/>
      </c>
      <c r="E37" t="s">
        <v>71</v>
      </c>
    </row>
    <row r="38" spans="1:5" x14ac:dyDescent="0.2">
      <c r="A38" t="e" cm="1">
        <f t="array" ref="A38">WORKDAY.INTL(40909,90,11,"")</f>
        <v>#VALUE!</v>
      </c>
      <c r="B38">
        <f t="shared" si="0"/>
        <v>3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e" cm="1">
        <f t="array" ref="A39">WORKDAY.INTL(40909,90,11,FALSE)</f>
        <v>#VALUE!</v>
      </c>
      <c r="B39">
        <f t="shared" si="0"/>
        <v>3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XIRR(,D!AU1:AU5)</f>
        <v>#N/A</v>
      </c>
      <c r="B40">
        <f t="shared" si="0"/>
        <v>7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e" cm="1">
        <f t="array" ref="A41">XIRR(0,D!AU1:AU5)</f>
        <v>#NUM!</v>
      </c>
      <c r="B41">
        <f t="shared" si="0"/>
        <v>6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XIRR("",D!AU1:AU5)</f>
        <v>#VALUE!</v>
      </c>
      <c r="B42">
        <f t="shared" si="0"/>
        <v>3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e" cm="1">
        <f t="array" ref="A43">XIRR(FALSE,D!AU1:AU5)</f>
        <v>#VALUE!</v>
      </c>
      <c r="B43">
        <f t="shared" si="0"/>
        <v>3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t="e" cm="1">
        <f t="array" ref="A44">XIRR(D!J1:J5,)</f>
        <v>#N/A</v>
      </c>
      <c r="B44">
        <f t="shared" si="0"/>
        <v>7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t="e" cm="1">
        <f t="array" ref="A45">XIRR(D!J1:J5,0)</f>
        <v>#NUM!</v>
      </c>
      <c r="B45">
        <f t="shared" si="0"/>
        <v>6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XIRR(D!J1:J5,"")</f>
        <v>#VALUE!</v>
      </c>
      <c r="B46">
        <f t="shared" si="0"/>
        <v>3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e" cm="1">
        <f t="array" ref="A47">XIRR(D!J1:J5,FALSE)</f>
        <v>#VALUE!</v>
      </c>
      <c r="B47">
        <f t="shared" si="0"/>
        <v>3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cm="1">
        <f t="array" ref="A48">XIRR(D!J1:J5,D!AU1:AU5)</f>
        <v>0.3733625352382659</v>
      </c>
      <c r="B48">
        <f t="shared" si="0"/>
        <v>0</v>
      </c>
      <c r="C48">
        <f t="shared" si="1"/>
        <v>0.3733625352382659</v>
      </c>
      <c r="D48" t="str">
        <f t="shared" si="2"/>
        <v/>
      </c>
      <c r="E48" t="s">
        <v>82</v>
      </c>
    </row>
    <row r="49" spans="1:5" x14ac:dyDescent="0.2">
      <c r="A49" cm="1">
        <f t="array" ref="A49">XIRR(D!J1:J5,D!AU1:AU5,)</f>
        <v>0.3733625352382659</v>
      </c>
      <c r="B49">
        <f t="shared" si="0"/>
        <v>0</v>
      </c>
      <c r="C49">
        <f t="shared" si="1"/>
        <v>0.3733625352382659</v>
      </c>
      <c r="D49" t="str">
        <f t="shared" si="2"/>
        <v/>
      </c>
      <c r="E49" t="s">
        <v>83</v>
      </c>
    </row>
    <row r="50" spans="1:5" x14ac:dyDescent="0.2">
      <c r="A50" cm="1">
        <f t="array" ref="A50">XIRR(D!J1:J5,D!AU1:AU5,0)</f>
        <v>0.37336253417968768</v>
      </c>
      <c r="B50">
        <f t="shared" si="0"/>
        <v>0</v>
      </c>
      <c r="C50">
        <f t="shared" si="1"/>
        <v>0.37336253417968768</v>
      </c>
      <c r="D50" t="str">
        <f t="shared" si="2"/>
        <v/>
      </c>
      <c r="E50" t="s">
        <v>84</v>
      </c>
    </row>
    <row r="51" spans="1:5" x14ac:dyDescent="0.2">
      <c r="A51" t="e" cm="1">
        <f t="array" ref="A51">XIRR(D!J1:J5,D!AU1:AU5,"")</f>
        <v>#VALUE!</v>
      </c>
      <c r="B51">
        <f t="shared" si="0"/>
        <v>3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e" cm="1">
        <f t="array" ref="A52">XIRR(D!J1:J5,D!AU1:AU5,FALSE)</f>
        <v>#VALUE!</v>
      </c>
      <c r="B52">
        <f t="shared" si="0"/>
        <v>3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t="e" cm="1">
        <f t="array" ref="A53">_xlfn.XLOOKUP(,D!L1:L6,D!M1:M6)</f>
        <v>#N/A</v>
      </c>
      <c r="B53">
        <f t="shared" si="0"/>
        <v>7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t="e" cm="1">
        <f t="array" ref="A54">_xlfn.XLOOKUP(0,D!L1:L6,D!M1:M6)</f>
        <v>#N/A</v>
      </c>
      <c r="B54">
        <f t="shared" si="0"/>
        <v>7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_xlfn.XLOOKUP("",D!L1:L6,D!M1:M6)</f>
        <v>#N/A</v>
      </c>
      <c r="B55">
        <f t="shared" si="0"/>
        <v>7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_xlfn.XLOOKUP(FALSE,D!L1:L6,D!M1:M6)</f>
        <v>#N/A</v>
      </c>
      <c r="B56">
        <f t="shared" si="0"/>
        <v>7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e" cm="1">
        <f t="array" ref="A57">_xlfn.XLOOKUP(3,,D!M1:M6)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>
        <f t="array" ref="A58">_xlfn.XLOOKUP(3,0,D!M1:M6)</f>
        <v>#N/A</v>
      </c>
      <c r="B58">
        <f t="shared" si="0"/>
        <v>7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e" cm="1">
        <f t="array" ref="A59">_xlfn.XLOOKUP(3,"",D!M1:M6)</f>
        <v>#N/A</v>
      </c>
      <c r="B59">
        <f t="shared" si="0"/>
        <v>7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t="e" cm="1">
        <f t="array" ref="A60">_xlfn.XLOOKUP(3,FALSE,D!M1:M6)</f>
        <v>#N/A</v>
      </c>
      <c r="B60">
        <f t="shared" si="0"/>
        <v>7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t="e" cm="1">
        <f t="array" ref="A61">_xlfn.XLOOKUP(3,D!L1:L6,)</f>
        <v>#VALUE!</v>
      </c>
      <c r="B61">
        <f t="shared" si="0"/>
        <v>3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t="e" cm="1">
        <f t="array" ref="A62">_xlfn.XLOOKUP(3,D!L1:L6,0)</f>
        <v>#VALUE!</v>
      </c>
      <c r="B62">
        <f t="shared" si="0"/>
        <v>3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t="e" cm="1">
        <f t="array" ref="A63">_xlfn.XLOOKUP(3,D!L1:L6,"")</f>
        <v>#VALUE!</v>
      </c>
      <c r="B63">
        <f t="shared" si="0"/>
        <v>3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t="e" cm="1">
        <f t="array" ref="A64">_xlfn.XLOOKUP(3,D!L1:L6,FALSE)</f>
        <v>#VALUE!</v>
      </c>
      <c r="B64">
        <f t="shared" si="0"/>
        <v>3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t="str" cm="1">
        <f t="array" ref="A65">_xlfn.XLOOKUP(3,D!L1:L6,D!M1:M6)</f>
        <v>three</v>
      </c>
      <c r="B65">
        <f t="shared" ref="B65:B128" si="3">IF(ISERROR(A65),ERROR.TYPE(A65),IF(ISNUMBER(A65),0,IF(ISLOGICAL(A65),IF(A65,-1,-2),IF(ISTEXT(A65),-3,-4))))</f>
        <v>-3</v>
      </c>
      <c r="C65">
        <f t="shared" ref="C65:C128" si="4">IF(ISNUMBER(A65),A65,0)</f>
        <v>0</v>
      </c>
      <c r="D65" t="str">
        <f t="shared" ref="D65:D128" si="5">IF(ISTEXT(A65),A65,"")</f>
        <v>three</v>
      </c>
      <c r="E65" t="s">
        <v>99</v>
      </c>
    </row>
    <row r="66" spans="1:5" x14ac:dyDescent="0.2">
      <c r="A66" t="str" cm="1">
        <f t="array" ref="A66">_xlfn.XLOOKUP(3,D!L1:L6,D!M1:M6,)</f>
        <v>three</v>
      </c>
      <c r="B66">
        <f t="shared" si="3"/>
        <v>-3</v>
      </c>
      <c r="C66">
        <f t="shared" si="4"/>
        <v>0</v>
      </c>
      <c r="D66" t="str">
        <f t="shared" si="5"/>
        <v>three</v>
      </c>
      <c r="E66" t="s">
        <v>100</v>
      </c>
    </row>
    <row r="67" spans="1:5" x14ac:dyDescent="0.2">
      <c r="A67" t="str" cm="1">
        <f t="array" ref="A67">_xlfn.XLOOKUP(3,D!L1:L6,D!M1:M6,0)</f>
        <v>three</v>
      </c>
      <c r="B67">
        <f t="shared" si="3"/>
        <v>-3</v>
      </c>
      <c r="C67">
        <f t="shared" si="4"/>
        <v>0</v>
      </c>
      <c r="D67" t="str">
        <f t="shared" si="5"/>
        <v>three</v>
      </c>
      <c r="E67" t="s">
        <v>101</v>
      </c>
    </row>
    <row r="68" spans="1:5" x14ac:dyDescent="0.2">
      <c r="A68" t="str" cm="1">
        <f t="array" ref="A68">_xlfn.XLOOKUP(3,D!L1:L6,D!M1:M6,"")</f>
        <v>three</v>
      </c>
      <c r="B68">
        <f t="shared" si="3"/>
        <v>-3</v>
      </c>
      <c r="C68">
        <f t="shared" si="4"/>
        <v>0</v>
      </c>
      <c r="D68" t="str">
        <f t="shared" si="5"/>
        <v>three</v>
      </c>
      <c r="E68" t="s">
        <v>102</v>
      </c>
    </row>
    <row r="69" spans="1:5" x14ac:dyDescent="0.2">
      <c r="A69" t="str" cm="1">
        <f t="array" ref="A69">_xlfn.XLOOKUP(3,D!L1:L6,D!M1:M6,FALSE)</f>
        <v>three</v>
      </c>
      <c r="B69">
        <f t="shared" si="3"/>
        <v>-3</v>
      </c>
      <c r="C69">
        <f t="shared" si="4"/>
        <v>0</v>
      </c>
      <c r="D69" t="str">
        <f t="shared" si="5"/>
        <v>three</v>
      </c>
      <c r="E69" t="s">
        <v>103</v>
      </c>
    </row>
    <row r="70" spans="1:5" x14ac:dyDescent="0.2">
      <c r="A70" t="e" cm="1">
        <f t="array" ref="A70">_xlfn.XMATCH(,D!L1:L6)</f>
        <v>#N/A</v>
      </c>
      <c r="B70">
        <f t="shared" si="3"/>
        <v>7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t="e" cm="1">
        <f t="array" ref="A71">_xlfn.XMATCH(0,D!L1:L6)</f>
        <v>#N/A</v>
      </c>
      <c r="B71">
        <f t="shared" si="3"/>
        <v>7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e" cm="1">
        <f t="array" ref="A72">_xlfn.XMATCH("",D!L1:L6)</f>
        <v>#N/A</v>
      </c>
      <c r="B72">
        <f t="shared" si="3"/>
        <v>7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e" cm="1">
        <f t="array" ref="A73">_xlfn.XMATCH(FALSE,D!L1:L6)</f>
        <v>#N/A</v>
      </c>
      <c r="B73">
        <f t="shared" si="3"/>
        <v>7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e" cm="1">
        <f t="array" ref="A74">_xlfn.XMATCH(3,)</f>
        <v>#VALUE!</v>
      </c>
      <c r="B74">
        <f t="shared" si="3"/>
        <v>3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e" cm="1">
        <f t="array" ref="A75">_xlfn.XMATCH(3,0)</f>
        <v>#N/A</v>
      </c>
      <c r="B75">
        <f t="shared" si="3"/>
        <v>7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>
        <f t="array" ref="A76">_xlfn.XMATCH(3,"")</f>
        <v>#N/A</v>
      </c>
      <c r="B76">
        <f t="shared" si="3"/>
        <v>7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e" cm="1">
        <f t="array" ref="A77">_xlfn.XMATCH(3,FALSE)</f>
        <v>#N/A</v>
      </c>
      <c r="B77">
        <f t="shared" si="3"/>
        <v>7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cm="1">
        <f t="array" ref="A78">_xlfn.XMATCH(3,D!L1:L6)</f>
        <v>3</v>
      </c>
      <c r="B78">
        <f t="shared" si="3"/>
        <v>0</v>
      </c>
      <c r="C78">
        <f t="shared" si="4"/>
        <v>3</v>
      </c>
      <c r="D78" t="str">
        <f t="shared" si="5"/>
        <v/>
      </c>
      <c r="E78" t="s">
        <v>112</v>
      </c>
    </row>
    <row r="79" spans="1:5" x14ac:dyDescent="0.2">
      <c r="A79" cm="1">
        <f t="array" ref="A79">_xlfn.XMATCH(3,D!L1:L6,)</f>
        <v>3</v>
      </c>
      <c r="B79">
        <f t="shared" si="3"/>
        <v>0</v>
      </c>
      <c r="C79">
        <f t="shared" si="4"/>
        <v>3</v>
      </c>
      <c r="D79" t="str">
        <f t="shared" si="5"/>
        <v/>
      </c>
      <c r="E79" t="s">
        <v>113</v>
      </c>
    </row>
    <row r="80" spans="1:5" x14ac:dyDescent="0.2">
      <c r="A80" cm="1">
        <f t="array" ref="A80">_xlfn.XMATCH(3,D!L1:L6,0)</f>
        <v>3</v>
      </c>
      <c r="B80">
        <f t="shared" si="3"/>
        <v>0</v>
      </c>
      <c r="C80">
        <f t="shared" si="4"/>
        <v>3</v>
      </c>
      <c r="D80" t="str">
        <f t="shared" si="5"/>
        <v/>
      </c>
      <c r="E80" t="s">
        <v>114</v>
      </c>
    </row>
    <row r="81" spans="1:5" x14ac:dyDescent="0.2">
      <c r="A81" t="e" cm="1">
        <f t="array" ref="A81">_xlfn.XMATCH(3,D!L1:L6,"")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cm="1">
        <f t="array" ref="A82">_xlfn.XMATCH(3,D!L1:L6,FALSE)</f>
        <v>3</v>
      </c>
      <c r="B82">
        <f t="shared" si="3"/>
        <v>0</v>
      </c>
      <c r="C82">
        <f t="shared" si="4"/>
        <v>3</v>
      </c>
      <c r="D82" t="str">
        <f t="shared" si="5"/>
        <v/>
      </c>
      <c r="E82" t="s">
        <v>116</v>
      </c>
    </row>
    <row r="83" spans="1:5" x14ac:dyDescent="0.2">
      <c r="A83" t="e" cm="1">
        <f t="array" ref="A83">XNPV(,D!J1:J5,D!AU1:AU5)</f>
        <v>#N/A</v>
      </c>
      <c r="B83">
        <f t="shared" si="3"/>
        <v>7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t="e" cm="1">
        <f t="array" ref="A84">XNPV(0,D!J1:J5,D!AU1:AU5)</f>
        <v>#NUM!</v>
      </c>
      <c r="B84">
        <f t="shared" si="3"/>
        <v>6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t="e" cm="1">
        <f t="array" ref="A85">XNPV("",D!J1:J5,D!AU1:AU5)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t="e" cm="1">
        <f t="array" ref="A86">XNPV(FALSE,D!J1:J5,D!AU1:AU5)</f>
        <v>#VALUE!</v>
      </c>
      <c r="B86">
        <f t="shared" si="3"/>
        <v>3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XNPV(0.09,,D!AU1:AU5)</f>
        <v>#N/A</v>
      </c>
      <c r="B87">
        <f t="shared" si="3"/>
        <v>7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e" cm="1">
        <f t="array" ref="A88">XNPV(0.09,0,D!AU1:AU5)</f>
        <v>#NUM!</v>
      </c>
      <c r="B88">
        <f t="shared" si="3"/>
        <v>6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ref="A89">XNPV(0.09,"",D!AU1:AU5)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>
        <f t="array" ref="A90">XNPV(0.09,FALSE,D!AU1:AU5)</f>
        <v>#VALUE!</v>
      </c>
      <c r="B90">
        <f t="shared" si="3"/>
        <v>3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XNPV(0.09,D!J1:J5,)</f>
        <v>#N/A</v>
      </c>
      <c r="B91">
        <f t="shared" si="3"/>
        <v>7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XNPV(0.09,D!J1:J5,0)</f>
        <v>#NUM!</v>
      </c>
      <c r="B92">
        <f t="shared" si="3"/>
        <v>6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XNPV(0.09,D!J1:J5,"")</f>
        <v>#VALUE!</v>
      </c>
      <c r="B93">
        <f t="shared" si="3"/>
        <v>3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e" cm="1">
        <f t="array" ref="A94">XNPV(0.09,D!J1:J5,FALSE)</f>
        <v>#VALUE!</v>
      </c>
      <c r="B94">
        <f t="shared" si="3"/>
        <v>3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b" cm="1">
        <f t="array" ref="A95">_xlfn.XOR(,FALSE)</f>
        <v>0</v>
      </c>
      <c r="B95">
        <f t="shared" si="3"/>
        <v>-2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b" cm="1">
        <f t="array" ref="A96">_xlfn.XOR(0,FALSE)</f>
        <v>0</v>
      </c>
      <c r="B96">
        <f t="shared" si="3"/>
        <v>-2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b" cm="1">
        <f t="array" ref="A97">_xlfn.XOR("",FALSE)</f>
        <v>0</v>
      </c>
      <c r="B97">
        <f t="shared" si="3"/>
        <v>-2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b" cm="1">
        <f t="array" ref="A98">_xlfn.XOR(FALSE,FALSE)</f>
        <v>0</v>
      </c>
      <c r="B98">
        <f t="shared" si="3"/>
        <v>-2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t="b" cm="1">
        <f t="array" ref="A99">_xlfn.XOR(TRUE,)</f>
        <v>1</v>
      </c>
      <c r="B99">
        <f t="shared" si="3"/>
        <v>-1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b" cm="1">
        <f t="array" ref="A100">_xlfn.XOR(TRUE,0)</f>
        <v>1</v>
      </c>
      <c r="B100">
        <f t="shared" si="3"/>
        <v>-1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t="b" cm="1">
        <f t="array" ref="A101">_xlfn.XOR(TRUE,"")</f>
        <v>1</v>
      </c>
      <c r="B101">
        <f t="shared" si="3"/>
        <v>-1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b" cm="1">
        <f t="array" ref="A102">_xlfn.XOR(TRUE,FALSE)</f>
        <v>1</v>
      </c>
      <c r="B102">
        <f t="shared" si="3"/>
        <v>-1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b" cm="1">
        <f t="array" ref="A103">_xlfn.XOR(TRUE,FALSE)</f>
        <v>1</v>
      </c>
      <c r="B103">
        <f t="shared" si="3"/>
        <v>-1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b" cm="1">
        <f t="array" ref="A104">_xlfn.XOR(TRUE,FALSE,)</f>
        <v>1</v>
      </c>
      <c r="B104">
        <f t="shared" si="3"/>
        <v>-1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b" cm="1">
        <f t="array" ref="A105">_xlfn.XOR(TRUE,FALSE,0)</f>
        <v>1</v>
      </c>
      <c r="B105">
        <f t="shared" si="3"/>
        <v>-1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t="b" cm="1">
        <f t="array" ref="A106">_xlfn.XOR(TRUE,FALSE,"")</f>
        <v>1</v>
      </c>
      <c r="B106">
        <f t="shared" si="3"/>
        <v>-1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t="b" cm="1">
        <f t="array" ref="A107">_xlfn.XOR(TRUE,FALSE,FALSE)</f>
        <v>1</v>
      </c>
      <c r="B107">
        <f t="shared" si="3"/>
        <v>-1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YEARFRAC(,41120)</f>
        <v>#N/A</v>
      </c>
      <c r="B108">
        <f t="shared" si="3"/>
        <v>7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cm="1">
        <f t="array" ref="A109">YEARFRAC(0,41120)</f>
        <v>112.58333333333333</v>
      </c>
      <c r="B109">
        <f t="shared" si="3"/>
        <v>0</v>
      </c>
      <c r="C109">
        <f t="shared" si="4"/>
        <v>112.58333333333333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YEARFRAC("",41120)</f>
        <v>#VALUE!</v>
      </c>
      <c r="B110">
        <f t="shared" si="3"/>
        <v>3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e" cm="1">
        <f t="array" ref="A111">YEARFRAC(FALSE,41120)</f>
        <v>#VALUE!</v>
      </c>
      <c r="B111">
        <f t="shared" si="3"/>
        <v>3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YEARFRAC(40909,)</f>
        <v>#N/A</v>
      </c>
      <c r="B112">
        <f t="shared" si="3"/>
        <v>7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cm="1">
        <f t="array" ref="A113">YEARFRAC(40909,0)</f>
        <v>112.00277777777778</v>
      </c>
      <c r="B113">
        <f t="shared" si="3"/>
        <v>0</v>
      </c>
      <c r="C113">
        <f t="shared" si="4"/>
        <v>112.00277777777778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YEARFRAC(40909,"")</f>
        <v>#VALUE!</v>
      </c>
      <c r="B114">
        <f t="shared" si="3"/>
        <v>3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e" cm="1">
        <f t="array" ref="A115">YEARFRAC(40909,FALSE)</f>
        <v>#VALUE!</v>
      </c>
      <c r="B115">
        <f t="shared" si="3"/>
        <v>3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cm="1">
        <f t="array" ref="A116">YEARFRAC(40909,41120)</f>
        <v>0.5805555555555556</v>
      </c>
      <c r="B116">
        <f t="shared" si="3"/>
        <v>0</v>
      </c>
      <c r="C116">
        <f t="shared" si="4"/>
        <v>0.5805555555555556</v>
      </c>
      <c r="D116" t="str">
        <f t="shared" si="5"/>
        <v/>
      </c>
      <c r="E116" t="s">
        <v>150</v>
      </c>
    </row>
    <row r="117" spans="1:5" x14ac:dyDescent="0.2">
      <c r="A117" cm="1">
        <f t="array" ref="A117">YEARFRAC(40909,41120,)</f>
        <v>0.5805555555555556</v>
      </c>
      <c r="B117">
        <f t="shared" si="3"/>
        <v>0</v>
      </c>
      <c r="C117">
        <f t="shared" si="4"/>
        <v>0.5805555555555556</v>
      </c>
      <c r="D117" t="str">
        <f t="shared" si="5"/>
        <v/>
      </c>
      <c r="E117" t="s">
        <v>151</v>
      </c>
    </row>
    <row r="118" spans="1:5" x14ac:dyDescent="0.2">
      <c r="A118" cm="1">
        <f t="array" ref="A118">YEARFRAC(40909,41120,0)</f>
        <v>0.5805555555555556</v>
      </c>
      <c r="B118">
        <f t="shared" si="3"/>
        <v>0</v>
      </c>
      <c r="C118">
        <f t="shared" si="4"/>
        <v>0.5805555555555556</v>
      </c>
      <c r="D118" t="str">
        <f t="shared" si="5"/>
        <v/>
      </c>
      <c r="E118" t="s">
        <v>152</v>
      </c>
    </row>
    <row r="119" spans="1:5" x14ac:dyDescent="0.2">
      <c r="A119" t="e" cm="1">
        <f t="array" ref="A119">YEARFRAC(40909,41120,"")</f>
        <v>#VALUE!</v>
      </c>
      <c r="B119">
        <f t="shared" si="3"/>
        <v>3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e" cm="1">
        <f t="array" ref="A120">YEARFRAC(40909,41120,FALSE)</f>
        <v>#VALUE!</v>
      </c>
      <c r="B120">
        <f t="shared" si="3"/>
        <v>3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e" cm="1">
        <f t="array" ref="A121">YIELD(,DATE(2016,11,15),0.0575,95.04287,100,2,0)</f>
        <v>#N/A</v>
      </c>
      <c r="B121">
        <f t="shared" si="3"/>
        <v>7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e" cm="1">
        <f t="array" ref="A122">YIELD(0,DATE(2016,11,15),0.0575,95.04287,100,2,0)</f>
        <v>#NUM!</v>
      </c>
      <c r="B122">
        <f t="shared" si="3"/>
        <v>6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YIELD("",DATE(2016,11,15),0.0575,95.04287,100,2,0)</f>
        <v>#VALUE!</v>
      </c>
      <c r="B123">
        <f t="shared" si="3"/>
        <v>3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e" cm="1">
        <f t="array" ref="A124">YIELD(FALSE,DATE(2016,11,15),0.0575,95.04287,100,2,0)</f>
        <v>#VALUE!</v>
      </c>
      <c r="B124">
        <f t="shared" si="3"/>
        <v>3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e" cm="1">
        <f t="array" ref="A125">YIELD(DATE(2008,2,15),,0.0575,95.04287,100,2,0)</f>
        <v>#N/A</v>
      </c>
      <c r="B125">
        <f t="shared" si="3"/>
        <v>7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YIELD(DATE(2008,2,15),0,0.0575,95.04287,100,2,0)</f>
        <v>#NUM!</v>
      </c>
      <c r="B126">
        <f t="shared" si="3"/>
        <v>6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e" cm="1">
        <f t="array" ref="A127">YIELD(DATE(2008,2,15),"",0.0575,95.04287,100,2,0)</f>
        <v>#VALUE!</v>
      </c>
      <c r="B127">
        <f t="shared" si="3"/>
        <v>3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t="e" cm="1">
        <f t="array" ref="A128">YIELD(DATE(2008,2,15),FALSE,0.0575,95.04287,100,2,0)</f>
        <v>#VALUE!</v>
      </c>
      <c r="B128">
        <f t="shared" si="3"/>
        <v>3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YIELD(DATE(2008,2,15),DATE(2016,11,15),,95.04287,100,2,0)</f>
        <v>#N/A</v>
      </c>
      <c r="B129">
        <f t="shared" ref="B129:B192" si="6">IF(ISERROR(A129),ERROR.TYPE(A129),IF(ISNUMBER(A129),0,IF(ISLOGICAL(A129),IF(A129,-1,-2),IF(ISTEXT(A129),-3,-4))))</f>
        <v>7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YIELD(DATE(2008,2,15),DATE(2016,11,15),0,95.04287,100,2,0)</f>
        <v>5.8189782237811349E-3</v>
      </c>
      <c r="B130">
        <f t="shared" si="6"/>
        <v>0</v>
      </c>
      <c r="C130">
        <f t="shared" si="7"/>
        <v>5.8189782237811349E-3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YIELD(DATE(2008,2,15),DATE(2016,11,15),"",95.04287,100,2,0)</f>
        <v>#VALUE!</v>
      </c>
      <c r="B131">
        <f t="shared" si="6"/>
        <v>3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YIELD(DATE(2008,2,15),DATE(2016,11,15),FALSE,95.04287,100,2,0)</f>
        <v>#VALUE!</v>
      </c>
      <c r="B132">
        <f t="shared" si="6"/>
        <v>3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YIELD(DATE(2008,2,15),DATE(2016,11,15),0.0575,,100,2,0)</f>
        <v>#N/A</v>
      </c>
      <c r="B133">
        <f t="shared" si="6"/>
        <v>7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YIELD(DATE(2008,2,15),DATE(2016,11,15),0.0575,0,100,2,0)</f>
        <v>#NUM!</v>
      </c>
      <c r="B134">
        <f t="shared" si="6"/>
        <v>6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YIELD(DATE(2008,2,15),DATE(2016,11,15),0.0575,"",100,2,0)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YIELD(DATE(2008,2,15),DATE(2016,11,15),0.0575,FALSE,100,2,0)</f>
        <v>#VALUE!</v>
      </c>
      <c r="B136">
        <f t="shared" si="6"/>
        <v>3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e" cm="1">
        <f t="array" ref="A137">YIELD(DATE(2008,2,15),DATE(2016,11,15),0.0575,95.04287,,2,0)</f>
        <v>#N/A</v>
      </c>
      <c r="B137">
        <f t="shared" si="6"/>
        <v>7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YIELD(DATE(2008,2,15),DATE(2016,11,15),0.0575,95.04287,0,2,0)</f>
        <v>#NUM!</v>
      </c>
      <c r="B138">
        <f t="shared" si="6"/>
        <v>6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YIELD(DATE(2008,2,15),DATE(2016,11,15),0.0575,95.04287,"",2,0)</f>
        <v>#VALUE!</v>
      </c>
      <c r="B139">
        <f t="shared" si="6"/>
        <v>3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YIELD(DATE(2008,2,15),DATE(2016,11,15),0.0575,95.04287,FALSE,2,0)</f>
        <v>#VALUE!</v>
      </c>
      <c r="B140">
        <f t="shared" si="6"/>
        <v>3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YIELD(DATE(2008,2,15),DATE(2016,11,15),0.0575,95.04287,100,,0)</f>
        <v>#N/A</v>
      </c>
      <c r="B141">
        <f t="shared" si="6"/>
        <v>7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e" cm="1">
        <f t="array" ref="A142">YIELD(DATE(2008,2,15),DATE(2016,11,15),0.0575,95.04287,100,0,0)</f>
        <v>#NUM!</v>
      </c>
      <c r="B142">
        <f t="shared" si="6"/>
        <v>6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e" cm="1">
        <f t="array" ref="A143">YIELD(DATE(2008,2,15),DATE(2016,11,15),0.0575,95.04287,100,"",0)</f>
        <v>#VALUE!</v>
      </c>
      <c r="B143">
        <f t="shared" si="6"/>
        <v>3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e" cm="1">
        <f t="array" ref="A144">YIELD(DATE(2008,2,15),DATE(2016,11,15),0.0575,95.04287,100,FALSE,0)</f>
        <v>#VALUE!</v>
      </c>
      <c r="B144">
        <f t="shared" si="6"/>
        <v>3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cm="1">
        <f t="array" ref="A145">YIELD(DATE(2008,2,15),DATE(2016,11,15),0.0575,95.04287,100,2,)</f>
        <v>6.5000006880731431E-2</v>
      </c>
      <c r="B145">
        <f t="shared" si="6"/>
        <v>0</v>
      </c>
      <c r="C145">
        <f t="shared" si="7"/>
        <v>6.5000006880731431E-2</v>
      </c>
      <c r="D145" t="str">
        <f t="shared" si="8"/>
        <v/>
      </c>
      <c r="E145" t="s">
        <v>179</v>
      </c>
    </row>
    <row r="146" spans="1:5" x14ac:dyDescent="0.2">
      <c r="A146" cm="1">
        <f t="array" ref="A146">YIELD(DATE(2008,2,15),DATE(2016,11,15),0.0575,95.04287,100,2,0)</f>
        <v>6.5000006880731431E-2</v>
      </c>
      <c r="B146">
        <f t="shared" si="6"/>
        <v>0</v>
      </c>
      <c r="C146">
        <f t="shared" si="7"/>
        <v>6.5000006880731431E-2</v>
      </c>
      <c r="D146" t="str">
        <f t="shared" si="8"/>
        <v/>
      </c>
      <c r="E146" t="s">
        <v>180</v>
      </c>
    </row>
    <row r="147" spans="1:5" x14ac:dyDescent="0.2">
      <c r="A147" t="e" cm="1">
        <f t="array" ref="A147">YIELD(DATE(2008,2,15),DATE(2016,11,15),0.0575,95.04287,100,2,"")</f>
        <v>#VALUE!</v>
      </c>
      <c r="B147">
        <f t="shared" si="6"/>
        <v>3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t="e" cm="1">
        <f t="array" ref="A148">YIELD(DATE(2008,2,15),DATE(2016,11,15),0.0575,95.04287,100,2,FALSE)</f>
        <v>#VALUE!</v>
      </c>
      <c r="B148">
        <f t="shared" si="6"/>
        <v>3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e" cm="1">
        <f t="array" ref="A149">YIELDDISC(,DATE(2008,3,1),99.795,100,2)</f>
        <v>#N/A</v>
      </c>
      <c r="B149">
        <f t="shared" si="6"/>
        <v>7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cm="1">
        <f t="array" ref="A150">YIELDDISC(0,DATE(2008,3,1),99.795,100,2)</f>
        <v>1.8718133234180842E-5</v>
      </c>
      <c r="B150">
        <f t="shared" si="6"/>
        <v>0</v>
      </c>
      <c r="C150">
        <f t="shared" si="7"/>
        <v>1.8718133234180842E-5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YIELDDISC("",DATE(2008,3,1),99.795,100,2)</f>
        <v>#VALUE!</v>
      </c>
      <c r="B151">
        <f t="shared" si="6"/>
        <v>3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YIELDDISC(FALSE,DATE(2008,3,1),99.795,100,2)</f>
        <v>#VALUE!</v>
      </c>
      <c r="B152">
        <f t="shared" si="6"/>
        <v>3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YIELDDISC(DATE(2008,2,16),,99.795,100,2)</f>
        <v>#N/A</v>
      </c>
      <c r="B153">
        <f t="shared" si="6"/>
        <v>7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YIELDDISC(DATE(2008,2,16),0,99.795,100,2)</f>
        <v>#NUM!</v>
      </c>
      <c r="B154">
        <f t="shared" si="6"/>
        <v>6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t="e" cm="1">
        <f t="array" ref="A155">YIELDDISC(DATE(2008,2,16),"",99.795,100,2)</f>
        <v>#VALUE!</v>
      </c>
      <c r="B155">
        <f t="shared" si="6"/>
        <v>3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t="e" cm="1">
        <f t="array" ref="A156">YIELDDISC(DATE(2008,2,16),FALSE,99.795,100,2)</f>
        <v>#VALUE!</v>
      </c>
      <c r="B156">
        <f t="shared" si="6"/>
        <v>3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YIELDDISC(DATE(2008,2,16),DATE(2008,3,1),,100,2)</f>
        <v>#N/A</v>
      </c>
      <c r="B157">
        <f t="shared" si="6"/>
        <v>7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YIELDDISC(DATE(2008,2,16),DATE(2008,3,1),0,100,2)</f>
        <v>#NUM!</v>
      </c>
      <c r="B158">
        <f t="shared" si="6"/>
        <v>6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e" cm="1">
        <f t="array" ref="A159">YIELDDISC(DATE(2008,2,16),DATE(2008,3,1),"",100,2)</f>
        <v>#VALUE!</v>
      </c>
      <c r="B159">
        <f t="shared" si="6"/>
        <v>3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t="e" cm="1">
        <f t="array" ref="A160">YIELDDISC(DATE(2008,2,16),DATE(2008,3,1),FALSE,100,2)</f>
        <v>#VALUE!</v>
      </c>
      <c r="B160">
        <f t="shared" si="6"/>
        <v>3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YIELDDISC(DATE(2008,2,16),DATE(2008,3,1),99.795,,2)</f>
        <v>#N/A</v>
      </c>
      <c r="B161">
        <f t="shared" si="6"/>
        <v>7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e" cm="1">
        <f t="array" ref="A162">YIELDDISC(DATE(2008,2,16),DATE(2008,3,1),99.795,0,2)</f>
        <v>#NUM!</v>
      </c>
      <c r="B162">
        <f t="shared" si="6"/>
        <v>6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t="e" cm="1">
        <f t="array" ref="A163">YIELDDISC(DATE(2008,2,16),DATE(2008,3,1),99.795,"",2)</f>
        <v>#VALUE!</v>
      </c>
      <c r="B163">
        <f t="shared" si="6"/>
        <v>3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YIELDDISC(DATE(2008,2,16),DATE(2008,3,1),99.795,FALSE,2)</f>
        <v>#VALUE!</v>
      </c>
      <c r="B164">
        <f t="shared" si="6"/>
        <v>3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cm="1">
        <f t="array" ref="A165">YIELDDISC(DATE(2008,2,16),DATE(2008,3,1),99.795,100,)</f>
        <v>4.9301067187734443E-2</v>
      </c>
      <c r="B165">
        <f t="shared" si="6"/>
        <v>0</v>
      </c>
      <c r="C165">
        <f t="shared" si="7"/>
        <v>4.9301067187734443E-2</v>
      </c>
      <c r="D165" t="str">
        <f t="shared" si="8"/>
        <v/>
      </c>
      <c r="E165" t="s">
        <v>199</v>
      </c>
    </row>
    <row r="166" spans="1:5" x14ac:dyDescent="0.2">
      <c r="A166" cm="1">
        <f t="array" ref="A166">YIELDDISC(DATE(2008,2,16),DATE(2008,3,1),99.795,100,0)</f>
        <v>4.9301067187734443E-2</v>
      </c>
      <c r="B166">
        <f t="shared" si="6"/>
        <v>0</v>
      </c>
      <c r="C166">
        <f t="shared" si="7"/>
        <v>4.9301067187734443E-2</v>
      </c>
      <c r="D166" t="str">
        <f t="shared" si="8"/>
        <v/>
      </c>
      <c r="E166" t="s">
        <v>200</v>
      </c>
    </row>
    <row r="167" spans="1:5" x14ac:dyDescent="0.2">
      <c r="A167" t="e" cm="1">
        <f t="array" ref="A167">YIELDDISC(DATE(2008,2,16),DATE(2008,3,1),99.795,100,"")</f>
        <v>#VALUE!</v>
      </c>
      <c r="B167">
        <f t="shared" si="6"/>
        <v>3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YIELDDISC(DATE(2008,2,16),DATE(2008,3,1),99.795,100,FALSE)</f>
        <v>#VALUE!</v>
      </c>
      <c r="B168">
        <f t="shared" si="6"/>
        <v>3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YIELDMAT(,DATE(2008,11,3),DATE(2007,11,8),0.0625,100.0123,0)</f>
        <v>#N/A</v>
      </c>
      <c r="B169">
        <f t="shared" si="6"/>
        <v>7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e" cm="1">
        <f t="array" ref="A170">YIELDMAT(0,DATE(2008,11,3),DATE(2007,11,8),0.0625,100.0123,0)</f>
        <v>#NUM!</v>
      </c>
      <c r="B170">
        <f t="shared" si="6"/>
        <v>6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YIELDMAT("",DATE(2008,11,3),DATE(2007,11,8),0.0625,100.0123,0)</f>
        <v>#VALUE!</v>
      </c>
      <c r="B171">
        <f t="shared" si="6"/>
        <v>3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e" cm="1">
        <f t="array" ref="A172">YIELDMAT(FALSE,DATE(2008,11,3),DATE(2007,11,8),0.0625,100.0123,0)</f>
        <v>#VALUE!</v>
      </c>
      <c r="B172">
        <f t="shared" si="6"/>
        <v>3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YIELDMAT(DATE(2008,3,15),,DATE(2007,11,8),0.0625,100.0123,0)</f>
        <v>#N/A</v>
      </c>
      <c r="B173">
        <f t="shared" si="6"/>
        <v>7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YIELDMAT(DATE(2008,3,15),0,DATE(2007,11,8),0.0625,100.0123,0)</f>
        <v>#NUM!</v>
      </c>
      <c r="B174">
        <f t="shared" si="6"/>
        <v>6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e" cm="1">
        <f t="array" ref="A175">YIELDMAT(DATE(2008,3,15),"",DATE(2007,11,8),0.0625,100.0123,0)</f>
        <v>#VALUE!</v>
      </c>
      <c r="B175">
        <f t="shared" si="6"/>
        <v>3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e" cm="1">
        <f t="array" ref="A176">YIELDMAT(DATE(2008,3,15),FALSE,DATE(2007,11,8),0.0625,100.0123,0)</f>
        <v>#VALUE!</v>
      </c>
      <c r="B176">
        <f t="shared" si="6"/>
        <v>3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YIELDMAT(DATE(2008,3,15),DATE(2008,11,3),,0.0625,100.0123,0)</f>
        <v>#N/A</v>
      </c>
      <c r="B177">
        <f t="shared" si="6"/>
        <v>7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cm="1">
        <f t="array" ref="A178">YIELDMAT(DATE(2008,3,15),DATE(2008,11,3),0,0.0625,100.0123,0)</f>
        <v>8.025845045683374E-3</v>
      </c>
      <c r="B178">
        <f t="shared" si="6"/>
        <v>0</v>
      </c>
      <c r="C178">
        <f t="shared" si="7"/>
        <v>8.025845045683374E-3</v>
      </c>
      <c r="D178" t="str">
        <f t="shared" si="8"/>
        <v/>
      </c>
      <c r="E178" t="s">
        <v>212</v>
      </c>
    </row>
    <row r="179" spans="1:5" x14ac:dyDescent="0.2">
      <c r="A179" t="e" cm="1">
        <f t="array" ref="A179">YIELDMAT(DATE(2008,3,15),DATE(2008,11,3),"",0.0625,100.0123,0)</f>
        <v>#VALUE!</v>
      </c>
      <c r="B179">
        <f t="shared" si="6"/>
        <v>3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t="e" cm="1">
        <f t="array" ref="A180">YIELDMAT(DATE(2008,3,15),DATE(2008,11,3),FALSE,0.0625,100.0123,0)</f>
        <v>#VALUE!</v>
      </c>
      <c r="B180">
        <f t="shared" si="6"/>
        <v>3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YIELDMAT(DATE(2008,3,15),DATE(2008,11,3),DATE(2007,11,8),,100.0123,0)</f>
        <v>#N/A</v>
      </c>
      <c r="B181">
        <f t="shared" si="6"/>
        <v>7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cm="1">
        <f t="array" ref="A182">YIELDMAT(DATE(2008,3,15),DATE(2008,11,3),DATE(2007,11,8),0,100.0123,0)</f>
        <v>-1.9418664135870218E-4</v>
      </c>
      <c r="B182">
        <f t="shared" si="6"/>
        <v>0</v>
      </c>
      <c r="C182">
        <f t="shared" si="7"/>
        <v>-1.9418664135870218E-4</v>
      </c>
      <c r="D182" t="str">
        <f t="shared" si="8"/>
        <v/>
      </c>
      <c r="E182" t="s">
        <v>216</v>
      </c>
    </row>
    <row r="183" spans="1:5" x14ac:dyDescent="0.2">
      <c r="A183" t="e" cm="1">
        <f t="array" ref="A183">YIELDMAT(DATE(2008,3,15),DATE(2008,11,3),DATE(2007,11,8),"",100.0123,0)</f>
        <v>#VALUE!</v>
      </c>
      <c r="B183">
        <f t="shared" si="6"/>
        <v>3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t="e" cm="1">
        <f t="array" ref="A184">YIELDMAT(DATE(2008,3,15),DATE(2008,11,3),DATE(2007,11,8),FALSE,100.0123,0)</f>
        <v>#VALUE!</v>
      </c>
      <c r="B184">
        <f t="shared" si="6"/>
        <v>3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YIELDMAT(DATE(2008,3,15),DATE(2008,11,3),DATE(2007,11,8),0.0625,,0)</f>
        <v>#N/A</v>
      </c>
      <c r="B185">
        <f t="shared" si="6"/>
        <v>7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YIELDMAT(DATE(2008,3,15),DATE(2008,11,3),DATE(2007,11,8),0.0625,0,0)</f>
        <v>#NUM!</v>
      </c>
      <c r="B186">
        <f t="shared" si="6"/>
        <v>6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t="e" cm="1">
        <f t="array" ref="A187">YIELDMAT(DATE(2008,3,15),DATE(2008,11,3),DATE(2007,11,8),0.0625,"",0)</f>
        <v>#VALUE!</v>
      </c>
      <c r="B187">
        <f t="shared" si="6"/>
        <v>3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t="e" cm="1">
        <f t="array" ref="A188">YIELDMAT(DATE(2008,3,15),DATE(2008,11,3),DATE(2007,11,8),0.0625,FALSE,0)</f>
        <v>#VALUE!</v>
      </c>
      <c r="B188">
        <f t="shared" si="6"/>
        <v>3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cm="1">
        <f t="array" ref="A189">YIELDMAT(DATE(2008,3,15),DATE(2008,11,3),DATE(2007,11,8),0.0625,100.0123,)</f>
        <v>6.0954333691538673E-2</v>
      </c>
      <c r="B189">
        <f t="shared" si="6"/>
        <v>0</v>
      </c>
      <c r="C189">
        <f t="shared" si="7"/>
        <v>6.0954333691538673E-2</v>
      </c>
      <c r="D189" t="str">
        <f t="shared" si="8"/>
        <v/>
      </c>
      <c r="E189" t="s">
        <v>223</v>
      </c>
    </row>
    <row r="190" spans="1:5" x14ac:dyDescent="0.2">
      <c r="A190" cm="1">
        <f t="array" ref="A190">YIELDMAT(DATE(2008,3,15),DATE(2008,11,3),DATE(2007,11,8),0.0625,100.0123,0)</f>
        <v>6.0954333691538673E-2</v>
      </c>
      <c r="B190">
        <f t="shared" si="6"/>
        <v>0</v>
      </c>
      <c r="C190">
        <f t="shared" si="7"/>
        <v>6.0954333691538673E-2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YIELDMAT(DATE(2008,3,15),DATE(2008,11,3),DATE(2007,11,8),0.0625,100.0123,"")</f>
        <v>#VALUE!</v>
      </c>
      <c r="B191">
        <f t="shared" si="6"/>
        <v>3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t="e" cm="1">
        <f t="array" ref="A192">YIELDMAT(DATE(2008,3,15),DATE(2008,11,3),DATE(2007,11,8),0.0625,100.0123,FALSE)</f>
        <v>#VALUE!</v>
      </c>
      <c r="B192">
        <f t="shared" si="6"/>
        <v>3</v>
      </c>
      <c r="C192">
        <f t="shared" si="7"/>
        <v>0</v>
      </c>
      <c r="D192" t="str">
        <f t="shared" si="8"/>
        <v/>
      </c>
      <c r="E192" t="s">
        <v>226</v>
      </c>
    </row>
    <row r="193" spans="1:5" x14ac:dyDescent="0.2">
      <c r="A193" t="e" cm="1">
        <f t="array" ref="A193">_xlfn.Z.TEST(,4)</f>
        <v>#DIV/0!</v>
      </c>
      <c r="B193">
        <f t="shared" ref="B193:B256" si="9">IF(ISERROR(A193),ERROR.TYPE(A193),IF(ISNUMBER(A193),0,IF(ISLOGICAL(A193),IF(A193,-1,-2),IF(ISTEXT(A193),-3,-4))))</f>
        <v>2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_xlfn.Z.TEST(0,4)</f>
        <v>#DIV/0!</v>
      </c>
      <c r="B194">
        <f t="shared" si="9"/>
        <v>2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t="e" cm="1">
        <f t="array" ref="A195">_xlfn.Z.TEST("",4)</f>
        <v>#VALUE!</v>
      </c>
      <c r="B195">
        <f t="shared" si="9"/>
        <v>3</v>
      </c>
      <c r="C195">
        <f t="shared" si="10"/>
        <v>0</v>
      </c>
      <c r="D195" t="str">
        <f t="shared" si="11"/>
        <v/>
      </c>
      <c r="E195" t="s">
        <v>229</v>
      </c>
    </row>
    <row r="196" spans="1:5" x14ac:dyDescent="0.2">
      <c r="A196" t="e" cm="1">
        <f t="array" ref="A196">_xlfn.Z.TEST(FALSE,4)</f>
        <v>#DIV/0!</v>
      </c>
      <c r="B196">
        <f t="shared" si="9"/>
        <v>2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cm="1">
        <f t="array" ref="A197">_xlfn.Z.TEST(D!B1:B8,)</f>
        <v>1.5970397629275087E-3</v>
      </c>
      <c r="B197">
        <f t="shared" si="9"/>
        <v>0</v>
      </c>
      <c r="C197">
        <f t="shared" si="10"/>
        <v>1.5970397629275087E-3</v>
      </c>
      <c r="D197" t="str">
        <f t="shared" si="11"/>
        <v/>
      </c>
      <c r="E197" t="s">
        <v>231</v>
      </c>
    </row>
    <row r="198" spans="1:5" x14ac:dyDescent="0.2">
      <c r="A198" cm="1">
        <f t="array" ref="A198">_xlfn.Z.TEST(D!B1:B8,0)</f>
        <v>1.5970397629275087E-3</v>
      </c>
      <c r="B198">
        <f t="shared" si="9"/>
        <v>0</v>
      </c>
      <c r="C198">
        <f t="shared" si="10"/>
        <v>1.5970397629275087E-3</v>
      </c>
      <c r="D198" t="str">
        <f t="shared" si="11"/>
        <v/>
      </c>
      <c r="E198" t="s">
        <v>232</v>
      </c>
    </row>
    <row r="199" spans="1:5" x14ac:dyDescent="0.2">
      <c r="A199" t="e" cm="1">
        <f t="array" ref="A199">_xlfn.Z.TEST(D!B1:B8,"")</f>
        <v>#VALUE!</v>
      </c>
      <c r="B199">
        <f t="shared" si="9"/>
        <v>3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cm="1">
        <f t="array" ref="A200">_xlfn.Z.TEST(D!B1:B8,FALSE)</f>
        <v>1.5970397629275087E-3</v>
      </c>
      <c r="B200">
        <f t="shared" si="9"/>
        <v>0</v>
      </c>
      <c r="C200">
        <f t="shared" si="10"/>
        <v>1.5970397629275087E-3</v>
      </c>
      <c r="D200" t="str">
        <f t="shared" si="11"/>
        <v/>
      </c>
      <c r="E200" t="s">
        <v>234</v>
      </c>
    </row>
    <row r="201" spans="1:5" x14ac:dyDescent="0.2">
      <c r="A201" cm="1">
        <f t="array" ref="A201">_xlfn.Z.TEST(D!B1:B8,4)</f>
        <v>1.6743344188971977E-2</v>
      </c>
      <c r="B201">
        <f t="shared" si="9"/>
        <v>0</v>
      </c>
      <c r="C201">
        <f t="shared" si="10"/>
        <v>1.6743344188971977E-2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_xlfn.Z.TEST(D!B1:B8,4,)</f>
        <v>#NUM!</v>
      </c>
      <c r="B202">
        <f t="shared" si="9"/>
        <v>6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e" cm="1">
        <f t="array" ref="A203">_xlfn.Z.TEST(D!B1:B8,4,0)</f>
        <v>#NUM!</v>
      </c>
      <c r="B203">
        <f t="shared" si="9"/>
        <v>6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t="e" cm="1">
        <f t="array" ref="A204">_xlfn.Z.TEST(D!B1:B8,4,"")</f>
        <v>#VALUE!</v>
      </c>
      <c r="B204">
        <f t="shared" si="9"/>
        <v>3</v>
      </c>
      <c r="C204">
        <f t="shared" si="10"/>
        <v>0</v>
      </c>
      <c r="D204" t="str">
        <f t="shared" si="11"/>
        <v/>
      </c>
      <c r="E204" t="s">
        <v>238</v>
      </c>
    </row>
    <row r="205" spans="1:5" x14ac:dyDescent="0.2">
      <c r="A205" t="e" cm="1">
        <f t="array" ref="A205">_xlfn.Z.TEST(D!B1:B8,4,FALSE)</f>
        <v>#NUM!</v>
      </c>
      <c r="B205">
        <f t="shared" si="9"/>
        <v>6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ZTEST(,4)</f>
        <v>#DIV/0!</v>
      </c>
      <c r="B206">
        <f t="shared" si="9"/>
        <v>2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e" cm="1">
        <f t="array" ref="A207">ZTEST(0,4)</f>
        <v>#DIV/0!</v>
      </c>
      <c r="B207">
        <f t="shared" si="9"/>
        <v>2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t="e" cm="1">
        <f t="array" ref="A208">ZTEST("",4)</f>
        <v>#VALUE!</v>
      </c>
      <c r="B208">
        <f t="shared" si="9"/>
        <v>3</v>
      </c>
      <c r="C208">
        <f t="shared" si="10"/>
        <v>0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ZTEST(FALSE,4)</f>
        <v>#DIV/0!</v>
      </c>
      <c r="B209">
        <f t="shared" si="9"/>
        <v>2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cm="1">
        <f t="array" ref="A210">ZTEST(D!B1:B8,)</f>
        <v>1.5970397629275087E-3</v>
      </c>
      <c r="B210">
        <f t="shared" si="9"/>
        <v>0</v>
      </c>
      <c r="C210">
        <f t="shared" si="10"/>
        <v>1.5970397629275087E-3</v>
      </c>
      <c r="D210" t="str">
        <f t="shared" si="11"/>
        <v/>
      </c>
      <c r="E210" t="s">
        <v>244</v>
      </c>
    </row>
    <row r="211" spans="1:5" x14ac:dyDescent="0.2">
      <c r="A211" cm="1">
        <f t="array" ref="A211">ZTEST(D!B1:B8,0)</f>
        <v>1.5970397629275087E-3</v>
      </c>
      <c r="B211">
        <f t="shared" si="9"/>
        <v>0</v>
      </c>
      <c r="C211">
        <f t="shared" si="10"/>
        <v>1.5970397629275087E-3</v>
      </c>
      <c r="D211" t="str">
        <f t="shared" si="11"/>
        <v/>
      </c>
      <c r="E211" t="s">
        <v>245</v>
      </c>
    </row>
    <row r="212" spans="1:5" x14ac:dyDescent="0.2">
      <c r="A212" t="e" cm="1">
        <f t="array" ref="A212">ZTEST(D!B1:B8,"")</f>
        <v>#VALUE!</v>
      </c>
      <c r="B212">
        <f t="shared" si="9"/>
        <v>3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cm="1">
        <f t="array" ref="A213">ZTEST(D!B1:B8,FALSE)</f>
        <v>1.5970397629275087E-3</v>
      </c>
      <c r="B213">
        <f t="shared" si="9"/>
        <v>0</v>
      </c>
      <c r="C213">
        <f t="shared" si="10"/>
        <v>1.5970397629275087E-3</v>
      </c>
      <c r="D213" t="str">
        <f t="shared" si="11"/>
        <v/>
      </c>
      <c r="E213" t="s">
        <v>247</v>
      </c>
    </row>
    <row r="214" spans="1:5" x14ac:dyDescent="0.2">
      <c r="A214" cm="1">
        <f t="array" ref="A214">ZTEST(D!B1:B8,4)</f>
        <v>1.6743344188971977E-2</v>
      </c>
      <c r="B214">
        <f t="shared" si="9"/>
        <v>0</v>
      </c>
      <c r="C214">
        <f t="shared" si="10"/>
        <v>1.6743344188971977E-2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ZTEST(D!B1:B8,4,)</f>
        <v>#NUM!</v>
      </c>
      <c r="B215">
        <f t="shared" si="9"/>
        <v>6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ZTEST(D!B1:B8,4,0)</f>
        <v>#NUM!</v>
      </c>
      <c r="B216">
        <f t="shared" si="9"/>
        <v>6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ZTEST(D!B1:B8,4,"")</f>
        <v>#VALUE!</v>
      </c>
      <c r="B217">
        <f t="shared" si="9"/>
        <v>3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t="e" cm="1">
        <f t="array" ref="A218">ZTEST(D!B1:B8,4,FALSE)</f>
        <v>#NUM!</v>
      </c>
      <c r="B218">
        <f t="shared" si="9"/>
        <v>6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e" cm="1">
        <f t="array" ref="A219">_xlfn.ARRAYTOTEXT(_xlfn.CHOOSECOLS(,2,1),1)</f>
        <v>#VALUE!</v>
      </c>
      <c r="B219">
        <f t="shared" si="9"/>
        <v>3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_xlfn.ARRAYTOTEXT(_xlfn.CHOOSECOLS(0,2,1),1)</f>
        <v>#VALUE!</v>
      </c>
      <c r="B220">
        <f t="shared" si="9"/>
        <v>3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e" cm="1">
        <f t="array" ref="A221">_xlfn.ARRAYTOTEXT(_xlfn.CHOOSECOLS("",2,1),1)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_xlfn.ARRAYTOTEXT(_xlfn.CHOOSECOLS(FALSE,2,1),1)</f>
        <v>#VALUE!</v>
      </c>
      <c r="B222">
        <f t="shared" si="9"/>
        <v>3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e" cm="1">
        <f t="array" ref="A223">_xlfn.ARRAYTOTEXT(_xlfn.CHOOSECOLS(D!B1:C3,,1),1)</f>
        <v>#VALUE!</v>
      </c>
      <c r="B223">
        <f t="shared" si="9"/>
        <v>3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t="e" cm="1">
        <f t="array" ref="A224">_xlfn.ARRAYTOTEXT(_xlfn.CHOOSECOLS(D!B1:C3,0,1),1)</f>
        <v>#VALUE!</v>
      </c>
      <c r="B224">
        <f t="shared" si="9"/>
        <v>3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_xlfn.ARRAYTOTEXT(_xlfn.CHOOSECOLS(D!B1:C3,2,),1)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e" cm="1">
        <f t="array" ref="A226">_xlfn.ARRAYTOTEXT(_xlfn.CHOOSECOLS(D!B1:C3,2,0),1)</f>
        <v>#VALUE!</v>
      </c>
      <c r="B226">
        <f t="shared" si="9"/>
        <v>3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str" cm="1">
        <f t="array" ref="A227">_xlfn.ARRAYTOTEXT(_xlfn.CHOOSECOLS(D!B1:C3,2,1),1)</f>
        <v>{2,4;7,8;11,15}</v>
      </c>
      <c r="B227">
        <f t="shared" si="9"/>
        <v>-3</v>
      </c>
      <c r="C227">
        <f t="shared" si="10"/>
        <v>0</v>
      </c>
      <c r="D227" t="str">
        <f t="shared" si="11"/>
        <v>{2,4;7,8;11,15}</v>
      </c>
      <c r="E227" t="s">
        <v>261</v>
      </c>
    </row>
    <row r="228" spans="1:5" x14ac:dyDescent="0.2">
      <c r="A228" t="e" cm="1">
        <f t="array" ref="A228">_xlfn.ARRAYTOTEXT(_xlfn.CHOOSECOLS(D!B1:C3,2,1,),1)</f>
        <v>#VALUE!</v>
      </c>
      <c r="B228">
        <f t="shared" si="9"/>
        <v>3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t="e" cm="1">
        <f t="array" ref="A229">_xlfn.ARRAYTOTEXT(_xlfn.CHOOSECOLS(D!B1:C3,2,1,0),1)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_xlfn.ARRAYTOTEXT(_xlfn.CHOOSEROWS(,3,1),1)</f>
        <v>#VALUE!</v>
      </c>
      <c r="B230">
        <f t="shared" si="9"/>
        <v>3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t="e" cm="1">
        <f t="array" ref="A231">_xlfn.ARRAYTOTEXT(_xlfn.CHOOSEROWS(0,3,1),1)</f>
        <v>#VALUE!</v>
      </c>
      <c r="B231">
        <f t="shared" si="9"/>
        <v>3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t="e" cm="1">
        <f t="array" ref="A232">_xlfn.ARRAYTOTEXT(_xlfn.CHOOSEROWS("",3,1),1)</f>
        <v>#VALUE!</v>
      </c>
      <c r="B232">
        <f t="shared" si="9"/>
        <v>3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t="e" cm="1">
        <f t="array" ref="A233">_xlfn.ARRAYTOTEXT(_xlfn.CHOOSEROWS(FALSE,3,1),1)</f>
        <v>#VALUE!</v>
      </c>
      <c r="B233">
        <f t="shared" si="9"/>
        <v>3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_xlfn.ARRAYTOTEXT(_xlfn.CHOOSEROWS(D!B1:C3,,1),1)</f>
        <v>#VALUE!</v>
      </c>
      <c r="B234">
        <f t="shared" si="9"/>
        <v>3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e" cm="1">
        <f t="array" ref="A235">_xlfn.ARRAYTOTEXT(_xlfn.CHOOSEROWS(D!B1:C3,0,1),1)</f>
        <v>#VALUE!</v>
      </c>
      <c r="B235">
        <f t="shared" si="9"/>
        <v>3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t="e" cm="1">
        <f t="array" ref="A236">_xlfn.ARRAYTOTEXT(_xlfn.CHOOSEROWS(D!B1:C3,3,),1)</f>
        <v>#VALUE!</v>
      </c>
      <c r="B236">
        <f t="shared" si="9"/>
        <v>3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t="e" cm="1">
        <f t="array" ref="A237">_xlfn.ARRAYTOTEXT(_xlfn.CHOOSEROWS(D!B1:C3,3,0),1)</f>
        <v>#VALUE!</v>
      </c>
      <c r="B237">
        <f t="shared" si="9"/>
        <v>3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t="str" cm="1">
        <f t="array" ref="A238">_xlfn.ARRAYTOTEXT(_xlfn.CHOOSEROWS(D!B1:C3,3,1),1)</f>
        <v>{15,11;4,2}</v>
      </c>
      <c r="B238">
        <f t="shared" si="9"/>
        <v>-3</v>
      </c>
      <c r="C238">
        <f t="shared" si="10"/>
        <v>0</v>
      </c>
      <c r="D238" t="str">
        <f t="shared" si="11"/>
        <v>{15,11;4,2}</v>
      </c>
      <c r="E238" t="s">
        <v>272</v>
      </c>
    </row>
    <row r="239" spans="1:5" x14ac:dyDescent="0.2">
      <c r="A239" t="e" cm="1">
        <f t="array" ref="A239">_xlfn.ARRAYTOTEXT(_xlfn.CHOOSEROWS(D!B1:C3,3,1,),1)</f>
        <v>#VALUE!</v>
      </c>
      <c r="B239">
        <f t="shared" si="9"/>
        <v>3</v>
      </c>
      <c r="C239">
        <f t="shared" si="10"/>
        <v>0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_xlfn.ARRAYTOTEXT(_xlfn.CHOOSEROWS(D!B1:C3,3,1,0),1)</f>
        <v>#VALUE!</v>
      </c>
      <c r="B240">
        <f t="shared" si="9"/>
        <v>3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e" cm="1">
        <f t="array" ref="A241">_xlfn.ARRAYTOTEXT(_xlfn.DROP(,1,1),1)</f>
        <v>#VALUE!</v>
      </c>
      <c r="B241">
        <f t="shared" si="9"/>
        <v>3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t="e" cm="1" vm="1">
        <f t="array" ref="A242">_xlfn.ARRAYTOTEXT(_xlfn.DROP(0,1,1),1)</f>
        <v>#VALUE!</v>
      </c>
      <c r="B242">
        <f t="shared" si="9"/>
        <v>14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t="e" cm="1" vm="1">
        <f t="array" ref="A243">_xlfn.ARRAYTOTEXT(_xlfn.DROP("",1,1),1)</f>
        <v>#VALUE!</v>
      </c>
      <c r="B243">
        <f t="shared" si="9"/>
        <v>14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t="e" cm="1" vm="1">
        <f t="array" ref="A244">_xlfn.ARRAYTOTEXT(_xlfn.DROP(FALSE,1,1),1)</f>
        <v>#VALUE!</v>
      </c>
      <c r="B244">
        <f t="shared" si="9"/>
        <v>14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t="str" cm="1">
        <f t="array" ref="A245">_xlfn.ARRAYTOTEXT(_xlfn.DROP(D!B1:C3,,1),1)</f>
        <v>{2;7;11}</v>
      </c>
      <c r="B245">
        <f t="shared" si="9"/>
        <v>-3</v>
      </c>
      <c r="C245">
        <f t="shared" si="10"/>
        <v>0</v>
      </c>
      <c r="D245" t="str">
        <f t="shared" si="11"/>
        <v>{2;7;11}</v>
      </c>
      <c r="E245" t="s">
        <v>279</v>
      </c>
    </row>
    <row r="246" spans="1:5" x14ac:dyDescent="0.2">
      <c r="A246" t="str" cm="1">
        <f t="array" ref="A246">_xlfn.ARRAYTOTEXT(_xlfn.DROP(D!B1:C3,0,1),1)</f>
        <v>{2;7;11}</v>
      </c>
      <c r="B246">
        <f t="shared" si="9"/>
        <v>-3</v>
      </c>
      <c r="C246">
        <f t="shared" si="10"/>
        <v>0</v>
      </c>
      <c r="D246" t="str">
        <f t="shared" si="11"/>
        <v>{2;7;11}</v>
      </c>
      <c r="E246" t="s">
        <v>280</v>
      </c>
    </row>
    <row r="247" spans="1:5" x14ac:dyDescent="0.2">
      <c r="A247" t="str" cm="1">
        <f t="array" ref="A247">_xlfn.ARRAYTOTEXT(_xlfn.DROP(D!B1:C3,1,),1)</f>
        <v>{8,7;15,11}</v>
      </c>
      <c r="B247">
        <f t="shared" si="9"/>
        <v>-3</v>
      </c>
      <c r="C247">
        <f t="shared" si="10"/>
        <v>0</v>
      </c>
      <c r="D247" t="str">
        <f t="shared" si="11"/>
        <v>{8,7;15,11}</v>
      </c>
      <c r="E247" t="s">
        <v>281</v>
      </c>
    </row>
    <row r="248" spans="1:5" x14ac:dyDescent="0.2">
      <c r="A248" t="str" cm="1">
        <f t="array" ref="A248">_xlfn.ARRAYTOTEXT(_xlfn.DROP(D!B1:C3,1,0),1)</f>
        <v>{8,7;15,11}</v>
      </c>
      <c r="B248">
        <f t="shared" si="9"/>
        <v>-3</v>
      </c>
      <c r="C248">
        <f t="shared" si="10"/>
        <v>0</v>
      </c>
      <c r="D248" t="str">
        <f t="shared" si="11"/>
        <v>{8,7;15,11}</v>
      </c>
      <c r="E248" t="s">
        <v>282</v>
      </c>
    </row>
    <row r="249" spans="1:5" x14ac:dyDescent="0.2">
      <c r="A249" t="str" cm="1">
        <f t="array" ref="A249">_xlfn.ARRAYTOTEXT(_xlfn.EXPAND(,2,3,0),1)</f>
        <v>{,0,0;0,0,0}</v>
      </c>
      <c r="B249">
        <f t="shared" si="9"/>
        <v>-3</v>
      </c>
      <c r="C249">
        <f t="shared" si="10"/>
        <v>0</v>
      </c>
      <c r="D249" t="str">
        <f t="shared" si="11"/>
        <v>{,0,0;0,0,0}</v>
      </c>
      <c r="E249" t="s">
        <v>283</v>
      </c>
    </row>
    <row r="250" spans="1:5" x14ac:dyDescent="0.2">
      <c r="A250" t="str" cm="1">
        <f t="array" ref="A250">_xlfn.ARRAYTOTEXT(_xlfn.EXPAND(0,2,3,0),1)</f>
        <v>{0,0,0;0,0,0}</v>
      </c>
      <c r="B250">
        <f t="shared" si="9"/>
        <v>-3</v>
      </c>
      <c r="C250">
        <f t="shared" si="10"/>
        <v>0</v>
      </c>
      <c r="D250" t="str">
        <f t="shared" si="11"/>
        <v>{0,0,0;0,0,0}</v>
      </c>
      <c r="E250" t="s">
        <v>284</v>
      </c>
    </row>
    <row r="251" spans="1:5" x14ac:dyDescent="0.2">
      <c r="A251" t="str" cm="1">
        <f t="array" ref="A251">_xlfn.ARRAYTOTEXT(_xlfn.EXPAND("",2,3,0),1)</f>
        <v>{"",0,0;0,0,0}</v>
      </c>
      <c r="B251">
        <f t="shared" si="9"/>
        <v>-3</v>
      </c>
      <c r="C251">
        <f t="shared" si="10"/>
        <v>0</v>
      </c>
      <c r="D251" t="str">
        <f t="shared" si="11"/>
        <v>{"",0,0;0,0,0}</v>
      </c>
      <c r="E251" t="s">
        <v>285</v>
      </c>
    </row>
    <row r="252" spans="1:5" x14ac:dyDescent="0.2">
      <c r="A252" t="str" cm="1">
        <f t="array" ref="A252">_xlfn.ARRAYTOTEXT(_xlfn.EXPAND(FALSE,2,3,0),1)</f>
        <v>{FALSE,0,0;0,0,0}</v>
      </c>
      <c r="B252">
        <f t="shared" si="9"/>
        <v>-3</v>
      </c>
      <c r="C252">
        <f t="shared" si="10"/>
        <v>0</v>
      </c>
      <c r="D252" t="str">
        <f t="shared" si="11"/>
        <v>{FALSE,0,0;0,0,0}</v>
      </c>
      <c r="E252" t="s">
        <v>286</v>
      </c>
    </row>
    <row r="253" spans="1:5" x14ac:dyDescent="0.2">
      <c r="A253" t="str" cm="1">
        <f t="array" ref="A253">_xlfn.ARRAYTOTEXT(_xlfn.EXPAND({1,2},,3,0),1)</f>
        <v>{1,2,0}</v>
      </c>
      <c r="B253">
        <f t="shared" si="9"/>
        <v>-3</v>
      </c>
      <c r="C253">
        <f t="shared" si="10"/>
        <v>0</v>
      </c>
      <c r="D253" t="str">
        <f t="shared" si="11"/>
        <v>{1,2,0}</v>
      </c>
      <c r="E253" t="s">
        <v>287</v>
      </c>
    </row>
    <row r="254" spans="1:5" x14ac:dyDescent="0.2">
      <c r="A254" t="e" cm="1">
        <f t="array" ref="A254">_xlfn.ARRAYTOTEXT(_xlfn.EXPAND({1,2},0,3,0),1)</f>
        <v>#VALUE!</v>
      </c>
      <c r="B254">
        <f t="shared" si="9"/>
        <v>3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t="str" cm="1">
        <f t="array" ref="A255">_xlfn.ARRAYTOTEXT(_xlfn.EXPAND({1,2},2,,0),1)</f>
        <v>{1,2;0,0}</v>
      </c>
      <c r="B255">
        <f t="shared" si="9"/>
        <v>-3</v>
      </c>
      <c r="C255">
        <f t="shared" si="10"/>
        <v>0</v>
      </c>
      <c r="D255" t="str">
        <f t="shared" si="11"/>
        <v>{1,2;0,0}</v>
      </c>
      <c r="E255" t="s">
        <v>289</v>
      </c>
    </row>
    <row r="256" spans="1:5" x14ac:dyDescent="0.2">
      <c r="A256" t="e" cm="1">
        <f t="array" ref="A256">_xlfn.ARRAYTOTEXT(_xlfn.EXPAND({1,2},2,0,0),1)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t="str" cm="1">
        <f t="array" ref="A257">_xlfn.ARRAYTOTEXT(_xlfn.EXPAND({1,2},2,3,),1)</f>
        <v>{1,2,;,,}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{1,2,;,,}</v>
      </c>
      <c r="E257" t="s">
        <v>291</v>
      </c>
    </row>
    <row r="258" spans="1:5" x14ac:dyDescent="0.2">
      <c r="A258" t="str" cm="1">
        <f t="array" ref="A258">_xlfn.ARRAYTOTEXT(_xlfn.EXPAND({1,2},2,3,0),1)</f>
        <v>{1,2,0;0,0,0}</v>
      </c>
      <c r="B258">
        <f t="shared" si="12"/>
        <v>-3</v>
      </c>
      <c r="C258">
        <f t="shared" si="13"/>
        <v>0</v>
      </c>
      <c r="D258" t="str">
        <f t="shared" si="14"/>
        <v>{1,2,0;0,0,0}</v>
      </c>
      <c r="E258" t="s">
        <v>292</v>
      </c>
    </row>
    <row r="259" spans="1:5" x14ac:dyDescent="0.2">
      <c r="A259" t="str" cm="1">
        <f t="array" ref="A259">_xlfn.ARRAYTOTEXT(_xlfn.EXPAND({1,2},2,3,""),1)</f>
        <v>{1,2,"";"","",""}</v>
      </c>
      <c r="B259">
        <f t="shared" si="12"/>
        <v>-3</v>
      </c>
      <c r="C259">
        <f t="shared" si="13"/>
        <v>0</v>
      </c>
      <c r="D259" t="str">
        <f t="shared" si="14"/>
        <v>{1,2,"";"","",""}</v>
      </c>
      <c r="E259" t="s">
        <v>293</v>
      </c>
    </row>
    <row r="260" spans="1:5" x14ac:dyDescent="0.2">
      <c r="A260" t="str" cm="1">
        <f t="array" ref="A260">_xlfn.ARRAYTOTEXT(_xlfn.EXPAND({1,2},2,3,FALSE),1)</f>
        <v>{1,2,FALSE;FALSE,FALSE,FALSE}</v>
      </c>
      <c r="B260">
        <f t="shared" si="12"/>
        <v>-3</v>
      </c>
      <c r="C260">
        <f t="shared" si="13"/>
        <v>0</v>
      </c>
      <c r="D260" t="str">
        <f t="shared" si="14"/>
        <v>{1,2,FALSE;FALSE,FALSE,FALSE}</v>
      </c>
      <c r="E260" t="s">
        <v>294</v>
      </c>
    </row>
    <row r="261" spans="1:5" x14ac:dyDescent="0.2">
      <c r="A261" t="e" cm="1">
        <f t="array" ref="A261">_xlfn.ARRAYTOTEXT(_xlfn._xlws.FILTER(,D!B1:B8&gt;20,"none"),1)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_xlfn.ARRAYTOTEXT(_xlfn._xlws.FILTER(0,D!B1:B8&gt;20,"none"),1)</f>
        <v>#VALUE!</v>
      </c>
      <c r="B262">
        <f t="shared" si="12"/>
        <v>3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_xlfn.ARRAYTOTEXT(_xlfn._xlws.FILTER("",D!B1:B8&gt;20,"none"),1)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t="e" cm="1">
        <f t="array" ref="A264">_xlfn.ARRAYTOTEXT(_xlfn._xlws.FILTER(FALSE,D!B1:B8&gt;20,"none"),1)</f>
        <v>#VALUE!</v>
      </c>
      <c r="B264">
        <f t="shared" si="12"/>
        <v>3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t="e" cm="1">
        <f t="array" ref="A265">_xlfn.ARRAYTOTEXT(_xlfn._xlws.FILTER(D!B1:B8,,"none"),1)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str" cm="1">
        <f t="array" ref="A266">_xlfn.ARRAYTOTEXT(_xlfn._xlws.FILTER(D!B1:B8,0,"none"),1)</f>
        <v>{"none"}</v>
      </c>
      <c r="B266">
        <f t="shared" si="12"/>
        <v>-3</v>
      </c>
      <c r="C266">
        <f t="shared" si="13"/>
        <v>0</v>
      </c>
      <c r="D266" t="str">
        <f t="shared" si="14"/>
        <v>{"none"}</v>
      </c>
      <c r="E266" t="s">
        <v>300</v>
      </c>
    </row>
    <row r="267" spans="1:5" x14ac:dyDescent="0.2">
      <c r="A267" t="e" cm="1">
        <f t="array" ref="A267">_xlfn.ARRAYTOTEXT(_xlfn._xlws.FILTER(D!B1:B8,"","none"),1)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t="str" cm="1">
        <f t="array" ref="A268">_xlfn.ARRAYTOTEXT(_xlfn._xlws.FILTER(D!B1:B8,FALSE,"none"),1)</f>
        <v>{"none"}</v>
      </c>
      <c r="B268">
        <f t="shared" si="12"/>
        <v>-3</v>
      </c>
      <c r="C268">
        <f t="shared" si="13"/>
        <v>0</v>
      </c>
      <c r="D268" t="str">
        <f t="shared" si="14"/>
        <v>{"none"}</v>
      </c>
      <c r="E268" t="s">
        <v>302</v>
      </c>
    </row>
    <row r="269" spans="1:5" x14ac:dyDescent="0.2">
      <c r="A269" t="str" cm="1">
        <f t="array" ref="A269">_xlfn.ARRAYTOTEXT(_xlfn._xlws.FILTER(D!B1:B8,D!B1:B8&gt;20,),1)</f>
        <v>{23;42}</v>
      </c>
      <c r="B269">
        <f t="shared" si="12"/>
        <v>-3</v>
      </c>
      <c r="C269">
        <f t="shared" si="13"/>
        <v>0</v>
      </c>
      <c r="D269" t="str">
        <f t="shared" si="14"/>
        <v>{23;42}</v>
      </c>
      <c r="E269" t="s">
        <v>303</v>
      </c>
    </row>
    <row r="270" spans="1:5" x14ac:dyDescent="0.2">
      <c r="A270" t="str" cm="1">
        <f t="array" ref="A270">_xlfn.ARRAYTOTEXT(_xlfn._xlws.FILTER(D!B1:B8,D!B1:B8&gt;20,0),1)</f>
        <v>{23;42}</v>
      </c>
      <c r="B270">
        <f t="shared" si="12"/>
        <v>-3</v>
      </c>
      <c r="C270">
        <f t="shared" si="13"/>
        <v>0</v>
      </c>
      <c r="D270" t="str">
        <f t="shared" si="14"/>
        <v>{23;42}</v>
      </c>
      <c r="E270" t="s">
        <v>304</v>
      </c>
    </row>
    <row r="271" spans="1:5" x14ac:dyDescent="0.2">
      <c r="A271" t="str" cm="1">
        <f t="array" ref="A271">_xlfn.ARRAYTOTEXT(_xlfn._xlws.FILTER(D!B1:B8,D!B1:B8&gt;20,""),1)</f>
        <v>{23;42}</v>
      </c>
      <c r="B271">
        <f t="shared" si="12"/>
        <v>-3</v>
      </c>
      <c r="C271">
        <f t="shared" si="13"/>
        <v>0</v>
      </c>
      <c r="D271" t="str">
        <f t="shared" si="14"/>
        <v>{23;42}</v>
      </c>
      <c r="E271" t="s">
        <v>305</v>
      </c>
    </row>
    <row r="272" spans="1:5" x14ac:dyDescent="0.2">
      <c r="A272" t="str" cm="1">
        <f t="array" ref="A272">_xlfn.ARRAYTOTEXT(_xlfn._xlws.FILTER(D!B1:B8,D!B1:B8&gt;20,FALSE),1)</f>
        <v>{23;42}</v>
      </c>
      <c r="B272">
        <f t="shared" si="12"/>
        <v>-3</v>
      </c>
      <c r="C272">
        <f t="shared" si="13"/>
        <v>0</v>
      </c>
      <c r="D272" t="str">
        <f t="shared" si="14"/>
        <v>{23;42}</v>
      </c>
      <c r="E272" t="s">
        <v>306</v>
      </c>
    </row>
    <row r="273" spans="1:5" x14ac:dyDescent="0.2">
      <c r="A273" t="e" cm="1">
        <f t="array" ref="A273">_xlfn.ARRAYTOTEXT(FREQUENCY(,D!AT1:AT3),1)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t="str" cm="1">
        <f t="array" ref="A274">_xlfn.ARRAYTOTEXT(FREQUENCY(0,D!AT1:AT3),1)</f>
        <v>{1;0;0;0}</v>
      </c>
      <c r="B274">
        <f t="shared" si="12"/>
        <v>-3</v>
      </c>
      <c r="C274">
        <f t="shared" si="13"/>
        <v>0</v>
      </c>
      <c r="D274" t="str">
        <f t="shared" si="14"/>
        <v>{1;0;0;0}</v>
      </c>
      <c r="E274" t="s">
        <v>308</v>
      </c>
    </row>
    <row r="275" spans="1:5" x14ac:dyDescent="0.2">
      <c r="A275" t="str" cm="1">
        <f t="array" ref="A275">_xlfn.ARRAYTOTEXT(FREQUENCY("",D!AT1:AT3),1)</f>
        <v>{0;0;0;0}</v>
      </c>
      <c r="B275">
        <f t="shared" si="12"/>
        <v>-3</v>
      </c>
      <c r="C275">
        <f t="shared" si="13"/>
        <v>0</v>
      </c>
      <c r="D275" t="str">
        <f t="shared" si="14"/>
        <v>{0;0;0;0}</v>
      </c>
      <c r="E275" t="s">
        <v>309</v>
      </c>
    </row>
    <row r="276" spans="1:5" x14ac:dyDescent="0.2">
      <c r="A276" t="str" cm="1">
        <f t="array" ref="A276">_xlfn.ARRAYTOTEXT(FREQUENCY(FALSE,D!AT1:AT3),1)</f>
        <v>{0;0;0;0}</v>
      </c>
      <c r="B276">
        <f t="shared" si="12"/>
        <v>-3</v>
      </c>
      <c r="C276">
        <f t="shared" si="13"/>
        <v>0</v>
      </c>
      <c r="D276" t="str">
        <f t="shared" si="14"/>
        <v>{0;0;0;0}</v>
      </c>
      <c r="E276" t="s">
        <v>310</v>
      </c>
    </row>
    <row r="277" spans="1:5" x14ac:dyDescent="0.2">
      <c r="A277" t="e" cm="1">
        <f t="array" ref="A277">_xlfn.ARRAYTOTEXT(FREQUENCY(D!B1:B8,),1)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str" cm="1">
        <f t="array" ref="A278">_xlfn.ARRAYTOTEXT(FREQUENCY(D!B1:B8,0),1)</f>
        <v>{1;7}</v>
      </c>
      <c r="B278">
        <f t="shared" si="12"/>
        <v>-3</v>
      </c>
      <c r="C278">
        <f t="shared" si="13"/>
        <v>0</v>
      </c>
      <c r="D278" t="str">
        <f t="shared" si="14"/>
        <v>{1;7}</v>
      </c>
      <c r="E278" t="s">
        <v>312</v>
      </c>
    </row>
    <row r="279" spans="1:5" x14ac:dyDescent="0.2">
      <c r="A279" t="str" cm="1">
        <f t="array" ref="A279">_xlfn.ARRAYTOTEXT(FREQUENCY(D!B1:B8,""),1)</f>
        <v>{1;7}</v>
      </c>
      <c r="B279">
        <f t="shared" si="12"/>
        <v>-3</v>
      </c>
      <c r="C279">
        <f t="shared" si="13"/>
        <v>0</v>
      </c>
      <c r="D279" t="str">
        <f t="shared" si="14"/>
        <v>{1;7}</v>
      </c>
      <c r="E279" t="s">
        <v>313</v>
      </c>
    </row>
    <row r="280" spans="1:5" x14ac:dyDescent="0.2">
      <c r="A280" t="str" cm="1">
        <f t="array" ref="A280">_xlfn.ARRAYTOTEXT(FREQUENCY(D!B1:B8,FALSE),1)</f>
        <v>{1;7}</v>
      </c>
      <c r="B280">
        <f t="shared" si="12"/>
        <v>-3</v>
      </c>
      <c r="C280">
        <f t="shared" si="13"/>
        <v>0</v>
      </c>
      <c r="D280" t="str">
        <f t="shared" si="14"/>
        <v>{1;7}</v>
      </c>
      <c r="E280" t="s">
        <v>314</v>
      </c>
    </row>
    <row r="281" spans="1:5" x14ac:dyDescent="0.2">
      <c r="A281" t="e" cm="1">
        <f t="array" ref="A281">_xlfn.ARRAYTOTEXT(ROUND(GROWTH(,D!BC1:BC6,D!BD1:BD2,TRUE),6),1)</f>
        <v>#VALUE!</v>
      </c>
      <c r="B281">
        <f t="shared" si="12"/>
        <v>3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t="e" cm="1">
        <f t="array" ref="A282">_xlfn.ARRAYTOTEXT(ROUND(GROWTH(0,D!BC1:BC6,D!BD1:BD2,TRUE),6),1)</f>
        <v>#NUM!</v>
      </c>
      <c r="B282">
        <f t="shared" si="12"/>
        <v>6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t="e" cm="1">
        <f t="array" ref="A283">_xlfn.ARRAYTOTEXT(ROUND(GROWTH("",D!BC1:BC6,D!BD1:BD2,TRUE),6),1)</f>
        <v>#VALUE!</v>
      </c>
      <c r="B283">
        <f t="shared" si="12"/>
        <v>3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_xlfn.ARRAYTOTEXT(ROUND(GROWTH(FALSE,D!BC1:BC6,D!BD1:BD2,TRUE),6),1)</f>
        <v>#VALUE!</v>
      </c>
      <c r="B284">
        <f t="shared" si="12"/>
        <v>3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t="str" cm="1">
        <f t="array" ref="A285">_xlfn.ARRAYTOTEXT(ROUND(GROWTH(D!BB1:BB6,,D!BD1:BD2,TRUE),6),1)</f>
        <v>{14410474.072738;21086495.500238}</v>
      </c>
      <c r="B285">
        <f t="shared" si="12"/>
        <v>-3</v>
      </c>
      <c r="C285">
        <f t="shared" si="13"/>
        <v>0</v>
      </c>
      <c r="D285" t="str">
        <f t="shared" si="14"/>
        <v>{14410474.072738;21086495.500238}</v>
      </c>
      <c r="E285" t="s">
        <v>319</v>
      </c>
    </row>
    <row r="286" spans="1:5" x14ac:dyDescent="0.2">
      <c r="A286" t="e" cm="1">
        <f t="array" ref="A286">_xlfn.ARRAYTOTEXT(ROUND(GROWTH(D!BB1:BB6,0,D!BD1:BD2,TRUE),6),1)</f>
        <v>#REF!</v>
      </c>
      <c r="B286">
        <f t="shared" si="12"/>
        <v>4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_xlfn.ARRAYTOTEXT(ROUND(GROWTH(D!BB1:BB6,"",D!BD1:BD2,TRUE),6),1)</f>
        <v>#REF!</v>
      </c>
      <c r="B287">
        <f t="shared" si="12"/>
        <v>4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e" cm="1">
        <f t="array" ref="A288">_xlfn.ARRAYTOTEXT(ROUND(GROWTH(D!BB1:BB6,FALSE,D!BD1:BD2,TRUE),6),1)</f>
        <v>#REF!</v>
      </c>
      <c r="B288">
        <f t="shared" si="12"/>
        <v>4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str" cm="1">
        <f t="array" ref="A289">_xlfn.ARRAYTOTEXT(ROUND(GROWTH(D!BB1:BB6,D!BC1:BC6,,TRUE),6),1)</f>
        <v>{32618.203774;47729.422615;69841.300856;102197.073379;149542.48674;218821.876215}</v>
      </c>
      <c r="B289">
        <f t="shared" si="12"/>
        <v>-3</v>
      </c>
      <c r="C289">
        <f t="shared" si="13"/>
        <v>0</v>
      </c>
      <c r="D289" t="str">
        <f t="shared" si="14"/>
        <v>{32618.203774;47729.422615;69841.300856;102197.073379;149542.48674;218821.876215}</v>
      </c>
      <c r="E289" t="s">
        <v>323</v>
      </c>
    </row>
    <row r="290" spans="1:5" x14ac:dyDescent="0.2">
      <c r="A290" t="str" cm="1">
        <f t="array" ref="A290">_xlfn.ARRAYTOTEXT(ROUND(GROWTH(D!BB1:BB6,D!BC1:BC6,0,TRUE),6),1)</f>
        <v>{495.30477}</v>
      </c>
      <c r="B290">
        <f t="shared" si="12"/>
        <v>-3</v>
      </c>
      <c r="C290">
        <f t="shared" si="13"/>
        <v>0</v>
      </c>
      <c r="D290" t="str">
        <f t="shared" si="14"/>
        <v>{495.30477}</v>
      </c>
      <c r="E290" t="s">
        <v>324</v>
      </c>
    </row>
    <row r="291" spans="1:5" x14ac:dyDescent="0.2">
      <c r="A291" t="e" cm="1">
        <f t="array" ref="A291">_xlfn.ARRAYTOTEXT(ROUND(GROWTH(D!BB1:BB6,D!BC1:BC6,"",TRUE),6),1)</f>
        <v>#VALUE!</v>
      </c>
      <c r="B291">
        <f t="shared" si="12"/>
        <v>3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t="e" cm="1">
        <f t="array" ref="A292">_xlfn.ARRAYTOTEXT(ROUND(GROWTH(D!BB1:BB6,D!BC1:BC6,FALSE,TRUE),6),1)</f>
        <v>#VALUE!</v>
      </c>
      <c r="B292">
        <f t="shared" si="12"/>
        <v>3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str" cm="1">
        <f t="array" ref="A293">_xlfn.ARRAYTOTEXT(ROUND(GROWTH(D!BB1:BB6,D!BC1:BC6,D!BD1:BD2,),6),1)</f>
        <v>{320196.718363;468536.054184}</v>
      </c>
      <c r="B293">
        <f t="shared" si="12"/>
        <v>-3</v>
      </c>
      <c r="C293">
        <f t="shared" si="13"/>
        <v>0</v>
      </c>
      <c r="D293" t="str">
        <f t="shared" si="14"/>
        <v>{320196.718363;468536.054184}</v>
      </c>
      <c r="E293" t="s">
        <v>327</v>
      </c>
    </row>
    <row r="294" spans="1:5" x14ac:dyDescent="0.2">
      <c r="A294" t="str" cm="1">
        <f t="array" ref="A294">_xlfn.ARRAYTOTEXT(ROUND(GROWTH(D!BB1:BB6,D!BC1:BC6,D!BD1:BD2,0),6),1)</f>
        <v>{1414600.728288;3254137.278941}</v>
      </c>
      <c r="B294">
        <f t="shared" si="12"/>
        <v>-3</v>
      </c>
      <c r="C294">
        <f t="shared" si="13"/>
        <v>0</v>
      </c>
      <c r="D294" t="str">
        <f t="shared" si="14"/>
        <v>{1414600.728288;3254137.278941}</v>
      </c>
      <c r="E294" t="s">
        <v>328</v>
      </c>
    </row>
    <row r="295" spans="1:5" x14ac:dyDescent="0.2">
      <c r="A295" t="e" cm="1">
        <f t="array" ref="A295">_xlfn.ARRAYTOTEXT(ROUND(GROWTH(D!BB1:BB6,D!BC1:BC6,D!BD1:BD2,""),6),1)</f>
        <v>#VALUE!</v>
      </c>
      <c r="B295">
        <f t="shared" si="12"/>
        <v>3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t="str" cm="1">
        <f t="array" ref="A296">_xlfn.ARRAYTOTEXT(ROUND(GROWTH(D!BB1:BB6,D!BC1:BC6,D!BD1:BD2,FALSE),6),1)</f>
        <v>{1414600.728288;3254137.278941}</v>
      </c>
      <c r="B296">
        <f t="shared" si="12"/>
        <v>-3</v>
      </c>
      <c r="C296">
        <f t="shared" si="13"/>
        <v>0</v>
      </c>
      <c r="D296" t="str">
        <f t="shared" si="14"/>
        <v>{1414600.728288;3254137.278941}</v>
      </c>
      <c r="E296" t="s">
        <v>330</v>
      </c>
    </row>
    <row r="297" spans="1:5" x14ac:dyDescent="0.2">
      <c r="A297" t="e" cm="1">
        <f t="array" ref="A297">_xlfn.ARRAYTOTEXT(_xlfn.HSTACK(,D!B1:B2,"a"),1)</f>
        <v>#VALUE!</v>
      </c>
      <c r="B297">
        <f t="shared" si="12"/>
        <v>3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t="str" cm="1">
        <f t="array" ref="A298">_xlfn.ARRAYTOTEXT(_xlfn.HSTACK(0,D!B1:B2,"a"),1)</f>
        <v>{0,4,"a";#N/A,8,#N/A}</v>
      </c>
      <c r="B298">
        <f t="shared" si="12"/>
        <v>-3</v>
      </c>
      <c r="C298">
        <f t="shared" si="13"/>
        <v>0</v>
      </c>
      <c r="D298" t="str">
        <f t="shared" si="14"/>
        <v>{0,4,"a";#N/A,8,#N/A}</v>
      </c>
      <c r="E298" t="s">
        <v>332</v>
      </c>
    </row>
    <row r="299" spans="1:5" x14ac:dyDescent="0.2">
      <c r="A299" t="str" cm="1">
        <f t="array" ref="A299">_xlfn.ARRAYTOTEXT(_xlfn.HSTACK("",D!B1:B2,"a"),1)</f>
        <v>{"",4,"a";#N/A,8,#N/A}</v>
      </c>
      <c r="B299">
        <f t="shared" si="12"/>
        <v>-3</v>
      </c>
      <c r="C299">
        <f t="shared" si="13"/>
        <v>0</v>
      </c>
      <c r="D299" t="str">
        <f t="shared" si="14"/>
        <v>{"",4,"a";#N/A,8,#N/A}</v>
      </c>
      <c r="E299" t="s">
        <v>333</v>
      </c>
    </row>
    <row r="300" spans="1:5" x14ac:dyDescent="0.2">
      <c r="A300" t="str" cm="1">
        <f t="array" ref="A300">_xlfn.ARRAYTOTEXT(_xlfn.HSTACK(FALSE,D!B1:B2,"a"),1)</f>
        <v>{FALSE,4,"a";#N/A,8,#N/A}</v>
      </c>
      <c r="B300">
        <f t="shared" si="12"/>
        <v>-3</v>
      </c>
      <c r="C300">
        <f t="shared" si="13"/>
        <v>0</v>
      </c>
      <c r="D300" t="str">
        <f t="shared" si="14"/>
        <v>{FALSE,4,"a";#N/A,8,#N/A}</v>
      </c>
      <c r="E300" t="s">
        <v>334</v>
      </c>
    </row>
    <row r="301" spans="1:5" x14ac:dyDescent="0.2">
      <c r="A301" t="e" cm="1">
        <f t="array" ref="A301">_xlfn.ARRAYTOTEXT(_xlfn.HSTACK(1,,"a"),1)</f>
        <v>#VALUE!</v>
      </c>
      <c r="B301">
        <f t="shared" si="12"/>
        <v>3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t="str" cm="1">
        <f t="array" ref="A302">_xlfn.ARRAYTOTEXT(_xlfn.HSTACK(1,0,"a"),1)</f>
        <v>{1,0,"a"}</v>
      </c>
      <c r="B302">
        <f t="shared" si="12"/>
        <v>-3</v>
      </c>
      <c r="C302">
        <f t="shared" si="13"/>
        <v>0</v>
      </c>
      <c r="D302" t="str">
        <f t="shared" si="14"/>
        <v>{1,0,"a"}</v>
      </c>
      <c r="E302" t="s">
        <v>336</v>
      </c>
    </row>
    <row r="303" spans="1:5" x14ac:dyDescent="0.2">
      <c r="A303" t="str" cm="1">
        <f t="array" ref="A303">_xlfn.ARRAYTOTEXT(_xlfn.HSTACK(1,"","a"),1)</f>
        <v>{1,"","a"}</v>
      </c>
      <c r="B303">
        <f t="shared" si="12"/>
        <v>-3</v>
      </c>
      <c r="C303">
        <f t="shared" si="13"/>
        <v>0</v>
      </c>
      <c r="D303" t="str">
        <f t="shared" si="14"/>
        <v>{1,"","a"}</v>
      </c>
      <c r="E303" t="s">
        <v>337</v>
      </c>
    </row>
    <row r="304" spans="1:5" x14ac:dyDescent="0.2">
      <c r="A304" t="str" cm="1">
        <f t="array" ref="A304">_xlfn.ARRAYTOTEXT(_xlfn.HSTACK(1,FALSE,"a"),1)</f>
        <v>{1,FALSE,"a"}</v>
      </c>
      <c r="B304">
        <f t="shared" si="12"/>
        <v>-3</v>
      </c>
      <c r="C304">
        <f t="shared" si="13"/>
        <v>0</v>
      </c>
      <c r="D304" t="str">
        <f t="shared" si="14"/>
        <v>{1,FALSE,"a"}</v>
      </c>
      <c r="E304" t="s">
        <v>338</v>
      </c>
    </row>
    <row r="305" spans="1:5" x14ac:dyDescent="0.2">
      <c r="A305" t="e" cm="1">
        <f t="array" ref="A305">_xlfn.ARRAYTOTEXT(_xlfn.HSTACK(1,D!B1:B2,),1)</f>
        <v>#VALUE!</v>
      </c>
      <c r="B305">
        <f t="shared" si="12"/>
        <v>3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str" cm="1">
        <f t="array" ref="A306">_xlfn.ARRAYTOTEXT(_xlfn.HSTACK(1,D!B1:B2,0),1)</f>
        <v>{1,4,0;#N/A,8,#N/A}</v>
      </c>
      <c r="B306">
        <f t="shared" si="12"/>
        <v>-3</v>
      </c>
      <c r="C306">
        <f t="shared" si="13"/>
        <v>0</v>
      </c>
      <c r="D306" t="str">
        <f t="shared" si="14"/>
        <v>{1,4,0;#N/A,8,#N/A}</v>
      </c>
      <c r="E306" t="s">
        <v>340</v>
      </c>
    </row>
    <row r="307" spans="1:5" x14ac:dyDescent="0.2">
      <c r="A307" t="str" cm="1">
        <f t="array" ref="A307">_xlfn.ARRAYTOTEXT(_xlfn.HSTACK(1,D!B1:B2,""),1)</f>
        <v>{1,4,"";#N/A,8,#N/A}</v>
      </c>
      <c r="B307">
        <f t="shared" si="12"/>
        <v>-3</v>
      </c>
      <c r="C307">
        <f t="shared" si="13"/>
        <v>0</v>
      </c>
      <c r="D307" t="str">
        <f t="shared" si="14"/>
        <v>{1,4,"";#N/A,8,#N/A}</v>
      </c>
      <c r="E307" t="s">
        <v>341</v>
      </c>
    </row>
    <row r="308" spans="1:5" x14ac:dyDescent="0.2">
      <c r="A308" t="str" cm="1">
        <f t="array" ref="A308">_xlfn.ARRAYTOTEXT(_xlfn.HSTACK(1,D!B1:B2,FALSE),1)</f>
        <v>{1,4,FALSE;#N/A,8,#N/A}</v>
      </c>
      <c r="B308">
        <f t="shared" si="12"/>
        <v>-3</v>
      </c>
      <c r="C308">
        <f t="shared" si="13"/>
        <v>0</v>
      </c>
      <c r="D308" t="str">
        <f t="shared" si="14"/>
        <v>{1,4,FALSE;#N/A,8,#N/A}</v>
      </c>
      <c r="E308" t="s">
        <v>342</v>
      </c>
    </row>
    <row r="309" spans="1:5" x14ac:dyDescent="0.2">
      <c r="A309" t="str" cm="1">
        <f t="array" ref="A309">_xlfn.ARRAYTOTEXT(_xlfn.HSTACK(1,D!B1:B2,"a"),1)</f>
        <v>{1,4,"a";#N/A,8,#N/A}</v>
      </c>
      <c r="B309">
        <f t="shared" si="12"/>
        <v>-3</v>
      </c>
      <c r="C309">
        <f t="shared" si="13"/>
        <v>0</v>
      </c>
      <c r="D309" t="str">
        <f t="shared" si="14"/>
        <v>{1,4,"a";#N/A,8,#N/A}</v>
      </c>
      <c r="E309" t="s">
        <v>343</v>
      </c>
    </row>
    <row r="310" spans="1:5" x14ac:dyDescent="0.2">
      <c r="A310" t="e" cm="1">
        <f t="array" ref="A310">_xlfn.ARRAYTOTEXT(_xlfn.HSTACK(1,D!B1:B2,"a",),1)</f>
        <v>#VALUE!</v>
      </c>
      <c r="B310">
        <f t="shared" si="12"/>
        <v>3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t="str" cm="1">
        <f t="array" ref="A311">_xlfn.ARRAYTOTEXT(_xlfn.HSTACK(1,D!B1:B2,"a",0),1)</f>
        <v>{1,4,"a",0;#N/A,8,#N/A,#N/A}</v>
      </c>
      <c r="B311">
        <f t="shared" si="12"/>
        <v>-3</v>
      </c>
      <c r="C311">
        <f t="shared" si="13"/>
        <v>0</v>
      </c>
      <c r="D311" t="str">
        <f t="shared" si="14"/>
        <v>{1,4,"a",0;#N/A,8,#N/A,#N/A}</v>
      </c>
      <c r="E311" t="s">
        <v>345</v>
      </c>
    </row>
    <row r="312" spans="1:5" x14ac:dyDescent="0.2">
      <c r="A312" t="str" cm="1">
        <f t="array" ref="A312">_xlfn.ARRAYTOTEXT(_xlfn.HSTACK(1,D!B1:B2,"a",""),1)</f>
        <v>{1,4,"a","";#N/A,8,#N/A,#N/A}</v>
      </c>
      <c r="B312">
        <f t="shared" si="12"/>
        <v>-3</v>
      </c>
      <c r="C312">
        <f t="shared" si="13"/>
        <v>0</v>
      </c>
      <c r="D312" t="str">
        <f t="shared" si="14"/>
        <v>{1,4,"a","";#N/A,8,#N/A,#N/A}</v>
      </c>
      <c r="E312" t="s">
        <v>346</v>
      </c>
    </row>
    <row r="313" spans="1:5" x14ac:dyDescent="0.2">
      <c r="A313" t="str" cm="1">
        <f t="array" ref="A313">_xlfn.ARRAYTOTEXT(_xlfn.HSTACK(1,D!B1:B2,"a",FALSE),1)</f>
        <v>{1,4,"a",FALSE;#N/A,8,#N/A,#N/A}</v>
      </c>
      <c r="B313">
        <f t="shared" si="12"/>
        <v>-3</v>
      </c>
      <c r="C313">
        <f t="shared" si="13"/>
        <v>0</v>
      </c>
      <c r="D313" t="str">
        <f t="shared" si="14"/>
        <v>{1,4,"a",FALSE;#N/A,8,#N/A,#N/A}</v>
      </c>
      <c r="E313" t="s">
        <v>347</v>
      </c>
    </row>
    <row r="314" spans="1:5" x14ac:dyDescent="0.2">
      <c r="A314" t="e" cm="1">
        <f t="array" ref="A314">_xlfn.ARRAYTOTEXT(ROUND(LINEST(,D!AZ1:AZ5,TRUE,FALSE),6),1)</f>
        <v>#VALUE!</v>
      </c>
      <c r="B314">
        <f t="shared" si="12"/>
        <v>3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str" cm="1">
        <f t="array" ref="A315">_xlfn.ARRAYTOTEXT(ROUND(LINEST(0,D!AZ1:AZ5,TRUE,FALSE),6),1)</f>
        <v>{0,0,0,0,0,0}</v>
      </c>
      <c r="B315">
        <f t="shared" si="12"/>
        <v>-3</v>
      </c>
      <c r="C315">
        <f t="shared" si="13"/>
        <v>0</v>
      </c>
      <c r="D315" t="str">
        <f t="shared" si="14"/>
        <v>{0,0,0,0,0,0}</v>
      </c>
      <c r="E315" t="s">
        <v>349</v>
      </c>
    </row>
    <row r="316" spans="1:5" x14ac:dyDescent="0.2">
      <c r="A316" t="e" cm="1">
        <f t="array" ref="A316">_xlfn.ARRAYTOTEXT(ROUND(LINEST("",D!AZ1:AZ5,TRUE,FALSE),6),1)</f>
        <v>#VALUE!</v>
      </c>
      <c r="B316">
        <f t="shared" si="12"/>
        <v>3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_xlfn.ARRAYTOTEXT(ROUND(LINEST(FALSE,D!AZ1:AZ5,TRUE,FALSE),6),1)</f>
        <v>#VALUE!</v>
      </c>
      <c r="B317">
        <f t="shared" si="12"/>
        <v>3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str" cm="1">
        <f t="array" ref="A318">_xlfn.ARRAYTOTEXT(ROUND(LINEST(D!AY1:AY5,,TRUE,FALSE),6),1)</f>
        <v>{2.1,0.9}</v>
      </c>
      <c r="B318">
        <f t="shared" si="12"/>
        <v>-3</v>
      </c>
      <c r="C318">
        <f t="shared" si="13"/>
        <v>0</v>
      </c>
      <c r="D318" t="str">
        <f t="shared" si="14"/>
        <v>{2.1,0.9}</v>
      </c>
      <c r="E318" t="s">
        <v>352</v>
      </c>
    </row>
    <row r="319" spans="1:5" x14ac:dyDescent="0.2">
      <c r="A319" t="e" cm="1">
        <f t="array" ref="A319">_xlfn.ARRAYTOTEXT(ROUND(LINEST(D!AY1:AY5,0,TRUE,FALSE),6),1)</f>
        <v>#REF!</v>
      </c>
      <c r="B319">
        <f t="shared" si="12"/>
        <v>4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e" cm="1">
        <f t="array" ref="A320">_xlfn.ARRAYTOTEXT(ROUND(LINEST(D!AY1:AY5,"",TRUE,FALSE),6),1)</f>
        <v>#REF!</v>
      </c>
      <c r="B320">
        <f t="shared" si="12"/>
        <v>4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t="e" cm="1">
        <f t="array" ref="A321">_xlfn.ARRAYTOTEXT(ROUND(LINEST(D!AY1:AY5,FALSE,TRUE,FALSE),6),1)</f>
        <v>#REF!</v>
      </c>
      <c r="B321">
        <f t="shared" ref="B321:B384" si="15">IF(ISERROR(A321),ERROR.TYPE(A321),IF(ISNUMBER(A321),0,IF(ISLOGICAL(A321),IF(A321,-1,-2),IF(ISTEXT(A321),-3,-4))))</f>
        <v>4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str" cm="1">
        <f t="array" ref="A322">_xlfn.ARRAYTOTEXT(ROUND(LINEST(D!AY1:AY5,D!AZ1:AZ5,,FALSE),6),1)</f>
        <v>{2.1,0.9}</v>
      </c>
      <c r="B322">
        <f t="shared" si="15"/>
        <v>-3</v>
      </c>
      <c r="C322">
        <f t="shared" si="16"/>
        <v>0</v>
      </c>
      <c r="D322" t="str">
        <f t="shared" si="17"/>
        <v>{2.1,0.9}</v>
      </c>
      <c r="E322" t="s">
        <v>356</v>
      </c>
    </row>
    <row r="323" spans="1:5" x14ac:dyDescent="0.2">
      <c r="A323" t="str" cm="1">
        <f t="array" ref="A323">_xlfn.ARRAYTOTEXT(ROUND(LINEST(D!AY1:AY5,D!AZ1:AZ5,0,FALSE),6),1)</f>
        <v>{2.345455,0}</v>
      </c>
      <c r="B323">
        <f t="shared" si="15"/>
        <v>-3</v>
      </c>
      <c r="C323">
        <f t="shared" si="16"/>
        <v>0</v>
      </c>
      <c r="D323" t="str">
        <f t="shared" si="17"/>
        <v>{2.345455,0}</v>
      </c>
      <c r="E323" t="s">
        <v>357</v>
      </c>
    </row>
    <row r="324" spans="1:5" x14ac:dyDescent="0.2">
      <c r="A324" t="e" cm="1">
        <f t="array" ref="A324">_xlfn.ARRAYTOTEXT(ROUND(LINEST(D!AY1:AY5,D!AZ1:AZ5,"",FALSE),6),1)</f>
        <v>#VALUE!</v>
      </c>
      <c r="B324">
        <f t="shared" si="15"/>
        <v>3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str" cm="1">
        <f t="array" ref="A325">_xlfn.ARRAYTOTEXT(ROUND(LINEST(D!AY1:AY5,D!AZ1:AZ5,FALSE,FALSE),6),1)</f>
        <v>{2.345455,0}</v>
      </c>
      <c r="B325">
        <f t="shared" si="15"/>
        <v>-3</v>
      </c>
      <c r="C325">
        <f t="shared" si="16"/>
        <v>0</v>
      </c>
      <c r="D325" t="str">
        <f t="shared" si="17"/>
        <v>{2.345455,0}</v>
      </c>
      <c r="E325" t="s">
        <v>359</v>
      </c>
    </row>
    <row r="326" spans="1:5" x14ac:dyDescent="0.2">
      <c r="A326" t="str" cm="1">
        <f t="array" ref="A326">_xlfn.ARRAYTOTEXT(ROUND(LINEST(D!AY1:AY5,D!AZ1:AZ5,TRUE,),6),1)</f>
        <v>{2.1,0.9}</v>
      </c>
      <c r="B326">
        <f t="shared" si="15"/>
        <v>-3</v>
      </c>
      <c r="C326">
        <f t="shared" si="16"/>
        <v>0</v>
      </c>
      <c r="D326" t="str">
        <f t="shared" si="17"/>
        <v>{2.1,0.9}</v>
      </c>
      <c r="E326" t="s">
        <v>360</v>
      </c>
    </row>
    <row r="327" spans="1:5" x14ac:dyDescent="0.2">
      <c r="A327" t="str" cm="1">
        <f t="array" ref="A327">_xlfn.ARRAYTOTEXT(ROUND(LINEST(D!AY1:AY5,D!AZ1:AZ5,TRUE,0),6),1)</f>
        <v>{2.1,0.9}</v>
      </c>
      <c r="B327">
        <f t="shared" si="15"/>
        <v>-3</v>
      </c>
      <c r="C327">
        <f t="shared" si="16"/>
        <v>0</v>
      </c>
      <c r="D327" t="str">
        <f t="shared" si="17"/>
        <v>{2.1,0.9}</v>
      </c>
      <c r="E327" t="s">
        <v>361</v>
      </c>
    </row>
    <row r="328" spans="1:5" x14ac:dyDescent="0.2">
      <c r="A328" t="e" cm="1">
        <f t="array" ref="A328">_xlfn.ARRAYTOTEXT(ROUND(LINEST(D!AY1:AY5,D!AZ1:AZ5,TRUE,""),6),1)</f>
        <v>#VALUE!</v>
      </c>
      <c r="B328">
        <f t="shared" si="15"/>
        <v>3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t="str" cm="1">
        <f t="array" ref="A329">_xlfn.ARRAYTOTEXT(ROUND(LINEST(D!AY1:AY5,D!AZ1:AZ5,TRUE,FALSE),6),1)</f>
        <v>{2.1,0.9}</v>
      </c>
      <c r="B329">
        <f t="shared" si="15"/>
        <v>-3</v>
      </c>
      <c r="C329">
        <f t="shared" si="16"/>
        <v>0</v>
      </c>
      <c r="D329" t="str">
        <f t="shared" si="17"/>
        <v>{2.1,0.9}</v>
      </c>
      <c r="E329" t="s">
        <v>363</v>
      </c>
    </row>
    <row r="330" spans="1:5" x14ac:dyDescent="0.2">
      <c r="A330" t="e" cm="1">
        <f t="array" ref="A330">_xlfn.ARRAYTOTEXT(ROUND(LOGEST(,D!BC1:BC6,TRUE,FALSE),6),1)</f>
        <v>#VALUE!</v>
      </c>
      <c r="B330">
        <f t="shared" si="15"/>
        <v>3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e" cm="1">
        <f t="array" ref="A331">_xlfn.ARRAYTOTEXT(ROUND(LOGEST(0,D!BC1:BC6,TRUE,FALSE),6),1)</f>
        <v>#NUM!</v>
      </c>
      <c r="B331">
        <f t="shared" si="15"/>
        <v>6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e" cm="1">
        <f t="array" ref="A332">_xlfn.ARRAYTOTEXT(ROUND(LOGEST("",D!BC1:BC6,TRUE,FALSE),6),1)</f>
        <v>#VALUE!</v>
      </c>
      <c r="B332">
        <f t="shared" si="15"/>
        <v>3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e" cm="1">
        <f t="array" ref="A333">_xlfn.ARRAYTOTEXT(ROUND(LOGEST(FALSE,D!BC1:BC6,TRUE,FALSE),6),1)</f>
        <v>#VALUE!</v>
      </c>
      <c r="B333">
        <f t="shared" si="15"/>
        <v>3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t="str" cm="1">
        <f t="array" ref="A334">_xlfn.ARRAYTOTEXT(ROUND(LOGEST(D!BB1:BB6,,TRUE,FALSE),6),1)</f>
        <v>{1.463276,22291.223298}</v>
      </c>
      <c r="B334">
        <f t="shared" si="15"/>
        <v>-3</v>
      </c>
      <c r="C334">
        <f t="shared" si="16"/>
        <v>0</v>
      </c>
      <c r="D334" t="str">
        <f t="shared" si="17"/>
        <v>{1.463276,22291.223298}</v>
      </c>
      <c r="E334" t="s">
        <v>368</v>
      </c>
    </row>
    <row r="335" spans="1:5" x14ac:dyDescent="0.2">
      <c r="A335" t="e" cm="1">
        <f t="array" ref="A335">_xlfn.ARRAYTOTEXT(ROUND(LOGEST(D!BB1:BB6,0,TRUE,FALSE),6),1)</f>
        <v>#REF!</v>
      </c>
      <c r="B335">
        <f t="shared" si="15"/>
        <v>4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t="e" cm="1">
        <f t="array" ref="A336">_xlfn.ARRAYTOTEXT(ROUND(LOGEST(D!BB1:BB6,"",TRUE,FALSE),6),1)</f>
        <v>#REF!</v>
      </c>
      <c r="B336">
        <f t="shared" si="15"/>
        <v>4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t="e" cm="1">
        <f t="array" ref="A337">_xlfn.ARRAYTOTEXT(ROUND(LOGEST(D!BB1:BB6,FALSE,TRUE,FALSE),6),1)</f>
        <v>#REF!</v>
      </c>
      <c r="B337">
        <f t="shared" si="15"/>
        <v>4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t="str" cm="1">
        <f t="array" ref="A338">_xlfn.ARRAYTOTEXT(ROUND(LOGEST(D!BB1:BB6,D!BC1:BC6,,FALSE),6),1)</f>
        <v>{1.463276,495.30477}</v>
      </c>
      <c r="B338">
        <f t="shared" si="15"/>
        <v>-3</v>
      </c>
      <c r="C338">
        <f t="shared" si="16"/>
        <v>0</v>
      </c>
      <c r="D338" t="str">
        <f t="shared" si="17"/>
        <v>{1.463276,495.30477}</v>
      </c>
      <c r="E338" t="s">
        <v>372</v>
      </c>
    </row>
    <row r="339" spans="1:5" x14ac:dyDescent="0.2">
      <c r="A339" t="str" cm="1">
        <f t="array" ref="A339">_xlfn.ARRAYTOTEXT(ROUND(LOGEST(D!BB1:BB6,D!BC1:BC6,0,FALSE),6),1)</f>
        <v>{2.300393,1}</v>
      </c>
      <c r="B339">
        <f t="shared" si="15"/>
        <v>-3</v>
      </c>
      <c r="C339">
        <f t="shared" si="16"/>
        <v>0</v>
      </c>
      <c r="D339" t="str">
        <f t="shared" si="17"/>
        <v>{2.300393,1}</v>
      </c>
      <c r="E339" t="s">
        <v>373</v>
      </c>
    </row>
    <row r="340" spans="1:5" x14ac:dyDescent="0.2">
      <c r="A340" t="e" cm="1">
        <f t="array" ref="A340">_xlfn.ARRAYTOTEXT(ROUND(LOGEST(D!BB1:BB6,D!BC1:BC6,"",FALSE),6),1)</f>
        <v>#VALUE!</v>
      </c>
      <c r="B340">
        <f t="shared" si="15"/>
        <v>3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str" cm="1">
        <f t="array" ref="A341">_xlfn.ARRAYTOTEXT(ROUND(LOGEST(D!BB1:BB6,D!BC1:BC6,FALSE,FALSE),6),1)</f>
        <v>{2.300393,1}</v>
      </c>
      <c r="B341">
        <f t="shared" si="15"/>
        <v>-3</v>
      </c>
      <c r="C341">
        <f t="shared" si="16"/>
        <v>0</v>
      </c>
      <c r="D341" t="str">
        <f t="shared" si="17"/>
        <v>{2.300393,1}</v>
      </c>
      <c r="E341" t="s">
        <v>375</v>
      </c>
    </row>
    <row r="342" spans="1:5" x14ac:dyDescent="0.2">
      <c r="A342" t="str" cm="1">
        <f t="array" ref="A342">_xlfn.ARRAYTOTEXT(ROUND(LOGEST(D!BB1:BB6,D!BC1:BC6,TRUE,),6),1)</f>
        <v>{1.463276,495.30477}</v>
      </c>
      <c r="B342">
        <f t="shared" si="15"/>
        <v>-3</v>
      </c>
      <c r="C342">
        <f t="shared" si="16"/>
        <v>0</v>
      </c>
      <c r="D342" t="str">
        <f t="shared" si="17"/>
        <v>{1.463276,495.30477}</v>
      </c>
      <c r="E342" t="s">
        <v>376</v>
      </c>
    </row>
    <row r="343" spans="1:5" x14ac:dyDescent="0.2">
      <c r="A343" t="str" cm="1">
        <f t="array" ref="A343">_xlfn.ARRAYTOTEXT(ROUND(LOGEST(D!BB1:BB6,D!BC1:BC6,TRUE,0),6),1)</f>
        <v>{1.463276,495.30477}</v>
      </c>
      <c r="B343">
        <f t="shared" si="15"/>
        <v>-3</v>
      </c>
      <c r="C343">
        <f t="shared" si="16"/>
        <v>0</v>
      </c>
      <c r="D343" t="str">
        <f t="shared" si="17"/>
        <v>{1.463276,495.30477}</v>
      </c>
      <c r="E343" t="s">
        <v>377</v>
      </c>
    </row>
    <row r="344" spans="1:5" x14ac:dyDescent="0.2">
      <c r="A344" t="e" cm="1">
        <f t="array" ref="A344">_xlfn.ARRAYTOTEXT(ROUND(LOGEST(D!BB1:BB6,D!BC1:BC6,TRUE,""),6),1)</f>
        <v>#VALUE!</v>
      </c>
      <c r="B344">
        <f t="shared" si="15"/>
        <v>3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t="str" cm="1">
        <f t="array" ref="A345">_xlfn.ARRAYTOTEXT(ROUND(LOGEST(D!BB1:BB6,D!BC1:BC6,TRUE,FALSE),6),1)</f>
        <v>{1.463276,495.30477}</v>
      </c>
      <c r="B345">
        <f t="shared" si="15"/>
        <v>-3</v>
      </c>
      <c r="C345">
        <f t="shared" si="16"/>
        <v>0</v>
      </c>
      <c r="D345" t="str">
        <f t="shared" si="17"/>
        <v>{1.463276,495.30477}</v>
      </c>
      <c r="E345" t="s">
        <v>379</v>
      </c>
    </row>
    <row r="346" spans="1:5" x14ac:dyDescent="0.2">
      <c r="A346" t="e" cm="1">
        <f t="array" ref="A346">_xlfn.ARRAYTOTEXT(MMULT(,D!R1:S2),1)</f>
        <v>#VALUE!</v>
      </c>
      <c r="B346">
        <f t="shared" si="15"/>
        <v>3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t="e" cm="1">
        <f t="array" ref="A347">_xlfn.ARRAYTOTEXT(MMULT(0,D!R1:S2),1)</f>
        <v>#VALUE!</v>
      </c>
      <c r="B347">
        <f t="shared" si="15"/>
        <v>3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t="e" cm="1">
        <f t="array" ref="A348">_xlfn.ARRAYTOTEXT(MMULT("",D!R1:S2),1)</f>
        <v>#VALUE!</v>
      </c>
      <c r="B348">
        <f t="shared" si="15"/>
        <v>3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_xlfn.ARRAYTOTEXT(MMULT(FALSE,D!R1:S2),1)</f>
        <v>#VALUE!</v>
      </c>
      <c r="B349">
        <f t="shared" si="15"/>
        <v>3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e" cm="1">
        <f t="array" ref="A350">_xlfn.ARRAYTOTEXT(MMULT(D!P1:Q2,),1)</f>
        <v>#VALUE!</v>
      </c>
      <c r="B350">
        <f t="shared" si="15"/>
        <v>3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t="e" cm="1">
        <f t="array" ref="A351">_xlfn.ARRAYTOTEXT(MMULT(D!P1:Q2,0),1)</f>
        <v>#VALUE!</v>
      </c>
      <c r="B351">
        <f t="shared" si="15"/>
        <v>3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t="e" cm="1">
        <f t="array" ref="A352">_xlfn.ARRAYTOTEXT(MMULT(D!P1:Q2,""),1)</f>
        <v>#VALUE!</v>
      </c>
      <c r="B352">
        <f t="shared" si="15"/>
        <v>3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_xlfn.ARRAYTOTEXT(MMULT(D!P1:Q2,FALSE),1)</f>
        <v>#VALUE!</v>
      </c>
      <c r="B353">
        <f t="shared" si="15"/>
        <v>3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e" cm="1">
        <f t="array" ref="A354">_xlfn.ARRAYTOTEXT(_xlfn.MODE.MULT(,2,2,3,3),1)</f>
        <v>#VALUE!</v>
      </c>
      <c r="B354">
        <f t="shared" si="15"/>
        <v>3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str" cm="1">
        <f t="array" ref="A355">_xlfn.ARRAYTOTEXT(_xlfn.MODE.MULT(0,2,2,3,3),1)</f>
        <v>{2;3}</v>
      </c>
      <c r="B355">
        <f t="shared" si="15"/>
        <v>-3</v>
      </c>
      <c r="C355">
        <f t="shared" si="16"/>
        <v>0</v>
      </c>
      <c r="D355" t="str">
        <f t="shared" si="17"/>
        <v>{2;3}</v>
      </c>
      <c r="E355" t="s">
        <v>389</v>
      </c>
    </row>
    <row r="356" spans="1:5" x14ac:dyDescent="0.2">
      <c r="A356" t="str" cm="1">
        <f t="array" ref="A356">_xlfn.ARRAYTOTEXT(_xlfn.MODE.MULT("",2,2,3,3),1)</f>
        <v>{2;3}</v>
      </c>
      <c r="B356">
        <f t="shared" si="15"/>
        <v>-3</v>
      </c>
      <c r="C356">
        <f t="shared" si="16"/>
        <v>0</v>
      </c>
      <c r="D356" t="str">
        <f t="shared" si="17"/>
        <v>{2;3}</v>
      </c>
      <c r="E356" t="s">
        <v>390</v>
      </c>
    </row>
    <row r="357" spans="1:5" x14ac:dyDescent="0.2">
      <c r="A357" t="str" cm="1">
        <f t="array" ref="A357">_xlfn.ARRAYTOTEXT(_xlfn.MODE.MULT(FALSE,2,2,3,3),1)</f>
        <v>{2;3}</v>
      </c>
      <c r="B357">
        <f t="shared" si="15"/>
        <v>-3</v>
      </c>
      <c r="C357">
        <f t="shared" si="16"/>
        <v>0</v>
      </c>
      <c r="D357" t="str">
        <f t="shared" si="17"/>
        <v>{2;3}</v>
      </c>
      <c r="E357" t="s">
        <v>391</v>
      </c>
    </row>
    <row r="358" spans="1:5" x14ac:dyDescent="0.2">
      <c r="A358" t="e" cm="1">
        <f t="array" ref="A358">_xlfn.ARRAYTOTEXT(_xlfn.MODE.MULT(1,,2,3,3),1)</f>
        <v>#VALUE!</v>
      </c>
      <c r="B358">
        <f t="shared" si="15"/>
        <v>3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t="str" cm="1">
        <f t="array" ref="A359">_xlfn.ARRAYTOTEXT(_xlfn.MODE.MULT(1,0,2,3,3),1)</f>
        <v>{3}</v>
      </c>
      <c r="B359">
        <f t="shared" si="15"/>
        <v>-3</v>
      </c>
      <c r="C359">
        <f t="shared" si="16"/>
        <v>0</v>
      </c>
      <c r="D359" t="str">
        <f t="shared" si="17"/>
        <v>{3}</v>
      </c>
      <c r="E359" t="s">
        <v>393</v>
      </c>
    </row>
    <row r="360" spans="1:5" x14ac:dyDescent="0.2">
      <c r="A360" t="str" cm="1">
        <f t="array" ref="A360">_xlfn.ARRAYTOTEXT(_xlfn.MODE.MULT(1,"",2,3,3),1)</f>
        <v>{3}</v>
      </c>
      <c r="B360">
        <f t="shared" si="15"/>
        <v>-3</v>
      </c>
      <c r="C360">
        <f t="shared" si="16"/>
        <v>0</v>
      </c>
      <c r="D360" t="str">
        <f t="shared" si="17"/>
        <v>{3}</v>
      </c>
      <c r="E360" t="s">
        <v>394</v>
      </c>
    </row>
    <row r="361" spans="1:5" x14ac:dyDescent="0.2">
      <c r="A361" t="str" cm="1">
        <f t="array" ref="A361">_xlfn.ARRAYTOTEXT(_xlfn.MODE.MULT(1,FALSE,2,3,3),1)</f>
        <v>{3}</v>
      </c>
      <c r="B361">
        <f t="shared" si="15"/>
        <v>-3</v>
      </c>
      <c r="C361">
        <f t="shared" si="16"/>
        <v>0</v>
      </c>
      <c r="D361" t="str">
        <f t="shared" si="17"/>
        <v>{3}</v>
      </c>
      <c r="E361" t="s">
        <v>395</v>
      </c>
    </row>
    <row r="362" spans="1:5" x14ac:dyDescent="0.2">
      <c r="A362" t="e" cm="1">
        <f t="array" ref="A362">_xlfn.ARRAYTOTEXT(_xlfn.MODE.MULT(1,2,,3,3),1)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str" cm="1">
        <f t="array" ref="A363">_xlfn.ARRAYTOTEXT(_xlfn.MODE.MULT(1,2,0,3,3),1)</f>
        <v>{3}</v>
      </c>
      <c r="B363">
        <f t="shared" si="15"/>
        <v>-3</v>
      </c>
      <c r="C363">
        <f t="shared" si="16"/>
        <v>0</v>
      </c>
      <c r="D363" t="str">
        <f t="shared" si="17"/>
        <v>{3}</v>
      </c>
      <c r="E363" t="s">
        <v>397</v>
      </c>
    </row>
    <row r="364" spans="1:5" x14ac:dyDescent="0.2">
      <c r="A364" t="str" cm="1">
        <f t="array" ref="A364">_xlfn.ARRAYTOTEXT(_xlfn.MODE.MULT(1,2,"",3,3),1)</f>
        <v>{3}</v>
      </c>
      <c r="B364">
        <f t="shared" si="15"/>
        <v>-3</v>
      </c>
      <c r="C364">
        <f t="shared" si="16"/>
        <v>0</v>
      </c>
      <c r="D364" t="str">
        <f t="shared" si="17"/>
        <v>{3}</v>
      </c>
      <c r="E364" t="s">
        <v>398</v>
      </c>
    </row>
    <row r="365" spans="1:5" x14ac:dyDescent="0.2">
      <c r="A365" t="str" cm="1">
        <f t="array" ref="A365">_xlfn.ARRAYTOTEXT(_xlfn.MODE.MULT(1,2,FALSE,3,3),1)</f>
        <v>{3}</v>
      </c>
      <c r="B365">
        <f t="shared" si="15"/>
        <v>-3</v>
      </c>
      <c r="C365">
        <f t="shared" si="16"/>
        <v>0</v>
      </c>
      <c r="D365" t="str">
        <f t="shared" si="17"/>
        <v>{3}</v>
      </c>
      <c r="E365" t="s">
        <v>399</v>
      </c>
    </row>
    <row r="366" spans="1:5" x14ac:dyDescent="0.2">
      <c r="A366" t="e" cm="1">
        <f t="array" ref="A366">_xlfn.ARRAYTOTEXT(_xlfn.MODE.MULT(1,2,2,,3),1)</f>
        <v>#VALUE!</v>
      </c>
      <c r="B366">
        <f t="shared" si="15"/>
        <v>3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t="str" cm="1">
        <f t="array" ref="A367">_xlfn.ARRAYTOTEXT(_xlfn.MODE.MULT(1,2,2,0,3),1)</f>
        <v>{2}</v>
      </c>
      <c r="B367">
        <f t="shared" si="15"/>
        <v>-3</v>
      </c>
      <c r="C367">
        <f t="shared" si="16"/>
        <v>0</v>
      </c>
      <c r="D367" t="str">
        <f t="shared" si="17"/>
        <v>{2}</v>
      </c>
      <c r="E367" t="s">
        <v>401</v>
      </c>
    </row>
    <row r="368" spans="1:5" x14ac:dyDescent="0.2">
      <c r="A368" t="str" cm="1">
        <f t="array" ref="A368">_xlfn.ARRAYTOTEXT(_xlfn.MODE.MULT(1,2,2,"",3),1)</f>
        <v>{2}</v>
      </c>
      <c r="B368">
        <f t="shared" si="15"/>
        <v>-3</v>
      </c>
      <c r="C368">
        <f t="shared" si="16"/>
        <v>0</v>
      </c>
      <c r="D368" t="str">
        <f t="shared" si="17"/>
        <v>{2}</v>
      </c>
      <c r="E368" t="s">
        <v>402</v>
      </c>
    </row>
    <row r="369" spans="1:5" x14ac:dyDescent="0.2">
      <c r="A369" t="str" cm="1">
        <f t="array" ref="A369">_xlfn.ARRAYTOTEXT(_xlfn.MODE.MULT(1,2,2,FALSE,3),1)</f>
        <v>{2}</v>
      </c>
      <c r="B369">
        <f t="shared" si="15"/>
        <v>-3</v>
      </c>
      <c r="C369">
        <f t="shared" si="16"/>
        <v>0</v>
      </c>
      <c r="D369" t="str">
        <f t="shared" si="17"/>
        <v>{2}</v>
      </c>
      <c r="E369" t="s">
        <v>403</v>
      </c>
    </row>
    <row r="370" spans="1:5" x14ac:dyDescent="0.2">
      <c r="A370" t="e" cm="1">
        <f t="array" ref="A370">_xlfn.ARRAYTOTEXT(_xlfn.MODE.MULT(1,2,2,3,),1)</f>
        <v>#VALUE!</v>
      </c>
      <c r="B370">
        <f t="shared" si="15"/>
        <v>3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t="str" cm="1">
        <f t="array" ref="A371">_xlfn.ARRAYTOTEXT(_xlfn.MODE.MULT(1,2,2,3,0),1)</f>
        <v>{2}</v>
      </c>
      <c r="B371">
        <f t="shared" si="15"/>
        <v>-3</v>
      </c>
      <c r="C371">
        <f t="shared" si="16"/>
        <v>0</v>
      </c>
      <c r="D371" t="str">
        <f t="shared" si="17"/>
        <v>{2}</v>
      </c>
      <c r="E371" t="s">
        <v>405</v>
      </c>
    </row>
    <row r="372" spans="1:5" x14ac:dyDescent="0.2">
      <c r="A372" t="str" cm="1">
        <f t="array" ref="A372">_xlfn.ARRAYTOTEXT(_xlfn.MODE.MULT(1,2,2,3,""),1)</f>
        <v>{2}</v>
      </c>
      <c r="B372">
        <f t="shared" si="15"/>
        <v>-3</v>
      </c>
      <c r="C372">
        <f t="shared" si="16"/>
        <v>0</v>
      </c>
      <c r="D372" t="str">
        <f t="shared" si="17"/>
        <v>{2}</v>
      </c>
      <c r="E372" t="s">
        <v>406</v>
      </c>
    </row>
    <row r="373" spans="1:5" x14ac:dyDescent="0.2">
      <c r="A373" t="str" cm="1">
        <f t="array" ref="A373">_xlfn.ARRAYTOTEXT(_xlfn.MODE.MULT(1,2,2,3,FALSE),1)</f>
        <v>{2}</v>
      </c>
      <c r="B373">
        <f t="shared" si="15"/>
        <v>-3</v>
      </c>
      <c r="C373">
        <f t="shared" si="16"/>
        <v>0</v>
      </c>
      <c r="D373" t="str">
        <f t="shared" si="17"/>
        <v>{2}</v>
      </c>
      <c r="E373" t="s">
        <v>407</v>
      </c>
    </row>
    <row r="374" spans="1:5" x14ac:dyDescent="0.2">
      <c r="A374" t="str" cm="1">
        <f t="array" ref="A374">_xlfn.ARRAYTOTEXT(_xlfn.MODE.MULT(1,2,2,3,3),1)</f>
        <v>{2;3}</v>
      </c>
      <c r="B374">
        <f t="shared" si="15"/>
        <v>-3</v>
      </c>
      <c r="C374">
        <f t="shared" si="16"/>
        <v>0</v>
      </c>
      <c r="D374" t="str">
        <f t="shared" si="17"/>
        <v>{2;3}</v>
      </c>
      <c r="E374" t="s">
        <v>408</v>
      </c>
    </row>
    <row r="375" spans="1:5" x14ac:dyDescent="0.2">
      <c r="A375" t="e" cm="1">
        <f t="array" ref="A375">_xlfn.ARRAYTOTEXT(_xlfn.MODE.MULT(1,2,2,3,3,),1)</f>
        <v>#VALUE!</v>
      </c>
      <c r="B375">
        <f t="shared" si="15"/>
        <v>3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str" cm="1">
        <f t="array" ref="A376">_xlfn.ARRAYTOTEXT(_xlfn.MODE.MULT(1,2,2,3,3,0),1)</f>
        <v>{2;3}</v>
      </c>
      <c r="B376">
        <f t="shared" si="15"/>
        <v>-3</v>
      </c>
      <c r="C376">
        <f t="shared" si="16"/>
        <v>0</v>
      </c>
      <c r="D376" t="str">
        <f t="shared" si="17"/>
        <v>{2;3}</v>
      </c>
      <c r="E376" t="s">
        <v>410</v>
      </c>
    </row>
    <row r="377" spans="1:5" x14ac:dyDescent="0.2">
      <c r="A377" t="str" cm="1">
        <f t="array" ref="A377">_xlfn.ARRAYTOTEXT(_xlfn.MODE.MULT(1,2,2,3,3,""),1)</f>
        <v>{2;3}</v>
      </c>
      <c r="B377">
        <f t="shared" si="15"/>
        <v>-3</v>
      </c>
      <c r="C377">
        <f t="shared" si="16"/>
        <v>0</v>
      </c>
      <c r="D377" t="str">
        <f t="shared" si="17"/>
        <v>{2;3}</v>
      </c>
      <c r="E377" t="s">
        <v>411</v>
      </c>
    </row>
    <row r="378" spans="1:5" x14ac:dyDescent="0.2">
      <c r="A378" t="str" cm="1">
        <f t="array" ref="A378">_xlfn.ARRAYTOTEXT(_xlfn.MODE.MULT(1,2,2,3,3,FALSE),1)</f>
        <v>{2;3}</v>
      </c>
      <c r="B378">
        <f t="shared" si="15"/>
        <v>-3</v>
      </c>
      <c r="C378">
        <f t="shared" si="16"/>
        <v>0</v>
      </c>
      <c r="D378" t="str">
        <f t="shared" si="17"/>
        <v>{2;3}</v>
      </c>
      <c r="E378" t="s">
        <v>412</v>
      </c>
    </row>
    <row r="379" spans="1:5" x14ac:dyDescent="0.2">
      <c r="A379" t="str" cm="1">
        <f t="array" ref="A379">_xlfn.ARRAYTOTEXT(_xlfn.SEQUENCE(,3,10,5),1)</f>
        <v>{10,15,20}</v>
      </c>
      <c r="B379">
        <f t="shared" si="15"/>
        <v>-3</v>
      </c>
      <c r="C379">
        <f t="shared" si="16"/>
        <v>0</v>
      </c>
      <c r="D379" t="str">
        <f t="shared" si="17"/>
        <v>{10,15,20}</v>
      </c>
      <c r="E379" t="s">
        <v>413</v>
      </c>
    </row>
    <row r="380" spans="1:5" x14ac:dyDescent="0.2">
      <c r="A380" t="e" cm="1" vm="1">
        <f t="array" ref="A380">_xlfn.ARRAYTOTEXT(_xlfn.SEQUENCE(0,3,10,5),1)</f>
        <v>#VALUE!</v>
      </c>
      <c r="B380">
        <f t="shared" si="15"/>
        <v>14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t="str" cm="1">
        <f t="array" ref="A381">_xlfn.ARRAYTOTEXT(_xlfn.SEQUENCE(2,,10,5),1)</f>
        <v>{10;15}</v>
      </c>
      <c r="B381">
        <f t="shared" si="15"/>
        <v>-3</v>
      </c>
      <c r="C381">
        <f t="shared" si="16"/>
        <v>0</v>
      </c>
      <c r="D381" t="str">
        <f t="shared" si="17"/>
        <v>{10;15}</v>
      </c>
      <c r="E381" t="s">
        <v>415</v>
      </c>
    </row>
    <row r="382" spans="1:5" x14ac:dyDescent="0.2">
      <c r="A382" t="e" cm="1" vm="1">
        <f t="array" ref="A382">_xlfn.ARRAYTOTEXT(_xlfn.SEQUENCE(2,0,10,5),1)</f>
        <v>#VALUE!</v>
      </c>
      <c r="B382">
        <f t="shared" si="15"/>
        <v>14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t="str" cm="1">
        <f t="array" ref="A383">_xlfn.ARRAYTOTEXT(_xlfn.SEQUENCE(2,3,,5),1)</f>
        <v>{1,6,11;16,21,26}</v>
      </c>
      <c r="B383">
        <f t="shared" si="15"/>
        <v>-3</v>
      </c>
      <c r="C383">
        <f t="shared" si="16"/>
        <v>0</v>
      </c>
      <c r="D383" t="str">
        <f t="shared" si="17"/>
        <v>{1,6,11;16,21,26}</v>
      </c>
      <c r="E383" t="s">
        <v>417</v>
      </c>
    </row>
    <row r="384" spans="1:5" x14ac:dyDescent="0.2">
      <c r="A384" t="str" cm="1">
        <f t="array" ref="A384">_xlfn.ARRAYTOTEXT(_xlfn.SEQUENCE(2,3,0,5),1)</f>
        <v>{0,5,10;15,20,25}</v>
      </c>
      <c r="B384">
        <f t="shared" si="15"/>
        <v>-3</v>
      </c>
      <c r="C384">
        <f t="shared" si="16"/>
        <v>0</v>
      </c>
      <c r="D384" t="str">
        <f t="shared" si="17"/>
        <v>{0,5,10;15,20,25}</v>
      </c>
      <c r="E384" t="s">
        <v>418</v>
      </c>
    </row>
    <row r="385" spans="1:5" x14ac:dyDescent="0.2">
      <c r="A385" t="e" cm="1">
        <f t="array" ref="A385">_xlfn.ARRAYTOTEXT(_xlfn.SEQUENCE(2,3,"",5),1)</f>
        <v>#VALUE!</v>
      </c>
      <c r="B385">
        <f t="shared" ref="B385:B448" si="18">IF(ISERROR(A385),ERROR.TYPE(A385),IF(ISNUMBER(A385),0,IF(ISLOGICAL(A385),IF(A385,-1,-2),IF(ISTEXT(A385),-3,-4))))</f>
        <v>3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t="str" cm="1">
        <f t="array" ref="A386">_xlfn.ARRAYTOTEXT(_xlfn.SEQUENCE(2,3,FALSE,5),1)</f>
        <v>{0,5,10;15,20,25}</v>
      </c>
      <c r="B386">
        <f t="shared" si="18"/>
        <v>-3</v>
      </c>
      <c r="C386">
        <f t="shared" si="19"/>
        <v>0</v>
      </c>
      <c r="D386" t="str">
        <f t="shared" si="20"/>
        <v>{0,5,10;15,20,25}</v>
      </c>
      <c r="E386" t="s">
        <v>420</v>
      </c>
    </row>
    <row r="387" spans="1:5" x14ac:dyDescent="0.2">
      <c r="A387" t="str" cm="1">
        <f t="array" ref="A387">_xlfn.ARRAYTOTEXT(_xlfn.SEQUENCE(2,3,10,),1)</f>
        <v>{10,11,12;13,14,15}</v>
      </c>
      <c r="B387">
        <f t="shared" si="18"/>
        <v>-3</v>
      </c>
      <c r="C387">
        <f t="shared" si="19"/>
        <v>0</v>
      </c>
      <c r="D387" t="str">
        <f t="shared" si="20"/>
        <v>{10,11,12;13,14,15}</v>
      </c>
      <c r="E387" t="s">
        <v>421</v>
      </c>
    </row>
    <row r="388" spans="1:5" x14ac:dyDescent="0.2">
      <c r="A388" t="str" cm="1">
        <f t="array" ref="A388">_xlfn.ARRAYTOTEXT(_xlfn.SEQUENCE(2,3,10,0),1)</f>
        <v>{10,10,10;10,10,10}</v>
      </c>
      <c r="B388">
        <f t="shared" si="18"/>
        <v>-3</v>
      </c>
      <c r="C388">
        <f t="shared" si="19"/>
        <v>0</v>
      </c>
      <c r="D388" t="str">
        <f t="shared" si="20"/>
        <v>{10,10,10;10,10,10}</v>
      </c>
      <c r="E388" t="s">
        <v>422</v>
      </c>
    </row>
    <row r="389" spans="1:5" x14ac:dyDescent="0.2">
      <c r="A389" t="e" cm="1">
        <f t="array" ref="A389">_xlfn.ARRAYTOTEXT(_xlfn.SEQUENCE(2,3,10,""),1)</f>
        <v>#VALUE!</v>
      </c>
      <c r="B389">
        <f t="shared" si="18"/>
        <v>3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t="str" cm="1">
        <f t="array" ref="A390">_xlfn.ARRAYTOTEXT(_xlfn.SEQUENCE(2,3,10,FALSE),1)</f>
        <v>{10,10,10;10,10,10}</v>
      </c>
      <c r="B390">
        <f t="shared" si="18"/>
        <v>-3</v>
      </c>
      <c r="C390">
        <f t="shared" si="19"/>
        <v>0</v>
      </c>
      <c r="D390" t="str">
        <f t="shared" si="20"/>
        <v>{10,10,10;10,10,10}</v>
      </c>
      <c r="E390" t="s">
        <v>424</v>
      </c>
    </row>
    <row r="391" spans="1:5" x14ac:dyDescent="0.2">
      <c r="A391" t="e" cm="1">
        <f t="array" ref="A391">_xlfn.ARRAYTOTEXT(_xlfn._xlws.SORT(,2,-1,FALSE),1)</f>
        <v>#VALUE!</v>
      </c>
      <c r="B391">
        <f t="shared" si="18"/>
        <v>3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_xlfn.ARRAYTOTEXT(_xlfn._xlws.SORT(0,2,-1,FALSE),1)</f>
        <v>#VALUE!</v>
      </c>
      <c r="B392">
        <f t="shared" si="18"/>
        <v>3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e" cm="1">
        <f t="array" ref="A393">_xlfn.ARRAYTOTEXT(_xlfn._xlws.SORT("",2,-1,FALSE),1)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t="e" cm="1">
        <f t="array" ref="A394">_xlfn.ARRAYTOTEXT(_xlfn._xlws.SORT(FALSE,2,-1,FALSE),1)</f>
        <v>#VALUE!</v>
      </c>
      <c r="B394">
        <f t="shared" si="18"/>
        <v>3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t="str" cm="1">
        <f t="array" ref="A395">_xlfn.ARRAYTOTEXT(_xlfn._xlws.SORT(D!B1:C4,,-1,FALSE),1)</f>
        <v>{16,19;15,11;8,7;4,2}</v>
      </c>
      <c r="B395">
        <f t="shared" si="18"/>
        <v>-3</v>
      </c>
      <c r="C395">
        <f t="shared" si="19"/>
        <v>0</v>
      </c>
      <c r="D395" t="str">
        <f t="shared" si="20"/>
        <v>{16,19;15,11;8,7;4,2}</v>
      </c>
      <c r="E395" t="s">
        <v>429</v>
      </c>
    </row>
    <row r="396" spans="1:5" x14ac:dyDescent="0.2">
      <c r="A396" t="e" cm="1">
        <f t="array" ref="A396">_xlfn.ARRAYTOTEXT(_xlfn._xlws.SORT(D!B1:C4,0,-1,FALSE),1)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_xlfn.ARRAYTOTEXT(_xlfn._xlws.SORT(D!B1:C4,"",-1,FALSE),1)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_xlfn.ARRAYTOTEXT(_xlfn._xlws.SORT(D!B1:C4,FALSE,-1,FALSE),1)</f>
        <v>#VALUE!</v>
      </c>
      <c r="B398">
        <f t="shared" si="18"/>
        <v>3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t="str" cm="1">
        <f t="array" ref="A399">_xlfn.ARRAYTOTEXT(_xlfn._xlws.SORT(D!B1:C4,2,,FALSE),1)</f>
        <v>{4,2;8,7;15,11;16,19}</v>
      </c>
      <c r="B399">
        <f t="shared" si="18"/>
        <v>-3</v>
      </c>
      <c r="C399">
        <f t="shared" si="19"/>
        <v>0</v>
      </c>
      <c r="D399" t="str">
        <f t="shared" si="20"/>
        <v>{4,2;8,7;15,11;16,19}</v>
      </c>
      <c r="E399" t="s">
        <v>433</v>
      </c>
    </row>
    <row r="400" spans="1:5" x14ac:dyDescent="0.2">
      <c r="A400" t="e" cm="1">
        <f t="array" ref="A400">_xlfn.ARRAYTOTEXT(_xlfn._xlws.SORT(D!B1:C4,2,0,FALSE),1)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2026-10-07T05:16:23Z</dcterms:created>
  <dcterms:modified xsi:type="dcterms:W3CDTF">2026-10-07T05:16:23Z</dcterms:modified>
  <cp:category/>
</cp:coreProperties>
</file>