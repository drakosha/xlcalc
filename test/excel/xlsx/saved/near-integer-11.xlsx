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EF711BC2-2F85-FB45-A757-182B750CC1E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NI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7" i="3" l="1" a="1"/>
  <c r="A187" i="3" s="1"/>
  <c r="B187" i="3" s="1"/>
  <c r="A169" i="3" a="1"/>
  <c r="A169" i="3"/>
  <c r="A161" i="3" a="1"/>
  <c r="A161" i="3" s="1"/>
  <c r="A159" i="3" a="1"/>
  <c r="A159" i="3" s="1"/>
  <c r="A122" i="3" a="1"/>
  <c r="A122" i="3" s="1"/>
  <c r="A111" i="3" a="1"/>
  <c r="A111" i="3" s="1"/>
  <c r="D111" i="3" s="1"/>
  <c r="A107" i="3" a="1"/>
  <c r="A107" i="3" s="1"/>
  <c r="A105" i="3" a="1"/>
  <c r="A105" i="3" s="1"/>
  <c r="A97" i="3" a="1"/>
  <c r="A97" i="3" s="1"/>
  <c r="D97" i="3" s="1"/>
  <c r="A93" i="3" a="1"/>
  <c r="A93" i="3" s="1"/>
  <c r="A64" i="3" a="1"/>
  <c r="A64" i="3" s="1"/>
  <c r="D34" i="3"/>
  <c r="C34" i="3"/>
  <c r="B34" i="3"/>
  <c r="A28" i="3" a="1"/>
  <c r="A28" i="3" s="1"/>
  <c r="A14" i="3" a="1"/>
  <c r="A14" i="3" s="1"/>
  <c r="B14" i="3" s="1"/>
  <c r="A12" i="3" a="1"/>
  <c r="A12" i="3" s="1"/>
  <c r="B12" i="3" s="1"/>
  <c r="A11" i="3" a="1"/>
  <c r="A11" i="3" s="1"/>
  <c r="A9" i="3" a="1"/>
  <c r="A9" i="3" s="1"/>
  <c r="D6" i="3"/>
  <c r="C6" i="3"/>
  <c r="A3" i="3" a="1"/>
  <c r="A3" i="3" s="1"/>
  <c r="D3" i="3" s="1"/>
  <c r="A2" i="3" a="1"/>
  <c r="A2" i="3"/>
  <c r="B2" i="3" s="1"/>
  <c r="I15" i="2"/>
  <c r="A14" i="2"/>
  <c r="A13" i="2"/>
  <c r="AL10" i="2"/>
  <c r="A8" i="2"/>
  <c r="A7" i="2"/>
  <c r="E3" i="2"/>
  <c r="A415" i="1"/>
  <c r="A414" i="1"/>
  <c r="A413" i="1"/>
  <c r="A40" i="3" s="1" a="1"/>
  <c r="A40" i="3" s="1"/>
  <c r="A412" i="1"/>
  <c r="A39" i="3" s="1" a="1"/>
  <c r="A39" i="3" s="1"/>
  <c r="D39" i="3" s="1"/>
  <c r="A411" i="1"/>
  <c r="A410" i="1"/>
  <c r="A409" i="1"/>
  <c r="A15" i="3" s="1" a="1"/>
  <c r="A15" i="3" s="1"/>
  <c r="A408" i="1"/>
  <c r="A35" i="3" s="1" a="1"/>
  <c r="A35" i="3" s="1"/>
  <c r="A407" i="1"/>
  <c r="A34" i="3" s="1" a="1"/>
  <c r="A34" i="3" s="1"/>
  <c r="A406" i="1"/>
  <c r="A33" i="3" s="1" a="1"/>
  <c r="A33" i="3" s="1"/>
  <c r="A405" i="1"/>
  <c r="A32" i="3" s="1" a="1"/>
  <c r="A32" i="3" s="1"/>
  <c r="A404" i="1"/>
  <c r="A31" i="3" s="1" a="1"/>
  <c r="A31" i="3" s="1"/>
  <c r="B31" i="3" s="1"/>
  <c r="A403" i="1"/>
  <c r="A30" i="3" s="1" a="1"/>
  <c r="A30" i="3" s="1"/>
  <c r="A402" i="1"/>
  <c r="A401" i="1"/>
  <c r="A7" i="3" s="1" a="1"/>
  <c r="A7" i="3" s="1"/>
  <c r="A400" i="1"/>
  <c r="A6" i="3" s="1" a="1"/>
  <c r="A6" i="3" s="1"/>
  <c r="B6" i="3" s="1"/>
  <c r="A399" i="1"/>
  <c r="A5" i="3" s="1" a="1"/>
  <c r="A5" i="3" s="1"/>
  <c r="A398" i="1"/>
  <c r="A397" i="1"/>
  <c r="A24" i="3" s="1" a="1"/>
  <c r="A24" i="3" s="1"/>
  <c r="A396" i="1"/>
  <c r="A23" i="3" s="1" a="1"/>
  <c r="A23" i="3" s="1"/>
  <c r="A395" i="1"/>
  <c r="A394" i="1"/>
  <c r="A21" i="3" s="1" a="1"/>
  <c r="A21" i="3" s="1"/>
  <c r="A393" i="1"/>
  <c r="A20" i="3" s="1" a="1"/>
  <c r="A20" i="3" s="1"/>
  <c r="A392" i="1"/>
  <c r="A19" i="3" s="1" a="1"/>
  <c r="A19" i="3" s="1"/>
  <c r="B19" i="3" s="1"/>
  <c r="A391" i="1"/>
  <c r="A18" i="3" s="1" a="1"/>
  <c r="A18" i="3" s="1"/>
  <c r="C18" i="3" s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146" i="3" s="1" a="1"/>
  <c r="A146" i="3" s="1"/>
  <c r="A309" i="1"/>
  <c r="A308" i="1"/>
  <c r="A128" i="3" s="1" a="1"/>
  <c r="A128" i="3" s="1"/>
  <c r="A307" i="1"/>
  <c r="A205" i="3" s="1" a="1"/>
  <c r="A205" i="3" s="1"/>
  <c r="A306" i="1"/>
  <c r="A200" i="3" s="1" a="1"/>
  <c r="A200" i="3" s="1"/>
  <c r="B200" i="3" s="1"/>
  <c r="A305" i="1"/>
  <c r="A41" i="3" s="1" a="1"/>
  <c r="A41" i="3" s="1"/>
  <c r="B41" i="3" s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  <c r="B35" i="3" l="1"/>
  <c r="D35" i="3"/>
  <c r="C35" i="3"/>
  <c r="C30" i="3"/>
  <c r="D30" i="3"/>
  <c r="B30" i="3"/>
  <c r="D7" i="3"/>
  <c r="C7" i="3"/>
  <c r="B7" i="3"/>
  <c r="A10" i="3" a="1"/>
  <c r="A10" i="3" s="1"/>
  <c r="D12" i="3"/>
  <c r="C2" i="3"/>
  <c r="D31" i="3"/>
  <c r="C31" i="3"/>
  <c r="D2" i="3"/>
  <c r="A13" i="3" a="1"/>
  <c r="A13" i="3" s="1"/>
  <c r="B13" i="3" s="1"/>
  <c r="A198" i="3" a="1"/>
  <c r="A198" i="3" s="1"/>
  <c r="D198" i="3" s="1"/>
  <c r="D18" i="3"/>
  <c r="A204" i="3" a="1"/>
  <c r="A204" i="3" s="1"/>
  <c r="A61" i="3" a="1"/>
  <c r="A61" i="3" s="1"/>
  <c r="D61" i="3" s="1"/>
  <c r="C64" i="3"/>
  <c r="B64" i="3"/>
  <c r="D64" i="3"/>
  <c r="C107" i="3"/>
  <c r="D107" i="3"/>
  <c r="B107" i="3"/>
  <c r="B20" i="3"/>
  <c r="D20" i="3"/>
  <c r="C20" i="3"/>
  <c r="C93" i="3"/>
  <c r="D93" i="3"/>
  <c r="B93" i="3"/>
  <c r="C15" i="3"/>
  <c r="B15" i="3"/>
  <c r="D15" i="3"/>
  <c r="B128" i="3"/>
  <c r="D128" i="3"/>
  <c r="C128" i="3"/>
  <c r="B146" i="3"/>
  <c r="C146" i="3"/>
  <c r="D146" i="3"/>
  <c r="A4" i="3" a="1"/>
  <c r="A4" i="3" s="1"/>
  <c r="A25" i="3" a="1"/>
  <c r="A25" i="3" s="1"/>
  <c r="B24" i="3"/>
  <c r="D24" i="3"/>
  <c r="D187" i="3"/>
  <c r="C187" i="3"/>
  <c r="D5" i="3"/>
  <c r="B5" i="3"/>
  <c r="C5" i="3"/>
  <c r="A170" i="3" a="1"/>
  <c r="A170" i="3" s="1"/>
  <c r="A206" i="3" a="1"/>
  <c r="A206" i="3" s="1"/>
  <c r="A152" i="3" a="1"/>
  <c r="A152" i="3" s="1"/>
  <c r="A116" i="3" a="1"/>
  <c r="A116" i="3" s="1"/>
  <c r="A98" i="3" a="1"/>
  <c r="A98" i="3" s="1"/>
  <c r="A62" i="3" a="1"/>
  <c r="A62" i="3" s="1"/>
  <c r="A202" i="3" a="1"/>
  <c r="A202" i="3" s="1"/>
  <c r="A166" i="3" a="1"/>
  <c r="A166" i="3" s="1"/>
  <c r="A148" i="3" a="1"/>
  <c r="A148" i="3" s="1"/>
  <c r="A112" i="3" a="1"/>
  <c r="A112" i="3" s="1"/>
  <c r="A94" i="3" a="1"/>
  <c r="A94" i="3" s="1"/>
  <c r="A58" i="3" a="1"/>
  <c r="A58" i="3" s="1"/>
  <c r="A182" i="3" a="1"/>
  <c r="A182" i="3" s="1"/>
  <c r="A86" i="3" a="1"/>
  <c r="A86" i="3" s="1"/>
  <c r="A90" i="3" a="1"/>
  <c r="A90" i="3" s="1"/>
  <c r="A50" i="3" a="1"/>
  <c r="A50" i="3" s="1"/>
  <c r="A54" i="3" a="1"/>
  <c r="A54" i="3" s="1"/>
  <c r="A214" i="3" a="1"/>
  <c r="A214" i="3" s="1"/>
  <c r="A46" i="3" a="1"/>
  <c r="A46" i="3" s="1"/>
  <c r="A132" i="3" a="1"/>
  <c r="A132" i="3" s="1"/>
  <c r="A140" i="3" a="1"/>
  <c r="A140" i="3" s="1"/>
  <c r="A78" i="3" a="1"/>
  <c r="A78" i="3" s="1"/>
  <c r="A186" i="3" a="1"/>
  <c r="A186" i="3" s="1"/>
  <c r="A120" i="3" a="1"/>
  <c r="A120" i="3" s="1"/>
  <c r="A178" i="3" a="1"/>
  <c r="A178" i="3" s="1"/>
  <c r="A156" i="3" a="1"/>
  <c r="A156" i="3" s="1"/>
  <c r="A106" i="3" a="1"/>
  <c r="A106" i="3" s="1"/>
  <c r="A210" i="3" a="1"/>
  <c r="A210" i="3" s="1"/>
  <c r="A174" i="3" a="1"/>
  <c r="A174" i="3" s="1"/>
  <c r="C204" i="3"/>
  <c r="D204" i="3"/>
  <c r="B204" i="3"/>
  <c r="C14" i="3"/>
  <c r="A102" i="3" a="1"/>
  <c r="A102" i="3" s="1"/>
  <c r="A144" i="3" a="1"/>
  <c r="A144" i="3" s="1"/>
  <c r="A36" i="3" a="1"/>
  <c r="A36" i="3" s="1"/>
  <c r="C61" i="3"/>
  <c r="A160" i="3" a="1"/>
  <c r="A160" i="3" s="1"/>
  <c r="B28" i="3"/>
  <c r="D28" i="3"/>
  <c r="C28" i="3"/>
  <c r="B161" i="3"/>
  <c r="D161" i="3"/>
  <c r="C161" i="3"/>
  <c r="A188" i="3" a="1"/>
  <c r="A188" i="3" s="1"/>
  <c r="A134" i="3" a="1"/>
  <c r="A134" i="3" s="1"/>
  <c r="A80" i="3" a="1"/>
  <c r="A80" i="3" s="1"/>
  <c r="A184" i="3" a="1"/>
  <c r="A184" i="3" s="1"/>
  <c r="A130" i="3" a="1"/>
  <c r="A130" i="3" s="1"/>
  <c r="A76" i="3" a="1"/>
  <c r="A76" i="3" s="1"/>
  <c r="A172" i="3" a="1"/>
  <c r="A172" i="3" s="1"/>
  <c r="A114" i="3" a="1"/>
  <c r="A114" i="3" s="1"/>
  <c r="A100" i="3" a="1"/>
  <c r="A100" i="3" s="1"/>
  <c r="A72" i="3" a="1"/>
  <c r="A72" i="3" s="1"/>
  <c r="A192" i="3" a="1"/>
  <c r="A192" i="3" s="1"/>
  <c r="A176" i="3" a="1"/>
  <c r="A176" i="3" s="1"/>
  <c r="A142" i="3" a="1"/>
  <c r="A142" i="3" s="1"/>
  <c r="A208" i="3" a="1"/>
  <c r="A208" i="3" s="1"/>
  <c r="A118" i="3" a="1"/>
  <c r="A118" i="3" s="1"/>
  <c r="A104" i="3" a="1"/>
  <c r="A104" i="3" s="1"/>
  <c r="A158" i="3" a="1"/>
  <c r="A158" i="3" s="1"/>
  <c r="A56" i="3" a="1"/>
  <c r="A56" i="3" s="1"/>
  <c r="A164" i="3" a="1"/>
  <c r="A164" i="3" s="1"/>
  <c r="A92" i="3" a="1"/>
  <c r="A92" i="3" s="1"/>
  <c r="A52" i="3" a="1"/>
  <c r="A52" i="3" s="1"/>
  <c r="A126" i="3" a="1"/>
  <c r="A126" i="3" s="1"/>
  <c r="A48" i="3" a="1"/>
  <c r="A48" i="3" s="1"/>
  <c r="A212" i="3" a="1"/>
  <c r="A212" i="3" s="1"/>
  <c r="A180" i="3" a="1"/>
  <c r="A180" i="3" s="1"/>
  <c r="A150" i="3" a="1"/>
  <c r="A150" i="3" s="1"/>
  <c r="A60" i="3" a="1"/>
  <c r="A60" i="3" s="1"/>
  <c r="C24" i="3"/>
  <c r="A74" i="3" a="1"/>
  <c r="A74" i="3" s="1"/>
  <c r="A88" i="3" a="1"/>
  <c r="A88" i="3" s="1"/>
  <c r="C159" i="3"/>
  <c r="B159" i="3"/>
  <c r="D205" i="3"/>
  <c r="C205" i="3"/>
  <c r="D14" i="3"/>
  <c r="A26" i="3" a="1"/>
  <c r="A26" i="3" s="1"/>
  <c r="D159" i="3"/>
  <c r="B205" i="3"/>
  <c r="B61" i="3"/>
  <c r="A190" i="3" a="1"/>
  <c r="A190" i="3" s="1"/>
  <c r="B18" i="3"/>
  <c r="A162" i="3" a="1"/>
  <c r="A162" i="3" s="1"/>
  <c r="A163" i="3" a="1"/>
  <c r="A163" i="3" s="1"/>
  <c r="A145" i="3" a="1"/>
  <c r="A145" i="3" s="1"/>
  <c r="A109" i="3" a="1"/>
  <c r="A109" i="3" s="1"/>
  <c r="A91" i="3" a="1"/>
  <c r="A91" i="3" s="1"/>
  <c r="A55" i="3" a="1"/>
  <c r="A55" i="3" s="1"/>
  <c r="A191" i="3" a="1"/>
  <c r="A191" i="3" s="1"/>
  <c r="A137" i="3" a="1"/>
  <c r="A137" i="3" s="1"/>
  <c r="A211" i="3" a="1"/>
  <c r="A211" i="3" s="1"/>
  <c r="A175" i="3" a="1"/>
  <c r="A175" i="3" s="1"/>
  <c r="A157" i="3" a="1"/>
  <c r="A157" i="3" s="1"/>
  <c r="A121" i="3" a="1"/>
  <c r="A121" i="3" s="1"/>
  <c r="A103" i="3" a="1"/>
  <c r="A103" i="3" s="1"/>
  <c r="A95" i="3" a="1"/>
  <c r="A95" i="3" s="1"/>
  <c r="A59" i="3" a="1"/>
  <c r="A59" i="3" s="1"/>
  <c r="A167" i="3" a="1"/>
  <c r="A167" i="3" s="1"/>
  <c r="A203" i="3" a="1"/>
  <c r="A203" i="3" s="1"/>
  <c r="A63" i="3" a="1"/>
  <c r="A63" i="3" s="1"/>
  <c r="A75" i="3" a="1"/>
  <c r="A75" i="3" s="1"/>
  <c r="A183" i="3" a="1"/>
  <c r="A183" i="3" s="1"/>
  <c r="A87" i="3" a="1"/>
  <c r="A87" i="3" s="1"/>
  <c r="A47" i="3" a="1"/>
  <c r="A47" i="3" s="1"/>
  <c r="A179" i="3" a="1"/>
  <c r="A179" i="3" s="1"/>
  <c r="A171" i="3" a="1"/>
  <c r="A171" i="3" s="1"/>
  <c r="A141" i="3" a="1"/>
  <c r="A141" i="3" s="1"/>
  <c r="A113" i="3" a="1"/>
  <c r="A113" i="3" s="1"/>
  <c r="A99" i="3" a="1"/>
  <c r="A99" i="3" s="1"/>
  <c r="A133" i="3" a="1"/>
  <c r="A133" i="3" s="1"/>
  <c r="A149" i="3" a="1"/>
  <c r="A149" i="3" s="1"/>
  <c r="A71" i="3" a="1"/>
  <c r="A71" i="3" s="1"/>
  <c r="A207" i="3" a="1"/>
  <c r="A207" i="3" s="1"/>
  <c r="A117" i="3" a="1"/>
  <c r="A117" i="3" s="1"/>
  <c r="A129" i="3" a="1"/>
  <c r="A129" i="3" s="1"/>
  <c r="C105" i="3"/>
  <c r="B105" i="3"/>
  <c r="D105" i="3"/>
  <c r="D19" i="3"/>
  <c r="C19" i="3"/>
  <c r="A51" i="3" a="1"/>
  <c r="A51" i="3" s="1"/>
  <c r="D40" i="3"/>
  <c r="C40" i="3"/>
  <c r="B40" i="3"/>
  <c r="A66" i="3" a="1"/>
  <c r="A66" i="3" s="1"/>
  <c r="A79" i="3" a="1"/>
  <c r="A79" i="3" s="1"/>
  <c r="A67" i="3" a="1"/>
  <c r="A67" i="3" s="1"/>
  <c r="A108" i="3" a="1"/>
  <c r="A108" i="3" s="1"/>
  <c r="A136" i="3" a="1"/>
  <c r="A136" i="3" s="1"/>
  <c r="B10" i="3"/>
  <c r="D10" i="3"/>
  <c r="C10" i="3"/>
  <c r="C122" i="3"/>
  <c r="D122" i="3"/>
  <c r="B122" i="3"/>
  <c r="A37" i="3" a="1"/>
  <c r="A37" i="3" s="1"/>
  <c r="A16" i="3" a="1"/>
  <c r="A16" i="3" s="1"/>
  <c r="C3" i="3"/>
  <c r="B3" i="3"/>
  <c r="B11" i="3"/>
  <c r="D11" i="3"/>
  <c r="A68" i="3" a="1"/>
  <c r="A68" i="3" s="1"/>
  <c r="C198" i="3"/>
  <c r="B198" i="3"/>
  <c r="A38" i="3" a="1"/>
  <c r="A38" i="3" s="1"/>
  <c r="A17" i="3" a="1"/>
  <c r="A17" i="3" s="1"/>
  <c r="C11" i="3"/>
  <c r="A82" i="3" a="1"/>
  <c r="A82" i="3" s="1"/>
  <c r="A96" i="3" a="1"/>
  <c r="A96" i="3" s="1"/>
  <c r="A138" i="3" a="1"/>
  <c r="A138" i="3" s="1"/>
  <c r="D21" i="3"/>
  <c r="B21" i="3"/>
  <c r="C21" i="3"/>
  <c r="C39" i="3"/>
  <c r="B39" i="3"/>
  <c r="B32" i="3"/>
  <c r="C32" i="3"/>
  <c r="D32" i="3"/>
  <c r="A110" i="3" a="1"/>
  <c r="A110" i="3" s="1"/>
  <c r="A124" i="3" a="1"/>
  <c r="A124" i="3" s="1"/>
  <c r="A153" i="3" a="1"/>
  <c r="A153" i="3" s="1"/>
  <c r="A168" i="3" a="1"/>
  <c r="A168" i="3" s="1"/>
  <c r="A215" i="3" a="1"/>
  <c r="A215" i="3" s="1"/>
  <c r="D41" i="3"/>
  <c r="C41" i="3"/>
  <c r="C23" i="3"/>
  <c r="B23" i="3"/>
  <c r="A83" i="3" a="1"/>
  <c r="A83" i="3" s="1"/>
  <c r="A125" i="3" a="1"/>
  <c r="A125" i="3" s="1"/>
  <c r="A154" i="3" a="1"/>
  <c r="A154" i="3" s="1"/>
  <c r="D169" i="3"/>
  <c r="C169" i="3"/>
  <c r="A70" i="3" a="1"/>
  <c r="A70" i="3" s="1"/>
  <c r="B97" i="3"/>
  <c r="B111" i="3"/>
  <c r="C200" i="3"/>
  <c r="A216" i="3" a="1"/>
  <c r="A216" i="3" s="1"/>
  <c r="A181" i="3" a="1"/>
  <c r="A181" i="3" s="1"/>
  <c r="A127" i="3" a="1"/>
  <c r="A127" i="3" s="1"/>
  <c r="A73" i="3" a="1"/>
  <c r="A73" i="3" s="1"/>
  <c r="A213" i="3" a="1"/>
  <c r="A213" i="3" s="1"/>
  <c r="A209" i="3" a="1"/>
  <c r="A209" i="3" s="1"/>
  <c r="A173" i="3" a="1"/>
  <c r="A173" i="3" s="1"/>
  <c r="A155" i="3" a="1"/>
  <c r="A155" i="3" s="1"/>
  <c r="A139" i="3" a="1"/>
  <c r="A139" i="3" s="1"/>
  <c r="A85" i="3" a="1"/>
  <c r="A85" i="3" s="1"/>
  <c r="A177" i="3" a="1"/>
  <c r="A177" i="3" s="1"/>
  <c r="A147" i="3" a="1"/>
  <c r="A147" i="3" s="1"/>
  <c r="A123" i="3" a="1"/>
  <c r="A123" i="3" s="1"/>
  <c r="A77" i="3" a="1"/>
  <c r="A77" i="3" s="1"/>
  <c r="A151" i="3" a="1"/>
  <c r="A151" i="3" s="1"/>
  <c r="A81" i="3" a="1"/>
  <c r="A81" i="3" s="1"/>
  <c r="A201" i="3" a="1"/>
  <c r="A201" i="3" s="1"/>
  <c r="A165" i="3" a="1"/>
  <c r="A165" i="3" s="1"/>
  <c r="A89" i="3" a="1"/>
  <c r="A89" i="3" s="1"/>
  <c r="A49" i="3" a="1"/>
  <c r="A49" i="3" s="1"/>
  <c r="A65" i="3" a="1"/>
  <c r="A65" i="3" s="1"/>
  <c r="A185" i="3" a="1"/>
  <c r="A185" i="3" s="1"/>
  <c r="A119" i="3" a="1"/>
  <c r="A119" i="3" s="1"/>
  <c r="A45" i="3" a="1"/>
  <c r="A45" i="3" s="1"/>
  <c r="A131" i="3" a="1"/>
  <c r="A131" i="3" s="1"/>
  <c r="A69" i="3" a="1"/>
  <c r="A69" i="3" s="1"/>
  <c r="A189" i="3" a="1"/>
  <c r="A189" i="3" s="1"/>
  <c r="A115" i="3" a="1"/>
  <c r="A115" i="3" s="1"/>
  <c r="A101" i="3" a="1"/>
  <c r="A101" i="3" s="1"/>
  <c r="A143" i="3" a="1"/>
  <c r="A143" i="3" s="1"/>
  <c r="A135" i="3" a="1"/>
  <c r="A135" i="3" s="1"/>
  <c r="A53" i="3" a="1"/>
  <c r="A53" i="3" s="1"/>
  <c r="A220" i="3" a="1"/>
  <c r="A220" i="3" s="1"/>
  <c r="A218" i="3" a="1"/>
  <c r="A218" i="3" s="1"/>
  <c r="D23" i="3"/>
  <c r="A57" i="3" a="1"/>
  <c r="A57" i="3" s="1"/>
  <c r="A84" i="3" a="1"/>
  <c r="A84" i="3" s="1"/>
  <c r="C97" i="3"/>
  <c r="C111" i="3"/>
  <c r="B169" i="3"/>
  <c r="D200" i="3"/>
  <c r="C12" i="3"/>
  <c r="A199" i="3" a="1"/>
  <c r="A199" i="3" s="1"/>
  <c r="A195" i="3" a="1"/>
  <c r="A195" i="3" s="1"/>
  <c r="A193" i="3" a="1"/>
  <c r="A193" i="3" s="1"/>
  <c r="A197" i="3" a="1"/>
  <c r="A197" i="3" s="1"/>
  <c r="A1" i="3" a="1"/>
  <c r="A1" i="3" s="1"/>
  <c r="A22" i="3" a="1"/>
  <c r="A22" i="3" s="1"/>
  <c r="A43" i="3" a="1"/>
  <c r="A43" i="3" s="1"/>
  <c r="A44" i="3" a="1"/>
  <c r="A44" i="3" s="1"/>
  <c r="A42" i="3" a="1"/>
  <c r="A42" i="3" s="1"/>
  <c r="A196" i="3" a="1"/>
  <c r="A196" i="3" s="1"/>
  <c r="A217" i="3" a="1"/>
  <c r="A217" i="3" s="1"/>
  <c r="A219" i="3" a="1"/>
  <c r="A219" i="3" s="1"/>
  <c r="D9" i="3"/>
  <c r="B9" i="3"/>
  <c r="C9" i="3"/>
  <c r="A29" i="3" a="1"/>
  <c r="A29" i="3" s="1"/>
  <c r="A8" i="3" a="1"/>
  <c r="A8" i="3" s="1"/>
  <c r="A194" i="3" a="1"/>
  <c r="A194" i="3" s="1"/>
  <c r="A27" i="3" a="1"/>
  <c r="A27" i="3" s="1"/>
  <c r="C33" i="3"/>
  <c r="D33" i="3"/>
  <c r="B33" i="3"/>
  <c r="D13" i="3" l="1"/>
  <c r="C13" i="3"/>
  <c r="C89" i="3"/>
  <c r="B89" i="3"/>
  <c r="D89" i="3"/>
  <c r="D216" i="3"/>
  <c r="C216" i="3"/>
  <c r="B216" i="3"/>
  <c r="B168" i="3"/>
  <c r="D168" i="3"/>
  <c r="C168" i="3"/>
  <c r="B67" i="3"/>
  <c r="D67" i="3"/>
  <c r="C67" i="3"/>
  <c r="C99" i="3"/>
  <c r="D99" i="3"/>
  <c r="B99" i="3"/>
  <c r="D211" i="3"/>
  <c r="C211" i="3"/>
  <c r="B211" i="3"/>
  <c r="C208" i="3"/>
  <c r="B208" i="3"/>
  <c r="D208" i="3"/>
  <c r="D78" i="3"/>
  <c r="B78" i="3"/>
  <c r="C78" i="3"/>
  <c r="B116" i="3"/>
  <c r="D116" i="3"/>
  <c r="C116" i="3"/>
  <c r="C219" i="3"/>
  <c r="B219" i="3"/>
  <c r="D219" i="3"/>
  <c r="C57" i="3"/>
  <c r="D57" i="3"/>
  <c r="B57" i="3"/>
  <c r="C165" i="3"/>
  <c r="B165" i="3"/>
  <c r="D165" i="3"/>
  <c r="C153" i="3"/>
  <c r="B153" i="3"/>
  <c r="D153" i="3"/>
  <c r="D79" i="3"/>
  <c r="C79" i="3"/>
  <c r="B79" i="3"/>
  <c r="B113" i="3"/>
  <c r="D113" i="3"/>
  <c r="C113" i="3"/>
  <c r="D137" i="3"/>
  <c r="B137" i="3"/>
  <c r="C137" i="3"/>
  <c r="D142" i="3"/>
  <c r="B142" i="3"/>
  <c r="C142" i="3"/>
  <c r="D140" i="3"/>
  <c r="C140" i="3"/>
  <c r="B140" i="3"/>
  <c r="B152" i="3"/>
  <c r="C152" i="3"/>
  <c r="D152" i="3"/>
  <c r="B127" i="3"/>
  <c r="D127" i="3"/>
  <c r="C127" i="3"/>
  <c r="C181" i="3"/>
  <c r="D181" i="3"/>
  <c r="B181" i="3"/>
  <c r="D160" i="3"/>
  <c r="B160" i="3"/>
  <c r="C160" i="3"/>
  <c r="C132" i="3"/>
  <c r="B132" i="3"/>
  <c r="D132" i="3"/>
  <c r="B206" i="3"/>
  <c r="D206" i="3"/>
  <c r="C206" i="3"/>
  <c r="D17" i="3"/>
  <c r="C17" i="3"/>
  <c r="B17" i="3"/>
  <c r="C49" i="3"/>
  <c r="B49" i="3"/>
  <c r="D49" i="3"/>
  <c r="B186" i="3"/>
  <c r="D186" i="3"/>
  <c r="C186" i="3"/>
  <c r="D124" i="3"/>
  <c r="B124" i="3"/>
  <c r="C124" i="3"/>
  <c r="D196" i="3"/>
  <c r="C196" i="3"/>
  <c r="B196" i="3"/>
  <c r="B74" i="3"/>
  <c r="C74" i="3"/>
  <c r="D74" i="3"/>
  <c r="D192" i="3"/>
  <c r="C192" i="3"/>
  <c r="B192" i="3"/>
  <c r="B46" i="3"/>
  <c r="C46" i="3"/>
  <c r="D46" i="3"/>
  <c r="B170" i="3"/>
  <c r="C170" i="3"/>
  <c r="D170" i="3"/>
  <c r="D65" i="3"/>
  <c r="B65" i="3"/>
  <c r="C65" i="3"/>
  <c r="B157" i="3"/>
  <c r="C157" i="3"/>
  <c r="D157" i="3"/>
  <c r="D201" i="3"/>
  <c r="B201" i="3"/>
  <c r="C201" i="3"/>
  <c r="D176" i="3"/>
  <c r="C176" i="3"/>
  <c r="B176" i="3"/>
  <c r="D91" i="3"/>
  <c r="C91" i="3"/>
  <c r="B91" i="3"/>
  <c r="C72" i="3"/>
  <c r="D72" i="3"/>
  <c r="B72" i="3"/>
  <c r="C36" i="3"/>
  <c r="B36" i="3"/>
  <c r="D36" i="3"/>
  <c r="D214" i="3"/>
  <c r="B214" i="3"/>
  <c r="C214" i="3"/>
  <c r="C104" i="3"/>
  <c r="B104" i="3"/>
  <c r="D104" i="3"/>
  <c r="C118" i="3"/>
  <c r="B118" i="3"/>
  <c r="D118" i="3"/>
  <c r="D88" i="3"/>
  <c r="C88" i="3"/>
  <c r="B88" i="3"/>
  <c r="B55" i="3"/>
  <c r="D55" i="3"/>
  <c r="C55" i="3"/>
  <c r="B53" i="3"/>
  <c r="D53" i="3"/>
  <c r="C53" i="3"/>
  <c r="D47" i="3"/>
  <c r="B47" i="3"/>
  <c r="C47" i="3"/>
  <c r="C144" i="3"/>
  <c r="B144" i="3"/>
  <c r="D144" i="3"/>
  <c r="C54" i="3"/>
  <c r="D54" i="3"/>
  <c r="B54" i="3"/>
  <c r="B98" i="3"/>
  <c r="C98" i="3"/>
  <c r="D98" i="3"/>
  <c r="B110" i="3"/>
  <c r="C110" i="3"/>
  <c r="D110" i="3"/>
  <c r="D70" i="3"/>
  <c r="C70" i="3"/>
  <c r="B70" i="3"/>
  <c r="C51" i="3"/>
  <c r="B51" i="3"/>
  <c r="D51" i="3"/>
  <c r="C120" i="3"/>
  <c r="B120" i="3"/>
  <c r="D120" i="3"/>
  <c r="B175" i="3"/>
  <c r="D175" i="3"/>
  <c r="C175" i="3"/>
  <c r="C84" i="3"/>
  <c r="D84" i="3"/>
  <c r="B84" i="3"/>
  <c r="B218" i="3"/>
  <c r="D218" i="3"/>
  <c r="C218" i="3"/>
  <c r="C171" i="3"/>
  <c r="D171" i="3"/>
  <c r="B171" i="3"/>
  <c r="D151" i="3"/>
  <c r="C151" i="3"/>
  <c r="B151" i="3"/>
  <c r="D77" i="3"/>
  <c r="C77" i="3"/>
  <c r="B77" i="3"/>
  <c r="C87" i="3"/>
  <c r="B87" i="3"/>
  <c r="D87" i="3"/>
  <c r="C145" i="3"/>
  <c r="D145" i="3"/>
  <c r="B145" i="3"/>
  <c r="B150" i="3"/>
  <c r="D150" i="3"/>
  <c r="C150" i="3"/>
  <c r="D114" i="3"/>
  <c r="B114" i="3"/>
  <c r="C114" i="3"/>
  <c r="C102" i="3"/>
  <c r="D102" i="3"/>
  <c r="B102" i="3"/>
  <c r="C50" i="3"/>
  <c r="B50" i="3"/>
  <c r="D50" i="3"/>
  <c r="D22" i="3"/>
  <c r="B22" i="3"/>
  <c r="C22" i="3"/>
  <c r="B143" i="3"/>
  <c r="D143" i="3"/>
  <c r="C143" i="3"/>
  <c r="D147" i="3"/>
  <c r="C147" i="3"/>
  <c r="B147" i="3"/>
  <c r="C183" i="3"/>
  <c r="B183" i="3"/>
  <c r="D183" i="3"/>
  <c r="C163" i="3"/>
  <c r="D163" i="3"/>
  <c r="B163" i="3"/>
  <c r="C180" i="3"/>
  <c r="B180" i="3"/>
  <c r="D180" i="3"/>
  <c r="D172" i="3"/>
  <c r="B172" i="3"/>
  <c r="C172" i="3"/>
  <c r="C90" i="3"/>
  <c r="D90" i="3"/>
  <c r="B90" i="3"/>
  <c r="B136" i="3"/>
  <c r="D136" i="3"/>
  <c r="C136" i="3"/>
  <c r="D38" i="3"/>
  <c r="C38" i="3"/>
  <c r="B38" i="3"/>
  <c r="C108" i="3"/>
  <c r="D108" i="3"/>
  <c r="B108" i="3"/>
  <c r="B215" i="3"/>
  <c r="D215" i="3"/>
  <c r="C215" i="3"/>
  <c r="D191" i="3"/>
  <c r="C191" i="3"/>
  <c r="B191" i="3"/>
  <c r="C81" i="3"/>
  <c r="D81" i="3"/>
  <c r="B81" i="3"/>
  <c r="D42" i="3"/>
  <c r="C42" i="3"/>
  <c r="B42" i="3"/>
  <c r="D100" i="3"/>
  <c r="B100" i="3"/>
  <c r="C100" i="3"/>
  <c r="B149" i="3"/>
  <c r="D149" i="3"/>
  <c r="C149" i="3"/>
  <c r="D133" i="3"/>
  <c r="B133" i="3"/>
  <c r="C133" i="3"/>
  <c r="C141" i="3"/>
  <c r="B141" i="3"/>
  <c r="D141" i="3"/>
  <c r="D220" i="3"/>
  <c r="C220" i="3"/>
  <c r="B220" i="3"/>
  <c r="D43" i="3"/>
  <c r="B43" i="3"/>
  <c r="C43" i="3"/>
  <c r="B62" i="3"/>
  <c r="D62" i="3"/>
  <c r="C62" i="3"/>
  <c r="D217" i="3"/>
  <c r="C217" i="3"/>
  <c r="B217" i="3"/>
  <c r="C66" i="3"/>
  <c r="D66" i="3"/>
  <c r="B66" i="3"/>
  <c r="D68" i="3"/>
  <c r="C68" i="3"/>
  <c r="B68" i="3"/>
  <c r="D179" i="3"/>
  <c r="C179" i="3"/>
  <c r="B179" i="3"/>
  <c r="C135" i="3"/>
  <c r="B135" i="3"/>
  <c r="D135" i="3"/>
  <c r="D1" i="3"/>
  <c r="B1" i="3"/>
  <c r="C1" i="3"/>
  <c r="D86" i="3"/>
  <c r="B86" i="3"/>
  <c r="C86" i="3"/>
  <c r="D197" i="3"/>
  <c r="B197" i="3"/>
  <c r="C197" i="3"/>
  <c r="D115" i="3"/>
  <c r="B115" i="3"/>
  <c r="C115" i="3"/>
  <c r="C37" i="3"/>
  <c r="D37" i="3"/>
  <c r="B37" i="3"/>
  <c r="D63" i="3"/>
  <c r="C63" i="3"/>
  <c r="B63" i="3"/>
  <c r="D130" i="3"/>
  <c r="C130" i="3"/>
  <c r="B130" i="3"/>
  <c r="D193" i="3"/>
  <c r="C193" i="3"/>
  <c r="B193" i="3"/>
  <c r="C189" i="3"/>
  <c r="B189" i="3"/>
  <c r="D189" i="3"/>
  <c r="D154" i="3"/>
  <c r="C154" i="3"/>
  <c r="B154" i="3"/>
  <c r="C126" i="3"/>
  <c r="D126" i="3"/>
  <c r="B126" i="3"/>
  <c r="D58" i="3"/>
  <c r="C58" i="3"/>
  <c r="B58" i="3"/>
  <c r="D155" i="3"/>
  <c r="B155" i="3"/>
  <c r="C155" i="3"/>
  <c r="C52" i="3"/>
  <c r="B52" i="3"/>
  <c r="D52" i="3"/>
  <c r="D94" i="3"/>
  <c r="C94" i="3"/>
  <c r="B94" i="3"/>
  <c r="C199" i="3"/>
  <c r="D199" i="3"/>
  <c r="B199" i="3"/>
  <c r="D83" i="3"/>
  <c r="B83" i="3"/>
  <c r="C83" i="3"/>
  <c r="B129" i="3"/>
  <c r="D129" i="3"/>
  <c r="C129" i="3"/>
  <c r="B210" i="3"/>
  <c r="D210" i="3"/>
  <c r="C210" i="3"/>
  <c r="D45" i="3"/>
  <c r="C45" i="3"/>
  <c r="B45" i="3"/>
  <c r="C96" i="3"/>
  <c r="D96" i="3"/>
  <c r="B96" i="3"/>
  <c r="C117" i="3"/>
  <c r="B117" i="3"/>
  <c r="D117" i="3"/>
  <c r="C95" i="3"/>
  <c r="B95" i="3"/>
  <c r="D95" i="3"/>
  <c r="B164" i="3"/>
  <c r="D164" i="3"/>
  <c r="C164" i="3"/>
  <c r="B188" i="3"/>
  <c r="D188" i="3"/>
  <c r="C188" i="3"/>
  <c r="D106" i="3"/>
  <c r="C106" i="3"/>
  <c r="B106" i="3"/>
  <c r="D148" i="3"/>
  <c r="C148" i="3"/>
  <c r="B148" i="3"/>
  <c r="D85" i="3"/>
  <c r="C85" i="3"/>
  <c r="B85" i="3"/>
  <c r="C48" i="3"/>
  <c r="D48" i="3"/>
  <c r="B48" i="3"/>
  <c r="B182" i="3"/>
  <c r="D182" i="3"/>
  <c r="C182" i="3"/>
  <c r="C203" i="3"/>
  <c r="B203" i="3"/>
  <c r="D203" i="3"/>
  <c r="D184" i="3"/>
  <c r="C184" i="3"/>
  <c r="B184" i="3"/>
  <c r="C195" i="3"/>
  <c r="B195" i="3"/>
  <c r="D195" i="3"/>
  <c r="D125" i="3"/>
  <c r="C125" i="3"/>
  <c r="B125" i="3"/>
  <c r="D174" i="3"/>
  <c r="B174" i="3"/>
  <c r="C174" i="3"/>
  <c r="D27" i="3"/>
  <c r="C27" i="3"/>
  <c r="B27" i="3"/>
  <c r="D131" i="3"/>
  <c r="B131" i="3"/>
  <c r="C131" i="3"/>
  <c r="C138" i="3"/>
  <c r="D138" i="3"/>
  <c r="B138" i="3"/>
  <c r="C59" i="3"/>
  <c r="B59" i="3"/>
  <c r="D59" i="3"/>
  <c r="B134" i="3"/>
  <c r="C134" i="3"/>
  <c r="D134" i="3"/>
  <c r="D4" i="3"/>
  <c r="C4" i="3"/>
  <c r="B4" i="3"/>
  <c r="D194" i="3"/>
  <c r="B194" i="3"/>
  <c r="C194" i="3"/>
  <c r="D209" i="3"/>
  <c r="C209" i="3"/>
  <c r="B209" i="3"/>
  <c r="B8" i="3"/>
  <c r="D8" i="3"/>
  <c r="C8" i="3"/>
  <c r="D119" i="3"/>
  <c r="B119" i="3"/>
  <c r="C119" i="3"/>
  <c r="C213" i="3"/>
  <c r="B213" i="3"/>
  <c r="D213" i="3"/>
  <c r="C82" i="3"/>
  <c r="D82" i="3"/>
  <c r="B82" i="3"/>
  <c r="C207" i="3"/>
  <c r="B207" i="3"/>
  <c r="D207" i="3"/>
  <c r="C103" i="3"/>
  <c r="B103" i="3"/>
  <c r="D103" i="3"/>
  <c r="B26" i="3"/>
  <c r="D26" i="3"/>
  <c r="C26" i="3"/>
  <c r="C56" i="3"/>
  <c r="B56" i="3"/>
  <c r="D56" i="3"/>
  <c r="C156" i="3"/>
  <c r="D156" i="3"/>
  <c r="B156" i="3"/>
  <c r="D166" i="3"/>
  <c r="C166" i="3"/>
  <c r="B166" i="3"/>
  <c r="B44" i="3"/>
  <c r="D44" i="3"/>
  <c r="C44" i="3"/>
  <c r="C109" i="3"/>
  <c r="B109" i="3"/>
  <c r="D109" i="3"/>
  <c r="B60" i="3"/>
  <c r="D60" i="3"/>
  <c r="C60" i="3"/>
  <c r="C123" i="3"/>
  <c r="B123" i="3"/>
  <c r="D123" i="3"/>
  <c r="D101" i="3"/>
  <c r="B101" i="3"/>
  <c r="C101" i="3"/>
  <c r="C177" i="3"/>
  <c r="B177" i="3"/>
  <c r="D177" i="3"/>
  <c r="B16" i="3"/>
  <c r="D16" i="3"/>
  <c r="C16" i="3"/>
  <c r="C75" i="3"/>
  <c r="B75" i="3"/>
  <c r="D75" i="3"/>
  <c r="C162" i="3"/>
  <c r="B162" i="3"/>
  <c r="D162" i="3"/>
  <c r="D212" i="3"/>
  <c r="B212" i="3"/>
  <c r="C212" i="3"/>
  <c r="D76" i="3"/>
  <c r="C76" i="3"/>
  <c r="B76" i="3"/>
  <c r="D139" i="3"/>
  <c r="C139" i="3"/>
  <c r="B139" i="3"/>
  <c r="B190" i="3"/>
  <c r="D190" i="3"/>
  <c r="C190" i="3"/>
  <c r="C69" i="3"/>
  <c r="B69" i="3"/>
  <c r="D69" i="3"/>
  <c r="B167" i="3"/>
  <c r="D167" i="3"/>
  <c r="C167" i="3"/>
  <c r="B80" i="3"/>
  <c r="C80" i="3"/>
  <c r="D80" i="3"/>
  <c r="D25" i="3"/>
  <c r="B25" i="3"/>
  <c r="C25" i="3"/>
  <c r="D173" i="3"/>
  <c r="B173" i="3"/>
  <c r="C173" i="3"/>
  <c r="B92" i="3"/>
  <c r="D92" i="3"/>
  <c r="C92" i="3"/>
  <c r="D112" i="3"/>
  <c r="C112" i="3"/>
  <c r="B112" i="3"/>
  <c r="B29" i="3"/>
  <c r="C29" i="3"/>
  <c r="D29" i="3"/>
  <c r="B185" i="3"/>
  <c r="C185" i="3"/>
  <c r="D185" i="3"/>
  <c r="C73" i="3"/>
  <c r="D73" i="3"/>
  <c r="B73" i="3"/>
  <c r="D71" i="3"/>
  <c r="C71" i="3"/>
  <c r="B71" i="3"/>
  <c r="C121" i="3"/>
  <c r="D121" i="3"/>
  <c r="B121" i="3"/>
  <c r="D158" i="3"/>
  <c r="C158" i="3"/>
  <c r="B158" i="3"/>
  <c r="D178" i="3"/>
  <c r="B178" i="3"/>
  <c r="C178" i="3"/>
  <c r="D202" i="3"/>
  <c r="C202" i="3"/>
  <c r="B20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<sst xmlns="http://schemas.openxmlformats.org/spreadsheetml/2006/main" count="279" uniqueCount="256">
  <si>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</si>
  <si>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</si>
  <si>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</si>
  <si>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</si>
  <si>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</si>
  <si>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</si>
  <si>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</si>
  <si>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</si>
  <si>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</si>
  <si>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</si>
  <si>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</si>
  <si>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</si>
  <si>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</si>
  <si>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</si>
  <si>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</si>
  <si>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</si>
  <si>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</si>
  <si>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</si>
  <si>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</si>
  <si>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</si>
  <si>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</si>
  <si>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</si>
  <si>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</si>
  <si>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</si>
  <si>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</si>
  <si>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</si>
  <si>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</si>
  <si>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</si>
  <si>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</si>
  <si>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</si>
  <si>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</si>
  <si>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</si>
  <si>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</si>
  <si>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</si>
  <si>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</si>
  <si>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parity:ISEVEN#21</t>
  </si>
  <si>
    <t>parity:ISEVEN#22</t>
  </si>
  <si>
    <t>parity:ISEVEN#23</t>
  </si>
  <si>
    <t>parity:ISEVEN#24</t>
  </si>
  <si>
    <t>parity:ISEVEN#25</t>
  </si>
  <si>
    <t>parity:ISEVEN#26</t>
  </si>
  <si>
    <t>parity:ISEVEN#27</t>
  </si>
  <si>
    <t>parity:ISEVEN#28</t>
  </si>
  <si>
    <t>parity:ISEVEN#29</t>
  </si>
  <si>
    <t>parity:ISEVEN#30</t>
  </si>
  <si>
    <t>parity:ISEVEN#31</t>
  </si>
  <si>
    <t>parity:ISEVEN#32</t>
  </si>
  <si>
    <t>parity:ISEVEN#33</t>
  </si>
  <si>
    <t>parity:ISEVEN#34</t>
  </si>
  <si>
    <t>parity:ISEVEN#35</t>
  </si>
  <si>
    <t>parity:ISEVEN#36</t>
  </si>
  <si>
    <t>parity:ISEVEN#37</t>
  </si>
  <si>
    <t>parity:ISODD#17</t>
  </si>
  <si>
    <t>parity:ISODD#18</t>
  </si>
  <si>
    <t>parity:ISODD#19</t>
  </si>
  <si>
    <t>parity:ISODD#20</t>
  </si>
  <si>
    <t>parity:ISODD#21</t>
  </si>
  <si>
    <t>parity:ISODD#22</t>
  </si>
  <si>
    <t>parity:ISODD#23</t>
  </si>
  <si>
    <t>parity:ISODD#24</t>
  </si>
  <si>
    <t>parity:ISODD#25</t>
  </si>
  <si>
    <t>parity:ISODD#26</t>
  </si>
  <si>
    <t>parity:ISODD#27</t>
  </si>
  <si>
    <t>parity:ISODD#28</t>
  </si>
  <si>
    <t>parity:ISODD#29</t>
  </si>
  <si>
    <t>parity:ISODD#30</t>
  </si>
  <si>
    <t>parity:ISODD#31</t>
  </si>
  <si>
    <t>parity:ISODD#32</t>
  </si>
  <si>
    <t>parity:ISODD#33</t>
  </si>
  <si>
    <t>parity:ISODD#34</t>
  </si>
  <si>
    <t>parity:ISODD#35</t>
  </si>
  <si>
    <t>parity:ISODD#36</t>
  </si>
  <si>
    <t>parity:ISODD#37</t>
  </si>
  <si>
    <t>sample:DATE#5</t>
  </si>
  <si>
    <t>sample:DATE#6</t>
  </si>
  <si>
    <t>sample:INDEX#9</t>
  </si>
  <si>
    <t>sample:INDEX#10</t>
  </si>
  <si>
    <t>sample:TOROW#1</t>
  </si>
  <si>
    <t>sample:TOROW#2</t>
  </si>
  <si>
    <t>sample:PERCENTRANK.EXC#1</t>
  </si>
  <si>
    <t>sample:PERCENTRANK.EXC#2</t>
  </si>
  <si>
    <t>sample:PERCENTRANK.EXC#3</t>
  </si>
  <si>
    <t>sample:PERCENTRANK.EXC#4</t>
  </si>
  <si>
    <t>sample:PERCENTRANK#1</t>
  </si>
  <si>
    <t>sample:PERCENTRANK#2</t>
  </si>
  <si>
    <t>sample:PERCENTRANK#3</t>
  </si>
  <si>
    <t>sample:PERCENTRANK#4</t>
  </si>
  <si>
    <t>sample:BINOM.DIST.RANGE#1</t>
  </si>
  <si>
    <t>sample:BINOM.DIST.RANGE#2</t>
  </si>
  <si>
    <t>sample:BINOM.DIST.RANGE#3</t>
  </si>
  <si>
    <t>sample:BINOM.DIST.RANGE#4</t>
  </si>
  <si>
    <t>sample:CHISQ.DIST.RT#1</t>
  </si>
  <si>
    <t>sample:CHISQ.DIST.RT#2</t>
  </si>
  <si>
    <t>sample:CHISQ.DIST.RT#3</t>
  </si>
  <si>
    <t>sample:CHISQ.DIST.RT#4</t>
  </si>
  <si>
    <t>sample:F.DIST.RT#1</t>
  </si>
  <si>
    <t>sample:F.DIST.RT#2</t>
  </si>
  <si>
    <t>sample:F.DIST.RT#3</t>
  </si>
  <si>
    <t>sample:F.DIST.RT#4</t>
  </si>
  <si>
    <t>sample:T.DIST.2T#1</t>
  </si>
  <si>
    <t>sample:T.DIST.2T#2</t>
  </si>
  <si>
    <t>sample:T.DIST.2T#3</t>
  </si>
  <si>
    <t>sample:T.DIST.2T#4</t>
  </si>
  <si>
    <t>sample:T.DIST.RT#1</t>
  </si>
  <si>
    <t>sample:T.DIST.RT#2</t>
  </si>
  <si>
    <t>sample:T.DIST.RT#3</t>
  </si>
  <si>
    <t>sample:T.DIST.RT#4</t>
  </si>
  <si>
    <t>sample:CHISQ.INV#1</t>
  </si>
  <si>
    <t>sample:CHISQ.INV#2</t>
  </si>
  <si>
    <t>sample:CHISQ.INV#3</t>
  </si>
  <si>
    <t>sample:CHISQ.INV#4</t>
  </si>
  <si>
    <t>sample:CHISQ.INV.RT#1</t>
  </si>
  <si>
    <t>sample:CHISQ.INV.RT#2</t>
  </si>
  <si>
    <t>sample:CHISQ.INV.RT#3</t>
  </si>
  <si>
    <t>sample:CHISQ.INV.RT#4</t>
  </si>
  <si>
    <t>sample:CONFIDENCE.NORM#1</t>
  </si>
  <si>
    <t>sample:CONFIDENCE.NORM#2</t>
  </si>
  <si>
    <t>sample:CONFIDENCE.NORM#3</t>
  </si>
  <si>
    <t>sample:CONFIDENCE.NORM#4</t>
  </si>
  <si>
    <t>sample:F.INV#1</t>
  </si>
  <si>
    <t>sample:F.INV#2</t>
  </si>
  <si>
    <t>sample:F.INV#3</t>
  </si>
  <si>
    <t>sample:F.INV#4</t>
  </si>
  <si>
    <t>sample:F.INV.RT#1</t>
  </si>
  <si>
    <t>sample:F.INV.RT#2</t>
  </si>
  <si>
    <t>sample:F.INV.RT#3</t>
  </si>
  <si>
    <t>sample:F.INV.RT#4</t>
  </si>
  <si>
    <t>sample:T.INV#1</t>
  </si>
  <si>
    <t>sample:T.INV#2</t>
  </si>
  <si>
    <t>sample:T.INV#3</t>
  </si>
  <si>
    <t>sample:T.INV#4</t>
  </si>
  <si>
    <t>sample:T.INV.2T#1</t>
  </si>
  <si>
    <t>sample:T.INV.2T#2</t>
  </si>
  <si>
    <t>sample:T.INV.2T#3</t>
  </si>
  <si>
    <t>sample:T.INV.2T#4</t>
  </si>
  <si>
    <t>sample:T.TEST#3</t>
  </si>
  <si>
    <t>sample:T.TEST#4</t>
  </si>
  <si>
    <t>sample:T.TEST#5</t>
  </si>
  <si>
    <t>sample:T.TEST#6</t>
  </si>
  <si>
    <t>sample:TTEST#1</t>
  </si>
  <si>
    <t>sample:TTEST#2</t>
  </si>
  <si>
    <t>sample:TTEST#3</t>
  </si>
  <si>
    <t>sample:TTEST#4</t>
  </si>
  <si>
    <t>sample:TTEST#5</t>
  </si>
  <si>
    <t>sample:TTEST#6</t>
  </si>
  <si>
    <t>sample:BINOMDIST#1</t>
  </si>
  <si>
    <t>sample:BINOMDIST#2</t>
  </si>
  <si>
    <t>sample:BINOMDIST#3</t>
  </si>
  <si>
    <t>sample:BINOMDIST#4</t>
  </si>
  <si>
    <t>sample:CHIDIST#1</t>
  </si>
  <si>
    <t>sample:CHIDIST#2</t>
  </si>
  <si>
    <t>sample:CHIDIST#3</t>
  </si>
  <si>
    <t>sample:CHIDIST#4</t>
  </si>
  <si>
    <t>sample:CHIINV#1</t>
  </si>
  <si>
    <t>sample:CHIINV#2</t>
  </si>
  <si>
    <t>sample:CHIINV#3</t>
  </si>
  <si>
    <t>sample:CHIINV#4</t>
  </si>
  <si>
    <t>sample:CONFIDENCE#1</t>
  </si>
  <si>
    <t>sample:CONFIDENCE#2</t>
  </si>
  <si>
    <t>sample:CONFIDENCE#3</t>
  </si>
  <si>
    <t>sample:CONFIDENCE#4</t>
  </si>
  <si>
    <t>sample:CRITBINOM#1</t>
  </si>
  <si>
    <t>sample:CRITBINOM#2</t>
  </si>
  <si>
    <t>sample:CRITBINOM#3</t>
  </si>
  <si>
    <t>sample:CRITBINOM#4</t>
  </si>
  <si>
    <t>sample:BINOM.INV#5</t>
  </si>
  <si>
    <t>sample:BINOM.INV#6</t>
  </si>
  <si>
    <t>sample:BINOM.INV#7</t>
  </si>
  <si>
    <t>sample:BINOM.INV#8</t>
  </si>
  <si>
    <t>sample:FDIST#1</t>
  </si>
  <si>
    <t>sample:FDIST#2</t>
  </si>
  <si>
    <t>sample:FDIST#3</t>
  </si>
  <si>
    <t>sample:FDIST#4</t>
  </si>
  <si>
    <t>sample:FINV#1</t>
  </si>
  <si>
    <t>sample:FINV#2</t>
  </si>
  <si>
    <t>sample:FINV#3</t>
  </si>
  <si>
    <t>sample:FINV#4</t>
  </si>
  <si>
    <t>sample:HYPGEOMDIST#1</t>
  </si>
  <si>
    <t>sample:HYPGEOMDIST#2</t>
  </si>
  <si>
    <t>sample:HYPGEOMDIST#3</t>
  </si>
  <si>
    <t>sample:HYPGEOMDIST#4</t>
  </si>
  <si>
    <t>sample:NEGBINOMDIST#1</t>
  </si>
  <si>
    <t>sample:NEGBINOMDIST#2</t>
  </si>
  <si>
    <t>sample:NEGBINOMDIST#3</t>
  </si>
  <si>
    <t>sample:NEGBINOMDIST#4</t>
  </si>
  <si>
    <t>sample:POISSON#1</t>
  </si>
  <si>
    <t>sample:POISSON#2</t>
  </si>
  <si>
    <t>sample:POISSON#3</t>
  </si>
  <si>
    <t>sample:POISSON#4</t>
  </si>
  <si>
    <t>sample:TDIST#1</t>
  </si>
  <si>
    <t>sample:TDIST#2</t>
  </si>
  <si>
    <t>sample:TDIST#3</t>
  </si>
  <si>
    <t>sample:TDIST#4</t>
  </si>
  <si>
    <t>sample:TDIST#5</t>
  </si>
  <si>
    <t>sample:TDIST#6</t>
  </si>
  <si>
    <t>sample:TINV#1</t>
  </si>
  <si>
    <t>sample:TINV#2</t>
  </si>
  <si>
    <t>sample:TINV#3</t>
  </si>
  <si>
    <t>sample:TINV#4</t>
  </si>
  <si>
    <t>sample:PERMUTATIONA#1</t>
  </si>
  <si>
    <t>sample:PERMUTATIONA#2</t>
  </si>
  <si>
    <t>sample:PERMUTATIONA#3</t>
  </si>
  <si>
    <t>sample:PERMUTATIONA#4</t>
  </si>
  <si>
    <t>sample:FINDB#1</t>
  </si>
  <si>
    <t>sample:FINDB#2</t>
  </si>
  <si>
    <t>sample:FINDB#3</t>
  </si>
  <si>
    <t>sample:FINDB#4</t>
  </si>
  <si>
    <t>sample:SEARCHB#1</t>
  </si>
  <si>
    <t>sample:SEARCHB#2</t>
  </si>
  <si>
    <t>sample:SEARCHB#3</t>
  </si>
  <si>
    <t>sample:SEARCHB#4</t>
  </si>
  <si>
    <t>sample:REPLACEB#1</t>
  </si>
  <si>
    <t>sample:REPLACEB#2</t>
  </si>
  <si>
    <t>sample:REPLACEB#3</t>
  </si>
  <si>
    <t>sample:REPLACEB#4</t>
  </si>
  <si>
    <t>sample:REPLACEB#5</t>
  </si>
  <si>
    <t>sample:REPLACEB#6</t>
  </si>
  <si>
    <t>sample:REPLACEB#7</t>
  </si>
  <si>
    <t>sample:REPLACEB#8</t>
  </si>
  <si>
    <t>sample:RIGHTB#1</t>
  </si>
  <si>
    <t>sample:RIGHTB#2</t>
  </si>
  <si>
    <t>sample:RIGHTB#3</t>
  </si>
  <si>
    <t>sample:RIGHTB#4</t>
  </si>
  <si>
    <t>sample:MIDB#5</t>
  </si>
  <si>
    <t>sample:MIDB#6</t>
  </si>
  <si>
    <t>sample:MIDB#7</t>
  </si>
  <si>
    <t>sample:MIDB#8</t>
  </si>
  <si>
    <t>sample:TEXTSPLIT#1</t>
  </si>
  <si>
    <t>sample:TEXTSPLIT#2</t>
  </si>
  <si>
    <t>sample:TEXTBEFORE#5</t>
  </si>
  <si>
    <t>sample:TEXTBEFORE#6</t>
  </si>
  <si>
    <t>sample:TEXTBEFORE#7</t>
  </si>
  <si>
    <t>sample:TEXTBEFORE#8</t>
  </si>
  <si>
    <t>sample:TEXTAFTER#5</t>
  </si>
  <si>
    <t>sample:TEXTAFTER#6</t>
  </si>
  <si>
    <t>sample:HYPGEOM.DIST#5</t>
  </si>
  <si>
    <t>sample:HYPGEOM.DIST#6</t>
  </si>
  <si>
    <t>sample:HYPGEOM.DIST#7</t>
  </si>
  <si>
    <t>sample:HYPGEOM.DIST#8</t>
  </si>
  <si>
    <t>sample:NEGBINOM.DIST#5</t>
  </si>
  <si>
    <t>sample:NEGBINOM.DIST#6</t>
  </si>
  <si>
    <t>sample:NEGBINOM.DIST#7</t>
  </si>
  <si>
    <t>sample:NEGBINOM.DIST#8</t>
  </si>
  <si>
    <t>sample:PERMUT#5</t>
  </si>
  <si>
    <t>sample:PERMUT#6</t>
  </si>
  <si>
    <t>sample:PERMUT#7</t>
  </si>
  <si>
    <t>sample:PERMUT#8</t>
  </si>
  <si>
    <t>sample:DB#5</t>
  </si>
  <si>
    <t>sample:DB#6</t>
  </si>
  <si>
    <t>sample:DB#7</t>
  </si>
  <si>
    <t>sample:DB#8</t>
  </si>
  <si>
    <t>sample:SUBTOTAL#3</t>
  </si>
  <si>
    <t>sample:SUBTOTAL#4</t>
  </si>
  <si>
    <t>sample:AGGREGATE#3</t>
  </si>
  <si>
    <t>sample:AGGREGATE#4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</si>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</sst>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5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f>1-1*2^-53</f>
        <v>0.99999999999999989</v>
      </c>
    </row>
    <row r="2" spans="1:1" x14ac:dyDescent="0.2">
      <c r="A2">
        <f>1-1*2^-52</f>
        <v>0.99999999999999978</v>
      </c>
    </row>
    <row r="3" spans="1:1" x14ac:dyDescent="0.2">
      <c r="A3">
        <f>1-1*2^-51</f>
        <v>0.99999999999999956</v>
      </c>
    </row>
    <row r="4" spans="1:1" x14ac:dyDescent="0.2">
      <c r="A4">
        <f>1-1*2^-50</f>
        <v>0.99999999999999911</v>
      </c>
    </row>
    <row r="5" spans="1:1" x14ac:dyDescent="0.2">
      <c r="A5">
        <f>1-1*2^-49</f>
        <v>0.99999999999999822</v>
      </c>
    </row>
    <row r="6" spans="1:1" x14ac:dyDescent="0.2">
      <c r="A6">
        <f>1-1*2^-48</f>
        <v>0.99999999999999645</v>
      </c>
    </row>
    <row r="7" spans="1:1" x14ac:dyDescent="0.2">
      <c r="A7">
        <f>1-1*2^-47</f>
        <v>0.99999999999999289</v>
      </c>
    </row>
    <row r="8" spans="1:1" x14ac:dyDescent="0.2">
      <c r="A8">
        <f>1-1*2^-46</f>
        <v>0.99999999999998579</v>
      </c>
    </row>
    <row r="9" spans="1:1" x14ac:dyDescent="0.2">
      <c r="A9">
        <f>1-1*2^-45</f>
        <v>0.99999999999997158</v>
      </c>
    </row>
    <row r="10" spans="1:1" x14ac:dyDescent="0.2">
      <c r="A10">
        <f>1-1*2^-44</f>
        <v>0.99999999999994316</v>
      </c>
    </row>
    <row r="11" spans="1:1" x14ac:dyDescent="0.2">
      <c r="A11">
        <f>1-1*2^-43</f>
        <v>0.99999999999988631</v>
      </c>
    </row>
    <row r="12" spans="1:1" x14ac:dyDescent="0.2">
      <c r="A12">
        <f>1-1*2^-42</f>
        <v>0.99999999999977263</v>
      </c>
    </row>
    <row r="13" spans="1:1" x14ac:dyDescent="0.2">
      <c r="A13">
        <f>1-1*2^-40</f>
        <v>0.99999999999909051</v>
      </c>
    </row>
    <row r="14" spans="1:1" x14ac:dyDescent="0.2">
      <c r="A14">
        <f>1-1*2^-37</f>
        <v>0.99999999999272404</v>
      </c>
    </row>
    <row r="15" spans="1:1" x14ac:dyDescent="0.2">
      <c r="A15">
        <f>1-1*2^-33</f>
        <v>0.99999999988358468</v>
      </c>
    </row>
    <row r="16" spans="1:1" x14ac:dyDescent="0.2">
      <c r="A16">
        <f>1-1*2^-27</f>
        <v>0.9999999925494194</v>
      </c>
    </row>
    <row r="17" spans="1:1" x14ac:dyDescent="0.2">
      <c r="A17">
        <f>1-1*2^-20</f>
        <v>0.99999904632568359</v>
      </c>
    </row>
    <row r="18" spans="1:1" x14ac:dyDescent="0.2">
      <c r="A18">
        <f>2-2*2^-53</f>
        <v>1.9999999999999998</v>
      </c>
    </row>
    <row r="19" spans="1:1" x14ac:dyDescent="0.2">
      <c r="A19">
        <f>2-2*2^-52</f>
        <v>1.9999999999999996</v>
      </c>
    </row>
    <row r="20" spans="1:1" x14ac:dyDescent="0.2">
      <c r="A20">
        <f>2-2*2^-51</f>
        <v>1.9999999999999991</v>
      </c>
    </row>
    <row r="21" spans="1:1" x14ac:dyDescent="0.2">
      <c r="A21">
        <f>2-2*2^-50</f>
        <v>1.9999999999999982</v>
      </c>
    </row>
    <row r="22" spans="1:1" x14ac:dyDescent="0.2">
      <c r="A22">
        <f>2-2*2^-49</f>
        <v>1.9999999999999964</v>
      </c>
    </row>
    <row r="23" spans="1:1" x14ac:dyDescent="0.2">
      <c r="A23">
        <f>2-2*2^-48</f>
        <v>1.9999999999999929</v>
      </c>
    </row>
    <row r="24" spans="1:1" x14ac:dyDescent="0.2">
      <c r="A24">
        <f>2-2*2^-47</f>
        <v>1.9999999999999858</v>
      </c>
    </row>
    <row r="25" spans="1:1" x14ac:dyDescent="0.2">
      <c r="A25">
        <f>2-2*2^-46</f>
        <v>1.9999999999999716</v>
      </c>
    </row>
    <row r="26" spans="1:1" x14ac:dyDescent="0.2">
      <c r="A26">
        <f>2-2*2^-45</f>
        <v>1.9999999999999432</v>
      </c>
    </row>
    <row r="27" spans="1:1" x14ac:dyDescent="0.2">
      <c r="A27">
        <f>2-2*2^-44</f>
        <v>1.9999999999998863</v>
      </c>
    </row>
    <row r="28" spans="1:1" x14ac:dyDescent="0.2">
      <c r="A28">
        <f>2-2*2^-43</f>
        <v>1.9999999999997726</v>
      </c>
    </row>
    <row r="29" spans="1:1" x14ac:dyDescent="0.2">
      <c r="A29">
        <f>2-2*2^-42</f>
        <v>1.9999999999995453</v>
      </c>
    </row>
    <row r="30" spans="1:1" x14ac:dyDescent="0.2">
      <c r="A30">
        <f>2-2*2^-40</f>
        <v>1.999999999998181</v>
      </c>
    </row>
    <row r="31" spans="1:1" x14ac:dyDescent="0.2">
      <c r="A31">
        <f>2-2*2^-37</f>
        <v>1.9999999999854481</v>
      </c>
    </row>
    <row r="32" spans="1:1" x14ac:dyDescent="0.2">
      <c r="A32">
        <f>2-2*2^-33</f>
        <v>1.9999999997671694</v>
      </c>
    </row>
    <row r="33" spans="1:1" x14ac:dyDescent="0.2">
      <c r="A33">
        <f>2-2*2^-27</f>
        <v>1.9999999850988388</v>
      </c>
    </row>
    <row r="34" spans="1:1" x14ac:dyDescent="0.2">
      <c r="A34">
        <f>2-2*2^-20</f>
        <v>1.9999980926513672</v>
      </c>
    </row>
    <row r="35" spans="1:1" x14ac:dyDescent="0.2">
      <c r="A35">
        <f>3-3*2^-53</f>
        <v>2.9999999999999996</v>
      </c>
    </row>
    <row r="36" spans="1:1" x14ac:dyDescent="0.2">
      <c r="A36">
        <f>3-3*2^-52</f>
        <v>2.9999999999999991</v>
      </c>
    </row>
    <row r="37" spans="1:1" x14ac:dyDescent="0.2">
      <c r="A37">
        <f>3-3*2^-51</f>
        <v>2.9999999999999987</v>
      </c>
    </row>
    <row r="38" spans="1:1" x14ac:dyDescent="0.2">
      <c r="A38">
        <f>3-3*2^-50</f>
        <v>2.9999999999999973</v>
      </c>
    </row>
    <row r="39" spans="1:1" x14ac:dyDescent="0.2">
      <c r="A39">
        <f>3-3*2^-49</f>
        <v>2.9999999999999947</v>
      </c>
    </row>
    <row r="40" spans="1:1" x14ac:dyDescent="0.2">
      <c r="A40">
        <f>3-3*2^-48</f>
        <v>2.9999999999999893</v>
      </c>
    </row>
    <row r="41" spans="1:1" x14ac:dyDescent="0.2">
      <c r="A41">
        <f>3-3*2^-47</f>
        <v>2.9999999999999787</v>
      </c>
    </row>
    <row r="42" spans="1:1" x14ac:dyDescent="0.2">
      <c r="A42">
        <f>3-3*2^-46</f>
        <v>2.9999999999999574</v>
      </c>
    </row>
    <row r="43" spans="1:1" x14ac:dyDescent="0.2">
      <c r="A43">
        <f>3-3*2^-45</f>
        <v>2.9999999999999147</v>
      </c>
    </row>
    <row r="44" spans="1:1" x14ac:dyDescent="0.2">
      <c r="A44">
        <f>3-3*2^-44</f>
        <v>2.9999999999998295</v>
      </c>
    </row>
    <row r="45" spans="1:1" x14ac:dyDescent="0.2">
      <c r="A45">
        <f>3-3*2^-43</f>
        <v>2.9999999999996589</v>
      </c>
    </row>
    <row r="46" spans="1:1" x14ac:dyDescent="0.2">
      <c r="A46">
        <f>3-3*2^-42</f>
        <v>2.9999999999993179</v>
      </c>
    </row>
    <row r="47" spans="1:1" x14ac:dyDescent="0.2">
      <c r="A47">
        <f>3-3*2^-40</f>
        <v>2.9999999999972715</v>
      </c>
    </row>
    <row r="48" spans="1:1" x14ac:dyDescent="0.2">
      <c r="A48">
        <f>3-3*2^-37</f>
        <v>2.9999999999781721</v>
      </c>
    </row>
    <row r="49" spans="1:1" x14ac:dyDescent="0.2">
      <c r="A49">
        <f>3-3*2^-33</f>
        <v>2.999999999650754</v>
      </c>
    </row>
    <row r="50" spans="1:1" x14ac:dyDescent="0.2">
      <c r="A50">
        <f>3-3*2^-27</f>
        <v>2.9999999776482582</v>
      </c>
    </row>
    <row r="51" spans="1:1" x14ac:dyDescent="0.2">
      <c r="A51">
        <f>3-3*2^-20</f>
        <v>2.9999971389770508</v>
      </c>
    </row>
    <row r="52" spans="1:1" x14ac:dyDescent="0.2">
      <c r="A52">
        <f>10-10*2^-53</f>
        <v>9.9999999999999982</v>
      </c>
    </row>
    <row r="53" spans="1:1" x14ac:dyDescent="0.2">
      <c r="A53">
        <f>10-10*2^-52</f>
        <v>9.9999999999999982</v>
      </c>
    </row>
    <row r="54" spans="1:1" x14ac:dyDescent="0.2">
      <c r="A54">
        <f>10-10*2^-51</f>
        <v>9.9999999999999964</v>
      </c>
    </row>
    <row r="55" spans="1:1" x14ac:dyDescent="0.2">
      <c r="A55">
        <f>10-10*2^-50</f>
        <v>9.9999999999999911</v>
      </c>
    </row>
    <row r="56" spans="1:1" x14ac:dyDescent="0.2">
      <c r="A56">
        <f>10-10*2^-49</f>
        <v>9.9999999999999822</v>
      </c>
    </row>
    <row r="57" spans="1:1" x14ac:dyDescent="0.2">
      <c r="A57">
        <f>10-10*2^-48</f>
        <v>9.9999999999999645</v>
      </c>
    </row>
    <row r="58" spans="1:1" x14ac:dyDescent="0.2">
      <c r="A58">
        <f>10-10*2^-47</f>
        <v>9.9999999999999289</v>
      </c>
    </row>
    <row r="59" spans="1:1" x14ac:dyDescent="0.2">
      <c r="A59">
        <f>10-10*2^-46</f>
        <v>9.9999999999998579</v>
      </c>
    </row>
    <row r="60" spans="1:1" x14ac:dyDescent="0.2">
      <c r="A60">
        <f>10-10*2^-45</f>
        <v>9.9999999999997158</v>
      </c>
    </row>
    <row r="61" spans="1:1" x14ac:dyDescent="0.2">
      <c r="A61">
        <f>10-10*2^-44</f>
        <v>9.9999999999994316</v>
      </c>
    </row>
    <row r="62" spans="1:1" x14ac:dyDescent="0.2">
      <c r="A62">
        <f>10-10*2^-43</f>
        <v>9.9999999999988631</v>
      </c>
    </row>
    <row r="63" spans="1:1" x14ac:dyDescent="0.2">
      <c r="A63">
        <f>10-10*2^-42</f>
        <v>9.9999999999977263</v>
      </c>
    </row>
    <row r="64" spans="1:1" x14ac:dyDescent="0.2">
      <c r="A64">
        <f>10-10*2^-40</f>
        <v>9.9999999999909051</v>
      </c>
    </row>
    <row r="65" spans="1:1" x14ac:dyDescent="0.2">
      <c r="A65">
        <f>10-10*2^-37</f>
        <v>9.9999999999272404</v>
      </c>
    </row>
    <row r="66" spans="1:1" x14ac:dyDescent="0.2">
      <c r="A66">
        <f>10-10*2^-33</f>
        <v>9.9999999988358468</v>
      </c>
    </row>
    <row r="67" spans="1:1" x14ac:dyDescent="0.2">
      <c r="A67">
        <f>10-10*2^-27</f>
        <v>9.999999925494194</v>
      </c>
    </row>
    <row r="68" spans="1:1" x14ac:dyDescent="0.2">
      <c r="A68">
        <f>10-10*2^-20</f>
        <v>9.9999904632568359</v>
      </c>
    </row>
    <row r="69" spans="1:1" x14ac:dyDescent="0.2">
      <c r="A69">
        <f>1000000-1000000*2^-53</f>
        <v>999999.99999999988</v>
      </c>
    </row>
    <row r="70" spans="1:1" x14ac:dyDescent="0.2">
      <c r="A70">
        <f>1000000-1000000*2^-52</f>
        <v>999999.99999999977</v>
      </c>
    </row>
    <row r="71" spans="1:1" x14ac:dyDescent="0.2">
      <c r="A71">
        <f>1000000-1000000*2^-51</f>
        <v>999999.99999999953</v>
      </c>
    </row>
    <row r="72" spans="1:1" x14ac:dyDescent="0.2">
      <c r="A72">
        <f>1000000-1000000*2^-50</f>
        <v>999999.99999999907</v>
      </c>
    </row>
    <row r="73" spans="1:1" x14ac:dyDescent="0.2">
      <c r="A73">
        <f>1000000-1000000*2^-49</f>
        <v>999999.99999999825</v>
      </c>
    </row>
    <row r="74" spans="1:1" x14ac:dyDescent="0.2">
      <c r="A74">
        <f>1000000-1000000*2^-48</f>
        <v>999999.99999999639</v>
      </c>
    </row>
    <row r="75" spans="1:1" x14ac:dyDescent="0.2">
      <c r="A75">
        <f>1000000-1000000*2^-47</f>
        <v>999999.9999999929</v>
      </c>
    </row>
    <row r="76" spans="1:1" x14ac:dyDescent="0.2">
      <c r="A76">
        <f>1000000-1000000*2^-46</f>
        <v>999999.9999999858</v>
      </c>
    </row>
    <row r="77" spans="1:1" x14ac:dyDescent="0.2">
      <c r="A77">
        <f>1000000-1000000*2^-45</f>
        <v>999999.99999997159</v>
      </c>
    </row>
    <row r="78" spans="1:1" x14ac:dyDescent="0.2">
      <c r="A78">
        <f>1000000-1000000*2^-44</f>
        <v>999999.99999994319</v>
      </c>
    </row>
    <row r="79" spans="1:1" x14ac:dyDescent="0.2">
      <c r="A79">
        <f>1000000-1000000*2^-43</f>
        <v>999999.99999988626</v>
      </c>
    </row>
    <row r="80" spans="1:1" x14ac:dyDescent="0.2">
      <c r="A80">
        <f>1000000-1000000*2^-42</f>
        <v>999999.99999977264</v>
      </c>
    </row>
    <row r="81" spans="1:1" x14ac:dyDescent="0.2">
      <c r="A81">
        <f>1000000-1000000*2^-40</f>
        <v>999999.99999909056</v>
      </c>
    </row>
    <row r="82" spans="1:1" x14ac:dyDescent="0.2">
      <c r="A82">
        <f>1000000-1000000*2^-37</f>
        <v>999999.99999272404</v>
      </c>
    </row>
    <row r="83" spans="1:1" x14ac:dyDescent="0.2">
      <c r="A83">
        <f>1000000-1000000*2^-33</f>
        <v>999999.99988358468</v>
      </c>
    </row>
    <row r="84" spans="1:1" x14ac:dyDescent="0.2">
      <c r="A84">
        <f>1000000-1000000*2^-27</f>
        <v>999999.9925494194</v>
      </c>
    </row>
    <row r="85" spans="1:1" x14ac:dyDescent="0.2">
      <c r="A85">
        <f>1000000-1000000*2^-20</f>
        <v>999999.04632568359</v>
      </c>
    </row>
    <row r="86" spans="1:1" x14ac:dyDescent="0.2">
      <c r="A86">
        <f>1000000000000000-1000000000000000*2^-53</f>
        <v>999999999999999.88</v>
      </c>
    </row>
    <row r="87" spans="1:1" x14ac:dyDescent="0.2">
      <c r="A87">
        <f>1000000000000000-1000000000000000*2^-52</f>
        <v>999999999999999.75</v>
      </c>
    </row>
    <row r="88" spans="1:1" x14ac:dyDescent="0.2">
      <c r="A88">
        <f>1000000000000000-1000000000000000*2^-51</f>
        <v>999999999999999.5</v>
      </c>
    </row>
    <row r="89" spans="1:1" x14ac:dyDescent="0.2">
      <c r="A89">
        <f>1000000000000000-1000000000000000*2^-50</f>
        <v>999999999999999.12</v>
      </c>
    </row>
    <row r="90" spans="1:1" x14ac:dyDescent="0.2">
      <c r="A90">
        <f>1000000000000000-1000000000000000*2^-49</f>
        <v>999999999999998.25</v>
      </c>
    </row>
    <row r="91" spans="1:1" x14ac:dyDescent="0.2">
      <c r="A91">
        <f>1000000000000000-1000000000000000*2^-48</f>
        <v>999999999999996.5</v>
      </c>
    </row>
    <row r="92" spans="1:1" x14ac:dyDescent="0.2">
      <c r="A92">
        <f>1000000000000000-1000000000000000*2^-47</f>
        <v>999999999999992.88</v>
      </c>
    </row>
    <row r="93" spans="1:1" x14ac:dyDescent="0.2">
      <c r="A93">
        <f>1000000000000000-1000000000000000*2^-46</f>
        <v>999999999999985.75</v>
      </c>
    </row>
    <row r="94" spans="1:1" x14ac:dyDescent="0.2">
      <c r="A94">
        <f>1000000000000000-1000000000000000*2^-45</f>
        <v>999999999999971.62</v>
      </c>
    </row>
    <row r="95" spans="1:1" x14ac:dyDescent="0.2">
      <c r="A95">
        <f>1000000000000000-1000000000000000*2^-44</f>
        <v>999999999999943.12</v>
      </c>
    </row>
    <row r="96" spans="1:1" x14ac:dyDescent="0.2">
      <c r="A96">
        <f>1000000000000000-1000000000000000*2^-43</f>
        <v>999999999999886.38</v>
      </c>
    </row>
    <row r="97" spans="1:1" x14ac:dyDescent="0.2">
      <c r="A97">
        <f>1000000000000000-1000000000000000*2^-42</f>
        <v>999999999999772.62</v>
      </c>
    </row>
    <row r="98" spans="1:1" x14ac:dyDescent="0.2">
      <c r="A98">
        <f>1000000000000000-1000000000000000*2^-40</f>
        <v>999999999999090.5</v>
      </c>
    </row>
    <row r="99" spans="1:1" x14ac:dyDescent="0.2">
      <c r="A99">
        <f>1000000000000000-1000000000000000*2^-37</f>
        <v>999999999992724</v>
      </c>
    </row>
    <row r="100" spans="1:1" x14ac:dyDescent="0.2">
      <c r="A100">
        <f>1000000000000000-1000000000000000*2^-33</f>
        <v>999999999883584.62</v>
      </c>
    </row>
    <row r="101" spans="1:1" x14ac:dyDescent="0.2">
      <c r="A101">
        <f>1000000000000000-1000000000000000*2^-27</f>
        <v>999999992549419.38</v>
      </c>
    </row>
    <row r="102" spans="1:1" x14ac:dyDescent="0.2">
      <c r="A102">
        <f>1000000000000000-1000000000000000*2^-20</f>
        <v>999999046325683.62</v>
      </c>
    </row>
    <row r="103" spans="1:1" x14ac:dyDescent="0.2">
      <c r="A103">
        <f>45688-45688*2^-53</f>
        <v>45687.999999999993</v>
      </c>
    </row>
    <row r="104" spans="1:1" x14ac:dyDescent="0.2">
      <c r="A104">
        <f>45688-45688*2^-52</f>
        <v>45687.999999999993</v>
      </c>
    </row>
    <row r="105" spans="1:1" x14ac:dyDescent="0.2">
      <c r="A105">
        <f>45688-45688*2^-51</f>
        <v>45687.999999999978</v>
      </c>
    </row>
    <row r="106" spans="1:1" x14ac:dyDescent="0.2">
      <c r="A106">
        <f>45688-45688*2^-50</f>
        <v>45687.999999999956</v>
      </c>
    </row>
    <row r="107" spans="1:1" x14ac:dyDescent="0.2">
      <c r="A107">
        <f>45688-45688*2^-49</f>
        <v>45687.99999999992</v>
      </c>
    </row>
    <row r="108" spans="1:1" x14ac:dyDescent="0.2">
      <c r="A108">
        <f>45688-45688*2^-48</f>
        <v>45687.99999999984</v>
      </c>
    </row>
    <row r="109" spans="1:1" x14ac:dyDescent="0.2">
      <c r="A109">
        <f>45688-45688*2^-47</f>
        <v>45687.999999999673</v>
      </c>
    </row>
    <row r="110" spans="1:1" x14ac:dyDescent="0.2">
      <c r="A110">
        <f>45688-45688*2^-46</f>
        <v>45687.999999999352</v>
      </c>
    </row>
    <row r="111" spans="1:1" x14ac:dyDescent="0.2">
      <c r="A111">
        <f>45688-45688*2^-45</f>
        <v>45687.999999998705</v>
      </c>
    </row>
    <row r="112" spans="1:1" x14ac:dyDescent="0.2">
      <c r="A112">
        <f>45688-45688*2^-44</f>
        <v>45687.999999997402</v>
      </c>
    </row>
    <row r="113" spans="1:1" x14ac:dyDescent="0.2">
      <c r="A113">
        <f>45688-45688*2^-43</f>
        <v>45687.999999994805</v>
      </c>
    </row>
    <row r="114" spans="1:1" x14ac:dyDescent="0.2">
      <c r="A114">
        <f>45688-45688*2^-42</f>
        <v>45687.99999998961</v>
      </c>
    </row>
    <row r="115" spans="1:1" x14ac:dyDescent="0.2">
      <c r="A115">
        <f>45688-45688*2^-40</f>
        <v>45687.999999958447</v>
      </c>
    </row>
    <row r="116" spans="1:1" x14ac:dyDescent="0.2">
      <c r="A116">
        <f>45688-45688*2^-37</f>
        <v>45687.999999667576</v>
      </c>
    </row>
    <row r="117" spans="1:1" x14ac:dyDescent="0.2">
      <c r="A117">
        <f>45688-45688*2^-33</f>
        <v>45687.999994681217</v>
      </c>
    </row>
    <row r="118" spans="1:1" x14ac:dyDescent="0.2">
      <c r="A118">
        <f>45688-45688*2^-27</f>
        <v>45687.999659597874</v>
      </c>
    </row>
    <row r="119" spans="1:1" x14ac:dyDescent="0.2">
      <c r="A119">
        <f>45688-45688*2^-20</f>
        <v>45687.956428527832</v>
      </c>
    </row>
    <row r="120" spans="1:1" x14ac:dyDescent="0.2">
      <c r="A120">
        <f>1+1*2^-52</f>
        <v>1.0000000000000002</v>
      </c>
    </row>
    <row r="121" spans="1:1" x14ac:dyDescent="0.2">
      <c r="A121">
        <f>1+1*2^-51</f>
        <v>1.0000000000000004</v>
      </c>
    </row>
    <row r="122" spans="1:1" x14ac:dyDescent="0.2">
      <c r="A122">
        <f>1+1*2^-50</f>
        <v>1.0000000000000009</v>
      </c>
    </row>
    <row r="123" spans="1:1" x14ac:dyDescent="0.2">
      <c r="A123">
        <f>1+1*2^-49</f>
        <v>1.0000000000000018</v>
      </c>
    </row>
    <row r="124" spans="1:1" x14ac:dyDescent="0.2">
      <c r="A124">
        <f>1+1*2^-48</f>
        <v>1.0000000000000036</v>
      </c>
    </row>
    <row r="125" spans="1:1" x14ac:dyDescent="0.2">
      <c r="A125">
        <f>1+1*2^-47</f>
        <v>1.0000000000000071</v>
      </c>
    </row>
    <row r="126" spans="1:1" x14ac:dyDescent="0.2">
      <c r="A126">
        <f>1+1*2^-46</f>
        <v>1.0000000000000142</v>
      </c>
    </row>
    <row r="127" spans="1:1" x14ac:dyDescent="0.2">
      <c r="A127">
        <f>1+1*2^-45</f>
        <v>1.0000000000000284</v>
      </c>
    </row>
    <row r="128" spans="1:1" x14ac:dyDescent="0.2">
      <c r="A128">
        <f>1+1*2^-44</f>
        <v>1.0000000000000568</v>
      </c>
    </row>
    <row r="129" spans="1:1" x14ac:dyDescent="0.2">
      <c r="A129">
        <f>1+1*2^-42</f>
        <v>1.0000000000002274</v>
      </c>
    </row>
    <row r="130" spans="1:1" x14ac:dyDescent="0.2">
      <c r="A130">
        <f>1+1*2^-40</f>
        <v>1.0000000000009095</v>
      </c>
    </row>
    <row r="131" spans="1:1" x14ac:dyDescent="0.2">
      <c r="A131">
        <f>1+1*2^-33</f>
        <v>1.0000000001164153</v>
      </c>
    </row>
    <row r="132" spans="1:1" x14ac:dyDescent="0.2">
      <c r="A132">
        <f>1+1*2^-20</f>
        <v>1.0000009536743164</v>
      </c>
    </row>
    <row r="133" spans="1:1" x14ac:dyDescent="0.2">
      <c r="A133">
        <f>2+2*2^-52</f>
        <v>2.0000000000000004</v>
      </c>
    </row>
    <row r="134" spans="1:1" x14ac:dyDescent="0.2">
      <c r="A134">
        <f>2+2*2^-51</f>
        <v>2.0000000000000009</v>
      </c>
    </row>
    <row r="135" spans="1:1" x14ac:dyDescent="0.2">
      <c r="A135">
        <f>2+2*2^-50</f>
        <v>2.0000000000000018</v>
      </c>
    </row>
    <row r="136" spans="1:1" x14ac:dyDescent="0.2">
      <c r="A136">
        <f>2+2*2^-49</f>
        <v>2.0000000000000036</v>
      </c>
    </row>
    <row r="137" spans="1:1" x14ac:dyDescent="0.2">
      <c r="A137">
        <f>2+2*2^-48</f>
        <v>2.0000000000000071</v>
      </c>
    </row>
    <row r="138" spans="1:1" x14ac:dyDescent="0.2">
      <c r="A138">
        <f>2+2*2^-47</f>
        <v>2.0000000000000142</v>
      </c>
    </row>
    <row r="139" spans="1:1" x14ac:dyDescent="0.2">
      <c r="A139">
        <f>2+2*2^-46</f>
        <v>2.0000000000000284</v>
      </c>
    </row>
    <row r="140" spans="1:1" x14ac:dyDescent="0.2">
      <c r="A140">
        <f>2+2*2^-45</f>
        <v>2.0000000000000568</v>
      </c>
    </row>
    <row r="141" spans="1:1" x14ac:dyDescent="0.2">
      <c r="A141">
        <f>2+2*2^-44</f>
        <v>2.0000000000001137</v>
      </c>
    </row>
    <row r="142" spans="1:1" x14ac:dyDescent="0.2">
      <c r="A142">
        <f>2+2*2^-42</f>
        <v>2.0000000000004547</v>
      </c>
    </row>
    <row r="143" spans="1:1" x14ac:dyDescent="0.2">
      <c r="A143">
        <f>2+2*2^-40</f>
        <v>2.000000000001819</v>
      </c>
    </row>
    <row r="144" spans="1:1" x14ac:dyDescent="0.2">
      <c r="A144">
        <f>2+2*2^-33</f>
        <v>2.0000000002328306</v>
      </c>
    </row>
    <row r="145" spans="1:1" x14ac:dyDescent="0.2">
      <c r="A145">
        <f>2+2*2^-20</f>
        <v>2.0000019073486328</v>
      </c>
    </row>
    <row r="146" spans="1:1" x14ac:dyDescent="0.2">
      <c r="A146">
        <f>3+3*2^-52</f>
        <v>3.0000000000000009</v>
      </c>
    </row>
    <row r="147" spans="1:1" x14ac:dyDescent="0.2">
      <c r="A147">
        <f>3+3*2^-51</f>
        <v>3.0000000000000013</v>
      </c>
    </row>
    <row r="148" spans="1:1" x14ac:dyDescent="0.2">
      <c r="A148">
        <f>3+3*2^-50</f>
        <v>3.0000000000000027</v>
      </c>
    </row>
    <row r="149" spans="1:1" x14ac:dyDescent="0.2">
      <c r="A149">
        <f>3+3*2^-49</f>
        <v>3.0000000000000053</v>
      </c>
    </row>
    <row r="150" spans="1:1" x14ac:dyDescent="0.2">
      <c r="A150">
        <f>3+3*2^-48</f>
        <v>3.0000000000000107</v>
      </c>
    </row>
    <row r="151" spans="1:1" x14ac:dyDescent="0.2">
      <c r="A151">
        <f>3+3*2^-47</f>
        <v>3.0000000000000213</v>
      </c>
    </row>
    <row r="152" spans="1:1" x14ac:dyDescent="0.2">
      <c r="A152">
        <f>3+3*2^-46</f>
        <v>3.0000000000000426</v>
      </c>
    </row>
    <row r="153" spans="1:1" x14ac:dyDescent="0.2">
      <c r="A153">
        <f>3+3*2^-45</f>
        <v>3.0000000000000853</v>
      </c>
    </row>
    <row r="154" spans="1:1" x14ac:dyDescent="0.2">
      <c r="A154">
        <f>3+3*2^-44</f>
        <v>3.0000000000001705</v>
      </c>
    </row>
    <row r="155" spans="1:1" x14ac:dyDescent="0.2">
      <c r="A155">
        <f>3+3*2^-42</f>
        <v>3.0000000000006821</v>
      </c>
    </row>
    <row r="156" spans="1:1" x14ac:dyDescent="0.2">
      <c r="A156">
        <f>3+3*2^-40</f>
        <v>3.0000000000027285</v>
      </c>
    </row>
    <row r="157" spans="1:1" x14ac:dyDescent="0.2">
      <c r="A157">
        <f>3+3*2^-33</f>
        <v>3.000000000349246</v>
      </c>
    </row>
    <row r="158" spans="1:1" x14ac:dyDescent="0.2">
      <c r="A158">
        <f>3+3*2^-20</f>
        <v>3.0000028610229492</v>
      </c>
    </row>
    <row r="159" spans="1:1" x14ac:dyDescent="0.2">
      <c r="A159">
        <f>10+10*2^-52</f>
        <v>10.000000000000002</v>
      </c>
    </row>
    <row r="160" spans="1:1" x14ac:dyDescent="0.2">
      <c r="A160">
        <f>10+10*2^-51</f>
        <v>10.000000000000004</v>
      </c>
    </row>
    <row r="161" spans="1:1" x14ac:dyDescent="0.2">
      <c r="A161">
        <f>10+10*2^-50</f>
        <v>10.000000000000009</v>
      </c>
    </row>
    <row r="162" spans="1:1" x14ac:dyDescent="0.2">
      <c r="A162">
        <f>10+10*2^-49</f>
        <v>10.000000000000018</v>
      </c>
    </row>
    <row r="163" spans="1:1" x14ac:dyDescent="0.2">
      <c r="A163">
        <f>10+10*2^-48</f>
        <v>10.000000000000036</v>
      </c>
    </row>
    <row r="164" spans="1:1" x14ac:dyDescent="0.2">
      <c r="A164">
        <f>10+10*2^-47</f>
        <v>10.000000000000071</v>
      </c>
    </row>
    <row r="165" spans="1:1" x14ac:dyDescent="0.2">
      <c r="A165">
        <f>10+10*2^-46</f>
        <v>10.000000000000142</v>
      </c>
    </row>
    <row r="166" spans="1:1" x14ac:dyDescent="0.2">
      <c r="A166">
        <f>10+10*2^-45</f>
        <v>10.000000000000284</v>
      </c>
    </row>
    <row r="167" spans="1:1" x14ac:dyDescent="0.2">
      <c r="A167">
        <f>10+10*2^-44</f>
        <v>10.000000000000568</v>
      </c>
    </row>
    <row r="168" spans="1:1" x14ac:dyDescent="0.2">
      <c r="A168">
        <f>10+10*2^-42</f>
        <v>10.000000000002274</v>
      </c>
    </row>
    <row r="169" spans="1:1" x14ac:dyDescent="0.2">
      <c r="A169">
        <f>10+10*2^-40</f>
        <v>10.000000000009095</v>
      </c>
    </row>
    <row r="170" spans="1:1" x14ac:dyDescent="0.2">
      <c r="A170">
        <f>10+10*2^-33</f>
        <v>10.000000001164153</v>
      </c>
    </row>
    <row r="171" spans="1:1" x14ac:dyDescent="0.2">
      <c r="A171">
        <f>10+10*2^-20</f>
        <v>10.000009536743164</v>
      </c>
    </row>
    <row r="172" spans="1:1" x14ac:dyDescent="0.2">
      <c r="A172">
        <f>-1-1*2^-52</f>
        <v>-1.0000000000000002</v>
      </c>
    </row>
    <row r="173" spans="1:1" x14ac:dyDescent="0.2">
      <c r="A173">
        <f>-1-1*2^-50</f>
        <v>-1.0000000000000009</v>
      </c>
    </row>
    <row r="174" spans="1:1" x14ac:dyDescent="0.2">
      <c r="A174">
        <f>-1-1*2^-48</f>
        <v>-1.0000000000000036</v>
      </c>
    </row>
    <row r="175" spans="1:1" x14ac:dyDescent="0.2">
      <c r="A175">
        <f>-1-1*2^-47</f>
        <v>-1.0000000000000071</v>
      </c>
    </row>
    <row r="176" spans="1:1" x14ac:dyDescent="0.2">
      <c r="A176">
        <f>-1-1*2^-46</f>
        <v>-1.0000000000000142</v>
      </c>
    </row>
    <row r="177" spans="1:1" x14ac:dyDescent="0.2">
      <c r="A177">
        <f>-1-1*2^-45</f>
        <v>-1.0000000000000284</v>
      </c>
    </row>
    <row r="178" spans="1:1" x14ac:dyDescent="0.2">
      <c r="A178">
        <f>-1-1*2^-44</f>
        <v>-1.0000000000000568</v>
      </c>
    </row>
    <row r="179" spans="1:1" x14ac:dyDescent="0.2">
      <c r="A179">
        <f>-1-1*2^-42</f>
        <v>-1.0000000000002274</v>
      </c>
    </row>
    <row r="180" spans="1:1" x14ac:dyDescent="0.2">
      <c r="A180">
        <f>-1-1*2^-40</f>
        <v>-1.0000000000009095</v>
      </c>
    </row>
    <row r="181" spans="1:1" x14ac:dyDescent="0.2">
      <c r="A181">
        <f>-1-1*2^-33</f>
        <v>-1.0000000001164153</v>
      </c>
    </row>
    <row r="182" spans="1:1" x14ac:dyDescent="0.2">
      <c r="A182">
        <f>-1-1*2^-20</f>
        <v>-1.0000009536743164</v>
      </c>
    </row>
    <row r="183" spans="1:1" x14ac:dyDescent="0.2">
      <c r="A183">
        <f>-2-2*2^-52</f>
        <v>-2.0000000000000004</v>
      </c>
    </row>
    <row r="184" spans="1:1" x14ac:dyDescent="0.2">
      <c r="A184">
        <f>-2-2*2^-50</f>
        <v>-2.0000000000000018</v>
      </c>
    </row>
    <row r="185" spans="1:1" x14ac:dyDescent="0.2">
      <c r="A185">
        <f>-2-2*2^-48</f>
        <v>-2.0000000000000071</v>
      </c>
    </row>
    <row r="186" spans="1:1" x14ac:dyDescent="0.2">
      <c r="A186">
        <f>-2-2*2^-47</f>
        <v>-2.0000000000000142</v>
      </c>
    </row>
    <row r="187" spans="1:1" x14ac:dyDescent="0.2">
      <c r="A187">
        <f>-2-2*2^-46</f>
        <v>-2.0000000000000284</v>
      </c>
    </row>
    <row r="188" spans="1:1" x14ac:dyDescent="0.2">
      <c r="A188">
        <f>-2-2*2^-45</f>
        <v>-2.0000000000000568</v>
      </c>
    </row>
    <row r="189" spans="1:1" x14ac:dyDescent="0.2">
      <c r="A189">
        <f>-2-2*2^-44</f>
        <v>-2.0000000000001137</v>
      </c>
    </row>
    <row r="190" spans="1:1" x14ac:dyDescent="0.2">
      <c r="A190">
        <f>-2-2*2^-42</f>
        <v>-2.0000000000004547</v>
      </c>
    </row>
    <row r="191" spans="1:1" x14ac:dyDescent="0.2">
      <c r="A191">
        <f>-2-2*2^-40</f>
        <v>-2.000000000001819</v>
      </c>
    </row>
    <row r="192" spans="1:1" x14ac:dyDescent="0.2">
      <c r="A192">
        <f>-2-2*2^-33</f>
        <v>-2.0000000002328306</v>
      </c>
    </row>
    <row r="193" spans="1:1" x14ac:dyDescent="0.2">
      <c r="A193">
        <f>-2-2*2^-20</f>
        <v>-2.0000019073486328</v>
      </c>
    </row>
    <row r="194" spans="1:1" x14ac:dyDescent="0.2">
      <c r="A194">
        <f>-1000000-1000000*2^-52</f>
        <v>-1000000.0000000002</v>
      </c>
    </row>
    <row r="195" spans="1:1" x14ac:dyDescent="0.2">
      <c r="A195">
        <f>-1000000-1000000*2^-50</f>
        <v>-1000000.0000000009</v>
      </c>
    </row>
    <row r="196" spans="1:1" x14ac:dyDescent="0.2">
      <c r="A196">
        <f>-1000000-1000000*2^-48</f>
        <v>-1000000.0000000036</v>
      </c>
    </row>
    <row r="197" spans="1:1" x14ac:dyDescent="0.2">
      <c r="A197">
        <f>-1000000-1000000*2^-47</f>
        <v>-1000000.0000000071</v>
      </c>
    </row>
    <row r="198" spans="1:1" x14ac:dyDescent="0.2">
      <c r="A198">
        <f>-1000000-1000000*2^-46</f>
        <v>-1000000.0000000142</v>
      </c>
    </row>
    <row r="199" spans="1:1" x14ac:dyDescent="0.2">
      <c r="A199">
        <f>-1000000-1000000*2^-45</f>
        <v>-1000000.0000000284</v>
      </c>
    </row>
    <row r="200" spans="1:1" x14ac:dyDescent="0.2">
      <c r="A200">
        <f>-1000000-1000000*2^-44</f>
        <v>-1000000.0000000568</v>
      </c>
    </row>
    <row r="201" spans="1:1" x14ac:dyDescent="0.2">
      <c r="A201">
        <f>-1000000-1000000*2^-42</f>
        <v>-1000000.0000002274</v>
      </c>
    </row>
    <row r="202" spans="1:1" x14ac:dyDescent="0.2">
      <c r="A202">
        <f>-1000000-1000000*2^-40</f>
        <v>-1000000.0000009094</v>
      </c>
    </row>
    <row r="203" spans="1:1" x14ac:dyDescent="0.2">
      <c r="A203">
        <f>-1000000-1000000*2^-33</f>
        <v>-1000000.0001164153</v>
      </c>
    </row>
    <row r="204" spans="1:1" x14ac:dyDescent="0.2">
      <c r="A204">
        <f>-1000000-1000000*2^-20</f>
        <v>-1000000.9536743164</v>
      </c>
    </row>
    <row r="205" spans="1:1" x14ac:dyDescent="0.2">
      <c r="A205">
        <f>-1+1*2^-52</f>
        <v>-0.99999999999999978</v>
      </c>
    </row>
    <row r="206" spans="1:1" x14ac:dyDescent="0.2">
      <c r="A206">
        <f>-1+1*2^-50</f>
        <v>-0.99999999999999911</v>
      </c>
    </row>
    <row r="207" spans="1:1" x14ac:dyDescent="0.2">
      <c r="A207">
        <f>-1+1*2^-48</f>
        <v>-0.99999999999999645</v>
      </c>
    </row>
    <row r="208" spans="1:1" x14ac:dyDescent="0.2">
      <c r="A208">
        <f>-1+1*2^-47</f>
        <v>-0.99999999999999289</v>
      </c>
    </row>
    <row r="209" spans="1:1" x14ac:dyDescent="0.2">
      <c r="A209">
        <f>-1+1*2^-46</f>
        <v>-0.99999999999998579</v>
      </c>
    </row>
    <row r="210" spans="1:1" x14ac:dyDescent="0.2">
      <c r="A210">
        <f>-1+1*2^-45</f>
        <v>-0.99999999999997158</v>
      </c>
    </row>
    <row r="211" spans="1:1" x14ac:dyDescent="0.2">
      <c r="A211">
        <f>-1+1*2^-44</f>
        <v>-0.99999999999994316</v>
      </c>
    </row>
    <row r="212" spans="1:1" x14ac:dyDescent="0.2">
      <c r="A212">
        <f>-1+1*2^-42</f>
        <v>-0.99999999999977263</v>
      </c>
    </row>
    <row r="213" spans="1:1" x14ac:dyDescent="0.2">
      <c r="A213">
        <f>-1+1*2^-40</f>
        <v>-0.99999999999909051</v>
      </c>
    </row>
    <row r="214" spans="1:1" x14ac:dyDescent="0.2">
      <c r="A214">
        <f>-1+1*2^-33</f>
        <v>-0.99999999988358468</v>
      </c>
    </row>
    <row r="215" spans="1:1" x14ac:dyDescent="0.2">
      <c r="A215">
        <f>-1+1*2^-20</f>
        <v>-0.99999904632568359</v>
      </c>
    </row>
    <row r="216" spans="1:1" x14ac:dyDescent="0.2">
      <c r="A216">
        <f>-2+2*2^-52</f>
        <v>-1.9999999999999996</v>
      </c>
    </row>
    <row r="217" spans="1:1" x14ac:dyDescent="0.2">
      <c r="A217">
        <f>-2+2*2^-50</f>
        <v>-1.9999999999999982</v>
      </c>
    </row>
    <row r="218" spans="1:1" x14ac:dyDescent="0.2">
      <c r="A218">
        <f>-2+2*2^-48</f>
        <v>-1.9999999999999929</v>
      </c>
    </row>
    <row r="219" spans="1:1" x14ac:dyDescent="0.2">
      <c r="A219">
        <f>-2+2*2^-47</f>
        <v>-1.9999999999999858</v>
      </c>
    </row>
    <row r="220" spans="1:1" x14ac:dyDescent="0.2">
      <c r="A220">
        <f>-2+2*2^-46</f>
        <v>-1.9999999999999716</v>
      </c>
    </row>
    <row r="221" spans="1:1" x14ac:dyDescent="0.2">
      <c r="A221">
        <f>-2+2*2^-45</f>
        <v>-1.9999999999999432</v>
      </c>
    </row>
    <row r="222" spans="1:1" x14ac:dyDescent="0.2">
      <c r="A222">
        <f>-2+2*2^-44</f>
        <v>-1.9999999999998863</v>
      </c>
    </row>
    <row r="223" spans="1:1" x14ac:dyDescent="0.2">
      <c r="A223">
        <f>-2+2*2^-42</f>
        <v>-1.9999999999995453</v>
      </c>
    </row>
    <row r="224" spans="1:1" x14ac:dyDescent="0.2">
      <c r="A224">
        <f>-2+2*2^-40</f>
        <v>-1.999999999998181</v>
      </c>
    </row>
    <row r="225" spans="1:1" x14ac:dyDescent="0.2">
      <c r="A225">
        <f>-2+2*2^-33</f>
        <v>-1.9999999997671694</v>
      </c>
    </row>
    <row r="226" spans="1:1" x14ac:dyDescent="0.2">
      <c r="A226">
        <f>-2+2*2^-20</f>
        <v>-1.9999980926513672</v>
      </c>
    </row>
    <row r="227" spans="1:1" x14ac:dyDescent="0.2">
      <c r="A227">
        <f>-1000000+1000000*2^-52</f>
        <v>-999999.99999999977</v>
      </c>
    </row>
    <row r="228" spans="1:1" x14ac:dyDescent="0.2">
      <c r="A228">
        <f>-1000000+1000000*2^-50</f>
        <v>-999999.99999999907</v>
      </c>
    </row>
    <row r="229" spans="1:1" x14ac:dyDescent="0.2">
      <c r="A229">
        <f>-1000000+1000000*2^-48</f>
        <v>-999999.99999999639</v>
      </c>
    </row>
    <row r="230" spans="1:1" x14ac:dyDescent="0.2">
      <c r="A230">
        <f>-1000000+1000000*2^-47</f>
        <v>-999999.9999999929</v>
      </c>
    </row>
    <row r="231" spans="1:1" x14ac:dyDescent="0.2">
      <c r="A231">
        <f>-1000000+1000000*2^-46</f>
        <v>-999999.9999999858</v>
      </c>
    </row>
    <row r="232" spans="1:1" x14ac:dyDescent="0.2">
      <c r="A232">
        <f>-1000000+1000000*2^-45</f>
        <v>-999999.99999997159</v>
      </c>
    </row>
    <row r="233" spans="1:1" x14ac:dyDescent="0.2">
      <c r="A233">
        <f>-1000000+1000000*2^-44</f>
        <v>-999999.99999994319</v>
      </c>
    </row>
    <row r="234" spans="1:1" x14ac:dyDescent="0.2">
      <c r="A234">
        <f>-1000000+1000000*2^-42</f>
        <v>-999999.99999977264</v>
      </c>
    </row>
    <row r="235" spans="1:1" x14ac:dyDescent="0.2">
      <c r="A235">
        <f>-1000000+1000000*2^-40</f>
        <v>-999999.99999909056</v>
      </c>
    </row>
    <row r="236" spans="1:1" x14ac:dyDescent="0.2">
      <c r="A236">
        <f>-1000000+1000000*2^-33</f>
        <v>-999999.99988358468</v>
      </c>
    </row>
    <row r="237" spans="1:1" x14ac:dyDescent="0.2">
      <c r="A237">
        <f>-1000000+1000000*2^-20</f>
        <v>-999999.04632568359</v>
      </c>
    </row>
    <row r="238" spans="1:1" x14ac:dyDescent="0.2">
      <c r="A238">
        <f>0.3-0.3*2^-52</f>
        <v>0.29999999999999993</v>
      </c>
    </row>
    <row r="239" spans="1:1" x14ac:dyDescent="0.2">
      <c r="A239">
        <f>0.3-0.3*2^-51</f>
        <v>0.29999999999999988</v>
      </c>
    </row>
    <row r="240" spans="1:1" x14ac:dyDescent="0.2">
      <c r="A240">
        <f>0.3-0.3*2^-50</f>
        <v>0.29999999999999971</v>
      </c>
    </row>
    <row r="241" spans="1:1" x14ac:dyDescent="0.2">
      <c r="A241">
        <f>0.3-0.3*2^-49</f>
        <v>0.29999999999999943</v>
      </c>
    </row>
    <row r="242" spans="1:1" x14ac:dyDescent="0.2">
      <c r="A242">
        <f>0.3-0.3*2^-48</f>
        <v>0.29999999999999893</v>
      </c>
    </row>
    <row r="243" spans="1:1" x14ac:dyDescent="0.2">
      <c r="A243">
        <f>0.3-0.3*2^-47</f>
        <v>0.29999999999999788</v>
      </c>
    </row>
    <row r="244" spans="1:1" x14ac:dyDescent="0.2">
      <c r="A244">
        <f>0.3-0.3*2^-46</f>
        <v>0.29999999999999571</v>
      </c>
    </row>
    <row r="245" spans="1:1" x14ac:dyDescent="0.2">
      <c r="A245">
        <f>0.3-0.3*2^-45</f>
        <v>0.29999999999999144</v>
      </c>
    </row>
    <row r="246" spans="1:1" x14ac:dyDescent="0.2">
      <c r="A246">
        <f>0.3-0.3*2^-44</f>
        <v>0.29999999999998295</v>
      </c>
    </row>
    <row r="247" spans="1:1" x14ac:dyDescent="0.2">
      <c r="A247">
        <f>0.3-0.3*2^-42</f>
        <v>0.29999999999993177</v>
      </c>
    </row>
    <row r="248" spans="1:1" x14ac:dyDescent="0.2">
      <c r="A248">
        <f>0.3+0.3*2^-52</f>
        <v>0.30000000000000004</v>
      </c>
    </row>
    <row r="249" spans="1:1" x14ac:dyDescent="0.2">
      <c r="A249">
        <f>0.3+0.3*2^-51</f>
        <v>0.3000000000000001</v>
      </c>
    </row>
    <row r="250" spans="1:1" x14ac:dyDescent="0.2">
      <c r="A250">
        <f>0.3+0.3*2^-50</f>
        <v>0.30000000000000027</v>
      </c>
    </row>
    <row r="251" spans="1:1" x14ac:dyDescent="0.2">
      <c r="A251">
        <f>0.3+0.3*2^-49</f>
        <v>0.30000000000000054</v>
      </c>
    </row>
    <row r="252" spans="1:1" x14ac:dyDescent="0.2">
      <c r="A252">
        <f>0.3+0.3*2^-48</f>
        <v>0.30000000000000104</v>
      </c>
    </row>
    <row r="253" spans="1:1" x14ac:dyDescent="0.2">
      <c r="A253">
        <f>0.3+0.3*2^-47</f>
        <v>0.3000000000000021</v>
      </c>
    </row>
    <row r="254" spans="1:1" x14ac:dyDescent="0.2">
      <c r="A254">
        <f>0.3+0.3*2^-46</f>
        <v>0.30000000000000426</v>
      </c>
    </row>
    <row r="255" spans="1:1" x14ac:dyDescent="0.2">
      <c r="A255">
        <f>0.3+0.3*2^-45</f>
        <v>0.30000000000000854</v>
      </c>
    </row>
    <row r="256" spans="1:1" x14ac:dyDescent="0.2">
      <c r="A256">
        <f>0.3+0.3*2^-44</f>
        <v>0.30000000000001703</v>
      </c>
    </row>
    <row r="257" spans="1:1" x14ac:dyDescent="0.2">
      <c r="A257">
        <f>0.3+0.3*2^-42</f>
        <v>0.30000000000006821</v>
      </c>
    </row>
    <row r="258" spans="1:1" x14ac:dyDescent="0.2">
      <c r="A258">
        <f>1-0.00000002</f>
        <v>0.99999998000000001</v>
      </c>
    </row>
    <row r="259" spans="1:1" x14ac:dyDescent="0.2">
      <c r="A259">
        <f>1-0.000000025</f>
        <v>0.99999997500000004</v>
      </c>
    </row>
    <row r="260" spans="1:1" x14ac:dyDescent="0.2">
      <c r="A260">
        <f>1-0.000000029</f>
        <v>0.99999997100000004</v>
      </c>
    </row>
    <row r="261" spans="1:1" x14ac:dyDescent="0.2">
      <c r="A261">
        <f>1-0.00000003</f>
        <v>0.99999996999999996</v>
      </c>
    </row>
    <row r="262" spans="1:1" x14ac:dyDescent="0.2">
      <c r="A262">
        <f>1-0.000000031</f>
        <v>0.99999996899999999</v>
      </c>
    </row>
    <row r="263" spans="1:1" x14ac:dyDescent="0.2">
      <c r="A263">
        <f>1-0.00000004</f>
        <v>0.99999996000000002</v>
      </c>
    </row>
    <row r="264" spans="1:1" x14ac:dyDescent="0.2">
      <c r="A264">
        <f>1-0.000000049</f>
        <v>0.99999995100000005</v>
      </c>
    </row>
    <row r="265" spans="1:1" x14ac:dyDescent="0.2">
      <c r="A265">
        <f>1-0.000000051</f>
        <v>0.999999949</v>
      </c>
    </row>
    <row r="266" spans="1:1" x14ac:dyDescent="0.2">
      <c r="A266">
        <f>1-0.00000006</f>
        <v>0.99999994000000003</v>
      </c>
    </row>
    <row r="267" spans="1:1" x14ac:dyDescent="0.2">
      <c r="A267">
        <f>1-0.0000001</f>
        <v>0.99999990000000005</v>
      </c>
    </row>
    <row r="268" spans="1:1" x14ac:dyDescent="0.2">
      <c r="A268">
        <f>1-0.0000002</f>
        <v>0.99999979999999999</v>
      </c>
    </row>
    <row r="269" spans="1:1" x14ac:dyDescent="0.2">
      <c r="A269">
        <f>1-0.0000005</f>
        <v>0.99999950000000004</v>
      </c>
    </row>
    <row r="270" spans="1:1" x14ac:dyDescent="0.2">
      <c r="A270">
        <f>2-0.00000005</f>
        <v>1.9999999500000001</v>
      </c>
    </row>
    <row r="271" spans="1:1" x14ac:dyDescent="0.2">
      <c r="A271">
        <f>2-0.000000059</f>
        <v>1.999999941</v>
      </c>
    </row>
    <row r="272" spans="1:1" x14ac:dyDescent="0.2">
      <c r="A272">
        <f>2-0.00000006</f>
        <v>1.9999999399999999</v>
      </c>
    </row>
    <row r="273" spans="1:1" x14ac:dyDescent="0.2">
      <c r="A273">
        <f>2-0.0000001</f>
        <v>1.9999998999999999</v>
      </c>
    </row>
    <row r="274" spans="1:1" x14ac:dyDescent="0.2">
      <c r="A274">
        <f>2-0.00000012</f>
        <v>1.9999998800000001</v>
      </c>
    </row>
    <row r="275" spans="1:1" x14ac:dyDescent="0.2">
      <c r="A275">
        <f>2-0.0000003</f>
        <v>1.9999997</v>
      </c>
    </row>
    <row r="276" spans="1:1" x14ac:dyDescent="0.2">
      <c r="A276">
        <f>2-0.00000049</f>
        <v>1.9999995100000001</v>
      </c>
    </row>
    <row r="277" spans="1:1" x14ac:dyDescent="0.2">
      <c r="A277">
        <f>2-0.00000051</f>
        <v>1.99999949</v>
      </c>
    </row>
    <row r="278" spans="1:1" x14ac:dyDescent="0.2">
      <c r="A278">
        <f>2-0.000001</f>
        <v>1.9999990000000001</v>
      </c>
    </row>
    <row r="279" spans="1:1" x14ac:dyDescent="0.2">
      <c r="A279">
        <f>3-0.0000001</f>
        <v>2.9999999000000002</v>
      </c>
    </row>
    <row r="280" spans="1:1" x14ac:dyDescent="0.2">
      <c r="A280">
        <f>3-0.000000115</f>
        <v>2.9999998849999998</v>
      </c>
    </row>
    <row r="281" spans="1:1" x14ac:dyDescent="0.2">
      <c r="A281">
        <f>3-0.000000125</f>
        <v>2.9999998749999999</v>
      </c>
    </row>
    <row r="282" spans="1:1" x14ac:dyDescent="0.2">
      <c r="A282">
        <f>3-0.0000002</f>
        <v>2.9999997999999999</v>
      </c>
    </row>
    <row r="283" spans="1:1" x14ac:dyDescent="0.2">
      <c r="A283">
        <f>3-0.00000049</f>
        <v>2.9999995099999999</v>
      </c>
    </row>
    <row r="284" spans="1:1" x14ac:dyDescent="0.2">
      <c r="A284">
        <f>3-0.00000051</f>
        <v>2.99999949</v>
      </c>
    </row>
    <row r="285" spans="1:1" x14ac:dyDescent="0.2">
      <c r="A285">
        <f>3-0.000001</f>
        <v>2.9999989999999999</v>
      </c>
    </row>
    <row r="286" spans="1:1" x14ac:dyDescent="0.2">
      <c r="A286">
        <f>10-0.0000004</f>
        <v>9.9999996000000007</v>
      </c>
    </row>
    <row r="287" spans="1:1" x14ac:dyDescent="0.2">
      <c r="A287">
        <f>10-0.00000047</f>
        <v>9.9999995300000002</v>
      </c>
    </row>
    <row r="288" spans="1:1" x14ac:dyDescent="0.2">
      <c r="A288">
        <f>10-0.000000485</f>
        <v>9.9999995150000007</v>
      </c>
    </row>
    <row r="289" spans="1:1" x14ac:dyDescent="0.2">
      <c r="A289">
        <f>10-0.000000495</f>
        <v>9.9999995049999999</v>
      </c>
    </row>
    <row r="290" spans="1:1" x14ac:dyDescent="0.2">
      <c r="A290">
        <f>10-0.000000505</f>
        <v>9.9999994950000008</v>
      </c>
    </row>
    <row r="291" spans="1:1" x14ac:dyDescent="0.2">
      <c r="A291">
        <f>10-0.0000006</f>
        <v>9.9999994000000001</v>
      </c>
    </row>
    <row r="292" spans="1:1" x14ac:dyDescent="0.2">
      <c r="A292">
        <f>10-0.000001</f>
        <v>9.9999990000000007</v>
      </c>
    </row>
    <row r="293" spans="1:1" x14ac:dyDescent="0.2">
      <c r="A293">
        <f>100-0.0000037</f>
        <v>99.999996300000006</v>
      </c>
    </row>
    <row r="294" spans="1:1" x14ac:dyDescent="0.2">
      <c r="A294">
        <f>100-0.0000039</f>
        <v>99.999996100000004</v>
      </c>
    </row>
    <row r="295" spans="1:1" x14ac:dyDescent="0.2">
      <c r="A295">
        <f>100-0.0000049</f>
        <v>99.999995100000007</v>
      </c>
    </row>
    <row r="296" spans="1:1" x14ac:dyDescent="0.2">
      <c r="A296">
        <f>100-0.0000051</f>
        <v>99.999994900000004</v>
      </c>
    </row>
    <row r="297" spans="1:1" x14ac:dyDescent="0.2">
      <c r="A297">
        <f>100-0.00001</f>
        <v>99.999989999999997</v>
      </c>
    </row>
    <row r="298" spans="1:1" x14ac:dyDescent="0.2">
      <c r="A298">
        <f>1000000-0.03</f>
        <v>999999.97</v>
      </c>
    </row>
    <row r="299" spans="1:1" x14ac:dyDescent="0.2">
      <c r="A299">
        <f>1000000-0.0312</f>
        <v>999999.96880000003</v>
      </c>
    </row>
    <row r="300" spans="1:1" x14ac:dyDescent="0.2">
      <c r="A300">
        <f>1000000-0.0313</f>
        <v>999999.96869999997</v>
      </c>
    </row>
    <row r="301" spans="1:1" x14ac:dyDescent="0.2">
      <c r="A301">
        <f>1000000-0.04</f>
        <v>999999.96</v>
      </c>
    </row>
    <row r="302" spans="1:1" x14ac:dyDescent="0.2">
      <c r="A302">
        <f>1000000-0.049</f>
        <v>999999.951</v>
      </c>
    </row>
    <row r="303" spans="1:1" x14ac:dyDescent="0.2">
      <c r="A303">
        <f>1000000-0.051</f>
        <v>999999.94900000002</v>
      </c>
    </row>
    <row r="304" spans="1:1" x14ac:dyDescent="0.2">
      <c r="A304">
        <f>1000000-0.06</f>
        <v>999999.94</v>
      </c>
    </row>
    <row r="305" spans="1:1" x14ac:dyDescent="0.2">
      <c r="A305">
        <f>1-1*2^-40</f>
        <v>0.99999999999909051</v>
      </c>
    </row>
    <row r="306" spans="1:1" x14ac:dyDescent="0.2">
      <c r="A306">
        <f>1-1*2^-30</f>
        <v>0.99999999906867743</v>
      </c>
    </row>
    <row r="307" spans="1:1" x14ac:dyDescent="0.2">
      <c r="A307">
        <f>2-2*2^-40</f>
        <v>1.999999999998181</v>
      </c>
    </row>
    <row r="308" spans="1:1" x14ac:dyDescent="0.2">
      <c r="A308">
        <f>2-2*2^-30</f>
        <v>1.9999999981373549</v>
      </c>
    </row>
    <row r="309" spans="1:1" x14ac:dyDescent="0.2">
      <c r="A309">
        <f>3-3*2^-40</f>
        <v>2.9999999999972715</v>
      </c>
    </row>
    <row r="310" spans="1:1" x14ac:dyDescent="0.2">
      <c r="A310">
        <f>3-3*2^-30</f>
        <v>2.9999999972060323</v>
      </c>
    </row>
    <row r="311" spans="1:1" x14ac:dyDescent="0.2">
      <c r="A311">
        <f>4-4*2^-40</f>
        <v>3.999999999996362</v>
      </c>
    </row>
    <row r="312" spans="1:1" x14ac:dyDescent="0.2">
      <c r="A312">
        <f>4-4*2^-30</f>
        <v>3.9999999962747097</v>
      </c>
    </row>
    <row r="313" spans="1:1" x14ac:dyDescent="0.2">
      <c r="A313">
        <f>9-9*2^-40</f>
        <v>8.9999999999918145</v>
      </c>
    </row>
    <row r="314" spans="1:1" x14ac:dyDescent="0.2">
      <c r="A314">
        <f>9-9*2^-30</f>
        <v>8.9999999916180968</v>
      </c>
    </row>
    <row r="315" spans="1:1" x14ac:dyDescent="0.2">
      <c r="A315">
        <f>1-0.00000000002</f>
        <v>0.99999999998</v>
      </c>
    </row>
    <row r="316" spans="1:1" x14ac:dyDescent="0.2">
      <c r="A316">
        <f>1-0.00000000005</f>
        <v>0.99999999995</v>
      </c>
    </row>
    <row r="317" spans="1:1" x14ac:dyDescent="0.2">
      <c r="A317">
        <f>1-0.00000000008</f>
        <v>0.99999999991999999</v>
      </c>
    </row>
    <row r="318" spans="1:1" x14ac:dyDescent="0.2">
      <c r="A318">
        <f>1-0.0000000001</f>
        <v>0.99999999989999999</v>
      </c>
    </row>
    <row r="319" spans="1:1" x14ac:dyDescent="0.2">
      <c r="A319">
        <f>1-0.0000000002</f>
        <v>0.99999999979999998</v>
      </c>
    </row>
    <row r="320" spans="1:1" x14ac:dyDescent="0.2">
      <c r="A320">
        <f>10-0.00000000005</f>
        <v>9.9999999999500009</v>
      </c>
    </row>
    <row r="321" spans="1:1" x14ac:dyDescent="0.2">
      <c r="A321">
        <f>10-0.00000000008</f>
        <v>9.99999999992</v>
      </c>
    </row>
    <row r="322" spans="1:1" x14ac:dyDescent="0.2">
      <c r="A322">
        <f>10-0.0000000001</f>
        <v>9.9999999999</v>
      </c>
    </row>
    <row r="323" spans="1:1" x14ac:dyDescent="0.2">
      <c r="A323">
        <f>10-0.0000000002</f>
        <v>9.9999999998</v>
      </c>
    </row>
    <row r="324" spans="1:1" x14ac:dyDescent="0.2">
      <c r="A324">
        <f>10-0.0000000005</f>
        <v>9.9999999995</v>
      </c>
    </row>
    <row r="325" spans="1:1" x14ac:dyDescent="0.2">
      <c r="A325">
        <f>10-0.000000001</f>
        <v>9.9999999989999999</v>
      </c>
    </row>
    <row r="326" spans="1:1" x14ac:dyDescent="0.2">
      <c r="A326">
        <f>1000-0.0000000001</f>
        <v>999.99999999989996</v>
      </c>
    </row>
    <row r="327" spans="1:1" x14ac:dyDescent="0.2">
      <c r="A327">
        <f>1000-0.000000001</f>
        <v>999.99999999900001</v>
      </c>
    </row>
    <row r="328" spans="1:1" x14ac:dyDescent="0.2">
      <c r="A328">
        <f>1000-0.00000001</f>
        <v>999.99999998999999</v>
      </c>
    </row>
    <row r="329" spans="1:1" x14ac:dyDescent="0.2">
      <c r="A329">
        <f>1000-0.00000002</f>
        <v>999.99999997999998</v>
      </c>
    </row>
    <row r="330" spans="1:1" x14ac:dyDescent="0.2">
      <c r="A330">
        <f>1000-0.0000001</f>
        <v>999.99999990000003</v>
      </c>
    </row>
    <row r="331" spans="1:1" x14ac:dyDescent="0.2">
      <c r="A331">
        <f>45688-0.4/86400</f>
        <v>45687.999995370374</v>
      </c>
    </row>
    <row r="332" spans="1:1" x14ac:dyDescent="0.2">
      <c r="A332">
        <f>45688-0.49/86400</f>
        <v>45687.999994328704</v>
      </c>
    </row>
    <row r="333" spans="1:1" x14ac:dyDescent="0.2">
      <c r="A333">
        <f>45688-0.499/86400</f>
        <v>45687.999994224534</v>
      </c>
    </row>
    <row r="334" spans="1:1" x14ac:dyDescent="0.2">
      <c r="A334">
        <f>45688-0.501/86400</f>
        <v>45687.999994201389</v>
      </c>
    </row>
    <row r="335" spans="1:1" x14ac:dyDescent="0.2">
      <c r="A335">
        <f>45688-0.51/86400</f>
        <v>45687.999994097219</v>
      </c>
    </row>
    <row r="336" spans="1:1" x14ac:dyDescent="0.2">
      <c r="A336">
        <f>45688-0.6/86400</f>
        <v>45687.999993055557</v>
      </c>
    </row>
    <row r="337" spans="1:1" x14ac:dyDescent="0.2">
      <c r="A337">
        <f>45688-1/86400</f>
        <v>45687.999988425923</v>
      </c>
    </row>
    <row r="338" spans="1:1" x14ac:dyDescent="0.2">
      <c r="A338">
        <f>45658-0.4/86400</f>
        <v>45657.999995370374</v>
      </c>
    </row>
    <row r="339" spans="1:1" x14ac:dyDescent="0.2">
      <c r="A339">
        <f>45658-0.49/86400</f>
        <v>45657.999994328704</v>
      </c>
    </row>
    <row r="340" spans="1:1" x14ac:dyDescent="0.2">
      <c r="A340">
        <f>45658-0.499/86400</f>
        <v>45657.999994224534</v>
      </c>
    </row>
    <row r="341" spans="1:1" x14ac:dyDescent="0.2">
      <c r="A341">
        <f>45658-0.501/86400</f>
        <v>45657.999994201389</v>
      </c>
    </row>
    <row r="342" spans="1:1" x14ac:dyDescent="0.2">
      <c r="A342">
        <f>45658-0.51/86400</f>
        <v>45657.999994097219</v>
      </c>
    </row>
    <row r="343" spans="1:1" x14ac:dyDescent="0.2">
      <c r="A343">
        <f>45658-0.6/86400</f>
        <v>45657.999993055557</v>
      </c>
    </row>
    <row r="344" spans="1:1" x14ac:dyDescent="0.2">
      <c r="A344">
        <f>45658-1/86400</f>
        <v>45657.999988425923</v>
      </c>
    </row>
    <row r="345" spans="1:1" x14ac:dyDescent="0.2">
      <c r="A345">
        <f>1-0.00000022</f>
        <v>0.99999978</v>
      </c>
    </row>
    <row r="346" spans="1:1" x14ac:dyDescent="0.2">
      <c r="A346">
        <f>1-0.00000023</f>
        <v>0.99999976999999995</v>
      </c>
    </row>
    <row r="347" spans="1:1" x14ac:dyDescent="0.2">
      <c r="A347">
        <f>1-0.000000235</f>
        <v>0.99999976499999998</v>
      </c>
    </row>
    <row r="348" spans="1:1" x14ac:dyDescent="0.2">
      <c r="A348">
        <f>1-0.000000238</f>
        <v>0.99999976199999996</v>
      </c>
    </row>
    <row r="349" spans="1:1" x14ac:dyDescent="0.2">
      <c r="A349">
        <f>1-0.000000239</f>
        <v>0.99999976099999999</v>
      </c>
    </row>
    <row r="350" spans="1:1" x14ac:dyDescent="0.2">
      <c r="A350">
        <f>1-0.000000242</f>
        <v>0.99999975799999996</v>
      </c>
    </row>
    <row r="351" spans="1:1" x14ac:dyDescent="0.2">
      <c r="A351">
        <f>1-0.00000025</f>
        <v>0.99999974999999997</v>
      </c>
    </row>
    <row r="352" spans="1:1" x14ac:dyDescent="0.2">
      <c r="A352">
        <f>1-0.00000027</f>
        <v>0.99999972999999998</v>
      </c>
    </row>
    <row r="353" spans="1:1" x14ac:dyDescent="0.2">
      <c r="A353">
        <f>2-0.00000022</f>
        <v>1.99999978</v>
      </c>
    </row>
    <row r="354" spans="1:1" x14ac:dyDescent="0.2">
      <c r="A354">
        <f>2-0.00000023</f>
        <v>1.9999997700000001</v>
      </c>
    </row>
    <row r="355" spans="1:1" x14ac:dyDescent="0.2">
      <c r="A355">
        <f>2-0.000000235</f>
        <v>1.9999997650000001</v>
      </c>
    </row>
    <row r="356" spans="1:1" x14ac:dyDescent="0.2">
      <c r="A356">
        <f>2-0.000000238</f>
        <v>1.9999997620000001</v>
      </c>
    </row>
    <row r="357" spans="1:1" x14ac:dyDescent="0.2">
      <c r="A357">
        <f>2-0.000000239</f>
        <v>1.999999761</v>
      </c>
    </row>
    <row r="358" spans="1:1" x14ac:dyDescent="0.2">
      <c r="A358">
        <f>2-0.000000242</f>
        <v>1.999999758</v>
      </c>
    </row>
    <row r="359" spans="1:1" x14ac:dyDescent="0.2">
      <c r="A359">
        <f>2-0.00000025</f>
        <v>1.99999975</v>
      </c>
    </row>
    <row r="360" spans="1:1" x14ac:dyDescent="0.2">
      <c r="A360">
        <f>2-0.00000027</f>
        <v>1.9999997300000001</v>
      </c>
    </row>
    <row r="361" spans="1:1" x14ac:dyDescent="0.2">
      <c r="A361">
        <f>3-0.00000022</f>
        <v>2.99999978</v>
      </c>
    </row>
    <row r="362" spans="1:1" x14ac:dyDescent="0.2">
      <c r="A362">
        <f>3-0.00000023</f>
        <v>2.9999997700000001</v>
      </c>
    </row>
    <row r="363" spans="1:1" x14ac:dyDescent="0.2">
      <c r="A363">
        <f>3-0.000000235</f>
        <v>2.9999997650000001</v>
      </c>
    </row>
    <row r="364" spans="1:1" x14ac:dyDescent="0.2">
      <c r="A364">
        <f>3-0.000000238</f>
        <v>2.9999997619999998</v>
      </c>
    </row>
    <row r="365" spans="1:1" x14ac:dyDescent="0.2">
      <c r="A365">
        <f>3-0.000000239</f>
        <v>2.9999997610000002</v>
      </c>
    </row>
    <row r="366" spans="1:1" x14ac:dyDescent="0.2">
      <c r="A366">
        <f>3-0.000000242</f>
        <v>2.999999758</v>
      </c>
    </row>
    <row r="367" spans="1:1" x14ac:dyDescent="0.2">
      <c r="A367">
        <f>3-0.00000025</f>
        <v>2.9999997500000002</v>
      </c>
    </row>
    <row r="368" spans="1:1" x14ac:dyDescent="0.2">
      <c r="A368">
        <f>3-0.00000027</f>
        <v>2.9999997299999999</v>
      </c>
    </row>
    <row r="369" spans="1:1" x14ac:dyDescent="0.2">
      <c r="A369">
        <f>9-0.00000022</f>
        <v>8.9999997799999996</v>
      </c>
    </row>
    <row r="370" spans="1:1" x14ac:dyDescent="0.2">
      <c r="A370">
        <f>9-0.00000023</f>
        <v>8.9999997700000005</v>
      </c>
    </row>
    <row r="371" spans="1:1" x14ac:dyDescent="0.2">
      <c r="A371">
        <f>9-0.000000235</f>
        <v>8.9999997650000001</v>
      </c>
    </row>
    <row r="372" spans="1:1" x14ac:dyDescent="0.2">
      <c r="A372">
        <f>9-0.000000238</f>
        <v>8.9999997619999998</v>
      </c>
    </row>
    <row r="373" spans="1:1" x14ac:dyDescent="0.2">
      <c r="A373">
        <f>9-0.000000239</f>
        <v>8.9999997609999998</v>
      </c>
    </row>
    <row r="374" spans="1:1" x14ac:dyDescent="0.2">
      <c r="A374">
        <f>9-0.000000242</f>
        <v>8.9999997579999995</v>
      </c>
    </row>
    <row r="375" spans="1:1" x14ac:dyDescent="0.2">
      <c r="A375">
        <f>9-0.00000025</f>
        <v>8.9999997500000006</v>
      </c>
    </row>
    <row r="376" spans="1:1" x14ac:dyDescent="0.2">
      <c r="A376">
        <f>9-0.00000027</f>
        <v>8.9999997300000008</v>
      </c>
    </row>
    <row r="377" spans="1:1" x14ac:dyDescent="0.2">
      <c r="A377">
        <f>10-0.0000001</f>
        <v>9.9999999000000006</v>
      </c>
    </row>
    <row r="378" spans="1:1" x14ac:dyDescent="0.2">
      <c r="A378">
        <f>10-0.0000002</f>
        <v>9.9999997999999994</v>
      </c>
    </row>
    <row r="379" spans="1:1" x14ac:dyDescent="0.2">
      <c r="A379">
        <f>10-0.00000022</f>
        <v>9.9999997799999996</v>
      </c>
    </row>
    <row r="380" spans="1:1" x14ac:dyDescent="0.2">
      <c r="A380">
        <f>10-0.00000023</f>
        <v>9.9999997700000005</v>
      </c>
    </row>
    <row r="381" spans="1:1" x14ac:dyDescent="0.2">
      <c r="A381">
        <f>10-0.000000235</f>
        <v>9.9999997650000001</v>
      </c>
    </row>
    <row r="382" spans="1:1" x14ac:dyDescent="0.2">
      <c r="A382">
        <f>10-0.000000238</f>
        <v>9.9999997619999998</v>
      </c>
    </row>
    <row r="383" spans="1:1" x14ac:dyDescent="0.2">
      <c r="A383">
        <f>10-0.000000239</f>
        <v>9.9999997609999998</v>
      </c>
    </row>
    <row r="384" spans="1:1" x14ac:dyDescent="0.2">
      <c r="A384">
        <f>10-0.000000242</f>
        <v>9.9999997579999995</v>
      </c>
    </row>
    <row r="385" spans="1:1" x14ac:dyDescent="0.2">
      <c r="A385">
        <f>10-0.00000025</f>
        <v>9.9999997500000006</v>
      </c>
    </row>
    <row r="386" spans="1:1" x14ac:dyDescent="0.2">
      <c r="A386">
        <f>10-0.00000027</f>
        <v>9.9999997300000008</v>
      </c>
    </row>
    <row r="387" spans="1:1" x14ac:dyDescent="0.2">
      <c r="A387">
        <f>-2+0.0000001</f>
        <v>-1.9999998999999999</v>
      </c>
    </row>
    <row r="388" spans="1:1" x14ac:dyDescent="0.2">
      <c r="A388">
        <f>-2+0.00000023</f>
        <v>-1.9999997700000001</v>
      </c>
    </row>
    <row r="389" spans="1:1" x14ac:dyDescent="0.2">
      <c r="A389">
        <f>-2+0.00000025</f>
        <v>-1.99999975</v>
      </c>
    </row>
    <row r="390" spans="1:1" x14ac:dyDescent="0.2">
      <c r="A390">
        <f>-2+0.0000003</f>
        <v>-1.9999997</v>
      </c>
    </row>
    <row r="391" spans="1:1" x14ac:dyDescent="0.2">
      <c r="A391">
        <f>1-0.000000000105</f>
        <v>0.99999999989499999</v>
      </c>
    </row>
    <row r="392" spans="1:1" x14ac:dyDescent="0.2">
      <c r="A392">
        <f>1-0.00000000011</f>
        <v>0.99999999988999999</v>
      </c>
    </row>
    <row r="393" spans="1:1" x14ac:dyDescent="0.2">
      <c r="A393">
        <f>1-0.000000000115</f>
        <v>0.99999999988499999</v>
      </c>
    </row>
    <row r="394" spans="1:1" x14ac:dyDescent="0.2">
      <c r="A394">
        <f>1-0.000000000116</f>
        <v>0.99999999988400001</v>
      </c>
    </row>
    <row r="395" spans="1:1" x14ac:dyDescent="0.2">
      <c r="A395">
        <f>1-0.000000000117</f>
        <v>0.99999999988300003</v>
      </c>
    </row>
    <row r="396" spans="1:1" x14ac:dyDescent="0.2">
      <c r="A396">
        <f>1-0.00000000012</f>
        <v>0.99999999987999999</v>
      </c>
    </row>
    <row r="397" spans="1:1" x14ac:dyDescent="0.2">
      <c r="A397">
        <f>1-0.00000000015</f>
        <v>0.99999999984999999</v>
      </c>
    </row>
    <row r="398" spans="1:1" x14ac:dyDescent="0.2">
      <c r="A398">
        <f>10-0.000000000105</f>
        <v>9.9999999998949995</v>
      </c>
    </row>
    <row r="399" spans="1:1" x14ac:dyDescent="0.2">
      <c r="A399">
        <f>10-0.00000000011</f>
        <v>9.9999999998900009</v>
      </c>
    </row>
    <row r="400" spans="1:1" x14ac:dyDescent="0.2">
      <c r="A400">
        <f>10-0.000000000115</f>
        <v>9.9999999998850004</v>
      </c>
    </row>
    <row r="401" spans="1:1" x14ac:dyDescent="0.2">
      <c r="A401">
        <f>10-0.000000000116</f>
        <v>9.9999999998840003</v>
      </c>
    </row>
    <row r="402" spans="1:1" x14ac:dyDescent="0.2">
      <c r="A402">
        <f>10-0.000000000117</f>
        <v>9.9999999998830003</v>
      </c>
    </row>
    <row r="403" spans="1:1" x14ac:dyDescent="0.2">
      <c r="A403">
        <f>10-0.00000000012</f>
        <v>9.99999999988</v>
      </c>
    </row>
    <row r="404" spans="1:1" x14ac:dyDescent="0.2">
      <c r="A404">
        <f>10-0.00000000015</f>
        <v>9.9999999998500009</v>
      </c>
    </row>
    <row r="405" spans="1:1" x14ac:dyDescent="0.2">
      <c r="A405">
        <f>1000-0.000000000105</f>
        <v>999.99999999989495</v>
      </c>
    </row>
    <row r="406" spans="1:1" x14ac:dyDescent="0.2">
      <c r="A406">
        <f>1000-0.00000000011</f>
        <v>999.99999999988995</v>
      </c>
    </row>
    <row r="407" spans="1:1" x14ac:dyDescent="0.2">
      <c r="A407">
        <f>1000-0.000000000115</f>
        <v>999.99999999988495</v>
      </c>
    </row>
    <row r="408" spans="1:1" x14ac:dyDescent="0.2">
      <c r="A408">
        <f>1000-0.000000000116</f>
        <v>999.99999999988404</v>
      </c>
    </row>
    <row r="409" spans="1:1" x14ac:dyDescent="0.2">
      <c r="A409">
        <f>1000-0.000000000117</f>
        <v>999.99999999988302</v>
      </c>
    </row>
    <row r="410" spans="1:1" x14ac:dyDescent="0.2">
      <c r="A410">
        <f>1000-0.00000000012</f>
        <v>999.99999999987995</v>
      </c>
    </row>
    <row r="411" spans="1:1" x14ac:dyDescent="0.2">
      <c r="A411">
        <f>1000-0.00000000015</f>
        <v>999.99999999985005</v>
      </c>
    </row>
    <row r="412" spans="1:1" x14ac:dyDescent="0.2">
      <c r="A412">
        <f>2025-2025*2^-40</f>
        <v>2024.9999999981583</v>
      </c>
    </row>
    <row r="413" spans="1:1" x14ac:dyDescent="0.2">
      <c r="A413">
        <f>2025-2025*2^-30</f>
        <v>2024.9999981140718</v>
      </c>
    </row>
    <row r="414" spans="1:1" x14ac:dyDescent="0.2">
      <c r="A414">
        <f>5-5*2^-40</f>
        <v>4.9999999999954525</v>
      </c>
    </row>
    <row r="415" spans="1:1" x14ac:dyDescent="0.2">
      <c r="A415">
        <f>5-5*2^-30</f>
        <v>4.9999999953433871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1"/>
  <sheetViews>
    <sheetView workbookViewId="0"/>
  </sheetViews>
  <sheetFormatPr baseColWidth="10" defaultColWidth="8.83203125" defaultRowHeight="15" x14ac:dyDescent="0.2"/>
  <sheetData>
    <row r="1" spans="1:5" x14ac:dyDescent="0.2">
      <c r="A1" t="b" cm="1">
        <f t="array" ref="A1">ISEVEN(NI!A395)</f>
        <v>1</v>
      </c>
      <c r="B1">
        <f t="shared" ref="B1:B64" si="0">IF(ISERROR(A1),ERROR.TYPE(A1),IF(ISNUMBER(A1),0,IF(ISLOGICAL(A1),IF(A1,-1,-2),IF(ISTEXT(A1),-3,-4))))</f>
        <v>-1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35</v>
      </c>
    </row>
    <row r="2" spans="1:5" x14ac:dyDescent="0.2">
      <c r="A2" t="b" cm="1">
        <f t="array" ref="A2">ISEVEN(NI!A396)</f>
        <v>1</v>
      </c>
      <c r="B2">
        <f t="shared" si="0"/>
        <v>-1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b" cm="1">
        <f t="array" ref="A3">ISEVEN(NI!A397)</f>
        <v>1</v>
      </c>
      <c r="B3">
        <f t="shared" si="0"/>
        <v>-1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b" cm="1">
        <f t="array" ref="A4">ISEVEN(NI!A398)</f>
        <v>0</v>
      </c>
      <c r="B4">
        <f t="shared" si="0"/>
        <v>-2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b" cm="1">
        <f t="array" ref="A5">ISEVEN(NI!A399)</f>
        <v>0</v>
      </c>
      <c r="B5">
        <f t="shared" si="0"/>
        <v>-2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b" cm="1">
        <f t="array" ref="A6">ISEVEN(NI!A400)</f>
        <v>0</v>
      </c>
      <c r="B6">
        <f t="shared" si="0"/>
        <v>-2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b" cm="1">
        <f t="array" ref="A7">ISEVEN(NI!A401)</f>
        <v>0</v>
      </c>
      <c r="B7">
        <f t="shared" si="0"/>
        <v>-2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b" cm="1">
        <f t="array" ref="A8">ISEVEN(NI!A402)</f>
        <v>0</v>
      </c>
      <c r="B8">
        <f t="shared" si="0"/>
        <v>-2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t="b" cm="1">
        <f t="array" ref="A9">ISEVEN(NI!A403)</f>
        <v>0</v>
      </c>
      <c r="B9">
        <f t="shared" si="0"/>
        <v>-2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t="b" cm="1">
        <f t="array" ref="A10">ISEVEN(NI!A404)</f>
        <v>0</v>
      </c>
      <c r="B10">
        <f t="shared" si="0"/>
        <v>-2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b" cm="1">
        <f t="array" ref="A11">ISEVEN(NI!A405)</f>
        <v>0</v>
      </c>
      <c r="B11">
        <f t="shared" si="0"/>
        <v>-2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t="b" cm="1">
        <f t="array" ref="A12">ISEVEN(NI!A406)</f>
        <v>0</v>
      </c>
      <c r="B12">
        <f t="shared" si="0"/>
        <v>-2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b" cm="1">
        <f t="array" ref="A13">ISEVEN(NI!A407)</f>
        <v>0</v>
      </c>
      <c r="B13">
        <f t="shared" si="0"/>
        <v>-2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b" cm="1">
        <f t="array" ref="A14">ISEVEN(NI!A408)</f>
        <v>0</v>
      </c>
      <c r="B14">
        <f t="shared" si="0"/>
        <v>-2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t="b" cm="1">
        <f t="array" ref="A15">ISEVEN(NI!A409)</f>
        <v>0</v>
      </c>
      <c r="B15">
        <f t="shared" si="0"/>
        <v>-2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t="b" cm="1">
        <f t="array" ref="A16">ISEVEN(NI!A410)</f>
        <v>0</v>
      </c>
      <c r="B16">
        <f t="shared" si="0"/>
        <v>-2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t="b" cm="1">
        <f t="array" ref="A17">ISEVEN(NI!A411)</f>
        <v>0</v>
      </c>
      <c r="B17">
        <f t="shared" si="0"/>
        <v>-2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t="b" cm="1">
        <f t="array" ref="A18">ISODD(NI!A391)</f>
        <v>0</v>
      </c>
      <c r="B18">
        <f t="shared" si="0"/>
        <v>-2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t="b" cm="1">
        <f t="array" ref="A19">ISODD(NI!A392)</f>
        <v>0</v>
      </c>
      <c r="B19">
        <f t="shared" si="0"/>
        <v>-2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b" cm="1">
        <f t="array" ref="A20">ISODD(NI!A393)</f>
        <v>0</v>
      </c>
      <c r="B20">
        <f t="shared" si="0"/>
        <v>-2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t="b" cm="1">
        <f t="array" ref="A21">ISODD(NI!A394)</f>
        <v>0</v>
      </c>
      <c r="B21">
        <f t="shared" si="0"/>
        <v>-2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t="b" cm="1">
        <f t="array" ref="A22">ISODD(NI!A395)</f>
        <v>0</v>
      </c>
      <c r="B22">
        <f t="shared" si="0"/>
        <v>-2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b" cm="1">
        <f t="array" ref="A23">ISODD(NI!A396)</f>
        <v>0</v>
      </c>
      <c r="B23">
        <f t="shared" si="0"/>
        <v>-2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t="b" cm="1">
        <f t="array" ref="A24">ISODD(NI!A397)</f>
        <v>0</v>
      </c>
      <c r="B24">
        <f t="shared" si="0"/>
        <v>-2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t="b" cm="1">
        <f t="array" ref="A25">ISODD(NI!A398)</f>
        <v>1</v>
      </c>
      <c r="B25">
        <f t="shared" si="0"/>
        <v>-1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t="b" cm="1">
        <f t="array" ref="A26">ISODD(NI!A399)</f>
        <v>1</v>
      </c>
      <c r="B26">
        <f t="shared" si="0"/>
        <v>-1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t="b" cm="1">
        <f t="array" ref="A27">ISODD(NI!A400)</f>
        <v>1</v>
      </c>
      <c r="B27">
        <f t="shared" si="0"/>
        <v>-1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t="b" cm="1">
        <f t="array" ref="A28">ISODD(NI!A401)</f>
        <v>1</v>
      </c>
      <c r="B28">
        <f t="shared" si="0"/>
        <v>-1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t="b" cm="1">
        <f t="array" ref="A29">ISODD(NI!A402)</f>
        <v>1</v>
      </c>
      <c r="B29">
        <f t="shared" si="0"/>
        <v>-1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t="b" cm="1">
        <f t="array" ref="A30">ISODD(NI!A403)</f>
        <v>1</v>
      </c>
      <c r="B30">
        <f t="shared" si="0"/>
        <v>-1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t="b" cm="1">
        <f t="array" ref="A31">ISODD(NI!A404)</f>
        <v>1</v>
      </c>
      <c r="B31">
        <f t="shared" si="0"/>
        <v>-1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t="b" cm="1">
        <f t="array" ref="A32">ISODD(NI!A405)</f>
        <v>1</v>
      </c>
      <c r="B32">
        <f t="shared" si="0"/>
        <v>-1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t="b" cm="1">
        <f t="array" ref="A33">ISODD(NI!A406)</f>
        <v>1</v>
      </c>
      <c r="B33">
        <f t="shared" si="0"/>
        <v>-1</v>
      </c>
      <c r="C33">
        <f t="shared" si="1"/>
        <v>0</v>
      </c>
      <c r="D33" t="str">
        <f t="shared" si="2"/>
        <v/>
      </c>
      <c r="E33" t="s">
        <v>67</v>
      </c>
    </row>
    <row r="34" spans="1:5" x14ac:dyDescent="0.2">
      <c r="A34" t="b" cm="1">
        <f t="array" ref="A34">ISODD(NI!A407)</f>
        <v>1</v>
      </c>
      <c r="B34">
        <f t="shared" si="0"/>
        <v>-1</v>
      </c>
      <c r="C34">
        <f t="shared" si="1"/>
        <v>0</v>
      </c>
      <c r="D34" t="str">
        <f t="shared" si="2"/>
        <v/>
      </c>
      <c r="E34" t="s">
        <v>68</v>
      </c>
    </row>
    <row r="35" spans="1:5" x14ac:dyDescent="0.2">
      <c r="A35" t="b" cm="1">
        <f t="array" ref="A35">ISODD(NI!A408)</f>
        <v>1</v>
      </c>
      <c r="B35">
        <f t="shared" si="0"/>
        <v>-1</v>
      </c>
      <c r="C35">
        <f t="shared" si="1"/>
        <v>0</v>
      </c>
      <c r="D35" t="str">
        <f t="shared" si="2"/>
        <v/>
      </c>
      <c r="E35" t="s">
        <v>69</v>
      </c>
    </row>
    <row r="36" spans="1:5" x14ac:dyDescent="0.2">
      <c r="A36" t="b" cm="1">
        <f t="array" ref="A36">ISODD(NI!A409)</f>
        <v>1</v>
      </c>
      <c r="B36">
        <f t="shared" si="0"/>
        <v>-1</v>
      </c>
      <c r="C36">
        <f t="shared" si="1"/>
        <v>0</v>
      </c>
      <c r="D36" t="str">
        <f t="shared" si="2"/>
        <v/>
      </c>
      <c r="E36" t="s">
        <v>70</v>
      </c>
    </row>
    <row r="37" spans="1:5" x14ac:dyDescent="0.2">
      <c r="A37" t="b" cm="1">
        <f t="array" ref="A37">ISODD(NI!A410)</f>
        <v>1</v>
      </c>
      <c r="B37">
        <f t="shared" si="0"/>
        <v>-1</v>
      </c>
      <c r="C37">
        <f t="shared" si="1"/>
        <v>0</v>
      </c>
      <c r="D37" t="str">
        <f t="shared" si="2"/>
        <v/>
      </c>
      <c r="E37" t="s">
        <v>71</v>
      </c>
    </row>
    <row r="38" spans="1:5" x14ac:dyDescent="0.2">
      <c r="A38" t="b" cm="1">
        <f t="array" ref="A38">ISODD(NI!A411)</f>
        <v>1</v>
      </c>
      <c r="B38">
        <f t="shared" si="0"/>
        <v>-1</v>
      </c>
      <c r="C38">
        <f t="shared" si="1"/>
        <v>0</v>
      </c>
      <c r="D38" t="str">
        <f t="shared" si="2"/>
        <v/>
      </c>
      <c r="E38" t="s">
        <v>72</v>
      </c>
    </row>
    <row r="39" spans="1:5" x14ac:dyDescent="0.2">
      <c r="A39" cm="1">
        <f t="array" ref="A39">DATE(NI!A412,1,1)</f>
        <v>45658</v>
      </c>
      <c r="B39">
        <f t="shared" si="0"/>
        <v>0</v>
      </c>
      <c r="C39">
        <f t="shared" si="1"/>
        <v>45658</v>
      </c>
      <c r="D39" t="str">
        <f t="shared" si="2"/>
        <v/>
      </c>
      <c r="E39" t="s">
        <v>73</v>
      </c>
    </row>
    <row r="40" spans="1:5" x14ac:dyDescent="0.2">
      <c r="A40" cm="1">
        <f t="array" ref="A40">DATE(NI!A413,1,1)</f>
        <v>45292</v>
      </c>
      <c r="B40">
        <f t="shared" si="0"/>
        <v>0</v>
      </c>
      <c r="C40">
        <f t="shared" si="1"/>
        <v>45292</v>
      </c>
      <c r="D40" t="str">
        <f t="shared" si="2"/>
        <v/>
      </c>
      <c r="E40" t="s">
        <v>74</v>
      </c>
    </row>
    <row r="41" spans="1:5" x14ac:dyDescent="0.2">
      <c r="A41" cm="1">
        <f t="array" ref="A41">INDEX(D!B1:B8,1,1,NI!A305)</f>
        <v>4</v>
      </c>
      <c r="B41">
        <f t="shared" si="0"/>
        <v>0</v>
      </c>
      <c r="C41">
        <f t="shared" si="1"/>
        <v>4</v>
      </c>
      <c r="D41" t="str">
        <f t="shared" si="2"/>
        <v/>
      </c>
      <c r="E41" t="s">
        <v>75</v>
      </c>
    </row>
    <row r="42" spans="1:5" x14ac:dyDescent="0.2">
      <c r="A42" cm="1">
        <f t="array" ref="A42">INDEX(D!B1:B8,1,1,NI!A306)</f>
        <v>4</v>
      </c>
      <c r="B42">
        <f t="shared" si="0"/>
        <v>0</v>
      </c>
      <c r="C42">
        <f t="shared" si="1"/>
        <v>4</v>
      </c>
      <c r="D42" t="str">
        <f t="shared" si="2"/>
        <v/>
      </c>
      <c r="E42" t="s">
        <v>76</v>
      </c>
    </row>
    <row r="43" spans="1:5" x14ac:dyDescent="0.2">
      <c r="A43" cm="1">
        <f t="array" ref="A43">COLUMNS(_xlfn.TOROW(D!D4:D6,NI!A305))</f>
        <v>3</v>
      </c>
      <c r="B43">
        <f t="shared" si="0"/>
        <v>0</v>
      </c>
      <c r="C43">
        <f t="shared" si="1"/>
        <v>3</v>
      </c>
      <c r="D43" t="str">
        <f t="shared" si="2"/>
        <v/>
      </c>
      <c r="E43" t="s">
        <v>77</v>
      </c>
    </row>
    <row r="44" spans="1:5" x14ac:dyDescent="0.2">
      <c r="A44" cm="1">
        <f t="array" ref="A44">COLUMNS(_xlfn.TOROW(D!D4:D6,NI!A306))</f>
        <v>3</v>
      </c>
      <c r="B44">
        <f t="shared" si="0"/>
        <v>0</v>
      </c>
      <c r="C44">
        <f t="shared" si="1"/>
        <v>3</v>
      </c>
      <c r="D44" t="str">
        <f t="shared" si="2"/>
        <v/>
      </c>
      <c r="E44" t="s">
        <v>78</v>
      </c>
    </row>
    <row r="45" spans="1:5" x14ac:dyDescent="0.2">
      <c r="A45" cm="1">
        <f t="array" ref="A45">_xlfn.PERCENTRANK.EXC(D!B1:B8,10,NI!A307)</f>
        <v>0.4</v>
      </c>
      <c r="B45">
        <f t="shared" si="0"/>
        <v>0</v>
      </c>
      <c r="C45">
        <f t="shared" si="1"/>
        <v>0.4</v>
      </c>
      <c r="D45" t="str">
        <f t="shared" si="2"/>
        <v/>
      </c>
      <c r="E45" t="s">
        <v>79</v>
      </c>
    </row>
    <row r="46" spans="1:5" x14ac:dyDescent="0.2">
      <c r="A46" cm="1">
        <f t="array" ref="A46">_xlfn.PERCENTRANK.EXC(D!B1:B8,10,NI!A308)</f>
        <v>0.4</v>
      </c>
      <c r="B46">
        <f t="shared" si="0"/>
        <v>0</v>
      </c>
      <c r="C46">
        <f t="shared" si="1"/>
        <v>0.4</v>
      </c>
      <c r="D46" t="str">
        <f t="shared" si="2"/>
        <v/>
      </c>
      <c r="E46" t="s">
        <v>80</v>
      </c>
    </row>
    <row r="47" spans="1:5" x14ac:dyDescent="0.2">
      <c r="A47" cm="1">
        <f t="array" ref="A47">_xlfn.PERCENTRANK.EXC(D!B1:B8,10,NI!A309)</f>
        <v>0.43</v>
      </c>
      <c r="B47">
        <f t="shared" si="0"/>
        <v>0</v>
      </c>
      <c r="C47">
        <f t="shared" si="1"/>
        <v>0.43</v>
      </c>
      <c r="D47" t="str">
        <f t="shared" si="2"/>
        <v/>
      </c>
      <c r="E47" t="s">
        <v>81</v>
      </c>
    </row>
    <row r="48" spans="1:5" x14ac:dyDescent="0.2">
      <c r="A48" cm="1">
        <f t="array" ref="A48">_xlfn.PERCENTRANK.EXC(D!B1:B8,10,NI!A310)</f>
        <v>0.43</v>
      </c>
      <c r="B48">
        <f t="shared" si="0"/>
        <v>0</v>
      </c>
      <c r="C48">
        <f t="shared" si="1"/>
        <v>0.43</v>
      </c>
      <c r="D48" t="str">
        <f t="shared" si="2"/>
        <v/>
      </c>
      <c r="E48" t="s">
        <v>82</v>
      </c>
    </row>
    <row r="49" spans="1:5" x14ac:dyDescent="0.2">
      <c r="A49" cm="1">
        <f t="array" ref="A49">PERCENTRANK(D!B1:B8,10,NI!A307)</f>
        <v>0.4</v>
      </c>
      <c r="B49">
        <f t="shared" si="0"/>
        <v>0</v>
      </c>
      <c r="C49">
        <f t="shared" si="1"/>
        <v>0.4</v>
      </c>
      <c r="D49" t="str">
        <f t="shared" si="2"/>
        <v/>
      </c>
      <c r="E49" t="s">
        <v>83</v>
      </c>
    </row>
    <row r="50" spans="1:5" x14ac:dyDescent="0.2">
      <c r="A50" cm="1">
        <f t="array" ref="A50">PERCENTRANK(D!B1:B8,10,NI!A308)</f>
        <v>0.4</v>
      </c>
      <c r="B50">
        <f t="shared" si="0"/>
        <v>0</v>
      </c>
      <c r="C50">
        <f t="shared" si="1"/>
        <v>0.4</v>
      </c>
      <c r="D50" t="str">
        <f t="shared" si="2"/>
        <v/>
      </c>
      <c r="E50" t="s">
        <v>84</v>
      </c>
    </row>
    <row r="51" spans="1:5" x14ac:dyDescent="0.2">
      <c r="A51" cm="1">
        <f t="array" ref="A51">PERCENTRANK(D!B1:B8,10,NI!A309)</f>
        <v>0.41</v>
      </c>
      <c r="B51">
        <f t="shared" si="0"/>
        <v>0</v>
      </c>
      <c r="C51">
        <f t="shared" si="1"/>
        <v>0.41</v>
      </c>
      <c r="D51" t="str">
        <f t="shared" si="2"/>
        <v/>
      </c>
      <c r="E51" t="s">
        <v>85</v>
      </c>
    </row>
    <row r="52" spans="1:5" x14ac:dyDescent="0.2">
      <c r="A52" cm="1">
        <f t="array" ref="A52">PERCENTRANK(D!B1:B8,10,NI!A310)</f>
        <v>0.41</v>
      </c>
      <c r="B52">
        <f t="shared" si="0"/>
        <v>0</v>
      </c>
      <c r="C52">
        <f t="shared" si="1"/>
        <v>0.41</v>
      </c>
      <c r="D52" t="str">
        <f t="shared" si="2"/>
        <v/>
      </c>
      <c r="E52" t="s">
        <v>86</v>
      </c>
    </row>
    <row r="53" spans="1:5" x14ac:dyDescent="0.2">
      <c r="A53" cm="1">
        <f t="array" ref="A53">_xlfn.BINOM.DIST.RANGE(NI!A307,0.5,1)</f>
        <v>0.5</v>
      </c>
      <c r="B53">
        <f t="shared" si="0"/>
        <v>0</v>
      </c>
      <c r="C53">
        <f t="shared" si="1"/>
        <v>0.5</v>
      </c>
      <c r="D53" t="str">
        <f t="shared" si="2"/>
        <v/>
      </c>
      <c r="E53" t="s">
        <v>87</v>
      </c>
    </row>
    <row r="54" spans="1:5" x14ac:dyDescent="0.2">
      <c r="A54" cm="1">
        <f t="array" ref="A54">_xlfn.BINOM.DIST.RANGE(NI!A308,0.5,1)</f>
        <v>0.5</v>
      </c>
      <c r="B54">
        <f t="shared" si="0"/>
        <v>0</v>
      </c>
      <c r="C54">
        <f t="shared" si="1"/>
        <v>0.5</v>
      </c>
      <c r="D54" t="str">
        <f t="shared" si="2"/>
        <v/>
      </c>
      <c r="E54" t="s">
        <v>88</v>
      </c>
    </row>
    <row r="55" spans="1:5" x14ac:dyDescent="0.2">
      <c r="A55" cm="1">
        <f t="array" ref="A55">_xlfn.BINOM.DIST.RANGE(NI!A309,0.5,1)</f>
        <v>0.49999999999999994</v>
      </c>
      <c r="B55">
        <f t="shared" si="0"/>
        <v>0</v>
      </c>
      <c r="C55">
        <f t="shared" si="1"/>
        <v>0.49999999999999994</v>
      </c>
      <c r="D55" t="str">
        <f t="shared" si="2"/>
        <v/>
      </c>
      <c r="E55" t="s">
        <v>89</v>
      </c>
    </row>
    <row r="56" spans="1:5" x14ac:dyDescent="0.2">
      <c r="A56" cm="1">
        <f t="array" ref="A56">_xlfn.BINOM.DIST.RANGE(NI!A310,0.5,1)</f>
        <v>0.49999999999999994</v>
      </c>
      <c r="B56">
        <f t="shared" si="0"/>
        <v>0</v>
      </c>
      <c r="C56">
        <f t="shared" si="1"/>
        <v>0.49999999999999994</v>
      </c>
      <c r="D56" t="str">
        <f t="shared" si="2"/>
        <v/>
      </c>
      <c r="E56" t="s">
        <v>90</v>
      </c>
    </row>
    <row r="57" spans="1:5" x14ac:dyDescent="0.2">
      <c r="A57" cm="1">
        <f t="array" ref="A57">_xlfn.CHISQ.DIST.RT(1,NI!A307)</f>
        <v>0.31731050786291398</v>
      </c>
      <c r="B57">
        <f t="shared" si="0"/>
        <v>0</v>
      </c>
      <c r="C57">
        <f t="shared" si="1"/>
        <v>0.31731050786291398</v>
      </c>
      <c r="D57" t="str">
        <f t="shared" si="2"/>
        <v/>
      </c>
      <c r="E57" t="s">
        <v>91</v>
      </c>
    </row>
    <row r="58" spans="1:5" x14ac:dyDescent="0.2">
      <c r="A58" cm="1">
        <f t="array" ref="A58">_xlfn.CHISQ.DIST.RT(1,NI!A308)</f>
        <v>0.31731050786291398</v>
      </c>
      <c r="B58">
        <f t="shared" si="0"/>
        <v>0</v>
      </c>
      <c r="C58">
        <f t="shared" si="1"/>
        <v>0.31731050786291398</v>
      </c>
      <c r="D58" t="str">
        <f t="shared" si="2"/>
        <v/>
      </c>
      <c r="E58" t="s">
        <v>92</v>
      </c>
    </row>
    <row r="59" spans="1:5" x14ac:dyDescent="0.2">
      <c r="A59" cm="1">
        <f t="array" ref="A59">_xlfn.CHISQ.DIST.RT(1,NI!A309)</f>
        <v>0.60653065971263342</v>
      </c>
      <c r="B59">
        <f t="shared" si="0"/>
        <v>0</v>
      </c>
      <c r="C59">
        <f t="shared" si="1"/>
        <v>0.60653065971263342</v>
      </c>
      <c r="D59" t="str">
        <f t="shared" si="2"/>
        <v/>
      </c>
      <c r="E59" t="s">
        <v>93</v>
      </c>
    </row>
    <row r="60" spans="1:5" x14ac:dyDescent="0.2">
      <c r="A60" cm="1">
        <f t="array" ref="A60">_xlfn.CHISQ.DIST.RT(1,NI!A310)</f>
        <v>0.60653065971263342</v>
      </c>
      <c r="B60">
        <f t="shared" si="0"/>
        <v>0</v>
      </c>
      <c r="C60">
        <f t="shared" si="1"/>
        <v>0.60653065971263342</v>
      </c>
      <c r="D60" t="str">
        <f t="shared" si="2"/>
        <v/>
      </c>
      <c r="E60" t="s">
        <v>94</v>
      </c>
    </row>
    <row r="61" spans="1:5" x14ac:dyDescent="0.2">
      <c r="A61" cm="1">
        <f t="array" ref="A61">_xlfn.F.DIST.RT(1,NI!A307,3)</f>
        <v>0.39100221895577059</v>
      </c>
      <c r="B61">
        <f t="shared" si="0"/>
        <v>0</v>
      </c>
      <c r="C61">
        <f t="shared" si="1"/>
        <v>0.39100221895577059</v>
      </c>
      <c r="D61" t="str">
        <f t="shared" si="2"/>
        <v/>
      </c>
      <c r="E61" t="s">
        <v>95</v>
      </c>
    </row>
    <row r="62" spans="1:5" x14ac:dyDescent="0.2">
      <c r="A62" cm="1">
        <f t="array" ref="A62">_xlfn.F.DIST.RT(1,NI!A308,3)</f>
        <v>0.39100221895577059</v>
      </c>
      <c r="B62">
        <f t="shared" si="0"/>
        <v>0</v>
      </c>
      <c r="C62">
        <f t="shared" si="1"/>
        <v>0.39100221895577059</v>
      </c>
      <c r="D62" t="str">
        <f t="shared" si="2"/>
        <v/>
      </c>
      <c r="E62" t="s">
        <v>96</v>
      </c>
    </row>
    <row r="63" spans="1:5" x14ac:dyDescent="0.2">
      <c r="A63" cm="1">
        <f t="array" ref="A63">_xlfn.F.DIST.RT(1,NI!A309,3)</f>
        <v>0.46475800154489</v>
      </c>
      <c r="B63">
        <f t="shared" si="0"/>
        <v>0</v>
      </c>
      <c r="C63">
        <f t="shared" si="1"/>
        <v>0.46475800154489</v>
      </c>
      <c r="D63" t="str">
        <f t="shared" si="2"/>
        <v/>
      </c>
      <c r="E63" t="s">
        <v>97</v>
      </c>
    </row>
    <row r="64" spans="1:5" x14ac:dyDescent="0.2">
      <c r="A64" cm="1">
        <f t="array" ref="A64">_xlfn.F.DIST.RT(1,NI!A310,3)</f>
        <v>0.46475800154489</v>
      </c>
      <c r="B64">
        <f t="shared" si="0"/>
        <v>0</v>
      </c>
      <c r="C64">
        <f t="shared" si="1"/>
        <v>0.46475800154489</v>
      </c>
      <c r="D64" t="str">
        <f t="shared" si="2"/>
        <v/>
      </c>
      <c r="E64" t="s">
        <v>98</v>
      </c>
    </row>
    <row r="65" spans="1:5" x14ac:dyDescent="0.2">
      <c r="A65" cm="1">
        <f t="array" ref="A65">_xlfn.T.DIST.2T(1,NI!A307)</f>
        <v>0.50000000000000011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0.50000000000000011</v>
      </c>
      <c r="D65" t="str">
        <f t="shared" ref="D65:D128" si="5">IF(ISTEXT(A65),A65,"")</f>
        <v/>
      </c>
      <c r="E65" t="s">
        <v>99</v>
      </c>
    </row>
    <row r="66" spans="1:5" x14ac:dyDescent="0.2">
      <c r="A66" cm="1">
        <f t="array" ref="A66">_xlfn.T.DIST.2T(1,NI!A308)</f>
        <v>0.50000000000000011</v>
      </c>
      <c r="B66">
        <f t="shared" si="3"/>
        <v>0</v>
      </c>
      <c r="C66">
        <f t="shared" si="4"/>
        <v>0.50000000000000011</v>
      </c>
      <c r="D66" t="str">
        <f t="shared" si="5"/>
        <v/>
      </c>
      <c r="E66" t="s">
        <v>100</v>
      </c>
    </row>
    <row r="67" spans="1:5" x14ac:dyDescent="0.2">
      <c r="A67" cm="1">
        <f t="array" ref="A67">_xlfn.T.DIST.2T(1,NI!A309)</f>
        <v>0.42264973081037416</v>
      </c>
      <c r="B67">
        <f t="shared" si="3"/>
        <v>0</v>
      </c>
      <c r="C67">
        <f t="shared" si="4"/>
        <v>0.42264973081037416</v>
      </c>
      <c r="D67" t="str">
        <f t="shared" si="5"/>
        <v/>
      </c>
      <c r="E67" t="s">
        <v>101</v>
      </c>
    </row>
    <row r="68" spans="1:5" x14ac:dyDescent="0.2">
      <c r="A68" cm="1">
        <f t="array" ref="A68">_xlfn.T.DIST.2T(1,NI!A310)</f>
        <v>0.42264973081037416</v>
      </c>
      <c r="B68">
        <f t="shared" si="3"/>
        <v>0</v>
      </c>
      <c r="C68">
        <f t="shared" si="4"/>
        <v>0.42264973081037416</v>
      </c>
      <c r="D68" t="str">
        <f t="shared" si="5"/>
        <v/>
      </c>
      <c r="E68" t="s">
        <v>102</v>
      </c>
    </row>
    <row r="69" spans="1:5" x14ac:dyDescent="0.2">
      <c r="A69" cm="1">
        <f t="array" ref="A69">_xlfn.T.DIST.RT(1,NI!A307)</f>
        <v>0.25000000000000006</v>
      </c>
      <c r="B69">
        <f t="shared" si="3"/>
        <v>0</v>
      </c>
      <c r="C69">
        <f t="shared" si="4"/>
        <v>0.25000000000000006</v>
      </c>
      <c r="D69" t="str">
        <f t="shared" si="5"/>
        <v/>
      </c>
      <c r="E69" t="s">
        <v>103</v>
      </c>
    </row>
    <row r="70" spans="1:5" x14ac:dyDescent="0.2">
      <c r="A70" cm="1">
        <f t="array" ref="A70">_xlfn.T.DIST.RT(1,NI!A308)</f>
        <v>0.25000000000000006</v>
      </c>
      <c r="B70">
        <f t="shared" si="3"/>
        <v>0</v>
      </c>
      <c r="C70">
        <f t="shared" si="4"/>
        <v>0.25000000000000006</v>
      </c>
      <c r="D70" t="str">
        <f t="shared" si="5"/>
        <v/>
      </c>
      <c r="E70" t="s">
        <v>104</v>
      </c>
    </row>
    <row r="71" spans="1:5" x14ac:dyDescent="0.2">
      <c r="A71" cm="1">
        <f t="array" ref="A71">_xlfn.T.DIST.RT(1,NI!A309)</f>
        <v>0.21132486540518708</v>
      </c>
      <c r="B71">
        <f t="shared" si="3"/>
        <v>0</v>
      </c>
      <c r="C71">
        <f t="shared" si="4"/>
        <v>0.21132486540518708</v>
      </c>
      <c r="D71" t="str">
        <f t="shared" si="5"/>
        <v/>
      </c>
      <c r="E71" t="s">
        <v>105</v>
      </c>
    </row>
    <row r="72" spans="1:5" x14ac:dyDescent="0.2">
      <c r="A72" cm="1">
        <f t="array" ref="A72">_xlfn.T.DIST.RT(1,NI!A310)</f>
        <v>0.21132486540518708</v>
      </c>
      <c r="B72">
        <f t="shared" si="3"/>
        <v>0</v>
      </c>
      <c r="C72">
        <f t="shared" si="4"/>
        <v>0.21132486540518708</v>
      </c>
      <c r="D72" t="str">
        <f t="shared" si="5"/>
        <v/>
      </c>
      <c r="E72" t="s">
        <v>106</v>
      </c>
    </row>
    <row r="73" spans="1:5" x14ac:dyDescent="0.2">
      <c r="A73" cm="1">
        <f t="array" ref="A73">_xlfn.CHISQ.INV(0.5,NI!A307)</f>
        <v>0.45493642311957289</v>
      </c>
      <c r="B73">
        <f t="shared" si="3"/>
        <v>0</v>
      </c>
      <c r="C73">
        <f t="shared" si="4"/>
        <v>0.45493642311957289</v>
      </c>
      <c r="D73" t="str">
        <f t="shared" si="5"/>
        <v/>
      </c>
      <c r="E73" t="s">
        <v>107</v>
      </c>
    </row>
    <row r="74" spans="1:5" x14ac:dyDescent="0.2">
      <c r="A74" cm="1">
        <f t="array" ref="A74">_xlfn.CHISQ.INV(0.5,NI!A308)</f>
        <v>0.45493642311957289</v>
      </c>
      <c r="B74">
        <f t="shared" si="3"/>
        <v>0</v>
      </c>
      <c r="C74">
        <f t="shared" si="4"/>
        <v>0.45493642311957289</v>
      </c>
      <c r="D74" t="str">
        <f t="shared" si="5"/>
        <v/>
      </c>
      <c r="E74" t="s">
        <v>108</v>
      </c>
    </row>
    <row r="75" spans="1:5" x14ac:dyDescent="0.2">
      <c r="A75" cm="1">
        <f t="array" ref="A75">_xlfn.CHISQ.INV(0.5,NI!A309)</f>
        <v>1.3862943611198906</v>
      </c>
      <c r="B75">
        <f t="shared" si="3"/>
        <v>0</v>
      </c>
      <c r="C75">
        <f t="shared" si="4"/>
        <v>1.3862943611198906</v>
      </c>
      <c r="D75" t="str">
        <f t="shared" si="5"/>
        <v/>
      </c>
      <c r="E75" t="s">
        <v>109</v>
      </c>
    </row>
    <row r="76" spans="1:5" x14ac:dyDescent="0.2">
      <c r="A76" cm="1">
        <f t="array" ref="A76">_xlfn.CHISQ.INV(0.5,NI!A310)</f>
        <v>1.3862943611198906</v>
      </c>
      <c r="B76">
        <f t="shared" si="3"/>
        <v>0</v>
      </c>
      <c r="C76">
        <f t="shared" si="4"/>
        <v>1.3862943611198906</v>
      </c>
      <c r="D76" t="str">
        <f t="shared" si="5"/>
        <v/>
      </c>
      <c r="E76" t="s">
        <v>110</v>
      </c>
    </row>
    <row r="77" spans="1:5" x14ac:dyDescent="0.2">
      <c r="A77" cm="1">
        <f t="array" ref="A77">_xlfn.CHISQ.INV.RT(0.5,NI!A307)</f>
        <v>0.45493642311957289</v>
      </c>
      <c r="B77">
        <f t="shared" si="3"/>
        <v>0</v>
      </c>
      <c r="C77">
        <f t="shared" si="4"/>
        <v>0.45493642311957289</v>
      </c>
      <c r="D77" t="str">
        <f t="shared" si="5"/>
        <v/>
      </c>
      <c r="E77" t="s">
        <v>111</v>
      </c>
    </row>
    <row r="78" spans="1:5" x14ac:dyDescent="0.2">
      <c r="A78" cm="1">
        <f t="array" ref="A78">_xlfn.CHISQ.INV.RT(0.5,NI!A308)</f>
        <v>0.45493642311957289</v>
      </c>
      <c r="B78">
        <f t="shared" si="3"/>
        <v>0</v>
      </c>
      <c r="C78">
        <f t="shared" si="4"/>
        <v>0.45493642311957289</v>
      </c>
      <c r="D78" t="str">
        <f t="shared" si="5"/>
        <v/>
      </c>
      <c r="E78" t="s">
        <v>112</v>
      </c>
    </row>
    <row r="79" spans="1:5" x14ac:dyDescent="0.2">
      <c r="A79" cm="1">
        <f t="array" ref="A79">_xlfn.CHISQ.INV.RT(0.5,NI!A309)</f>
        <v>1.3862943611198906</v>
      </c>
      <c r="B79">
        <f t="shared" si="3"/>
        <v>0</v>
      </c>
      <c r="C79">
        <f t="shared" si="4"/>
        <v>1.3862943611198906</v>
      </c>
      <c r="D79" t="str">
        <f t="shared" si="5"/>
        <v/>
      </c>
      <c r="E79" t="s">
        <v>113</v>
      </c>
    </row>
    <row r="80" spans="1:5" x14ac:dyDescent="0.2">
      <c r="A80" cm="1">
        <f t="array" ref="A80">_xlfn.CHISQ.INV.RT(0.5,NI!A310)</f>
        <v>1.3862943611198906</v>
      </c>
      <c r="B80">
        <f t="shared" si="3"/>
        <v>0</v>
      </c>
      <c r="C80">
        <f t="shared" si="4"/>
        <v>1.3862943611198906</v>
      </c>
      <c r="D80" t="str">
        <f t="shared" si="5"/>
        <v/>
      </c>
      <c r="E80" t="s">
        <v>114</v>
      </c>
    </row>
    <row r="81" spans="1:5" x14ac:dyDescent="0.2">
      <c r="A81" cm="1">
        <f t="array" ref="A81">_xlfn.CONFIDENCE.NORM(0.05,1,NI!A307)</f>
        <v>1.9599639845400536</v>
      </c>
      <c r="B81">
        <f t="shared" si="3"/>
        <v>0</v>
      </c>
      <c r="C81">
        <f t="shared" si="4"/>
        <v>1.9599639845400536</v>
      </c>
      <c r="D81" t="str">
        <f t="shared" si="5"/>
        <v/>
      </c>
      <c r="E81" t="s">
        <v>115</v>
      </c>
    </row>
    <row r="82" spans="1:5" x14ac:dyDescent="0.2">
      <c r="A82" cm="1">
        <f t="array" ref="A82">_xlfn.CONFIDENCE.NORM(0.05,1,NI!A308)</f>
        <v>1.9599639845400536</v>
      </c>
      <c r="B82">
        <f t="shared" si="3"/>
        <v>0</v>
      </c>
      <c r="C82">
        <f t="shared" si="4"/>
        <v>1.9599639845400536</v>
      </c>
      <c r="D82" t="str">
        <f t="shared" si="5"/>
        <v/>
      </c>
      <c r="E82" t="s">
        <v>116</v>
      </c>
    </row>
    <row r="83" spans="1:5" x14ac:dyDescent="0.2">
      <c r="A83" cm="1">
        <f t="array" ref="A83">_xlfn.CONFIDENCE.NORM(0.05,1,NI!A309)</f>
        <v>1.3859038243496773</v>
      </c>
      <c r="B83">
        <f t="shared" si="3"/>
        <v>0</v>
      </c>
      <c r="C83">
        <f t="shared" si="4"/>
        <v>1.3859038243496773</v>
      </c>
      <c r="D83" t="str">
        <f t="shared" si="5"/>
        <v/>
      </c>
      <c r="E83" t="s">
        <v>117</v>
      </c>
    </row>
    <row r="84" spans="1:5" x14ac:dyDescent="0.2">
      <c r="A84" cm="1">
        <f t="array" ref="A84">_xlfn.CONFIDENCE.NORM(0.05,1,NI!A310)</f>
        <v>1.3859038243496773</v>
      </c>
      <c r="B84">
        <f t="shared" si="3"/>
        <v>0</v>
      </c>
      <c r="C84">
        <f t="shared" si="4"/>
        <v>1.3859038243496773</v>
      </c>
      <c r="D84" t="str">
        <f t="shared" si="5"/>
        <v/>
      </c>
      <c r="E84" t="s">
        <v>118</v>
      </c>
    </row>
    <row r="85" spans="1:5" x14ac:dyDescent="0.2">
      <c r="A85" cm="1">
        <f t="array" ref="A85">_xlfn.F.INV(0.5,NI!A307,3)</f>
        <v>0.58506027405182037</v>
      </c>
      <c r="B85">
        <f t="shared" si="3"/>
        <v>0</v>
      </c>
      <c r="C85">
        <f t="shared" si="4"/>
        <v>0.58506027405182037</v>
      </c>
      <c r="D85" t="str">
        <f t="shared" si="5"/>
        <v/>
      </c>
      <c r="E85" t="s">
        <v>119</v>
      </c>
    </row>
    <row r="86" spans="1:5" x14ac:dyDescent="0.2">
      <c r="A86" cm="1">
        <f t="array" ref="A86">_xlfn.F.INV(0.5,NI!A308,3)</f>
        <v>0.58506027405182037</v>
      </c>
      <c r="B86">
        <f t="shared" si="3"/>
        <v>0</v>
      </c>
      <c r="C86">
        <f t="shared" si="4"/>
        <v>0.58506027405182037</v>
      </c>
      <c r="D86" t="str">
        <f t="shared" si="5"/>
        <v/>
      </c>
      <c r="E86" t="s">
        <v>120</v>
      </c>
    </row>
    <row r="87" spans="1:5" x14ac:dyDescent="0.2">
      <c r="A87" cm="1">
        <f t="array" ref="A87">_xlfn.F.INV(0.5,NI!A309,3)</f>
        <v>0.88110157795229915</v>
      </c>
      <c r="B87">
        <f t="shared" si="3"/>
        <v>0</v>
      </c>
      <c r="C87">
        <f t="shared" si="4"/>
        <v>0.88110157795229915</v>
      </c>
      <c r="D87" t="str">
        <f t="shared" si="5"/>
        <v/>
      </c>
      <c r="E87" t="s">
        <v>121</v>
      </c>
    </row>
    <row r="88" spans="1:5" x14ac:dyDescent="0.2">
      <c r="A88" cm="1">
        <f t="array" ref="A88">_xlfn.F.INV(0.5,NI!A310,3)</f>
        <v>0.88110157795229915</v>
      </c>
      <c r="B88">
        <f t="shared" si="3"/>
        <v>0</v>
      </c>
      <c r="C88">
        <f t="shared" si="4"/>
        <v>0.88110157795229915</v>
      </c>
      <c r="D88" t="str">
        <f t="shared" si="5"/>
        <v/>
      </c>
      <c r="E88" t="s">
        <v>122</v>
      </c>
    </row>
    <row r="89" spans="1:5" x14ac:dyDescent="0.2">
      <c r="A89" cm="1">
        <f t="array" ref="A89">_xlfn.F.INV.RT(0.5,NI!A307,3)</f>
        <v>0.58506027405182037</v>
      </c>
      <c r="B89">
        <f t="shared" si="3"/>
        <v>0</v>
      </c>
      <c r="C89">
        <f t="shared" si="4"/>
        <v>0.58506027405182037</v>
      </c>
      <c r="D89" t="str">
        <f t="shared" si="5"/>
        <v/>
      </c>
      <c r="E89" t="s">
        <v>123</v>
      </c>
    </row>
    <row r="90" spans="1:5" x14ac:dyDescent="0.2">
      <c r="A90" cm="1">
        <f t="array" ref="A90">_xlfn.F.INV.RT(0.5,NI!A308,3)</f>
        <v>0.58506027405182037</v>
      </c>
      <c r="B90">
        <f t="shared" si="3"/>
        <v>0</v>
      </c>
      <c r="C90">
        <f t="shared" si="4"/>
        <v>0.58506027405182037</v>
      </c>
      <c r="D90" t="str">
        <f t="shared" si="5"/>
        <v/>
      </c>
      <c r="E90" t="s">
        <v>124</v>
      </c>
    </row>
    <row r="91" spans="1:5" x14ac:dyDescent="0.2">
      <c r="A91" cm="1">
        <f t="array" ref="A91">_xlfn.F.INV.RT(0.5,NI!A309,3)</f>
        <v>0.88110157795229915</v>
      </c>
      <c r="B91">
        <f t="shared" si="3"/>
        <v>0</v>
      </c>
      <c r="C91">
        <f t="shared" si="4"/>
        <v>0.88110157795229915</v>
      </c>
      <c r="D91" t="str">
        <f t="shared" si="5"/>
        <v/>
      </c>
      <c r="E91" t="s">
        <v>125</v>
      </c>
    </row>
    <row r="92" spans="1:5" x14ac:dyDescent="0.2">
      <c r="A92" cm="1">
        <f t="array" ref="A92">_xlfn.F.INV.RT(0.5,NI!A310,3)</f>
        <v>0.88110157795229915</v>
      </c>
      <c r="B92">
        <f t="shared" si="3"/>
        <v>0</v>
      </c>
      <c r="C92">
        <f t="shared" si="4"/>
        <v>0.88110157795229915</v>
      </c>
      <c r="D92" t="str">
        <f t="shared" si="5"/>
        <v/>
      </c>
      <c r="E92" t="s">
        <v>126</v>
      </c>
    </row>
    <row r="93" spans="1:5" x14ac:dyDescent="0.2">
      <c r="A93" cm="1">
        <f t="array" ref="A93">_xlfn.T.INV(0.75,NI!A307)</f>
        <v>1.0000000000000002</v>
      </c>
      <c r="B93">
        <f t="shared" si="3"/>
        <v>0</v>
      </c>
      <c r="C93">
        <f t="shared" si="4"/>
        <v>1.0000000000000002</v>
      </c>
      <c r="D93" t="str">
        <f t="shared" si="5"/>
        <v/>
      </c>
      <c r="E93" t="s">
        <v>127</v>
      </c>
    </row>
    <row r="94" spans="1:5" x14ac:dyDescent="0.2">
      <c r="A94" cm="1">
        <f t="array" ref="A94">_xlfn.T.INV(0.75,NI!A308)</f>
        <v>1.0000000000000002</v>
      </c>
      <c r="B94">
        <f t="shared" si="3"/>
        <v>0</v>
      </c>
      <c r="C94">
        <f t="shared" si="4"/>
        <v>1.0000000000000002</v>
      </c>
      <c r="D94" t="str">
        <f t="shared" si="5"/>
        <v/>
      </c>
      <c r="E94" t="s">
        <v>128</v>
      </c>
    </row>
    <row r="95" spans="1:5" x14ac:dyDescent="0.2">
      <c r="A95" cm="1">
        <f t="array" ref="A95">_xlfn.T.INV(0.75,NI!A309)</f>
        <v>0.81649658092772592</v>
      </c>
      <c r="B95">
        <f t="shared" si="3"/>
        <v>0</v>
      </c>
      <c r="C95">
        <f t="shared" si="4"/>
        <v>0.81649658092772592</v>
      </c>
      <c r="D95" t="str">
        <f t="shared" si="5"/>
        <v/>
      </c>
      <c r="E95" t="s">
        <v>129</v>
      </c>
    </row>
    <row r="96" spans="1:5" x14ac:dyDescent="0.2">
      <c r="A96" cm="1">
        <f t="array" ref="A96">_xlfn.T.INV(0.75,NI!A310)</f>
        <v>0.81649658092772592</v>
      </c>
      <c r="B96">
        <f t="shared" si="3"/>
        <v>0</v>
      </c>
      <c r="C96">
        <f t="shared" si="4"/>
        <v>0.81649658092772592</v>
      </c>
      <c r="D96" t="str">
        <f t="shared" si="5"/>
        <v/>
      </c>
      <c r="E96" t="s">
        <v>130</v>
      </c>
    </row>
    <row r="97" spans="1:5" x14ac:dyDescent="0.2">
      <c r="A97" cm="1">
        <f t="array" ref="A97">_xlfn.T.INV.2T(0.5,NI!A307)</f>
        <v>1.0000000000000002</v>
      </c>
      <c r="B97">
        <f t="shared" si="3"/>
        <v>0</v>
      </c>
      <c r="C97">
        <f t="shared" si="4"/>
        <v>1.0000000000000002</v>
      </c>
      <c r="D97" t="str">
        <f t="shared" si="5"/>
        <v/>
      </c>
      <c r="E97" t="s">
        <v>131</v>
      </c>
    </row>
    <row r="98" spans="1:5" x14ac:dyDescent="0.2">
      <c r="A98" cm="1">
        <f t="array" ref="A98">_xlfn.T.INV.2T(0.5,NI!A308)</f>
        <v>1.0000000000000002</v>
      </c>
      <c r="B98">
        <f t="shared" si="3"/>
        <v>0</v>
      </c>
      <c r="C98">
        <f t="shared" si="4"/>
        <v>1.0000000000000002</v>
      </c>
      <c r="D98" t="str">
        <f t="shared" si="5"/>
        <v/>
      </c>
      <c r="E98" t="s">
        <v>132</v>
      </c>
    </row>
    <row r="99" spans="1:5" x14ac:dyDescent="0.2">
      <c r="A99" cm="1">
        <f t="array" ref="A99">_xlfn.T.INV.2T(0.5,NI!A309)</f>
        <v>0.81649658092772592</v>
      </c>
      <c r="B99">
        <f t="shared" si="3"/>
        <v>0</v>
      </c>
      <c r="C99">
        <f t="shared" si="4"/>
        <v>0.81649658092772592</v>
      </c>
      <c r="D99" t="str">
        <f t="shared" si="5"/>
        <v/>
      </c>
      <c r="E99" t="s">
        <v>133</v>
      </c>
    </row>
    <row r="100" spans="1:5" x14ac:dyDescent="0.2">
      <c r="A100" cm="1">
        <f t="array" ref="A100">_xlfn.T.INV.2T(0.5,NI!A310)</f>
        <v>0.81649658092772592</v>
      </c>
      <c r="B100">
        <f t="shared" si="3"/>
        <v>0</v>
      </c>
      <c r="C100">
        <f t="shared" si="4"/>
        <v>0.81649658092772592</v>
      </c>
      <c r="D100" t="str">
        <f t="shared" si="5"/>
        <v/>
      </c>
      <c r="E100" t="s">
        <v>134</v>
      </c>
    </row>
    <row r="101" spans="1:5" x14ac:dyDescent="0.2">
      <c r="A101" cm="1">
        <f t="array" ref="A101">_xlfn.T.TEST(D!B1:B8,D!C1:C8,2,NI!A307)</f>
        <v>0.9017993450723949</v>
      </c>
      <c r="B101">
        <f t="shared" si="3"/>
        <v>0</v>
      </c>
      <c r="C101">
        <f t="shared" si="4"/>
        <v>0.9017993450723949</v>
      </c>
      <c r="D101" t="str">
        <f t="shared" si="5"/>
        <v/>
      </c>
      <c r="E101" t="s">
        <v>135</v>
      </c>
    </row>
    <row r="102" spans="1:5" x14ac:dyDescent="0.2">
      <c r="A102" cm="1">
        <f t="array" ref="A102">_xlfn.T.TEST(D!B1:B8,D!C1:C8,2,NI!A308)</f>
        <v>0.9017993450723949</v>
      </c>
      <c r="B102">
        <f t="shared" si="3"/>
        <v>0</v>
      </c>
      <c r="C102">
        <f t="shared" si="4"/>
        <v>0.9017993450723949</v>
      </c>
      <c r="D102" t="str">
        <f t="shared" si="5"/>
        <v/>
      </c>
      <c r="E102" t="s">
        <v>136</v>
      </c>
    </row>
    <row r="103" spans="1:5" x14ac:dyDescent="0.2">
      <c r="A103" cm="1">
        <f t="array" ref="A103">_xlfn.T.TEST(D!B1:B8,D!C1:C8,2,NI!A309)</f>
        <v>0.90180370077458827</v>
      </c>
      <c r="B103">
        <f t="shared" si="3"/>
        <v>0</v>
      </c>
      <c r="C103">
        <f t="shared" si="4"/>
        <v>0.90180370077458827</v>
      </c>
      <c r="D103" t="str">
        <f t="shared" si="5"/>
        <v/>
      </c>
      <c r="E103" t="s">
        <v>137</v>
      </c>
    </row>
    <row r="104" spans="1:5" x14ac:dyDescent="0.2">
      <c r="A104" cm="1">
        <f t="array" ref="A104">_xlfn.T.TEST(D!B1:B8,D!C1:C8,2,NI!A310)</f>
        <v>0.90180370077458827</v>
      </c>
      <c r="B104">
        <f t="shared" si="3"/>
        <v>0</v>
      </c>
      <c r="C104">
        <f t="shared" si="4"/>
        <v>0.90180370077458827</v>
      </c>
      <c r="D104" t="str">
        <f t="shared" si="5"/>
        <v/>
      </c>
      <c r="E104" t="s">
        <v>138</v>
      </c>
    </row>
    <row r="105" spans="1:5" x14ac:dyDescent="0.2">
      <c r="A105" cm="1">
        <f t="array" ref="A105">TTEST(D!B1:B8,D!C1:C8,NI!A307,1)</f>
        <v>0.35202740718678893</v>
      </c>
      <c r="B105">
        <f t="shared" si="3"/>
        <v>0</v>
      </c>
      <c r="C105">
        <f t="shared" si="4"/>
        <v>0.35202740718678893</v>
      </c>
      <c r="D105" t="str">
        <f t="shared" si="5"/>
        <v/>
      </c>
      <c r="E105" t="s">
        <v>139</v>
      </c>
    </row>
    <row r="106" spans="1:5" x14ac:dyDescent="0.2">
      <c r="A106" cm="1">
        <f t="array" ref="A106">TTEST(D!B1:B8,D!C1:C8,NI!A308,1)</f>
        <v>0.35202740718678893</v>
      </c>
      <c r="B106">
        <f t="shared" si="3"/>
        <v>0</v>
      </c>
      <c r="C106">
        <f t="shared" si="4"/>
        <v>0.35202740718678893</v>
      </c>
      <c r="D106" t="str">
        <f t="shared" si="5"/>
        <v/>
      </c>
      <c r="E106" t="s">
        <v>140</v>
      </c>
    </row>
    <row r="107" spans="1:5" x14ac:dyDescent="0.2">
      <c r="A107" cm="1">
        <f t="array" ref="A107">TTEST(D!B1:B8,D!C1:C8,2,NI!A307)</f>
        <v>0.9017993450723949</v>
      </c>
      <c r="B107">
        <f t="shared" si="3"/>
        <v>0</v>
      </c>
      <c r="C107">
        <f t="shared" si="4"/>
        <v>0.9017993450723949</v>
      </c>
      <c r="D107" t="str">
        <f t="shared" si="5"/>
        <v/>
      </c>
      <c r="E107" t="s">
        <v>141</v>
      </c>
    </row>
    <row r="108" spans="1:5" x14ac:dyDescent="0.2">
      <c r="A108" cm="1">
        <f t="array" ref="A108">TTEST(D!B1:B8,D!C1:C8,2,NI!A308)</f>
        <v>0.9017993450723949</v>
      </c>
      <c r="B108">
        <f t="shared" si="3"/>
        <v>0</v>
      </c>
      <c r="C108">
        <f t="shared" si="4"/>
        <v>0.9017993450723949</v>
      </c>
      <c r="D108" t="str">
        <f t="shared" si="5"/>
        <v/>
      </c>
      <c r="E108" t="s">
        <v>142</v>
      </c>
    </row>
    <row r="109" spans="1:5" x14ac:dyDescent="0.2">
      <c r="A109" cm="1">
        <f t="array" ref="A109">TTEST(D!B1:B8,D!C1:C8,2,NI!A309)</f>
        <v>0.90180370077458827</v>
      </c>
      <c r="B109">
        <f t="shared" si="3"/>
        <v>0</v>
      </c>
      <c r="C109">
        <f t="shared" si="4"/>
        <v>0.90180370077458827</v>
      </c>
      <c r="D109" t="str">
        <f t="shared" si="5"/>
        <v/>
      </c>
      <c r="E109" t="s">
        <v>143</v>
      </c>
    </row>
    <row r="110" spans="1:5" x14ac:dyDescent="0.2">
      <c r="A110" cm="1">
        <f t="array" ref="A110">TTEST(D!B1:B8,D!C1:C8,2,NI!A310)</f>
        <v>0.90180370077458827</v>
      </c>
      <c r="B110">
        <f t="shared" si="3"/>
        <v>0</v>
      </c>
      <c r="C110">
        <f t="shared" si="4"/>
        <v>0.90180370077458827</v>
      </c>
      <c r="D110" t="str">
        <f t="shared" si="5"/>
        <v/>
      </c>
      <c r="E110" t="s">
        <v>144</v>
      </c>
    </row>
    <row r="111" spans="1:5" x14ac:dyDescent="0.2">
      <c r="A111" cm="1">
        <f t="array" ref="A111">BINOMDIST(NI!A307,5,0.5,FALSE)</f>
        <v>0.15624999999999992</v>
      </c>
      <c r="B111">
        <f t="shared" si="3"/>
        <v>0</v>
      </c>
      <c r="C111">
        <f t="shared" si="4"/>
        <v>0.15624999999999992</v>
      </c>
      <c r="D111" t="str">
        <f t="shared" si="5"/>
        <v/>
      </c>
      <c r="E111" t="s">
        <v>145</v>
      </c>
    </row>
    <row r="112" spans="1:5" x14ac:dyDescent="0.2">
      <c r="A112" cm="1">
        <f t="array" ref="A112">BINOMDIST(NI!A308,5,0.5,FALSE)</f>
        <v>0.15624999999999992</v>
      </c>
      <c r="B112">
        <f t="shared" si="3"/>
        <v>0</v>
      </c>
      <c r="C112">
        <f t="shared" si="4"/>
        <v>0.15624999999999992</v>
      </c>
      <c r="D112" t="str">
        <f t="shared" si="5"/>
        <v/>
      </c>
      <c r="E112" t="s">
        <v>146</v>
      </c>
    </row>
    <row r="113" spans="1:5" x14ac:dyDescent="0.2">
      <c r="A113" cm="1">
        <f t="array" ref="A113">BINOMDIST(NI!A309,5,0.5,FALSE)</f>
        <v>0.3125</v>
      </c>
      <c r="B113">
        <f t="shared" si="3"/>
        <v>0</v>
      </c>
      <c r="C113">
        <f t="shared" si="4"/>
        <v>0.3125</v>
      </c>
      <c r="D113" t="str">
        <f t="shared" si="5"/>
        <v/>
      </c>
      <c r="E113" t="s">
        <v>147</v>
      </c>
    </row>
    <row r="114" spans="1:5" x14ac:dyDescent="0.2">
      <c r="A114" cm="1">
        <f t="array" ref="A114">BINOMDIST(NI!A310,5,0.5,FALSE)</f>
        <v>0.3125</v>
      </c>
      <c r="B114">
        <f t="shared" si="3"/>
        <v>0</v>
      </c>
      <c r="C114">
        <f t="shared" si="4"/>
        <v>0.3125</v>
      </c>
      <c r="D114" t="str">
        <f t="shared" si="5"/>
        <v/>
      </c>
      <c r="E114" t="s">
        <v>148</v>
      </c>
    </row>
    <row r="115" spans="1:5" x14ac:dyDescent="0.2">
      <c r="A115" cm="1">
        <f t="array" ref="A115">CHIDIST(1,NI!A307)</f>
        <v>0.31731050786291398</v>
      </c>
      <c r="B115">
        <f t="shared" si="3"/>
        <v>0</v>
      </c>
      <c r="C115">
        <f t="shared" si="4"/>
        <v>0.31731050786291398</v>
      </c>
      <c r="D115" t="str">
        <f t="shared" si="5"/>
        <v/>
      </c>
      <c r="E115" t="s">
        <v>149</v>
      </c>
    </row>
    <row r="116" spans="1:5" x14ac:dyDescent="0.2">
      <c r="A116" cm="1">
        <f t="array" ref="A116">CHIDIST(1,NI!A308)</f>
        <v>0.31731050786291398</v>
      </c>
      <c r="B116">
        <f t="shared" si="3"/>
        <v>0</v>
      </c>
      <c r="C116">
        <f t="shared" si="4"/>
        <v>0.31731050786291398</v>
      </c>
      <c r="D116" t="str">
        <f t="shared" si="5"/>
        <v/>
      </c>
      <c r="E116" t="s">
        <v>150</v>
      </c>
    </row>
    <row r="117" spans="1:5" x14ac:dyDescent="0.2">
      <c r="A117" cm="1">
        <f t="array" ref="A117">CHIDIST(1,NI!A309)</f>
        <v>0.60653065971263342</v>
      </c>
      <c r="B117">
        <f t="shared" si="3"/>
        <v>0</v>
      </c>
      <c r="C117">
        <f t="shared" si="4"/>
        <v>0.60653065971263342</v>
      </c>
      <c r="D117" t="str">
        <f t="shared" si="5"/>
        <v/>
      </c>
      <c r="E117" t="s">
        <v>151</v>
      </c>
    </row>
    <row r="118" spans="1:5" x14ac:dyDescent="0.2">
      <c r="A118" cm="1">
        <f t="array" ref="A118">CHIDIST(1,NI!A310)</f>
        <v>0.60653065971263342</v>
      </c>
      <c r="B118">
        <f t="shared" si="3"/>
        <v>0</v>
      </c>
      <c r="C118">
        <f t="shared" si="4"/>
        <v>0.60653065971263342</v>
      </c>
      <c r="D118" t="str">
        <f t="shared" si="5"/>
        <v/>
      </c>
      <c r="E118" t="s">
        <v>152</v>
      </c>
    </row>
    <row r="119" spans="1:5" x14ac:dyDescent="0.2">
      <c r="A119" cm="1">
        <f t="array" ref="A119">CHIINV(0.5,NI!A307)</f>
        <v>0.45493642311957289</v>
      </c>
      <c r="B119">
        <f t="shared" si="3"/>
        <v>0</v>
      </c>
      <c r="C119">
        <f t="shared" si="4"/>
        <v>0.45493642311957289</v>
      </c>
      <c r="D119" t="str">
        <f t="shared" si="5"/>
        <v/>
      </c>
      <c r="E119" t="s">
        <v>153</v>
      </c>
    </row>
    <row r="120" spans="1:5" x14ac:dyDescent="0.2">
      <c r="A120" cm="1">
        <f t="array" ref="A120">CHIINV(0.5,NI!A308)</f>
        <v>0.45493642311957289</v>
      </c>
      <c r="B120">
        <f t="shared" si="3"/>
        <v>0</v>
      </c>
      <c r="C120">
        <f t="shared" si="4"/>
        <v>0.45493642311957289</v>
      </c>
      <c r="D120" t="str">
        <f t="shared" si="5"/>
        <v/>
      </c>
      <c r="E120" t="s">
        <v>154</v>
      </c>
    </row>
    <row r="121" spans="1:5" x14ac:dyDescent="0.2">
      <c r="A121" cm="1">
        <f t="array" ref="A121">CHIINV(0.5,NI!A309)</f>
        <v>1.3862943611198906</v>
      </c>
      <c r="B121">
        <f t="shared" si="3"/>
        <v>0</v>
      </c>
      <c r="C121">
        <f t="shared" si="4"/>
        <v>1.3862943611198906</v>
      </c>
      <c r="D121" t="str">
        <f t="shared" si="5"/>
        <v/>
      </c>
      <c r="E121" t="s">
        <v>155</v>
      </c>
    </row>
    <row r="122" spans="1:5" x14ac:dyDescent="0.2">
      <c r="A122" cm="1">
        <f t="array" ref="A122">CHIINV(0.5,NI!A310)</f>
        <v>1.3862943611198906</v>
      </c>
      <c r="B122">
        <f t="shared" si="3"/>
        <v>0</v>
      </c>
      <c r="C122">
        <f t="shared" si="4"/>
        <v>1.3862943611198906</v>
      </c>
      <c r="D122" t="str">
        <f t="shared" si="5"/>
        <v/>
      </c>
      <c r="E122" t="s">
        <v>156</v>
      </c>
    </row>
    <row r="123" spans="1:5" x14ac:dyDescent="0.2">
      <c r="A123" cm="1">
        <f t="array" ref="A123">CONFIDENCE(0.05,1,NI!A307)</f>
        <v>1.9599639845400536</v>
      </c>
      <c r="B123">
        <f t="shared" si="3"/>
        <v>0</v>
      </c>
      <c r="C123">
        <f t="shared" si="4"/>
        <v>1.9599639845400536</v>
      </c>
      <c r="D123" t="str">
        <f t="shared" si="5"/>
        <v/>
      </c>
      <c r="E123" t="s">
        <v>157</v>
      </c>
    </row>
    <row r="124" spans="1:5" x14ac:dyDescent="0.2">
      <c r="A124" cm="1">
        <f t="array" ref="A124">CONFIDENCE(0.05,1,NI!A308)</f>
        <v>1.9599639845400536</v>
      </c>
      <c r="B124">
        <f t="shared" si="3"/>
        <v>0</v>
      </c>
      <c r="C124">
        <f t="shared" si="4"/>
        <v>1.9599639845400536</v>
      </c>
      <c r="D124" t="str">
        <f t="shared" si="5"/>
        <v/>
      </c>
      <c r="E124" t="s">
        <v>158</v>
      </c>
    </row>
    <row r="125" spans="1:5" x14ac:dyDescent="0.2">
      <c r="A125" cm="1">
        <f t="array" ref="A125">CONFIDENCE(0.05,1,NI!A309)</f>
        <v>1.3859038243496773</v>
      </c>
      <c r="B125">
        <f t="shared" si="3"/>
        <v>0</v>
      </c>
      <c r="C125">
        <f t="shared" si="4"/>
        <v>1.3859038243496773</v>
      </c>
      <c r="D125" t="str">
        <f t="shared" si="5"/>
        <v/>
      </c>
      <c r="E125" t="s">
        <v>159</v>
      </c>
    </row>
    <row r="126" spans="1:5" x14ac:dyDescent="0.2">
      <c r="A126" cm="1">
        <f t="array" ref="A126">CONFIDENCE(0.05,1,NI!A310)</f>
        <v>1.3859038243496773</v>
      </c>
      <c r="B126">
        <f t="shared" si="3"/>
        <v>0</v>
      </c>
      <c r="C126">
        <f t="shared" si="4"/>
        <v>1.3859038243496773</v>
      </c>
      <c r="D126" t="str">
        <f t="shared" si="5"/>
        <v/>
      </c>
      <c r="E126" t="s">
        <v>160</v>
      </c>
    </row>
    <row r="127" spans="1:5" x14ac:dyDescent="0.2">
      <c r="A127" cm="1">
        <f t="array" ref="A127">CRITBINOM(NI!A307,0.5,0.9)</f>
        <v>1</v>
      </c>
      <c r="B127">
        <f t="shared" si="3"/>
        <v>0</v>
      </c>
      <c r="C127">
        <f t="shared" si="4"/>
        <v>1</v>
      </c>
      <c r="D127" t="str">
        <f t="shared" si="5"/>
        <v/>
      </c>
      <c r="E127" t="s">
        <v>161</v>
      </c>
    </row>
    <row r="128" spans="1:5" x14ac:dyDescent="0.2">
      <c r="A128" cm="1">
        <f t="array" ref="A128">CRITBINOM(NI!A308,0.5,0.9)</f>
        <v>1</v>
      </c>
      <c r="B128">
        <f t="shared" si="3"/>
        <v>0</v>
      </c>
      <c r="C128">
        <f t="shared" si="4"/>
        <v>1</v>
      </c>
      <c r="D128" t="str">
        <f t="shared" si="5"/>
        <v/>
      </c>
      <c r="E128" t="s">
        <v>162</v>
      </c>
    </row>
    <row r="129" spans="1:5" x14ac:dyDescent="0.2">
      <c r="A129" cm="1">
        <f t="array" ref="A129">CRITBINOM(NI!A309,0.5,0.9)</f>
        <v>2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2</v>
      </c>
      <c r="D129" t="str">
        <f t="shared" ref="D129:D192" si="8">IF(ISTEXT(A129),A129,"")</f>
        <v/>
      </c>
      <c r="E129" t="s">
        <v>163</v>
      </c>
    </row>
    <row r="130" spans="1:5" x14ac:dyDescent="0.2">
      <c r="A130" cm="1">
        <f t="array" ref="A130">CRITBINOM(NI!A310,0.5,0.9)</f>
        <v>2</v>
      </c>
      <c r="B130">
        <f t="shared" si="6"/>
        <v>0</v>
      </c>
      <c r="C130">
        <f t="shared" si="7"/>
        <v>2</v>
      </c>
      <c r="D130" t="str">
        <f t="shared" si="8"/>
        <v/>
      </c>
      <c r="E130" t="s">
        <v>164</v>
      </c>
    </row>
    <row r="131" spans="1:5" x14ac:dyDescent="0.2">
      <c r="A131" cm="1">
        <f t="array" ref="A131">_xlfn.BINOM.INV(NI!A307,0.5,0.9)</f>
        <v>1</v>
      </c>
      <c r="B131">
        <f t="shared" si="6"/>
        <v>0</v>
      </c>
      <c r="C131">
        <f t="shared" si="7"/>
        <v>1</v>
      </c>
      <c r="D131" t="str">
        <f t="shared" si="8"/>
        <v/>
      </c>
      <c r="E131" t="s">
        <v>165</v>
      </c>
    </row>
    <row r="132" spans="1:5" x14ac:dyDescent="0.2">
      <c r="A132" cm="1">
        <f t="array" ref="A132">_xlfn.BINOM.INV(NI!A308,0.5,0.9)</f>
        <v>1</v>
      </c>
      <c r="B132">
        <f t="shared" si="6"/>
        <v>0</v>
      </c>
      <c r="C132">
        <f t="shared" si="7"/>
        <v>1</v>
      </c>
      <c r="D132" t="str">
        <f t="shared" si="8"/>
        <v/>
      </c>
      <c r="E132" t="s">
        <v>166</v>
      </c>
    </row>
    <row r="133" spans="1:5" x14ac:dyDescent="0.2">
      <c r="A133" cm="1">
        <f t="array" ref="A133">_xlfn.BINOM.INV(NI!A309,0.5,0.9)</f>
        <v>2</v>
      </c>
      <c r="B133">
        <f t="shared" si="6"/>
        <v>0</v>
      </c>
      <c r="C133">
        <f t="shared" si="7"/>
        <v>2</v>
      </c>
      <c r="D133" t="str">
        <f t="shared" si="8"/>
        <v/>
      </c>
      <c r="E133" t="s">
        <v>167</v>
      </c>
    </row>
    <row r="134" spans="1:5" x14ac:dyDescent="0.2">
      <c r="A134" cm="1">
        <f t="array" ref="A134">_xlfn.BINOM.INV(NI!A310,0.5,0.9)</f>
        <v>2</v>
      </c>
      <c r="B134">
        <f t="shared" si="6"/>
        <v>0</v>
      </c>
      <c r="C134">
        <f t="shared" si="7"/>
        <v>2</v>
      </c>
      <c r="D134" t="str">
        <f t="shared" si="8"/>
        <v/>
      </c>
      <c r="E134" t="s">
        <v>168</v>
      </c>
    </row>
    <row r="135" spans="1:5" x14ac:dyDescent="0.2">
      <c r="A135" cm="1">
        <f t="array" ref="A135">FDIST(1,NI!A307,3)</f>
        <v>0.39100221895577059</v>
      </c>
      <c r="B135">
        <f t="shared" si="6"/>
        <v>0</v>
      </c>
      <c r="C135">
        <f t="shared" si="7"/>
        <v>0.39100221895577059</v>
      </c>
      <c r="D135" t="str">
        <f t="shared" si="8"/>
        <v/>
      </c>
      <c r="E135" t="s">
        <v>169</v>
      </c>
    </row>
    <row r="136" spans="1:5" x14ac:dyDescent="0.2">
      <c r="A136" cm="1">
        <f t="array" ref="A136">FDIST(1,NI!A308,3)</f>
        <v>0.39100221895577059</v>
      </c>
      <c r="B136">
        <f t="shared" si="6"/>
        <v>0</v>
      </c>
      <c r="C136">
        <f t="shared" si="7"/>
        <v>0.39100221895577059</v>
      </c>
      <c r="D136" t="str">
        <f t="shared" si="8"/>
        <v/>
      </c>
      <c r="E136" t="s">
        <v>170</v>
      </c>
    </row>
    <row r="137" spans="1:5" x14ac:dyDescent="0.2">
      <c r="A137" cm="1">
        <f t="array" ref="A137">FDIST(1,NI!A309,3)</f>
        <v>0.46475800154489</v>
      </c>
      <c r="B137">
        <f t="shared" si="6"/>
        <v>0</v>
      </c>
      <c r="C137">
        <f t="shared" si="7"/>
        <v>0.46475800154489</v>
      </c>
      <c r="D137" t="str">
        <f t="shared" si="8"/>
        <v/>
      </c>
      <c r="E137" t="s">
        <v>171</v>
      </c>
    </row>
    <row r="138" spans="1:5" x14ac:dyDescent="0.2">
      <c r="A138" cm="1">
        <f t="array" ref="A138">FDIST(1,NI!A310,3)</f>
        <v>0.46475800154489</v>
      </c>
      <c r="B138">
        <f t="shared" si="6"/>
        <v>0</v>
      </c>
      <c r="C138">
        <f t="shared" si="7"/>
        <v>0.46475800154489</v>
      </c>
      <c r="D138" t="str">
        <f t="shared" si="8"/>
        <v/>
      </c>
      <c r="E138" t="s">
        <v>172</v>
      </c>
    </row>
    <row r="139" spans="1:5" x14ac:dyDescent="0.2">
      <c r="A139" cm="1">
        <f t="array" ref="A139">FINV(0.5,NI!A307,3)</f>
        <v>0.58506027405182037</v>
      </c>
      <c r="B139">
        <f t="shared" si="6"/>
        <v>0</v>
      </c>
      <c r="C139">
        <f t="shared" si="7"/>
        <v>0.58506027405182037</v>
      </c>
      <c r="D139" t="str">
        <f t="shared" si="8"/>
        <v/>
      </c>
      <c r="E139" t="s">
        <v>173</v>
      </c>
    </row>
    <row r="140" spans="1:5" x14ac:dyDescent="0.2">
      <c r="A140" cm="1">
        <f t="array" ref="A140">FINV(0.5,NI!A308,3)</f>
        <v>0.58506027405182037</v>
      </c>
      <c r="B140">
        <f t="shared" si="6"/>
        <v>0</v>
      </c>
      <c r="C140">
        <f t="shared" si="7"/>
        <v>0.58506027405182037</v>
      </c>
      <c r="D140" t="str">
        <f t="shared" si="8"/>
        <v/>
      </c>
      <c r="E140" t="s">
        <v>174</v>
      </c>
    </row>
    <row r="141" spans="1:5" x14ac:dyDescent="0.2">
      <c r="A141" cm="1">
        <f t="array" ref="A141">FINV(0.5,NI!A309,3)</f>
        <v>0.88110157795229915</v>
      </c>
      <c r="B141">
        <f t="shared" si="6"/>
        <v>0</v>
      </c>
      <c r="C141">
        <f t="shared" si="7"/>
        <v>0.88110157795229915</v>
      </c>
      <c r="D141" t="str">
        <f t="shared" si="8"/>
        <v/>
      </c>
      <c r="E141" t="s">
        <v>175</v>
      </c>
    </row>
    <row r="142" spans="1:5" x14ac:dyDescent="0.2">
      <c r="A142" cm="1">
        <f t="array" ref="A142">FINV(0.5,NI!A310,3)</f>
        <v>0.88110157795229915</v>
      </c>
      <c r="B142">
        <f t="shared" si="6"/>
        <v>0</v>
      </c>
      <c r="C142">
        <f t="shared" si="7"/>
        <v>0.88110157795229915</v>
      </c>
      <c r="D142" t="str">
        <f t="shared" si="8"/>
        <v/>
      </c>
      <c r="E142" t="s">
        <v>176</v>
      </c>
    </row>
    <row r="143" spans="1:5" x14ac:dyDescent="0.2">
      <c r="A143" cm="1">
        <f t="array" ref="A143">HYPGEOMDIST(NI!A307,4,5,10)</f>
        <v>0.23809523809523814</v>
      </c>
      <c r="B143">
        <f t="shared" si="6"/>
        <v>0</v>
      </c>
      <c r="C143">
        <f t="shared" si="7"/>
        <v>0.23809523809523814</v>
      </c>
      <c r="D143" t="str">
        <f t="shared" si="8"/>
        <v/>
      </c>
      <c r="E143" t="s">
        <v>177</v>
      </c>
    </row>
    <row r="144" spans="1:5" x14ac:dyDescent="0.2">
      <c r="A144" cm="1">
        <f t="array" ref="A144">HYPGEOMDIST(NI!A308,4,5,10)</f>
        <v>0.23809523809523814</v>
      </c>
      <c r="B144">
        <f t="shared" si="6"/>
        <v>0</v>
      </c>
      <c r="C144">
        <f t="shared" si="7"/>
        <v>0.23809523809523814</v>
      </c>
      <c r="D144" t="str">
        <f t="shared" si="8"/>
        <v/>
      </c>
      <c r="E144" t="s">
        <v>178</v>
      </c>
    </row>
    <row r="145" spans="1:5" x14ac:dyDescent="0.2">
      <c r="A145" cm="1">
        <f t="array" ref="A145">HYPGEOMDIST(NI!A309,4,5,10)</f>
        <v>0.47619047619047605</v>
      </c>
      <c r="B145">
        <f t="shared" si="6"/>
        <v>0</v>
      </c>
      <c r="C145">
        <f t="shared" si="7"/>
        <v>0.47619047619047605</v>
      </c>
      <c r="D145" t="str">
        <f t="shared" si="8"/>
        <v/>
      </c>
      <c r="E145" t="s">
        <v>179</v>
      </c>
    </row>
    <row r="146" spans="1:5" x14ac:dyDescent="0.2">
      <c r="A146" cm="1">
        <f t="array" ref="A146">HYPGEOMDIST(NI!A310,4,5,10)</f>
        <v>0.47619047619047605</v>
      </c>
      <c r="B146">
        <f t="shared" si="6"/>
        <v>0</v>
      </c>
      <c r="C146">
        <f t="shared" si="7"/>
        <v>0.47619047619047605</v>
      </c>
      <c r="D146" t="str">
        <f t="shared" si="8"/>
        <v/>
      </c>
      <c r="E146" t="s">
        <v>180</v>
      </c>
    </row>
    <row r="147" spans="1:5" x14ac:dyDescent="0.2">
      <c r="A147" cm="1">
        <f t="array" ref="A147">NEGBINOMDIST(NI!A307,2,0.5)</f>
        <v>0.25</v>
      </c>
      <c r="B147">
        <f t="shared" si="6"/>
        <v>0</v>
      </c>
      <c r="C147">
        <f t="shared" si="7"/>
        <v>0.25</v>
      </c>
      <c r="D147" t="str">
        <f t="shared" si="8"/>
        <v/>
      </c>
      <c r="E147" t="s">
        <v>181</v>
      </c>
    </row>
    <row r="148" spans="1:5" x14ac:dyDescent="0.2">
      <c r="A148" cm="1">
        <f t="array" ref="A148">NEGBINOMDIST(NI!A308,2,0.5)</f>
        <v>0.25</v>
      </c>
      <c r="B148">
        <f t="shared" si="6"/>
        <v>0</v>
      </c>
      <c r="C148">
        <f t="shared" si="7"/>
        <v>0.25</v>
      </c>
      <c r="D148" t="str">
        <f t="shared" si="8"/>
        <v/>
      </c>
      <c r="E148" t="s">
        <v>182</v>
      </c>
    </row>
    <row r="149" spans="1:5" x14ac:dyDescent="0.2">
      <c r="A149" cm="1">
        <f t="array" ref="A149">NEGBINOMDIST(NI!A309,2,0.5)</f>
        <v>0.1875</v>
      </c>
      <c r="B149">
        <f t="shared" si="6"/>
        <v>0</v>
      </c>
      <c r="C149">
        <f t="shared" si="7"/>
        <v>0.1875</v>
      </c>
      <c r="D149" t="str">
        <f t="shared" si="8"/>
        <v/>
      </c>
      <c r="E149" t="s">
        <v>183</v>
      </c>
    </row>
    <row r="150" spans="1:5" x14ac:dyDescent="0.2">
      <c r="A150" cm="1">
        <f t="array" ref="A150">NEGBINOMDIST(NI!A310,2,0.5)</f>
        <v>0.1875</v>
      </c>
      <c r="B150">
        <f t="shared" si="6"/>
        <v>0</v>
      </c>
      <c r="C150">
        <f t="shared" si="7"/>
        <v>0.1875</v>
      </c>
      <c r="D150" t="str">
        <f t="shared" si="8"/>
        <v/>
      </c>
      <c r="E150" t="s">
        <v>184</v>
      </c>
    </row>
    <row r="151" spans="1:5" x14ac:dyDescent="0.2">
      <c r="A151" cm="1">
        <f t="array" ref="A151">POISSON(NI!A307,2,FALSE)</f>
        <v>0.27067056647322535</v>
      </c>
      <c r="B151">
        <f t="shared" si="6"/>
        <v>0</v>
      </c>
      <c r="C151">
        <f t="shared" si="7"/>
        <v>0.27067056647322535</v>
      </c>
      <c r="D151" t="str">
        <f t="shared" si="8"/>
        <v/>
      </c>
      <c r="E151" t="s">
        <v>185</v>
      </c>
    </row>
    <row r="152" spans="1:5" x14ac:dyDescent="0.2">
      <c r="A152" cm="1">
        <f t="array" ref="A152">POISSON(NI!A308,2,FALSE)</f>
        <v>0.27067056647322535</v>
      </c>
      <c r="B152">
        <f t="shared" si="6"/>
        <v>0</v>
      </c>
      <c r="C152">
        <f t="shared" si="7"/>
        <v>0.27067056647322535</v>
      </c>
      <c r="D152" t="str">
        <f t="shared" si="8"/>
        <v/>
      </c>
      <c r="E152" t="s">
        <v>186</v>
      </c>
    </row>
    <row r="153" spans="1:5" x14ac:dyDescent="0.2">
      <c r="A153" cm="1">
        <f t="array" ref="A153">POISSON(NI!A309,2,FALSE)</f>
        <v>0.27067056647322546</v>
      </c>
      <c r="B153">
        <f t="shared" si="6"/>
        <v>0</v>
      </c>
      <c r="C153">
        <f t="shared" si="7"/>
        <v>0.27067056647322546</v>
      </c>
      <c r="D153" t="str">
        <f t="shared" si="8"/>
        <v/>
      </c>
      <c r="E153" t="s">
        <v>187</v>
      </c>
    </row>
    <row r="154" spans="1:5" x14ac:dyDescent="0.2">
      <c r="A154" cm="1">
        <f t="array" ref="A154">POISSON(NI!A310,2,FALSE)</f>
        <v>0.27067056647322546</v>
      </c>
      <c r="B154">
        <f t="shared" si="6"/>
        <v>0</v>
      </c>
      <c r="C154">
        <f t="shared" si="7"/>
        <v>0.27067056647322546</v>
      </c>
      <c r="D154" t="str">
        <f t="shared" si="8"/>
        <v/>
      </c>
      <c r="E154" t="s">
        <v>188</v>
      </c>
    </row>
    <row r="155" spans="1:5" x14ac:dyDescent="0.2">
      <c r="A155" cm="1">
        <f t="array" ref="A155">TDIST(1,NI!A307,1)</f>
        <v>0.25000000000000006</v>
      </c>
      <c r="B155">
        <f t="shared" si="6"/>
        <v>0</v>
      </c>
      <c r="C155">
        <f t="shared" si="7"/>
        <v>0.25000000000000006</v>
      </c>
      <c r="D155" t="str">
        <f t="shared" si="8"/>
        <v/>
      </c>
      <c r="E155" t="s">
        <v>189</v>
      </c>
    </row>
    <row r="156" spans="1:5" x14ac:dyDescent="0.2">
      <c r="A156" cm="1">
        <f t="array" ref="A156">TDIST(1,NI!A308,1)</f>
        <v>0.25000000000000006</v>
      </c>
      <c r="B156">
        <f t="shared" si="6"/>
        <v>0</v>
      </c>
      <c r="C156">
        <f t="shared" si="7"/>
        <v>0.25000000000000006</v>
      </c>
      <c r="D156" t="str">
        <f t="shared" si="8"/>
        <v/>
      </c>
      <c r="E156" t="s">
        <v>190</v>
      </c>
    </row>
    <row r="157" spans="1:5" x14ac:dyDescent="0.2">
      <c r="A157" cm="1">
        <f t="array" ref="A157">TDIST(1,NI!A309,1)</f>
        <v>0.21132486540518708</v>
      </c>
      <c r="B157">
        <f t="shared" si="6"/>
        <v>0</v>
      </c>
      <c r="C157">
        <f t="shared" si="7"/>
        <v>0.21132486540518708</v>
      </c>
      <c r="D157" t="str">
        <f t="shared" si="8"/>
        <v/>
      </c>
      <c r="E157" t="s">
        <v>191</v>
      </c>
    </row>
    <row r="158" spans="1:5" x14ac:dyDescent="0.2">
      <c r="A158" cm="1">
        <f t="array" ref="A158">TDIST(1,NI!A310,1)</f>
        <v>0.21132486540518708</v>
      </c>
      <c r="B158">
        <f t="shared" si="6"/>
        <v>0</v>
      </c>
      <c r="C158">
        <f t="shared" si="7"/>
        <v>0.21132486540518708</v>
      </c>
      <c r="D158" t="str">
        <f t="shared" si="8"/>
        <v/>
      </c>
      <c r="E158" t="s">
        <v>192</v>
      </c>
    </row>
    <row r="159" spans="1:5" x14ac:dyDescent="0.2">
      <c r="A159" cm="1">
        <f t="array" ref="A159">TDIST(1,3,NI!A307)</f>
        <v>0.39100221895577059</v>
      </c>
      <c r="B159">
        <f t="shared" si="6"/>
        <v>0</v>
      </c>
      <c r="C159">
        <f t="shared" si="7"/>
        <v>0.39100221895577059</v>
      </c>
      <c r="D159" t="str">
        <f t="shared" si="8"/>
        <v/>
      </c>
      <c r="E159" t="s">
        <v>193</v>
      </c>
    </row>
    <row r="160" spans="1:5" x14ac:dyDescent="0.2">
      <c r="A160" cm="1">
        <f t="array" ref="A160">TDIST(1,3,NI!A308)</f>
        <v>0.39100221895577059</v>
      </c>
      <c r="B160">
        <f t="shared" si="6"/>
        <v>0</v>
      </c>
      <c r="C160">
        <f t="shared" si="7"/>
        <v>0.39100221895577059</v>
      </c>
      <c r="D160" t="str">
        <f t="shared" si="8"/>
        <v/>
      </c>
      <c r="E160" t="s">
        <v>194</v>
      </c>
    </row>
    <row r="161" spans="1:5" x14ac:dyDescent="0.2">
      <c r="A161" cm="1">
        <f t="array" ref="A161">TINV(0.5,NI!A307)</f>
        <v>1.0000000000000002</v>
      </c>
      <c r="B161">
        <f t="shared" si="6"/>
        <v>0</v>
      </c>
      <c r="C161">
        <f t="shared" si="7"/>
        <v>1.0000000000000002</v>
      </c>
      <c r="D161" t="str">
        <f t="shared" si="8"/>
        <v/>
      </c>
      <c r="E161" t="s">
        <v>195</v>
      </c>
    </row>
    <row r="162" spans="1:5" x14ac:dyDescent="0.2">
      <c r="A162" cm="1">
        <f t="array" ref="A162">TINV(0.5,NI!A308)</f>
        <v>1.0000000000000002</v>
      </c>
      <c r="B162">
        <f t="shared" si="6"/>
        <v>0</v>
      </c>
      <c r="C162">
        <f t="shared" si="7"/>
        <v>1.0000000000000002</v>
      </c>
      <c r="D162" t="str">
        <f t="shared" si="8"/>
        <v/>
      </c>
      <c r="E162" t="s">
        <v>196</v>
      </c>
    </row>
    <row r="163" spans="1:5" x14ac:dyDescent="0.2">
      <c r="A163" cm="1">
        <f t="array" ref="A163">TINV(0.5,NI!A309)</f>
        <v>0.81649658092772592</v>
      </c>
      <c r="B163">
        <f t="shared" si="6"/>
        <v>0</v>
      </c>
      <c r="C163">
        <f t="shared" si="7"/>
        <v>0.81649658092772592</v>
      </c>
      <c r="D163" t="str">
        <f t="shared" si="8"/>
        <v/>
      </c>
      <c r="E163" t="s">
        <v>197</v>
      </c>
    </row>
    <row r="164" spans="1:5" x14ac:dyDescent="0.2">
      <c r="A164" cm="1">
        <f t="array" ref="A164">TINV(0.5,NI!A310)</f>
        <v>0.81649658092772592</v>
      </c>
      <c r="B164">
        <f t="shared" si="6"/>
        <v>0</v>
      </c>
      <c r="C164">
        <f t="shared" si="7"/>
        <v>0.81649658092772592</v>
      </c>
      <c r="D164" t="str">
        <f t="shared" si="8"/>
        <v/>
      </c>
      <c r="E164" t="s">
        <v>198</v>
      </c>
    </row>
    <row r="165" spans="1:5" x14ac:dyDescent="0.2">
      <c r="A165" cm="1">
        <f t="array" ref="A165">_xlfn.PERMUTATIONA(5,NI!A307)</f>
        <v>5</v>
      </c>
      <c r="B165">
        <f t="shared" si="6"/>
        <v>0</v>
      </c>
      <c r="C165">
        <f t="shared" si="7"/>
        <v>5</v>
      </c>
      <c r="D165" t="str">
        <f t="shared" si="8"/>
        <v/>
      </c>
      <c r="E165" t="s">
        <v>199</v>
      </c>
    </row>
    <row r="166" spans="1:5" x14ac:dyDescent="0.2">
      <c r="A166" cm="1">
        <f t="array" ref="A166">_xlfn.PERMUTATIONA(5,NI!A308)</f>
        <v>5</v>
      </c>
      <c r="B166">
        <f t="shared" si="6"/>
        <v>0</v>
      </c>
      <c r="C166">
        <f t="shared" si="7"/>
        <v>5</v>
      </c>
      <c r="D166" t="str">
        <f t="shared" si="8"/>
        <v/>
      </c>
      <c r="E166" t="s">
        <v>200</v>
      </c>
    </row>
    <row r="167" spans="1:5" x14ac:dyDescent="0.2">
      <c r="A167" cm="1">
        <f t="array" ref="A167">_xlfn.PERMUTATIONA(5,NI!A309)</f>
        <v>25</v>
      </c>
      <c r="B167">
        <f t="shared" si="6"/>
        <v>0</v>
      </c>
      <c r="C167">
        <f t="shared" si="7"/>
        <v>25</v>
      </c>
      <c r="D167" t="str">
        <f t="shared" si="8"/>
        <v/>
      </c>
      <c r="E167" t="s">
        <v>201</v>
      </c>
    </row>
    <row r="168" spans="1:5" x14ac:dyDescent="0.2">
      <c r="A168" cm="1">
        <f t="array" ref="A168">_xlfn.PERMUTATIONA(5,NI!A310)</f>
        <v>25</v>
      </c>
      <c r="B168">
        <f t="shared" si="6"/>
        <v>0</v>
      </c>
      <c r="C168">
        <f t="shared" si="7"/>
        <v>25</v>
      </c>
      <c r="D168" t="str">
        <f t="shared" si="8"/>
        <v/>
      </c>
      <c r="E168" t="s">
        <v>202</v>
      </c>
    </row>
    <row r="169" spans="1:5" x14ac:dyDescent="0.2">
      <c r="A169" cm="1">
        <f t="array" ref="A169">FINDB("a","aaaa",NI!A307)</f>
        <v>2</v>
      </c>
      <c r="B169">
        <f t="shared" si="6"/>
        <v>0</v>
      </c>
      <c r="C169">
        <f t="shared" si="7"/>
        <v>2</v>
      </c>
      <c r="D169" t="str">
        <f t="shared" si="8"/>
        <v/>
      </c>
      <c r="E169" t="s">
        <v>203</v>
      </c>
    </row>
    <row r="170" spans="1:5" x14ac:dyDescent="0.2">
      <c r="A170" cm="1">
        <f t="array" ref="A170">FINDB("a","aaaa",NI!A308)</f>
        <v>2</v>
      </c>
      <c r="B170">
        <f t="shared" si="6"/>
        <v>0</v>
      </c>
      <c r="C170">
        <f t="shared" si="7"/>
        <v>2</v>
      </c>
      <c r="D170" t="str">
        <f t="shared" si="8"/>
        <v/>
      </c>
      <c r="E170" t="s">
        <v>204</v>
      </c>
    </row>
    <row r="171" spans="1:5" x14ac:dyDescent="0.2">
      <c r="A171" cm="1">
        <f t="array" ref="A171">FINDB("a","aaaa",NI!A309)</f>
        <v>3</v>
      </c>
      <c r="B171">
        <f t="shared" si="6"/>
        <v>0</v>
      </c>
      <c r="C171">
        <f t="shared" si="7"/>
        <v>3</v>
      </c>
      <c r="D171" t="str">
        <f t="shared" si="8"/>
        <v/>
      </c>
      <c r="E171" t="s">
        <v>205</v>
      </c>
    </row>
    <row r="172" spans="1:5" x14ac:dyDescent="0.2">
      <c r="A172" cm="1">
        <f t="array" ref="A172">FINDB("a","aaaa",NI!A310)</f>
        <v>3</v>
      </c>
      <c r="B172">
        <f t="shared" si="6"/>
        <v>0</v>
      </c>
      <c r="C172">
        <f t="shared" si="7"/>
        <v>3</v>
      </c>
      <c r="D172" t="str">
        <f t="shared" si="8"/>
        <v/>
      </c>
      <c r="E172" t="s">
        <v>206</v>
      </c>
    </row>
    <row r="173" spans="1:5" x14ac:dyDescent="0.2">
      <c r="A173" cm="1">
        <f t="array" ref="A173">SEARCHB("a","aaaa",NI!A307)</f>
        <v>2</v>
      </c>
      <c r="B173">
        <f t="shared" si="6"/>
        <v>0</v>
      </c>
      <c r="C173">
        <f t="shared" si="7"/>
        <v>2</v>
      </c>
      <c r="D173" t="str">
        <f t="shared" si="8"/>
        <v/>
      </c>
      <c r="E173" t="s">
        <v>207</v>
      </c>
    </row>
    <row r="174" spans="1:5" x14ac:dyDescent="0.2">
      <c r="A174" cm="1">
        <f t="array" ref="A174">SEARCHB("a","aaaa",NI!A308)</f>
        <v>2</v>
      </c>
      <c r="B174">
        <f t="shared" si="6"/>
        <v>0</v>
      </c>
      <c r="C174">
        <f t="shared" si="7"/>
        <v>2</v>
      </c>
      <c r="D174" t="str">
        <f t="shared" si="8"/>
        <v/>
      </c>
      <c r="E174" t="s">
        <v>208</v>
      </c>
    </row>
    <row r="175" spans="1:5" x14ac:dyDescent="0.2">
      <c r="A175" cm="1">
        <f t="array" ref="A175">SEARCHB("a","aaaa",NI!A309)</f>
        <v>3</v>
      </c>
      <c r="B175">
        <f t="shared" si="6"/>
        <v>0</v>
      </c>
      <c r="C175">
        <f t="shared" si="7"/>
        <v>3</v>
      </c>
      <c r="D175" t="str">
        <f t="shared" si="8"/>
        <v/>
      </c>
      <c r="E175" t="s">
        <v>209</v>
      </c>
    </row>
    <row r="176" spans="1:5" x14ac:dyDescent="0.2">
      <c r="A176" cm="1">
        <f t="array" ref="A176">SEARCHB("a","aaaa",NI!A310)</f>
        <v>3</v>
      </c>
      <c r="B176">
        <f t="shared" si="6"/>
        <v>0</v>
      </c>
      <c r="C176">
        <f t="shared" si="7"/>
        <v>3</v>
      </c>
      <c r="D176" t="str">
        <f t="shared" si="8"/>
        <v/>
      </c>
      <c r="E176" t="s">
        <v>210</v>
      </c>
    </row>
    <row r="177" spans="1:5" x14ac:dyDescent="0.2">
      <c r="A177" t="str" cm="1">
        <f t="array" ref="A177">REPLACEB("abcd",NI!A307,1,"-")</f>
        <v>a-cd</v>
      </c>
      <c r="B177">
        <f t="shared" si="6"/>
        <v>-3</v>
      </c>
      <c r="C177">
        <f t="shared" si="7"/>
        <v>0</v>
      </c>
      <c r="D177" t="str">
        <f t="shared" si="8"/>
        <v>a-cd</v>
      </c>
      <c r="E177" t="s">
        <v>211</v>
      </c>
    </row>
    <row r="178" spans="1:5" x14ac:dyDescent="0.2">
      <c r="A178" t="str" cm="1">
        <f t="array" ref="A178">REPLACEB("abcd",NI!A308,1,"-")</f>
        <v>a-cd</v>
      </c>
      <c r="B178">
        <f t="shared" si="6"/>
        <v>-3</v>
      </c>
      <c r="C178">
        <f t="shared" si="7"/>
        <v>0</v>
      </c>
      <c r="D178" t="str">
        <f t="shared" si="8"/>
        <v>a-cd</v>
      </c>
      <c r="E178" t="s">
        <v>212</v>
      </c>
    </row>
    <row r="179" spans="1:5" x14ac:dyDescent="0.2">
      <c r="A179" t="str" cm="1">
        <f t="array" ref="A179">REPLACEB("abcd",NI!A309,1,"-")</f>
        <v>ab-d</v>
      </c>
      <c r="B179">
        <f t="shared" si="6"/>
        <v>-3</v>
      </c>
      <c r="C179">
        <f t="shared" si="7"/>
        <v>0</v>
      </c>
      <c r="D179" t="str">
        <f t="shared" si="8"/>
        <v>ab-d</v>
      </c>
      <c r="E179" t="s">
        <v>213</v>
      </c>
    </row>
    <row r="180" spans="1:5" x14ac:dyDescent="0.2">
      <c r="A180" t="str" cm="1">
        <f t="array" ref="A180">REPLACEB("abcd",NI!A310,1,"-")</f>
        <v>ab-d</v>
      </c>
      <c r="B180">
        <f t="shared" si="6"/>
        <v>-3</v>
      </c>
      <c r="C180">
        <f t="shared" si="7"/>
        <v>0</v>
      </c>
      <c r="D180" t="str">
        <f t="shared" si="8"/>
        <v>ab-d</v>
      </c>
      <c r="E180" t="s">
        <v>214</v>
      </c>
    </row>
    <row r="181" spans="1:5" x14ac:dyDescent="0.2">
      <c r="A181" t="str" cm="1">
        <f t="array" ref="A181">REPLACEB("abcd",1,NI!A307,"-")</f>
        <v>-cd</v>
      </c>
      <c r="B181">
        <f t="shared" si="6"/>
        <v>-3</v>
      </c>
      <c r="C181">
        <f t="shared" si="7"/>
        <v>0</v>
      </c>
      <c r="D181" t="str">
        <f t="shared" si="8"/>
        <v>-cd</v>
      </c>
      <c r="E181" t="s">
        <v>215</v>
      </c>
    </row>
    <row r="182" spans="1:5" x14ac:dyDescent="0.2">
      <c r="A182" t="str" cm="1">
        <f t="array" ref="A182">REPLACEB("abcd",1,NI!A308,"-")</f>
        <v>-cd</v>
      </c>
      <c r="B182">
        <f t="shared" si="6"/>
        <v>-3</v>
      </c>
      <c r="C182">
        <f t="shared" si="7"/>
        <v>0</v>
      </c>
      <c r="D182" t="str">
        <f t="shared" si="8"/>
        <v>-cd</v>
      </c>
      <c r="E182" t="s">
        <v>216</v>
      </c>
    </row>
    <row r="183" spans="1:5" x14ac:dyDescent="0.2">
      <c r="A183" t="str" cm="1">
        <f t="array" ref="A183">REPLACEB("abcd",1,NI!A309,"-")</f>
        <v>-d</v>
      </c>
      <c r="B183">
        <f t="shared" si="6"/>
        <v>-3</v>
      </c>
      <c r="C183">
        <f t="shared" si="7"/>
        <v>0</v>
      </c>
      <c r="D183" t="str">
        <f t="shared" si="8"/>
        <v>-d</v>
      </c>
      <c r="E183" t="s">
        <v>217</v>
      </c>
    </row>
    <row r="184" spans="1:5" x14ac:dyDescent="0.2">
      <c r="A184" t="str" cm="1">
        <f t="array" ref="A184">REPLACEB("abcd",1,NI!A310,"-")</f>
        <v>-d</v>
      </c>
      <c r="B184">
        <f t="shared" si="6"/>
        <v>-3</v>
      </c>
      <c r="C184">
        <f t="shared" si="7"/>
        <v>0</v>
      </c>
      <c r="D184" t="str">
        <f t="shared" si="8"/>
        <v>-d</v>
      </c>
      <c r="E184" t="s">
        <v>218</v>
      </c>
    </row>
    <row r="185" spans="1:5" x14ac:dyDescent="0.2">
      <c r="A185" t="str" cm="1">
        <f t="array" ref="A185">RIGHTB("abcd",NI!A307)</f>
        <v>cd</v>
      </c>
      <c r="B185">
        <f t="shared" si="6"/>
        <v>-3</v>
      </c>
      <c r="C185">
        <f t="shared" si="7"/>
        <v>0</v>
      </c>
      <c r="D185" t="str">
        <f t="shared" si="8"/>
        <v>cd</v>
      </c>
      <c r="E185" t="s">
        <v>219</v>
      </c>
    </row>
    <row r="186" spans="1:5" x14ac:dyDescent="0.2">
      <c r="A186" t="str" cm="1">
        <f t="array" ref="A186">RIGHTB("abcd",NI!A308)</f>
        <v>cd</v>
      </c>
      <c r="B186">
        <f t="shared" si="6"/>
        <v>-3</v>
      </c>
      <c r="C186">
        <f t="shared" si="7"/>
        <v>0</v>
      </c>
      <c r="D186" t="str">
        <f t="shared" si="8"/>
        <v>cd</v>
      </c>
      <c r="E186" t="s">
        <v>220</v>
      </c>
    </row>
    <row r="187" spans="1:5" x14ac:dyDescent="0.2">
      <c r="A187" t="str" cm="1">
        <f t="array" ref="A187">RIGHTB("abcd",NI!A309)</f>
        <v>bcd</v>
      </c>
      <c r="B187">
        <f t="shared" si="6"/>
        <v>-3</v>
      </c>
      <c r="C187">
        <f t="shared" si="7"/>
        <v>0</v>
      </c>
      <c r="D187" t="str">
        <f t="shared" si="8"/>
        <v>bcd</v>
      </c>
      <c r="E187" t="s">
        <v>221</v>
      </c>
    </row>
    <row r="188" spans="1:5" x14ac:dyDescent="0.2">
      <c r="A188" t="str" cm="1">
        <f t="array" ref="A188">RIGHTB("abcd",NI!A310)</f>
        <v>bcd</v>
      </c>
      <c r="B188">
        <f t="shared" si="6"/>
        <v>-3</v>
      </c>
      <c r="C188">
        <f t="shared" si="7"/>
        <v>0</v>
      </c>
      <c r="D188" t="str">
        <f t="shared" si="8"/>
        <v>bcd</v>
      </c>
      <c r="E188" t="s">
        <v>222</v>
      </c>
    </row>
    <row r="189" spans="1:5" x14ac:dyDescent="0.2">
      <c r="A189" t="str" cm="1">
        <f t="array" ref="A189">MIDB("abcd",1,NI!A307)</f>
        <v>a</v>
      </c>
      <c r="B189">
        <f t="shared" si="6"/>
        <v>-3</v>
      </c>
      <c r="C189">
        <f t="shared" si="7"/>
        <v>0</v>
      </c>
      <c r="D189" t="str">
        <f t="shared" si="8"/>
        <v>a</v>
      </c>
      <c r="E189" t="s">
        <v>223</v>
      </c>
    </row>
    <row r="190" spans="1:5" x14ac:dyDescent="0.2">
      <c r="A190" t="str" cm="1">
        <f t="array" ref="A190">MIDB("abcd",1,NI!A308)</f>
        <v>a</v>
      </c>
      <c r="B190">
        <f t="shared" si="6"/>
        <v>-3</v>
      </c>
      <c r="C190">
        <f t="shared" si="7"/>
        <v>0</v>
      </c>
      <c r="D190" t="str">
        <f t="shared" si="8"/>
        <v>a</v>
      </c>
      <c r="E190" t="s">
        <v>224</v>
      </c>
    </row>
    <row r="191" spans="1:5" x14ac:dyDescent="0.2">
      <c r="A191" t="str" cm="1">
        <f t="array" ref="A191">MIDB("abcd",1,NI!A309)</f>
        <v>ab</v>
      </c>
      <c r="B191">
        <f t="shared" si="6"/>
        <v>-3</v>
      </c>
      <c r="C191">
        <f t="shared" si="7"/>
        <v>0</v>
      </c>
      <c r="D191" t="str">
        <f t="shared" si="8"/>
        <v>ab</v>
      </c>
      <c r="E191" t="s">
        <v>225</v>
      </c>
    </row>
    <row r="192" spans="1:5" x14ac:dyDescent="0.2">
      <c r="A192" t="str" cm="1">
        <f t="array" ref="A192">MIDB("abcd",1,NI!A310)</f>
        <v>ab</v>
      </c>
      <c r="B192">
        <f t="shared" si="6"/>
        <v>-3</v>
      </c>
      <c r="C192">
        <f t="shared" si="7"/>
        <v>0</v>
      </c>
      <c r="D192" t="str">
        <f t="shared" si="8"/>
        <v>ab</v>
      </c>
      <c r="E192" t="s">
        <v>226</v>
      </c>
    </row>
    <row r="193" spans="1:5" x14ac:dyDescent="0.2">
      <c r="A193" cm="1">
        <f t="array" ref="A193">COLUMNS(_xlfn.TEXTSPLIT("aXbxc","x",,,NI!A305))</f>
        <v>2</v>
      </c>
      <c r="B193">
        <f t="shared" ref="B193:B256" si="9">IF(ISERROR(A193),ERROR.TYPE(A193),IF(ISNUMBER(A193),0,IF(ISLOGICAL(A193),IF(A193,-1,-2),IF(ISTEXT(A193),-3,-4))))</f>
        <v>0</v>
      </c>
      <c r="C193">
        <f t="shared" ref="C193:C220" si="10">IF(ISNUMBER(A193),A193,0)</f>
        <v>2</v>
      </c>
      <c r="D193" t="str">
        <f t="shared" ref="D193:D220" si="11">IF(ISTEXT(A193),A193,"")</f>
        <v/>
      </c>
      <c r="E193" t="s">
        <v>227</v>
      </c>
    </row>
    <row r="194" spans="1:5" x14ac:dyDescent="0.2">
      <c r="A194" cm="1">
        <f t="array" ref="A194">COLUMNS(_xlfn.TEXTSPLIT("aXbxc","x",,,NI!A306))</f>
        <v>2</v>
      </c>
      <c r="B194">
        <f t="shared" si="9"/>
        <v>0</v>
      </c>
      <c r="C194">
        <f t="shared" si="10"/>
        <v>2</v>
      </c>
      <c r="D194" t="str">
        <f t="shared" si="11"/>
        <v/>
      </c>
      <c r="E194" t="s">
        <v>228</v>
      </c>
    </row>
    <row r="195" spans="1:5" x14ac:dyDescent="0.2">
      <c r="A195" t="e" cm="1">
        <f t="array" ref="A195">_xlfn.TEXTBEFORE("aXb","x",1,NI!A305)</f>
        <v>#N/A</v>
      </c>
      <c r="B195">
        <f t="shared" si="9"/>
        <v>7</v>
      </c>
      <c r="C195">
        <f t="shared" si="10"/>
        <v>0</v>
      </c>
      <c r="D195" t="str">
        <f t="shared" si="11"/>
        <v/>
      </c>
      <c r="E195" t="s">
        <v>229</v>
      </c>
    </row>
    <row r="196" spans="1:5" x14ac:dyDescent="0.2">
      <c r="A196" t="e" cm="1">
        <f t="array" ref="A196">_xlfn.TEXTBEFORE("aXb","x",1,NI!A306)</f>
        <v>#N/A</v>
      </c>
      <c r="B196">
        <f t="shared" si="9"/>
        <v>7</v>
      </c>
      <c r="C196">
        <f t="shared" si="10"/>
        <v>0</v>
      </c>
      <c r="D196" t="str">
        <f t="shared" si="11"/>
        <v/>
      </c>
      <c r="E196" t="s">
        <v>230</v>
      </c>
    </row>
    <row r="197" spans="1:5" x14ac:dyDescent="0.2">
      <c r="A197" t="e" cm="1">
        <f t="array" ref="A197">_xlfn.TEXTBEFORE("a-b","+",1,0,NI!A305)</f>
        <v>#N/A</v>
      </c>
      <c r="B197">
        <f t="shared" si="9"/>
        <v>7</v>
      </c>
      <c r="C197">
        <f t="shared" si="10"/>
        <v>0</v>
      </c>
      <c r="D197" t="str">
        <f t="shared" si="11"/>
        <v/>
      </c>
      <c r="E197" t="s">
        <v>231</v>
      </c>
    </row>
    <row r="198" spans="1:5" x14ac:dyDescent="0.2">
      <c r="A198" t="e" cm="1">
        <f t="array" ref="A198">_xlfn.TEXTBEFORE("a-b","+",1,0,NI!A306)</f>
        <v>#N/A</v>
      </c>
      <c r="B198">
        <f t="shared" si="9"/>
        <v>7</v>
      </c>
      <c r="C198">
        <f t="shared" si="10"/>
        <v>0</v>
      </c>
      <c r="D198" t="str">
        <f t="shared" si="11"/>
        <v/>
      </c>
      <c r="E198" t="s">
        <v>232</v>
      </c>
    </row>
    <row r="199" spans="1:5" x14ac:dyDescent="0.2">
      <c r="A199" t="e" cm="1">
        <f t="array" ref="A199">_xlfn.TEXTAFTER("aXb","x",1,NI!A305)</f>
        <v>#N/A</v>
      </c>
      <c r="B199">
        <f t="shared" si="9"/>
        <v>7</v>
      </c>
      <c r="C199">
        <f t="shared" si="10"/>
        <v>0</v>
      </c>
      <c r="D199" t="str">
        <f t="shared" si="11"/>
        <v/>
      </c>
      <c r="E199" t="s">
        <v>233</v>
      </c>
    </row>
    <row r="200" spans="1:5" x14ac:dyDescent="0.2">
      <c r="A200" t="e" cm="1">
        <f t="array" ref="A200">_xlfn.TEXTAFTER("aXb","x",1,NI!A306)</f>
        <v>#N/A</v>
      </c>
      <c r="B200">
        <f t="shared" si="9"/>
        <v>7</v>
      </c>
      <c r="C200">
        <f t="shared" si="10"/>
        <v>0</v>
      </c>
      <c r="D200" t="str">
        <f t="shared" si="11"/>
        <v/>
      </c>
      <c r="E200" t="s">
        <v>234</v>
      </c>
    </row>
    <row r="201" spans="1:5" x14ac:dyDescent="0.2">
      <c r="A201" cm="1">
        <f t="array" ref="A201">_xlfn.HYPGEOM.DIST(1,NI!A307,5,10,FALSE)</f>
        <v>0.5</v>
      </c>
      <c r="B201">
        <f t="shared" si="9"/>
        <v>0</v>
      </c>
      <c r="C201">
        <f t="shared" si="10"/>
        <v>0.5</v>
      </c>
      <c r="D201" t="str">
        <f t="shared" si="11"/>
        <v/>
      </c>
      <c r="E201" t="s">
        <v>235</v>
      </c>
    </row>
    <row r="202" spans="1:5" x14ac:dyDescent="0.2">
      <c r="A202" cm="1">
        <f t="array" ref="A202">_xlfn.HYPGEOM.DIST(1,NI!A308,5,10,FALSE)</f>
        <v>0.5</v>
      </c>
      <c r="B202">
        <f t="shared" si="9"/>
        <v>0</v>
      </c>
      <c r="C202">
        <f t="shared" si="10"/>
        <v>0.5</v>
      </c>
      <c r="D202" t="str">
        <f t="shared" si="11"/>
        <v/>
      </c>
      <c r="E202" t="s">
        <v>236</v>
      </c>
    </row>
    <row r="203" spans="1:5" x14ac:dyDescent="0.2">
      <c r="A203" cm="1">
        <f t="array" ref="A203">_xlfn.HYPGEOM.DIST(1,NI!A309,5,10,FALSE)</f>
        <v>0.55555555555555536</v>
      </c>
      <c r="B203">
        <f t="shared" si="9"/>
        <v>0</v>
      </c>
      <c r="C203">
        <f t="shared" si="10"/>
        <v>0.55555555555555536</v>
      </c>
      <c r="D203" t="str">
        <f t="shared" si="11"/>
        <v/>
      </c>
      <c r="E203" t="s">
        <v>237</v>
      </c>
    </row>
    <row r="204" spans="1:5" x14ac:dyDescent="0.2">
      <c r="A204" cm="1">
        <f t="array" ref="A204">_xlfn.HYPGEOM.DIST(1,NI!A310,5,10,FALSE)</f>
        <v>0.55555555555555536</v>
      </c>
      <c r="B204">
        <f t="shared" si="9"/>
        <v>0</v>
      </c>
      <c r="C204">
        <f t="shared" si="10"/>
        <v>0.55555555555555536</v>
      </c>
      <c r="D204" t="str">
        <f t="shared" si="11"/>
        <v/>
      </c>
      <c r="E204" t="s">
        <v>238</v>
      </c>
    </row>
    <row r="205" spans="1:5" x14ac:dyDescent="0.2">
      <c r="A205" cm="1">
        <f t="array" ref="A205">_xlfn.NEGBINOM.DIST(1,NI!A307,0.5,FALSE)</f>
        <v>0.25</v>
      </c>
      <c r="B205">
        <f t="shared" si="9"/>
        <v>0</v>
      </c>
      <c r="C205">
        <f t="shared" si="10"/>
        <v>0.25</v>
      </c>
      <c r="D205" t="str">
        <f t="shared" si="11"/>
        <v/>
      </c>
      <c r="E205" t="s">
        <v>239</v>
      </c>
    </row>
    <row r="206" spans="1:5" x14ac:dyDescent="0.2">
      <c r="A206" cm="1">
        <f t="array" ref="A206">_xlfn.NEGBINOM.DIST(1,NI!A308,0.5,FALSE)</f>
        <v>0.25</v>
      </c>
      <c r="B206">
        <f t="shared" si="9"/>
        <v>0</v>
      </c>
      <c r="C206">
        <f t="shared" si="10"/>
        <v>0.25</v>
      </c>
      <c r="D206" t="str">
        <f t="shared" si="11"/>
        <v/>
      </c>
      <c r="E206" t="s">
        <v>240</v>
      </c>
    </row>
    <row r="207" spans="1:5" x14ac:dyDescent="0.2">
      <c r="A207" cm="1">
        <f t="array" ref="A207">_xlfn.NEGBINOM.DIST(1,NI!A309,0.5,FALSE)</f>
        <v>0.25</v>
      </c>
      <c r="B207">
        <f t="shared" si="9"/>
        <v>0</v>
      </c>
      <c r="C207">
        <f t="shared" si="10"/>
        <v>0.25</v>
      </c>
      <c r="D207" t="str">
        <f t="shared" si="11"/>
        <v/>
      </c>
      <c r="E207" t="s">
        <v>241</v>
      </c>
    </row>
    <row r="208" spans="1:5" x14ac:dyDescent="0.2">
      <c r="A208" cm="1">
        <f t="array" ref="A208">_xlfn.NEGBINOM.DIST(1,NI!A310,0.5,FALSE)</f>
        <v>0.25</v>
      </c>
      <c r="B208">
        <f t="shared" si="9"/>
        <v>0</v>
      </c>
      <c r="C208">
        <f t="shared" si="10"/>
        <v>0.25</v>
      </c>
      <c r="D208" t="str">
        <f t="shared" si="11"/>
        <v/>
      </c>
      <c r="E208" t="s">
        <v>242</v>
      </c>
    </row>
    <row r="209" spans="1:5" x14ac:dyDescent="0.2">
      <c r="A209" cm="1">
        <f t="array" ref="A209">PERMUT(NI!A307,1)</f>
        <v>1</v>
      </c>
      <c r="B209">
        <f t="shared" si="9"/>
        <v>0</v>
      </c>
      <c r="C209">
        <f t="shared" si="10"/>
        <v>1</v>
      </c>
      <c r="D209" t="str">
        <f t="shared" si="11"/>
        <v/>
      </c>
      <c r="E209" t="s">
        <v>243</v>
      </c>
    </row>
    <row r="210" spans="1:5" x14ac:dyDescent="0.2">
      <c r="A210" cm="1">
        <f t="array" ref="A210">PERMUT(NI!A308,1)</f>
        <v>1</v>
      </c>
      <c r="B210">
        <f t="shared" si="9"/>
        <v>0</v>
      </c>
      <c r="C210">
        <f t="shared" si="10"/>
        <v>1</v>
      </c>
      <c r="D210" t="str">
        <f t="shared" si="11"/>
        <v/>
      </c>
      <c r="E210" t="s">
        <v>244</v>
      </c>
    </row>
    <row r="211" spans="1:5" x14ac:dyDescent="0.2">
      <c r="A211" cm="1">
        <f t="array" ref="A211">PERMUT(NI!A309,1)</f>
        <v>2</v>
      </c>
      <c r="B211">
        <f t="shared" si="9"/>
        <v>0</v>
      </c>
      <c r="C211">
        <f t="shared" si="10"/>
        <v>2</v>
      </c>
      <c r="D211" t="str">
        <f t="shared" si="11"/>
        <v/>
      </c>
      <c r="E211" t="s">
        <v>245</v>
      </c>
    </row>
    <row r="212" spans="1:5" x14ac:dyDescent="0.2">
      <c r="A212" cm="1">
        <f t="array" ref="A212">PERMUT(NI!A310,1)</f>
        <v>2</v>
      </c>
      <c r="B212">
        <f t="shared" si="9"/>
        <v>0</v>
      </c>
      <c r="C212">
        <f t="shared" si="10"/>
        <v>2</v>
      </c>
      <c r="D212" t="str">
        <f t="shared" si="11"/>
        <v/>
      </c>
      <c r="E212" t="s">
        <v>246</v>
      </c>
    </row>
    <row r="213" spans="1:5" x14ac:dyDescent="0.2">
      <c r="A213" cm="1">
        <f t="array" ref="A213">DB(1000,100,NI!A307,1)</f>
        <v>684</v>
      </c>
      <c r="B213">
        <f t="shared" si="9"/>
        <v>0</v>
      </c>
      <c r="C213">
        <f t="shared" si="10"/>
        <v>684</v>
      </c>
      <c r="D213" t="str">
        <f t="shared" si="11"/>
        <v/>
      </c>
      <c r="E213" t="s">
        <v>247</v>
      </c>
    </row>
    <row r="214" spans="1:5" x14ac:dyDescent="0.2">
      <c r="A214" cm="1">
        <f t="array" ref="A214">DB(1000,100,NI!A308,1)</f>
        <v>684</v>
      </c>
      <c r="B214">
        <f t="shared" si="9"/>
        <v>0</v>
      </c>
      <c r="C214">
        <f t="shared" si="10"/>
        <v>684</v>
      </c>
      <c r="D214" t="str">
        <f t="shared" si="11"/>
        <v/>
      </c>
      <c r="E214" t="s">
        <v>248</v>
      </c>
    </row>
    <row r="215" spans="1:5" x14ac:dyDescent="0.2">
      <c r="A215" cm="1">
        <f t="array" ref="A215">DB(1000,100,NI!A309,1)</f>
        <v>536</v>
      </c>
      <c r="B215">
        <f t="shared" si="9"/>
        <v>0</v>
      </c>
      <c r="C215">
        <f t="shared" si="10"/>
        <v>536</v>
      </c>
      <c r="D215" t="str">
        <f t="shared" si="11"/>
        <v/>
      </c>
      <c r="E215" t="s">
        <v>249</v>
      </c>
    </row>
    <row r="216" spans="1:5" x14ac:dyDescent="0.2">
      <c r="A216" cm="1">
        <f t="array" ref="A216">DB(1000,100,NI!A310,1)</f>
        <v>536</v>
      </c>
      <c r="B216">
        <f t="shared" si="9"/>
        <v>0</v>
      </c>
      <c r="C216">
        <f t="shared" si="10"/>
        <v>536</v>
      </c>
      <c r="D216" t="str">
        <f t="shared" si="11"/>
        <v/>
      </c>
      <c r="E216" t="s">
        <v>250</v>
      </c>
    </row>
    <row r="217" spans="1:5" x14ac:dyDescent="0.2">
      <c r="A217" cm="1">
        <f t="array" ref="A217">SUBTOTAL(NI!A414,D!B1:B8)</f>
        <v>-3.5</v>
      </c>
      <c r="B217">
        <f t="shared" si="9"/>
        <v>0</v>
      </c>
      <c r="C217">
        <f t="shared" si="10"/>
        <v>-3.5</v>
      </c>
      <c r="D217" t="str">
        <f t="shared" si="11"/>
        <v/>
      </c>
      <c r="E217" t="s">
        <v>251</v>
      </c>
    </row>
    <row r="218" spans="1:5" x14ac:dyDescent="0.2">
      <c r="A218" cm="1">
        <f t="array" ref="A218">SUBTOTAL(NI!A415,D!B1:B8)</f>
        <v>-3.5</v>
      </c>
      <c r="B218">
        <f t="shared" si="9"/>
        <v>0</v>
      </c>
      <c r="C218">
        <f t="shared" si="10"/>
        <v>-3.5</v>
      </c>
      <c r="D218" t="str">
        <f t="shared" si="11"/>
        <v/>
      </c>
      <c r="E218" t="s">
        <v>252</v>
      </c>
    </row>
    <row r="219" spans="1:5" x14ac:dyDescent="0.2">
      <c r="A219" cm="1">
        <f t="array" ref="A219">_xlfn.AGGREGATE(9,NI!A414,D!B1:B8)</f>
        <v>114.75</v>
      </c>
      <c r="B219">
        <f t="shared" si="9"/>
        <v>0</v>
      </c>
      <c r="C219">
        <f t="shared" si="10"/>
        <v>114.75</v>
      </c>
      <c r="D219" t="str">
        <f t="shared" si="11"/>
        <v/>
      </c>
      <c r="E219" t="s">
        <v>253</v>
      </c>
    </row>
    <row r="220" spans="1:5" x14ac:dyDescent="0.2">
      <c r="A220" cm="1">
        <f t="array" ref="A220">_xlfn.AGGREGATE(9,NI!A415,D!B1:B8)</f>
        <v>114.75</v>
      </c>
      <c r="B220">
        <f t="shared" si="9"/>
        <v>0</v>
      </c>
      <c r="C220">
        <f t="shared" si="10"/>
        <v>114.75</v>
      </c>
      <c r="D220" t="str">
        <f t="shared" si="11"/>
        <v/>
      </c>
      <c r="E220" t="s">
        <v>254</v>
      </c>
    </row>
    <row r="221" spans="1:5" x14ac:dyDescent="0.2">
      <c r="A221" t="s">
        <v>255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2026-10-07T05:16:12Z</dcterms:created>
  <dcterms:modified xsi:type="dcterms:W3CDTF">2026-10-07T05:16:12Z</dcterms:modified>
  <cp:category/>
</cp:coreProperties>
</file>