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A40673F4-6CE1-8B45-AB14-DC9F8DBF466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V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3" l="1" a="1"/>
  <c r="A31" i="3" a="1"/>
  <c r="A30" i="3" a="1"/>
  <c r="D29" i="3"/>
  <c r="C29" i="3"/>
  <c r="A29" i="3" a="1"/>
  <c r="B29" i="3" s="1"/>
  <c r="A28" i="3" a="1"/>
  <c r="A27" i="3" a="1"/>
  <c r="A26" i="3" a="1"/>
  <c r="A25" i="3" a="1"/>
  <c r="A24" i="3" a="1"/>
  <c r="A23" i="3" a="1"/>
  <c r="A22" i="3" a="1"/>
  <c r="A21" i="3" a="1"/>
  <c r="A20" i="3" a="1"/>
  <c r="A19" i="3" a="1"/>
  <c r="A18" i="3" a="1"/>
  <c r="A17" i="3" a="1"/>
  <c r="A16" i="3" a="1"/>
  <c r="A15" i="3" a="1"/>
  <c r="A14" i="3" a="1"/>
  <c r="A13" i="3" a="1"/>
  <c r="A12" i="3" a="1"/>
  <c r="A11" i="3" a="1"/>
  <c r="A10" i="3" a="1"/>
  <c r="A9" i="3" a="1"/>
  <c r="A8" i="3" a="1"/>
  <c r="A7" i="3" a="1"/>
  <c r="A6" i="3" a="1"/>
  <c r="A5" i="3" a="1"/>
  <c r="A4" i="3" a="1"/>
  <c r="A3" i="3" a="1"/>
  <c r="A2" i="3" a="1"/>
  <c r="A1" i="3" a="1"/>
  <c r="I15" i="2"/>
  <c r="A14" i="2"/>
  <c r="A13" i="2"/>
  <c r="AL10" i="2"/>
  <c r="A8" i="2"/>
  <c r="A7" i="2"/>
  <c r="E3" i="2"/>
  <c r="B27" i="3" l="1"/>
  <c r="D27" i="3"/>
  <c r="C27" i="3"/>
  <c r="B18" i="3"/>
  <c r="D18" i="3"/>
  <c r="C18" i="3"/>
  <c r="C32" i="3"/>
  <c r="B32" i="3"/>
  <c r="D32" i="3"/>
  <c r="D31" i="3"/>
  <c r="C31" i="3"/>
  <c r="B31" i="3"/>
  <c r="D30" i="3"/>
  <c r="C30" i="3"/>
  <c r="B30" i="3"/>
  <c r="D28" i="3"/>
  <c r="C28" i="3"/>
  <c r="B28" i="3"/>
  <c r="B26" i="3"/>
  <c r="C26" i="3"/>
  <c r="D26" i="3"/>
  <c r="B25" i="3"/>
  <c r="C25" i="3"/>
  <c r="D25" i="3"/>
  <c r="C24" i="3"/>
  <c r="B24" i="3"/>
  <c r="D24" i="3"/>
  <c r="C23" i="3"/>
  <c r="D23" i="3"/>
  <c r="B23" i="3"/>
  <c r="C22" i="3"/>
  <c r="B22" i="3"/>
  <c r="D22" i="3"/>
  <c r="D21" i="3"/>
  <c r="C21" i="3"/>
  <c r="B21" i="3"/>
  <c r="D20" i="3"/>
  <c r="C20" i="3"/>
  <c r="B20" i="3"/>
  <c r="B19" i="3"/>
  <c r="C19" i="3"/>
  <c r="D19" i="3"/>
  <c r="B17" i="3"/>
  <c r="D17" i="3"/>
  <c r="C17" i="3"/>
  <c r="B16" i="3"/>
  <c r="C16" i="3"/>
  <c r="D16" i="3"/>
  <c r="C15" i="3"/>
  <c r="D15" i="3"/>
  <c r="B15" i="3"/>
  <c r="C14" i="3"/>
  <c r="D14" i="3"/>
  <c r="B14" i="3"/>
  <c r="D13" i="3"/>
  <c r="C13" i="3"/>
  <c r="B13" i="3"/>
  <c r="C12" i="3"/>
  <c r="D12" i="3"/>
  <c r="B12" i="3"/>
  <c r="D11" i="3"/>
  <c r="B11" i="3"/>
  <c r="C11" i="3"/>
  <c r="B10" i="3"/>
  <c r="C10" i="3"/>
  <c r="D10" i="3"/>
  <c r="C9" i="3"/>
  <c r="D9" i="3"/>
  <c r="B9" i="3"/>
  <c r="C8" i="3"/>
  <c r="B8" i="3"/>
  <c r="D8" i="3"/>
  <c r="D7" i="3"/>
  <c r="C7" i="3"/>
  <c r="B7" i="3"/>
  <c r="D6" i="3"/>
  <c r="B6" i="3"/>
  <c r="C6" i="3"/>
  <c r="D5" i="3"/>
  <c r="C5" i="3"/>
  <c r="B5" i="3"/>
  <c r="B4" i="3"/>
  <c r="D4" i="3"/>
  <c r="C4" i="3"/>
  <c r="B3" i="3"/>
  <c r="D3" i="3"/>
  <c r="C3" i="3"/>
  <c r="C2" i="3"/>
  <c r="D2" i="3"/>
  <c r="B2" i="3"/>
  <c r="C1" i="3"/>
  <c r="D1" i="3"/>
  <c r="B1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<sst xmlns="http://schemas.openxmlformats.org/spreadsheetml/2006/main" count="95" uniqueCount="71">
  <si>
    <t>é</t>
  </si>
  <si>
    <t>é</t>
  </si>
  <si>
    <t>a</t>
  </si>
  <si>
    <t>a­</t>
  </si>
  <si>
    <t>Аренда</t>
  </si>
  <si>
    <t>one</t>
  </si>
  <si>
    <t>Tree</t>
  </si>
  <si>
    <t>Height</t>
  </si>
  <si>
    <t>Age</t>
  </si>
  <si>
    <t>Yield</t>
  </si>
  <si>
    <t>Profit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</si>
  <si>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</si>
  <si>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</si>
  <si>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</si>
  <si>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</si>
  <si>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</si>
  <si>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</si>
  <si>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</si>
  <si>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</si>
  <si>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</si>
  <si>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</si>
  <si>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</si>
  <si>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</si>
  <si>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</si>
  <si>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</si>
  <si>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</si>
  <si>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</si>
  <si>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</si>
  <si>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</si>
  <si>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</si>
  <si>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</si>
  <si>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</si>
  <si>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</si>
  <si>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</si>
  <si>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</si>
  <si>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</si>
  <si>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</si>
  <si>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</si>
  <si>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sumif-edge#1</t>
  </si>
  <si>
    <t>sumif-edge#2</t>
  </si>
  <si>
    <t>sumif-edge#3</t>
  </si>
  <si>
    <t>sumif-edge#4</t>
  </si>
  <si>
    <t>sumif-edge#5</t>
  </si>
  <si>
    <t>sumif-edge#6</t>
  </si>
  <si>
    <t>sumif-edge#7</t>
  </si>
  <si>
    <t>sumif-edge#8</t>
  </si>
  <si>
    <t>percent#1</t>
  </si>
  <si>
    <t>percent#2</t>
  </si>
  <si>
    <t>percent#3</t>
  </si>
  <si>
    <t>percent#4</t>
  </si>
  <si>
    <t>percent#5</t>
  </si>
  <si>
    <t>percent#6</t>
  </si>
  <si>
    <t>elapsed#1</t>
  </si>
  <si>
    <t>elapsed#2</t>
  </si>
  <si>
    <t>elapsed#3</t>
  </si>
  <si>
    <t>elapsed#4</t>
  </si>
  <si>
    <t>elapsed#5</t>
  </si>
  <si>
    <t>elapsed#6</t>
  </si>
  <si>
    <t>elapsed#7</t>
  </si>
  <si>
    <t>unique-text#1</t>
  </si>
  <si>
    <t>unique-text#2</t>
  </si>
  <si>
    <t>unique-text#3</t>
  </si>
  <si>
    <t>unique-text#4</t>
  </si>
  <si>
    <t>unique-text#5</t>
  </si>
  <si>
    <t>unique-text#6</t>
  </si>
  <si>
    <t>unique-text#7</t>
  </si>
  <si>
    <t>unique-text#8</t>
  </si>
  <si>
    <t>unique-text#9</t>
  </si>
  <si>
    <t>unique-text#10</t>
  </si>
  <si>
    <t>unique-text#11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</si>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</sst>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76"/>
  <sheetViews>
    <sheetView tabSelected="1" workbookViewId="0"/>
  </sheetViews>
  <sheetFormatPr baseColWidth="10" defaultColWidth="8.83203125" defaultRowHeight="15" x14ac:dyDescent="0.2"/>
  <sheetData>
    <row r="1" spans="1:13 16383:16384" x14ac:dyDescent="0.2">
      <c r="A1">
        <v>1</v>
      </c>
      <c r="H1">
        <v>1</v>
      </c>
      <c r="I1">
        <v>2</v>
      </c>
      <c r="J1">
        <v>3</v>
      </c>
      <c r="K1">
        <v>9.9999999999999991E-308</v>
      </c>
      <c r="M1" t="s">
        <v>0</v>
      </c>
      <c r="XFC1">
        <v>1000</v>
      </c>
      <c r="XFD1">
        <v>2000</v>
      </c>
    </row>
    <row r="2" spans="1:13 16383:16384" x14ac:dyDescent="0.2">
      <c r="A2">
        <v>2</v>
      </c>
      <c r="K2">
        <v>2.0000000000000001E-306</v>
      </c>
      <c r="M2" t="s">
        <v>1</v>
      </c>
    </row>
    <row r="3" spans="1:13 16383:16384" x14ac:dyDescent="0.2">
      <c r="A3">
        <v>3</v>
      </c>
      <c r="K3">
        <v>3.0000000000000002E-306</v>
      </c>
      <c r="M3" t="s">
        <v>2</v>
      </c>
    </row>
    <row r="4" spans="1:13 16383:16384" x14ac:dyDescent="0.2">
      <c r="M4" t="s">
        <v>3</v>
      </c>
    </row>
    <row r="1048575" spans="2:2" x14ac:dyDescent="0.2">
      <c r="B1048575">
        <v>10</v>
      </c>
    </row>
    <row r="1048576" spans="2:2" x14ac:dyDescent="0.2">
      <c r="B1048576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4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5</v>
      </c>
      <c r="N1">
        <v>10</v>
      </c>
      <c r="P1">
        <v>1</v>
      </c>
      <c r="Q1">
        <v>2</v>
      </c>
      <c r="R1">
        <v>5</v>
      </c>
      <c r="S1">
        <v>6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AA1" t="s">
        <v>6</v>
      </c>
      <c r="AB1" t="s">
        <v>7</v>
      </c>
      <c r="AC1" t="s">
        <v>6</v>
      </c>
      <c r="AD1" t="s">
        <v>6</v>
      </c>
      <c r="AE1" t="s">
        <v>6</v>
      </c>
      <c r="AF1" t="s">
        <v>6</v>
      </c>
      <c r="AG1" t="s">
        <v>6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2</v>
      </c>
    </row>
    <row r="2" spans="1:60" x14ac:dyDescent="0.2">
      <c r="A2" t="s">
        <v>11</v>
      </c>
      <c r="B2">
        <v>8</v>
      </c>
      <c r="C2">
        <v>7</v>
      </c>
      <c r="D2" t="s">
        <v>11</v>
      </c>
      <c r="E2">
        <v>2</v>
      </c>
      <c r="F2" t="s">
        <v>12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13</v>
      </c>
      <c r="N2">
        <v>20</v>
      </c>
      <c r="P2">
        <v>3</v>
      </c>
      <c r="Q2">
        <v>4</v>
      </c>
      <c r="R2">
        <v>7</v>
      </c>
      <c r="S2">
        <v>8</v>
      </c>
      <c r="U2" t="s">
        <v>14</v>
      </c>
      <c r="V2">
        <v>18</v>
      </c>
      <c r="W2">
        <v>20</v>
      </c>
      <c r="X2">
        <v>14</v>
      </c>
      <c r="Y2">
        <v>105</v>
      </c>
      <c r="AA2" t="s">
        <v>14</v>
      </c>
      <c r="AB2" t="s">
        <v>15</v>
      </c>
      <c r="AC2" t="s">
        <v>16</v>
      </c>
      <c r="AD2" t="s">
        <v>17</v>
      </c>
      <c r="AE2" t="s">
        <v>18</v>
      </c>
      <c r="AF2" t="s">
        <v>19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20</v>
      </c>
      <c r="B3">
        <v>15</v>
      </c>
      <c r="C3">
        <v>11</v>
      </c>
      <c r="D3" t="s">
        <v>20</v>
      </c>
      <c r="E3" t="e">
        <f>1/0</f>
        <v>#DIV/0!</v>
      </c>
      <c r="F3" t="s">
        <v>21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22</v>
      </c>
      <c r="N3">
        <v>30</v>
      </c>
      <c r="U3" t="s">
        <v>16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20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23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24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25</v>
      </c>
      <c r="N4">
        <v>50</v>
      </c>
      <c r="P4">
        <v>1</v>
      </c>
      <c r="Q4">
        <v>2</v>
      </c>
      <c r="R4">
        <v>3</v>
      </c>
      <c r="U4" t="s">
        <v>18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2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26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27</v>
      </c>
      <c r="N5">
        <v>80</v>
      </c>
      <c r="P5">
        <v>4</v>
      </c>
      <c r="Q5">
        <v>5</v>
      </c>
      <c r="R5">
        <v>6</v>
      </c>
      <c r="U5" t="s">
        <v>14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28</v>
      </c>
      <c r="AP5" s="1">
        <v>39786</v>
      </c>
      <c r="AS5" t="s">
        <v>29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30</v>
      </c>
      <c r="G6">
        <v>32</v>
      </c>
      <c r="H6" s="1">
        <v>45473</v>
      </c>
      <c r="L6">
        <v>13</v>
      </c>
      <c r="M6" t="s">
        <v>31</v>
      </c>
      <c r="N6">
        <v>130</v>
      </c>
      <c r="U6" t="s">
        <v>16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32</v>
      </c>
      <c r="G7">
        <v>64</v>
      </c>
      <c r="H7" s="1">
        <v>46022</v>
      </c>
      <c r="I7">
        <v>-10000</v>
      </c>
      <c r="J7">
        <v>100</v>
      </c>
      <c r="U7" t="s">
        <v>14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33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34</v>
      </c>
      <c r="AU8" s="1">
        <v>39448</v>
      </c>
      <c r="BG8">
        <v>2</v>
      </c>
    </row>
    <row r="9" spans="1:60" x14ac:dyDescent="0.2">
      <c r="A9" t="s">
        <v>35</v>
      </c>
      <c r="I9">
        <v>4200</v>
      </c>
      <c r="J9">
        <v>300</v>
      </c>
      <c r="L9" t="s">
        <v>5</v>
      </c>
      <c r="M9" t="s">
        <v>13</v>
      </c>
      <c r="N9" t="s">
        <v>22</v>
      </c>
      <c r="O9" t="s">
        <v>25</v>
      </c>
      <c r="P9" t="s">
        <v>27</v>
      </c>
      <c r="Q9" t="s">
        <v>31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36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37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aca="1" ref="A1" ca="1">SUMIF(V!A1:A3,"&gt;0",V!B1048575)</f>
        <v>30</v>
      </c>
      <c r="B1">
        <f t="shared" ref="B1:B32" ca="1" si="0">IF(ISERROR(A1),ERROR.TYPE(A1),IF(ISNUMBER(A1),0,IF(ISLOGICAL(A1),IF(A1,-1,-2),IF(ISTEXT(A1),-3,-4))))</f>
        <v>0</v>
      </c>
      <c r="C1">
        <f t="shared" ref="C1:C32" ca="1" si="1">IF(ISNUMBER(A1),A1,0)</f>
        <v>30</v>
      </c>
      <c r="D1" t="str">
        <f t="shared" ref="D1:D32" ca="1" si="2">IF(ISTEXT(A1),A1,"")</f>
        <v/>
      </c>
      <c r="E1" t="s">
        <v>38</v>
      </c>
    </row>
    <row r="2" spans="1:5" x14ac:dyDescent="0.2">
      <c r="A2" cm="1">
        <f t="array" aca="1" ref="A2" ca="1">SUMIF(V!A1:A3,"&gt;2",V!B1048575)</f>
        <v>0</v>
      </c>
      <c r="B2">
        <f t="shared" ca="1" si="0"/>
        <v>0</v>
      </c>
      <c r="C2">
        <f t="shared" ca="1" si="1"/>
        <v>0</v>
      </c>
      <c r="D2" t="str">
        <f t="shared" ca="1" si="2"/>
        <v/>
      </c>
      <c r="E2" t="s">
        <v>39</v>
      </c>
    </row>
    <row r="3" spans="1:5" x14ac:dyDescent="0.2">
      <c r="A3" cm="1">
        <f t="array" aca="1" ref="A3" ca="1">SUMIF(V!A1:A3,"&gt;1",V!B1048575)</f>
        <v>20</v>
      </c>
      <c r="B3">
        <f t="shared" ca="1" si="0"/>
        <v>0</v>
      </c>
      <c r="C3">
        <f t="shared" ca="1" si="1"/>
        <v>20</v>
      </c>
      <c r="D3" t="str">
        <f t="shared" ca="1" si="2"/>
        <v/>
      </c>
      <c r="E3" t="s">
        <v>40</v>
      </c>
    </row>
    <row r="4" spans="1:5" x14ac:dyDescent="0.2">
      <c r="A4" cm="1">
        <f t="array" aca="1" ref="A4" ca="1">SUMIF(V!A1:A3,"&gt;0",V!B1048576)</f>
        <v>20</v>
      </c>
      <c r="B4">
        <f t="shared" ca="1" si="0"/>
        <v>0</v>
      </c>
      <c r="C4">
        <f t="shared" ca="1" si="1"/>
        <v>20</v>
      </c>
      <c r="D4" t="str">
        <f t="shared" ca="1" si="2"/>
        <v/>
      </c>
      <c r="E4" t="s">
        <v>41</v>
      </c>
    </row>
    <row r="5" spans="1:5" x14ac:dyDescent="0.2">
      <c r="A5" cm="1">
        <f t="array" aca="1" ref="A5" ca="1">SUMIF(V!H1:J1,"&gt;0",V!XFC1)</f>
        <v>3000</v>
      </c>
      <c r="B5">
        <f t="shared" ca="1" si="0"/>
        <v>0</v>
      </c>
      <c r="C5">
        <f t="shared" ca="1" si="1"/>
        <v>3000</v>
      </c>
      <c r="D5" t="str">
        <f t="shared" ca="1" si="2"/>
        <v/>
      </c>
      <c r="E5" t="s">
        <v>42</v>
      </c>
    </row>
    <row r="6" spans="1:5" x14ac:dyDescent="0.2">
      <c r="A6" cm="1">
        <f t="array" aca="1" ref="A6" ca="1">SUMIF(V!A1:A3,"&gt;0",V!B1048574)</f>
        <v>30</v>
      </c>
      <c r="B6">
        <f t="shared" ca="1" si="0"/>
        <v>0</v>
      </c>
      <c r="C6">
        <f t="shared" ca="1" si="1"/>
        <v>30</v>
      </c>
      <c r="D6" t="str">
        <f t="shared" ca="1" si="2"/>
        <v/>
      </c>
      <c r="E6" t="s">
        <v>43</v>
      </c>
    </row>
    <row r="7" spans="1:5" x14ac:dyDescent="0.2">
      <c r="A7" cm="1">
        <f t="array" aca="1" ref="A7" ca="1">AVERAGEIF(V!A1:A3,"&gt;0",V!B1048575)</f>
        <v>15</v>
      </c>
      <c r="B7">
        <f t="shared" ca="1" si="0"/>
        <v>0</v>
      </c>
      <c r="C7">
        <f t="shared" ca="1" si="1"/>
        <v>15</v>
      </c>
      <c r="D7" t="str">
        <f t="shared" ca="1" si="2"/>
        <v/>
      </c>
      <c r="E7" t="s">
        <v>44</v>
      </c>
    </row>
    <row r="8" spans="1:5" x14ac:dyDescent="0.2">
      <c r="A8" t="e" cm="1">
        <f t="array" aca="1" ref="A8" ca="1">AVERAGEIF(V!A1:A3,"&gt;2",V!B1048575)</f>
        <v>#DIV/0!</v>
      </c>
      <c r="B8">
        <f t="shared" ca="1" si="0"/>
        <v>2</v>
      </c>
      <c r="C8">
        <f t="shared" ca="1" si="1"/>
        <v>0</v>
      </c>
      <c r="D8" t="str">
        <f t="shared" ca="1" si="2"/>
        <v/>
      </c>
      <c r="E8" t="s">
        <v>45</v>
      </c>
    </row>
    <row r="9" spans="1:5" x14ac:dyDescent="0.2">
      <c r="A9" t="str" cm="1">
        <f t="array" ref="A9">"a"&amp;(V!K1%)</f>
        <v>a0</v>
      </c>
      <c r="B9">
        <f t="shared" si="0"/>
        <v>-3</v>
      </c>
      <c r="C9">
        <f t="shared" si="1"/>
        <v>0</v>
      </c>
      <c r="D9" t="str">
        <f t="shared" si="2"/>
        <v>a0</v>
      </c>
      <c r="E9" t="s">
        <v>46</v>
      </c>
    </row>
    <row r="10" spans="1:5" x14ac:dyDescent="0.2">
      <c r="A10" t="b" cm="1">
        <f t="array" ref="A10">V!K1%=0</f>
        <v>1</v>
      </c>
      <c r="B10">
        <f t="shared" si="0"/>
        <v>-1</v>
      </c>
      <c r="C10">
        <f t="shared" si="1"/>
        <v>0</v>
      </c>
      <c r="D10" t="str">
        <f t="shared" si="2"/>
        <v/>
      </c>
      <c r="E10" t="s">
        <v>47</v>
      </c>
    </row>
    <row r="11" spans="1:5" x14ac:dyDescent="0.2">
      <c r="A11" cm="1">
        <f t="array" ref="A11">V!K2%*1E+300</f>
        <v>0</v>
      </c>
      <c r="B11">
        <f t="shared" si="0"/>
        <v>0</v>
      </c>
      <c r="C11">
        <f t="shared" si="1"/>
        <v>0</v>
      </c>
      <c r="D11" t="str">
        <f t="shared" si="2"/>
        <v/>
      </c>
      <c r="E11" t="s">
        <v>48</v>
      </c>
    </row>
    <row r="12" spans="1:5" x14ac:dyDescent="0.2">
      <c r="A12" t="b" cm="1">
        <f t="array" ref="A12">-V!K1%=0</f>
        <v>1</v>
      </c>
      <c r="B12">
        <f t="shared" si="0"/>
        <v>-1</v>
      </c>
      <c r="C12">
        <f t="shared" si="1"/>
        <v>0</v>
      </c>
      <c r="D12" t="str">
        <f t="shared" si="2"/>
        <v/>
      </c>
      <c r="E12" t="s">
        <v>49</v>
      </c>
    </row>
    <row r="13" spans="1:5" x14ac:dyDescent="0.2">
      <c r="A13" t="str" cm="1">
        <f t="array" ref="A13">"a"&amp;(V!K3%)</f>
        <v>a3E-308</v>
      </c>
      <c r="B13">
        <f t="shared" si="0"/>
        <v>-3</v>
      </c>
      <c r="C13">
        <f t="shared" si="1"/>
        <v>0</v>
      </c>
      <c r="D13" t="str">
        <f t="shared" si="2"/>
        <v>a3E-308</v>
      </c>
      <c r="E13" t="s">
        <v>50</v>
      </c>
    </row>
    <row r="14" spans="1:5" x14ac:dyDescent="0.2">
      <c r="A14" t="str" cm="1">
        <f t="array" ref="A14">"a"&amp;(V!K1/100)</f>
        <v>a0</v>
      </c>
      <c r="B14">
        <f t="shared" si="0"/>
        <v>-3</v>
      </c>
      <c r="C14">
        <f t="shared" si="1"/>
        <v>0</v>
      </c>
      <c r="D14" t="str">
        <f t="shared" si="2"/>
        <v>a0</v>
      </c>
      <c r="E14" t="s">
        <v>51</v>
      </c>
    </row>
    <row r="15" spans="1:5" x14ac:dyDescent="0.2">
      <c r="A15" t="str" cm="1">
        <f t="array" ref="A15">TEXT(100000000000000000000,"[h]")</f>
        <v>2400000000000000000000</v>
      </c>
      <c r="B15">
        <f t="shared" si="0"/>
        <v>-3</v>
      </c>
      <c r="C15">
        <f t="shared" si="1"/>
        <v>0</v>
      </c>
      <c r="D15" t="str">
        <f t="shared" si="2"/>
        <v>2400000000000000000000</v>
      </c>
      <c r="E15" t="s">
        <v>52</v>
      </c>
    </row>
    <row r="16" spans="1:5" x14ac:dyDescent="0.2">
      <c r="A16" t="str" cm="1">
        <f t="array" ref="A16">TEXT(100000000000000000,"[ss]")</f>
        <v>8640000000000000000000</v>
      </c>
      <c r="B16">
        <f t="shared" si="0"/>
        <v>-3</v>
      </c>
      <c r="C16">
        <f t="shared" si="1"/>
        <v>0</v>
      </c>
      <c r="D16" t="str">
        <f t="shared" si="2"/>
        <v>8640000000000000000000</v>
      </c>
      <c r="E16" t="s">
        <v>53</v>
      </c>
    </row>
    <row r="17" spans="1:5" x14ac:dyDescent="0.2">
      <c r="A17" t="str" cm="1">
        <f t="array" ref="A17">TEXT(-100000000000000000000,"[mm]")</f>
        <v>-144000000000000000000000</v>
      </c>
      <c r="B17">
        <f t="shared" si="0"/>
        <v>-3</v>
      </c>
      <c r="C17">
        <f t="shared" si="1"/>
        <v>0</v>
      </c>
      <c r="D17" t="str">
        <f t="shared" si="2"/>
        <v>-144000000000000000000000</v>
      </c>
      <c r="E17" t="s">
        <v>54</v>
      </c>
    </row>
    <row r="18" spans="1:5" x14ac:dyDescent="0.2">
      <c r="A18" t="str" cm="1">
        <f t="array" ref="A18">TEXT(42000000000000000000,"[h]")</f>
        <v>1008000000000000000000</v>
      </c>
      <c r="B18">
        <f t="shared" si="0"/>
        <v>-3</v>
      </c>
      <c r="C18">
        <f t="shared" si="1"/>
        <v>0</v>
      </c>
      <c r="D18" t="str">
        <f t="shared" si="2"/>
        <v>1008000000000000000000</v>
      </c>
      <c r="E18" t="s">
        <v>55</v>
      </c>
    </row>
    <row r="19" spans="1:5" x14ac:dyDescent="0.2">
      <c r="A19" t="str" cm="1">
        <f t="array" ref="A19">TEXT(10000000000000000,"[h]")</f>
        <v>240000000000000000</v>
      </c>
      <c r="B19">
        <f t="shared" si="0"/>
        <v>-3</v>
      </c>
      <c r="C19">
        <f t="shared" si="1"/>
        <v>0</v>
      </c>
      <c r="D19" t="str">
        <f t="shared" si="2"/>
        <v>240000000000000000</v>
      </c>
      <c r="E19" t="s">
        <v>56</v>
      </c>
    </row>
    <row r="20" spans="1:5" x14ac:dyDescent="0.2">
      <c r="A20" cm="1">
        <f t="array" ref="A20">LEN(TEXT(1E+250,"[h]"))</f>
        <v>252</v>
      </c>
      <c r="B20">
        <f t="shared" si="0"/>
        <v>0</v>
      </c>
      <c r="C20">
        <f t="shared" si="1"/>
        <v>252</v>
      </c>
      <c r="D20" t="str">
        <f t="shared" si="2"/>
        <v/>
      </c>
      <c r="E20" t="s">
        <v>57</v>
      </c>
    </row>
    <row r="21" spans="1:5" x14ac:dyDescent="0.2">
      <c r="A21" t="e" cm="1">
        <f t="array" ref="A21">TEXT(1E+300,"[h]")</f>
        <v>#VALUE!</v>
      </c>
      <c r="B21">
        <f t="shared" si="0"/>
        <v>3</v>
      </c>
      <c r="C21">
        <f t="shared" si="1"/>
        <v>0</v>
      </c>
      <c r="D21" t="str">
        <f t="shared" si="2"/>
        <v/>
      </c>
      <c r="E21" t="s">
        <v>58</v>
      </c>
    </row>
    <row r="22" spans="1:5" x14ac:dyDescent="0.2">
      <c r="A22" cm="1">
        <f t="array" ref="A22">ROWS(_xlfn.UNIQUE(V!M1:M2))</f>
        <v>1</v>
      </c>
      <c r="B22">
        <f t="shared" si="0"/>
        <v>0</v>
      </c>
      <c r="C22">
        <f t="shared" si="1"/>
        <v>1</v>
      </c>
      <c r="D22" t="str">
        <f t="shared" si="2"/>
        <v/>
      </c>
      <c r="E22" t="s">
        <v>59</v>
      </c>
    </row>
    <row r="23" spans="1:5" x14ac:dyDescent="0.2">
      <c r="A23" t="e" cm="1" vm="1">
        <f t="array" ref="A23">ROWS(_xlfn.UNIQUE(V!M1:M2,FALSE,TRUE))</f>
        <v>#VALUE!</v>
      </c>
      <c r="B23">
        <f t="shared" si="0"/>
        <v>14</v>
      </c>
      <c r="C23">
        <f t="shared" si="1"/>
        <v>0</v>
      </c>
      <c r="D23" t="str">
        <f t="shared" si="2"/>
        <v/>
      </c>
      <c r="E23" t="s">
        <v>60</v>
      </c>
    </row>
    <row r="24" spans="1:5" x14ac:dyDescent="0.2">
      <c r="A24" cm="1">
        <f t="array" ref="A24">ROWS(_xlfn.UNIQUE({"ﬁ";"fi"}))</f>
        <v>1</v>
      </c>
      <c r="B24">
        <f t="shared" si="0"/>
        <v>0</v>
      </c>
      <c r="C24">
        <f t="shared" si="1"/>
        <v>1</v>
      </c>
      <c r="D24" t="str">
        <f t="shared" si="2"/>
        <v/>
      </c>
      <c r="E24" t="s">
        <v>61</v>
      </c>
    </row>
    <row r="25" spans="1:5" x14ac:dyDescent="0.2">
      <c r="A25" cm="1">
        <f t="array" ref="A25">ROWS(_xlfn.UNIQUE(V!M3:M4))</f>
        <v>2</v>
      </c>
      <c r="B25">
        <f t="shared" si="0"/>
        <v>0</v>
      </c>
      <c r="C25">
        <f t="shared" si="1"/>
        <v>2</v>
      </c>
      <c r="D25" t="str">
        <f t="shared" si="2"/>
        <v/>
      </c>
      <c r="E25" t="s">
        <v>62</v>
      </c>
    </row>
    <row r="26" spans="1:5" x14ac:dyDescent="0.2">
      <c r="A26" cm="1">
        <f t="array" ref="A26">ROWS(_xlfn.UNIQUE({"a";"A"}))</f>
        <v>1</v>
      </c>
      <c r="B26">
        <f t="shared" si="0"/>
        <v>0</v>
      </c>
      <c r="C26">
        <f t="shared" si="1"/>
        <v>1</v>
      </c>
      <c r="D26" t="str">
        <f t="shared" si="2"/>
        <v/>
      </c>
      <c r="E26" t="s">
        <v>63</v>
      </c>
    </row>
    <row r="27" spans="1:5" x14ac:dyDescent="0.2">
      <c r="A27" t="b" cm="1">
        <f t="array" ref="A27">V!M1=V!M2</f>
        <v>1</v>
      </c>
      <c r="B27">
        <f t="shared" si="0"/>
        <v>-1</v>
      </c>
      <c r="C27">
        <f t="shared" si="1"/>
        <v>0</v>
      </c>
      <c r="D27" t="str">
        <f t="shared" si="2"/>
        <v/>
      </c>
      <c r="E27" t="s">
        <v>64</v>
      </c>
    </row>
    <row r="28" spans="1:5" x14ac:dyDescent="0.2">
      <c r="A28" t="b" cm="1">
        <f t="array" ref="A28">"ﬁ"="fi"</f>
        <v>1</v>
      </c>
      <c r="B28">
        <f t="shared" si="0"/>
        <v>-1</v>
      </c>
      <c r="C28">
        <f t="shared" si="1"/>
        <v>0</v>
      </c>
      <c r="D28" t="str">
        <f t="shared" si="2"/>
        <v/>
      </c>
      <c r="E28" t="s">
        <v>65</v>
      </c>
    </row>
    <row r="29" spans="1:5" x14ac:dyDescent="0.2">
      <c r="A29" t="b" cm="1">
        <f t="array" ref="A29">V!M3=V!M4</f>
        <v>0</v>
      </c>
      <c r="B29">
        <f t="shared" si="0"/>
        <v>-2</v>
      </c>
      <c r="C29">
        <f t="shared" si="1"/>
        <v>0</v>
      </c>
      <c r="D29" t="str">
        <f t="shared" si="2"/>
        <v/>
      </c>
      <c r="E29" t="s">
        <v>66</v>
      </c>
    </row>
    <row r="30" spans="1:5" x14ac:dyDescent="0.2">
      <c r="A30" cm="1">
        <f t="array" ref="A30">MATCH(V!M2,V!M1:M2,0)</f>
        <v>2</v>
      </c>
      <c r="B30">
        <f t="shared" si="0"/>
        <v>0</v>
      </c>
      <c r="C30">
        <f t="shared" si="1"/>
        <v>2</v>
      </c>
      <c r="D30" t="str">
        <f t="shared" si="2"/>
        <v/>
      </c>
      <c r="E30" t="s">
        <v>67</v>
      </c>
    </row>
    <row r="31" spans="1:5" x14ac:dyDescent="0.2">
      <c r="A31" cm="1">
        <f t="array" ref="A31">COUNTIF(V!M1:M2,V!M1)</f>
        <v>2</v>
      </c>
      <c r="B31">
        <f t="shared" si="0"/>
        <v>0</v>
      </c>
      <c r="C31">
        <f t="shared" si="1"/>
        <v>2</v>
      </c>
      <c r="D31" t="str">
        <f t="shared" si="2"/>
        <v/>
      </c>
      <c r="E31" t="s">
        <v>68</v>
      </c>
    </row>
    <row r="32" spans="1:5" x14ac:dyDescent="0.2">
      <c r="A32" t="b" cm="1">
        <f t="array" ref="A32">EXACT(V!M1,V!M2)</f>
        <v>0</v>
      </c>
      <c r="B32">
        <f t="shared" si="0"/>
        <v>-2</v>
      </c>
      <c r="C32">
        <f t="shared" si="1"/>
        <v>0</v>
      </c>
      <c r="D32" t="str">
        <f t="shared" si="2"/>
        <v/>
      </c>
      <c r="E32" t="s">
        <v>69</v>
      </c>
    </row>
    <row r="33" spans="1:1" x14ac:dyDescent="0.2">
      <c r="A33" t="s">
        <v>70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2026-10-22T18:37:30Z</dcterms:created>
  <dcterms:modified xsi:type="dcterms:W3CDTF">2026-10-22T18:37:31Z</dcterms:modified>
  <cp:category/>
</cp:coreProperties>
</file>