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8A6DD10-2CA1-C949-B483-3C3B22B903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5" l="1" a="1"/>
  <c r="A44" i="5" s="1"/>
  <c r="A43" i="5" a="1"/>
  <c r="A43" i="5"/>
  <c r="D43" i="5" s="1"/>
  <c r="A42" i="5" a="1"/>
  <c r="A42" i="5"/>
  <c r="D42" i="5" s="1"/>
  <c r="A41" i="5" a="1"/>
  <c r="A41" i="5" s="1"/>
  <c r="A40" i="5" a="1"/>
  <c r="A40" i="5" s="1"/>
  <c r="A39" i="5" a="1"/>
  <c r="A39" i="5" s="1"/>
  <c r="B39" i="5" s="1"/>
  <c r="A38" i="5" a="1"/>
  <c r="A38" i="5"/>
  <c r="D38" i="5" s="1"/>
  <c r="A37" i="5" a="1"/>
  <c r="A37" i="5" s="1"/>
  <c r="A36" i="5" a="1"/>
  <c r="A36" i="5"/>
  <c r="D36" i="5" s="1"/>
  <c r="A35" i="5" a="1"/>
  <c r="A35" i="5" s="1"/>
  <c r="C35" i="5" s="1"/>
  <c r="A34" i="5" a="1"/>
  <c r="A34" i="5"/>
  <c r="C34" i="5" s="1"/>
  <c r="A33" i="5" a="1"/>
  <c r="A33" i="5" s="1"/>
  <c r="A32" i="5" a="1"/>
  <c r="A32" i="5"/>
  <c r="C32" i="5" s="1"/>
  <c r="A31" i="5" a="1"/>
  <c r="A31" i="5"/>
  <c r="D31" i="5" s="1"/>
  <c r="A30" i="5" a="1"/>
  <c r="A30" i="5"/>
  <c r="D30" i="5" s="1"/>
  <c r="A29" i="5" a="1"/>
  <c r="A29" i="5"/>
  <c r="D29" i="5" s="1"/>
  <c r="A28" i="5" a="1"/>
  <c r="A28" i="5"/>
  <c r="D28" i="5" s="1"/>
  <c r="A27" i="5" a="1"/>
  <c r="A27" i="5" s="1"/>
  <c r="D27" i="5" s="1"/>
  <c r="A26" i="5" a="1"/>
  <c r="A26" i="5" s="1"/>
  <c r="A25" i="5" a="1"/>
  <c r="A25" i="5" s="1"/>
  <c r="D25" i="5" s="1"/>
  <c r="A24" i="5" a="1"/>
  <c r="A24" i="5" s="1"/>
  <c r="D24" i="5" s="1"/>
  <c r="A23" i="5" a="1"/>
  <c r="A23" i="5" s="1"/>
  <c r="A22" i="5" a="1"/>
  <c r="A22" i="5" s="1"/>
  <c r="A21" i="5" a="1"/>
  <c r="A21" i="5" s="1"/>
  <c r="C21" i="5" s="1"/>
  <c r="A20" i="5" a="1"/>
  <c r="A20" i="5"/>
  <c r="D20" i="5" s="1"/>
  <c r="A19" i="5" a="1"/>
  <c r="A19" i="5"/>
  <c r="B19" i="5" s="1"/>
  <c r="A18" i="5" a="1"/>
  <c r="A18" i="5"/>
  <c r="D18" i="5" s="1"/>
  <c r="A17" i="5" a="1"/>
  <c r="A17" i="5" s="1"/>
  <c r="A16" i="5" a="1"/>
  <c r="A16" i="5"/>
  <c r="D16" i="5" s="1"/>
  <c r="A15" i="5" a="1"/>
  <c r="A15" i="5" s="1"/>
  <c r="A14" i="5" a="1"/>
  <c r="A14" i="5"/>
  <c r="B14" i="5" s="1"/>
  <c r="A13" i="5" a="1"/>
  <c r="A13" i="5" s="1"/>
  <c r="D12" i="5"/>
  <c r="C12" i="5"/>
  <c r="A12" i="5" a="1"/>
  <c r="A12" i="5"/>
  <c r="B12" i="5" s="1"/>
  <c r="A11" i="5" a="1"/>
  <c r="A11" i="5"/>
  <c r="C11" i="5" s="1"/>
  <c r="A10" i="5" a="1"/>
  <c r="A10" i="5"/>
  <c r="D10" i="5" s="1"/>
  <c r="A9" i="5" a="1"/>
  <c r="A9" i="5" s="1"/>
  <c r="B9" i="5" s="1"/>
  <c r="A8" i="5" a="1"/>
  <c r="A8" i="5" s="1"/>
  <c r="A7" i="5" a="1"/>
  <c r="A7" i="5" s="1"/>
  <c r="D7" i="5" s="1"/>
  <c r="A6" i="5" a="1"/>
  <c r="A6" i="5"/>
  <c r="C6" i="5" s="1"/>
  <c r="A5" i="5" a="1"/>
  <c r="A5" i="5" s="1"/>
  <c r="A4" i="5" a="1"/>
  <c r="A4" i="5" s="1"/>
  <c r="A3" i="5" a="1"/>
  <c r="A3" i="5" s="1"/>
  <c r="C3" i="5" s="1"/>
  <c r="A2" i="5" a="1"/>
  <c r="A2" i="5"/>
  <c r="B2" i="5" s="1"/>
  <c r="A1" i="5" a="1"/>
  <c r="A1" i="5"/>
  <c r="B1" i="5" s="1"/>
  <c r="I15" i="4"/>
  <c r="A14" i="4"/>
  <c r="A13" i="4"/>
  <c r="AL10" i="4"/>
  <c r="A8" i="4"/>
  <c r="A7" i="4"/>
  <c r="E3" i="4"/>
  <c r="D33" i="5" l="1"/>
  <c r="C33" i="5"/>
  <c r="B33" i="5"/>
  <c r="C19" i="5"/>
  <c r="C1" i="5"/>
  <c r="D1" i="5"/>
  <c r="D11" i="5"/>
  <c r="D19" i="5"/>
  <c r="B30" i="5"/>
  <c r="C30" i="5"/>
  <c r="B5" i="5"/>
  <c r="D5" i="5"/>
  <c r="C5" i="5"/>
  <c r="D23" i="5"/>
  <c r="B23" i="5"/>
  <c r="C23" i="5"/>
  <c r="C8" i="5"/>
  <c r="B8" i="5"/>
  <c r="D8" i="5"/>
  <c r="C26" i="5"/>
  <c r="B26" i="5"/>
  <c r="D26" i="5"/>
  <c r="B37" i="5"/>
  <c r="D37" i="5"/>
  <c r="C37" i="5"/>
  <c r="D4" i="5"/>
  <c r="C4" i="5"/>
  <c r="B4" i="5"/>
  <c r="D22" i="5"/>
  <c r="C22" i="5"/>
  <c r="B22" i="5"/>
  <c r="C13" i="5"/>
  <c r="D13" i="5"/>
  <c r="B13" i="5"/>
  <c r="D40" i="5"/>
  <c r="C40" i="5"/>
  <c r="B40" i="5"/>
  <c r="D41" i="5"/>
  <c r="C41" i="5"/>
  <c r="B41" i="5"/>
  <c r="D15" i="5"/>
  <c r="C15" i="5"/>
  <c r="B15" i="5"/>
  <c r="D17" i="5"/>
  <c r="B17" i="5"/>
  <c r="C17" i="5"/>
  <c r="D44" i="5"/>
  <c r="C44" i="5"/>
  <c r="B44" i="5"/>
  <c r="B34" i="5"/>
  <c r="C16" i="5"/>
  <c r="B20" i="5"/>
  <c r="C20" i="5"/>
  <c r="C38" i="5"/>
  <c r="B6" i="5"/>
  <c r="C10" i="5"/>
  <c r="D35" i="5"/>
  <c r="B43" i="5"/>
  <c r="C7" i="5"/>
  <c r="D14" i="5"/>
  <c r="B18" i="5"/>
  <c r="C25" i="5"/>
  <c r="D32" i="5"/>
  <c r="B36" i="5"/>
  <c r="C43" i="5"/>
  <c r="B16" i="5"/>
  <c r="C9" i="5"/>
  <c r="C27" i="5"/>
  <c r="B31" i="5"/>
  <c r="B35" i="5"/>
  <c r="D6" i="5"/>
  <c r="B21" i="5"/>
  <c r="C28" i="5"/>
  <c r="B32" i="5"/>
  <c r="C39" i="5"/>
  <c r="D3" i="5"/>
  <c r="B7" i="5"/>
  <c r="C14" i="5"/>
  <c r="D21" i="5"/>
  <c r="B25" i="5"/>
  <c r="D39" i="5"/>
  <c r="B11" i="5"/>
  <c r="C18" i="5"/>
  <c r="B29" i="5"/>
  <c r="C36" i="5"/>
  <c r="B27" i="5"/>
  <c r="D34" i="5"/>
  <c r="B24" i="5"/>
  <c r="C31" i="5"/>
  <c r="B42" i="5"/>
  <c r="C24" i="5"/>
  <c r="B28" i="5"/>
  <c r="C29" i="5"/>
  <c r="B38" i="5"/>
  <c r="C2" i="5"/>
  <c r="D9" i="5"/>
  <c r="D2" i="5"/>
  <c r="B3" i="5"/>
  <c r="C42" i="5"/>
  <c r="B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<sst xmlns="http://schemas.openxmlformats.org/spreadsheetml/2006/main" count="104" uniqueCount="81">
  <si>
    <t>x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</si>
  <si>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</si>
  <si>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</si>
  <si>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</si>
  <si>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</si>
  <si>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</si>
  <si>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</si>
  <si>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</si>
  <si>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</si>
  <si>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</si>
  <si>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</si>
  <si>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</si>
  <si>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</si>
  <si>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</si>
  <si>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</si>
  <si>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</si>
  <si>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</si>
  <si>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</si>
  <si>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</si>
  <si>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</si>
  <si>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</si>
  <si>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</si>
  <si>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</si>
  <si>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</si>
  <si>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</si>
  <si>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</si>
  <si>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</si>
  <si>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</si>
  <si>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</si>
  <si>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</si>
  <si>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</si>
  <si>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</si>
  <si>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</si>
  <si>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</si>
  <si>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</si>
  <si>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</si>
  <si>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space#1</t>
  </si>
  <si>
    <t>space#2</t>
  </si>
  <si>
    <t>space#3</t>
  </si>
  <si>
    <t>space#4</t>
  </si>
  <si>
    <t>space#5</t>
  </si>
  <si>
    <t>space#6</t>
  </si>
  <si>
    <t>space#7</t>
  </si>
  <si>
    <t>space#8</t>
  </si>
  <si>
    <t>space#9</t>
  </si>
  <si>
    <t>space#10</t>
  </si>
  <si>
    <t>space#11</t>
  </si>
  <si>
    <t>space#12</t>
  </si>
  <si>
    <t>space#13</t>
  </si>
  <si>
    <t>space#14</t>
  </si>
  <si>
    <t>space#15</t>
  </si>
  <si>
    <t>space#16</t>
  </si>
  <si>
    <t>space#17</t>
  </si>
  <si>
    <t>space#18</t>
  </si>
  <si>
    <t>space#19</t>
  </si>
  <si>
    <t>space#20</t>
  </si>
  <si>
    <t>space#21</t>
  </si>
  <si>
    <t>space#22</t>
  </si>
  <si>
    <t>space#23</t>
  </si>
  <si>
    <t>space#24</t>
  </si>
  <si>
    <t>space#25</t>
  </si>
  <si>
    <t>space#26</t>
  </si>
  <si>
    <t>space#27</t>
  </si>
  <si>
    <t>space#28</t>
  </si>
  <si>
    <t>space#29</t>
  </si>
  <si>
    <t>blank#1</t>
  </si>
  <si>
    <t>blank#2</t>
  </si>
  <si>
    <t>blank#3</t>
  </si>
  <si>
    <t>blank#4</t>
  </si>
  <si>
    <t>blank#5</t>
  </si>
  <si>
    <t>null#1</t>
  </si>
  <si>
    <t>null#2</t>
  </si>
  <si>
    <t>null#3</t>
  </si>
  <si>
    <t>range#1</t>
  </si>
  <si>
    <t>range#2</t>
  </si>
  <si>
    <t>range#3</t>
  </si>
  <si>
    <t>range#4</t>
  </si>
  <si>
    <t>range#5</t>
  </si>
  <si>
    <t>range#6</t>
  </si>
  <si>
    <t>range#7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</si>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</sst>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4</v>
      </c>
      <c r="B1">
        <v>20</v>
      </c>
    </row>
    <row r="2" spans="1:2" x14ac:dyDescent="0.2">
      <c r="A2">
        <v>5</v>
      </c>
      <c r="B2">
        <v>40</v>
      </c>
    </row>
    <row r="3" spans="1:2" x14ac:dyDescent="0.2">
      <c r="A3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>
        <v>30</v>
      </c>
    </row>
    <row r="2" spans="1:2" x14ac:dyDescent="0.2">
      <c r="A2">
        <v>8</v>
      </c>
      <c r="B2">
        <v>60</v>
      </c>
    </row>
    <row r="3" spans="1:2" x14ac:dyDescent="0.2">
      <c r="A3">
        <v>9</v>
      </c>
      <c r="B3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SUM(D!B1:C3 D!C2:D4)</f>
        <v>18</v>
      </c>
      <c r="B1">
        <f t="shared" ref="B1:B44" si="0">IF(ISERROR(A1),ERROR.TYPE(A1),IF(ISNUMBER(A1),0,IF(ISLOGICAL(A1),IF(A1,-1,-2),IF(ISTEXT(A1),-3,-4))))</f>
        <v>0</v>
      </c>
      <c r="C1">
        <f t="shared" ref="C1:C44" si="1">IF(ISNUMBER(A1),A1,0)</f>
        <v>18</v>
      </c>
      <c r="D1" t="str">
        <f t="shared" ref="D1:D44" si="2">IF(ISTEXT(A1),A1,"")</f>
        <v/>
      </c>
      <c r="E1" t="s">
        <v>36</v>
      </c>
    </row>
    <row r="2" spans="1:5" x14ac:dyDescent="0.2">
      <c r="A2" cm="1">
        <f t="array" ref="A2">D!B1:C3 D!C2:C2</f>
        <v>7</v>
      </c>
      <c r="B2">
        <f t="shared" si="0"/>
        <v>0</v>
      </c>
      <c r="C2">
        <f t="shared" si="1"/>
        <v>7</v>
      </c>
      <c r="D2" t="str">
        <f t="shared" si="2"/>
        <v/>
      </c>
      <c r="E2" t="s">
        <v>37</v>
      </c>
    </row>
    <row r="3" spans="1:5" x14ac:dyDescent="0.2">
      <c r="A3" t="e" cm="1">
        <f t="array" ref="A3">D!B1:B3 D!C1:C3</f>
        <v>#NULL!</v>
      </c>
      <c r="B3">
        <f t="shared" si="0"/>
        <v>1</v>
      </c>
      <c r="C3">
        <f t="shared" si="1"/>
        <v>0</v>
      </c>
      <c r="D3" t="str">
        <f t="shared" si="2"/>
        <v/>
      </c>
      <c r="E3" t="s">
        <v>38</v>
      </c>
    </row>
    <row r="4" spans="1:5" x14ac:dyDescent="0.2">
      <c r="A4" cm="1">
        <f t="array" ref="A4">ERROR.TYPE(D!B1:B3 D!C1:C3)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39</v>
      </c>
    </row>
    <row r="5" spans="1:5" x14ac:dyDescent="0.2">
      <c r="A5" cm="1">
        <f t="array" ref="A5">ROWS(D!B1:C3 D!C2:D4)</f>
        <v>2</v>
      </c>
      <c r="B5">
        <f t="shared" si="0"/>
        <v>0</v>
      </c>
      <c r="C5">
        <f t="shared" si="1"/>
        <v>2</v>
      </c>
      <c r="D5" t="str">
        <f t="shared" si="2"/>
        <v/>
      </c>
      <c r="E5" t="s">
        <v>40</v>
      </c>
    </row>
    <row r="6" spans="1:5" x14ac:dyDescent="0.2">
      <c r="A6" cm="1">
        <f t="array" ref="A6">COLUMNS(D!B1:C3 D!B2:D2)</f>
        <v>2</v>
      </c>
      <c r="B6">
        <f t="shared" si="0"/>
        <v>0</v>
      </c>
      <c r="C6">
        <f t="shared" si="1"/>
        <v>2</v>
      </c>
      <c r="D6" t="str">
        <f t="shared" si="2"/>
        <v/>
      </c>
      <c r="E6" t="s">
        <v>41</v>
      </c>
    </row>
    <row r="7" spans="1:5" x14ac:dyDescent="0.2">
      <c r="A7" cm="1">
        <f t="array" ref="A7">D!B:B D!3:3</f>
        <v>15</v>
      </c>
      <c r="B7">
        <f t="shared" si="0"/>
        <v>0</v>
      </c>
      <c r="C7">
        <f t="shared" si="1"/>
        <v>15</v>
      </c>
      <c r="D7" t="str">
        <f t="shared" si="2"/>
        <v/>
      </c>
      <c r="E7" t="s">
        <v>42</v>
      </c>
    </row>
    <row r="8" spans="1:5" x14ac:dyDescent="0.2">
      <c r="A8" cm="1">
        <f t="array" ref="A8">SUM(D!B1:C3  D!C2:D4)</f>
        <v>18</v>
      </c>
      <c r="B8">
        <f t="shared" si="0"/>
        <v>0</v>
      </c>
      <c r="C8">
        <f t="shared" si="1"/>
        <v>18</v>
      </c>
      <c r="D8" t="str">
        <f t="shared" si="2"/>
        <v/>
      </c>
      <c r="E8" t="s">
        <v>43</v>
      </c>
    </row>
    <row r="9" spans="1:5" x14ac:dyDescent="0.2">
      <c r="A9" cm="1">
        <f t="array" ref="A9">SUM((D!B1:C3) (D!C2:D4))</f>
        <v>18</v>
      </c>
      <c r="B9">
        <f t="shared" si="0"/>
        <v>0</v>
      </c>
      <c r="C9">
        <f t="shared" si="1"/>
        <v>18</v>
      </c>
      <c r="D9" t="str">
        <f t="shared" si="2"/>
        <v/>
      </c>
      <c r="E9" t="s">
        <v>44</v>
      </c>
    </row>
    <row r="10" spans="1:5" x14ac:dyDescent="0.2">
      <c r="A10" cm="1">
        <f t="array" ref="A10">SUM(D!B1:C3 (D!C2:D4))</f>
        <v>18</v>
      </c>
      <c r="B10">
        <f t="shared" si="0"/>
        <v>0</v>
      </c>
      <c r="C10">
        <f t="shared" si="1"/>
        <v>18</v>
      </c>
      <c r="D10" t="str">
        <f t="shared" si="2"/>
        <v/>
      </c>
      <c r="E10" t="s">
        <v>45</v>
      </c>
    </row>
    <row r="11" spans="1:5" x14ac:dyDescent="0.2">
      <c r="A11" cm="1">
        <f t="array" ref="A11">-D!B1:C3 D!C2:C2</f>
        <v>-7</v>
      </c>
      <c r="B11">
        <f t="shared" si="0"/>
        <v>0</v>
      </c>
      <c r="C11">
        <f t="shared" si="1"/>
        <v>-7</v>
      </c>
      <c r="D11" t="str">
        <f t="shared" si="2"/>
        <v/>
      </c>
      <c r="E11" t="s">
        <v>46</v>
      </c>
    </row>
    <row r="12" spans="1:5" x14ac:dyDescent="0.2">
      <c r="A12" cm="1">
        <f t="array" ref="A12">D!B1:C3 D!C2:C2*2</f>
        <v>14</v>
      </c>
      <c r="B12">
        <f t="shared" si="0"/>
        <v>0</v>
      </c>
      <c r="C12">
        <f t="shared" si="1"/>
        <v>14</v>
      </c>
      <c r="D12" t="str">
        <f t="shared" si="2"/>
        <v/>
      </c>
      <c r="E12" t="s">
        <v>47</v>
      </c>
    </row>
    <row r="13" spans="1:5" x14ac:dyDescent="0.2">
      <c r="A13" cm="1">
        <f t="array" ref="A13">SUM(D!B1:C3 D!C2:D4+1)</f>
        <v>20</v>
      </c>
      <c r="B13">
        <f t="shared" si="0"/>
        <v>0</v>
      </c>
      <c r="C13">
        <f t="shared" si="1"/>
        <v>20</v>
      </c>
      <c r="D13" t="str">
        <f t="shared" si="2"/>
        <v/>
      </c>
      <c r="E13" t="s">
        <v>48</v>
      </c>
    </row>
    <row r="14" spans="1:5" x14ac:dyDescent="0.2">
      <c r="A14" cm="1">
        <f t="array" ref="A14">SUM((D!B1:B3 D!B2:B4,D!C1))</f>
        <v>25</v>
      </c>
      <c r="B14">
        <f t="shared" si="0"/>
        <v>0</v>
      </c>
      <c r="C14">
        <f t="shared" si="1"/>
        <v>25</v>
      </c>
      <c r="D14" t="str">
        <f t="shared" si="2"/>
        <v/>
      </c>
      <c r="E14" t="s">
        <v>49</v>
      </c>
    </row>
    <row r="15" spans="1:5" x14ac:dyDescent="0.2">
      <c r="A15" cm="1">
        <f t="array" ref="A15">SUM((D!B1:B3,D!C1:C3) D!B2:C2)</f>
        <v>15</v>
      </c>
      <c r="B15">
        <f t="shared" si="0"/>
        <v>0</v>
      </c>
      <c r="C15">
        <f t="shared" si="1"/>
        <v>15</v>
      </c>
      <c r="D15" t="str">
        <f t="shared" si="2"/>
        <v/>
      </c>
      <c r="E15" t="s">
        <v>50</v>
      </c>
    </row>
    <row r="16" spans="1:5" x14ac:dyDescent="0.2">
      <c r="A16" cm="1">
        <f t="array" ref="A16">INDEX(D!B1:C3,0,1) D!B2:C2</f>
        <v>8</v>
      </c>
      <c r="B16">
        <f t="shared" si="0"/>
        <v>0</v>
      </c>
      <c r="C16">
        <f t="shared" si="1"/>
        <v>8</v>
      </c>
      <c r="D16" t="str">
        <f t="shared" si="2"/>
        <v/>
      </c>
      <c r="E16" t="s">
        <v>51</v>
      </c>
    </row>
    <row r="17" spans="1:5" x14ac:dyDescent="0.2">
      <c r="A17" cm="1">
        <f t="array" ref="A17">SUM(D!B1:C3 INDEX(D!B1:D4,0,2))</f>
        <v>20</v>
      </c>
      <c r="B17">
        <f t="shared" si="0"/>
        <v>0</v>
      </c>
      <c r="C17">
        <f t="shared" si="1"/>
        <v>20</v>
      </c>
      <c r="D17" t="str">
        <f t="shared" si="2"/>
        <v/>
      </c>
      <c r="E17" t="s">
        <v>52</v>
      </c>
    </row>
    <row r="18" spans="1:5" x14ac:dyDescent="0.2">
      <c r="A18" t="e" cm="1">
        <f t="array" ref="A18">D!B1:B3 Jan!A1:A3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53</v>
      </c>
    </row>
    <row r="19" spans="1:5" x14ac:dyDescent="0.2">
      <c r="A19" t="b" cm="1">
        <f t="array" ref="A19">ISREF(D!B1:C3 D!C2:D4)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54</v>
      </c>
    </row>
    <row r="20" spans="1:5" x14ac:dyDescent="0.2">
      <c r="A20" t="b" cm="1">
        <f t="array" ref="A20">ISREF(D!B1:B3 D!C1:C3)</f>
        <v>0</v>
      </c>
      <c r="B20">
        <f t="shared" si="0"/>
        <v>-2</v>
      </c>
      <c r="C20">
        <f t="shared" si="1"/>
        <v>0</v>
      </c>
      <c r="D20" t="str">
        <f t="shared" si="2"/>
        <v/>
      </c>
      <c r="E20" t="s">
        <v>55</v>
      </c>
    </row>
    <row r="21" spans="1:5" x14ac:dyDescent="0.2">
      <c r="A21" cm="1">
        <f t="array" ref="A21">SUM(D!B1:C3 D!C2:D4 D!C3:E5)</f>
        <v>11</v>
      </c>
      <c r="B21">
        <f t="shared" si="0"/>
        <v>0</v>
      </c>
      <c r="C21">
        <f t="shared" si="1"/>
        <v>11</v>
      </c>
      <c r="D21" t="str">
        <f t="shared" si="2"/>
        <v/>
      </c>
      <c r="E21" t="s">
        <v>56</v>
      </c>
    </row>
    <row r="22" spans="1:5" x14ac:dyDescent="0.2">
      <c r="A22" cm="1">
        <f t="array" ref="A22">COUNT(D!B1:B3 D!C1:C3)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57</v>
      </c>
    </row>
    <row r="23" spans="1:5" x14ac:dyDescent="0.2">
      <c r="A23" t="str" cm="1">
        <f t="array" ref="A23">IFERROR(D!B1:B3 D!C1:C3,"none")</f>
        <v>none</v>
      </c>
      <c r="B23">
        <f t="shared" si="0"/>
        <v>-3</v>
      </c>
      <c r="C23">
        <f t="shared" si="1"/>
        <v>0</v>
      </c>
      <c r="D23" t="str">
        <f t="shared" si="2"/>
        <v>none</v>
      </c>
      <c r="E23" t="s">
        <v>58</v>
      </c>
    </row>
    <row r="24" spans="1:5" x14ac:dyDescent="0.2">
      <c r="A24" cm="1">
        <f t="array" ref="A24">SUM(D!B2:B3 D!B2:B3)</f>
        <v>23</v>
      </c>
      <c r="B24">
        <f t="shared" si="0"/>
        <v>0</v>
      </c>
      <c r="C24">
        <f t="shared" si="1"/>
        <v>23</v>
      </c>
      <c r="D24" t="str">
        <f t="shared" si="2"/>
        <v/>
      </c>
      <c r="E24" t="s">
        <v>59</v>
      </c>
    </row>
    <row r="25" spans="1:5" x14ac:dyDescent="0.2">
      <c r="A25" cm="1">
        <f t="array" ref="A25">D!A:A D!1:1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60</v>
      </c>
    </row>
    <row r="26" spans="1:5" x14ac:dyDescent="0.2">
      <c r="A26" cm="1">
        <f t="array" ref="A26">MATCH(11,D!B1:C3 D!C1:C3,0)</f>
        <v>3</v>
      </c>
      <c r="B26">
        <f t="shared" si="0"/>
        <v>0</v>
      </c>
      <c r="C26">
        <f t="shared" si="1"/>
        <v>3</v>
      </c>
      <c r="D26" t="str">
        <f t="shared" si="2"/>
        <v/>
      </c>
      <c r="E26" t="s">
        <v>61</v>
      </c>
    </row>
    <row r="27" spans="1:5" x14ac:dyDescent="0.2">
      <c r="A27" cm="1">
        <f t="array" ref="A27">_xlfn.SINGLE(D!B1:C3 D!C2:C2)</f>
        <v>7</v>
      </c>
      <c r="B27">
        <f t="shared" si="0"/>
        <v>0</v>
      </c>
      <c r="C27">
        <f t="shared" si="1"/>
        <v>7</v>
      </c>
      <c r="D27" t="str">
        <f t="shared" si="2"/>
        <v/>
      </c>
      <c r="E27" t="s">
        <v>62</v>
      </c>
    </row>
    <row r="28" spans="1:5" x14ac:dyDescent="0.2">
      <c r="A28" t="e" cm="1">
        <f t="array" ref="A28">SUM(Jan:Mar!A1:A3 Jan:Mar!A2:B2)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63</v>
      </c>
    </row>
    <row r="29" spans="1:5" x14ac:dyDescent="0.2">
      <c r="A29" cm="1">
        <f t="array" ref="A29">SUM(D!B1:C3
                                                                                                                                                                                                                                                                D!C2:D4)</f>
        <v>18</v>
      </c>
      <c r="B29">
        <f t="shared" si="0"/>
        <v>0</v>
      </c>
      <c r="C29">
        <f t="shared" si="1"/>
        <v>18</v>
      </c>
      <c r="D29" t="str">
        <f t="shared" si="2"/>
        <v/>
      </c>
      <c r="E29" t="s">
        <v>64</v>
      </c>
    </row>
    <row r="30" spans="1:5" x14ac:dyDescent="0.2">
      <c r="A30" cm="1">
        <f t="array" ref="A30">D!B1 + D!B2</f>
        <v>12</v>
      </c>
      <c r="B30">
        <f t="shared" si="0"/>
        <v>0</v>
      </c>
      <c r="C30">
        <f t="shared" si="1"/>
        <v>12</v>
      </c>
      <c r="D30" t="str">
        <f t="shared" si="2"/>
        <v/>
      </c>
      <c r="E30" t="s">
        <v>65</v>
      </c>
    </row>
    <row r="31" spans="1:5" x14ac:dyDescent="0.2">
      <c r="A31" cm="1">
        <f t="array" ref="A31">SUM( D!B1:B3 )</f>
        <v>27</v>
      </c>
      <c r="B31">
        <f t="shared" si="0"/>
        <v>0</v>
      </c>
      <c r="C31">
        <f t="shared" si="1"/>
        <v>27</v>
      </c>
      <c r="D31" t="str">
        <f t="shared" si="2"/>
        <v/>
      </c>
      <c r="E31" t="s">
        <v>66</v>
      </c>
    </row>
    <row r="32" spans="1:5" x14ac:dyDescent="0.2">
      <c r="A32" cm="1">
        <f t="array" ref="A32">SUM(D!B1:B3,D!C1)</f>
        <v>29</v>
      </c>
      <c r="B32">
        <f t="shared" si="0"/>
        <v>0</v>
      </c>
      <c r="C32">
        <f t="shared" si="1"/>
        <v>29</v>
      </c>
      <c r="D32" t="str">
        <f t="shared" si="2"/>
        <v/>
      </c>
      <c r="E32" t="s">
        <v>67</v>
      </c>
    </row>
    <row r="33" spans="1:5" x14ac:dyDescent="0.2">
      <c r="A33" cm="1">
        <f t="array" ref="A33">SUM(D!B1:B3, D!C1)</f>
        <v>29</v>
      </c>
      <c r="B33">
        <f t="shared" si="0"/>
        <v>0</v>
      </c>
      <c r="C33">
        <f t="shared" si="1"/>
        <v>29</v>
      </c>
      <c r="D33" t="str">
        <f t="shared" si="2"/>
        <v/>
      </c>
      <c r="E33" t="s">
        <v>68</v>
      </c>
    </row>
    <row r="34" spans="1:5" x14ac:dyDescent="0.2">
      <c r="A34" cm="1">
        <f t="array" ref="A34">( D!B1 )*2</f>
        <v>8</v>
      </c>
      <c r="B34">
        <f t="shared" si="0"/>
        <v>0</v>
      </c>
      <c r="C34">
        <f t="shared" si="1"/>
        <v>8</v>
      </c>
      <c r="D34" t="str">
        <f t="shared" si="2"/>
        <v/>
      </c>
      <c r="E34" t="s">
        <v>69</v>
      </c>
    </row>
    <row r="35" spans="1:5" x14ac:dyDescent="0.2">
      <c r="A35" t="e" cm="1">
        <f t="array" ref="A35">#NULL!</f>
        <v>#NULL!</v>
      </c>
      <c r="B35">
        <f t="shared" si="0"/>
        <v>1</v>
      </c>
      <c r="C35">
        <f t="shared" si="1"/>
        <v>0</v>
      </c>
      <c r="D35" t="str">
        <f t="shared" si="2"/>
        <v/>
      </c>
      <c r="E35" t="s">
        <v>70</v>
      </c>
    </row>
    <row r="36" spans="1:5" x14ac:dyDescent="0.2">
      <c r="A36" t="b" cm="1">
        <f t="array" ref="A36">ISERR(#NULL!)</f>
        <v>1</v>
      </c>
      <c r="B36">
        <f t="shared" si="0"/>
        <v>-1</v>
      </c>
      <c r="C36">
        <f t="shared" si="1"/>
        <v>0</v>
      </c>
      <c r="D36" t="str">
        <f t="shared" si="2"/>
        <v/>
      </c>
      <c r="E36" t="s">
        <v>71</v>
      </c>
    </row>
    <row r="37" spans="1:5" x14ac:dyDescent="0.2">
      <c r="A37" cm="1">
        <f t="array" ref="A37">IF(ISERROR(D!B1:B3 D!C1:C3),ERROR.TYPE(#NULL!),0)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72</v>
      </c>
    </row>
    <row r="38" spans="1:5" x14ac:dyDescent="0.2">
      <c r="A38" cm="1">
        <f t="array" ref="A38">SUM(D!B1:INDEX(D!B1:B8,3))</f>
        <v>27</v>
      </c>
      <c r="B38">
        <f t="shared" si="0"/>
        <v>0</v>
      </c>
      <c r="C38">
        <f t="shared" si="1"/>
        <v>27</v>
      </c>
      <c r="D38" t="str">
        <f t="shared" si="2"/>
        <v/>
      </c>
      <c r="E38" t="s">
        <v>73</v>
      </c>
    </row>
    <row r="39" spans="1:5" x14ac:dyDescent="0.2">
      <c r="A39" cm="1">
        <f t="array" ref="A39">SUM(INDEX(D!B1:B8,2):'D'!B4)</f>
        <v>39</v>
      </c>
      <c r="B39">
        <f t="shared" si="0"/>
        <v>0</v>
      </c>
      <c r="C39">
        <f t="shared" si="1"/>
        <v>39</v>
      </c>
      <c r="D39" t="str">
        <f t="shared" si="2"/>
        <v/>
      </c>
      <c r="E39" t="s">
        <v>74</v>
      </c>
    </row>
    <row r="40" spans="1:5" x14ac:dyDescent="0.2">
      <c r="A40" cm="1">
        <f t="array" ref="A40">ROWS(D!B1:INDEX(D!B1:B8,5))</f>
        <v>5</v>
      </c>
      <c r="B40">
        <f t="shared" si="0"/>
        <v>0</v>
      </c>
      <c r="C40">
        <f t="shared" si="1"/>
        <v>5</v>
      </c>
      <c r="D40" t="str">
        <f t="shared" si="2"/>
        <v/>
      </c>
      <c r="E40" t="s">
        <v>75</v>
      </c>
    </row>
    <row r="41" spans="1:5" x14ac:dyDescent="0.2">
      <c r="A41" t="e" cm="1">
        <f t="array" ref="A41">SUM(D!B1:B2:C3)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76</v>
      </c>
    </row>
    <row r="42" spans="1:5" x14ac:dyDescent="0.2">
      <c r="A42" cm="1">
        <f t="array" ref="A42">SUM(D!B1:'D'!C3)</f>
        <v>47</v>
      </c>
      <c r="B42">
        <f t="shared" si="0"/>
        <v>0</v>
      </c>
      <c r="C42">
        <f t="shared" si="1"/>
        <v>47</v>
      </c>
      <c r="D42" t="str">
        <f t="shared" si="2"/>
        <v/>
      </c>
      <c r="E42" t="s">
        <v>77</v>
      </c>
    </row>
    <row r="43" spans="1:5" x14ac:dyDescent="0.2">
      <c r="A43" t="e" cm="1">
        <f t="array" ref="A43">SUM(D!B1:'Jan'!A1)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78</v>
      </c>
    </row>
    <row r="44" spans="1:5" x14ac:dyDescent="0.2">
      <c r="A44" cm="1">
        <f t="array" ref="A44">SUM(D!B1:C3 D!C2:INDEX(D!C1:C8,4))</f>
        <v>18</v>
      </c>
      <c r="B44">
        <f t="shared" si="0"/>
        <v>0</v>
      </c>
      <c r="C44">
        <f t="shared" si="1"/>
        <v>18</v>
      </c>
      <c r="D44" t="str">
        <f t="shared" si="2"/>
        <v/>
      </c>
      <c r="E44" t="s">
        <v>79</v>
      </c>
    </row>
    <row r="45" spans="1:5" x14ac:dyDescent="0.2">
      <c r="A45" t="s">
        <v>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2026-10-08T17:01:22Z</dcterms:created>
  <dcterms:modified xsi:type="dcterms:W3CDTF">2026-10-08T17:01:23Z</dcterms:modified>
  <cp:category/>
</cp:coreProperties>
</file>