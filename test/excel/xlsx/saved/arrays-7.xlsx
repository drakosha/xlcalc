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BBDF5169-F0E9-B349-8E08-FD46F4FD424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" l="1" a="1"/>
  <c r="A24" i="3" s="1"/>
  <c r="A23" i="3" a="1"/>
  <c r="A23" i="3" s="1"/>
  <c r="A22" i="3" a="1"/>
  <c r="A22" i="3" s="1"/>
  <c r="A21" i="3" a="1"/>
  <c r="A21" i="3" s="1"/>
  <c r="A20" i="3" a="1"/>
  <c r="A20" i="3" s="1"/>
  <c r="A19" i="3" a="1"/>
  <c r="A19" i="3" s="1"/>
  <c r="A18" i="3" a="1"/>
  <c r="A18" i="3" s="1"/>
  <c r="D17" i="3"/>
  <c r="A17" i="3" a="1"/>
  <c r="A17" i="3"/>
  <c r="C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/>
  <c r="D11" i="3" s="1"/>
  <c r="A10" i="3" a="1"/>
  <c r="A10" i="3" s="1"/>
  <c r="A9" i="3" a="1"/>
  <c r="A9" i="3" s="1"/>
  <c r="A8" i="3" a="1"/>
  <c r="A8" i="3" s="1"/>
  <c r="A7" i="3" a="1"/>
  <c r="A7" i="3" s="1"/>
  <c r="B7" i="3" s="1"/>
  <c r="A6" i="3" a="1"/>
  <c r="A6" i="3" s="1"/>
  <c r="A5" i="3" a="1"/>
  <c r="A5" i="3"/>
  <c r="C5" i="3" s="1"/>
  <c r="A4" i="3" a="1"/>
  <c r="A4" i="3" s="1"/>
  <c r="A3" i="3" a="1"/>
  <c r="A3" i="3" s="1"/>
  <c r="A2" i="3" a="1"/>
  <c r="A2" i="3" s="1"/>
  <c r="A1" i="3" a="1"/>
  <c r="A1" i="3" s="1"/>
  <c r="D1" i="3" s="1"/>
  <c r="I15" i="2"/>
  <c r="A14" i="2"/>
  <c r="A13" i="2"/>
  <c r="AL10" i="2"/>
  <c r="A8" i="2"/>
  <c r="A7" i="2"/>
  <c r="E3" i="2"/>
  <c r="F8" i="1"/>
  <c r="B16" i="3" l="1"/>
  <c r="D16" i="3"/>
  <c r="C16" i="3"/>
  <c r="C2" i="3"/>
  <c r="D2" i="3"/>
  <c r="B2" i="3"/>
  <c r="B10" i="3"/>
  <c r="D10" i="3"/>
  <c r="C10" i="3"/>
  <c r="D3" i="3"/>
  <c r="B3" i="3"/>
  <c r="C3" i="3"/>
  <c r="D4" i="3"/>
  <c r="C4" i="3"/>
  <c r="B4" i="3"/>
  <c r="B12" i="3"/>
  <c r="D12" i="3"/>
  <c r="C12" i="3"/>
  <c r="D21" i="3"/>
  <c r="C21" i="3"/>
  <c r="B21" i="3"/>
  <c r="C8" i="3"/>
  <c r="B8" i="3"/>
  <c r="D8" i="3"/>
  <c r="B23" i="3"/>
  <c r="C23" i="3"/>
  <c r="D23" i="3"/>
  <c r="D13" i="3"/>
  <c r="C13" i="3"/>
  <c r="B13" i="3"/>
  <c r="C14" i="3"/>
  <c r="B14" i="3"/>
  <c r="D14" i="3"/>
  <c r="C15" i="3"/>
  <c r="D15" i="3"/>
  <c r="B15" i="3"/>
  <c r="B18" i="3"/>
  <c r="D18" i="3"/>
  <c r="C18" i="3"/>
  <c r="D19" i="3"/>
  <c r="C19" i="3"/>
  <c r="B19" i="3"/>
  <c r="D6" i="3"/>
  <c r="C6" i="3"/>
  <c r="B6" i="3"/>
  <c r="B20" i="3"/>
  <c r="D20" i="3"/>
  <c r="C20" i="3"/>
  <c r="B22" i="3"/>
  <c r="C22" i="3"/>
  <c r="D22" i="3"/>
  <c r="D9" i="3"/>
  <c r="B9" i="3"/>
  <c r="C9" i="3"/>
  <c r="D24" i="3"/>
  <c r="C24" i="3"/>
  <c r="B24" i="3"/>
  <c r="C7" i="3"/>
  <c r="D7" i="3"/>
  <c r="C1" i="3"/>
  <c r="B5" i="3"/>
  <c r="B11" i="3"/>
  <c r="C11" i="3"/>
  <c r="D5" i="3"/>
  <c r="B1" i="3"/>
  <c r="B1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<sst xmlns="http://schemas.openxmlformats.org/spreadsheetml/2006/main" count="106" uniqueCount="74">
  <si>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</si>
  <si>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</si>
  <si>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</si>
  <si>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</si>
  <si>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</si>
  <si>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</si>
  <si>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</si>
  <si>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</si>
  <si>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</si>
  <si>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</si>
  <si>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</si>
  <si>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</si>
  <si>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</si>
  <si>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</si>
  <si>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</si>
  <si>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</si>
  <si>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</si>
  <si>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</si>
  <si>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</si>
  <si>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</si>
  <si>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</si>
  <si>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</si>
  <si>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</si>
  <si>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</si>
  <si>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</si>
  <si>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</si>
  <si>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</si>
  <si>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</si>
  <si>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</si>
  <si>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</si>
  <si>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</si>
  <si>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</si>
  <si>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</si>
  <si>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</si>
  <si>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</si>
  <si>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</si>
  <si>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</si>
  <si>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</si>
  <si>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</si>
  <si>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</si>
  <si>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</si>
  <si>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</si>
  <si>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</si>
  <si>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</si>
  <si>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</si>
  <si>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</si>
  <si>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</si>
  <si>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</si>
  <si>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</si>
  <si>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lift:YIELDDISC#3</t>
  </si>
  <si>
    <t>lift:YIELDDISC#4</t>
  </si>
  <si>
    <t>lift:YIELDDISC#5</t>
  </si>
  <si>
    <t>lift:YIELDDISC#6</t>
  </si>
  <si>
    <t>lift:YIELDDISC#7</t>
  </si>
  <si>
    <t>lift:YIELDDISC#8</t>
  </si>
  <si>
    <t>lift:YIELDDISC#9</t>
  </si>
  <si>
    <t>lift:YIELDDISC#10</t>
  </si>
  <si>
    <t>lift:YIELDMAT#1</t>
  </si>
  <si>
    <t>lift:YIELDMAT#2</t>
  </si>
  <si>
    <t>lift:YIELDMAT#3</t>
  </si>
  <si>
    <t>lift:YIELDMAT#4</t>
  </si>
  <si>
    <t>lift:YIELDMAT#5</t>
  </si>
  <si>
    <t>lift:YIELDMAT#6</t>
  </si>
  <si>
    <t>lift:YIELDMAT#7</t>
  </si>
  <si>
    <t>lift:YIELDMAT#8</t>
  </si>
  <si>
    <t>lift:YIELDMAT#9</t>
  </si>
  <si>
    <t>lift:YIELDMAT#10</t>
  </si>
  <si>
    <t>lift:YIELDMAT#11</t>
  </si>
  <si>
    <t>lift:YIELDMAT#12</t>
  </si>
  <si>
    <t>lift:Z.TEST#1</t>
  </si>
  <si>
    <t>lift:Z.TEST#2</t>
  </si>
  <si>
    <t>lift:ZTEST#1</t>
  </si>
  <si>
    <t>lift:ZTEST#2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</si>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</sst>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YIELDDISC(DATE(2008,2,16),D!B1:B2,99.795,100,2)</f>
        <v>#VALUE!</v>
      </c>
      <c r="B1">
        <f t="shared" ref="B1:B24" si="0">IF(ISERROR(A1),ERROR.TYPE(A1),IF(ISNUMBER(A1),0,IF(ISLOGICAL(A1),IF(A1,-1,-2),IF(ISTEXT(A1),-3,-4))))</f>
        <v>3</v>
      </c>
      <c r="C1">
        <f t="shared" ref="C1:C24" si="1">IF(ISNUMBER(A1),A1,0)</f>
        <v>0</v>
      </c>
      <c r="D1" t="str">
        <f t="shared" ref="D1:D24" si="2">IF(ISTEXT(A1),A1,"")</f>
        <v/>
      </c>
      <c r="E1" t="s">
        <v>49</v>
      </c>
    </row>
    <row r="2" spans="1:5" x14ac:dyDescent="0.2">
      <c r="A2" t="e" cm="1" vm="1">
        <f t="array" aca="1" ref="A2" ca="1">YIELDDISC(DATE(2008,2,16),{1;2},99.795,100,2)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50</v>
      </c>
    </row>
    <row r="3" spans="1:5" x14ac:dyDescent="0.2">
      <c r="A3" t="e" cm="1">
        <f t="array" ref="A3">YIELDDISC(DATE(2008,2,16),DATE(2008,3,1),D!B1:B2,100,2)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51</v>
      </c>
    </row>
    <row r="4" spans="1:5" x14ac:dyDescent="0.2">
      <c r="A4" t="e" cm="1" vm="1">
        <f t="array" aca="1" ref="A4" ca="1">YIELDDISC(DATE(2008,2,16),DATE(2008,3,1),{1;2},100,2)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52</v>
      </c>
    </row>
    <row r="5" spans="1:5" x14ac:dyDescent="0.2">
      <c r="A5" t="e" cm="1">
        <f t="array" ref="A5">YIELDDISC(DATE(2008,2,16),DATE(2008,3,1),99.795,D!B1:B2,2)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53</v>
      </c>
    </row>
    <row r="6" spans="1:5" x14ac:dyDescent="0.2">
      <c r="A6" t="e" cm="1" vm="1">
        <f t="array" aca="1" ref="A6" ca="1">YIELDDISC(DATE(2008,2,16),DATE(2008,3,1),99.795,{1;2},2)</f>
        <v>#VALUE!</v>
      </c>
      <c r="B6">
        <f t="shared" ca="1" si="0"/>
        <v>9</v>
      </c>
      <c r="C6">
        <f t="shared" ca="1" si="1"/>
        <v>0</v>
      </c>
      <c r="D6" t="str">
        <f t="shared" ca="1" si="2"/>
        <v/>
      </c>
      <c r="E6" t="s">
        <v>54</v>
      </c>
    </row>
    <row r="7" spans="1:5" x14ac:dyDescent="0.2">
      <c r="A7" t="e" cm="1">
        <f t="array" ref="A7">YIELDDISC(DATE(2008,2,16),DATE(2008,3,1),99.795,100,D!B1:B2)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55</v>
      </c>
    </row>
    <row r="8" spans="1:5" x14ac:dyDescent="0.2">
      <c r="A8" t="e" cm="1" vm="1">
        <f t="array" aca="1" ref="A8" ca="1">YIELDDISC(DATE(2008,2,16),DATE(2008,3,1),99.795,100,{1;2})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t="e" cm="1">
        <f t="array" ref="A9">YIELDMAT(D!B1:B2,DATE(2008,11,3),DATE(2007,11,8),0.0625,100.0123,0)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57</v>
      </c>
    </row>
    <row r="10" spans="1:5" x14ac:dyDescent="0.2">
      <c r="A10" t="e" cm="1" vm="1">
        <f t="array" aca="1" ref="A10" ca="1">YIELDMAT({1;2},DATE(2008,11,3),DATE(2007,11,8),0.0625,100.0123,0)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e" cm="1">
        <f t="array" ref="A11">YIELDMAT(DATE(2008,3,15),D!B1:B2,DATE(2007,11,8),0.0625,100.0123,0)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59</v>
      </c>
    </row>
    <row r="12" spans="1:5" x14ac:dyDescent="0.2">
      <c r="A12" t="e" cm="1" vm="1">
        <f t="array" aca="1" ref="A12" ca="1">YIELDMAT(DATE(2008,3,15),{1;2},DATE(2007,11,8),0.0625,100.0123,0)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60</v>
      </c>
    </row>
    <row r="13" spans="1:5" x14ac:dyDescent="0.2">
      <c r="A13" t="e" cm="1">
        <f t="array" ref="A13">YIELDMAT(DATE(2008,3,15),DATE(2008,11,3),D!B1:B2,0.0625,100.0123,0)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61</v>
      </c>
    </row>
    <row r="14" spans="1:5" x14ac:dyDescent="0.2">
      <c r="A14" t="e" cm="1" vm="1">
        <f t="array" aca="1" ref="A14" ca="1">YIELDMAT(DATE(2008,3,15),DATE(2008,11,3),{1;2},0.0625,100.0123,0)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62</v>
      </c>
    </row>
    <row r="15" spans="1:5" x14ac:dyDescent="0.2">
      <c r="A15" t="e" cm="1">
        <f t="array" ref="A15">YIELDMAT(DATE(2008,3,15),DATE(2008,11,3),DATE(2007,11,8),D!B1:B2,100.0123,0)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63</v>
      </c>
    </row>
    <row r="16" spans="1:5" x14ac:dyDescent="0.2">
      <c r="A16" t="e" cm="1" vm="1">
        <f t="array" aca="1" ref="A16" ca="1">YIELDMAT(DATE(2008,3,15),DATE(2008,11,3),DATE(2007,11,8),{1;2},100.0123,0)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64</v>
      </c>
    </row>
    <row r="17" spans="1:5" x14ac:dyDescent="0.2">
      <c r="A17" t="e" cm="1">
        <f t="array" ref="A17">YIELDMAT(DATE(2008,3,15),DATE(2008,11,3),DATE(2007,11,8),0.0625,D!B1:B2,0)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65</v>
      </c>
    </row>
    <row r="18" spans="1:5" x14ac:dyDescent="0.2">
      <c r="A18" t="e" cm="1" vm="1">
        <f t="array" aca="1" ref="A18" ca="1">YIELDMAT(DATE(2008,3,15),DATE(2008,11,3),DATE(2007,11,8),0.0625,{1;2},0)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66</v>
      </c>
    </row>
    <row r="19" spans="1:5" x14ac:dyDescent="0.2">
      <c r="A19" t="e" cm="1">
        <f t="array" ref="A19">YIELDMAT(DATE(2008,3,15),DATE(2008,11,3),DATE(2007,11,8),0.0625,100.0123,D!B1:B2)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67</v>
      </c>
    </row>
    <row r="20" spans="1:5" x14ac:dyDescent="0.2">
      <c r="A20" t="e" cm="1" vm="1">
        <f t="array" aca="1" ref="A20" ca="1">YIELDMAT(DATE(2008,3,15),DATE(2008,11,3),DATE(2007,11,8),0.0625,100.0123,{1;2})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68</v>
      </c>
    </row>
    <row r="21" spans="1:5" x14ac:dyDescent="0.2">
      <c r="A21" t="e" cm="1" vm="1">
        <f t="array" aca="1" ref="A21" ca="1">_xlfn.Z.TEST(D!B1:B8,D!B1:B2)</f>
        <v>#VALUE!</v>
      </c>
      <c r="B21">
        <f t="shared" ca="1" si="0"/>
        <v>9</v>
      </c>
      <c r="C21">
        <f t="shared" ca="1" si="1"/>
        <v>0</v>
      </c>
      <c r="D21" t="str">
        <f t="shared" ca="1" si="2"/>
        <v/>
      </c>
      <c r="E21" t="s">
        <v>69</v>
      </c>
    </row>
    <row r="22" spans="1:5" x14ac:dyDescent="0.2">
      <c r="A22" t="e" cm="1" vm="1">
        <f t="array" aca="1" ref="A22" ca="1">_xlfn.Z.TEST(D!B1:B8,{1;2})</f>
        <v>#VALUE!</v>
      </c>
      <c r="B22">
        <f t="shared" ca="1" si="0"/>
        <v>9</v>
      </c>
      <c r="C22">
        <f t="shared" ca="1" si="1"/>
        <v>0</v>
      </c>
      <c r="D22" t="str">
        <f t="shared" ca="1" si="2"/>
        <v/>
      </c>
      <c r="E22" t="s">
        <v>70</v>
      </c>
    </row>
    <row r="23" spans="1:5" x14ac:dyDescent="0.2">
      <c r="A23" t="e" cm="1" vm="1">
        <f t="array" aca="1" ref="A23" ca="1">ZTEST(D!B1:B8,D!B1:B2)</f>
        <v>#VALUE!</v>
      </c>
      <c r="B23">
        <f t="shared" ca="1" si="0"/>
        <v>9</v>
      </c>
      <c r="C23">
        <f t="shared" ca="1" si="1"/>
        <v>0</v>
      </c>
      <c r="D23" t="str">
        <f t="shared" ca="1" si="2"/>
        <v/>
      </c>
      <c r="E23" t="s">
        <v>71</v>
      </c>
    </row>
    <row r="24" spans="1:5" x14ac:dyDescent="0.2">
      <c r="A24" t="e" cm="1" vm="1">
        <f t="array" aca="1" ref="A24" ca="1">ZTEST(D!B1:B8,{1;2})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72</v>
      </c>
    </row>
    <row r="25" spans="1:5" x14ac:dyDescent="0.2">
      <c r="A25" t="s">
        <v>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2026-10-07T05:15:22Z</dcterms:created>
  <dcterms:modified xsi:type="dcterms:W3CDTF">2026-10-07T05:15:23Z</dcterms:modified>
  <cp:category/>
</cp:coreProperties>
</file>