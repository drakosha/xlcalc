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009833DC-BE34-6449-BED1-C568C78059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9" i="2" l="1" a="1"/>
  <c r="A399" i="2" s="1"/>
  <c r="A398" i="2" a="1"/>
  <c r="A398" i="2" s="1"/>
  <c r="A397" i="2" a="1"/>
  <c r="A397" i="2" s="1"/>
  <c r="D397" i="2" s="1"/>
  <c r="A396" i="2" a="1"/>
  <c r="A396" i="2" s="1"/>
  <c r="A395" i="2" a="1"/>
  <c r="A395" i="2" s="1"/>
  <c r="A394" i="2" a="1"/>
  <c r="A394" i="2" s="1"/>
  <c r="D394" i="2" s="1"/>
  <c r="A393" i="2" a="1"/>
  <c r="A393" i="2" s="1"/>
  <c r="A392" i="2" a="1"/>
  <c r="A392" i="2" s="1"/>
  <c r="A391" i="2" a="1"/>
  <c r="A391" i="2" s="1"/>
  <c r="A390" i="2" a="1"/>
  <c r="A390" i="2" s="1"/>
  <c r="D390" i="2" s="1"/>
  <c r="A389" i="2" a="1"/>
  <c r="A389" i="2" s="1"/>
  <c r="A387" i="2" a="1"/>
  <c r="A387" i="2" s="1"/>
  <c r="D387" i="2" s="1"/>
  <c r="A386" i="2" a="1"/>
  <c r="A386" i="2"/>
  <c r="B386" i="2" s="1"/>
  <c r="A385" i="2" a="1"/>
  <c r="A385" i="2" s="1"/>
  <c r="A384" i="2" a="1"/>
  <c r="A384" i="2"/>
  <c r="A383" i="2" a="1"/>
  <c r="A383" i="2" s="1"/>
  <c r="D383" i="2" s="1"/>
  <c r="A381" i="2" a="1"/>
  <c r="A381" i="2"/>
  <c r="D381" i="2" s="1"/>
  <c r="A380" i="2" a="1"/>
  <c r="A380" i="2" s="1"/>
  <c r="A379" i="2" a="1"/>
  <c r="A379" i="2" s="1"/>
  <c r="A378" i="2" a="1"/>
  <c r="A378" i="2" s="1"/>
  <c r="A377" i="2" a="1"/>
  <c r="A377" i="2" s="1"/>
  <c r="A376" i="2" a="1"/>
  <c r="A376" i="2"/>
  <c r="C376" i="2" s="1"/>
  <c r="A375" i="2" a="1"/>
  <c r="A375" i="2"/>
  <c r="C375" i="2" s="1"/>
  <c r="A374" i="2" a="1"/>
  <c r="A374" i="2"/>
  <c r="C374" i="2" s="1"/>
  <c r="A373" i="2" a="1"/>
  <c r="A373" i="2" s="1"/>
  <c r="D372" i="2"/>
  <c r="C372" i="2"/>
  <c r="B372" i="2"/>
  <c r="A372" i="2" a="1"/>
  <c r="A372" i="2" s="1"/>
  <c r="A371" i="2" a="1"/>
  <c r="A371" i="2" s="1"/>
  <c r="A370" i="2" a="1"/>
  <c r="A370" i="2" s="1"/>
  <c r="A369" i="2" a="1"/>
  <c r="A369" i="2"/>
  <c r="B369" i="2" s="1"/>
  <c r="D368" i="2"/>
  <c r="C368" i="2"/>
  <c r="A368" i="2" a="1"/>
  <c r="A368" i="2"/>
  <c r="B368" i="2" s="1"/>
  <c r="A367" i="2" a="1"/>
  <c r="A367" i="2" s="1"/>
  <c r="C366" i="2"/>
  <c r="A366" i="2" a="1"/>
  <c r="A366" i="2" s="1"/>
  <c r="D366" i="2" s="1"/>
  <c r="A365" i="2" a="1"/>
  <c r="A365" i="2"/>
  <c r="D365" i="2" s="1"/>
  <c r="A364" i="2" a="1"/>
  <c r="A364" i="2" s="1"/>
  <c r="A363" i="2" a="1"/>
  <c r="A363" i="2" s="1"/>
  <c r="A362" i="2" a="1"/>
  <c r="A362" i="2" s="1"/>
  <c r="C362" i="2" s="1"/>
  <c r="A361" i="2" a="1"/>
  <c r="A361" i="2"/>
  <c r="D361" i="2" s="1"/>
  <c r="A360" i="2" a="1"/>
  <c r="A360" i="2" s="1"/>
  <c r="A359" i="2" a="1"/>
  <c r="A359" i="2" s="1"/>
  <c r="A358" i="2" a="1"/>
  <c r="A358" i="2" s="1"/>
  <c r="A357" i="2" a="1"/>
  <c r="A357" i="2"/>
  <c r="C357" i="2" s="1"/>
  <c r="B356" i="2"/>
  <c r="A356" i="2" a="1"/>
  <c r="A356" i="2"/>
  <c r="A355" i="2" a="1"/>
  <c r="A355" i="2" s="1"/>
  <c r="D355" i="2" s="1"/>
  <c r="A354" i="2" a="1"/>
  <c r="A354" i="2" s="1"/>
  <c r="C354" i="2" s="1"/>
  <c r="A353" i="2" a="1"/>
  <c r="A353" i="2" s="1"/>
  <c r="A352" i="2" a="1"/>
  <c r="A352" i="2"/>
  <c r="B352" i="2" s="1"/>
  <c r="A351" i="2" a="1"/>
  <c r="A351" i="2" s="1"/>
  <c r="D351" i="2" s="1"/>
  <c r="A350" i="2" a="1"/>
  <c r="A350" i="2" s="1"/>
  <c r="A348" i="2" a="1"/>
  <c r="A348" i="2" s="1"/>
  <c r="A346" i="2" a="1"/>
  <c r="A346" i="2" s="1"/>
  <c r="A345" i="2" a="1"/>
  <c r="A345" i="2"/>
  <c r="A344" i="2" a="1"/>
  <c r="A344" i="2" s="1"/>
  <c r="A343" i="2" a="1"/>
  <c r="A343" i="2"/>
  <c r="D343" i="2" s="1"/>
  <c r="A342" i="2" a="1"/>
  <c r="A342" i="2"/>
  <c r="A341" i="2" a="1"/>
  <c r="A341" i="2" s="1"/>
  <c r="D341" i="2" s="1"/>
  <c r="A340" i="2" a="1"/>
  <c r="A340" i="2" s="1"/>
  <c r="D340" i="2" s="1"/>
  <c r="A339" i="2" a="1"/>
  <c r="A339" i="2" s="1"/>
  <c r="A338" i="2" a="1"/>
  <c r="A338" i="2"/>
  <c r="B338" i="2" s="1"/>
  <c r="D336" i="2"/>
  <c r="A336" i="2" a="1"/>
  <c r="A336" i="2" s="1"/>
  <c r="C336" i="2" s="1"/>
  <c r="A335" i="2" a="1"/>
  <c r="A335" i="2" s="1"/>
  <c r="B335" i="2" s="1"/>
  <c r="A334" i="2" a="1"/>
  <c r="A334" i="2" s="1"/>
  <c r="A333" i="2" a="1"/>
  <c r="A333" i="2" s="1"/>
  <c r="A332" i="2" a="1"/>
  <c r="A332" i="2" s="1"/>
  <c r="B332" i="2" s="1"/>
  <c r="A331" i="2" a="1"/>
  <c r="A331" i="2" s="1"/>
  <c r="D331" i="2" s="1"/>
  <c r="A330" i="2" a="1"/>
  <c r="A330" i="2"/>
  <c r="A329" i="2" a="1"/>
  <c r="A329" i="2" s="1"/>
  <c r="A328" i="2" a="1"/>
  <c r="A328" i="2" s="1"/>
  <c r="A327" i="2" a="1"/>
  <c r="A327" i="2"/>
  <c r="C327" i="2" s="1"/>
  <c r="A326" i="2" a="1"/>
  <c r="A326" i="2" s="1"/>
  <c r="B326" i="2" s="1"/>
  <c r="A325" i="2" a="1"/>
  <c r="A325" i="2" s="1"/>
  <c r="A324" i="2" a="1"/>
  <c r="A324" i="2"/>
  <c r="A322" i="2" a="1"/>
  <c r="A322" i="2" s="1"/>
  <c r="B322" i="2" s="1"/>
  <c r="A321" i="2" a="1"/>
  <c r="A321" i="2"/>
  <c r="B320" i="2"/>
  <c r="A320" i="2" a="1"/>
  <c r="A320" i="2"/>
  <c r="A319" i="2" a="1"/>
  <c r="A319" i="2" s="1"/>
  <c r="B319" i="2" s="1"/>
  <c r="A318" i="2" a="1"/>
  <c r="A318" i="2" s="1"/>
  <c r="D318" i="2" s="1"/>
  <c r="A317" i="2" a="1"/>
  <c r="A317" i="2" s="1"/>
  <c r="B317" i="2" s="1"/>
  <c r="A316" i="2" a="1"/>
  <c r="A316" i="2"/>
  <c r="C316" i="2" s="1"/>
  <c r="A315" i="2" a="1"/>
  <c r="A315" i="2" s="1"/>
  <c r="C315" i="2" s="1"/>
  <c r="A314" i="2" a="1"/>
  <c r="A314" i="2"/>
  <c r="B314" i="2" s="1"/>
  <c r="A313" i="2" a="1"/>
  <c r="A313" i="2" s="1"/>
  <c r="B313" i="2" s="1"/>
  <c r="A312" i="2" a="1"/>
  <c r="A312" i="2"/>
  <c r="B312" i="2" s="1"/>
  <c r="A311" i="2" a="1"/>
  <c r="A311" i="2"/>
  <c r="C311" i="2" s="1"/>
  <c r="A310" i="2" a="1"/>
  <c r="A310" i="2" s="1"/>
  <c r="A309" i="2" a="1"/>
  <c r="A309" i="2" s="1"/>
  <c r="C309" i="2" s="1"/>
  <c r="A308" i="2" a="1"/>
  <c r="A308" i="2" s="1"/>
  <c r="B308" i="2" s="1"/>
  <c r="A307" i="2" a="1"/>
  <c r="A307" i="2"/>
  <c r="C307" i="2" s="1"/>
  <c r="C306" i="2"/>
  <c r="A306" i="2" a="1"/>
  <c r="A306" i="2"/>
  <c r="D306" i="2" s="1"/>
  <c r="A305" i="2" a="1"/>
  <c r="A305" i="2"/>
  <c r="D305" i="2" s="1"/>
  <c r="A304" i="2" a="1"/>
  <c r="A304" i="2" s="1"/>
  <c r="A303" i="2" a="1"/>
  <c r="A303" i="2"/>
  <c r="B302" i="2"/>
  <c r="A302" i="2" a="1"/>
  <c r="A302" i="2"/>
  <c r="C302" i="2" s="1"/>
  <c r="A301" i="2" a="1"/>
  <c r="A301" i="2" s="1"/>
  <c r="A300" i="2" a="1"/>
  <c r="A300" i="2" s="1"/>
  <c r="D300" i="2" s="1"/>
  <c r="A299" i="2" a="1"/>
  <c r="A299" i="2" s="1"/>
  <c r="B299" i="2" s="1"/>
  <c r="A298" i="2" a="1"/>
  <c r="A298" i="2"/>
  <c r="C298" i="2" s="1"/>
  <c r="A297" i="2" a="1"/>
  <c r="A297" i="2" s="1"/>
  <c r="A296" i="2" a="1"/>
  <c r="A296" i="2" s="1"/>
  <c r="A295" i="2" a="1"/>
  <c r="A295" i="2" s="1"/>
  <c r="A294" i="2" a="1"/>
  <c r="A294" i="2"/>
  <c r="C294" i="2" s="1"/>
  <c r="B293" i="2"/>
  <c r="A293" i="2" a="1"/>
  <c r="A293" i="2"/>
  <c r="C293" i="2" s="1"/>
  <c r="A292" i="2" a="1"/>
  <c r="A292" i="2" s="1"/>
  <c r="A291" i="2" a="1"/>
  <c r="A291" i="2"/>
  <c r="C291" i="2" s="1"/>
  <c r="A290" i="2" a="1"/>
  <c r="A290" i="2" s="1"/>
  <c r="B290" i="2" s="1"/>
  <c r="A289" i="2" a="1"/>
  <c r="A289" i="2" s="1"/>
  <c r="A288" i="2" a="1"/>
  <c r="A288" i="2"/>
  <c r="D288" i="2" s="1"/>
  <c r="A287" i="2" a="1"/>
  <c r="A287" i="2"/>
  <c r="B287" i="2" s="1"/>
  <c r="A286" i="2" a="1"/>
  <c r="A286" i="2" s="1"/>
  <c r="A285" i="2" a="1"/>
  <c r="A285" i="2"/>
  <c r="A284" i="2" a="1"/>
  <c r="A284" i="2" s="1"/>
  <c r="A282" i="2" a="1"/>
  <c r="A282" i="2" s="1"/>
  <c r="B282" i="2" s="1"/>
  <c r="A281" i="2" a="1"/>
  <c r="A281" i="2" s="1"/>
  <c r="A280" i="2" a="1"/>
  <c r="A280" i="2" s="1"/>
  <c r="A279" i="2" a="1"/>
  <c r="A279" i="2"/>
  <c r="D279" i="2" s="1"/>
  <c r="A278" i="2" a="1"/>
  <c r="A278" i="2" s="1"/>
  <c r="B278" i="2" s="1"/>
  <c r="A277" i="2" a="1"/>
  <c r="A277" i="2" s="1"/>
  <c r="D277" i="2" s="1"/>
  <c r="A276" i="2" a="1"/>
  <c r="A276" i="2"/>
  <c r="C276" i="2" s="1"/>
  <c r="A274" i="2" a="1"/>
  <c r="A274" i="2" s="1"/>
  <c r="C273" i="2"/>
  <c r="A272" i="2" a="1"/>
  <c r="A272" i="2" s="1"/>
  <c r="A271" i="2" a="1"/>
  <c r="A271" i="2" s="1"/>
  <c r="B271" i="2" s="1"/>
  <c r="A270" i="2" a="1"/>
  <c r="A270" i="2" s="1"/>
  <c r="D270" i="2" s="1"/>
  <c r="D269" i="2"/>
  <c r="C269" i="2"/>
  <c r="B269" i="2"/>
  <c r="A269" i="2" a="1"/>
  <c r="A269" i="2"/>
  <c r="A268" i="2" a="1"/>
  <c r="A268" i="2" s="1"/>
  <c r="A267" i="2" a="1"/>
  <c r="A267" i="2" s="1"/>
  <c r="A266" i="2" a="1"/>
  <c r="A266" i="2"/>
  <c r="C266" i="2" s="1"/>
  <c r="A264" i="2" a="1"/>
  <c r="A264" i="2" s="1"/>
  <c r="A263" i="2" a="1"/>
  <c r="A263" i="2" s="1"/>
  <c r="A262" i="2" a="1"/>
  <c r="A262" i="2" s="1"/>
  <c r="B262" i="2" s="1"/>
  <c r="A261" i="2" a="1"/>
  <c r="A261" i="2" s="1"/>
  <c r="D261" i="2" s="1"/>
  <c r="D260" i="2"/>
  <c r="A260" i="2" a="1"/>
  <c r="A260" i="2"/>
  <c r="B260" i="2" s="1"/>
  <c r="D259" i="2"/>
  <c r="A259" i="2" a="1"/>
  <c r="A259" i="2"/>
  <c r="A258" i="2" a="1"/>
  <c r="A258" i="2" s="1"/>
  <c r="B258" i="2" s="1"/>
  <c r="A257" i="2" a="1"/>
  <c r="A257" i="2"/>
  <c r="C257" i="2" s="1"/>
  <c r="A256" i="2" a="1"/>
  <c r="A256" i="2" s="1"/>
  <c r="A255" i="2" a="1"/>
  <c r="A255" i="2" s="1"/>
  <c r="A254" i="2" a="1"/>
  <c r="A254" i="2" s="1"/>
  <c r="A252" i="2" a="1"/>
  <c r="A252" i="2" s="1"/>
  <c r="A251" i="2" a="1"/>
  <c r="A251" i="2"/>
  <c r="C251" i="2" s="1"/>
  <c r="A250" i="2" a="1"/>
  <c r="A250" i="2" s="1"/>
  <c r="A249" i="2" a="1"/>
  <c r="A249" i="2"/>
  <c r="D248" i="2"/>
  <c r="A248" i="2" a="1"/>
  <c r="A248" i="2" s="1"/>
  <c r="A247" i="2" a="1"/>
  <c r="A247" i="2"/>
  <c r="C247" i="2" s="1"/>
  <c r="A246" i="2" a="1"/>
  <c r="A246" i="2" s="1"/>
  <c r="A245" i="2" a="1"/>
  <c r="A245" i="2"/>
  <c r="A244" i="2" a="1"/>
  <c r="A244" i="2" s="1"/>
  <c r="B244" i="2" s="1"/>
  <c r="A243" i="2" a="1"/>
  <c r="A243" i="2" s="1"/>
  <c r="D242" i="2"/>
  <c r="C242" i="2"/>
  <c r="A242" i="2" a="1"/>
  <c r="A242" i="2"/>
  <c r="B242" i="2" s="1"/>
  <c r="A241" i="2" a="1"/>
  <c r="A241" i="2"/>
  <c r="D241" i="2" s="1"/>
  <c r="A240" i="2" a="1"/>
  <c r="A240" i="2" s="1"/>
  <c r="A239" i="2" a="1"/>
  <c r="A239" i="2" s="1"/>
  <c r="A238" i="2" a="1"/>
  <c r="A238" i="2"/>
  <c r="A237" i="2" a="1"/>
  <c r="A237" i="2" s="1"/>
  <c r="C236" i="2"/>
  <c r="B236" i="2"/>
  <c r="A236" i="2" a="1"/>
  <c r="A236" i="2"/>
  <c r="D236" i="2" s="1"/>
  <c r="A235" i="2" a="1"/>
  <c r="A235" i="2" s="1"/>
  <c r="A234" i="2" a="1"/>
  <c r="A234" i="2" s="1"/>
  <c r="A233" i="2" a="1"/>
  <c r="A233" i="2"/>
  <c r="B233" i="2" s="1"/>
  <c r="D232" i="2"/>
  <c r="A232" i="2" a="1"/>
  <c r="A232" i="2" s="1"/>
  <c r="B232" i="2" s="1"/>
  <c r="A231" i="2" a="1"/>
  <c r="A231" i="2" s="1"/>
  <c r="A230" i="2" a="1"/>
  <c r="A230" i="2"/>
  <c r="D230" i="2" s="1"/>
  <c r="A229" i="2" a="1"/>
  <c r="A229" i="2"/>
  <c r="B229" i="2" s="1"/>
  <c r="A228" i="2" a="1"/>
  <c r="A228" i="2" s="1"/>
  <c r="D228" i="2" s="1"/>
  <c r="A227" i="2" a="1"/>
  <c r="A227" i="2" s="1"/>
  <c r="A226" i="2" a="1"/>
  <c r="A226" i="2" s="1"/>
  <c r="C226" i="2" s="1"/>
  <c r="A225" i="2" a="1"/>
  <c r="A225" i="2" s="1"/>
  <c r="A224" i="2" a="1"/>
  <c r="A224" i="2"/>
  <c r="B224" i="2" s="1"/>
  <c r="A223" i="2" a="1"/>
  <c r="A223" i="2" s="1"/>
  <c r="A222" i="2" a="1"/>
  <c r="A222" i="2" s="1"/>
  <c r="D221" i="2"/>
  <c r="C221" i="2"/>
  <c r="A221" i="2" a="1"/>
  <c r="A221" i="2"/>
  <c r="B221" i="2" s="1"/>
  <c r="A220" i="2" a="1"/>
  <c r="A220" i="2" s="1"/>
  <c r="A219" i="2" a="1"/>
  <c r="A219" i="2"/>
  <c r="D219" i="2" s="1"/>
  <c r="A218" i="2" a="1"/>
  <c r="A218" i="2" s="1"/>
  <c r="A217" i="2" a="1"/>
  <c r="A217" i="2" s="1"/>
  <c r="C217" i="2" s="1"/>
  <c r="A216" i="2" a="1"/>
  <c r="A216" i="2" s="1"/>
  <c r="D216" i="2" s="1"/>
  <c r="A215" i="2" a="1"/>
  <c r="A215" i="2"/>
  <c r="D215" i="2" s="1"/>
  <c r="A214" i="2" a="1"/>
  <c r="A214" i="2" s="1"/>
  <c r="D214" i="2" s="1"/>
  <c r="A213" i="2" a="1"/>
  <c r="A213" i="2" s="1"/>
  <c r="D213" i="2" s="1"/>
  <c r="A212" i="2" a="1"/>
  <c r="A212" i="2" s="1"/>
  <c r="D212" i="2" s="1"/>
  <c r="A211" i="2" a="1"/>
  <c r="A211" i="2"/>
  <c r="D211" i="2" s="1"/>
  <c r="D210" i="2"/>
  <c r="A209" i="2" a="1"/>
  <c r="A209" i="2"/>
  <c r="A208" i="2" a="1"/>
  <c r="A208" i="2"/>
  <c r="D208" i="2" s="1"/>
  <c r="A207" i="2" a="1"/>
  <c r="A207" i="2"/>
  <c r="C207" i="2" s="1"/>
  <c r="A206" i="2" a="1"/>
  <c r="A206" i="2" s="1"/>
  <c r="D204" i="2"/>
  <c r="A204" i="2" a="1"/>
  <c r="A204" i="2" s="1"/>
  <c r="C204" i="2" s="1"/>
  <c r="A203" i="2" a="1"/>
  <c r="A203" i="2"/>
  <c r="A202" i="2" a="1"/>
  <c r="A202" i="2"/>
  <c r="A201" i="2" a="1"/>
  <c r="A201" i="2"/>
  <c r="D201" i="2" s="1"/>
  <c r="A200" i="2" a="1"/>
  <c r="A200" i="2" s="1"/>
  <c r="C200" i="2" s="1"/>
  <c r="A199" i="2" a="1"/>
  <c r="A199" i="2" s="1"/>
  <c r="D199" i="2" s="1"/>
  <c r="A198" i="2" a="1"/>
  <c r="A198" i="2" s="1"/>
  <c r="B198" i="2" s="1"/>
  <c r="C197" i="2"/>
  <c r="B197" i="2"/>
  <c r="A197" i="2" a="1"/>
  <c r="A197" i="2"/>
  <c r="D197" i="2" s="1"/>
  <c r="A196" i="2" a="1"/>
  <c r="A196" i="2" s="1"/>
  <c r="D196" i="2" s="1"/>
  <c r="A195" i="2" a="1"/>
  <c r="A195" i="2"/>
  <c r="D195" i="2" s="1"/>
  <c r="A194" i="2" a="1"/>
  <c r="A194" i="2" s="1"/>
  <c r="A193" i="2" a="1"/>
  <c r="A193" i="2"/>
  <c r="D193" i="2" s="1"/>
  <c r="A192" i="2" a="1"/>
  <c r="A192" i="2" s="1"/>
  <c r="C192" i="2" s="1"/>
  <c r="A191" i="2" a="1"/>
  <c r="A191" i="2" s="1"/>
  <c r="A190" i="2" a="1"/>
  <c r="A190" i="2" s="1"/>
  <c r="A189" i="2" a="1"/>
  <c r="A189" i="2" s="1"/>
  <c r="B189" i="2" s="1"/>
  <c r="D188" i="2"/>
  <c r="C188" i="2"/>
  <c r="B188" i="2"/>
  <c r="A188" i="2" a="1"/>
  <c r="A188" i="2"/>
  <c r="D187" i="2"/>
  <c r="A187" i="2" a="1"/>
  <c r="A187" i="2"/>
  <c r="C187" i="2" s="1"/>
  <c r="A186" i="2" a="1"/>
  <c r="A186" i="2" s="1"/>
  <c r="A185" i="2" a="1"/>
  <c r="A185" i="2" s="1"/>
  <c r="A184" i="2" a="1"/>
  <c r="A184" i="2" s="1"/>
  <c r="C183" i="2"/>
  <c r="A183" i="2" a="1"/>
  <c r="A183" i="2"/>
  <c r="B183" i="2" s="1"/>
  <c r="A182" i="2" a="1"/>
  <c r="A182" i="2" s="1"/>
  <c r="B182" i="2" s="1"/>
  <c r="A181" i="2" a="1"/>
  <c r="A181" i="2" s="1"/>
  <c r="D181" i="2" s="1"/>
  <c r="A180" i="2" a="1"/>
  <c r="A180" i="2" s="1"/>
  <c r="A179" i="2" a="1"/>
  <c r="A179" i="2" s="1"/>
  <c r="A178" i="2" a="1"/>
  <c r="A178" i="2" s="1"/>
  <c r="A177" i="2" a="1"/>
  <c r="A177" i="2" s="1"/>
  <c r="A176" i="2" a="1"/>
  <c r="A176" i="2"/>
  <c r="B176" i="2" s="1"/>
  <c r="A175" i="2" a="1"/>
  <c r="A175" i="2" s="1"/>
  <c r="A174" i="2" a="1"/>
  <c r="A174" i="2" s="1"/>
  <c r="D174" i="2" s="1"/>
  <c r="A173" i="2" a="1"/>
  <c r="A173" i="2"/>
  <c r="D173" i="2" s="1"/>
  <c r="A172" i="2" a="1"/>
  <c r="A172" i="2" s="1"/>
  <c r="D172" i="2" s="1"/>
  <c r="A171" i="2" a="1"/>
  <c r="A171" i="2"/>
  <c r="D171" i="2" s="1"/>
  <c r="A170" i="2" a="1"/>
  <c r="A170" i="2"/>
  <c r="B170" i="2" s="1"/>
  <c r="A169" i="2" a="1"/>
  <c r="A169" i="2" s="1"/>
  <c r="A168" i="2" a="1"/>
  <c r="A168" i="2" s="1"/>
  <c r="B168" i="2" s="1"/>
  <c r="A167" i="2" a="1"/>
  <c r="A167" i="2"/>
  <c r="A166" i="2" a="1"/>
  <c r="A166" i="2"/>
  <c r="A165" i="2" a="1"/>
  <c r="A165" i="2"/>
  <c r="B165" i="2" s="1"/>
  <c r="A164" i="2" a="1"/>
  <c r="A164" i="2"/>
  <c r="B164" i="2" s="1"/>
  <c r="B163" i="2"/>
  <c r="A163" i="2" a="1"/>
  <c r="A163" i="2" s="1"/>
  <c r="A162" i="2" a="1"/>
  <c r="A162" i="2" s="1"/>
  <c r="B162" i="2" s="1"/>
  <c r="A161" i="2" a="1"/>
  <c r="A161" i="2"/>
  <c r="D161" i="2" s="1"/>
  <c r="A160" i="2" a="1"/>
  <c r="A160" i="2" s="1"/>
  <c r="A159" i="2" a="1"/>
  <c r="A159" i="2" s="1"/>
  <c r="C159" i="2" s="1"/>
  <c r="A158" i="2" a="1"/>
  <c r="A158" i="2"/>
  <c r="D158" i="2" s="1"/>
  <c r="A157" i="2" a="1"/>
  <c r="A157" i="2" s="1"/>
  <c r="B157" i="2" s="1"/>
  <c r="A156" i="2" a="1"/>
  <c r="A156" i="2" s="1"/>
  <c r="A155" i="2" a="1"/>
  <c r="A155" i="2" s="1"/>
  <c r="D155" i="2" s="1"/>
  <c r="A154" i="2" a="1"/>
  <c r="A154" i="2"/>
  <c r="B154" i="2" s="1"/>
  <c r="A153" i="2" a="1"/>
  <c r="A153" i="2" s="1"/>
  <c r="C153" i="2" s="1"/>
  <c r="A152" i="2" a="1"/>
  <c r="A152" i="2"/>
  <c r="A151" i="2" a="1"/>
  <c r="A151" i="2" s="1"/>
  <c r="D151" i="2" s="1"/>
  <c r="A150" i="2" a="1"/>
  <c r="A150" i="2" s="1"/>
  <c r="A149" i="2" a="1"/>
  <c r="A149" i="2"/>
  <c r="B149" i="2" s="1"/>
  <c r="A148" i="2" a="1"/>
  <c r="A148" i="2"/>
  <c r="A147" i="2" a="1"/>
  <c r="A147" i="2" s="1"/>
  <c r="A146" i="2" a="1"/>
  <c r="A146" i="2" s="1"/>
  <c r="A145" i="2" a="1"/>
  <c r="A145" i="2" s="1"/>
  <c r="C145" i="2" s="1"/>
  <c r="A144" i="2" a="1"/>
  <c r="A144" i="2" s="1"/>
  <c r="B144" i="2" s="1"/>
  <c r="A143" i="2" a="1"/>
  <c r="A143" i="2"/>
  <c r="D143" i="2" s="1"/>
  <c r="A142" i="2" a="1"/>
  <c r="A142" i="2" s="1"/>
  <c r="C142" i="2" s="1"/>
  <c r="A141" i="2" a="1"/>
  <c r="A141" i="2" s="1"/>
  <c r="C140" i="2"/>
  <c r="A140" i="2" a="1"/>
  <c r="A140" i="2" s="1"/>
  <c r="D140" i="2" s="1"/>
  <c r="A139" i="2" a="1"/>
  <c r="A139" i="2" s="1"/>
  <c r="A138" i="2" a="1"/>
  <c r="A138" i="2" s="1"/>
  <c r="B138" i="2" s="1"/>
  <c r="A137" i="2" a="1"/>
  <c r="A137" i="2"/>
  <c r="D137" i="2" s="1"/>
  <c r="A136" i="2" a="1"/>
  <c r="A136" i="2" s="1"/>
  <c r="B136" i="2" s="1"/>
  <c r="A135" i="2" a="1"/>
  <c r="A135" i="2" s="1"/>
  <c r="D134" i="2"/>
  <c r="C134" i="2"/>
  <c r="A134" i="2" a="1"/>
  <c r="A134" i="2"/>
  <c r="B134" i="2" s="1"/>
  <c r="A133" i="2" a="1"/>
  <c r="A133" i="2" s="1"/>
  <c r="A132" i="2" a="1"/>
  <c r="A132" i="2"/>
  <c r="C132" i="2" s="1"/>
  <c r="A131" i="2" a="1"/>
  <c r="A131" i="2" s="1"/>
  <c r="A130" i="2" a="1"/>
  <c r="A130" i="2"/>
  <c r="C130" i="2" s="1"/>
  <c r="A129" i="2" a="1"/>
  <c r="A129" i="2" s="1"/>
  <c r="A128" i="2" a="1"/>
  <c r="A128" i="2"/>
  <c r="D128" i="2" s="1"/>
  <c r="A127" i="2" a="1"/>
  <c r="A127" i="2" s="1"/>
  <c r="A126" i="2" a="1"/>
  <c r="A126" i="2" s="1"/>
  <c r="A125" i="2" a="1"/>
  <c r="A125" i="2" s="1"/>
  <c r="D125" i="2" s="1"/>
  <c r="A123" i="2" a="1"/>
  <c r="A123" i="2" s="1"/>
  <c r="B123" i="2" s="1"/>
  <c r="A122" i="2" a="1"/>
  <c r="A122" i="2"/>
  <c r="D122" i="2" s="1"/>
  <c r="A121" i="2" a="1"/>
  <c r="A121" i="2" s="1"/>
  <c r="B121" i="2" s="1"/>
  <c r="A120" i="2" a="1"/>
  <c r="A120" i="2"/>
  <c r="D120" i="2" s="1"/>
  <c r="A119" i="2" a="1"/>
  <c r="A119" i="2" s="1"/>
  <c r="D119" i="2" s="1"/>
  <c r="A118" i="2" a="1"/>
  <c r="A118" i="2"/>
  <c r="A117" i="2" a="1"/>
  <c r="A117" i="2"/>
  <c r="D117" i="2" s="1"/>
  <c r="A116" i="2" a="1"/>
  <c r="A116" i="2"/>
  <c r="B116" i="2" s="1"/>
  <c r="A115" i="2" a="1"/>
  <c r="A115" i="2" s="1"/>
  <c r="A113" i="2" a="1"/>
  <c r="A113" i="2" s="1"/>
  <c r="D113" i="2" s="1"/>
  <c r="A112" i="2" a="1"/>
  <c r="A112" i="2"/>
  <c r="C112" i="2" s="1"/>
  <c r="A111" i="2" a="1"/>
  <c r="A111" i="2" s="1"/>
  <c r="A110" i="2" a="1"/>
  <c r="A110" i="2" s="1"/>
  <c r="A109" i="2" a="1"/>
  <c r="A109" i="2" s="1"/>
  <c r="D109" i="2" s="1"/>
  <c r="A108" i="2" a="1"/>
  <c r="A108" i="2" s="1"/>
  <c r="D108" i="2" s="1"/>
  <c r="A107" i="2" a="1"/>
  <c r="A107" i="2" s="1"/>
  <c r="A105" i="2" a="1"/>
  <c r="A105" i="2" s="1"/>
  <c r="D104" i="2"/>
  <c r="A104" i="2" a="1"/>
  <c r="A104" i="2" s="1"/>
  <c r="C104" i="2" s="1"/>
  <c r="A103" i="2" a="1"/>
  <c r="A103" i="2" s="1"/>
  <c r="A102" i="2" a="1"/>
  <c r="A102" i="2"/>
  <c r="C102" i="2" s="1"/>
  <c r="A101" i="2" a="1"/>
  <c r="A101" i="2"/>
  <c r="D101" i="2" s="1"/>
  <c r="A100" i="2" a="1"/>
  <c r="A100" i="2"/>
  <c r="D100" i="2" s="1"/>
  <c r="A98" i="2" a="1"/>
  <c r="A98" i="2"/>
  <c r="D98" i="2" s="1"/>
  <c r="A97" i="2" a="1"/>
  <c r="A97" i="2" s="1"/>
  <c r="D97" i="2" s="1"/>
  <c r="A96" i="2" a="1"/>
  <c r="A96" i="2"/>
  <c r="D96" i="2" s="1"/>
  <c r="A95" i="2" a="1"/>
  <c r="A95" i="2" s="1"/>
  <c r="A94" i="2" a="1"/>
  <c r="A94" i="2" s="1"/>
  <c r="A93" i="2" a="1"/>
  <c r="A93" i="2" s="1"/>
  <c r="B93" i="2" s="1"/>
  <c r="A92" i="2" a="1"/>
  <c r="A92" i="2"/>
  <c r="D92" i="2" s="1"/>
  <c r="A91" i="2" a="1"/>
  <c r="A91" i="2" s="1"/>
  <c r="C91" i="2" s="1"/>
  <c r="A90" i="2" a="1"/>
  <c r="A90" i="2"/>
  <c r="C90" i="2" s="1"/>
  <c r="A88" i="2" a="1"/>
  <c r="A88" i="2" s="1"/>
  <c r="A87" i="2" a="1"/>
  <c r="A87" i="2"/>
  <c r="B87" i="2" s="1"/>
  <c r="A86" i="2" a="1"/>
  <c r="A86" i="2" s="1"/>
  <c r="B85" i="2"/>
  <c r="A85" i="2" a="1"/>
  <c r="A85" i="2"/>
  <c r="D85" i="2" s="1"/>
  <c r="A84" i="2" a="1"/>
  <c r="A84" i="2" s="1"/>
  <c r="A83" i="2" a="1"/>
  <c r="A83" i="2"/>
  <c r="D83" i="2" s="1"/>
  <c r="A82" i="2" a="1"/>
  <c r="A82" i="2" s="1"/>
  <c r="A81" i="2" a="1"/>
  <c r="A81" i="2"/>
  <c r="C81" i="2" s="1"/>
  <c r="D79" i="2"/>
  <c r="C79" i="2"/>
  <c r="A79" i="2" a="1"/>
  <c r="A79" i="2"/>
  <c r="B79" i="2" s="1"/>
  <c r="A78" i="2" a="1"/>
  <c r="A78" i="2" s="1"/>
  <c r="A77" i="2" a="1"/>
  <c r="A77" i="2" s="1"/>
  <c r="D77" i="2" s="1"/>
  <c r="A76" i="2" a="1"/>
  <c r="A76" i="2" s="1"/>
  <c r="A75" i="2" a="1"/>
  <c r="A75" i="2" s="1"/>
  <c r="A74" i="2" a="1"/>
  <c r="A74" i="2" s="1"/>
  <c r="D74" i="2" s="1"/>
  <c r="A73" i="2" a="1"/>
  <c r="A73" i="2" s="1"/>
  <c r="D73" i="2" s="1"/>
  <c r="A72" i="2" a="1"/>
  <c r="A72" i="2"/>
  <c r="D72" i="2" s="1"/>
  <c r="A71" i="2" a="1"/>
  <c r="A71" i="2"/>
  <c r="D71" i="2" s="1"/>
  <c r="D70" i="2"/>
  <c r="C70" i="2"/>
  <c r="A70" i="2" a="1"/>
  <c r="A70" i="2" s="1"/>
  <c r="B70" i="2" s="1"/>
  <c r="A69" i="2" a="1"/>
  <c r="A69" i="2"/>
  <c r="B69" i="2" s="1"/>
  <c r="A68" i="2" a="1"/>
  <c r="A68" i="2"/>
  <c r="D68" i="2" s="1"/>
  <c r="A67" i="2" a="1"/>
  <c r="A67" i="2" s="1"/>
  <c r="A66" i="2" a="1"/>
  <c r="A66" i="2"/>
  <c r="D66" i="2" s="1"/>
  <c r="A65" i="2" a="1"/>
  <c r="A65" i="2"/>
  <c r="A64" i="2" a="1"/>
  <c r="A64" i="2"/>
  <c r="C64" i="2" s="1"/>
  <c r="A63" i="2" a="1"/>
  <c r="A63" i="2"/>
  <c r="D63" i="2" s="1"/>
  <c r="A62" i="2" a="1"/>
  <c r="A62" i="2"/>
  <c r="B62" i="2" s="1"/>
  <c r="A61" i="2" a="1"/>
  <c r="A61" i="2" s="1"/>
  <c r="A60" i="2" a="1"/>
  <c r="A60" i="2"/>
  <c r="D60" i="2" s="1"/>
  <c r="A59" i="2" a="1"/>
  <c r="A59" i="2" s="1"/>
  <c r="D59" i="2" s="1"/>
  <c r="A58" i="2" a="1"/>
  <c r="A58" i="2"/>
  <c r="C58" i="2" s="1"/>
  <c r="A56" i="2" a="1"/>
  <c r="A56" i="2"/>
  <c r="B56" i="2" s="1"/>
  <c r="D55" i="2"/>
  <c r="C55" i="2"/>
  <c r="A55" i="2" a="1"/>
  <c r="A55" i="2" s="1"/>
  <c r="B55" i="2" s="1"/>
  <c r="A54" i="2" a="1"/>
  <c r="A54" i="2"/>
  <c r="D54" i="2" s="1"/>
  <c r="A53" i="2" a="1"/>
  <c r="A53" i="2" s="1"/>
  <c r="A52" i="2" a="1"/>
  <c r="A52" i="2" s="1"/>
  <c r="A51" i="2" a="1"/>
  <c r="A51" i="2" s="1"/>
  <c r="B51" i="2" s="1"/>
  <c r="A50" i="2" a="1"/>
  <c r="A50" i="2"/>
  <c r="A49" i="2" a="1"/>
  <c r="A49" i="2"/>
  <c r="D49" i="2" s="1"/>
  <c r="A48" i="2" a="1"/>
  <c r="A48" i="2" s="1"/>
  <c r="A47" i="2" a="1"/>
  <c r="A47" i="2" s="1"/>
  <c r="C47" i="2" s="1"/>
  <c r="A46" i="2" a="1"/>
  <c r="A46" i="2" s="1"/>
  <c r="A45" i="2" a="1"/>
  <c r="A45" i="2"/>
  <c r="B45" i="2" s="1"/>
  <c r="A44" i="2" a="1"/>
  <c r="A44" i="2" s="1"/>
  <c r="C44" i="2" s="1"/>
  <c r="A43" i="2" a="1"/>
  <c r="A43" i="2"/>
  <c r="D43" i="2" s="1"/>
  <c r="A42" i="2" a="1"/>
  <c r="A42" i="2" s="1"/>
  <c r="A41" i="2" a="1"/>
  <c r="A41" i="2"/>
  <c r="B41" i="2" s="1"/>
  <c r="A40" i="2" a="1"/>
  <c r="A40" i="2" s="1"/>
  <c r="C40" i="2" s="1"/>
  <c r="A39" i="2" a="1"/>
  <c r="A39" i="2"/>
  <c r="D39" i="2" s="1"/>
  <c r="A38" i="2" a="1"/>
  <c r="A38" i="2" s="1"/>
  <c r="A37" i="2" a="1"/>
  <c r="A37" i="2" s="1"/>
  <c r="A36" i="2" a="1"/>
  <c r="A36" i="2"/>
  <c r="B36" i="2" s="1"/>
  <c r="A35" i="2" a="1"/>
  <c r="A35" i="2" s="1"/>
  <c r="A34" i="2" a="1"/>
  <c r="A34" i="2" s="1"/>
  <c r="A33" i="2" a="1"/>
  <c r="A33" i="2" s="1"/>
  <c r="D32" i="2"/>
  <c r="C32" i="2"/>
  <c r="A32" i="2" a="1"/>
  <c r="A32" i="2" s="1"/>
  <c r="B32" i="2" s="1"/>
  <c r="A31" i="2" a="1"/>
  <c r="A31" i="2" s="1"/>
  <c r="A30" i="2" a="1"/>
  <c r="A30" i="2"/>
  <c r="B30" i="2" s="1"/>
  <c r="A29" i="2" a="1"/>
  <c r="A29" i="2" s="1"/>
  <c r="A28" i="2" a="1"/>
  <c r="A28" i="2"/>
  <c r="D28" i="2" s="1"/>
  <c r="A27" i="2" a="1"/>
  <c r="A27" i="2"/>
  <c r="B27" i="2" s="1"/>
  <c r="A26" i="2" a="1"/>
  <c r="A26" i="2"/>
  <c r="B26" i="2" s="1"/>
  <c r="A25" i="2" a="1"/>
  <c r="A25" i="2" s="1"/>
  <c r="B25" i="2" s="1"/>
  <c r="A24" i="2" a="1"/>
  <c r="A24" i="2" s="1"/>
  <c r="D24" i="2" s="1"/>
  <c r="A23" i="2" a="1"/>
  <c r="A23" i="2"/>
  <c r="D23" i="2" s="1"/>
  <c r="A22" i="2" a="1"/>
  <c r="A22" i="2"/>
  <c r="C22" i="2" s="1"/>
  <c r="A21" i="2" a="1"/>
  <c r="A21" i="2"/>
  <c r="C21" i="2" s="1"/>
  <c r="A20" i="2" a="1"/>
  <c r="A20" i="2" s="1"/>
  <c r="A19" i="2" a="1"/>
  <c r="A19" i="2" s="1"/>
  <c r="D19" i="2" s="1"/>
  <c r="A18" i="2" a="1"/>
  <c r="A18" i="2" s="1"/>
  <c r="A17" i="2" a="1"/>
  <c r="A17" i="2" s="1"/>
  <c r="B17" i="2" s="1"/>
  <c r="A16" i="2" a="1"/>
  <c r="A16" i="2" s="1"/>
  <c r="A15" i="2" a="1"/>
  <c r="A15" i="2" s="1"/>
  <c r="A14" i="2" a="1"/>
  <c r="A14" i="2" s="1"/>
  <c r="A13" i="2" a="1"/>
  <c r="A13" i="2"/>
  <c r="C13" i="2" s="1"/>
  <c r="A12" i="2" a="1"/>
  <c r="A12" i="2"/>
  <c r="B12" i="2" s="1"/>
  <c r="A11" i="2" a="1"/>
  <c r="A11" i="2" s="1"/>
  <c r="D10" i="2"/>
  <c r="B10" i="2"/>
  <c r="A10" i="2" a="1"/>
  <c r="A10" i="2"/>
  <c r="C10" i="2" s="1"/>
  <c r="A9" i="2" a="1"/>
  <c r="A9" i="2" s="1"/>
  <c r="A8" i="2" a="1"/>
  <c r="A8" i="2" s="1"/>
  <c r="D8" i="2" s="1"/>
  <c r="A7" i="2" a="1"/>
  <c r="A7" i="2"/>
  <c r="D7" i="2" s="1"/>
  <c r="A6" i="2" a="1"/>
  <c r="A6" i="2"/>
  <c r="C6" i="2" s="1"/>
  <c r="A5" i="2" a="1"/>
  <c r="A5" i="2"/>
  <c r="A4" i="2" a="1"/>
  <c r="A4" i="2" s="1"/>
  <c r="A2" i="2" a="1"/>
  <c r="A2" i="2" s="1"/>
  <c r="B2" i="2" s="1"/>
  <c r="A1" i="2" a="1"/>
  <c r="A1" i="2" s="1"/>
  <c r="I15" i="1"/>
  <c r="A14" i="1"/>
  <c r="A210" i="2" s="1" a="1"/>
  <c r="A210" i="2" s="1"/>
  <c r="A13" i="1"/>
  <c r="A400" i="2" s="1" a="1"/>
  <c r="A400" i="2" s="1"/>
  <c r="AL10" i="1"/>
  <c r="A8" i="1"/>
  <c r="A273" i="2" s="1" a="1"/>
  <c r="A273" i="2" s="1"/>
  <c r="B273" i="2" s="1"/>
  <c r="A7" i="1"/>
  <c r="A114" i="2" s="1" a="1"/>
  <c r="A114" i="2" s="1"/>
  <c r="E3" i="1"/>
  <c r="A347" i="2" s="1" a="1"/>
  <c r="A347" i="2" s="1"/>
  <c r="A89" i="2" a="1"/>
  <c r="A283" i="2" a="1"/>
  <c r="D289" i="2" l="1"/>
  <c r="C289" i="2"/>
  <c r="B289" i="2"/>
  <c r="C392" i="2"/>
  <c r="D392" i="2"/>
  <c r="B392" i="2"/>
  <c r="C325" i="2"/>
  <c r="B325" i="2"/>
  <c r="D325" i="2"/>
  <c r="C393" i="2"/>
  <c r="D393" i="2"/>
  <c r="C239" i="2"/>
  <c r="B239" i="2"/>
  <c r="B296" i="2"/>
  <c r="D296" i="2"/>
  <c r="C296" i="2"/>
  <c r="D286" i="2"/>
  <c r="C286" i="2"/>
  <c r="B286" i="2"/>
  <c r="B179" i="2"/>
  <c r="D179" i="2"/>
  <c r="C179" i="2"/>
  <c r="C115" i="2"/>
  <c r="D115" i="2"/>
  <c r="B206" i="2"/>
  <c r="D206" i="2"/>
  <c r="C206" i="2"/>
  <c r="C225" i="2"/>
  <c r="B225" i="2"/>
  <c r="D225" i="2"/>
  <c r="B9" i="2"/>
  <c r="D9" i="2"/>
  <c r="C9" i="2"/>
  <c r="B350" i="2"/>
  <c r="D350" i="2"/>
  <c r="C350" i="2"/>
  <c r="D280" i="2"/>
  <c r="C280" i="2"/>
  <c r="B280" i="2"/>
  <c r="C196" i="2"/>
  <c r="B390" i="2"/>
  <c r="C62" i="2"/>
  <c r="C19" i="2"/>
  <c r="C43" i="2"/>
  <c r="A205" i="2" a="1"/>
  <c r="A205" i="2" s="1"/>
  <c r="C205" i="2" s="1"/>
  <c r="B279" i="2"/>
  <c r="C288" i="2"/>
  <c r="A349" i="2" a="1"/>
  <c r="A349" i="2" s="1"/>
  <c r="A3" i="2" a="1"/>
  <c r="A3" i="2" s="1"/>
  <c r="D3" i="2" s="1"/>
  <c r="D62" i="2"/>
  <c r="A99" i="2" a="1"/>
  <c r="A99" i="2" s="1"/>
  <c r="B99" i="2" s="1"/>
  <c r="A106" i="2" a="1"/>
  <c r="A106" i="2" s="1"/>
  <c r="B106" i="2" s="1"/>
  <c r="A124" i="2" a="1"/>
  <c r="A124" i="2" s="1"/>
  <c r="D124" i="2" s="1"/>
  <c r="B251" i="2"/>
  <c r="C260" i="2"/>
  <c r="D294" i="2"/>
  <c r="B311" i="2"/>
  <c r="D357" i="2"/>
  <c r="C381" i="2"/>
  <c r="B125" i="2"/>
  <c r="B383" i="2"/>
  <c r="D145" i="2"/>
  <c r="B100" i="2"/>
  <c r="C125" i="2"/>
  <c r="B228" i="2"/>
  <c r="C312" i="2"/>
  <c r="B374" i="2"/>
  <c r="C383" i="2"/>
  <c r="B90" i="2"/>
  <c r="C100" i="2"/>
  <c r="B109" i="2"/>
  <c r="C155" i="2"/>
  <c r="C164" i="2"/>
  <c r="B173" i="2"/>
  <c r="C228" i="2"/>
  <c r="D312" i="2"/>
  <c r="D374" i="2"/>
  <c r="C56" i="2"/>
  <c r="D375" i="2"/>
  <c r="D81" i="2"/>
  <c r="C109" i="2"/>
  <c r="D21" i="2"/>
  <c r="B174" i="2"/>
  <c r="D183" i="2"/>
  <c r="B192" i="2"/>
  <c r="C313" i="2"/>
  <c r="D207" i="2"/>
  <c r="C290" i="2"/>
  <c r="D313" i="2"/>
  <c r="A57" i="2" a="1"/>
  <c r="A57" i="2" s="1"/>
  <c r="D57" i="2" s="1"/>
  <c r="D192" i="2"/>
  <c r="B257" i="2"/>
  <c r="A275" i="2" a="1"/>
  <c r="A275" i="2" s="1"/>
  <c r="D275" i="2" s="1"/>
  <c r="D290" i="2"/>
  <c r="B307" i="2"/>
  <c r="D332" i="2"/>
  <c r="B361" i="2"/>
  <c r="C28" i="2"/>
  <c r="C71" i="2"/>
  <c r="B119" i="2"/>
  <c r="B21" i="2"/>
  <c r="C36" i="2"/>
  <c r="B343" i="2"/>
  <c r="C361" i="2"/>
  <c r="C369" i="2"/>
  <c r="D13" i="2"/>
  <c r="C66" i="2"/>
  <c r="B120" i="2"/>
  <c r="C149" i="2"/>
  <c r="B208" i="2"/>
  <c r="C224" i="2"/>
  <c r="B247" i="2"/>
  <c r="D257" i="2"/>
  <c r="D307" i="2"/>
  <c r="C314" i="2"/>
  <c r="C343" i="2"/>
  <c r="D354" i="2"/>
  <c r="D369" i="2"/>
  <c r="D376" i="2"/>
  <c r="C386" i="2"/>
  <c r="B28" i="2"/>
  <c r="B71" i="2"/>
  <c r="D164" i="2"/>
  <c r="B6" i="2"/>
  <c r="D56" i="2"/>
  <c r="C174" i="2"/>
  <c r="B66" i="2"/>
  <c r="B23" i="2"/>
  <c r="C120" i="2"/>
  <c r="B140" i="2"/>
  <c r="D149" i="2"/>
  <c r="C208" i="2"/>
  <c r="D224" i="2"/>
  <c r="B276" i="2"/>
  <c r="D314" i="2"/>
  <c r="D386" i="2"/>
  <c r="D36" i="2"/>
  <c r="C119" i="2"/>
  <c r="C157" i="2"/>
  <c r="D6" i="2"/>
  <c r="B13" i="2"/>
  <c r="D157" i="2"/>
  <c r="D266" i="2"/>
  <c r="C23" i="2"/>
  <c r="C85" i="2"/>
  <c r="B104" i="2"/>
  <c r="D168" i="2"/>
  <c r="B204" i="2"/>
  <c r="D90" i="2"/>
  <c r="C232" i="2"/>
  <c r="C278" i="2"/>
  <c r="A337" i="2" a="1"/>
  <c r="A337" i="2" s="1"/>
  <c r="A283" i="2"/>
  <c r="A89" i="2"/>
  <c r="D250" i="2"/>
  <c r="C250" i="2"/>
  <c r="B250" i="2"/>
  <c r="B105" i="2"/>
  <c r="C105" i="2"/>
  <c r="D105" i="2"/>
  <c r="B33" i="2"/>
  <c r="D33" i="2"/>
  <c r="C33" i="2"/>
  <c r="C304" i="2"/>
  <c r="D304" i="2"/>
  <c r="B304" i="2"/>
  <c r="D373" i="2"/>
  <c r="C373" i="2"/>
  <c r="B373" i="2"/>
  <c r="B295" i="2"/>
  <c r="D295" i="2"/>
  <c r="C295" i="2"/>
  <c r="D86" i="2"/>
  <c r="C86" i="2"/>
  <c r="B86" i="2"/>
  <c r="D99" i="2"/>
  <c r="C99" i="2"/>
  <c r="C4" i="2"/>
  <c r="B4" i="2"/>
  <c r="D4" i="2"/>
  <c r="D274" i="2"/>
  <c r="C274" i="2"/>
  <c r="B274" i="2"/>
  <c r="D184" i="2"/>
  <c r="C184" i="2"/>
  <c r="B184" i="2"/>
  <c r="D246" i="2"/>
  <c r="C246" i="2"/>
  <c r="B246" i="2"/>
  <c r="D78" i="2"/>
  <c r="C78" i="2"/>
  <c r="B78" i="2"/>
  <c r="C185" i="2"/>
  <c r="B185" i="2"/>
  <c r="D185" i="2"/>
  <c r="C237" i="2"/>
  <c r="B237" i="2"/>
  <c r="D237" i="2"/>
  <c r="D180" i="2"/>
  <c r="C180" i="2"/>
  <c r="B180" i="2"/>
  <c r="D254" i="2"/>
  <c r="C254" i="2"/>
  <c r="B254" i="2"/>
  <c r="D11" i="2"/>
  <c r="C11" i="2"/>
  <c r="B11" i="2"/>
  <c r="D46" i="2"/>
  <c r="C46" i="2"/>
  <c r="B46" i="2"/>
  <c r="C333" i="2"/>
  <c r="D333" i="2"/>
  <c r="B333" i="2"/>
  <c r="B34" i="2"/>
  <c r="C34" i="2"/>
  <c r="D34" i="2"/>
  <c r="C135" i="2"/>
  <c r="B135" i="2"/>
  <c r="D135" i="2"/>
  <c r="D272" i="2"/>
  <c r="B272" i="2"/>
  <c r="C272" i="2"/>
  <c r="B57" i="2"/>
  <c r="B84" i="2"/>
  <c r="D84" i="2"/>
  <c r="C84" i="2"/>
  <c r="D95" i="2"/>
  <c r="C95" i="2"/>
  <c r="B95" i="2"/>
  <c r="D131" i="2"/>
  <c r="B131" i="2"/>
  <c r="C131" i="2"/>
  <c r="D377" i="2"/>
  <c r="C377" i="2"/>
  <c r="B377" i="2"/>
  <c r="C127" i="2"/>
  <c r="D127" i="2"/>
  <c r="B127" i="2"/>
  <c r="D14" i="2"/>
  <c r="C14" i="2"/>
  <c r="B14" i="2"/>
  <c r="C67" i="2"/>
  <c r="B67" i="2"/>
  <c r="D67" i="2"/>
  <c r="D75" i="2"/>
  <c r="C75" i="2"/>
  <c r="B75" i="2"/>
  <c r="D150" i="2"/>
  <c r="C150" i="2"/>
  <c r="B150" i="2"/>
  <c r="D301" i="2"/>
  <c r="C301" i="2"/>
  <c r="B301" i="2"/>
  <c r="D18" i="2"/>
  <c r="C18" i="2"/>
  <c r="B18" i="2"/>
  <c r="C146" i="2"/>
  <c r="B146" i="2"/>
  <c r="D146" i="2"/>
  <c r="C82" i="2"/>
  <c r="B82" i="2"/>
  <c r="D82" i="2"/>
  <c r="B48" i="2"/>
  <c r="C48" i="2"/>
  <c r="D48" i="2"/>
  <c r="D110" i="2"/>
  <c r="C110" i="2"/>
  <c r="B110" i="2"/>
  <c r="D29" i="2"/>
  <c r="B29" i="2"/>
  <c r="C29" i="2"/>
  <c r="C94" i="2"/>
  <c r="D94" i="2"/>
  <c r="B94" i="2"/>
  <c r="B15" i="2"/>
  <c r="C15" i="2"/>
  <c r="D15" i="2"/>
  <c r="B16" i="2"/>
  <c r="D16" i="2"/>
  <c r="C16" i="2"/>
  <c r="D52" i="2"/>
  <c r="C52" i="2"/>
  <c r="B52" i="2"/>
  <c r="C76" i="2"/>
  <c r="B76" i="2"/>
  <c r="D76" i="2"/>
  <c r="C114" i="2"/>
  <c r="D114" i="2"/>
  <c r="B114" i="2"/>
  <c r="C347" i="2"/>
  <c r="B347" i="2"/>
  <c r="D347" i="2"/>
  <c r="D37" i="2"/>
  <c r="C37" i="2"/>
  <c r="B37" i="2"/>
  <c r="B38" i="2"/>
  <c r="C38" i="2"/>
  <c r="D38" i="2"/>
  <c r="C129" i="2"/>
  <c r="D129" i="2"/>
  <c r="B129" i="2"/>
  <c r="D139" i="2"/>
  <c r="C139" i="2"/>
  <c r="B139" i="2"/>
  <c r="D42" i="2"/>
  <c r="C42" i="2"/>
  <c r="B42" i="2"/>
  <c r="D53" i="2"/>
  <c r="B53" i="2"/>
  <c r="C53" i="2"/>
  <c r="D61" i="2"/>
  <c r="C61" i="2"/>
  <c r="B61" i="2"/>
  <c r="D169" i="2"/>
  <c r="B169" i="2"/>
  <c r="C169" i="2"/>
  <c r="C326" i="2"/>
  <c r="C334" i="2"/>
  <c r="B334" i="2"/>
  <c r="B341" i="2"/>
  <c r="C261" i="2"/>
  <c r="B275" i="2"/>
  <c r="D334" i="2"/>
  <c r="D384" i="2"/>
  <c r="C384" i="2"/>
  <c r="B384" i="2"/>
  <c r="C244" i="2"/>
  <c r="D245" i="2"/>
  <c r="C245" i="2"/>
  <c r="D385" i="2"/>
  <c r="C385" i="2"/>
  <c r="B385" i="2"/>
  <c r="D152" i="2"/>
  <c r="C152" i="2"/>
  <c r="B152" i="2"/>
  <c r="D25" i="2"/>
  <c r="B44" i="2"/>
  <c r="B63" i="2"/>
  <c r="D222" i="2"/>
  <c r="C222" i="2"/>
  <c r="B222" i="2"/>
  <c r="D297" i="2"/>
  <c r="B297" i="2"/>
  <c r="B49" i="2"/>
  <c r="C63" i="2"/>
  <c r="D44" i="2"/>
  <c r="C148" i="2"/>
  <c r="B148" i="2"/>
  <c r="D148" i="2"/>
  <c r="B205" i="2"/>
  <c r="D121" i="2"/>
  <c r="C194" i="2"/>
  <c r="D194" i="2"/>
  <c r="C240" i="2"/>
  <c r="B240" i="2"/>
  <c r="C282" i="2"/>
  <c r="C287" i="2"/>
  <c r="D238" i="2"/>
  <c r="C238" i="2"/>
  <c r="B238" i="2"/>
  <c r="B7" i="2"/>
  <c r="D209" i="2"/>
  <c r="C209" i="2"/>
  <c r="C7" i="2"/>
  <c r="D116" i="2"/>
  <c r="C158" i="2"/>
  <c r="C275" i="2"/>
  <c r="D309" i="2"/>
  <c r="B309" i="2"/>
  <c r="D342" i="2"/>
  <c r="B342" i="2"/>
  <c r="D40" i="2"/>
  <c r="C97" i="2"/>
  <c r="D142" i="2"/>
  <c r="C17" i="2"/>
  <c r="C26" i="2"/>
  <c r="B68" i="2"/>
  <c r="B64" i="2"/>
  <c r="B133" i="2"/>
  <c r="D133" i="2"/>
  <c r="C133" i="2"/>
  <c r="B194" i="2"/>
  <c r="D200" i="2"/>
  <c r="D240" i="2"/>
  <c r="C262" i="2"/>
  <c r="D282" i="2"/>
  <c r="D287" i="2"/>
  <c r="D310" i="2"/>
  <c r="C310" i="2"/>
  <c r="B310" i="2"/>
  <c r="C322" i="2"/>
  <c r="D328" i="2"/>
  <c r="C328" i="2"/>
  <c r="B328" i="2"/>
  <c r="C25" i="2"/>
  <c r="D147" i="2"/>
  <c r="C147" i="2"/>
  <c r="B261" i="2"/>
  <c r="D268" i="2"/>
  <c r="B268" i="2"/>
  <c r="C268" i="2"/>
  <c r="B59" i="2"/>
  <c r="B101" i="2"/>
  <c r="D281" i="2"/>
  <c r="C281" i="2"/>
  <c r="B281" i="2"/>
  <c r="D348" i="2"/>
  <c r="C348" i="2"/>
  <c r="B348" i="2"/>
  <c r="D12" i="2"/>
  <c r="C12" i="2"/>
  <c r="C59" i="2"/>
  <c r="B97" i="2"/>
  <c r="C233" i="2"/>
  <c r="C3" i="2"/>
  <c r="C121" i="2"/>
  <c r="D153" i="2"/>
  <c r="B200" i="2"/>
  <c r="C182" i="2"/>
  <c r="D182" i="2"/>
  <c r="D205" i="2"/>
  <c r="D252" i="2"/>
  <c r="C252" i="2"/>
  <c r="B252" i="2"/>
  <c r="B31" i="2"/>
  <c r="D31" i="2"/>
  <c r="C31" i="2"/>
  <c r="D87" i="2"/>
  <c r="B102" i="2"/>
  <c r="D107" i="2"/>
  <c r="C107" i="2"/>
  <c r="B107" i="2"/>
  <c r="B117" i="2"/>
  <c r="B143" i="2"/>
  <c r="B177" i="2"/>
  <c r="D177" i="2"/>
  <c r="B305" i="2"/>
  <c r="D322" i="2"/>
  <c r="D329" i="2"/>
  <c r="C329" i="2"/>
  <c r="B329" i="2"/>
  <c r="B394" i="2"/>
  <c r="D20" i="2"/>
  <c r="C20" i="2"/>
  <c r="B20" i="2"/>
  <c r="D2" i="2"/>
  <c r="B141" i="2"/>
  <c r="D141" i="2"/>
  <c r="C141" i="2"/>
  <c r="D186" i="2"/>
  <c r="B186" i="2"/>
  <c r="C308" i="2"/>
  <c r="D91" i="2"/>
  <c r="C116" i="2"/>
  <c r="B142" i="2"/>
  <c r="D308" i="2"/>
  <c r="C341" i="2"/>
  <c r="C101" i="2"/>
  <c r="B193" i="2"/>
  <c r="D349" i="2"/>
  <c r="C349" i="2"/>
  <c r="B349" i="2"/>
  <c r="C170" i="2"/>
  <c r="D362" i="2"/>
  <c r="D30" i="2"/>
  <c r="D50" i="2"/>
  <c r="C50" i="2"/>
  <c r="B50" i="2"/>
  <c r="C176" i="2"/>
  <c r="D160" i="2"/>
  <c r="C160" i="2"/>
  <c r="B160" i="2"/>
  <c r="B74" i="2"/>
  <c r="C93" i="2"/>
  <c r="C117" i="2"/>
  <c r="D165" i="2"/>
  <c r="A253" i="2" a="1"/>
  <c r="A253" i="2" s="1"/>
  <c r="A80" i="2" a="1"/>
  <c r="A80" i="2" s="1"/>
  <c r="A382" i="2" a="1"/>
  <c r="A382" i="2" s="1"/>
  <c r="A388" i="2" a="1"/>
  <c r="A388" i="2" s="1"/>
  <c r="A265" i="2" a="1"/>
  <c r="A265" i="2" s="1"/>
  <c r="D22" i="2"/>
  <c r="C41" i="2"/>
  <c r="D45" i="2"/>
  <c r="C51" i="2"/>
  <c r="C60" i="2"/>
  <c r="D64" i="2"/>
  <c r="C74" i="2"/>
  <c r="C83" i="2"/>
  <c r="D93" i="2"/>
  <c r="B98" i="2"/>
  <c r="D102" i="2"/>
  <c r="B108" i="2"/>
  <c r="B113" i="2"/>
  <c r="B128" i="2"/>
  <c r="C138" i="2"/>
  <c r="C143" i="2"/>
  <c r="C154" i="2"/>
  <c r="C166" i="2"/>
  <c r="D166" i="2"/>
  <c r="B166" i="2"/>
  <c r="B212" i="2"/>
  <c r="C218" i="2"/>
  <c r="B218" i="2"/>
  <c r="C229" i="2"/>
  <c r="C258" i="2"/>
  <c r="D263" i="2"/>
  <c r="C263" i="2"/>
  <c r="B263" i="2"/>
  <c r="B300" i="2"/>
  <c r="C305" i="2"/>
  <c r="D330" i="2"/>
  <c r="C330" i="2"/>
  <c r="B330" i="2"/>
  <c r="D358" i="2"/>
  <c r="C358" i="2"/>
  <c r="D378" i="2"/>
  <c r="C378" i="2"/>
  <c r="B378" i="2"/>
  <c r="C394" i="2"/>
  <c r="C193" i="2"/>
  <c r="D233" i="2"/>
  <c r="C342" i="2"/>
  <c r="B8" i="2"/>
  <c r="D26" i="2"/>
  <c r="D176" i="2"/>
  <c r="B60" i="2"/>
  <c r="B83" i="2"/>
  <c r="D217" i="2"/>
  <c r="D235" i="2"/>
  <c r="B235" i="2"/>
  <c r="C235" i="2"/>
  <c r="D262" i="2"/>
  <c r="C277" i="2"/>
  <c r="B277" i="2"/>
  <c r="D41" i="2"/>
  <c r="D51" i="2"/>
  <c r="D65" i="2"/>
  <c r="C65" i="2"/>
  <c r="B65" i="2"/>
  <c r="C98" i="2"/>
  <c r="D103" i="2"/>
  <c r="C103" i="2"/>
  <c r="B103" i="2"/>
  <c r="C108" i="2"/>
  <c r="C113" i="2"/>
  <c r="D118" i="2"/>
  <c r="C118" i="2"/>
  <c r="B118" i="2"/>
  <c r="C123" i="2"/>
  <c r="C128" i="2"/>
  <c r="D138" i="2"/>
  <c r="C144" i="2"/>
  <c r="D144" i="2"/>
  <c r="D154" i="2"/>
  <c r="B161" i="2"/>
  <c r="B172" i="2"/>
  <c r="C177" i="2"/>
  <c r="B201" i="2"/>
  <c r="C212" i="2"/>
  <c r="D229" i="2"/>
  <c r="B241" i="2"/>
  <c r="D258" i="2"/>
  <c r="D264" i="2"/>
  <c r="C264" i="2"/>
  <c r="B264" i="2"/>
  <c r="B270" i="2"/>
  <c r="C300" i="2"/>
  <c r="A323" i="2" a="1"/>
  <c r="A323" i="2" s="1"/>
  <c r="B351" i="2"/>
  <c r="C267" i="2"/>
  <c r="B267" i="2"/>
  <c r="D267" i="2"/>
  <c r="D111" i="2"/>
  <c r="C111" i="2"/>
  <c r="B111" i="2"/>
  <c r="B3" i="2"/>
  <c r="C49" i="2"/>
  <c r="D136" i="2"/>
  <c r="D223" i="2"/>
  <c r="C223" i="2"/>
  <c r="B223" i="2"/>
  <c r="C30" i="2"/>
  <c r="C72" i="2"/>
  <c r="B132" i="2"/>
  <c r="C87" i="2"/>
  <c r="D106" i="2"/>
  <c r="D170" i="2"/>
  <c r="B217" i="2"/>
  <c r="D17" i="2"/>
  <c r="C68" i="2"/>
  <c r="C165" i="2"/>
  <c r="C45" i="2"/>
  <c r="D5" i="2"/>
  <c r="C5" i="2"/>
  <c r="B5" i="2"/>
  <c r="D123" i="2"/>
  <c r="C161" i="2"/>
  <c r="B167" i="2"/>
  <c r="D167" i="2"/>
  <c r="C167" i="2"/>
  <c r="C172" i="2"/>
  <c r="C178" i="2"/>
  <c r="D178" i="2"/>
  <c r="D189" i="2"/>
  <c r="C189" i="2"/>
  <c r="C201" i="2"/>
  <c r="D218" i="2"/>
  <c r="C230" i="2"/>
  <c r="B230" i="2"/>
  <c r="C241" i="2"/>
  <c r="C259" i="2"/>
  <c r="B259" i="2"/>
  <c r="C270" i="2"/>
  <c r="C351" i="2"/>
  <c r="B358" i="2"/>
  <c r="D379" i="2"/>
  <c r="B379" i="2"/>
  <c r="D395" i="2"/>
  <c r="C395" i="2"/>
  <c r="B395" i="2"/>
  <c r="B91" i="2"/>
  <c r="D126" i="2"/>
  <c r="C126" i="2"/>
  <c r="B126" i="2"/>
  <c r="D175" i="2"/>
  <c r="C175" i="2"/>
  <c r="B175" i="2"/>
  <c r="D291" i="2"/>
  <c r="B291" i="2"/>
  <c r="D35" i="2"/>
  <c r="B35" i="2"/>
  <c r="C35" i="2"/>
  <c r="B153" i="2"/>
  <c r="B216" i="2"/>
  <c r="C297" i="2"/>
  <c r="B181" i="2"/>
  <c r="C216" i="2"/>
  <c r="B362" i="2"/>
  <c r="C106" i="2"/>
  <c r="B159" i="2"/>
  <c r="D159" i="2"/>
  <c r="D112" i="2"/>
  <c r="D132" i="2"/>
  <c r="D234" i="2"/>
  <c r="C234" i="2"/>
  <c r="B234" i="2"/>
  <c r="C8" i="2"/>
  <c r="B22" i="2"/>
  <c r="C27" i="2"/>
  <c r="D27" i="2"/>
  <c r="D88" i="2"/>
  <c r="C88" i="2"/>
  <c r="B88" i="2"/>
  <c r="D400" i="2"/>
  <c r="C400" i="2"/>
  <c r="B400" i="2"/>
  <c r="D47" i="2"/>
  <c r="B47" i="2"/>
  <c r="B155" i="2"/>
  <c r="B178" i="2"/>
  <c r="B196" i="2"/>
  <c r="C213" i="2"/>
  <c r="B213" i="2"/>
  <c r="C248" i="2"/>
  <c r="B248" i="2"/>
  <c r="D271" i="2"/>
  <c r="C271" i="2"/>
  <c r="D278" i="2"/>
  <c r="B318" i="2"/>
  <c r="D324" i="2"/>
  <c r="B324" i="2"/>
  <c r="C324" i="2"/>
  <c r="D338" i="2"/>
  <c r="C338" i="2"/>
  <c r="D344" i="2"/>
  <c r="C344" i="2"/>
  <c r="B344" i="2"/>
  <c r="D359" i="2"/>
  <c r="C359" i="2"/>
  <c r="B359" i="2"/>
  <c r="B366" i="2"/>
  <c r="C379" i="2"/>
  <c r="D326" i="2"/>
  <c r="D327" i="2"/>
  <c r="B327" i="2"/>
  <c r="B112" i="2"/>
  <c r="C210" i="2"/>
  <c r="B210" i="2"/>
  <c r="D162" i="2"/>
  <c r="C162" i="2"/>
  <c r="D284" i="2"/>
  <c r="B284" i="2"/>
  <c r="C318" i="2"/>
  <c r="C352" i="2"/>
  <c r="D352" i="2"/>
  <c r="D380" i="2"/>
  <c r="C380" i="2"/>
  <c r="B380" i="2"/>
  <c r="D389" i="2"/>
  <c r="C389" i="2"/>
  <c r="B389" i="2"/>
  <c r="B147" i="2"/>
  <c r="B40" i="2"/>
  <c r="B72" i="2"/>
  <c r="B209" i="2"/>
  <c r="C181" i="2"/>
  <c r="B245" i="2"/>
  <c r="D292" i="2"/>
  <c r="C292" i="2"/>
  <c r="B292" i="2"/>
  <c r="D315" i="2"/>
  <c r="B315" i="2"/>
  <c r="B19" i="2"/>
  <c r="D156" i="2"/>
  <c r="C156" i="2"/>
  <c r="B156" i="2"/>
  <c r="C168" i="2"/>
  <c r="B190" i="2"/>
  <c r="D190" i="2"/>
  <c r="C190" i="2"/>
  <c r="D203" i="2"/>
  <c r="C203" i="2"/>
  <c r="B203" i="2"/>
  <c r="D220" i="2"/>
  <c r="C220" i="2"/>
  <c r="B220" i="2"/>
  <c r="C249" i="2"/>
  <c r="B249" i="2"/>
  <c r="C284" i="2"/>
  <c r="C332" i="2"/>
  <c r="D367" i="2"/>
  <c r="C367" i="2"/>
  <c r="B367" i="2"/>
  <c r="C2" i="2"/>
  <c r="D255" i="2"/>
  <c r="B255" i="2"/>
  <c r="B266" i="2"/>
  <c r="D319" i="2"/>
  <c r="C319" i="2"/>
  <c r="D346" i="2"/>
  <c r="C346" i="2"/>
  <c r="B346" i="2"/>
  <c r="D198" i="2"/>
  <c r="C198" i="2"/>
  <c r="C186" i="2"/>
  <c r="D244" i="2"/>
  <c r="C136" i="2"/>
  <c r="B158" i="2"/>
  <c r="D1" i="2"/>
  <c r="B1" i="2"/>
  <c r="C1" i="2"/>
  <c r="C151" i="2"/>
  <c r="B151" i="2"/>
  <c r="D191" i="2"/>
  <c r="C191" i="2"/>
  <c r="B191" i="2"/>
  <c r="C214" i="2"/>
  <c r="B214" i="2"/>
  <c r="C163" i="2"/>
  <c r="D163" i="2"/>
  <c r="C173" i="2"/>
  <c r="D226" i="2"/>
  <c r="B226" i="2"/>
  <c r="D249" i="2"/>
  <c r="C255" i="2"/>
  <c r="D273" i="2"/>
  <c r="C279" i="2"/>
  <c r="D353" i="2"/>
  <c r="C353" i="2"/>
  <c r="B353" i="2"/>
  <c r="C390" i="2"/>
  <c r="D398" i="2"/>
  <c r="C398" i="2"/>
  <c r="B398" i="2"/>
  <c r="B243" i="2"/>
  <c r="D243" i="2"/>
  <c r="C243" i="2"/>
  <c r="D391" i="2"/>
  <c r="C391" i="2"/>
  <c r="B391" i="2"/>
  <c r="D396" i="2"/>
  <c r="C396" i="2"/>
  <c r="B396" i="2"/>
  <c r="C339" i="2"/>
  <c r="B339" i="2"/>
  <c r="D363" i="2"/>
  <c r="B363" i="2"/>
  <c r="D202" i="2"/>
  <c r="C202" i="2"/>
  <c r="B202" i="2"/>
  <c r="B354" i="2"/>
  <c r="B397" i="2"/>
  <c r="B288" i="2"/>
  <c r="B306" i="2"/>
  <c r="D320" i="2"/>
  <c r="C320" i="2"/>
  <c r="D339" i="2"/>
  <c r="C363" i="2"/>
  <c r="C397" i="2"/>
  <c r="D364" i="2"/>
  <c r="C364" i="2"/>
  <c r="B364" i="2"/>
  <c r="D227" i="2"/>
  <c r="C227" i="2"/>
  <c r="D239" i="2"/>
  <c r="D247" i="2"/>
  <c r="D251" i="2"/>
  <c r="D256" i="2"/>
  <c r="C256" i="2"/>
  <c r="B256" i="2"/>
  <c r="D276" i="2"/>
  <c r="C285" i="2"/>
  <c r="B285" i="2"/>
  <c r="D293" i="2"/>
  <c r="D302" i="2"/>
  <c r="D311" i="2"/>
  <c r="C321" i="2"/>
  <c r="B321" i="2"/>
  <c r="B340" i="2"/>
  <c r="C370" i="2"/>
  <c r="B370" i="2"/>
  <c r="C231" i="2"/>
  <c r="B231" i="2"/>
  <c r="D335" i="2"/>
  <c r="C335" i="2"/>
  <c r="B24" i="2"/>
  <c r="B39" i="2"/>
  <c r="B122" i="2"/>
  <c r="B137" i="2"/>
  <c r="B171" i="2"/>
  <c r="C195" i="2"/>
  <c r="B195" i="2"/>
  <c r="B199" i="2"/>
  <c r="B211" i="2"/>
  <c r="B215" i="2"/>
  <c r="B219" i="2"/>
  <c r="D231" i="2"/>
  <c r="C303" i="2"/>
  <c r="B303" i="2"/>
  <c r="C340" i="2"/>
  <c r="B355" i="2"/>
  <c r="D360" i="2"/>
  <c r="C360" i="2"/>
  <c r="B360" i="2"/>
  <c r="B365" i="2"/>
  <c r="B387" i="2"/>
  <c r="B54" i="2"/>
  <c r="C69" i="2"/>
  <c r="B73" i="2"/>
  <c r="B92" i="2"/>
  <c r="C24" i="2"/>
  <c r="C39" i="2"/>
  <c r="B43" i="2"/>
  <c r="C54" i="2"/>
  <c r="B58" i="2"/>
  <c r="D69" i="2"/>
  <c r="C73" i="2"/>
  <c r="B77" i="2"/>
  <c r="C92" i="2"/>
  <c r="B96" i="2"/>
  <c r="C122" i="2"/>
  <c r="C137" i="2"/>
  <c r="B145" i="2"/>
  <c r="C171" i="2"/>
  <c r="B187" i="2"/>
  <c r="C199" i="2"/>
  <c r="B207" i="2"/>
  <c r="C211" i="2"/>
  <c r="C215" i="2"/>
  <c r="C219" i="2"/>
  <c r="B227" i="2"/>
  <c r="D285" i="2"/>
  <c r="B298" i="2"/>
  <c r="B316" i="2"/>
  <c r="D321" i="2"/>
  <c r="B336" i="2"/>
  <c r="D345" i="2"/>
  <c r="B345" i="2"/>
  <c r="C355" i="2"/>
  <c r="C365" i="2"/>
  <c r="D370" i="2"/>
  <c r="C387" i="2"/>
  <c r="D58" i="2"/>
  <c r="C77" i="2"/>
  <c r="B81" i="2"/>
  <c r="C96" i="2"/>
  <c r="B115" i="2"/>
  <c r="B130" i="2"/>
  <c r="B294" i="2"/>
  <c r="D298" i="2"/>
  <c r="D303" i="2"/>
  <c r="D316" i="2"/>
  <c r="C331" i="2"/>
  <c r="B331" i="2"/>
  <c r="D371" i="2"/>
  <c r="C371" i="2"/>
  <c r="B371" i="2"/>
  <c r="B376" i="2"/>
  <c r="D130" i="2"/>
  <c r="D299" i="2"/>
  <c r="C299" i="2"/>
  <c r="D317" i="2"/>
  <c r="C317" i="2"/>
  <c r="C345" i="2"/>
  <c r="D356" i="2"/>
  <c r="C356" i="2"/>
  <c r="D399" i="2"/>
  <c r="C399" i="2"/>
  <c r="B399" i="2"/>
  <c r="B381" i="2"/>
  <c r="B357" i="2"/>
  <c r="B375" i="2"/>
  <c r="B393" i="2"/>
  <c r="B337" i="2" l="1"/>
  <c r="C337" i="2"/>
  <c r="D337" i="2"/>
  <c r="B124" i="2"/>
  <c r="C124" i="2"/>
  <c r="C57" i="2"/>
  <c r="C388" i="2"/>
  <c r="B388" i="2"/>
  <c r="D388" i="2"/>
  <c r="B265" i="2"/>
  <c r="D265" i="2"/>
  <c r="C265" i="2"/>
  <c r="D323" i="2"/>
  <c r="C323" i="2"/>
  <c r="B323" i="2"/>
  <c r="D382" i="2"/>
  <c r="C382" i="2"/>
  <c r="B382" i="2"/>
  <c r="C80" i="2"/>
  <c r="D80" i="2"/>
  <c r="B80" i="2"/>
  <c r="C253" i="2"/>
  <c r="D253" i="2"/>
  <c r="B253" i="2"/>
  <c r="D89" i="2"/>
  <c r="C89" i="2"/>
  <c r="B89" i="2"/>
  <c r="D283" i="2"/>
  <c r="C283" i="2"/>
  <c r="B28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1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<sst xmlns="http://schemas.openxmlformats.org/spreadsheetml/2006/main" count="459" uniqueCount="436">
  <si>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</si>
  <si>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</si>
  <si>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</si>
  <si>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</si>
  <si>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</si>
  <si>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</si>
  <si>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</si>
  <si>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</si>
  <si>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</si>
  <si>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</si>
  <si>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</si>
  <si>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</si>
  <si>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</si>
  <si>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</si>
  <si>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</si>
  <si>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</si>
  <si>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</si>
  <si>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</si>
  <si>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</si>
  <si>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</si>
  <si>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</si>
  <si>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</si>
  <si>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</si>
  <si>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</si>
  <si>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</si>
  <si>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</si>
  <si>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</si>
  <si>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</si>
  <si>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</si>
  <si>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</si>
  <si>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</si>
  <si>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</si>
  <si>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</si>
  <si>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</si>
  <si>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</si>
  <si>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2#401</t>
  </si>
  <si>
    <t>2#402</t>
  </si>
  <si>
    <t>2#403</t>
  </si>
  <si>
    <t>2#404</t>
  </si>
  <si>
    <t>2#405</t>
  </si>
  <si>
    <t>2#406</t>
  </si>
  <si>
    <t>2#407</t>
  </si>
  <si>
    <t>2#408</t>
  </si>
  <si>
    <t>2#409</t>
  </si>
  <si>
    <t>2#410</t>
  </si>
  <si>
    <t>2#411</t>
  </si>
  <si>
    <t>2#412</t>
  </si>
  <si>
    <t>2#413</t>
  </si>
  <si>
    <t>2#414</t>
  </si>
  <si>
    <t>2#415</t>
  </si>
  <si>
    <t>2#416</t>
  </si>
  <si>
    <t>2#417</t>
  </si>
  <si>
    <t>2#418</t>
  </si>
  <si>
    <t>2#419</t>
  </si>
  <si>
    <t>2#420</t>
  </si>
  <si>
    <t>2#421</t>
  </si>
  <si>
    <t>2#422</t>
  </si>
  <si>
    <t>2#423</t>
  </si>
  <si>
    <t>2#424</t>
  </si>
  <si>
    <t>2#425</t>
  </si>
  <si>
    <t>2#426</t>
  </si>
  <si>
    <t>2#427</t>
  </si>
  <si>
    <t>2#428</t>
  </si>
  <si>
    <t>2#429</t>
  </si>
  <si>
    <t>2#430</t>
  </si>
  <si>
    <t>2#431</t>
  </si>
  <si>
    <t>2#432</t>
  </si>
  <si>
    <t>2#433</t>
  </si>
  <si>
    <t>2#434</t>
  </si>
  <si>
    <t>2#435</t>
  </si>
  <si>
    <t>2#436</t>
  </si>
  <si>
    <t>2#437</t>
  </si>
  <si>
    <t>2#438</t>
  </si>
  <si>
    <t>2#439</t>
  </si>
  <si>
    <t>2#440</t>
  </si>
  <si>
    <t>2#441</t>
  </si>
  <si>
    <t>2#442</t>
  </si>
  <si>
    <t>2#443</t>
  </si>
  <si>
    <t>2#444</t>
  </si>
  <si>
    <t>2#445</t>
  </si>
  <si>
    <t>2#446</t>
  </si>
  <si>
    <t>2#447</t>
  </si>
  <si>
    <t>2#448</t>
  </si>
  <si>
    <t>2#449</t>
  </si>
  <si>
    <t>2#450</t>
  </si>
  <si>
    <t>2#451</t>
  </si>
  <si>
    <t>2#452</t>
  </si>
  <si>
    <t>2#453</t>
  </si>
  <si>
    <t>2#454</t>
  </si>
  <si>
    <t>2#455</t>
  </si>
  <si>
    <t>2#456</t>
  </si>
  <si>
    <t>2#457</t>
  </si>
  <si>
    <t>2#458</t>
  </si>
  <si>
    <t>2#459</t>
  </si>
  <si>
    <t>2#460</t>
  </si>
  <si>
    <t>2#461</t>
  </si>
  <si>
    <t>2#462</t>
  </si>
  <si>
    <t>2#463</t>
  </si>
  <si>
    <t>2#464</t>
  </si>
  <si>
    <t>2#465</t>
  </si>
  <si>
    <t>2#466</t>
  </si>
  <si>
    <t>2#467</t>
  </si>
  <si>
    <t>2#468</t>
  </si>
  <si>
    <t>2#469</t>
  </si>
  <si>
    <t>2#470</t>
  </si>
  <si>
    <t>2#471</t>
  </si>
  <si>
    <t>2#472</t>
  </si>
  <si>
    <t>2#473</t>
  </si>
  <si>
    <t>2#474</t>
  </si>
  <si>
    <t>2#475</t>
  </si>
  <si>
    <t>2#476</t>
  </si>
  <si>
    <t>2#477</t>
  </si>
  <si>
    <t>2#478</t>
  </si>
  <si>
    <t>2#479</t>
  </si>
  <si>
    <t>2#480</t>
  </si>
  <si>
    <t>2#481</t>
  </si>
  <si>
    <t>2#482</t>
  </si>
  <si>
    <t>2#483</t>
  </si>
  <si>
    <t>2#484</t>
  </si>
  <si>
    <t>2#485</t>
  </si>
  <si>
    <t>2#486</t>
  </si>
  <si>
    <t>2#487</t>
  </si>
  <si>
    <t>2#488</t>
  </si>
  <si>
    <t>2#489</t>
  </si>
  <si>
    <t>2#490</t>
  </si>
  <si>
    <t>2#491</t>
  </si>
  <si>
    <t>2#492</t>
  </si>
  <si>
    <t>2#493</t>
  </si>
  <si>
    <t>2#494</t>
  </si>
  <si>
    <t>2#495</t>
  </si>
  <si>
    <t>2#496</t>
  </si>
  <si>
    <t>2#497</t>
  </si>
  <si>
    <t>2#498</t>
  </si>
  <si>
    <t>2#499</t>
  </si>
  <si>
    <t>2#500</t>
  </si>
  <si>
    <t>2#501</t>
  </si>
  <si>
    <t>2#502</t>
  </si>
  <si>
    <t>2#503</t>
  </si>
  <si>
    <t>2#504</t>
  </si>
  <si>
    <t>2#505</t>
  </si>
  <si>
    <t>2#506</t>
  </si>
  <si>
    <t>2#507</t>
  </si>
  <si>
    <t>2#508</t>
  </si>
  <si>
    <t>2#509</t>
  </si>
  <si>
    <t>2#510</t>
  </si>
  <si>
    <t>2#511</t>
  </si>
  <si>
    <t>2#512</t>
  </si>
  <si>
    <t>2#513</t>
  </si>
  <si>
    <t>2#514</t>
  </si>
  <si>
    <t>2#515</t>
  </si>
  <si>
    <t>2#516</t>
  </si>
  <si>
    <t>2#517</t>
  </si>
  <si>
    <t>2#518</t>
  </si>
  <si>
    <t>2#519</t>
  </si>
  <si>
    <t>2#520</t>
  </si>
  <si>
    <t>2#521</t>
  </si>
  <si>
    <t>2#522</t>
  </si>
  <si>
    <t>2#523</t>
  </si>
  <si>
    <t>2#524</t>
  </si>
  <si>
    <t>2#525</t>
  </si>
  <si>
    <t>2#526</t>
  </si>
  <si>
    <t>2#527</t>
  </si>
  <si>
    <t>2#528</t>
  </si>
  <si>
    <t>2#529</t>
  </si>
  <si>
    <t>2#530</t>
  </si>
  <si>
    <t>2#531</t>
  </si>
  <si>
    <t>2#532</t>
  </si>
  <si>
    <t>2#533</t>
  </si>
  <si>
    <t>2#534</t>
  </si>
  <si>
    <t>2#535</t>
  </si>
  <si>
    <t>2#536</t>
  </si>
  <si>
    <t>2#537</t>
  </si>
  <si>
    <t>2#538</t>
  </si>
  <si>
    <t>2#539</t>
  </si>
  <si>
    <t>2#540</t>
  </si>
  <si>
    <t>2#541</t>
  </si>
  <si>
    <t>2#542</t>
  </si>
  <si>
    <t>2#543</t>
  </si>
  <si>
    <t>2#544</t>
  </si>
  <si>
    <t>2#545</t>
  </si>
  <si>
    <t>2#546</t>
  </si>
  <si>
    <t>2#547</t>
  </si>
  <si>
    <t>2#548</t>
  </si>
  <si>
    <t>2#549</t>
  </si>
  <si>
    <t>2#550</t>
  </si>
  <si>
    <t>2#551</t>
  </si>
  <si>
    <t>2#552</t>
  </si>
  <si>
    <t>2#553</t>
  </si>
  <si>
    <t>2#554</t>
  </si>
  <si>
    <t>2#555</t>
  </si>
  <si>
    <t>2#556</t>
  </si>
  <si>
    <t>2#557</t>
  </si>
  <si>
    <t>2#558</t>
  </si>
  <si>
    <t>2#559</t>
  </si>
  <si>
    <t>2#560</t>
  </si>
  <si>
    <t>2#561</t>
  </si>
  <si>
    <t>2#562</t>
  </si>
  <si>
    <t>2#563</t>
  </si>
  <si>
    <t>2#564</t>
  </si>
  <si>
    <t>2#565</t>
  </si>
  <si>
    <t>2#566</t>
  </si>
  <si>
    <t>2#567</t>
  </si>
  <si>
    <t>2#568</t>
  </si>
  <si>
    <t>2#569</t>
  </si>
  <si>
    <t>2#570</t>
  </si>
  <si>
    <t>2#571</t>
  </si>
  <si>
    <t>2#572</t>
  </si>
  <si>
    <t>2#573</t>
  </si>
  <si>
    <t>2#574</t>
  </si>
  <si>
    <t>2#575</t>
  </si>
  <si>
    <t>2#576</t>
  </si>
  <si>
    <t>2#577</t>
  </si>
  <si>
    <t>2#578</t>
  </si>
  <si>
    <t>2#579</t>
  </si>
  <si>
    <t>2#580</t>
  </si>
  <si>
    <t>2#581</t>
  </si>
  <si>
    <t>2#582</t>
  </si>
  <si>
    <t>2#583</t>
  </si>
  <si>
    <t>2#584</t>
  </si>
  <si>
    <t>2#585</t>
  </si>
  <si>
    <t>2#586</t>
  </si>
  <si>
    <t>2#587</t>
  </si>
  <si>
    <t>2#588</t>
  </si>
  <si>
    <t>2#589</t>
  </si>
  <si>
    <t>2#590</t>
  </si>
  <si>
    <t>2#591</t>
  </si>
  <si>
    <t>2#592</t>
  </si>
  <si>
    <t>2#593</t>
  </si>
  <si>
    <t>2#594</t>
  </si>
  <si>
    <t>2#595</t>
  </si>
  <si>
    <t>2#596</t>
  </si>
  <si>
    <t>2#597</t>
  </si>
  <si>
    <t>2#598</t>
  </si>
  <si>
    <t>2#599</t>
  </si>
  <si>
    <t>2#600</t>
  </si>
  <si>
    <t>2#601</t>
  </si>
  <si>
    <t>2#602</t>
  </si>
  <si>
    <t>2#603</t>
  </si>
  <si>
    <t>2#604</t>
  </si>
  <si>
    <t>2#605</t>
  </si>
  <si>
    <t>2#606</t>
  </si>
  <si>
    <t>2#607</t>
  </si>
  <si>
    <t>2#608</t>
  </si>
  <si>
    <t>2#609</t>
  </si>
  <si>
    <t>2#610</t>
  </si>
  <si>
    <t>2#611</t>
  </si>
  <si>
    <t>2#612</t>
  </si>
  <si>
    <t>2#613</t>
  </si>
  <si>
    <t>2#614</t>
  </si>
  <si>
    <t>2#615</t>
  </si>
  <si>
    <t>2#616</t>
  </si>
  <si>
    <t>2#617</t>
  </si>
  <si>
    <t>2#618</t>
  </si>
  <si>
    <t>2#619</t>
  </si>
  <si>
    <t>2#620</t>
  </si>
  <si>
    <t>2#621</t>
  </si>
  <si>
    <t>2#622</t>
  </si>
  <si>
    <t>2#623</t>
  </si>
  <si>
    <t>2#624</t>
  </si>
  <si>
    <t>2#625</t>
  </si>
  <si>
    <t>2#626</t>
  </si>
  <si>
    <t>2#627</t>
  </si>
  <si>
    <t>2#628</t>
  </si>
  <si>
    <t>2#629</t>
  </si>
  <si>
    <t>2#630</t>
  </si>
  <si>
    <t>2#631</t>
  </si>
  <si>
    <t>2#632</t>
  </si>
  <si>
    <t>2#633</t>
  </si>
  <si>
    <t>2#634</t>
  </si>
  <si>
    <t>2#635</t>
  </si>
  <si>
    <t>2#636</t>
  </si>
  <si>
    <t>2#637</t>
  </si>
  <si>
    <t>2#638</t>
  </si>
  <si>
    <t>2#639</t>
  </si>
  <si>
    <t>2#640</t>
  </si>
  <si>
    <t>2#641</t>
  </si>
  <si>
    <t>2#642</t>
  </si>
  <si>
    <t>2#643</t>
  </si>
  <si>
    <t>2#644</t>
  </si>
  <si>
    <t>2#645</t>
  </si>
  <si>
    <t>2#646</t>
  </si>
  <si>
    <t>2#647</t>
  </si>
  <si>
    <t>2#648</t>
  </si>
  <si>
    <t>2#649</t>
  </si>
  <si>
    <t>2#650</t>
  </si>
  <si>
    <t>2#651</t>
  </si>
  <si>
    <t>2#652</t>
  </si>
  <si>
    <t>2#653</t>
  </si>
  <si>
    <t>2#654</t>
  </si>
  <si>
    <t>2#655</t>
  </si>
  <si>
    <t>2#656</t>
  </si>
  <si>
    <t>2#657</t>
  </si>
  <si>
    <t>2#658</t>
  </si>
  <si>
    <t>2#659</t>
  </si>
  <si>
    <t>2#660</t>
  </si>
  <si>
    <t>2#661</t>
  </si>
  <si>
    <t>2#662</t>
  </si>
  <si>
    <t>2#663</t>
  </si>
  <si>
    <t>2#664</t>
  </si>
  <si>
    <t>2#665</t>
  </si>
  <si>
    <t>2#666</t>
  </si>
  <si>
    <t>2#667</t>
  </si>
  <si>
    <t>2#668</t>
  </si>
  <si>
    <t>2#669</t>
  </si>
  <si>
    <t>2#670</t>
  </si>
  <si>
    <t>2#671</t>
  </si>
  <si>
    <t>2#672</t>
  </si>
  <si>
    <t>2#673</t>
  </si>
  <si>
    <t>2#674</t>
  </si>
  <si>
    <t>2#675</t>
  </si>
  <si>
    <t>2#676</t>
  </si>
  <si>
    <t>2#677</t>
  </si>
  <si>
    <t>2#678</t>
  </si>
  <si>
    <t>2#679</t>
  </si>
  <si>
    <t>2#680</t>
  </si>
  <si>
    <t>2#681</t>
  </si>
  <si>
    <t>2#682</t>
  </si>
  <si>
    <t>2#683</t>
  </si>
  <si>
    <t>2#684</t>
  </si>
  <si>
    <t>2#685</t>
  </si>
  <si>
    <t>2#686</t>
  </si>
  <si>
    <t>2#687</t>
  </si>
  <si>
    <t>2#688</t>
  </si>
  <si>
    <t>2#689</t>
  </si>
  <si>
    <t>2#690</t>
  </si>
  <si>
    <t>2#691</t>
  </si>
  <si>
    <t>2#692</t>
  </si>
  <si>
    <t>2#693</t>
  </si>
  <si>
    <t>2#694</t>
  </si>
  <si>
    <t>2#695</t>
  </si>
  <si>
    <t>2#696</t>
  </si>
  <si>
    <t>2#697</t>
  </si>
  <si>
    <t>2#698</t>
  </si>
  <si>
    <t>2#699</t>
  </si>
  <si>
    <t>2#700</t>
  </si>
  <si>
    <t>2#701</t>
  </si>
  <si>
    <t>2#702</t>
  </si>
  <si>
    <t>2#703</t>
  </si>
  <si>
    <t>2#704</t>
  </si>
  <si>
    <t>2#705</t>
  </si>
  <si>
    <t>2#706</t>
  </si>
  <si>
    <t>2#707</t>
  </si>
  <si>
    <t>2#708</t>
  </si>
  <si>
    <t>2#709</t>
  </si>
  <si>
    <t>2#710</t>
  </si>
  <si>
    <t>2#711</t>
  </si>
  <si>
    <t>2#712</t>
  </si>
  <si>
    <t>2#713</t>
  </si>
  <si>
    <t>2#714</t>
  </si>
  <si>
    <t>2#715</t>
  </si>
  <si>
    <t>2#716</t>
  </si>
  <si>
    <t>2#717</t>
  </si>
  <si>
    <t>2#718</t>
  </si>
  <si>
    <t>2#719</t>
  </si>
  <si>
    <t>2#720</t>
  </si>
  <si>
    <t>2#721</t>
  </si>
  <si>
    <t>2#722</t>
  </si>
  <si>
    <t>2#723</t>
  </si>
  <si>
    <t>2#724</t>
  </si>
  <si>
    <t>2#725</t>
  </si>
  <si>
    <t>2#726</t>
  </si>
  <si>
    <t>2#727</t>
  </si>
  <si>
    <t>2#728</t>
  </si>
  <si>
    <t>2#729</t>
  </si>
  <si>
    <t>2#730</t>
  </si>
  <si>
    <t>2#731</t>
  </si>
  <si>
    <t>2#732</t>
  </si>
  <si>
    <t>2#733</t>
  </si>
  <si>
    <t>2#734</t>
  </si>
  <si>
    <t>2#735</t>
  </si>
  <si>
    <t>2#736</t>
  </si>
  <si>
    <t>2#737</t>
  </si>
  <si>
    <t>2#738</t>
  </si>
  <si>
    <t>2#739</t>
  </si>
  <si>
    <t>2#740</t>
  </si>
  <si>
    <t>2#741</t>
  </si>
  <si>
    <t>2#742</t>
  </si>
  <si>
    <t>2#743</t>
  </si>
  <si>
    <t>2#744</t>
  </si>
  <si>
    <t>2#745</t>
  </si>
  <si>
    <t>2#746</t>
  </si>
  <si>
    <t>2#747</t>
  </si>
  <si>
    <t>2#748</t>
  </si>
  <si>
    <t>2#749</t>
  </si>
  <si>
    <t>2#750</t>
  </si>
  <si>
    <t>2#751</t>
  </si>
  <si>
    <t>2#752</t>
  </si>
  <si>
    <t>2#753</t>
  </si>
  <si>
    <t>2#754</t>
  </si>
  <si>
    <t>2#755</t>
  </si>
  <si>
    <t>2#756</t>
  </si>
  <si>
    <t>2#757</t>
  </si>
  <si>
    <t>2#758</t>
  </si>
  <si>
    <t>2#759</t>
  </si>
  <si>
    <t>2#760</t>
  </si>
  <si>
    <t>2#761</t>
  </si>
  <si>
    <t>2#762</t>
  </si>
  <si>
    <t>2#763</t>
  </si>
  <si>
    <t>2#764</t>
  </si>
  <si>
    <t>2#765</t>
  </si>
  <si>
    <t>2#766</t>
  </si>
  <si>
    <t>2#767</t>
  </si>
  <si>
    <t>2#768</t>
  </si>
  <si>
    <t>2#769</t>
  </si>
  <si>
    <t>2#770</t>
  </si>
  <si>
    <t>2#771</t>
  </si>
  <si>
    <t>2#772</t>
  </si>
  <si>
    <t>2#773</t>
  </si>
  <si>
    <t>2#774</t>
  </si>
  <si>
    <t>2#775</t>
  </si>
  <si>
    <t>2#776</t>
  </si>
  <si>
    <t>2#777</t>
  </si>
  <si>
    <t>2#778</t>
  </si>
  <si>
    <t>2#779</t>
  </si>
  <si>
    <t>2#780</t>
  </si>
  <si>
    <t>2#781</t>
  </si>
  <si>
    <t>2#782</t>
  </si>
  <si>
    <t>2#783</t>
  </si>
  <si>
    <t>2#784</t>
  </si>
  <si>
    <t>2#785</t>
  </si>
  <si>
    <t>2#786</t>
  </si>
  <si>
    <t>2#787</t>
  </si>
  <si>
    <t>2#788</t>
  </si>
  <si>
    <t>2#789</t>
  </si>
  <si>
    <t>2#790</t>
  </si>
  <si>
    <t>2#791</t>
  </si>
  <si>
    <t>2#792</t>
  </si>
  <si>
    <t>2#793</t>
  </si>
  <si>
    <t>2#794</t>
  </si>
  <si>
    <t>2#795</t>
  </si>
  <si>
    <t>2#796</t>
  </si>
  <si>
    <t>2#797</t>
  </si>
  <si>
    <t>2#798</t>
  </si>
  <si>
    <t>2#799</t>
  </si>
  <si>
    <t>2#800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</si>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</sst>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1</v>
    <v>8</v>
    <v>1</v>
    <v>1</v>
  </rv>
  <rv s="0">
    <v>0</v>
    <v>8</v>
    <v>6</v>
    <v>1</v>
  </rv>
  <rv s="0">
    <v>8</v>
    <v>8</v>
    <v>2</v>
    <v>1</v>
  </rv>
  <rv s="0">
    <v>2</v>
    <v>8</v>
    <v>1</v>
    <v>1</v>
  </rv>
  <rv s="0">
    <v>1</v>
    <v>8</v>
    <v>2</v>
    <v>1</v>
  </rv>
  <rv s="0">
    <v>0</v>
    <v>8</v>
    <v>4</v>
    <v>1</v>
  </rv>
  <rv s="0">
    <v>0</v>
    <v>8</v>
    <v>7</v>
    <v>1</v>
  </rv>
  <rv s="0">
    <v>0</v>
    <v>8</v>
    <v>2</v>
    <v>1</v>
  </rv>
  <rv s="0">
    <v>1</v>
    <v>8</v>
    <v>0</v>
    <v>1</v>
  </rv>
  <rv s="0">
    <v>2</v>
    <v>8</v>
    <v>4</v>
    <v>1</v>
  </rv>
  <rv s="0">
    <v>0</v>
    <v>8</v>
    <v>1</v>
    <v>1</v>
  </rv>
  <rv s="0">
    <v>2</v>
    <v>8</v>
    <v>0</v>
    <v>1</v>
  </rv>
  <rv s="0">
    <v>0</v>
    <v>8</v>
    <v>3</v>
    <v>1</v>
  </rv>
  <rv s="0">
    <v>2</v>
    <v>8</v>
    <v>5</v>
    <v>1</v>
  </rv>
  <rv s="0">
    <v>0</v>
    <v>8</v>
    <v>5</v>
    <v>1</v>
  </rv>
  <rv s="0">
    <v>5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PRICE(DATE(2008,2,15),"?",0.0575,_xlfn.NEGBINOM.DIST(10,5," 2 ",TRUE),100,FALSE,100)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_xlfn.COMBINA(4,3)</f>
        <v>20</v>
      </c>
      <c r="B2">
        <f t="shared" si="0"/>
        <v>0</v>
      </c>
      <c r="C2">
        <f t="shared" si="1"/>
        <v>20</v>
      </c>
      <c r="D2" t="str">
        <f t="shared" si="2"/>
        <v/>
      </c>
      <c r="E2" t="s">
        <v>36</v>
      </c>
    </row>
    <row r="3" spans="1:5" x14ac:dyDescent="0.2">
      <c r="A3" t="e" cm="1">
        <f t="array" ref="A3">_xlfn.TEXTSPLIT("a,b;c",_xlfn.CHOOSECOLS(D!B1:B8,5,1),D!L1:L6,ISNA(D!A13)," 2 ")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 vm="1">
        <f t="array" aca="1" ref="A4" ca="1">_xlfn.CEILING.MATH(WEIBULL(105,POWER(5,2),D!A12,{2,"a";TRUE,#N/A}),5)</f>
        <v>#VALUE!</v>
      </c>
      <c r="B4">
        <f t="shared" ca="1" si="0"/>
        <v>9</v>
      </c>
      <c r="C4">
        <f t="shared" ca="1" si="1"/>
        <v>0</v>
      </c>
      <c r="D4" t="str">
        <f t="shared" ca="1" si="2"/>
        <v/>
      </c>
      <c r="E4" t="s">
        <v>38</v>
      </c>
    </row>
    <row r="5" spans="1:5" x14ac:dyDescent="0.2">
      <c r="A5" t="str" cm="1">
        <f t="array" ref="A5">_xlfn.UNICHAR(66)</f>
        <v>B</v>
      </c>
      <c r="B5">
        <f t="shared" si="0"/>
        <v>-3</v>
      </c>
      <c r="C5">
        <f t="shared" si="1"/>
        <v>0</v>
      </c>
      <c r="D5" t="str">
        <f t="shared" si="2"/>
        <v>B</v>
      </c>
      <c r="E5" t="s">
        <v>39</v>
      </c>
    </row>
    <row r="6" spans="1:5" x14ac:dyDescent="0.2">
      <c r="A6" cm="1">
        <f t="array" ref="A6">HARMEAN(D!AV1:AV7,D!AY1:AY5&amp;-1)</f>
        <v>5.0283759620617277</v>
      </c>
      <c r="B6">
        <f t="shared" si="0"/>
        <v>0</v>
      </c>
      <c r="C6">
        <f t="shared" si="1"/>
        <v>5.0283759620617277</v>
      </c>
      <c r="D6" t="str">
        <f t="shared" si="2"/>
        <v/>
      </c>
      <c r="E6" t="s">
        <v>40</v>
      </c>
    </row>
    <row r="7" spans="1:5" x14ac:dyDescent="0.2">
      <c r="A7" t="e" cm="1">
        <f t="array" ref="A7">_xlfn.IMSECH("x y")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DVARP(D!L4,D!B1:B8,D!K1:K8)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str" cm="1">
        <f t="array" ref="A9">_xlfn.TEXTJOIN(";",FALSE,COUNTIF(D!D1:D8,D!A1&amp;LINEST(D!G1:G7&lt;NA(),D!AZ1:AZ5)))</f>
        <v>0</v>
      </c>
      <c r="B9">
        <f t="shared" si="0"/>
        <v>-3</v>
      </c>
      <c r="C9">
        <f t="shared" si="1"/>
        <v>0</v>
      </c>
      <c r="D9" t="str">
        <f t="shared" si="2"/>
        <v>0</v>
      </c>
      <c r="E9" t="s">
        <v>43</v>
      </c>
    </row>
    <row r="10" spans="1:5" x14ac:dyDescent="0.2">
      <c r="A10" t="e" cm="1">
        <f t="array" ref="A10">_xlfn.TEXTJOIN(";",FALSE,FTEST(D!B1:B8,D!B1))</f>
        <v>#DIV/0!</v>
      </c>
      <c r="B10">
        <f t="shared" si="0"/>
        <v>2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 vm="2">
        <f t="array" aca="1" ref="A11" ca="1">_xlfn.SORTBY(D!M1:M6,D!N1:N6,D!F1:F7&gt;XIRR({2,"a";TRUE,#N/A}+"",D!AU1:AU5),FACT(5),RIGHT("Sale Price",5))</f>
        <v>#VALUE!</v>
      </c>
      <c r="B11">
        <f t="shared" ca="1" si="0"/>
        <v>9</v>
      </c>
      <c r="C11">
        <f t="shared" ca="1" si="1"/>
        <v>0</v>
      </c>
      <c r="D11" t="str">
        <f t="shared" ca="1" si="2"/>
        <v/>
      </c>
      <c r="E11" t="s">
        <v>45</v>
      </c>
    </row>
    <row r="12" spans="1:5" x14ac:dyDescent="0.2">
      <c r="A12" cm="1">
        <f t="array" ref="A12">MDETERM({1})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46</v>
      </c>
    </row>
    <row r="13" spans="1:5" x14ac:dyDescent="0.2">
      <c r="A13" t="e" cm="1">
        <f t="array" ref="A13">STANDARDIZE(42,D!M2,1.5)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b" cm="1">
        <f t="array" ref="A14">N(7)&lt;FIXED(1234.567)</f>
        <v>1</v>
      </c>
      <c r="B14">
        <f t="shared" si="0"/>
        <v>-1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b" cm="1">
        <f t="array" ref="A15">PROPER("this is a TITLE")&gt;=_xlfn.VAR.P(D!B1:B8)</f>
        <v>1</v>
      </c>
      <c r="B15">
        <f t="shared" si="0"/>
        <v>-1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 vm="3">
        <f t="array" aca="1" ref="A16" ca="1">_xlfn.HSTACK(D!P1:Q2,"$1,000",D!L8:Q10)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50</v>
      </c>
    </row>
    <row r="17" spans="1:5" x14ac:dyDescent="0.2">
      <c r="A17" cm="1">
        <f t="array" ref="A17">_xlfn.SECH("-4")</f>
        <v>3.661899347368653E-2</v>
      </c>
      <c r="B17">
        <f t="shared" si="0"/>
        <v>0</v>
      </c>
      <c r="C17">
        <f t="shared" si="1"/>
        <v>3.661899347368653E-2</v>
      </c>
      <c r="D17" t="str">
        <f t="shared" si="2"/>
        <v/>
      </c>
      <c r="E17" t="s">
        <v>51</v>
      </c>
    </row>
    <row r="18" spans="1:5" x14ac:dyDescent="0.2">
      <c r="A18" t="e" cm="1" vm="4">
        <f t="array" aca="1" ref="A18" ca="1">_xlfn.HSTACK(D!P1:Q2,1000)</f>
        <v>#VALUE!</v>
      </c>
      <c r="B18">
        <f t="shared" ca="1" si="0"/>
        <v>9</v>
      </c>
      <c r="C18">
        <f t="shared" ca="1" si="1"/>
        <v>0</v>
      </c>
      <c r="D18" t="str">
        <f t="shared" ca="1" si="2"/>
        <v/>
      </c>
      <c r="E18" t="s">
        <v>52</v>
      </c>
    </row>
    <row r="19" spans="1:5" x14ac:dyDescent="0.2">
      <c r="A19" t="e" cm="1">
        <f t="array" ref="A19">DCOUNT(D!L1:L6,D!A13,D!I1:I5)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NA()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_xlfn.T.TEST(D!B1:B8,D!P4:R5,2,1)</f>
        <v>#N/A</v>
      </c>
      <c r="B21">
        <f t="shared" si="0"/>
        <v>7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SUMIF(D!C2,"&gt;4",D!B1)</f>
        <v>4</v>
      </c>
      <c r="B22">
        <f t="shared" si="0"/>
        <v>0</v>
      </c>
      <c r="C22">
        <f t="shared" si="1"/>
        <v>4</v>
      </c>
      <c r="D22" t="str">
        <f t="shared" si="2"/>
        <v/>
      </c>
      <c r="E22" t="s">
        <v>56</v>
      </c>
    </row>
    <row r="23" spans="1:5" x14ac:dyDescent="0.2">
      <c r="A23" t="e" cm="1">
        <f t="array" ref="A23">EFFECT("abc",4)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INDEX(_xlfn.AGGREGATE(9,PPMT(D!A15,D!I1:I5,7," 2 "),D!K1:K8),1,1)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COLUMNS(TANH(-2))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59</v>
      </c>
    </row>
    <row r="26" spans="1:5" x14ac:dyDescent="0.2">
      <c r="A26" t="e" cm="1">
        <f t="array" ref="A26">STDEVP(D!A1:A5)</f>
        <v>#DIV/0!</v>
      </c>
      <c r="B26">
        <f t="shared" si="0"/>
        <v>2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str" cm="1">
        <f t="array" ref="A27">DOLLAR("1.5")</f>
        <v>$1.50</v>
      </c>
      <c r="B27">
        <f t="shared" si="0"/>
        <v>-3</v>
      </c>
      <c r="C27">
        <f t="shared" si="1"/>
        <v>0</v>
      </c>
      <c r="D27" t="str">
        <f t="shared" si="2"/>
        <v>$1.50</v>
      </c>
      <c r="E27" t="s">
        <v>61</v>
      </c>
    </row>
    <row r="28" spans="1:5" x14ac:dyDescent="0.2">
      <c r="A28" cm="1">
        <f t="array" ref="A28">PMT(0.00666666666666667,10,10000)</f>
        <v>-1037.032089359152</v>
      </c>
      <c r="B28">
        <f t="shared" si="0"/>
        <v>0</v>
      </c>
      <c r="C28">
        <f t="shared" si="1"/>
        <v>-1037.032089359152</v>
      </c>
      <c r="D28" t="str">
        <f t="shared" si="2"/>
        <v/>
      </c>
      <c r="E28" t="s">
        <v>62</v>
      </c>
    </row>
    <row r="29" spans="1:5" x14ac:dyDescent="0.2">
      <c r="A29" cm="1">
        <f t="array" ref="A29">SUM(_xlfn.GAUSS(TRUE))</f>
        <v>0.34134474606854304</v>
      </c>
      <c r="B29">
        <f t="shared" si="0"/>
        <v>0</v>
      </c>
      <c r="C29">
        <f t="shared" si="1"/>
        <v>0.34134474606854304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_xlfn.NORM.INV(0.908789,4,D!A15)&lt;_xlfn.GAMMA.DIST(10.00001131,_xlfn.STDEV.P(D!B1:B8,D!C2,"abc",_xlfn.DROP(D!L1:N6,2)),2,D!A4)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CUMIPMT(OCT2BIN("1.5"),7,"FALSE",-D!A5+NA(),D!F1,0)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_xlfn.TEXTJOIN(MINUTE("TRUE"),TRUE,FALSE,D!H1:H7,_xlfn.TOCOL(D!P4:R5))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LN(86)*ROUND(2.15,_xlfn.IFS(FALSE,1,D!L4&lt;FALSE,2))</f>
        <v>9.576846686945041</v>
      </c>
      <c r="B33">
        <f t="shared" si="0"/>
        <v>0</v>
      </c>
      <c r="C33">
        <f t="shared" si="1"/>
        <v>9.576846686945041</v>
      </c>
      <c r="D33" t="str">
        <f t="shared" si="2"/>
        <v/>
      </c>
      <c r="E33" t="s">
        <v>67</v>
      </c>
    </row>
    <row r="34" spans="1:5" x14ac:dyDescent="0.2">
      <c r="A34" t="e" cm="1">
        <f t="array" ref="A34">INDEX(DAVERAGE(D!N1:N6,"18:30",D!B1:B3),1,1)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_xlfn.AGGREGATE(9,7^DEC2OCT(#N/A,3),D!I1:I5)</f>
        <v>#N/A</v>
      </c>
      <c r="B35">
        <f t="shared" si="0"/>
        <v>7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INTERCEPT(_xlfn.IMCSCH("4+3i"),{1;2;3})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 vm="5">
        <f t="array" aca="1" ref="A37" ca="1">_xlfn.VSTACK(45688.75,D!R1:S2)&gt;DOLLARFR(1000,16)</f>
        <v>#VALUE!</v>
      </c>
      <c r="B37">
        <f t="shared" ca="1" si="0"/>
        <v>9</v>
      </c>
      <c r="C37">
        <f t="shared" ca="1" si="1"/>
        <v>0</v>
      </c>
      <c r="D37" t="str">
        <f t="shared" ca="1" si="2"/>
        <v/>
      </c>
      <c r="E37" t="s">
        <v>71</v>
      </c>
    </row>
    <row r="38" spans="1:5" x14ac:dyDescent="0.2">
      <c r="A38" cm="1">
        <f t="array" ref="A38">KURT(D!B1:B8,D!I1:I5)/ERF(0.745)</f>
        <v>7.3788338725313345</v>
      </c>
      <c r="B38">
        <f t="shared" si="0"/>
        <v>0</v>
      </c>
      <c r="C38">
        <f t="shared" si="1"/>
        <v>7.3788338725313345</v>
      </c>
      <c r="D38" t="str">
        <f t="shared" si="2"/>
        <v/>
      </c>
      <c r="E38" t="s">
        <v>72</v>
      </c>
    </row>
    <row r="39" spans="1:5" x14ac:dyDescent="0.2">
      <c r="A39" t="e" cm="1">
        <f t="array" ref="A39">_xlfn.PERCENTRANK.EXC(D!A1:A5,10)</f>
        <v>#N/A</v>
      </c>
      <c r="B39">
        <f t="shared" si="0"/>
        <v>7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TBILLPRICE(39538,#VALUE!,0.09)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str" cm="1">
        <f t="array" ref="A41">_xlfn.TEXTJOIN(";",FALSE,ISERR(2.5))</f>
        <v>FALSE</v>
      </c>
      <c r="B41">
        <f t="shared" si="0"/>
        <v>-3</v>
      </c>
      <c r="C41">
        <f t="shared" si="1"/>
        <v>0</v>
      </c>
      <c r="D41" t="str">
        <f t="shared" si="2"/>
        <v>FALSE</v>
      </c>
      <c r="E41" t="s">
        <v>75</v>
      </c>
    </row>
    <row r="42" spans="1:5" x14ac:dyDescent="0.2">
      <c r="A42" t="e" cm="1">
        <f t="array" ref="A42">_xlfn.TEXTJOIN(";",FALSE,GAMMAINV(#DIV/0!,LARGE(D!B7,3),2))</f>
        <v>#DIV/0!</v>
      </c>
      <c r="B42">
        <f t="shared" si="0"/>
        <v>2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cm="1">
        <f t="array" ref="A43">SUM(DOLLARDE(1.02,16))</f>
        <v>1.125</v>
      </c>
      <c r="B43">
        <f t="shared" si="0"/>
        <v>0</v>
      </c>
      <c r="C43">
        <f t="shared" si="1"/>
        <v>1.125</v>
      </c>
      <c r="D43" t="str">
        <f t="shared" si="2"/>
        <v/>
      </c>
      <c r="E43" t="s">
        <v>77</v>
      </c>
    </row>
    <row r="44" spans="1:5" x14ac:dyDescent="0.2">
      <c r="A44" cm="1">
        <f t="array" ref="A44">ASINH(-2.5)</f>
        <v>-1.6472311463710958</v>
      </c>
      <c r="B44">
        <f t="shared" si="0"/>
        <v>0</v>
      </c>
      <c r="C44">
        <f t="shared" si="1"/>
        <v>-1.6472311463710958</v>
      </c>
      <c r="D44" t="str">
        <f t="shared" si="2"/>
        <v/>
      </c>
      <c r="E44" t="s">
        <v>78</v>
      </c>
    </row>
    <row r="45" spans="1:5" x14ac:dyDescent="0.2">
      <c r="A45" t="e" cm="1">
        <f t="array" ref="A45">RANK(DOLLARDE(1.02,D!A15),D!C1:C8)&lt;INTERCEPT(D!C1:C8,D!K1:K8)</f>
        <v>#N/A</v>
      </c>
      <c r="B45">
        <f t="shared" si="0"/>
        <v>7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ROWS(NA())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_xlfn.COTH(_xlfn.GAMMALN.PRECISE(IMCONJUGATE(7)-_xlfn.IMCOT("4+3i")))+TRUE()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str" cm="1">
        <f t="array" ref="A48">_xlfn.TEXTJOIN(";",FALSE,TRANSPOSE(D!R1:S2))</f>
        <v>5;7;6;8</v>
      </c>
      <c r="B48">
        <f t="shared" si="0"/>
        <v>-3</v>
      </c>
      <c r="C48">
        <f t="shared" si="1"/>
        <v>0</v>
      </c>
      <c r="D48" t="str">
        <f t="shared" si="2"/>
        <v>5;7;6;8</v>
      </c>
      <c r="E48" t="s">
        <v>82</v>
      </c>
    </row>
    <row r="49" spans="1:5" x14ac:dyDescent="0.2">
      <c r="A49" t="str" cm="1">
        <f t="array" ref="A49">_xlfn.IMCSC("4+3i")</f>
        <v>-0.0754898329158637+0.0648774713706355i</v>
      </c>
      <c r="B49">
        <f t="shared" si="0"/>
        <v>-3</v>
      </c>
      <c r="C49">
        <f t="shared" si="1"/>
        <v>0</v>
      </c>
      <c r="D49" t="str">
        <f t="shared" si="2"/>
        <v>-0.0754898329158637+0.0648774713706355i</v>
      </c>
      <c r="E49" t="s">
        <v>83</v>
      </c>
    </row>
    <row r="50" spans="1:5" x14ac:dyDescent="0.2">
      <c r="A50" t="e" cm="1">
        <f t="array" ref="A50">_xlfn.TEXTJOIN(";",FALSE,PERCENTILE(D!B1:B8,2.5))</f>
        <v>#NUM!</v>
      </c>
      <c r="B50">
        <f t="shared" si="0"/>
        <v>6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LOG10(SMALL(D!N1:N6&gt;#REF!,4))</f>
        <v>#REF!</v>
      </c>
      <c r="B51">
        <f t="shared" si="0"/>
        <v>4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cm="1">
        <f t="array" ref="A52">COLUMNS(_xlfn.BITOR(23,10))</f>
        <v>1</v>
      </c>
      <c r="B52">
        <f t="shared" si="0"/>
        <v>0</v>
      </c>
      <c r="C52">
        <f t="shared" si="1"/>
        <v>1</v>
      </c>
      <c r="D52" t="str">
        <f t="shared" si="2"/>
        <v/>
      </c>
      <c r="E52" t="s">
        <v>86</v>
      </c>
    </row>
    <row r="53" spans="1:5" x14ac:dyDescent="0.2">
      <c r="A53" cm="1">
        <f t="array" ref="A53">INDEX(YIELD(DATE(2008,2,15),DATE(2016,11,15),0,95.04287,100,2,0),1,1)</f>
        <v>5.8189782237811349E-3</v>
      </c>
      <c r="B53">
        <f t="shared" si="0"/>
        <v>0</v>
      </c>
      <c r="C53">
        <f t="shared" si="1"/>
        <v>5.8189782237811349E-3</v>
      </c>
      <c r="D53" t="str">
        <f t="shared" si="2"/>
        <v/>
      </c>
      <c r="E53" t="s">
        <v>87</v>
      </c>
    </row>
    <row r="54" spans="1:5" x14ac:dyDescent="0.2">
      <c r="A54" t="str" cm="1">
        <f t="array" ref="A54">VLOOKUP(5,D!L1:N6,2,FALSE)</f>
        <v>five</v>
      </c>
      <c r="B54">
        <f t="shared" si="0"/>
        <v>-3</v>
      </c>
      <c r="C54">
        <f t="shared" si="1"/>
        <v>0</v>
      </c>
      <c r="D54" t="str">
        <f t="shared" si="2"/>
        <v>five</v>
      </c>
      <c r="E54" t="s">
        <v>88</v>
      </c>
    </row>
    <row r="55" spans="1:5" x14ac:dyDescent="0.2">
      <c r="A55" t="e" cm="1">
        <f t="array" ref="A55">_xlfn.PERCENTRANK.EXC(AND({1,2;3,4},TRUE),FALSE)</f>
        <v>#N/A</v>
      </c>
      <c r="B55">
        <f t="shared" si="0"/>
        <v>7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_xlfn.COMBINA(TRUE%="2025-01-31 12:00",1)</f>
        <v>#NUM!</v>
      </c>
      <c r="B56">
        <f t="shared" si="0"/>
        <v>6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_xlfn.BITOR(D!A7,10)</f>
        <v>#DIV/0!</v>
      </c>
      <c r="B57">
        <f t="shared" si="0"/>
        <v>2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b" cm="1">
        <f t="array" ref="A58">ISEVEN(2)</f>
        <v>1</v>
      </c>
      <c r="B58">
        <f t="shared" si="0"/>
        <v>-1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IMCONJUGATE("?")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cm="1">
        <f t="array" ref="A60">SUM(_xlfn.MODE.MULT(D!BG1:BG12))</f>
        <v>6</v>
      </c>
      <c r="B60">
        <f t="shared" si="0"/>
        <v>0</v>
      </c>
      <c r="C60">
        <f t="shared" si="1"/>
        <v>6</v>
      </c>
      <c r="D60" t="str">
        <f t="shared" si="2"/>
        <v/>
      </c>
      <c r="E60" t="s">
        <v>94</v>
      </c>
    </row>
    <row r="61" spans="1:5" x14ac:dyDescent="0.2">
      <c r="A61" t="e" cm="1">
        <f t="array" ref="A61">_xlfn.TEXTJOIN(";",FALSE,_xlfn.QUARTILE.INC("1.5",D!F1))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cm="1">
        <f t="array" ref="A62">AVERAGEIF(D!A15,"&gt;4",D!B1)</f>
        <v>4</v>
      </c>
      <c r="B62">
        <f t="shared" si="0"/>
        <v>0</v>
      </c>
      <c r="C62">
        <f t="shared" si="1"/>
        <v>4</v>
      </c>
      <c r="D62" t="str">
        <f t="shared" si="2"/>
        <v/>
      </c>
      <c r="E62" t="s">
        <v>96</v>
      </c>
    </row>
    <row r="63" spans="1:5" x14ac:dyDescent="0.2">
      <c r="A63" cm="1">
        <f t="array" ref="A63">MOD(3,2)</f>
        <v>1</v>
      </c>
      <c r="B63">
        <f t="shared" si="0"/>
        <v>0</v>
      </c>
      <c r="C63">
        <f t="shared" si="1"/>
        <v>1</v>
      </c>
      <c r="D63" t="str">
        <f t="shared" si="2"/>
        <v/>
      </c>
      <c r="E63" t="s">
        <v>97</v>
      </c>
    </row>
    <row r="64" spans="1:5" x14ac:dyDescent="0.2">
      <c r="A64" t="e" cm="1">
        <f t="array" ref="A64">INDEX(TREND(D!AY1:AY5,D!AZ1:AZ5,D!L1:N6),1,1)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DVAR(D!B1:B8,D!A7,D!B3)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ABS(0.25)</f>
        <v>0.25</v>
      </c>
      <c r="B66">
        <f t="shared" si="3"/>
        <v>0</v>
      </c>
      <c r="C66">
        <f t="shared" si="4"/>
        <v>0.25</v>
      </c>
      <c r="D66" t="str">
        <f t="shared" si="5"/>
        <v/>
      </c>
      <c r="E66" t="s">
        <v>100</v>
      </c>
    </row>
    <row r="67" spans="1:5" x14ac:dyDescent="0.2">
      <c r="A67" t="e" cm="1">
        <f t="array" ref="A67">COUPPCD(DATE(2011,1,25),DATE(2011,11,15),2,TRUE)&lt;&gt;_xlfn.PERCENTILE.EXC(D!B1:B8,0.25)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ROWS(ATANH(2))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NORMINV(_xlfn.F.INV.RT(0.01,6,_xlfn.T.INV.2T(FALSE,60)),40,1.5)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SUBSTITUTE(-"FALSE"&lt;"Привет","1.5","aBc")</f>
        <v>#VALUE!</v>
      </c>
      <c r="B70">
        <f t="shared" si="3"/>
        <v>3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b" cm="1">
        <f t="array" ref="A71">INDEX(ISLOGICAL(CHIINV(0.050001,10)&lt;&gt;1),1,1)</f>
        <v>1</v>
      </c>
      <c r="B71">
        <f t="shared" si="3"/>
        <v>-1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str" cm="1">
        <f t="array" ref="A72">_xlfn.TEXTJOIN(";",FALSE,FV(0.005,10,-200,7,TRUE))</f>
        <v>2048.47532711544</v>
      </c>
      <c r="B72">
        <f t="shared" si="3"/>
        <v>-3</v>
      </c>
      <c r="C72">
        <f t="shared" si="4"/>
        <v>0</v>
      </c>
      <c r="D72" t="str">
        <f t="shared" si="5"/>
        <v>2048.47532711544</v>
      </c>
      <c r="E72" t="s">
        <v>106</v>
      </c>
    </row>
    <row r="73" spans="1:5" x14ac:dyDescent="0.2">
      <c r="A73" t="e" cm="1">
        <f t="array" ref="A73">_xlfn.RRI(-1,TRUNC(D!C2),11000)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cm="1">
        <f t="array" ref="A74">CHIDIST(TRUE,10)</f>
        <v>0.99982788437004411</v>
      </c>
      <c r="B74">
        <f t="shared" si="3"/>
        <v>0</v>
      </c>
      <c r="C74">
        <f t="shared" si="4"/>
        <v>0.99982788437004411</v>
      </c>
      <c r="D74" t="str">
        <f t="shared" si="5"/>
        <v/>
      </c>
      <c r="E74" t="s">
        <v>108</v>
      </c>
    </row>
    <row r="75" spans="1:5" x14ac:dyDescent="0.2">
      <c r="A75" t="e" cm="1">
        <f t="array" ref="A75">_xlfn.T.INV.2T(D!A5,60)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cm="1">
        <f t="array" ref="A76">SEARCHB("","abc")*_xlfn.ACOT(2)</f>
        <v>0.46364760900080615</v>
      </c>
      <c r="B76">
        <f t="shared" si="3"/>
        <v>0</v>
      </c>
      <c r="C76">
        <f t="shared" si="4"/>
        <v>0.46364760900080615</v>
      </c>
      <c r="D76" t="str">
        <f t="shared" si="5"/>
        <v/>
      </c>
      <c r="E76" t="s">
        <v>110</v>
      </c>
    </row>
    <row r="77" spans="1:5" x14ac:dyDescent="0.2">
      <c r="A77" t="str" cm="1">
        <f t="array" ref="A77">HEX2OCT("F",3)</f>
        <v>017</v>
      </c>
      <c r="B77">
        <f t="shared" si="3"/>
        <v>-3</v>
      </c>
      <c r="C77">
        <f t="shared" si="4"/>
        <v>0</v>
      </c>
      <c r="D77" t="str">
        <f t="shared" si="5"/>
        <v>017</v>
      </c>
      <c r="E77" t="s">
        <v>111</v>
      </c>
    </row>
    <row r="78" spans="1:5" x14ac:dyDescent="0.2">
      <c r="A78" cm="1">
        <f t="array" ref="A78">MDURATION(3,DATE(2048,1,1),0.08,0.09,2,1)</f>
        <v>11.105864636239481</v>
      </c>
      <c r="B78">
        <f t="shared" si="3"/>
        <v>0</v>
      </c>
      <c r="C78">
        <f t="shared" si="4"/>
        <v>11.105864636239481</v>
      </c>
      <c r="D78" t="str">
        <f t="shared" si="5"/>
        <v/>
      </c>
      <c r="E78" t="s">
        <v>112</v>
      </c>
    </row>
    <row r="79" spans="1:5" x14ac:dyDescent="0.2">
      <c r="A79" cm="1">
        <f t="array" ref="A79">COLUMNS(NOT(TRUE))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113</v>
      </c>
    </row>
    <row r="80" spans="1:5" x14ac:dyDescent="0.2">
      <c r="A80" t="e" cm="1">
        <f t="array" ref="A80">AMORDEGRC(2400,DATE(2008,8,19),D!A7&lt;&gt;NA(),FALSE,D!AZ1:AZ5,0.15)</f>
        <v>#DIV/0!</v>
      </c>
      <c r="B80">
        <f t="shared" si="3"/>
        <v>2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WORKDAY("FALSE",151)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 vm="6">
        <f t="array" aca="1" ref="A82" ca="1">TREND(D!AY1:AY5,D!AZ1:AZ5)-AND(FDIST(15.2069,_xlfn.T.DIST.RT(1.959999998,60),4),TRUE)</f>
        <v>#VALUE!</v>
      </c>
      <c r="B82">
        <f t="shared" ca="1" si="3"/>
        <v>9</v>
      </c>
      <c r="C82">
        <f t="shared" ca="1" si="4"/>
        <v>0</v>
      </c>
      <c r="D82" t="str">
        <f t="shared" ca="1" si="5"/>
        <v/>
      </c>
      <c r="E82" t="s">
        <v>116</v>
      </c>
    </row>
    <row r="83" spans="1:5" x14ac:dyDescent="0.2">
      <c r="A83" cm="1">
        <f t="array" ref="A83">_xlfn.ISOWEEKNUM(60)</f>
        <v>9</v>
      </c>
      <c r="B83">
        <f t="shared" si="3"/>
        <v>0</v>
      </c>
      <c r="C83">
        <f t="shared" si="4"/>
        <v>9</v>
      </c>
      <c r="D83" t="str">
        <f t="shared" si="5"/>
        <v/>
      </c>
      <c r="E83" t="s">
        <v>117</v>
      </c>
    </row>
    <row r="84" spans="1:5" x14ac:dyDescent="0.2">
      <c r="A84" cm="1">
        <f t="array" ref="A84">_xlfn.GAMMA(D!B3)</f>
        <v>87178291200</v>
      </c>
      <c r="B84">
        <f t="shared" si="3"/>
        <v>0</v>
      </c>
      <c r="C84">
        <f t="shared" si="4"/>
        <v>87178291200</v>
      </c>
      <c r="D84" t="str">
        <f t="shared" si="5"/>
        <v/>
      </c>
      <c r="E84" t="s">
        <v>118</v>
      </c>
    </row>
    <row r="85" spans="1:5" x14ac:dyDescent="0.2">
      <c r="A85" cm="1">
        <f t="array" ref="A85">ROWS(DATE(2025,D!N2,D!L4))</f>
        <v>1</v>
      </c>
      <c r="B85">
        <f t="shared" si="3"/>
        <v>0</v>
      </c>
      <c r="C85">
        <f t="shared" si="4"/>
        <v>1</v>
      </c>
      <c r="D85" t="str">
        <f t="shared" si="5"/>
        <v/>
      </c>
      <c r="E85" t="s">
        <v>119</v>
      </c>
    </row>
    <row r="86" spans="1:5" x14ac:dyDescent="0.2">
      <c r="A86" cm="1">
        <f t="array" ref="A86">ROWS(_xlfn.TOROW(MMULT(D!P1:Q2,D!R1:S2)))</f>
        <v>1</v>
      </c>
      <c r="B86">
        <f t="shared" si="3"/>
        <v>0</v>
      </c>
      <c r="C86">
        <f t="shared" si="4"/>
        <v>1</v>
      </c>
      <c r="D86" t="str">
        <f t="shared" si="5"/>
        <v/>
      </c>
      <c r="E86" t="s">
        <v>120</v>
      </c>
    </row>
    <row r="87" spans="1:5" x14ac:dyDescent="0.2">
      <c r="A87" t="e" cm="1">
        <f t="array" ref="A87">_xlfn.Z.TEST(D!B1:B8,4)&lt;=_xlfn.MUNIT(0)</f>
        <v>#VALUE!</v>
      </c>
      <c r="B87">
        <f t="shared" si="3"/>
        <v>3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 vm="1">
        <f t="array" aca="1" ref="A88" ca="1">GAMMADIST(NORMSDIST(ACOS(D!N2&lt;="")-D!A3)&lt;&gt;D!A15,D!A2,1000,{1,2;3,4})/MINUTE(0.5104166667)</f>
        <v>#VALUE!</v>
      </c>
      <c r="B88">
        <f t="shared" ca="1" si="3"/>
        <v>9</v>
      </c>
      <c r="C88">
        <f t="shared" ca="1" si="4"/>
        <v>0</v>
      </c>
      <c r="D88" t="str">
        <f t="shared" ca="1" si="5"/>
        <v/>
      </c>
      <c r="E88" t="s">
        <v>122</v>
      </c>
    </row>
    <row r="89" spans="1:5" x14ac:dyDescent="0.2">
      <c r="A89" cm="1">
        <f t="array" ref="A89">_xlfn.FLOOR.PRECISE(4)</f>
        <v>4</v>
      </c>
      <c r="B89">
        <f t="shared" si="3"/>
        <v>0</v>
      </c>
      <c r="C89">
        <f t="shared" si="4"/>
        <v>4</v>
      </c>
      <c r="D89" t="str">
        <f t="shared" si="5"/>
        <v/>
      </c>
      <c r="E89" t="s">
        <v>123</v>
      </c>
    </row>
    <row r="90" spans="1:5" x14ac:dyDescent="0.2">
      <c r="A90" cm="1">
        <f t="array" ref="A90">ROWS(EXPONDIST(0.2,10,TRUE))</f>
        <v>1</v>
      </c>
      <c r="B90">
        <f t="shared" si="3"/>
        <v>0</v>
      </c>
      <c r="C90">
        <f t="shared" si="4"/>
        <v>1</v>
      </c>
      <c r="D90" t="str">
        <f t="shared" si="5"/>
        <v/>
      </c>
      <c r="E90" t="s">
        <v>124</v>
      </c>
    </row>
    <row r="91" spans="1:5" x14ac:dyDescent="0.2">
      <c r="A91" t="str" cm="1">
        <f t="array" ref="A91">INDEX(SUBSTITUTE("Sales Data","aBc","Cost"),1,1)</f>
        <v>Sales Data</v>
      </c>
      <c r="B91">
        <f t="shared" si="3"/>
        <v>-3</v>
      </c>
      <c r="C91">
        <f t="shared" si="4"/>
        <v>0</v>
      </c>
      <c r="D91" t="str">
        <f t="shared" si="5"/>
        <v>Sales Data</v>
      </c>
      <c r="E91" t="s">
        <v>125</v>
      </c>
    </row>
    <row r="92" spans="1:5" x14ac:dyDescent="0.2">
      <c r="A92" cm="1">
        <f t="array" ref="A92">_xlfn.VAR.S(D!B1:B8)-AVERAGEIF(D!C2,"&gt;4",D!A12)</f>
        <v>189.33816964285714</v>
      </c>
      <c r="B92">
        <f t="shared" si="3"/>
        <v>0</v>
      </c>
      <c r="C92">
        <f t="shared" si="4"/>
        <v>189.33816964285714</v>
      </c>
      <c r="D92" t="str">
        <f t="shared" si="5"/>
        <v/>
      </c>
      <c r="E92" t="s">
        <v>126</v>
      </c>
    </row>
    <row r="93" spans="1:5" x14ac:dyDescent="0.2">
      <c r="A93" t="str" cm="1">
        <f t="array" ref="A93">INDEX(IMLOG10("$1,000"),1,1)</f>
        <v>3</v>
      </c>
      <c r="B93">
        <f t="shared" si="3"/>
        <v>-3</v>
      </c>
      <c r="C93">
        <f t="shared" si="4"/>
        <v>0</v>
      </c>
      <c r="D93" t="str">
        <f t="shared" si="5"/>
        <v>3</v>
      </c>
      <c r="E93" t="s">
        <v>127</v>
      </c>
    </row>
    <row r="94" spans="1:5" x14ac:dyDescent="0.2">
      <c r="A94" t="e" cm="1" vm="7">
        <f t="array" aca="1" ref="A94" ca="1">BETAINV(D!D1:D8,3,10,2.5,FALSE)</f>
        <v>#VALUE!</v>
      </c>
      <c r="B94">
        <f t="shared" ca="1" si="3"/>
        <v>9</v>
      </c>
      <c r="C94">
        <f t="shared" ca="1" si="4"/>
        <v>0</v>
      </c>
      <c r="D94" t="str">
        <f t="shared" ca="1" si="5"/>
        <v/>
      </c>
      <c r="E94" t="s">
        <v>128</v>
      </c>
    </row>
    <row r="95" spans="1:5" x14ac:dyDescent="0.2">
      <c r="A95" t="e" cm="1">
        <f t="array" ref="A95">MID("a*",-1,#REF!)</f>
        <v>#REF!</v>
      </c>
      <c r="B95">
        <f t="shared" si="3"/>
        <v>4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COVAR(D!B1:B8,D!L1:N6)</f>
        <v>#N/A</v>
      </c>
      <c r="B96">
        <f t="shared" si="3"/>
        <v>7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QUARTILE(D!B2:B3,D!B7)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ROWS(_xlfn.DECIMAL("FF",45688.75))</f>
        <v>#NUM!</v>
      </c>
      <c r="B98">
        <f t="shared" si="3"/>
        <v>6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WORKDAY.INTL(D!A1,7,DAY(40648),D!A13)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SEARCHB("0","abc",2)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_xlfn.TEXTJOIN(";",FALSE,COVAR(D!B1:B8,_xlfn.TAKE(D!AV1:AV7,1)))</f>
        <v>#N/A</v>
      </c>
      <c r="B101">
        <f t="shared" si="3"/>
        <v>7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cm="1">
        <f t="array" ref="A102">SUMIF(D!D1:D8,4)</f>
        <v>0</v>
      </c>
      <c r="B102">
        <f t="shared" si="3"/>
        <v>0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 vm="8">
        <f t="array" aca="1" ref="A103" ca="1">_xlfn.MODE.MULT(D!BG1:BG12)</f>
        <v>#VALUE!</v>
      </c>
      <c r="B103">
        <f t="shared" ca="1" si="3"/>
        <v>9</v>
      </c>
      <c r="C103">
        <f t="shared" ca="1" si="4"/>
        <v>0</v>
      </c>
      <c r="D103" t="str">
        <f t="shared" ca="1" si="5"/>
        <v/>
      </c>
      <c r="E103" t="s">
        <v>137</v>
      </c>
    </row>
    <row r="104" spans="1:5" x14ac:dyDescent="0.2">
      <c r="A104" t="e" cm="1">
        <f t="array" ref="A104">_xlfn.BITOR(23," ")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str" cm="1">
        <f t="array" ref="A105">BIN2HEX("11111011")</f>
        <v>FB</v>
      </c>
      <c r="B105">
        <f t="shared" si="3"/>
        <v>-3</v>
      </c>
      <c r="C105">
        <f t="shared" si="4"/>
        <v>0</v>
      </c>
      <c r="D105" t="str">
        <f t="shared" si="5"/>
        <v>FB</v>
      </c>
      <c r="E105" t="s">
        <v>139</v>
      </c>
    </row>
    <row r="106" spans="1:5" x14ac:dyDescent="0.2">
      <c r="A106" t="e" cm="1">
        <f t="array" ref="A106">PPMT(KURT(_xlfn.TAKE(D!M1:M6,1))," 2 ",1,D!A7)</f>
        <v>#DIV/0!</v>
      </c>
      <c r="B106">
        <f t="shared" si="3"/>
        <v>2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e" cm="1" vm="9">
        <f t="array" aca="1" ref="A107" ca="1">ODDFPRICE(DATE(2008,11,11),D!A2,D!G4,DATE(2009,3,1),{"a","b"},0.0625,100,2)</f>
        <v>#VALUE!</v>
      </c>
      <c r="B107">
        <f t="shared" ca="1" si="3"/>
        <v>9</v>
      </c>
      <c r="C107">
        <f t="shared" ca="1" si="4"/>
        <v>0</v>
      </c>
      <c r="D107" t="str">
        <f t="shared" ca="1" si="5"/>
        <v/>
      </c>
      <c r="E107" t="s">
        <v>141</v>
      </c>
    </row>
    <row r="108" spans="1:5" x14ac:dyDescent="0.2">
      <c r="A108" t="e" cm="1">
        <f t="array" ref="A108">DCOUNT(D!A15,"Yield",D!AV1:AV7)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ACCRINT(39508,D!F1,VALUE("A"),D!F1,1000,2,D!B1)*_xlfn.ACOT(2)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CONVERT(1,IMDIV("-238+240i","2025-01-31"),TRUE)</f>
        <v>#NUM!</v>
      </c>
      <c r="B110">
        <f t="shared" si="3"/>
        <v>6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_xlfn.SKEW.P(D!C2)</f>
        <v>#DIV/0!</v>
      </c>
      <c r="B111">
        <f t="shared" si="3"/>
        <v>2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cm="1">
        <f t="array" ref="A112">PERCENTRANK(D!B1:B8,15)</f>
        <v>0.57099999999999995</v>
      </c>
      <c r="B112">
        <f t="shared" si="3"/>
        <v>0</v>
      </c>
      <c r="C112">
        <f t="shared" si="4"/>
        <v>0.57099999999999995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_xlfn.TEXTJOIN(";",FALSE,CORREL(D!L1:N6,D!C1:C8))</f>
        <v>#N/A</v>
      </c>
      <c r="B113">
        <f t="shared" si="3"/>
        <v>7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_xlfn.STDEV.P(LINEST(D!M1:M6,D!AZ1:AZ5,TRUE),MINVERSE(D!B1:C8),D!L4)^ERROR.TYPE(D!A7)</f>
        <v>#REF!</v>
      </c>
      <c r="B114">
        <f t="shared" si="3"/>
        <v>4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_xlfn.TEXTBEFORE("a*","-")</f>
        <v>#N/A</v>
      </c>
      <c r="B115">
        <f t="shared" si="3"/>
        <v>7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cm="1">
        <f t="array" ref="A116">COLUMNS(STDEVA(D!B1:B8))</f>
        <v>1</v>
      </c>
      <c r="B116">
        <f t="shared" si="3"/>
        <v>0</v>
      </c>
      <c r="C116">
        <f t="shared" si="4"/>
        <v>1</v>
      </c>
      <c r="D116" t="str">
        <f t="shared" si="5"/>
        <v/>
      </c>
      <c r="E116" t="s">
        <v>150</v>
      </c>
    </row>
    <row r="117" spans="1:5" x14ac:dyDescent="0.2">
      <c r="A117" cm="1">
        <f t="array" ref="A117">POWER(5,2)</f>
        <v>25</v>
      </c>
      <c r="B117">
        <f t="shared" si="3"/>
        <v>0</v>
      </c>
      <c r="C117">
        <f t="shared" si="4"/>
        <v>25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ODDLPRICE(DATE(2008,2,7),DATE(2008,6,15),#VALUE!,D!G4,ROUND(2.15,1),100,D!B1,0)</f>
        <v>#VALUE!</v>
      </c>
      <c r="B118">
        <f t="shared" si="3"/>
        <v>3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YIELDMAT(ISODD(-1)&gt;=#REF!,100,7,0.0625,"aBc"&lt;=#NAME?,0)</f>
        <v>#REF!</v>
      </c>
      <c r="B119">
        <f t="shared" si="3"/>
        <v>4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cm="1">
        <f t="array" ref="A120">DATE(2025,1,31)</f>
        <v>45688</v>
      </c>
      <c r="B120">
        <f t="shared" si="3"/>
        <v>0</v>
      </c>
      <c r="C120">
        <f t="shared" si="4"/>
        <v>45688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INDEX(_xlfn.MODE.MULT(D!M1:M6),1,1)</f>
        <v>#N/A</v>
      </c>
      <c r="B121">
        <f t="shared" si="3"/>
        <v>7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cm="1">
        <f t="array" ref="A122">YEAR(60)</f>
        <v>1900</v>
      </c>
      <c r="B122">
        <f t="shared" si="3"/>
        <v>0</v>
      </c>
      <c r="C122">
        <f t="shared" si="4"/>
        <v>1900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KURT(D!N1:N6,AMORDEGRC(10,DATE(2008,8,19),D!A5,300,"a*",0.15,D!C2)="a*",{1;2;3})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cm="1">
        <f t="array" ref="A124">COUNTIF(D!E1:E8,1000)</f>
        <v>0</v>
      </c>
      <c r="B124">
        <f t="shared" si="3"/>
        <v>0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_xlfn.BITAND(DOLLARFR(1.125,16),5)</f>
        <v>#NUM!</v>
      </c>
      <c r="B125">
        <f t="shared" si="3"/>
        <v>6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cm="1">
        <f t="array" ref="A126">EXP(0.25)</f>
        <v>1.2840254166877414</v>
      </c>
      <c r="B126">
        <f t="shared" si="3"/>
        <v>0</v>
      </c>
      <c r="C126">
        <f t="shared" si="4"/>
        <v>1.2840254166877414</v>
      </c>
      <c r="D126" t="str">
        <f t="shared" si="5"/>
        <v/>
      </c>
      <c r="E126" t="s">
        <v>160</v>
      </c>
    </row>
    <row r="127" spans="1:5" x14ac:dyDescent="0.2">
      <c r="A127" t="e" cm="1" vm="9">
        <f t="array" aca="1" ref="A127" ca="1">ODDLPRICE(DATE(2008,2,7),FALSE&lt;={45658,45689},DATE(2007,10,15),0.0375,0.0405,"?"=D!N2,2,0.25)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161</v>
      </c>
    </row>
    <row r="128" spans="1:5" x14ac:dyDescent="0.2">
      <c r="A128" t="e" cm="1">
        <f t="array" ref="A128">_xlfn.TEXTJOIN(";",FALSE,_xlfn.VALUETOTEXT({1,2,3},"1E2"))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_xlfn.LOGNORM.INV(0.039084,0.5,D!N2)</f>
        <v>8.2733478913735299E-16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8.2733478913735299E-16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SEARCHB("a*","abc")</f>
        <v>1</v>
      </c>
      <c r="B130">
        <f t="shared" si="6"/>
        <v>0</v>
      </c>
      <c r="C130">
        <f t="shared" si="7"/>
        <v>1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SUM(_xlfn.NEGBINOM.DIST(10,_xlfn.SKEW.P(ISTEXT(" ")),0.25,AND(TRUE,{"x";""}*2.5)))</f>
        <v>#DIV/0!</v>
      </c>
      <c r="B131">
        <f t="shared" si="6"/>
        <v>2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str" cm="1">
        <f t="array" ref="A132">OCT2BIN("3",3)</f>
        <v>011</v>
      </c>
      <c r="B132">
        <f t="shared" si="6"/>
        <v>-3</v>
      </c>
      <c r="C132">
        <f t="shared" si="7"/>
        <v>0</v>
      </c>
      <c r="D132" t="str">
        <f t="shared" si="8"/>
        <v>011</v>
      </c>
      <c r="E132" t="s">
        <v>166</v>
      </c>
    </row>
    <row r="133" spans="1:5" x14ac:dyDescent="0.2">
      <c r="A133" t="e" cm="1">
        <f t="array" ref="A133">COLUMNS(FLOOR(SLOPE({1;2;3},D!AK1:AL3),2))</f>
        <v>#N/A</v>
      </c>
      <c r="B133">
        <f t="shared" si="6"/>
        <v>7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ROWS(_xlfn.HYPGEOM.DIST(1,4,8,#DIV/0!,""))</f>
        <v>#DIV/0!</v>
      </c>
      <c r="B134">
        <f t="shared" si="6"/>
        <v>2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cm="1">
        <f t="array" ref="A135">MDETERM(D!P1:Q2)</f>
        <v>-2</v>
      </c>
      <c r="B135">
        <f t="shared" si="6"/>
        <v>0</v>
      </c>
      <c r="C135">
        <f t="shared" si="7"/>
        <v>-2</v>
      </c>
      <c r="D135" t="str">
        <f t="shared" si="8"/>
        <v/>
      </c>
      <c r="E135" t="s">
        <v>169</v>
      </c>
    </row>
    <row r="136" spans="1:5" x14ac:dyDescent="0.2">
      <c r="A136" cm="1">
        <f t="array" ref="A136">SUM(D!B1:B8,-1)</f>
        <v>113.75</v>
      </c>
      <c r="B136">
        <f t="shared" si="6"/>
        <v>0</v>
      </c>
      <c r="C136">
        <f t="shared" si="7"/>
        <v>113.75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_xlfn.PERCENTILE.EXC(D!AS1:AS8,D!N2)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str" cm="1">
        <f t="array" ref="A138">_xlfn.TEXTJOIN(";",FALSE,_xlfn.UNICHAR(66))</f>
        <v>B</v>
      </c>
      <c r="B138">
        <f t="shared" si="6"/>
        <v>-3</v>
      </c>
      <c r="C138">
        <f t="shared" si="7"/>
        <v>0</v>
      </c>
      <c r="D138" t="str">
        <f t="shared" si="8"/>
        <v>B</v>
      </c>
      <c r="E138" t="s">
        <v>172</v>
      </c>
    </row>
    <row r="139" spans="1:5" x14ac:dyDescent="0.2">
      <c r="A139" t="e" cm="1">
        <f t="array" ref="A139">_xlfn.WEIBULL.DIST(105,_xlfn.COVARIANCE.P(-D!B1:B8%&amp;D!A4,D!C1:C8),100,STDEV(D!N2&lt;D!A12,{1,2;3,4},D!M1:M6,FREQUENCY(COUNTA(D!AS1:AS8,D!L4),D!AT1:AT3)))</f>
        <v>#DIV/0!</v>
      </c>
      <c r="B139">
        <f t="shared" si="6"/>
        <v>2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str" cm="1">
        <f t="array" ref="A140">TRIM("  First Quarter Earnings  ")</f>
        <v>First Quarter Earnings</v>
      </c>
      <c r="B140">
        <f t="shared" si="6"/>
        <v>-3</v>
      </c>
      <c r="C140">
        <f t="shared" si="7"/>
        <v>0</v>
      </c>
      <c r="D140" t="str">
        <f t="shared" si="8"/>
        <v>First Quarter Earnings</v>
      </c>
      <c r="E140" t="s">
        <v>174</v>
      </c>
    </row>
    <row r="141" spans="1:5" x14ac:dyDescent="0.2">
      <c r="A141" t="b" cm="1">
        <f t="array" ref="A141">_xlfn.CONFIDENCE.NORM(0.05,2.5,50)&gt;CORREL(D!B1:B8,D!C1:C8)</f>
        <v>0</v>
      </c>
      <c r="B141">
        <f t="shared" si="6"/>
        <v>-2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YIELD(DATE(2008,2,15),"6:35 AM",RIGHT(#REF!,10),95.04287,100,2)</f>
        <v>#REF!</v>
      </c>
      <c r="B142">
        <f t="shared" si="6"/>
        <v>4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cm="1">
        <f t="array" ref="A143">ROWS(MULTINOMIAL(2,3,4))</f>
        <v>1</v>
      </c>
      <c r="B143">
        <f t="shared" si="6"/>
        <v>0</v>
      </c>
      <c r="C143">
        <f t="shared" si="7"/>
        <v>1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YIELD(DATE(2008,2,15),DATE(2016,11,15),#DIV/0!*40000,95.04287,D!AZ1:AZ5,2)</f>
        <v>#DIV/0!</v>
      </c>
      <c r="B144">
        <f t="shared" si="6"/>
        <v>2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cm="1">
        <f t="array" ref="A145">GESTEP(5,4)</f>
        <v>1</v>
      </c>
      <c r="B145">
        <f t="shared" si="6"/>
        <v>0</v>
      </c>
      <c r="C145">
        <f t="shared" si="7"/>
        <v>1</v>
      </c>
      <c r="D145" t="str">
        <f t="shared" si="8"/>
        <v/>
      </c>
      <c r="E145" t="s">
        <v>179</v>
      </c>
    </row>
    <row r="146" spans="1:5" x14ac:dyDescent="0.2">
      <c r="A146" t="str" cm="1">
        <f t="array" ref="A146">_xlfn.TEXTJOIN(";",FALSE,_xlfn.WEIBULL.DIST(105,_xlfn.VSTACK(D!P1:Q2,D!R1:S2),100,TRUE))</f>
        <v>0.650062250888845;0.667960054655339;0.685768404608453;0.703440157135341;0.720926910657747;0.738179373305541;0.755147777198135;0.771782337146481</v>
      </c>
      <c r="B146">
        <f t="shared" si="6"/>
        <v>-3</v>
      </c>
      <c r="C146">
        <f t="shared" si="7"/>
        <v>0</v>
      </c>
      <c r="D146" t="str">
        <f t="shared" si="8"/>
        <v>0.650062250888845;0.667960054655339;0.685768404608453;0.703440157135341;0.720926910657747;0.738179373305541;0.755147777198135;0.771782337146481</v>
      </c>
      <c r="E146" t="s">
        <v>180</v>
      </c>
    </row>
    <row r="147" spans="1:5" x14ac:dyDescent="0.2">
      <c r="A147" t="e" cm="1">
        <f t="array" ref="A147">INDEX(RECEIVED(D!A13,D!A3,"18:30",0.0575,"18:30"),1,1)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cm="1">
        <f t="array" ref="A148">TANH(-2)</f>
        <v>-0.96402758007581701</v>
      </c>
      <c r="B148">
        <f t="shared" si="6"/>
        <v>0</v>
      </c>
      <c r="C148">
        <f t="shared" si="7"/>
        <v>-0.96402758007581701</v>
      </c>
      <c r="D148" t="str">
        <f t="shared" si="8"/>
        <v/>
      </c>
      <c r="E148" t="s">
        <v>182</v>
      </c>
    </row>
    <row r="149" spans="1:5" x14ac:dyDescent="0.2">
      <c r="A149" t="str" cm="1">
        <f t="array" ref="A149">HLOOKUP(5,D!L8:Q10,2,AVERAGEIFS(D!AV1:AV7,D!H1:H7,"&gt;4"))</f>
        <v>five</v>
      </c>
      <c r="B149">
        <f t="shared" si="6"/>
        <v>-3</v>
      </c>
      <c r="C149">
        <f t="shared" si="7"/>
        <v>0</v>
      </c>
      <c r="D149" t="str">
        <f t="shared" si="8"/>
        <v>five</v>
      </c>
      <c r="E149" t="s">
        <v>183</v>
      </c>
    </row>
    <row r="150" spans="1:5" x14ac:dyDescent="0.2">
      <c r="A150" t="e" cm="1">
        <f t="array" ref="A150">DOLLAR(1234.567)^YIELD(59,"50%",D!A1,95.04287,D!C2,2,0)</f>
        <v>#NUM!</v>
      </c>
      <c r="B150">
        <f t="shared" si="6"/>
        <v>6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OR(FALSE,_xlfn.WRAPROWS(D!B1:B8,5))</f>
        <v>#N/A</v>
      </c>
      <c r="B151">
        <f t="shared" si="6"/>
        <v>7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cm="1">
        <f t="array" ref="A152">MOD("1.5",2)</f>
        <v>1.5</v>
      </c>
      <c r="B152">
        <f t="shared" si="6"/>
        <v>0</v>
      </c>
      <c r="C152">
        <f t="shared" si="7"/>
        <v>1.5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MDETERM(TREND(IMPRODUCT(D!AZ1:AZ5,"5-3i"),D!AZ1:AZ5,CUMIPMT("2025-01-31"," 2 ","",13,"abc",0)))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cm="1">
        <f t="array" ref="A154">PERMUT(100,LARGE(D!B1:B8,TRUE))</f>
        <v>3.970379934439278E+79</v>
      </c>
      <c r="B154">
        <f t="shared" si="6"/>
        <v>0</v>
      </c>
      <c r="C154">
        <f t="shared" si="7"/>
        <v>3.970379934439278E+79</v>
      </c>
      <c r="D154" t="str">
        <f t="shared" si="8"/>
        <v/>
      </c>
      <c r="E154" t="s">
        <v>188</v>
      </c>
    </row>
    <row r="155" spans="1:5" x14ac:dyDescent="0.2">
      <c r="A155" cm="1">
        <f t="array" ref="A155">SERIESSUM(AVERAGE(D!B1:B8),4,2,2)</f>
        <v>84660.499116897583</v>
      </c>
      <c r="B155">
        <f t="shared" si="6"/>
        <v>0</v>
      </c>
      <c r="C155">
        <f t="shared" si="7"/>
        <v>84660.499116897583</v>
      </c>
      <c r="D155" t="str">
        <f t="shared" si="8"/>
        <v/>
      </c>
      <c r="E155" t="s">
        <v>189</v>
      </c>
    </row>
    <row r="156" spans="1:5" x14ac:dyDescent="0.2">
      <c r="A156" t="e" cm="1" vm="6">
        <f t="array" aca="1" ref="A156" ca="1">_xlfn._xlws.FILTER(D!D1:D8,D!B1:B8&gt;10,FALSE)</f>
        <v>#VALUE!</v>
      </c>
      <c r="B156">
        <f t="shared" ca="1" si="6"/>
        <v>9</v>
      </c>
      <c r="C156">
        <f t="shared" ca="1" si="7"/>
        <v>0</v>
      </c>
      <c r="D156" t="str">
        <f t="shared" ca="1" si="8"/>
        <v/>
      </c>
      <c r="E156" t="s">
        <v>190</v>
      </c>
    </row>
    <row r="157" spans="1:5" x14ac:dyDescent="0.2">
      <c r="A157" cm="1">
        <f t="array" ref="A157">VALUE("$1,000")</f>
        <v>1000</v>
      </c>
      <c r="B157">
        <f t="shared" si="6"/>
        <v>0</v>
      </c>
      <c r="C157">
        <f t="shared" si="7"/>
        <v>1000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_xlfn.BETA.DIST(2,-1,_xlfn.T.DIST.RT(-1.5,60),TRUE)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str" cm="1">
        <f t="array" ref="A159">INDEX(UPPER(10),1,1)</f>
        <v>10</v>
      </c>
      <c r="B159">
        <f t="shared" si="6"/>
        <v>-3</v>
      </c>
      <c r="C159">
        <f t="shared" si="7"/>
        <v>0</v>
      </c>
      <c r="D159" t="str">
        <f t="shared" si="8"/>
        <v>10</v>
      </c>
      <c r="E159" t="s">
        <v>193</v>
      </c>
    </row>
    <row r="160" spans="1:5" x14ac:dyDescent="0.2">
      <c r="A160" t="e" cm="1" vm="1">
        <f t="array" aca="1" ref="A160" ca="1">DOLLAR(1234.567,2)/TAN({2,"a";TRUE,#N/A})</f>
        <v>#VALUE!</v>
      </c>
      <c r="B160">
        <f t="shared" ca="1" si="6"/>
        <v>9</v>
      </c>
      <c r="C160">
        <f t="shared" ca="1" si="7"/>
        <v>0</v>
      </c>
      <c r="D160" t="str">
        <f t="shared" ca="1" si="8"/>
        <v/>
      </c>
      <c r="E160" t="s">
        <v>194</v>
      </c>
    </row>
    <row r="161" spans="1:5" x14ac:dyDescent="0.2">
      <c r="A161" cm="1">
        <f t="array" ref="A161">_xlfn.BITXOR(3,3)</f>
        <v>0</v>
      </c>
      <c r="B161">
        <f t="shared" si="6"/>
        <v>0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ROWS(_xlfn.T.TEST(D!B1:B8,D!C1:C8,2,D!D1:D8))</f>
        <v>8</v>
      </c>
      <c r="B162">
        <f t="shared" si="6"/>
        <v>0</v>
      </c>
      <c r="C162">
        <f t="shared" si="7"/>
        <v>8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_xlfn.F.INV(#DIV/0!,6,2)</f>
        <v>#DIV/0!</v>
      </c>
      <c r="B163">
        <f t="shared" si="6"/>
        <v>2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INDEX(_xlfn.BETA.DIST(2,8,D!N1:N6,TRUE,1),1,1)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cm="1">
        <f t="array" ref="A165">NEGBINOMDIST(10,5,0.25)</f>
        <v>5.5048660375177853E-2</v>
      </c>
      <c r="B165">
        <f t="shared" si="6"/>
        <v>0</v>
      </c>
      <c r="C165">
        <f t="shared" si="7"/>
        <v>5.5048660375177853E-2</v>
      </c>
      <c r="D165" t="str">
        <f t="shared" si="8"/>
        <v/>
      </c>
      <c r="E165" t="s">
        <v>199</v>
      </c>
    </row>
    <row r="166" spans="1:5" x14ac:dyDescent="0.2">
      <c r="A166" cm="1">
        <f t="array" ref="A166">IMREAL(4)</f>
        <v>4</v>
      </c>
      <c r="B166">
        <f t="shared" si="6"/>
        <v>0</v>
      </c>
      <c r="C166">
        <f t="shared" si="7"/>
        <v>4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CUMPRINC(D!A3,2,125000,13,24,2)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STEYX(D!L8:Q10,EDATE(40558,D!A1))</f>
        <v>#N/A</v>
      </c>
      <c r="B168">
        <f t="shared" si="6"/>
        <v>7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cm="1">
        <f t="array" ref="A169">SUM(AVERAGEA(D!B1:B8,1,D!AS1:AS8))</f>
        <v>7.3382352941176467</v>
      </c>
      <c r="B169">
        <f t="shared" si="6"/>
        <v>0</v>
      </c>
      <c r="C169">
        <f t="shared" si="7"/>
        <v>7.3382352941176467</v>
      </c>
      <c r="D169" t="str">
        <f t="shared" si="8"/>
        <v/>
      </c>
      <c r="E169" t="s">
        <v>203</v>
      </c>
    </row>
    <row r="170" spans="1:5" x14ac:dyDescent="0.2">
      <c r="A170" cm="1">
        <f t="array" ref="A170">BESSELY(2.5,1)</f>
        <v>0.14591813750831284</v>
      </c>
      <c r="B170">
        <f t="shared" si="6"/>
        <v>0</v>
      </c>
      <c r="C170">
        <f t="shared" si="7"/>
        <v>0.14591813750831284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WEIBULL(105,"x y",100,DOLLARDE(1.02,ODD(1.5)))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b" cm="1">
        <f t="array" ref="A172">NETWORKDAYS.INTL(38718,38748)&lt;&gt;IMEXP("1+i")</f>
        <v>1</v>
      </c>
      <c r="B172">
        <f t="shared" si="6"/>
        <v>-1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b" cm="1">
        <f t="array" ref="A173">ISNUMBER(2.5)</f>
        <v>1</v>
      </c>
      <c r="B173">
        <f t="shared" si="6"/>
        <v>-1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cm="1">
        <f t="array" ref="A174">TANH(0.5)</f>
        <v>0.46211715726000979</v>
      </c>
      <c r="B174">
        <f t="shared" si="6"/>
        <v>0</v>
      </c>
      <c r="C174">
        <f t="shared" si="7"/>
        <v>0.46211715726000979</v>
      </c>
      <c r="D174" t="str">
        <f t="shared" si="8"/>
        <v/>
      </c>
      <c r="E174" t="s">
        <v>208</v>
      </c>
    </row>
    <row r="175" spans="1:5" x14ac:dyDescent="0.2">
      <c r="A175" cm="1">
        <f t="array" ref="A175">_xlfn.GAMMA.INV(0.068094,45688.75,2)</f>
        <v>90741.283781915248</v>
      </c>
      <c r="B175">
        <f t="shared" si="6"/>
        <v>0</v>
      </c>
      <c r="C175">
        <f t="shared" si="7"/>
        <v>90741.283781915248</v>
      </c>
      <c r="D175" t="str">
        <f t="shared" si="8"/>
        <v/>
      </c>
      <c r="E175" t="s">
        <v>209</v>
      </c>
    </row>
    <row r="176" spans="1:5" x14ac:dyDescent="0.2">
      <c r="A176" cm="1">
        <f t="array" ref="A176">_xlfn.UNIQUE(_xlfn.STDEV.S(D!B1:B8))</f>
        <v>13.760020699216158</v>
      </c>
      <c r="B176">
        <f t="shared" si="6"/>
        <v>0</v>
      </c>
      <c r="C176">
        <f t="shared" si="7"/>
        <v>13.760020699216158</v>
      </c>
      <c r="D176" t="str">
        <f t="shared" si="8"/>
        <v/>
      </c>
      <c r="E176" t="s">
        <v>210</v>
      </c>
    </row>
    <row r="177" spans="1:5" x14ac:dyDescent="0.2">
      <c r="A177" t="str" cm="1">
        <f t="array" ref="A177">TEXT(1234.567,"x y")</f>
        <v>x 03</v>
      </c>
      <c r="B177">
        <f t="shared" si="6"/>
        <v>-3</v>
      </c>
      <c r="C177">
        <f t="shared" si="7"/>
        <v>0</v>
      </c>
      <c r="D177" t="str">
        <f t="shared" si="8"/>
        <v>x 03</v>
      </c>
      <c r="E177" t="s">
        <v>211</v>
      </c>
    </row>
    <row r="178" spans="1:5" x14ac:dyDescent="0.2">
      <c r="A178" cm="1">
        <f t="array" ref="A178">BESSELK(1.5,3)</f>
        <v>1.8338037347433667</v>
      </c>
      <c r="B178">
        <f t="shared" si="6"/>
        <v>0</v>
      </c>
      <c r="C178">
        <f t="shared" si="7"/>
        <v>1.8338037347433667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HLOOKUP(5,D!AA1:AB2,{"x";""},FALSE)</f>
        <v>#N/A</v>
      </c>
      <c r="B179">
        <f t="shared" si="6"/>
        <v>7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_xlfn.AGGREGATE(9,4,D!I1:I5,D!AV1:AV7)&lt;STEYX(SYD(30000,7500,10,1),D!F1:F7)</f>
        <v>#N/A</v>
      </c>
      <c r="B180">
        <f t="shared" si="6"/>
        <v>7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 vm="10">
        <f t="array" aca="1" ref="A181" ca="1">FORECAST(_xlfn.DROP(D!L1:N6,1),_xlfn.DROP(D!AZ1:AZ5,5,3),D!B1:B8)</f>
        <v>#VALUE!</v>
      </c>
      <c r="B181">
        <f t="shared" ca="1" si="6"/>
        <v>9</v>
      </c>
      <c r="C181">
        <f t="shared" ca="1" si="7"/>
        <v>0</v>
      </c>
      <c r="D181" t="str">
        <f t="shared" ca="1" si="8"/>
        <v/>
      </c>
      <c r="E181" t="s">
        <v>215</v>
      </c>
    </row>
    <row r="182" spans="1:5" x14ac:dyDescent="0.2">
      <c r="A182" cm="1">
        <f t="array" ref="A182">FVSCHEDULE(D!A2,D!B2:B3)</f>
        <v>288</v>
      </c>
      <c r="B182">
        <f t="shared" si="6"/>
        <v>0</v>
      </c>
      <c r="C182">
        <f t="shared" si="7"/>
        <v>288</v>
      </c>
      <c r="D182" t="str">
        <f t="shared" si="8"/>
        <v/>
      </c>
      <c r="E182" t="s">
        <v>216</v>
      </c>
    </row>
    <row r="183" spans="1:5" x14ac:dyDescent="0.2">
      <c r="A183" t="b" cm="1">
        <f t="array" ref="A183">ISODD(-1)</f>
        <v>1</v>
      </c>
      <c r="B183">
        <f t="shared" si="6"/>
        <v>-1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_xlfn.POISSON.DIST(D!L4,GCD(SUMIFS(D!B3,D!AS1:AS8,"&gt;4"),D!P1:Q2,VLOOKUP(5,D!L1:N6,D!A10,-1=-1.5),D!A4),ISEVEN(IMCOS(-3&lt;D!M2)))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cm="1">
        <f t="array" ref="A185">FDIST(_xlfn.BITXOR(5,3),6,4)</f>
        <v>5.2300000000000027E-2</v>
      </c>
      <c r="B185">
        <f t="shared" si="6"/>
        <v>0</v>
      </c>
      <c r="C185">
        <f t="shared" si="7"/>
        <v>5.2300000000000027E-2</v>
      </c>
      <c r="D185" t="str">
        <f t="shared" si="8"/>
        <v/>
      </c>
      <c r="E185" t="s">
        <v>219</v>
      </c>
    </row>
    <row r="186" spans="1:5" x14ac:dyDescent="0.2">
      <c r="A186" cm="1">
        <f t="array" ref="A186">COLUMNS(BESSELY(10,1))</f>
        <v>1</v>
      </c>
      <c r="B186">
        <f t="shared" si="6"/>
        <v>0</v>
      </c>
      <c r="C186">
        <f t="shared" si="7"/>
        <v>1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_xlfn.T.INV(#VALUE!=_xlfn.T.DIST.2T(D!N2,60),FVSCHEDULE(D!D1:D8,D!AQ1:AQ3)&lt;&gt;0.5)</f>
        <v>#VALUE!</v>
      </c>
      <c r="B187">
        <f t="shared" si="6"/>
        <v>3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cm="1">
        <f t="array" ref="A188">IMAGINARY("3+4i")</f>
        <v>4</v>
      </c>
      <c r="B188">
        <f t="shared" si="6"/>
        <v>0</v>
      </c>
      <c r="C188">
        <f t="shared" si="7"/>
        <v>4</v>
      </c>
      <c r="D188" t="str">
        <f t="shared" si="8"/>
        <v/>
      </c>
      <c r="E188" t="s">
        <v>222</v>
      </c>
    </row>
    <row r="189" spans="1:5" x14ac:dyDescent="0.2">
      <c r="A189" t="str" cm="1">
        <f t="array" ref="A189">_xlfn.TEXTJOIN(";",FALSE,_xlfn.COMBINA(TRUE,D!A12))</f>
        <v>1</v>
      </c>
      <c r="B189">
        <f t="shared" si="6"/>
        <v>-3</v>
      </c>
      <c r="C189">
        <f t="shared" si="7"/>
        <v>0</v>
      </c>
      <c r="D189" t="str">
        <f t="shared" si="8"/>
        <v>1</v>
      </c>
      <c r="E189" t="s">
        <v>223</v>
      </c>
    </row>
    <row r="190" spans="1:5" x14ac:dyDescent="0.2">
      <c r="A190" cm="1">
        <f t="array" ref="A190">VALUE("$1,000")</f>
        <v>1000</v>
      </c>
      <c r="B190">
        <f t="shared" si="6"/>
        <v>0</v>
      </c>
      <c r="C190">
        <f t="shared" si="7"/>
        <v>1000</v>
      </c>
      <c r="D190" t="str">
        <f t="shared" si="8"/>
        <v/>
      </c>
      <c r="E190" t="s">
        <v>224</v>
      </c>
    </row>
    <row r="191" spans="1:5" x14ac:dyDescent="0.2">
      <c r="A191" t="str" cm="1">
        <f t="array" ref="A191">_xlfn.IMSECH("4+3i")</f>
        <v>-0.0362534969158689-0.00516434460775318i</v>
      </c>
      <c r="B191">
        <f t="shared" si="6"/>
        <v>-3</v>
      </c>
      <c r="C191">
        <f t="shared" si="7"/>
        <v>0</v>
      </c>
      <c r="D191" t="str">
        <f t="shared" si="8"/>
        <v>-0.0362534969158689-0.00516434460775318i</v>
      </c>
      <c r="E191" t="s">
        <v>225</v>
      </c>
    </row>
    <row r="192" spans="1:5" x14ac:dyDescent="0.2">
      <c r="A192" t="e" cm="1">
        <f t="array" ref="A192">_xlfn.BITRSHIFT("3",2)=SYD(30000,D!B1,10,D!A12)</f>
        <v>#NUM!</v>
      </c>
      <c r="B192">
        <f t="shared" si="6"/>
        <v>6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str" cm="1">
        <f t="array" ref="A193">_xlfn.TEXTJOIN(";",FALSE,NOT(D!A4))</f>
        <v>FALSE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FALSE</v>
      </c>
      <c r="E193" t="s">
        <v>227</v>
      </c>
    </row>
    <row r="194" spans="1:5" x14ac:dyDescent="0.2">
      <c r="A194" t="e" cm="1">
        <f t="array" ref="A194">COMBIN(TRUE,2)</f>
        <v>#NUM!</v>
      </c>
      <c r="B194">
        <f t="shared" si="9"/>
        <v>6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_xlfn.CHISQ.DIST(2,1,TRUE)</f>
        <v>0.84270079294971489</v>
      </c>
      <c r="B195">
        <f t="shared" si="9"/>
        <v>0</v>
      </c>
      <c r="C195">
        <f t="shared" si="10"/>
        <v>0.84270079294971489</v>
      </c>
      <c r="D195" t="str">
        <f t="shared" si="11"/>
        <v/>
      </c>
      <c r="E195" t="s">
        <v>229</v>
      </c>
    </row>
    <row r="196" spans="1:5" x14ac:dyDescent="0.2">
      <c r="A196" cm="1">
        <f t="array" ref="A196">SUM(_xlfn.COTH(2))</f>
        <v>1.0373147207275479</v>
      </c>
      <c r="B196">
        <f t="shared" si="9"/>
        <v>0</v>
      </c>
      <c r="C196">
        <f t="shared" si="10"/>
        <v>1.0373147207275479</v>
      </c>
      <c r="D196" t="str">
        <f t="shared" si="11"/>
        <v/>
      </c>
      <c r="E196" t="s">
        <v>230</v>
      </c>
    </row>
    <row r="197" spans="1:5" x14ac:dyDescent="0.2">
      <c r="A197" t="str" cm="1">
        <f t="array" ref="A197">SUBSTITUTE("Sales Data","Sales","Cost")</f>
        <v>Cost Data</v>
      </c>
      <c r="B197">
        <f t="shared" si="9"/>
        <v>-3</v>
      </c>
      <c r="C197">
        <f t="shared" si="10"/>
        <v>0</v>
      </c>
      <c r="D197" t="str">
        <f t="shared" si="11"/>
        <v>Cost Data</v>
      </c>
      <c r="E197" t="s">
        <v>231</v>
      </c>
    </row>
    <row r="198" spans="1:5" x14ac:dyDescent="0.2">
      <c r="A198" t="e" cm="1" vm="11">
        <f t="array" aca="1" ref="A198" ca="1">BIN2DEC("abc")&gt;=YIELD(" 2 ",_xlfn.T.TEST(D!B1:B8,D!F1,D!L4,1),0.0575,_xlfn.MAXIFS(D!B7,D!K1:K8," "),100,VLOOKUP(5,D!L1:N6,2,D!B2:B3),0)</f>
        <v>#VALUE!</v>
      </c>
      <c r="B198">
        <f t="shared" ca="1" si="9"/>
        <v>9</v>
      </c>
      <c r="C198">
        <f t="shared" ca="1" si="10"/>
        <v>0</v>
      </c>
      <c r="D198" t="str">
        <f t="shared" ca="1" si="11"/>
        <v/>
      </c>
      <c r="E198" t="s">
        <v>232</v>
      </c>
    </row>
    <row r="199" spans="1:5" x14ac:dyDescent="0.2">
      <c r="A199" t="e" cm="1">
        <f t="array" ref="A199">_xlfn.TEXTJOIN(";",FALSE,_xlfn.COVARIANCE.P(D!H1:H7,D!C1:C8))</f>
        <v>#N/A</v>
      </c>
      <c r="B199">
        <f t="shared" si="9"/>
        <v>7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str" cm="1">
        <f t="array" ref="A200">_xlfn.TEXTJOIN(";",FALSE,FACTDOUBLE(6))</f>
        <v>48</v>
      </c>
      <c r="B200">
        <f t="shared" si="9"/>
        <v>-3</v>
      </c>
      <c r="C200">
        <f t="shared" si="10"/>
        <v>0</v>
      </c>
      <c r="D200" t="str">
        <f t="shared" si="11"/>
        <v>48</v>
      </c>
      <c r="E200" t="s">
        <v>234</v>
      </c>
    </row>
    <row r="201" spans="1:5" x14ac:dyDescent="0.2">
      <c r="A201" t="str" cm="1">
        <f t="array" ref="A201">_xlfn.IFS(FALSE,0.25,TRUE,"a*")</f>
        <v>a*</v>
      </c>
      <c r="B201">
        <f t="shared" si="9"/>
        <v>-3</v>
      </c>
      <c r="C201">
        <f t="shared" si="10"/>
        <v>0</v>
      </c>
      <c r="D201" t="str">
        <f t="shared" si="11"/>
        <v>a*</v>
      </c>
      <c r="E201" t="s">
        <v>235</v>
      </c>
    </row>
    <row r="202" spans="1:5" x14ac:dyDescent="0.2">
      <c r="A202" cm="1">
        <f t="array" ref="A202">_xlfn.COT(30)</f>
        <v>-0.15611995216165919</v>
      </c>
      <c r="B202">
        <f t="shared" si="9"/>
        <v>0</v>
      </c>
      <c r="C202">
        <f t="shared" si="10"/>
        <v>-0.15611995216165919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CHITEST(D!AK1:AL3,D!M1:M6)&lt;IFERROR(D!B3,"err")</f>
        <v>#DIV/0!</v>
      </c>
      <c r="B203">
        <f t="shared" si="9"/>
        <v>2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ROWS(DEVSQ(D!B1:B8))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TREND(D!AY1:AY5,D!AZ1:AZ5,D!E1:E8)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IMLOG2(D!M2)&amp;DSTDEVP(D!B3,"Yield",D!AY1:AY5)</f>
        <v>#NUM!</v>
      </c>
      <c r="B206">
        <f t="shared" si="9"/>
        <v>6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str" cm="1">
        <f t="array" ref="A207">_xlfn.TEXTJOIN(";",FALSE,ROW(D!A15))</f>
        <v>15</v>
      </c>
      <c r="B207">
        <f t="shared" si="9"/>
        <v>-3</v>
      </c>
      <c r="C207">
        <f t="shared" si="10"/>
        <v>0</v>
      </c>
      <c r="D207" t="str">
        <f t="shared" si="11"/>
        <v>15</v>
      </c>
      <c r="E207" t="s">
        <v>241</v>
      </c>
    </row>
    <row r="208" spans="1:5" x14ac:dyDescent="0.2">
      <c r="A208" cm="1">
        <f t="array" ref="A208">ROWS(_xlfn.BITOR(23,10))</f>
        <v>1</v>
      </c>
      <c r="B208">
        <f t="shared" si="9"/>
        <v>0</v>
      </c>
      <c r="C208">
        <f t="shared" si="10"/>
        <v>1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_xlfn.MAXIFS(D!L1:L6,D!D1:D8,D!A15)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str" cm="1">
        <f t="array" ref="A210">CLEAN(D!A14)</f>
        <v>abc</v>
      </c>
      <c r="B210">
        <f t="shared" si="9"/>
        <v>-3</v>
      </c>
      <c r="C210">
        <f t="shared" si="10"/>
        <v>0</v>
      </c>
      <c r="D210" t="str">
        <f t="shared" si="11"/>
        <v>abc</v>
      </c>
      <c r="E210" t="s">
        <v>244</v>
      </c>
    </row>
    <row r="211" spans="1:5" x14ac:dyDescent="0.2">
      <c r="A211" cm="1">
        <f t="array" ref="A211">TRUNC(8.9,4)</f>
        <v>8.9</v>
      </c>
      <c r="B211">
        <f t="shared" si="9"/>
        <v>0</v>
      </c>
      <c r="C211">
        <f t="shared" si="10"/>
        <v>8.9</v>
      </c>
      <c r="D211" t="str">
        <f t="shared" si="11"/>
        <v/>
      </c>
      <c r="E211" t="s">
        <v>245</v>
      </c>
    </row>
    <row r="212" spans="1:5" x14ac:dyDescent="0.2">
      <c r="A212" t="str" cm="1">
        <f t="array" ref="A212">UPPER("total")</f>
        <v>TOTAL</v>
      </c>
      <c r="B212">
        <f t="shared" si="9"/>
        <v>-3</v>
      </c>
      <c r="C212">
        <f t="shared" si="10"/>
        <v>0</v>
      </c>
      <c r="D212" t="str">
        <f t="shared" si="11"/>
        <v>TOTAL</v>
      </c>
      <c r="E212" t="s">
        <v>246</v>
      </c>
    </row>
    <row r="213" spans="1:5" x14ac:dyDescent="0.2">
      <c r="A213" t="e" cm="1">
        <f t="array" ref="A213">_xlfn.IMCOT(D!F1)</f>
        <v>#NUM!</v>
      </c>
      <c r="B213">
        <f t="shared" si="9"/>
        <v>6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INDEX(OCT2BIN(#DIV/0!,NPER(3,10,2.5,7,1)),1,1)</f>
        <v>#NUM!</v>
      </c>
      <c r="B214">
        <f t="shared" si="9"/>
        <v>6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_xlfn.CSC(#VALUE!)/LOG10(40000)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IMARGUMENT(_xlfn.CONFIDENCE.T(0.05,-1,50))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 vm="9">
        <f t="array" aca="1" ref="A217" ca="1">CONVERT(1,"lbm",{"a","b"})</f>
        <v>#VALUE!</v>
      </c>
      <c r="B217">
        <f t="shared" ca="1" si="9"/>
        <v>9</v>
      </c>
      <c r="C217">
        <f t="shared" ca="1" si="10"/>
        <v>0</v>
      </c>
      <c r="D217" t="str">
        <f t="shared" ca="1" si="11"/>
        <v/>
      </c>
      <c r="E217" t="s">
        <v>251</v>
      </c>
    </row>
    <row r="218" spans="1:5" x14ac:dyDescent="0.2">
      <c r="A218" t="e" cm="1" vm="12">
        <f t="array" aca="1" ref="A218" ca="1">AMORLINC(2400,{1,2,3},DATE(2008,12,31),300,"A",AVEDEV(D!B1:B8))</f>
        <v>#VALUE!</v>
      </c>
      <c r="B218">
        <f t="shared" ca="1" si="9"/>
        <v>9</v>
      </c>
      <c r="C218">
        <f t="shared" ca="1" si="10"/>
        <v>0</v>
      </c>
      <c r="D218" t="str">
        <f t="shared" ca="1" si="11"/>
        <v/>
      </c>
      <c r="E218" t="s">
        <v>252</v>
      </c>
    </row>
    <row r="219" spans="1:5" x14ac:dyDescent="0.2">
      <c r="A219" t="e" cm="1">
        <f t="array" ref="A219">COLUMNS(SLN("0",7500,#DIV/0!))</f>
        <v>#DIV/0!</v>
      </c>
      <c r="B219">
        <f t="shared" si="9"/>
        <v>2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INDEX(D!L1:N6,2)</f>
        <v>#REF!</v>
      </c>
      <c r="B220">
        <f t="shared" si="9"/>
        <v>4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cm="1">
        <f t="array" ref="A221">FINV(0.25,6,45658)</f>
        <v>1.3068556523167709</v>
      </c>
      <c r="B221">
        <f t="shared" si="9"/>
        <v>0</v>
      </c>
      <c r="C221">
        <f t="shared" si="10"/>
        <v>1.3068556523167709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INDEX(RANK(-1.5,D!AZ1:AZ5),1,1)</f>
        <v>#N/A</v>
      </c>
      <c r="B222">
        <f t="shared" si="9"/>
        <v>7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 vm="8">
        <f t="array" aca="1" ref="A223" ca="1">BESSELK({1;2;3},0)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257</v>
      </c>
    </row>
    <row r="224" spans="1:5" x14ac:dyDescent="0.2">
      <c r="A224" t="e" cm="1">
        <f t="array" ref="A224">_xlfn.COVARIANCE.P(D!B1:B8,{1,2,3})=CHIDIST(FALSE,"")</f>
        <v>#N/A</v>
      </c>
      <c r="B224">
        <f t="shared" si="9"/>
        <v>7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cm="1">
        <f t="array" ref="A225">SUM(CEILING(2.5,1))</f>
        <v>3</v>
      </c>
      <c r="B225">
        <f t="shared" si="9"/>
        <v>0</v>
      </c>
      <c r="C225">
        <f t="shared" si="10"/>
        <v>3</v>
      </c>
      <c r="D225" t="str">
        <f t="shared" si="11"/>
        <v/>
      </c>
      <c r="E225" t="s">
        <v>259</v>
      </c>
    </row>
    <row r="226" spans="1:5" x14ac:dyDescent="0.2">
      <c r="A226" cm="1">
        <f t="array" ref="A226">TBILLPRICE(39538,39600,0.09)</f>
        <v>98.45</v>
      </c>
      <c r="B226">
        <f t="shared" si="9"/>
        <v>0</v>
      </c>
      <c r="C226">
        <f t="shared" si="10"/>
        <v>98.45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BINOMDIST(6,10,DAY(D!H3),4)</f>
        <v>#NUM!</v>
      </c>
      <c r="B227">
        <f t="shared" si="9"/>
        <v>6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NORMINV(D!A9,40,1.5)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MONTH(40648)</f>
        <v>4</v>
      </c>
      <c r="B229">
        <f t="shared" si="9"/>
        <v>0</v>
      </c>
      <c r="C229">
        <f t="shared" si="10"/>
        <v>4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_xlfn.TEXTJOIN(";",FALSE,LCM(D!R1:S2&lt;="abc",2))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GCD(5,2)</f>
        <v>1</v>
      </c>
      <c r="B231">
        <f t="shared" si="9"/>
        <v>0</v>
      </c>
      <c r="C231">
        <f t="shared" si="10"/>
        <v>1</v>
      </c>
      <c r="D231" t="str">
        <f t="shared" si="11"/>
        <v/>
      </c>
      <c r="E231" t="s">
        <v>265</v>
      </c>
    </row>
    <row r="232" spans="1:5" x14ac:dyDescent="0.2">
      <c r="A232" cm="1">
        <f t="array" ref="A232">ROWS(LENB("?"))</f>
        <v>1</v>
      </c>
      <c r="B232">
        <f t="shared" si="9"/>
        <v>0</v>
      </c>
      <c r="C232">
        <f t="shared" si="10"/>
        <v>1</v>
      </c>
      <c r="D232" t="str">
        <f t="shared" si="11"/>
        <v/>
      </c>
      <c r="E232" t="s">
        <v>266</v>
      </c>
    </row>
    <row r="233" spans="1:5" x14ac:dyDescent="0.2">
      <c r="A233" cm="1">
        <f t="array" ref="A233">CUMIPMT(0.0075,360,125000,10,24,0)</f>
        <v>-13931.836416703372</v>
      </c>
      <c r="B233">
        <f t="shared" si="9"/>
        <v>0</v>
      </c>
      <c r="C233">
        <f t="shared" si="10"/>
        <v>-13931.836416703372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SUMIFS(D!AV1:AV7,D!AZ1:AZ5,D!B7+COUPNUM(#VALUE!,DATE(2011,11,15),_xlfn.TEXTBEFORE(D!A5,{45658,45689},-1.5," ",FALSE),1))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DPRODUCT(D!AZ1:AZ5,"Yield",D!N1:N6)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PRICEDISC(39494,2,D!A1,100,#REF!)</f>
        <v>#REF!</v>
      </c>
      <c r="B236">
        <f t="shared" si="9"/>
        <v>4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cm="1">
        <f t="array" ref="A237">MAX(D!K1:K8,{1;2;3},1000)</f>
        <v>1000</v>
      </c>
      <c r="B237">
        <f t="shared" si="9"/>
        <v>0</v>
      </c>
      <c r="C237">
        <f t="shared" si="10"/>
        <v>1000</v>
      </c>
      <c r="D237" t="str">
        <f t="shared" si="11"/>
        <v/>
      </c>
      <c r="E237" t="s">
        <v>271</v>
      </c>
    </row>
    <row r="238" spans="1:5" x14ac:dyDescent="0.2">
      <c r="A238" cm="1">
        <f t="array" ref="A238">ATAN2(1,1)</f>
        <v>0.78539816339744828</v>
      </c>
      <c r="B238">
        <f t="shared" si="9"/>
        <v>0</v>
      </c>
      <c r="C238">
        <f t="shared" si="10"/>
        <v>0.78539816339744828</v>
      </c>
      <c r="D238" t="str">
        <f t="shared" si="11"/>
        <v/>
      </c>
      <c r="E238" t="s">
        <v>272</v>
      </c>
    </row>
    <row r="239" spans="1:5" x14ac:dyDescent="0.2">
      <c r="A239" cm="1">
        <f t="array" ref="A239">ROWS(SQRT("50%"))</f>
        <v>1</v>
      </c>
      <c r="B239">
        <f t="shared" si="9"/>
        <v>0</v>
      </c>
      <c r="C239">
        <f t="shared" si="10"/>
        <v>1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_xlfn.COMBINA(0,D!B7)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INDEX(_xlfn.GAUSS(D!G4),1,1)</f>
        <v>0.49999999999999933</v>
      </c>
      <c r="B241">
        <f t="shared" si="9"/>
        <v>0</v>
      </c>
      <c r="C241">
        <f t="shared" si="10"/>
        <v>0.49999999999999933</v>
      </c>
      <c r="D241" t="str">
        <f t="shared" si="11"/>
        <v/>
      </c>
      <c r="E241" t="s">
        <v>275</v>
      </c>
    </row>
    <row r="242" spans="1:5" x14ac:dyDescent="0.2">
      <c r="A242" t="str" cm="1">
        <f t="array" ref="A242">IMCOS("1+i")</f>
        <v>0.833730025131149-0.988897705762865i</v>
      </c>
      <c r="B242">
        <f t="shared" si="9"/>
        <v>-3</v>
      </c>
      <c r="C242">
        <f t="shared" si="10"/>
        <v>0</v>
      </c>
      <c r="D242" t="str">
        <f t="shared" si="11"/>
        <v>0.833730025131149-0.988897705762865i</v>
      </c>
      <c r="E242" t="s">
        <v>276</v>
      </c>
    </row>
    <row r="243" spans="1:5" x14ac:dyDescent="0.2">
      <c r="A243" t="e" cm="1">
        <f t="array" ref="A243">PROB(VLOOKUP(_xlfn.IMSINH("4+3i"),MMULT(D!L1:L6,D!M1:M6),2,NORMINV("",40,"1E2")),D!AI1:AI4,2)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 vm="8">
        <f t="array" aca="1" ref="A244" ca="1">QUARTILE(BIN2DEC(#REF!),D!B1:B3)</f>
        <v>#VALUE!</v>
      </c>
      <c r="B244">
        <f t="shared" ca="1" si="9"/>
        <v>9</v>
      </c>
      <c r="C244">
        <f t="shared" ca="1" si="10"/>
        <v>0</v>
      </c>
      <c r="D244" t="str">
        <f t="shared" ca="1" si="11"/>
        <v/>
      </c>
      <c r="E244" t="s">
        <v>278</v>
      </c>
    </row>
    <row r="245" spans="1:5" x14ac:dyDescent="0.2">
      <c r="A245" t="str" cm="1">
        <f t="array" ref="A245">REPT("*-",5)</f>
        <v>*-*-*-*-*-</v>
      </c>
      <c r="B245">
        <f t="shared" si="9"/>
        <v>-3</v>
      </c>
      <c r="C245">
        <f t="shared" si="10"/>
        <v>0</v>
      </c>
      <c r="D245" t="str">
        <f t="shared" si="11"/>
        <v>*-*-*-*-*-</v>
      </c>
      <c r="E245" t="s">
        <v>279</v>
      </c>
    </row>
    <row r="246" spans="1:5" x14ac:dyDescent="0.2">
      <c r="A246" t="e" cm="1" vm="11">
        <f t="array" aca="1" ref="A246" ca="1">LOWER({"x";""})</f>
        <v>#VALUE!</v>
      </c>
      <c r="B246">
        <f t="shared" ca="1" si="9"/>
        <v>9</v>
      </c>
      <c r="C246">
        <f t="shared" ca="1" si="10"/>
        <v>0</v>
      </c>
      <c r="D246" t="str">
        <f t="shared" ca="1" si="11"/>
        <v/>
      </c>
      <c r="E246" t="s">
        <v>280</v>
      </c>
    </row>
    <row r="247" spans="1:5" x14ac:dyDescent="0.2">
      <c r="A247" t="str" cm="1">
        <f t="array" ref="A247">_xlfn.IMCSCH("4+3i")</f>
        <v>-0.036275889628626-0.0051744731840194i</v>
      </c>
      <c r="B247">
        <f t="shared" si="9"/>
        <v>-3</v>
      </c>
      <c r="C247">
        <f t="shared" si="10"/>
        <v>0</v>
      </c>
      <c r="D247" t="str">
        <f t="shared" si="11"/>
        <v>-0.036275889628626-0.0051744731840194i</v>
      </c>
      <c r="E247" t="s">
        <v>281</v>
      </c>
    </row>
    <row r="248" spans="1:5" x14ac:dyDescent="0.2">
      <c r="A248" t="e" cm="1">
        <f t="array" ref="A248">ROWS(DOLLAR(0.25," "))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SUM(_xlfn.PERCENTILE.EXC(D!I1:I5,0.25))</f>
        <v>-4400</v>
      </c>
      <c r="B249">
        <f t="shared" si="9"/>
        <v>0</v>
      </c>
      <c r="C249">
        <f t="shared" si="10"/>
        <v>-4400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SUM(ADDRESS(0.5,3))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PRODUCT(D!B1:B8,"FALSE",_xlfn.CHOOSEROWS(_xlfn.DROP(D!M1:N6&gt;100,1),1),D!G1:G7)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cm="1">
        <f t="array" ref="A252">RADIANS(270)</f>
        <v>4.7123889803846897</v>
      </c>
      <c r="B252">
        <f t="shared" si="9"/>
        <v>0</v>
      </c>
      <c r="C252">
        <f t="shared" si="10"/>
        <v>4.7123889803846897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ROWS(LEFT(D!A7,4))</f>
        <v>#DIV/0!</v>
      </c>
      <c r="B253">
        <f t="shared" si="9"/>
        <v>2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 vm="8">
        <f t="array" aca="1" ref="A254" ca="1">_xlfn.BETA.DIST(_xlfn.PERMUTATIONA(3,2),{1;2;3},10,TRUE,1,3)</f>
        <v>#VALUE!</v>
      </c>
      <c r="B254">
        <f t="shared" ca="1" si="9"/>
        <v>9</v>
      </c>
      <c r="C254">
        <f t="shared" ca="1" si="10"/>
        <v>0</v>
      </c>
      <c r="D254" t="str">
        <f t="shared" ca="1" si="11"/>
        <v/>
      </c>
      <c r="E254" t="s">
        <v>288</v>
      </c>
    </row>
    <row r="255" spans="1:5" x14ac:dyDescent="0.2">
      <c r="A255" cm="1">
        <f t="array" ref="A255">_xlfn.SECH(100)</f>
        <v>7.4401519520416712E-44</v>
      </c>
      <c r="B255">
        <f t="shared" si="9"/>
        <v>0</v>
      </c>
      <c r="C255">
        <f t="shared" si="10"/>
        <v>7.4401519520416712E-44</v>
      </c>
      <c r="D255" t="str">
        <f t="shared" si="11"/>
        <v/>
      </c>
      <c r="E255" t="s">
        <v>289</v>
      </c>
    </row>
    <row r="256" spans="1:5" x14ac:dyDescent="0.2">
      <c r="A256" cm="1">
        <f t="array" ref="A256">EOMONTH(40544,45658)</f>
        <v>1430259</v>
      </c>
      <c r="B256">
        <f t="shared" si="9"/>
        <v>0</v>
      </c>
      <c r="C256">
        <f t="shared" si="10"/>
        <v>1430259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NEGBINOMDIST("TRUE",5,0.25)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_xlfn.COVARIANCE.S(D!B1:B8,D!I1:I5)</f>
        <v>#N/A</v>
      </c>
      <c r="B258">
        <f t="shared" si="12"/>
        <v>7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DURATION(_xlfn.CHISQ.INV(0.93,-1),DATE(2048,1,1),0.08,0.09,2,1)&lt;&gt;MULTINOMIAL(2,D!R1:S2)</f>
        <v>#NUM!</v>
      </c>
      <c r="B259">
        <f t="shared" si="12"/>
        <v>6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AMORDEGRC(D!A15,DATE(2008,8,19),DATE(2008,12,31),"a,b",1,0.15)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_xlfn.TEXTJOIN(";",FALSE,ODDFYIELD(" 2 ",DATE(2021,3,1),DATE(2008,10,15),DATE(2009,3,1),"2024-02-29","0",100,D!D1:D8,D!A3))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SUMSQ(3,D!I1:I5,_xlfn.CHOOSEROWS(D!L1:N6,1,0))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cm="1">
        <f t="array" ref="A263">INDEX(_xlfn.COVARIANCE.S(D!B1:B8,D!C1:C8),1,1)</f>
        <v>177.51785714285714</v>
      </c>
      <c r="B263">
        <f t="shared" si="12"/>
        <v>0</v>
      </c>
      <c r="C263">
        <f t="shared" si="13"/>
        <v>177.51785714285714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COLUMNS(PEARSON(D!G1:G7,D!P1:Q2))</f>
        <v>#N/A</v>
      </c>
      <c r="B264">
        <f t="shared" si="12"/>
        <v>7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cm="1">
        <f t="array" ref="A265">COLUMNS(ERROR.TYPE(D!A7))</f>
        <v>1</v>
      </c>
      <c r="B265">
        <f t="shared" si="12"/>
        <v>0</v>
      </c>
      <c r="C265">
        <f t="shared" si="13"/>
        <v>1</v>
      </c>
      <c r="D265" t="str">
        <f t="shared" si="14"/>
        <v/>
      </c>
      <c r="E265" t="s">
        <v>299</v>
      </c>
    </row>
    <row r="266" spans="1:5" x14ac:dyDescent="0.2">
      <c r="A266" cm="1">
        <f t="array" ref="A266">SLOPE(D!C1:C8,D!B1:B8)</f>
        <v>0.93757036670262373</v>
      </c>
      <c r="B266">
        <f t="shared" si="12"/>
        <v>0</v>
      </c>
      <c r="C266">
        <f t="shared" si="13"/>
        <v>0.93757036670262373</v>
      </c>
      <c r="D266" t="str">
        <f t="shared" si="14"/>
        <v/>
      </c>
      <c r="E266" t="s">
        <v>300</v>
      </c>
    </row>
    <row r="267" spans="1:5" x14ac:dyDescent="0.2">
      <c r="A267" t="e" cm="1" vm="6">
        <f t="array" aca="1" ref="A267" ca="1">_xlfn.UNIQUE(D!AS1:AS8)</f>
        <v>#VALUE!</v>
      </c>
      <c r="B267">
        <f t="shared" ca="1" si="12"/>
        <v>9</v>
      </c>
      <c r="C267">
        <f t="shared" ca="1" si="13"/>
        <v>0</v>
      </c>
      <c r="D267" t="str">
        <f t="shared" ca="1" si="14"/>
        <v/>
      </c>
      <c r="E267" t="s">
        <v>301</v>
      </c>
    </row>
    <row r="268" spans="1:5" x14ac:dyDescent="0.2">
      <c r="A268" cm="1">
        <f t="array" ref="A268">ROWS(_xlfn.CSCH(1.5))</f>
        <v>1</v>
      </c>
      <c r="B268">
        <f t="shared" si="12"/>
        <v>0</v>
      </c>
      <c r="C268">
        <f t="shared" si="13"/>
        <v>1</v>
      </c>
      <c r="D268" t="str">
        <f t="shared" si="14"/>
        <v/>
      </c>
      <c r="E268" t="s">
        <v>302</v>
      </c>
    </row>
    <row r="269" spans="1:5" x14ac:dyDescent="0.2">
      <c r="A269" t="str" cm="1">
        <f t="array" ref="A269">BAHTTEXT(1234)</f>
        <v>หนึ่งพันสองร้อยสามสิบสี่บาทถ้วน</v>
      </c>
      <c r="B269">
        <f t="shared" si="12"/>
        <v>-3</v>
      </c>
      <c r="C269">
        <f t="shared" si="13"/>
        <v>0</v>
      </c>
      <c r="D269" t="str">
        <f t="shared" si="14"/>
        <v>หนึ่งพันสองร้อยสามสิบสี่บาทถ้วน</v>
      </c>
      <c r="E269" t="s">
        <v>303</v>
      </c>
    </row>
    <row r="270" spans="1:5" x14ac:dyDescent="0.2">
      <c r="A270" cm="1">
        <f t="array" ref="A270">DEGREES("1E2")</f>
        <v>5729.5779513082325</v>
      </c>
      <c r="B270">
        <f t="shared" si="12"/>
        <v>0</v>
      </c>
      <c r="C270">
        <f t="shared" si="13"/>
        <v>5729.5779513082325</v>
      </c>
      <c r="D270" t="str">
        <f t="shared" si="14"/>
        <v/>
      </c>
      <c r="E270" t="s">
        <v>304</v>
      </c>
    </row>
    <row r="271" spans="1:5" x14ac:dyDescent="0.2">
      <c r="A271" t="e" cm="1" vm="11">
        <f t="array" aca="1" ref="A271" ca="1">_xlfn.TEXTSPLIT(_xlfn.EXPAND(D!P1:Q2,1,1)-"1.5",D!M1:M6,";",MDURATION(DATE(2018,7,1),{0.5;-1},"?",0.09,2)%-FALSE)</f>
        <v>#VALUE!</v>
      </c>
      <c r="B271">
        <f t="shared" ca="1" si="12"/>
        <v>9</v>
      </c>
      <c r="C271">
        <f t="shared" ca="1" si="13"/>
        <v>0</v>
      </c>
      <c r="D271" t="str">
        <f t="shared" ca="1" si="14"/>
        <v/>
      </c>
      <c r="E271" t="s">
        <v>305</v>
      </c>
    </row>
    <row r="272" spans="1:5" x14ac:dyDescent="0.2">
      <c r="A272" t="e" cm="1" vm="2">
        <f t="array" aca="1" ref="A272" ca="1">MIRR(D!I1:I5,D!H1:H7,0)</f>
        <v>#VALUE!</v>
      </c>
      <c r="B272">
        <f t="shared" ca="1" si="12"/>
        <v>9</v>
      </c>
      <c r="C272">
        <f t="shared" ca="1" si="13"/>
        <v>0</v>
      </c>
      <c r="D272" t="str">
        <f t="shared" ca="1" si="14"/>
        <v/>
      </c>
      <c r="E272" t="s">
        <v>306</v>
      </c>
    </row>
    <row r="273" spans="1:5" x14ac:dyDescent="0.2">
      <c r="A273" t="e" cm="1">
        <f t="array" ref="A273">_xlfn.ARABIC(D!A8)</f>
        <v>#N/A</v>
      </c>
      <c r="B273">
        <f t="shared" si="12"/>
        <v>7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e" cm="1" vm="6">
        <f t="array" aca="1" ref="A274" ca="1">_xlfn.UNIQUE(D!AS1:AS8)</f>
        <v>#VALUE!</v>
      </c>
      <c r="B274">
        <f t="shared" ca="1" si="12"/>
        <v>9</v>
      </c>
      <c r="C274">
        <f t="shared" ca="1" si="13"/>
        <v>0</v>
      </c>
      <c r="D274" t="str">
        <f t="shared" ca="1" si="14"/>
        <v/>
      </c>
      <c r="E274" t="s">
        <v>308</v>
      </c>
    </row>
    <row r="275" spans="1:5" x14ac:dyDescent="0.2">
      <c r="A275" t="e" cm="1">
        <f t="array" ref="A275">RADIANS(D!A8)</f>
        <v>#N/A</v>
      </c>
      <c r="B275">
        <f t="shared" si="12"/>
        <v>7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BINOMDIST(6,COUPDAYSNC(DATE(2011,1,25),D!AY1:AY5,2,{1}),"",FALSE)</f>
        <v>#VALUE!</v>
      </c>
      <c r="B276">
        <f t="shared" si="12"/>
        <v>3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_xlfn.TEXTJOIN(";",FALSE,AVEDEV(D!K1:K8))</f>
        <v>#NUM!</v>
      </c>
      <c r="B277">
        <f t="shared" si="12"/>
        <v>6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COLUMNS(_xlfn.IMCSCH("4+3i"))</f>
        <v>1</v>
      </c>
      <c r="B278">
        <f t="shared" si="12"/>
        <v>0</v>
      </c>
      <c r="C278">
        <f t="shared" si="13"/>
        <v>1</v>
      </c>
      <c r="D278" t="str">
        <f t="shared" si="14"/>
        <v/>
      </c>
      <c r="E278" t="s">
        <v>312</v>
      </c>
    </row>
    <row r="279" spans="1:5" x14ac:dyDescent="0.2">
      <c r="A279" t="str" cm="1">
        <f t="array" ref="A279">_xlfn.TEXTJOIN(";",FALSE,_xlfn.BASE(7,2))</f>
        <v>111</v>
      </c>
      <c r="B279">
        <f t="shared" si="12"/>
        <v>-3</v>
      </c>
      <c r="C279">
        <f t="shared" si="13"/>
        <v>0</v>
      </c>
      <c r="D279" t="str">
        <f t="shared" si="14"/>
        <v>111</v>
      </c>
      <c r="E279" t="s">
        <v>313</v>
      </c>
    </row>
    <row r="280" spans="1:5" x14ac:dyDescent="0.2">
      <c r="A280" cm="1">
        <f t="array" ref="A280">COUNTBLANK(D!AW1:AW4)</f>
        <v>1</v>
      </c>
      <c r="B280">
        <f t="shared" si="12"/>
        <v>0</v>
      </c>
      <c r="C280">
        <f t="shared" si="13"/>
        <v>1</v>
      </c>
      <c r="D280" t="str">
        <f t="shared" si="14"/>
        <v/>
      </c>
      <c r="E280" t="s">
        <v>314</v>
      </c>
    </row>
    <row r="281" spans="1:5" x14ac:dyDescent="0.2">
      <c r="A281" t="e" cm="1" vm="12">
        <f t="array" aca="1" ref="A281" ca="1">DSUM(D!B1:B3,100,D!I1:I5)&amp;ISEVEN({3,1,2})</f>
        <v>#VALUE!</v>
      </c>
      <c r="B281">
        <f t="shared" ca="1" si="12"/>
        <v>9</v>
      </c>
      <c r="C281">
        <f t="shared" ca="1" si="13"/>
        <v>0</v>
      </c>
      <c r="D281" t="str">
        <f t="shared" ca="1" si="14"/>
        <v/>
      </c>
      <c r="E281" t="s">
        <v>315</v>
      </c>
    </row>
    <row r="282" spans="1:5" x14ac:dyDescent="0.2">
      <c r="A282" t="e" cm="1" vm="9">
        <f t="array" aca="1" ref="A282" ca="1">LINEST(D!AY1:AY5,D!AZ1:AZ5)</f>
        <v>#VALUE!</v>
      </c>
      <c r="B282">
        <f t="shared" ca="1" si="12"/>
        <v>9</v>
      </c>
      <c r="C282">
        <f t="shared" ca="1" si="13"/>
        <v>0</v>
      </c>
      <c r="D282" t="str">
        <f t="shared" ca="1" si="14"/>
        <v/>
      </c>
      <c r="E282" t="s">
        <v>316</v>
      </c>
    </row>
    <row r="283" spans="1:5" x14ac:dyDescent="0.2">
      <c r="A283" cm="1">
        <f t="array" ref="A283">ROWS(_xlfn.FLOOR.PRECISE(-3.2,1000&gt;="1/2/2025"))</f>
        <v>1</v>
      </c>
      <c r="B283">
        <f t="shared" si="12"/>
        <v>0</v>
      </c>
      <c r="C283">
        <f t="shared" si="13"/>
        <v>1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SUMXMY2(D!B1:B8,D!A10)</f>
        <v>#N/A</v>
      </c>
      <c r="B284">
        <f t="shared" si="12"/>
        <v>7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SUM(_xlfn.CSCH(1.5))</f>
        <v>0.46964244059522464</v>
      </c>
      <c r="B285">
        <f t="shared" si="12"/>
        <v>0</v>
      </c>
      <c r="C285">
        <f t="shared" si="13"/>
        <v>0.46964244059522464</v>
      </c>
      <c r="D285" t="str">
        <f t="shared" si="14"/>
        <v/>
      </c>
      <c r="E285" t="s">
        <v>319</v>
      </c>
    </row>
    <row r="286" spans="1:5" x14ac:dyDescent="0.2">
      <c r="A286" t="e" cm="1" vm="13">
        <f t="array" aca="1" ref="A286" ca="1">IRR(D!I1:I5,D!AW1:AW4)</f>
        <v>#VALUE!</v>
      </c>
      <c r="B286">
        <f t="shared" ca="1" si="12"/>
        <v>9</v>
      </c>
      <c r="C286">
        <f t="shared" ca="1" si="13"/>
        <v>0</v>
      </c>
      <c r="D286" t="str">
        <f t="shared" ca="1" si="14"/>
        <v/>
      </c>
      <c r="E286" t="s">
        <v>320</v>
      </c>
    </row>
    <row r="287" spans="1:5" x14ac:dyDescent="0.2">
      <c r="A287" t="str" cm="1">
        <f t="array" ref="A287">INDEX(_xlfn.UNICHAR(D!N2),1,1)</f>
        <v>_x0014_</v>
      </c>
      <c r="B287">
        <f t="shared" si="12"/>
        <v>-3</v>
      </c>
      <c r="C287">
        <f t="shared" si="13"/>
        <v>0</v>
      </c>
      <c r="D287" t="str">
        <f t="shared" si="14"/>
        <v>_x0014_</v>
      </c>
      <c r="E287" t="s">
        <v>321</v>
      </c>
    </row>
    <row r="288" spans="1:5" x14ac:dyDescent="0.2">
      <c r="A288" t="str" cm="1">
        <f t="array" ref="A288">LEFT("Sale Price")</f>
        <v>S</v>
      </c>
      <c r="B288">
        <f t="shared" si="12"/>
        <v>-3</v>
      </c>
      <c r="C288">
        <f t="shared" si="13"/>
        <v>0</v>
      </c>
      <c r="D288" t="str">
        <f t="shared" si="14"/>
        <v>S</v>
      </c>
      <c r="E288" t="s">
        <v>322</v>
      </c>
    </row>
    <row r="289" spans="1:5" x14ac:dyDescent="0.2">
      <c r="A289" t="str" cm="1">
        <f t="array" ref="A289">_xlfn.TEXTJOIN(";",FALSE,FREQUENCY(_xlfn.TAKE(D!L8:Q10,2),D!M1:N6))</f>
        <v>5;1;0;0;0;0;0</v>
      </c>
      <c r="B289">
        <f t="shared" si="12"/>
        <v>-3</v>
      </c>
      <c r="C289">
        <f t="shared" si="13"/>
        <v>0</v>
      </c>
      <c r="D289" t="str">
        <f t="shared" si="14"/>
        <v>5;1;0;0;0;0;0</v>
      </c>
      <c r="E289" t="s">
        <v>323</v>
      </c>
    </row>
    <row r="290" spans="1:5" x14ac:dyDescent="0.2">
      <c r="A290" cm="1">
        <f t="array" ref="A290">DAY(40648)</f>
        <v>15</v>
      </c>
      <c r="B290">
        <f t="shared" si="12"/>
        <v>0</v>
      </c>
      <c r="C290">
        <f t="shared" si="13"/>
        <v>15</v>
      </c>
      <c r="D290" t="str">
        <f t="shared" si="14"/>
        <v/>
      </c>
      <c r="E290" t="s">
        <v>324</v>
      </c>
    </row>
    <row r="291" spans="1:5" x14ac:dyDescent="0.2">
      <c r="A291" t="b" cm="1">
        <f t="array" ref="A291">ISNA(2.5)</f>
        <v>0</v>
      </c>
      <c r="B291">
        <f t="shared" si="12"/>
        <v>-2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_xlfn.LOGNORM.DIST(4,3.5,TRUE,TRUE)</f>
        <v>1.7270208297582176E-2</v>
      </c>
      <c r="B292">
        <f t="shared" si="12"/>
        <v>0</v>
      </c>
      <c r="C292">
        <f t="shared" si="13"/>
        <v>1.7270208297582176E-2</v>
      </c>
      <c r="D292" t="str">
        <f t="shared" si="14"/>
        <v/>
      </c>
      <c r="E292" t="s">
        <v>326</v>
      </c>
    </row>
    <row r="293" spans="1:5" x14ac:dyDescent="0.2">
      <c r="A293" cm="1">
        <f t="array" ref="A293">SUMSQ(D!M2,4)</f>
        <v>16</v>
      </c>
      <c r="B293">
        <f t="shared" si="12"/>
        <v>0</v>
      </c>
      <c r="C293">
        <f t="shared" si="13"/>
        <v>16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NPER(0.01,D!N2,-1000,AVERAGEA(D!B1:B8),1)&lt;GAMMAINV(0.068094,0,2)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e" cm="1" vm="1">
        <f t="array" aca="1" ref="A295" ca="1">MIDB("a,b"="",D!L4,_xlfn.F.DIST.RT(15.2069,6,GROWTH(D!BB1:BB6,D!BC1:BC6,D!P1:Q2)))</f>
        <v>#VALUE!</v>
      </c>
      <c r="B295">
        <f t="shared" ca="1" si="12"/>
        <v>9</v>
      </c>
      <c r="C295">
        <f t="shared" ca="1" si="13"/>
        <v>0</v>
      </c>
      <c r="D295" t="str">
        <f t="shared" ca="1" si="14"/>
        <v/>
      </c>
      <c r="E295" t="s">
        <v>329</v>
      </c>
    </row>
    <row r="296" spans="1:5" x14ac:dyDescent="0.2">
      <c r="A296" cm="1">
        <f t="array" ref="A296">_xlfn.MODE.SNGL(D!BF1:BF6)-ISO.CEILING(4.3)</f>
        <v>-3</v>
      </c>
      <c r="B296">
        <f t="shared" si="12"/>
        <v>0</v>
      </c>
      <c r="C296">
        <f t="shared" si="13"/>
        <v>-3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_xlfn.MINIFS(D!E1:E8,D!N2,3,D!N2,"2024-02-29",D!I1:I5,"a*")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SUM(_xlfn.CHISQ.DIST.RT(3,CONCATENATE("1/2/2025","b")))</f>
        <v>#VALUE!</v>
      </c>
      <c r="B298">
        <f t="shared" si="12"/>
        <v>3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LCM({0.5;-1},2,D!AK1:AL3)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cm="1">
        <f t="array" ref="A300">POWER(5,D!N2)</f>
        <v>95367431640625</v>
      </c>
      <c r="B300">
        <f t="shared" si="12"/>
        <v>0</v>
      </c>
      <c r="C300">
        <f t="shared" si="13"/>
        <v>95367431640625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SUM(IMCONJUGATE("3+4i"))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cm="1">
        <f t="array" ref="A302">PRODUCT({0.5;-1},D!F1,TRUE,D!I1:I5)</f>
        <v>5.1408E+17</v>
      </c>
      <c r="B302">
        <f t="shared" si="12"/>
        <v>0</v>
      </c>
      <c r="C302">
        <f t="shared" si="13"/>
        <v>5.1408E+17</v>
      </c>
      <c r="D302" t="str">
        <f t="shared" si="14"/>
        <v/>
      </c>
      <c r="E302" t="s">
        <v>336</v>
      </c>
    </row>
    <row r="303" spans="1:5" x14ac:dyDescent="0.2">
      <c r="A303" cm="1">
        <f t="array" ref="A303">INDEX(WEEKDAY(_xlfn.DAYS(44270,D!AP1)),1,1)</f>
        <v>4</v>
      </c>
      <c r="B303">
        <f t="shared" si="12"/>
        <v>0</v>
      </c>
      <c r="C303">
        <f t="shared" si="13"/>
        <v>4</v>
      </c>
      <c r="D303" t="str">
        <f t="shared" si="14"/>
        <v/>
      </c>
      <c r="E303" t="s">
        <v>337</v>
      </c>
    </row>
    <row r="304" spans="1:5" x14ac:dyDescent="0.2">
      <c r="A304" t="e" cm="1" vm="14">
        <f t="array" aca="1" ref="A304" ca="1">_xlfn.DROP(D!L1:N6,0)</f>
        <v>#VALUE!</v>
      </c>
      <c r="B304">
        <f t="shared" ca="1" si="12"/>
        <v>9</v>
      </c>
      <c r="C304">
        <f t="shared" ca="1" si="13"/>
        <v>0</v>
      </c>
      <c r="D304" t="str">
        <f t="shared" ca="1" si="14"/>
        <v/>
      </c>
      <c r="E304" t="s">
        <v>338</v>
      </c>
    </row>
    <row r="305" spans="1:5" x14ac:dyDescent="0.2">
      <c r="A305" t="e" cm="1">
        <f t="array" ref="A305">COLUMNS(STDEV(_xlfn.MUNIT(1),2,DB(1000000,0.5,_xlfn.RANK.AVG(94,D!B7),FALSE,D!C2)))</f>
        <v>#N/A</v>
      </c>
      <c r="B305">
        <f t="shared" si="12"/>
        <v>7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cm="1">
        <f t="array" ref="A306">GESTEP(59,D!C2)</f>
        <v>1</v>
      </c>
      <c r="B306">
        <f t="shared" si="12"/>
        <v>0</v>
      </c>
      <c r="C306">
        <f t="shared" si="13"/>
        <v>1</v>
      </c>
      <c r="D306" t="str">
        <f t="shared" si="14"/>
        <v/>
      </c>
      <c r="E306" t="s">
        <v>340</v>
      </c>
    </row>
    <row r="307" spans="1:5" x14ac:dyDescent="0.2">
      <c r="A307" cm="1">
        <f t="array" ref="A307">_xlfn.CHISQ.DIST(TRUE,1,"TRUE")</f>
        <v>0.68268949213708607</v>
      </c>
      <c r="B307">
        <f t="shared" si="12"/>
        <v>0</v>
      </c>
      <c r="C307">
        <f t="shared" si="13"/>
        <v>0.68268949213708607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INDEX(MATCH(D!N2,D!L1:L6,TBILLEQ(D!A10,39600,0.0914)),1,1)</f>
        <v>#NUM!</v>
      </c>
      <c r="B308">
        <f t="shared" si="12"/>
        <v>6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_xlfn.NEGBINOM.DIST("6:35 AM",-1,0.25,TRUE)</f>
        <v>#NUM!</v>
      </c>
      <c r="B309">
        <f t="shared" si="12"/>
        <v>6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FISHERINV(0.25)^SMALL(D!B1:B8,4)</f>
        <v>5.4635416594549474E-7</v>
      </c>
      <c r="B310">
        <f t="shared" si="12"/>
        <v>0</v>
      </c>
      <c r="C310">
        <f t="shared" si="13"/>
        <v>5.4635416594549474E-7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RATE(48,"-4",ROMAN(#VALUE!))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str" cm="1">
        <f t="array" ref="A312">IMLN("3+4i")</f>
        <v>1.6094379124341+0.927295218001612i</v>
      </c>
      <c r="B312">
        <f t="shared" si="12"/>
        <v>-3</v>
      </c>
      <c r="C312">
        <f t="shared" si="13"/>
        <v>0</v>
      </c>
      <c r="D312" t="str">
        <f t="shared" si="14"/>
        <v>1.6094379124341+0.927295218001612i</v>
      </c>
      <c r="E312" t="s">
        <v>346</v>
      </c>
    </row>
    <row r="313" spans="1:5" x14ac:dyDescent="0.2">
      <c r="A313" t="e" cm="1">
        <f t="array" ref="A313">OCT2HEX(FALSE,100)</f>
        <v>#NUM!</v>
      </c>
      <c r="B313">
        <f t="shared" si="12"/>
        <v>6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b" cm="1">
        <f t="array" ref="A314">AND(MINVERSE({1,2;3,4}),-7&gt;=45688.75)</f>
        <v>0</v>
      </c>
      <c r="B314">
        <f t="shared" si="12"/>
        <v>-2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b" cm="1">
        <f t="array" ref="A315">_xlfn.TEXTAFTER("a-b-c","-")=AND(D!AW1:AW4,TRUE)</f>
        <v>0</v>
      </c>
      <c r="B315">
        <f t="shared" si="12"/>
        <v>-2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cm="1">
        <f t="array" ref="A316">_xlfn.BITLSHIFT(4,1)</f>
        <v>8</v>
      </c>
      <c r="B316">
        <f t="shared" si="12"/>
        <v>0</v>
      </c>
      <c r="C316">
        <f t="shared" si="13"/>
        <v>8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NA()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ROWS(POWER(5,_xlfn.BINOM.DIST.RANGE(D!A2,0.75,-1)))</f>
        <v>#NUM!</v>
      </c>
      <c r="B318">
        <f t="shared" si="12"/>
        <v>6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cm="1">
        <f t="array" ref="A319">AVEDEV(D!I1:I5)</f>
        <v>4416</v>
      </c>
      <c r="B319">
        <f t="shared" si="12"/>
        <v>0</v>
      </c>
      <c r="C319">
        <f t="shared" si="13"/>
        <v>4416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_xlfn.DAYS(44270,#N/A)</f>
        <v>#N/A</v>
      </c>
      <c r="B320">
        <f t="shared" si="12"/>
        <v>7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_xlfn.PERCENTRANK.INC(D!L1:L6&lt;&gt;#NUM!,"-4"&amp;LOGINV(0.039084,3.5,VAR(1,D!B1:B3,4)))</f>
        <v>#NUM!</v>
      </c>
      <c r="B321">
        <f t="shared" ref="B321:B384" si="15">IF(ISERROR(A321),ERROR.TYPE(A321),IF(ISNUMBER(A321),0,IF(ISLOGICAL(A321),IF(A321,-1,-2),IF(ISTEXT(A321),-3,-4))))</f>
        <v>6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ODD(D!B3)</f>
        <v>15</v>
      </c>
      <c r="B322">
        <f t="shared" si="15"/>
        <v>0</v>
      </c>
      <c r="C322">
        <f t="shared" si="16"/>
        <v>15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TRIMMEAN(D!B1:B8,D!A7)</f>
        <v>#DIV/0!</v>
      </c>
      <c r="B323">
        <f t="shared" si="15"/>
        <v>2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_xlfn.BINOM.INV(6,0.5,7)</f>
        <v>#NUM!</v>
      </c>
      <c r="B324">
        <f t="shared" si="15"/>
        <v>6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GAMMALN(#VALUE!)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e" cm="1">
        <f t="array" ref="A326">CHOOSE(0,"50%"&lt;=D!G4,"b","a,b")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DB(CUMPRINC(0.0075,360,100,13,24,1000),#VALUE!,D!L4="1E2",1,TRUNC(8.9))</f>
        <v>#NUM!</v>
      </c>
      <c r="B327">
        <f t="shared" si="15"/>
        <v>6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LOOKUP(4.19,{"x";""}^1000,D!U1:Y7)</f>
        <v>#N/A</v>
      </c>
      <c r="B328">
        <f t="shared" si="15"/>
        <v>7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RSQ(D!AV1:AV7,D!U1:Y7)</f>
        <v>#N/A</v>
      </c>
      <c r="B329">
        <f t="shared" si="15"/>
        <v>7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cm="1">
        <f t="array" ref="A330">SUM(_xlfn.XOR({45658,45689},FALSE))</f>
        <v>0</v>
      </c>
      <c r="B330">
        <f t="shared" si="15"/>
        <v>0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str" cm="1">
        <f t="array" ref="A331">_xlfn.IMCSCH(61)</f>
        <v>6.44268057198503E-27</v>
      </c>
      <c r="B331">
        <f t="shared" si="15"/>
        <v>-3</v>
      </c>
      <c r="C331">
        <f t="shared" si="16"/>
        <v>0</v>
      </c>
      <c r="D331" t="str">
        <f t="shared" si="17"/>
        <v>6.44268057198503E-27</v>
      </c>
      <c r="E331" t="s">
        <v>365</v>
      </c>
    </row>
    <row r="332" spans="1:5" x14ac:dyDescent="0.2">
      <c r="A332" t="e" cm="1">
        <f t="array" ref="A332">DSUM(D!E1:E8,"Yield",D!B7)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IRR(D!B1:C8)</f>
        <v>#NUM!</v>
      </c>
      <c r="B333">
        <f t="shared" si="15"/>
        <v>6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e" cm="1">
        <f t="array" ref="A334">DSUM(D!L1:L6,"Yield",D!AS1:AS8)</f>
        <v>#VALUE!</v>
      </c>
      <c r="B334">
        <f t="shared" si="15"/>
        <v>3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str" cm="1">
        <f t="array" ref="A335">REPLACEB("abcdef",2,3,"x")</f>
        <v>axef</v>
      </c>
      <c r="B335">
        <f t="shared" si="15"/>
        <v>-3</v>
      </c>
      <c r="C335">
        <f t="shared" si="16"/>
        <v>0</v>
      </c>
      <c r="D335" t="str">
        <f t="shared" si="17"/>
        <v>axef</v>
      </c>
      <c r="E335" t="s">
        <v>369</v>
      </c>
    </row>
    <row r="336" spans="1:5" x14ac:dyDescent="0.2">
      <c r="A336" cm="1">
        <f t="array" ref="A336">NOMINAL(0.053543,4)</f>
        <v>5.2500319868356016E-2</v>
      </c>
      <c r="B336">
        <f t="shared" si="15"/>
        <v>0</v>
      </c>
      <c r="C336">
        <f t="shared" si="16"/>
        <v>5.2500319868356016E-2</v>
      </c>
      <c r="D336" t="str">
        <f t="shared" si="17"/>
        <v/>
      </c>
      <c r="E336" t="s">
        <v>370</v>
      </c>
    </row>
    <row r="337" spans="1:5" x14ac:dyDescent="0.2">
      <c r="A337" t="e" cm="1" vm="15">
        <f t="array" aca="1" ref="A337" ca="1">RIGHTB(D!A8,D!N1:N6)</f>
        <v>#VALUE!</v>
      </c>
      <c r="B337">
        <f t="shared" ca="1" si="15"/>
        <v>9</v>
      </c>
      <c r="C337">
        <f t="shared" ca="1" si="16"/>
        <v>0</v>
      </c>
      <c r="D337" t="str">
        <f t="shared" ca="1" si="17"/>
        <v/>
      </c>
      <c r="E337" t="s">
        <v>371</v>
      </c>
    </row>
    <row r="338" spans="1:5" x14ac:dyDescent="0.2">
      <c r="A338" t="e" cm="1">
        <f t="array" ref="A338">_xlfn.BITXOR(0.25,3)</f>
        <v>#NUM!</v>
      </c>
      <c r="B338">
        <f t="shared" si="15"/>
        <v>6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PERCENTRANK(D!C2,D!A12)</f>
        <v>#N/A</v>
      </c>
      <c r="B339">
        <f t="shared" si="15"/>
        <v>7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BIN2HEX(" ",FALSE)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SUM(QUOTIENT(_xlfn.CHOOSECOLS(D!L1:N6,3,3)*ACCRINTM("abc",DATE(2008,6,15),0.1,1000,100),2.5))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cm="1">
        <f t="array" ref="A342">_xlfn.CSCH(1.5)</f>
        <v>0.46964244059522464</v>
      </c>
      <c r="B342">
        <f t="shared" si="15"/>
        <v>0</v>
      </c>
      <c r="C342">
        <f t="shared" si="16"/>
        <v>0.46964244059522464</v>
      </c>
      <c r="D342" t="str">
        <f t="shared" si="17"/>
        <v/>
      </c>
      <c r="E342" t="s">
        <v>376</v>
      </c>
    </row>
    <row r="343" spans="1:5" x14ac:dyDescent="0.2">
      <c r="A343" cm="1">
        <f t="array" ref="A343">ROUND(3,1)</f>
        <v>3</v>
      </c>
      <c r="B343">
        <f t="shared" si="15"/>
        <v>0</v>
      </c>
      <c r="C343">
        <f t="shared" si="16"/>
        <v>3</v>
      </c>
      <c r="D343" t="str">
        <f t="shared" si="17"/>
        <v/>
      </c>
      <c r="E343" t="s">
        <v>377</v>
      </c>
    </row>
    <row r="344" spans="1:5" x14ac:dyDescent="0.2">
      <c r="A344" t="e" cm="1" vm="2">
        <f t="array" aca="1" ref="A344" ca="1">DAYS360(DATE(" 2 ",D!F1:F7,31),0)</f>
        <v>#VALUE!</v>
      </c>
      <c r="B344">
        <f t="shared" ca="1" si="15"/>
        <v>9</v>
      </c>
      <c r="C344">
        <f t="shared" ca="1" si="16"/>
        <v>0</v>
      </c>
      <c r="D344" t="str">
        <f t="shared" ca="1" si="17"/>
        <v/>
      </c>
      <c r="E344" t="s">
        <v>378</v>
      </c>
    </row>
    <row r="345" spans="1:5" x14ac:dyDescent="0.2">
      <c r="A345" t="str" cm="1">
        <f t="array" ref="A345">_xlfn.IMSINH(-1)</f>
        <v>-1.1752011936438</v>
      </c>
      <c r="B345">
        <f t="shared" si="15"/>
        <v>-3</v>
      </c>
      <c r="C345">
        <f t="shared" si="16"/>
        <v>0</v>
      </c>
      <c r="D345" t="str">
        <f t="shared" si="17"/>
        <v>-1.1752011936438</v>
      </c>
      <c r="E345" t="s">
        <v>379</v>
      </c>
    </row>
    <row r="346" spans="1:5" x14ac:dyDescent="0.2">
      <c r="A346" cm="1">
        <f t="array" ref="A346">LARGE(D!B1:B8,VARA(D!AZ1:AZ5))</f>
        <v>16</v>
      </c>
      <c r="B346">
        <f t="shared" si="15"/>
        <v>0</v>
      </c>
      <c r="C346">
        <f t="shared" si="16"/>
        <v>16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_xlfn.BITRSHIFT(DEVSQ(D!B1:B8,"FALSE"&gt;COLUMN(D!L4),TINV(0.05464493,10),_xlfn.Z.TEST(D!B1:B8,4)),VAR(1,D!E1:E8,4))</f>
        <v>#DIV/0!</v>
      </c>
      <c r="B347">
        <f t="shared" si="15"/>
        <v>2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cm="1">
        <f t="array" ref="A348">NORMSINV(0.908789)</f>
        <v>1.3333346730441071</v>
      </c>
      <c r="B348">
        <f t="shared" si="15"/>
        <v>0</v>
      </c>
      <c r="C348">
        <f t="shared" si="16"/>
        <v>1.3333346730441071</v>
      </c>
      <c r="D348" t="str">
        <f t="shared" si="17"/>
        <v/>
      </c>
      <c r="E348" t="s">
        <v>382</v>
      </c>
    </row>
    <row r="349" spans="1:5" x14ac:dyDescent="0.2">
      <c r="A349" cm="1">
        <f t="array" ref="A349">COUNTIF(D!E1:E8,"&gt;4")</f>
        <v>4</v>
      </c>
      <c r="B349">
        <f t="shared" si="15"/>
        <v>0</v>
      </c>
      <c r="C349">
        <f t="shared" si="16"/>
        <v>4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IPMT(0.00833333333333333,REPLACEB("abcdef",2.5,3,"x")&amp;_xlfn.POISSON.DIST(2,0,TRUE),36,0.25)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cm="1">
        <f t="array" ref="A351">IMARGUMENT("3+4i")</f>
        <v>0.92729521800161219</v>
      </c>
      <c r="B351">
        <f t="shared" si="15"/>
        <v>0</v>
      </c>
      <c r="C351">
        <f t="shared" si="16"/>
        <v>0.92729521800161219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ODDFPRICE(-1,DATE(2021,3,1),DATE(2008,10,15),DATE(2009,3,1),0.0785,0.0625,100,D!C2,1)</f>
        <v>#NUM!</v>
      </c>
      <c r="B352">
        <f t="shared" si="15"/>
        <v>6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cm="1">
        <f t="array" ref="A353">INDEX(WORKDAY(39722,151),1,1)</f>
        <v>39933</v>
      </c>
      <c r="B353">
        <f t="shared" si="15"/>
        <v>0</v>
      </c>
      <c r="C353">
        <f t="shared" si="16"/>
        <v>39933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OCT2DEC(NORMSDIST(1.333333))</f>
        <v>#NUM!</v>
      </c>
      <c r="B354">
        <f t="shared" si="15"/>
        <v>6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ROWS(IF(ROWS({1}),#NUM!,#VALUE!))</f>
        <v>#NUM!</v>
      </c>
      <c r="B355">
        <f t="shared" si="15"/>
        <v>6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COLUMNS(DISC("aBc",54058,97.975,100,1))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ISLOGICAL(2.5)^NPV(0.1,TRUE)</f>
        <v>0</v>
      </c>
      <c r="B357">
        <f t="shared" si="15"/>
        <v>0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INDEX(PRICE(DATE(2008,2,15),COUNTIFS(D!AV1:AV7,_xlfn.SEQUENCE(2,5)="FALSE"),0.0575,D!D1:D8,100,2),1,1)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_xlfn.SORTBY(D!M1:M6,D!N1:N6,-1,LOGEST(D!BB1:BB6,D!BC1:BC6),PRICEMAT(DATE(2008,2,15),DATE(2008,4,13),4,0.061,0.061))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cm="1">
        <f t="array" ref="A360">SUM(MOD(1,2))</f>
        <v>1</v>
      </c>
      <c r="B360">
        <f t="shared" si="15"/>
        <v>0</v>
      </c>
      <c r="C360">
        <f t="shared" si="16"/>
        <v>1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_xlfn.CHISQ.INV(2.5,1)+ERF(0.745)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TDIST(1.959999998,0.25,2)^_xlfn.Z.TEST(D!L1:L6,D!B3+D!A4)</f>
        <v>#NUM!</v>
      </c>
      <c r="B362">
        <f t="shared" si="15"/>
        <v>6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 vm="1">
        <f t="array" aca="1" ref="A363" ca="1">_xlfn.HSTACK(D!P1:Q2)=IMSUB("13+4i",-1)</f>
        <v>#VALUE!</v>
      </c>
      <c r="B363">
        <f t="shared" ca="1" si="15"/>
        <v>9</v>
      </c>
      <c r="C363">
        <f t="shared" ca="1" si="16"/>
        <v>0</v>
      </c>
      <c r="D363" t="str">
        <f t="shared" ca="1" si="17"/>
        <v/>
      </c>
      <c r="E363" t="s">
        <v>397</v>
      </c>
    </row>
    <row r="364" spans="1:5" x14ac:dyDescent="0.2">
      <c r="A364" t="e" cm="1">
        <f t="array" ref="A364">IMPOWER("2+3i","FALSE")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cm="1">
        <f t="array" ref="A365">IMAGINARY(D!B3)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ATAN2(1,1)</f>
        <v>0.78539816339744828</v>
      </c>
      <c r="B366">
        <f t="shared" si="15"/>
        <v>0</v>
      </c>
      <c r="C366">
        <f t="shared" si="16"/>
        <v>0.78539816339744828</v>
      </c>
      <c r="D366" t="str">
        <f t="shared" si="17"/>
        <v/>
      </c>
      <c r="E366" t="s">
        <v>400</v>
      </c>
    </row>
    <row r="367" spans="1:5" x14ac:dyDescent="0.2">
      <c r="A367" t="e" cm="1">
        <f t="array" ref="A367">_xlfn.SKEW.P(10)</f>
        <v>#DIV/0!</v>
      </c>
      <c r="B367">
        <f t="shared" si="15"/>
        <v>2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t="str" cm="1">
        <f t="array" ref="A368">INDEX(IMDIV("-238+240i","-4"),1,1)</f>
        <v>59.5-60i</v>
      </c>
      <c r="B368">
        <f t="shared" si="15"/>
        <v>-3</v>
      </c>
      <c r="C368">
        <f t="shared" si="16"/>
        <v>0</v>
      </c>
      <c r="D368" t="str">
        <f t="shared" si="17"/>
        <v>59.5-60i</v>
      </c>
      <c r="E368" t="s">
        <v>402</v>
      </c>
    </row>
    <row r="369" spans="1:5" x14ac:dyDescent="0.2">
      <c r="A369" cm="1">
        <f t="array" ref="A369">ROWS(TANH(D!A15))</f>
        <v>1</v>
      </c>
      <c r="B369">
        <f t="shared" si="15"/>
        <v>0</v>
      </c>
      <c r="C369">
        <f t="shared" si="16"/>
        <v>1</v>
      </c>
      <c r="D369" t="str">
        <f t="shared" si="17"/>
        <v/>
      </c>
      <c r="E369" t="s">
        <v>403</v>
      </c>
    </row>
    <row r="370" spans="1:5" x14ac:dyDescent="0.2">
      <c r="A370" t="str" cm="1">
        <f t="array" ref="A370">_xlfn.TEXTJOIN(";",FALSE,FREQUENCY(D!B1:B8,D!AT1:AT3))</f>
        <v>1;2;3;2</v>
      </c>
      <c r="B370">
        <f t="shared" si="15"/>
        <v>-3</v>
      </c>
      <c r="C370">
        <f t="shared" si="16"/>
        <v>0</v>
      </c>
      <c r="D370" t="str">
        <f t="shared" si="17"/>
        <v>1;2;3;2</v>
      </c>
      <c r="E370" t="s">
        <v>404</v>
      </c>
    </row>
    <row r="371" spans="1:5" x14ac:dyDescent="0.2">
      <c r="A371" cm="1">
        <f t="array" ref="A371">_xlfn.GAMMA.DIST(D!A12,9,2,FALSE)</f>
        <v>0</v>
      </c>
      <c r="B371">
        <f t="shared" si="15"/>
        <v>0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SECOND(0.70020833)</f>
        <v>18</v>
      </c>
      <c r="B372">
        <f t="shared" si="15"/>
        <v>0</v>
      </c>
      <c r="C372">
        <f t="shared" si="16"/>
        <v>18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_xlfn.TEXTJOIN(";",FALSE,VARP(_xlfn.F.DIST.RT(-1,6,_xlfn.SECH(45))))</f>
        <v>#NUM!</v>
      </c>
      <c r="B373">
        <f t="shared" si="15"/>
        <v>6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SUM(INDEX(D!AA1:AB2,"3",3))</f>
        <v>#REF!</v>
      </c>
      <c r="B374">
        <f t="shared" si="15"/>
        <v>4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COLUMNS(_xlfn.NORM.INV(0.908789,ASINH(CORREL(D!B1:B8=#NAME?,D!B2:B3)),1.5))</f>
        <v>#N/A</v>
      </c>
      <c r="B375">
        <f t="shared" si="15"/>
        <v>7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PRICEDISC(39494,39508,D!E1:E8,#N/A,D!B1)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cm="1">
        <f t="array" ref="A377">HOUR(1.25)</f>
        <v>6</v>
      </c>
      <c r="B377">
        <f t="shared" si="15"/>
        <v>0</v>
      </c>
      <c r="C377">
        <f t="shared" si="16"/>
        <v>6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SLOPE({1},D!B1:B8)&lt;&gt;ISO.CEILING(2)</f>
        <v>#N/A</v>
      </c>
      <c r="B378">
        <f t="shared" si="15"/>
        <v>7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_xlfn.BINOM.DIST.RANGE(60,#VALUE!,3)</f>
        <v>#VALUE!</v>
      </c>
      <c r="B379">
        <f t="shared" si="15"/>
        <v>3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cm="1">
        <f t="array" ref="A380">SLOPE(D!C1:C8,D!B1:B8)</f>
        <v>0.93757036670262373</v>
      </c>
      <c r="B380">
        <f t="shared" si="15"/>
        <v>0</v>
      </c>
      <c r="C380">
        <f t="shared" si="16"/>
        <v>0.93757036670262373</v>
      </c>
      <c r="D380" t="str">
        <f t="shared" si="17"/>
        <v/>
      </c>
      <c r="E380" t="s">
        <v>414</v>
      </c>
    </row>
    <row r="381" spans="1:5" x14ac:dyDescent="0.2">
      <c r="A381" cm="1">
        <f t="array" ref="A381">_xlfn.GAMMA.INV(D!A1,TRUE,_xlfn.CHISQ.DIST.RT(18.307,COUNT(D!B1:B8,{1,2;3,4},D!G1:G7,-1)))</f>
        <v>0</v>
      </c>
      <c r="B381">
        <f t="shared" si="15"/>
        <v>0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STANDARDIZE("18:30","A",1.5)^ERROR.TYPE(D!A7)</f>
        <v>#VALUE!</v>
      </c>
      <c r="B382">
        <f t="shared" si="15"/>
        <v>3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str" cm="1">
        <f t="array" ref="A383">ROUND(2.15,0)&amp;_xlfn.COMBINA(4,SQRTPI(1))</f>
        <v>24</v>
      </c>
      <c r="B383">
        <f t="shared" si="15"/>
        <v>-3</v>
      </c>
      <c r="C383">
        <f t="shared" si="16"/>
        <v>0</v>
      </c>
      <c r="D383" t="str">
        <f t="shared" si="17"/>
        <v>24</v>
      </c>
      <c r="E383" t="s">
        <v>417</v>
      </c>
    </row>
    <row r="384" spans="1:5" x14ac:dyDescent="0.2">
      <c r="A384" t="str" cm="1">
        <f t="array" ref="A384">BAHTTEXT(3)</f>
        <v>สามบาทถ้วน</v>
      </c>
      <c r="B384">
        <f t="shared" si="15"/>
        <v>-3</v>
      </c>
      <c r="C384">
        <f t="shared" si="16"/>
        <v>0</v>
      </c>
      <c r="D384" t="str">
        <f t="shared" si="17"/>
        <v>สามบาทถ้วน</v>
      </c>
      <c r="E384" t="s">
        <v>418</v>
      </c>
    </row>
    <row r="385" spans="1:5" x14ac:dyDescent="0.2">
      <c r="A385" cm="1">
        <f t="array" ref="A385">COLUMNS(STDEV(1,D!C1:C8))</f>
        <v>1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SQRTPI(_xlfn.NORM.S.DIST(1.333333,TRUE))</f>
        <v>1.6896875403526699</v>
      </c>
      <c r="B386">
        <f t="shared" si="18"/>
        <v>0</v>
      </c>
      <c r="C386">
        <f t="shared" si="19"/>
        <v>1.6896875403526699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DAVERAGE(D!M1:M6,"50%",D!AV1:AV7)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DCOUNT(D!E1:E8,GESTEP(5,SUM({"x";""}*MEDIAN("50%"),D!A12,D!K1:K8,D!AS1:AS8))+D!A7,D!B3)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str" cm="1">
        <f t="array" ref="A389">_xlfn.IMSEC("4+3i")</f>
        <v>-0.0652940278579471-0.0752249603027732i</v>
      </c>
      <c r="B389">
        <f t="shared" si="18"/>
        <v>-3</v>
      </c>
      <c r="C389">
        <f t="shared" si="19"/>
        <v>0</v>
      </c>
      <c r="D389" t="str">
        <f t="shared" si="20"/>
        <v>-0.0652940278579471-0.0752249603027732i</v>
      </c>
      <c r="E389" t="s">
        <v>423</v>
      </c>
    </row>
    <row r="390" spans="1:5" x14ac:dyDescent="0.2">
      <c r="A390" t="e" cm="1">
        <f t="array" ref="A390">PERMUT(100,"A")</f>
        <v>#VALUE!</v>
      </c>
      <c r="B390">
        <f t="shared" si="18"/>
        <v>3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SINH(D!A4)&amp;IMLN(SEARCHB("B","abc",1000)&lt;=60)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_xlfn.COVARIANCE.S(D!I1:I5,{1,2,3})</f>
        <v>#N/A</v>
      </c>
      <c r="B392">
        <f t="shared" si="18"/>
        <v>7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_xlfn.CEILING.PRECISE("2025-01-31")</f>
        <v>45688</v>
      </c>
      <c r="B393">
        <f t="shared" si="18"/>
        <v>0</v>
      </c>
      <c r="C393">
        <f t="shared" si="19"/>
        <v>45688</v>
      </c>
      <c r="D393" t="str">
        <f t="shared" si="20"/>
        <v/>
      </c>
      <c r="E393" t="s">
        <v>427</v>
      </c>
    </row>
    <row r="394" spans="1:5" x14ac:dyDescent="0.2">
      <c r="A394" t="str" cm="1">
        <f t="array" ref="A394">_xlfn.TEXTJOIN(";",FALSE,STDEVP(D!B1:B8))</f>
        <v>12.8713207728461</v>
      </c>
      <c r="B394">
        <f t="shared" si="18"/>
        <v>-3</v>
      </c>
      <c r="C394">
        <f t="shared" si="19"/>
        <v>0</v>
      </c>
      <c r="D394" t="str">
        <f t="shared" si="20"/>
        <v>12.8713207728461</v>
      </c>
      <c r="E394" t="s">
        <v>428</v>
      </c>
    </row>
    <row r="395" spans="1:5" x14ac:dyDescent="0.2">
      <c r="A395" t="e" cm="1" vm="11">
        <f t="array" aca="1" ref="A395" ca="1">IMLN(AVERAGEIF(D!B1:B8,"50%",D!A1:A5))&lt;_xlfn.GAUSS(_xlfn.NORM.DIST(1000,-1,{0.5;-1},TRUE))</f>
        <v>#VALUE!</v>
      </c>
      <c r="B395">
        <f t="shared" ca="1" si="18"/>
        <v>9</v>
      </c>
      <c r="C395">
        <f t="shared" ca="1" si="19"/>
        <v>0</v>
      </c>
      <c r="D395" t="str">
        <f t="shared" ca="1" si="20"/>
        <v/>
      </c>
      <c r="E395" t="s">
        <v>429</v>
      </c>
    </row>
    <row r="396" spans="1:5" x14ac:dyDescent="0.2">
      <c r="A396" t="e" cm="1">
        <f t="array" ref="A396">DMIN(D!B1:B3,"Yield",D!N2)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COMBIN(8,2)</f>
        <v>28</v>
      </c>
      <c r="B397">
        <f t="shared" si="18"/>
        <v>0</v>
      </c>
      <c r="C397">
        <f t="shared" si="19"/>
        <v>28</v>
      </c>
      <c r="D397" t="str">
        <f t="shared" si="20"/>
        <v/>
      </c>
      <c r="E397" t="s">
        <v>431</v>
      </c>
    </row>
    <row r="398" spans="1:5" x14ac:dyDescent="0.2">
      <c r="A398" t="e" cm="1" vm="16">
        <f t="array" aca="1" ref="A398" ca="1">_xlfn.TOROW(D!P4:R5)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432</v>
      </c>
    </row>
    <row r="399" spans="1:5" x14ac:dyDescent="0.2">
      <c r="A399" t="e" cm="1">
        <f t="array" ref="A399">_xlfn.T.DIST.2T(1.959999998,0)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IMDIV(D!A13,"10+24i")&lt;_xlfn.NEGBINOM.DIST(10,5,60,TRUE)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2026-10-07T05:15:41Z</dcterms:created>
  <dcterms:modified xsi:type="dcterms:W3CDTF">2026-10-07T05:15:42Z</dcterms:modified>
  <cp:category/>
</cp:coreProperties>
</file>