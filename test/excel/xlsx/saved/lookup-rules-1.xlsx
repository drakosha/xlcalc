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BA59D98-E892-634B-AB7D-538D06AEA3E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Lk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 a="1"/>
  <c r="A14" i="3" s="1"/>
  <c r="A13" i="3" a="1"/>
  <c r="A13" i="3" s="1"/>
  <c r="C13" i="3" s="1"/>
  <c r="A12" i="3" a="1"/>
  <c r="A12" i="3" s="1"/>
  <c r="A11" i="3" a="1"/>
  <c r="A11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E2" i="1" a="1"/>
  <c r="D2" i="3" l="1"/>
  <c r="C2" i="3"/>
  <c r="B2" i="3"/>
  <c r="C4" i="3"/>
  <c r="B4" i="3"/>
  <c r="D4" i="3"/>
  <c r="C6" i="3"/>
  <c r="B6" i="3"/>
  <c r="D6" i="3"/>
  <c r="D11" i="3"/>
  <c r="C11" i="3"/>
  <c r="B11" i="3"/>
  <c r="D1" i="3"/>
  <c r="C1" i="3"/>
  <c r="B1" i="3"/>
  <c r="D3" i="3"/>
  <c r="C3" i="3"/>
  <c r="B3" i="3"/>
  <c r="D5" i="3"/>
  <c r="C5" i="3"/>
  <c r="B5" i="3"/>
  <c r="C7" i="3"/>
  <c r="B7" i="3"/>
  <c r="D7" i="3"/>
  <c r="D8" i="3"/>
  <c r="C8" i="3"/>
  <c r="B8" i="3"/>
  <c r="D12" i="3"/>
  <c r="C12" i="3"/>
  <c r="B12" i="3"/>
  <c r="E2" i="1"/>
  <c r="A10" i="3" a="1"/>
  <c r="A10" i="3" s="1"/>
  <c r="D14" i="3"/>
  <c r="C14" i="3"/>
  <c r="B14" i="3"/>
  <c r="A9" i="3" a="1"/>
  <c r="A9" i="3" s="1"/>
  <c r="D13" i="3"/>
  <c r="B13" i="3"/>
  <c r="D9" i="3" l="1"/>
  <c r="C9" i="3"/>
  <c r="B9" i="3"/>
  <c r="C10" i="3"/>
  <c r="B10" i="3"/>
  <c r="D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<sst xmlns="http://schemas.openxmlformats.org/spreadsheetml/2006/main" count="80" uniqueCount="57">
  <si>
    <t>b2</t>
  </si>
  <si>
    <t>c2</t>
  </si>
  <si>
    <t>b3</t>
  </si>
  <si>
    <t>c3</t>
  </si>
  <si>
    <t>g3</t>
  </si>
  <si>
    <t>b4</t>
  </si>
  <si>
    <t>e4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</si>
  <si>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</si>
  <si>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</si>
  <si>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</si>
  <si>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</si>
  <si>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</si>
  <si>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</si>
  <si>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</si>
  <si>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</si>
  <si>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</si>
  <si>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</si>
  <si>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</si>
  <si>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</si>
  <si>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</si>
  <si>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</si>
  <si>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</si>
  <si>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</si>
  <si>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</si>
  <si>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</si>
  <si>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</si>
  <si>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</si>
  <si>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</si>
  <si>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</si>
  <si>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</si>
  <si>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</si>
  <si>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</si>
  <si>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</si>
  <si>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</si>
  <si>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</si>
  <si>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</si>
  <si>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</si>
  <si>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</si>
  <si>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</si>
  <si>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</si>
  <si>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</si>
  <si>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</si>
  <si>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SORTBY#1</t>
  </si>
  <si>
    <t>SORTBY#2</t>
  </si>
  <si>
    <t>SORTBY#3</t>
  </si>
  <si>
    <t>SORTBY#4</t>
  </si>
  <si>
    <t>SORTBY#5</t>
  </si>
  <si>
    <t>SORTBY#6</t>
  </si>
  <si>
    <t>SORTBY#7</t>
  </si>
  <si>
    <t>SORTBY#8</t>
  </si>
  <si>
    <t>LOOKUP#1</t>
  </si>
  <si>
    <t>LOOKUP#2</t>
  </si>
  <si>
    <t>LOOKUP#3</t>
  </si>
  <si>
    <t>LOOKUP#4</t>
  </si>
  <si>
    <t>LOOKUP#5</t>
  </si>
  <si>
    <t>LOOKUP#6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</si>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</sst>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tabSelected="1" workbookViewId="0"/>
  </sheetViews>
  <sheetFormatPr baseColWidth="10" defaultColWidth="8.83203125" defaultRowHeight="15" x14ac:dyDescent="0.2"/>
  <sheetData>
    <row r="2" spans="2:7" x14ac:dyDescent="0.2">
      <c r="B2" t="s">
        <v>0</v>
      </c>
      <c r="C2" t="s">
        <v>1</v>
      </c>
      <c r="E2" cm="1">
        <f t="array" ref="E2:E3">_xlfn.SEQUENCE(2)</f>
        <v>1</v>
      </c>
    </row>
    <row r="3" spans="2:7" x14ac:dyDescent="0.2">
      <c r="B3" t="s">
        <v>2</v>
      </c>
      <c r="C3" t="s">
        <v>3</v>
      </c>
      <c r="E3">
        <v>2</v>
      </c>
      <c r="G3" t="s">
        <v>4</v>
      </c>
    </row>
    <row r="4" spans="2:7" x14ac:dyDescent="0.2">
      <c r="B4" t="s">
        <v>5</v>
      </c>
      <c r="E4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7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8</v>
      </c>
      <c r="N1">
        <v>10</v>
      </c>
      <c r="P1">
        <v>1</v>
      </c>
      <c r="Q1">
        <v>2</v>
      </c>
      <c r="R1">
        <v>5</v>
      </c>
      <c r="S1">
        <v>6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AA1" t="s">
        <v>9</v>
      </c>
      <c r="AB1" t="s">
        <v>10</v>
      </c>
      <c r="AC1" t="s">
        <v>9</v>
      </c>
      <c r="AD1" t="s">
        <v>9</v>
      </c>
      <c r="AE1" t="s">
        <v>9</v>
      </c>
      <c r="AF1" t="s">
        <v>9</v>
      </c>
      <c r="AG1" t="s">
        <v>9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14</v>
      </c>
    </row>
    <row r="2" spans="1:60" x14ac:dyDescent="0.2">
      <c r="A2" t="s">
        <v>15</v>
      </c>
      <c r="B2">
        <v>8</v>
      </c>
      <c r="C2">
        <v>7</v>
      </c>
      <c r="D2" t="s">
        <v>15</v>
      </c>
      <c r="E2">
        <v>2</v>
      </c>
      <c r="F2" t="s">
        <v>16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17</v>
      </c>
      <c r="N2">
        <v>20</v>
      </c>
      <c r="P2">
        <v>3</v>
      </c>
      <c r="Q2">
        <v>4</v>
      </c>
      <c r="R2">
        <v>7</v>
      </c>
      <c r="S2">
        <v>8</v>
      </c>
      <c r="U2" t="s">
        <v>18</v>
      </c>
      <c r="V2">
        <v>18</v>
      </c>
      <c r="W2">
        <v>20</v>
      </c>
      <c r="X2">
        <v>14</v>
      </c>
      <c r="Y2">
        <v>105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24</v>
      </c>
      <c r="B3">
        <v>15</v>
      </c>
      <c r="C3">
        <v>11</v>
      </c>
      <c r="D3" t="s">
        <v>24</v>
      </c>
      <c r="E3" t="e">
        <f>1/0</f>
        <v>#DIV/0!</v>
      </c>
      <c r="F3" t="s">
        <v>25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26</v>
      </c>
      <c r="N3">
        <v>30</v>
      </c>
      <c r="U3" t="s">
        <v>20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24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27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28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29</v>
      </c>
      <c r="N4">
        <v>50</v>
      </c>
      <c r="P4">
        <v>1</v>
      </c>
      <c r="Q4">
        <v>2</v>
      </c>
      <c r="R4">
        <v>3</v>
      </c>
      <c r="U4" t="s">
        <v>22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14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30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31</v>
      </c>
      <c r="N5">
        <v>80</v>
      </c>
      <c r="P5">
        <v>4</v>
      </c>
      <c r="Q5">
        <v>5</v>
      </c>
      <c r="R5">
        <v>6</v>
      </c>
      <c r="U5" t="s">
        <v>18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32</v>
      </c>
      <c r="AP5" s="1">
        <v>39786</v>
      </c>
      <c r="AS5" t="s">
        <v>33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34</v>
      </c>
      <c r="G6">
        <v>32</v>
      </c>
      <c r="H6" s="1">
        <v>45473</v>
      </c>
      <c r="L6">
        <v>13</v>
      </c>
      <c r="M6" t="s">
        <v>35</v>
      </c>
      <c r="N6">
        <v>130</v>
      </c>
      <c r="U6" t="s">
        <v>20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36</v>
      </c>
      <c r="G7">
        <v>64</v>
      </c>
      <c r="H7" s="1">
        <v>46022</v>
      </c>
      <c r="I7">
        <v>-10000</v>
      </c>
      <c r="J7">
        <v>100</v>
      </c>
      <c r="U7" t="s">
        <v>18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37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38</v>
      </c>
      <c r="AU8" s="1">
        <v>39448</v>
      </c>
      <c r="BG8">
        <v>2</v>
      </c>
    </row>
    <row r="9" spans="1:60" x14ac:dyDescent="0.2">
      <c r="A9" t="s">
        <v>39</v>
      </c>
      <c r="I9">
        <v>4200</v>
      </c>
      <c r="J9">
        <v>300</v>
      </c>
      <c r="L9" t="s">
        <v>8</v>
      </c>
      <c r="M9" t="s">
        <v>17</v>
      </c>
      <c r="N9" t="s">
        <v>26</v>
      </c>
      <c r="O9" t="s">
        <v>29</v>
      </c>
      <c r="P9" t="s">
        <v>31</v>
      </c>
      <c r="Q9" t="s">
        <v>35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40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41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_xlfn.ARRAYTOTEXT(_xlfn.SORTBY(D!M1:M6,D!N1:N6,{2;-1}),1)</f>
        <v>{#VALUE!;"thirteen"}</v>
      </c>
      <c r="B1">
        <f t="shared" ref="B1:B14" si="0">IF(ISERROR(A1),ERROR.TYPE(A1),IF(ISNUMBER(A1),0,IF(ISLOGICAL(A1),IF(A1,-1,-2),IF(ISTEXT(A1),-3,-4))))</f>
        <v>-3</v>
      </c>
      <c r="C1">
        <f t="shared" ref="C1:C14" si="1">IF(ISNUMBER(A1),A1,0)</f>
        <v>0</v>
      </c>
      <c r="D1" t="str">
        <f t="shared" ref="D1:D14" si="2">IF(ISTEXT(A1),A1,"")</f>
        <v>{#VALUE!;"thirteen"}</v>
      </c>
      <c r="E1" t="s">
        <v>42</v>
      </c>
    </row>
    <row r="2" spans="1:5" x14ac:dyDescent="0.2">
      <c r="A2" t="str" cm="1">
        <f t="array" ref="A2">_xlfn.ARRAYTOTEXT(_xlfn.SORTBY(D!M1:M6,D!N1:N6,{#N/A;-1;1}),1)</f>
        <v>{#N/A;"thirteen";}</v>
      </c>
      <c r="B2">
        <f t="shared" si="0"/>
        <v>-3</v>
      </c>
      <c r="C2">
        <f t="shared" si="1"/>
        <v>0</v>
      </c>
      <c r="D2" t="str">
        <f t="shared" si="2"/>
        <v>{#N/A;"thirteen";}</v>
      </c>
      <c r="E2" t="s">
        <v>43</v>
      </c>
    </row>
    <row r="3" spans="1:5" x14ac:dyDescent="0.2">
      <c r="A3" t="str" cm="1">
        <f t="array" ref="A3">_xlfn.ARRAYTOTEXT(_xlfn.SORTBY(D!M1:M6,D!N1:N6,{2,1;-1,1}),1)</f>
        <v>{#VALUE!,"one";,}</v>
      </c>
      <c r="B3">
        <f t="shared" si="0"/>
        <v>-3</v>
      </c>
      <c r="C3">
        <f t="shared" si="1"/>
        <v>0</v>
      </c>
      <c r="D3" t="str">
        <f t="shared" si="2"/>
        <v>{#VALUE!,"one";,}</v>
      </c>
      <c r="E3" t="s">
        <v>44</v>
      </c>
    </row>
    <row r="4" spans="1:5" x14ac:dyDescent="0.2">
      <c r="A4" t="str" cm="1">
        <f t="array" ref="A4">_xlfn.ARRAYTOTEXT(_xlfn.SORTBY(D!B1:B8,D!C1:C8,{1;-1},D!B1:B8,{#N/A;1}),1)</f>
        <v>{#N/A;42}</v>
      </c>
      <c r="B4">
        <f t="shared" si="0"/>
        <v>-3</v>
      </c>
      <c r="C4">
        <f t="shared" si="1"/>
        <v>0</v>
      </c>
      <c r="D4" t="str">
        <f t="shared" si="2"/>
        <v>{#N/A;42}</v>
      </c>
      <c r="E4" t="s">
        <v>45</v>
      </c>
    </row>
    <row r="5" spans="1:5" x14ac:dyDescent="0.2">
      <c r="A5" t="str" cm="1">
        <f t="array" ref="A5">_xlfn.ARRAYTOTEXT(_xlfn.SORTBY(D!B1:B8,D!C1:C8,{1;-1},D!B1:B8,1),1)</f>
        <v>{-3.5;#VALUE!}</v>
      </c>
      <c r="B5">
        <f t="shared" si="0"/>
        <v>-3</v>
      </c>
      <c r="C5">
        <f t="shared" si="1"/>
        <v>0</v>
      </c>
      <c r="D5" t="str">
        <f t="shared" si="2"/>
        <v>{-3.5;#VALUE!}</v>
      </c>
      <c r="E5" t="s">
        <v>46</v>
      </c>
    </row>
    <row r="6" spans="1:5" x14ac:dyDescent="0.2">
      <c r="A6" t="str" cm="1">
        <f t="array" ref="A6">_xlfn.ARRAYTOTEXT(_xlfn.SORTBY(D!B1:B8,D!C1:C8,{1;-1},D!B1:B8,{1;-1;1}),1)</f>
        <v>{-3.5;#VALUE!;#N/A}</v>
      </c>
      <c r="B6">
        <f t="shared" si="0"/>
        <v>-3</v>
      </c>
      <c r="C6">
        <f t="shared" si="1"/>
        <v>0</v>
      </c>
      <c r="D6" t="str">
        <f t="shared" si="2"/>
        <v>{-3.5;#VALUE!;#N/A}</v>
      </c>
      <c r="E6" t="s">
        <v>47</v>
      </c>
    </row>
    <row r="7" spans="1:5" x14ac:dyDescent="0.2">
      <c r="A7" t="str" cm="1">
        <f t="array" ref="A7">_xlfn.ARRAYTOTEXT(_xlfn.SORTBY(D!B1:B8,1/0,{1;#N/A}),1)</f>
        <v>{#DIV/0!;#DIV/0!}</v>
      </c>
      <c r="B7">
        <f t="shared" si="0"/>
        <v>-3</v>
      </c>
      <c r="C7">
        <f t="shared" si="1"/>
        <v>0</v>
      </c>
      <c r="D7" t="str">
        <f t="shared" si="2"/>
        <v>{#DIV/0!;#DIV/0!}</v>
      </c>
      <c r="E7" t="s">
        <v>48</v>
      </c>
    </row>
    <row r="8" spans="1:5" x14ac:dyDescent="0.2">
      <c r="A8" t="str" cm="1">
        <f t="array" ref="A8">_xlfn.ARRAYTOTEXT(_xlfn.SORTBY(D!B1:B8,D!C1:C7,{1;#N/A}),1)</f>
        <v>{#VALUE!;#N/A}</v>
      </c>
      <c r="B8">
        <f t="shared" si="0"/>
        <v>-3</v>
      </c>
      <c r="C8">
        <f t="shared" si="1"/>
        <v>0</v>
      </c>
      <c r="D8" t="str">
        <f t="shared" si="2"/>
        <v>{#VALUE!;#N/A}</v>
      </c>
      <c r="E8" t="s">
        <v>49</v>
      </c>
    </row>
    <row r="9" spans="1:5" x14ac:dyDescent="0.2">
      <c r="A9" t="str" cm="1">
        <f t="array" aca="1" ref="A9" ca="1">LOOKUP(4.19,D!L1:L6,_xlfn.ANCHORARRAY(Lk!E2))&amp;""</f>
        <v>e4</v>
      </c>
      <c r="B9">
        <f t="shared" ca="1" si="0"/>
        <v>-3</v>
      </c>
      <c r="C9">
        <f t="shared" ca="1" si="1"/>
        <v>0</v>
      </c>
      <c r="D9" t="str">
        <f t="shared" ca="1" si="2"/>
        <v>e4</v>
      </c>
      <c r="E9" t="s">
        <v>50</v>
      </c>
    </row>
    <row r="10" spans="1:5" x14ac:dyDescent="0.2">
      <c r="A10" t="str" cm="1">
        <f t="array" aca="1" ref="A10" ca="1">LOOKUP(4.19,D!L1:L6,_xlfn.TAKE(_xlfn.ANCHORARRAY(Lk!E2),-1))&amp;""</f>
        <v>g3</v>
      </c>
      <c r="B10">
        <f t="shared" ca="1" si="0"/>
        <v>-3</v>
      </c>
      <c r="C10">
        <f t="shared" ca="1" si="1"/>
        <v>0</v>
      </c>
      <c r="D10" t="str">
        <f t="shared" ca="1" si="2"/>
        <v>g3</v>
      </c>
      <c r="E10" t="s">
        <v>51</v>
      </c>
    </row>
    <row r="11" spans="1:5" x14ac:dyDescent="0.2">
      <c r="A11" t="str" cm="1">
        <f t="array" aca="1" ref="A11" ca="1">LOOKUP(4.19,D!L1:L6,(Lk!B2:B3))&amp;""</f>
        <v>b4</v>
      </c>
      <c r="B11">
        <f t="shared" ca="1" si="0"/>
        <v>-3</v>
      </c>
      <c r="C11">
        <f t="shared" ca="1" si="1"/>
        <v>0</v>
      </c>
      <c r="D11" t="str">
        <f t="shared" ca="1" si="2"/>
        <v>b4</v>
      </c>
      <c r="E11" t="s">
        <v>52</v>
      </c>
    </row>
    <row r="12" spans="1:5" x14ac:dyDescent="0.2">
      <c r="A12" t="str" cm="1">
        <f t="array" aca="1" ref="A12" ca="1">LOOKUP(4.19,D!L1:L6,Lk!B2:'Lk'!B3)&amp;""</f>
        <v>b4</v>
      </c>
      <c r="B12">
        <f t="shared" ca="1" si="0"/>
        <v>-3</v>
      </c>
      <c r="C12">
        <f t="shared" ca="1" si="1"/>
        <v>0</v>
      </c>
      <c r="D12" t="str">
        <f t="shared" ca="1" si="2"/>
        <v>b4</v>
      </c>
      <c r="E12" t="s">
        <v>53</v>
      </c>
    </row>
    <row r="13" spans="1:5" x14ac:dyDescent="0.2">
      <c r="A13" t="str" cm="1">
        <f t="array" aca="1" ref="A13" ca="1">LOOKUP(2,D!L1:L6,INDEX(Lk!B2:B3,2))&amp;""</f>
        <v>c3</v>
      </c>
      <c r="B13">
        <f t="shared" ca="1" si="0"/>
        <v>-3</v>
      </c>
      <c r="C13">
        <f t="shared" ca="1" si="1"/>
        <v>0</v>
      </c>
      <c r="D13" t="str">
        <f t="shared" ca="1" si="2"/>
        <v>c3</v>
      </c>
      <c r="E13" t="s">
        <v>54</v>
      </c>
    </row>
    <row r="14" spans="1:5" x14ac:dyDescent="0.2">
      <c r="A14" t="str" cm="1">
        <f t="array" ref="A14">LOOKUP(4.19,D!L1:L6+0,IF(TRUE,Lk!B2:B3))&amp;""</f>
        <v>b4</v>
      </c>
      <c r="B14">
        <f t="shared" si="0"/>
        <v>-3</v>
      </c>
      <c r="C14">
        <f t="shared" si="1"/>
        <v>0</v>
      </c>
      <c r="D14" t="str">
        <f t="shared" si="2"/>
        <v>b4</v>
      </c>
      <c r="E14" t="s">
        <v>55</v>
      </c>
    </row>
    <row r="15" spans="1:5" x14ac:dyDescent="0.2">
      <c r="A15" t="s">
        <v>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Lk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2026-10-09T22:47:41Z</dcterms:created>
  <dcterms:modified xsi:type="dcterms:W3CDTF">2026-10-09T22:47:42Z</dcterms:modified>
  <cp:category/>
</cp:coreProperties>
</file>