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3DF0AE3D-FD4E-FB40-8044-75BCA6FC7B0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d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 a="1"/>
  <c r="A16" i="3" s="1"/>
  <c r="A15" i="3" a="1"/>
  <c r="A15" i="3" s="1"/>
  <c r="C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/>
  <c r="C8" i="3" s="1"/>
  <c r="A7" i="3" a="1"/>
  <c r="A7" i="3" s="1"/>
  <c r="A6" i="3" a="1"/>
  <c r="A6" i="3" s="1"/>
  <c r="A5" i="3" a="1"/>
  <c r="A5" i="3" s="1"/>
  <c r="D5" i="3" s="1"/>
  <c r="A4" i="3" a="1"/>
  <c r="A4" i="3"/>
  <c r="C4" i="3" s="1"/>
  <c r="A3" i="3" a="1"/>
  <c r="A3" i="3" s="1"/>
  <c r="A2" i="3" a="1"/>
  <c r="A2" i="3"/>
  <c r="B2" i="3" s="1"/>
  <c r="A1" i="3" a="1"/>
  <c r="A1" i="3" s="1"/>
  <c r="B1" i="3" s="1"/>
  <c r="I15" i="2"/>
  <c r="A14" i="2"/>
  <c r="A13" i="2"/>
  <c r="AL10" i="2"/>
  <c r="A8" i="2"/>
  <c r="A7" i="2"/>
  <c r="E3" i="2"/>
  <c r="B9" i="3" l="1"/>
  <c r="D9" i="3"/>
  <c r="C9" i="3"/>
  <c r="B11" i="3"/>
  <c r="C11" i="3"/>
  <c r="C2" i="3"/>
  <c r="D2" i="3"/>
  <c r="D6" i="3"/>
  <c r="C6" i="3"/>
  <c r="B6" i="3"/>
  <c r="D12" i="3"/>
  <c r="C12" i="3"/>
  <c r="B12" i="3"/>
  <c r="D3" i="3"/>
  <c r="B3" i="3"/>
  <c r="C3" i="3"/>
  <c r="D13" i="3"/>
  <c r="C13" i="3"/>
  <c r="B13" i="3"/>
  <c r="C14" i="3"/>
  <c r="D14" i="3"/>
  <c r="B14" i="3"/>
  <c r="C7" i="3"/>
  <c r="D7" i="3"/>
  <c r="B7" i="3"/>
  <c r="B10" i="3"/>
  <c r="D10" i="3"/>
  <c r="C10" i="3"/>
  <c r="D16" i="3"/>
  <c r="C16" i="3"/>
  <c r="B16" i="3"/>
  <c r="B4" i="3"/>
  <c r="D11" i="3"/>
  <c r="B15" i="3"/>
  <c r="D4" i="3"/>
  <c r="D15" i="3"/>
  <c r="C1" i="3"/>
  <c r="D8" i="3"/>
  <c r="D1" i="3"/>
  <c r="B5" i="3"/>
  <c r="B8" i="3"/>
  <c r="C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<sst xmlns="http://schemas.openxmlformats.org/spreadsheetml/2006/main" count="80" uniqueCount="57">
  <si>
    <t>100€</t>
  </si>
  <si>
    <t xml:space="preserve"> €100 </t>
  </si>
  <si>
    <t>$100</t>
  </si>
  <si>
    <t>(€100)</t>
  </si>
  <si>
    <t>€1 1/2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</si>
  <si>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</si>
  <si>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</si>
  <si>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</si>
  <si>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</si>
  <si>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</si>
  <si>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</si>
  <si>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</si>
  <si>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</si>
  <si>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</si>
  <si>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</si>
  <si>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</si>
  <si>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</si>
  <si>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</si>
  <si>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</si>
  <si>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</si>
  <si>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</si>
  <si>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</si>
  <si>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</si>
  <si>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</si>
  <si>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</si>
  <si>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</si>
  <si>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</si>
  <si>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</si>
  <si>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</si>
  <si>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</si>
  <si>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</si>
  <si>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</si>
  <si>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</si>
  <si>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</si>
  <si>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</si>
  <si>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</si>
  <si>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</si>
  <si>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</si>
  <si>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</si>
  <si>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</si>
  <si>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VALUE#1</t>
  </si>
  <si>
    <t>VALUE#2</t>
  </si>
  <si>
    <t>VALUE#3</t>
  </si>
  <si>
    <t>VALUE#4</t>
  </si>
  <si>
    <t>VALUE#5</t>
  </si>
  <si>
    <t>VALUE#6</t>
  </si>
  <si>
    <t>VALUE#7</t>
  </si>
  <si>
    <t>ABS#1</t>
  </si>
  <si>
    <t>COUNTIF#1</t>
  </si>
  <si>
    <t>COUNTIF#2</t>
  </si>
  <si>
    <t>COUNTIF#3</t>
  </si>
  <si>
    <t>COUNTIF#4</t>
  </si>
  <si>
    <t>COUNTIF#5</t>
  </si>
  <si>
    <t>COUNTIF#6</t>
  </si>
  <si>
    <t>SUMIF#1</t>
  </si>
  <si>
    <t>COUNTIFS#1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</si>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</sst>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v>1</v>
      </c>
    </row>
    <row r="2" spans="1:2" x14ac:dyDescent="0.2">
      <c r="A2" t="s">
        <v>1</v>
      </c>
      <c r="B2">
        <v>2</v>
      </c>
    </row>
    <row r="3" spans="1:2" x14ac:dyDescent="0.2">
      <c r="A3" t="s">
        <v>2</v>
      </c>
      <c r="B3">
        <v>4</v>
      </c>
    </row>
    <row r="4" spans="1:2" x14ac:dyDescent="0.2">
      <c r="A4" t="s">
        <v>3</v>
      </c>
      <c r="B4">
        <v>8</v>
      </c>
    </row>
    <row r="5" spans="1:2" x14ac:dyDescent="0.2">
      <c r="A5" t="s">
        <v>4</v>
      </c>
      <c r="B5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12</v>
      </c>
    </row>
    <row r="2" spans="1:60" x14ac:dyDescent="0.2">
      <c r="A2" t="s">
        <v>13</v>
      </c>
      <c r="B2">
        <v>8</v>
      </c>
      <c r="C2">
        <v>7</v>
      </c>
      <c r="D2" t="s">
        <v>13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22</v>
      </c>
      <c r="B3">
        <v>15</v>
      </c>
      <c r="C3">
        <v>11</v>
      </c>
      <c r="D3" t="s">
        <v>22</v>
      </c>
      <c r="E3" t="e">
        <f>1/0</f>
        <v>#DIV/0!</v>
      </c>
      <c r="F3" t="s">
        <v>23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24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22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25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26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27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12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28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29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30</v>
      </c>
      <c r="AP5" s="1">
        <v>39786</v>
      </c>
      <c r="AS5" t="s">
        <v>31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32</v>
      </c>
      <c r="G6">
        <v>32</v>
      </c>
      <c r="H6" s="1">
        <v>45473</v>
      </c>
      <c r="L6">
        <v>13</v>
      </c>
      <c r="M6" t="s">
        <v>33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34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36</v>
      </c>
      <c r="AU8" s="1">
        <v>39448</v>
      </c>
      <c r="BG8">
        <v>2</v>
      </c>
    </row>
    <row r="9" spans="1:60" x14ac:dyDescent="0.2">
      <c r="A9" t="s">
        <v>37</v>
      </c>
      <c r="I9">
        <v>4200</v>
      </c>
      <c r="J9">
        <v>300</v>
      </c>
      <c r="L9" t="s">
        <v>6</v>
      </c>
      <c r="M9" t="s">
        <v>15</v>
      </c>
      <c r="N9" t="s">
        <v>24</v>
      </c>
      <c r="O9" t="s">
        <v>27</v>
      </c>
      <c r="P9" t="s">
        <v>29</v>
      </c>
      <c r="Q9" t="s">
        <v>33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38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39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VALUE("$ 1 1/2")</f>
        <v>1.5</v>
      </c>
      <c r="B1">
        <f t="shared" ref="B1:B16" si="0">IF(ISERROR(A1),ERROR.TYPE(A1),IF(ISNUMBER(A1),0,IF(ISLOGICAL(A1),IF(A1,-1,-2),IF(ISTEXT(A1),-3,-4))))</f>
        <v>0</v>
      </c>
      <c r="C1">
        <f t="shared" ref="C1:C16" si="1">IF(ISNUMBER(A1),A1,0)</f>
        <v>1.5</v>
      </c>
      <c r="D1" t="str">
        <f t="shared" ref="D1:D16" si="2">IF(ISTEXT(A1),A1,"")</f>
        <v/>
      </c>
      <c r="E1" t="s">
        <v>40</v>
      </c>
    </row>
    <row r="2" spans="1:5" x14ac:dyDescent="0.2">
      <c r="A2" cm="1">
        <f t="array" ref="A2">VALUE("-$1 1/2")</f>
        <v>-1.5</v>
      </c>
      <c r="B2">
        <f t="shared" si="0"/>
        <v>0</v>
      </c>
      <c r="C2">
        <f t="shared" si="1"/>
        <v>-1.5</v>
      </c>
      <c r="D2" t="str">
        <f t="shared" si="2"/>
        <v/>
      </c>
      <c r="E2" t="s">
        <v>41</v>
      </c>
    </row>
    <row r="3" spans="1:5" x14ac:dyDescent="0.2">
      <c r="A3" cm="1">
        <f t="array" ref="A3">VALUE("(1 1/2)")</f>
        <v>-1.5</v>
      </c>
      <c r="B3">
        <f t="shared" si="0"/>
        <v>0</v>
      </c>
      <c r="C3">
        <f t="shared" si="1"/>
        <v>-1.5</v>
      </c>
      <c r="D3" t="str">
        <f t="shared" si="2"/>
        <v/>
      </c>
      <c r="E3" t="s">
        <v>42</v>
      </c>
    </row>
    <row r="4" spans="1:5" x14ac:dyDescent="0.2">
      <c r="A4" cm="1">
        <f t="array" ref="A4">VALUE("($1 1/2)")</f>
        <v>-1.5</v>
      </c>
      <c r="B4">
        <f t="shared" si="0"/>
        <v>0</v>
      </c>
      <c r="C4">
        <f t="shared" si="1"/>
        <v>-1.5</v>
      </c>
      <c r="D4" t="str">
        <f t="shared" si="2"/>
        <v/>
      </c>
      <c r="E4" t="s">
        <v>43</v>
      </c>
    </row>
    <row r="5" spans="1:5" x14ac:dyDescent="0.2">
      <c r="A5" cm="1">
        <f t="array" ref="A5">VALUE("1 1/2%")</f>
        <v>1.4999999999999999E-2</v>
      </c>
      <c r="B5">
        <f t="shared" si="0"/>
        <v>0</v>
      </c>
      <c r="C5">
        <f t="shared" si="1"/>
        <v>1.4999999999999999E-2</v>
      </c>
      <c r="D5" t="str">
        <f t="shared" si="2"/>
        <v/>
      </c>
      <c r="E5" t="s">
        <v>44</v>
      </c>
    </row>
    <row r="6" spans="1:5" x14ac:dyDescent="0.2">
      <c r="A6" t="e" cm="1">
        <f t="array" ref="A6">VALUE("$1 1/2%")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45</v>
      </c>
    </row>
    <row r="7" spans="1:5" x14ac:dyDescent="0.2">
      <c r="A7" cm="1">
        <f t="array" ref="A7">"1 1/2"+"$1 1/2"</f>
        <v>3</v>
      </c>
      <c r="B7">
        <f t="shared" si="0"/>
        <v>0</v>
      </c>
      <c r="C7">
        <f t="shared" si="1"/>
        <v>3</v>
      </c>
      <c r="D7" t="str">
        <f t="shared" si="2"/>
        <v/>
      </c>
      <c r="E7" t="s">
        <v>46</v>
      </c>
    </row>
    <row r="8" spans="1:5" x14ac:dyDescent="0.2">
      <c r="A8" cm="1">
        <f t="array" ref="A8">ABS("(2 1/4€)")</f>
        <v>2.25</v>
      </c>
      <c r="B8">
        <f t="shared" si="0"/>
        <v>0</v>
      </c>
      <c r="C8">
        <f t="shared" si="1"/>
        <v>2.25</v>
      </c>
      <c r="D8" t="str">
        <f t="shared" si="2"/>
        <v/>
      </c>
      <c r="E8" t="s">
        <v>47</v>
      </c>
    </row>
    <row r="9" spans="1:5" x14ac:dyDescent="0.2">
      <c r="A9" cm="1">
        <f t="array" ref="A9">COUNTIF(Ed!A1:A5,100)</f>
        <v>3</v>
      </c>
      <c r="B9">
        <f t="shared" si="0"/>
        <v>0</v>
      </c>
      <c r="C9">
        <f t="shared" si="1"/>
        <v>3</v>
      </c>
      <c r="D9" t="str">
        <f t="shared" si="2"/>
        <v/>
      </c>
      <c r="E9" t="s">
        <v>48</v>
      </c>
    </row>
    <row r="10" spans="1:5" x14ac:dyDescent="0.2">
      <c r="A10" cm="1">
        <f t="array" ref="A10">COUNTIF(Ed!A1:A5,-100)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49</v>
      </c>
    </row>
    <row r="11" spans="1:5" x14ac:dyDescent="0.2">
      <c r="A11" cm="1">
        <f t="array" ref="A11">COUNTIF(Ed!A1:A5,1.5)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50</v>
      </c>
    </row>
    <row r="12" spans="1:5" x14ac:dyDescent="0.2">
      <c r="A12" cm="1">
        <f t="array" ref="A12">COUNTIF(Ed!A1:A5,"=100")</f>
        <v>3</v>
      </c>
      <c r="B12">
        <f t="shared" si="0"/>
        <v>0</v>
      </c>
      <c r="C12">
        <f t="shared" si="1"/>
        <v>3</v>
      </c>
      <c r="D12" t="str">
        <f t="shared" si="2"/>
        <v/>
      </c>
      <c r="E12" t="s">
        <v>51</v>
      </c>
    </row>
    <row r="13" spans="1:5" x14ac:dyDescent="0.2">
      <c r="A13" cm="1">
        <f t="array" ref="A13">COUNTIF(Ed!A1:A5,"=€100")</f>
        <v>0</v>
      </c>
      <c r="B13">
        <f t="shared" si="0"/>
        <v>0</v>
      </c>
      <c r="C13">
        <f t="shared" si="1"/>
        <v>0</v>
      </c>
      <c r="D13" t="str">
        <f t="shared" si="2"/>
        <v/>
      </c>
      <c r="E13" t="s">
        <v>52</v>
      </c>
    </row>
    <row r="14" spans="1:5" x14ac:dyDescent="0.2">
      <c r="A14" cm="1">
        <f t="array" ref="A14">COUNTIF(Ed!A1:A5,"&gt;50")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53</v>
      </c>
    </row>
    <row r="15" spans="1:5" x14ac:dyDescent="0.2">
      <c r="A15" cm="1">
        <f t="array" ref="A15">SUMIF(Ed!A1:A5,100,Ed!B1:B5)</f>
        <v>7</v>
      </c>
      <c r="B15">
        <f t="shared" si="0"/>
        <v>0</v>
      </c>
      <c r="C15">
        <f t="shared" si="1"/>
        <v>7</v>
      </c>
      <c r="D15" t="str">
        <f t="shared" si="2"/>
        <v/>
      </c>
      <c r="E15" t="s">
        <v>54</v>
      </c>
    </row>
    <row r="16" spans="1:5" x14ac:dyDescent="0.2">
      <c r="A16" cm="1">
        <f t="array" ref="A16">COUNTIFS(Ed!A1:A5,"$100")</f>
        <v>3</v>
      </c>
      <c r="B16">
        <f t="shared" si="0"/>
        <v>0</v>
      </c>
      <c r="C16">
        <f t="shared" si="1"/>
        <v>3</v>
      </c>
      <c r="D16" t="str">
        <f t="shared" si="2"/>
        <v/>
      </c>
      <c r="E16" t="s">
        <v>55</v>
      </c>
    </row>
    <row r="17" spans="1:1" x14ac:dyDescent="0.2">
      <c r="A17" t="s">
        <v>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2026-10-17T13:08:45Z</dcterms:created>
  <dcterms:modified xsi:type="dcterms:W3CDTF">2026-10-17T13:08:46Z</dcterms:modified>
  <cp:category/>
</cp:coreProperties>
</file>