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A97907D-368E-9244-A24B-8F0E5EDBA3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D395" i="3" s="1"/>
  <c r="A394" i="3" a="1"/>
  <c r="A394" i="3" s="1"/>
  <c r="A393" i="3" a="1"/>
  <c r="A393" i="3" s="1"/>
  <c r="A392" i="3" a="1"/>
  <c r="A392" i="3" s="1"/>
  <c r="A391" i="3" a="1"/>
  <c r="A391" i="3"/>
  <c r="B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C386" i="3" s="1"/>
  <c r="B385" i="3"/>
  <c r="A385" i="3" a="1"/>
  <c r="A385" i="3" s="1"/>
  <c r="A384" i="3" a="1"/>
  <c r="A384" i="3" s="1"/>
  <c r="D384" i="3" s="1"/>
  <c r="A383" i="3" a="1"/>
  <c r="A383" i="3" s="1"/>
  <c r="A382" i="3" a="1"/>
  <c r="A382" i="3" s="1"/>
  <c r="A381" i="3" a="1"/>
  <c r="A381" i="3"/>
  <c r="B381" i="3" s="1"/>
  <c r="A380" i="3" a="1"/>
  <c r="A380" i="3" s="1"/>
  <c r="D379" i="3"/>
  <c r="B379" i="3"/>
  <c r="A379" i="3" a="1"/>
  <c r="A379" i="3" s="1"/>
  <c r="C379" i="3" s="1"/>
  <c r="A378" i="3" a="1"/>
  <c r="A378" i="3" s="1"/>
  <c r="A377" i="3" a="1"/>
  <c r="A377" i="3" s="1"/>
  <c r="D377" i="3" s="1"/>
  <c r="A376" i="3" a="1"/>
  <c r="A376" i="3" s="1"/>
  <c r="A375" i="3" a="1"/>
  <c r="A375" i="3" s="1"/>
  <c r="D375" i="3" s="1"/>
  <c r="A374" i="3" a="1"/>
  <c r="A374" i="3" s="1"/>
  <c r="D374" i="3" s="1"/>
  <c r="A373" i="3" a="1"/>
  <c r="A373" i="3" s="1"/>
  <c r="A372" i="3" a="1"/>
  <c r="A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B365" i="3"/>
  <c r="A365" i="3" a="1"/>
  <c r="A365" i="3"/>
  <c r="C365" i="3" s="1"/>
  <c r="A364" i="3" a="1"/>
  <c r="A364" i="3" s="1"/>
  <c r="A363" i="3" a="1"/>
  <c r="A363" i="3"/>
  <c r="B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D357" i="3" s="1"/>
  <c r="A356" i="3" a="1"/>
  <c r="A356" i="3" s="1"/>
  <c r="D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D351" i="3" s="1"/>
  <c r="A350" i="3" a="1"/>
  <c r="A350" i="3" s="1"/>
  <c r="C350" i="3" s="1"/>
  <c r="A349" i="3" a="1"/>
  <c r="A349" i="3" s="1"/>
  <c r="A348" i="3" a="1"/>
  <c r="A348" i="3" s="1"/>
  <c r="A347" i="3" a="1"/>
  <c r="A347" i="3" s="1"/>
  <c r="A346" i="3" a="1"/>
  <c r="A346" i="3" s="1"/>
  <c r="A345" i="3" a="1"/>
  <c r="A345" i="3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/>
  <c r="C339" i="3" s="1"/>
  <c r="A338" i="3" a="1"/>
  <c r="A338" i="3" s="1"/>
  <c r="A337" i="3" a="1"/>
  <c r="A337" i="3" s="1"/>
  <c r="A336" i="3" a="1"/>
  <c r="A336" i="3" s="1"/>
  <c r="D336" i="3" s="1"/>
  <c r="A335" i="3" a="1"/>
  <c r="A335" i="3" s="1"/>
  <c r="D334" i="3"/>
  <c r="C334" i="3"/>
  <c r="B334" i="3"/>
  <c r="A334" i="3" a="1"/>
  <c r="A334" i="3"/>
  <c r="A333" i="3" a="1"/>
  <c r="A333" i="3"/>
  <c r="B333" i="3" s="1"/>
  <c r="A332" i="3" a="1"/>
  <c r="A332" i="3"/>
  <c r="B332" i="3" s="1"/>
  <c r="A331" i="3" a="1"/>
  <c r="A331" i="3" s="1"/>
  <c r="A330" i="3" a="1"/>
  <c r="A330" i="3" s="1"/>
  <c r="B330" i="3" s="1"/>
  <c r="A329" i="3" a="1"/>
  <c r="A329" i="3" s="1"/>
  <c r="A328" i="3" a="1"/>
  <c r="A328" i="3" s="1"/>
  <c r="A327" i="3" a="1"/>
  <c r="A327" i="3" s="1"/>
  <c r="A326" i="3" a="1"/>
  <c r="A326" i="3" s="1"/>
  <c r="A325" i="3" a="1"/>
  <c r="A325" i="3" s="1"/>
  <c r="A324" i="3" a="1"/>
  <c r="A324" i="3" s="1"/>
  <c r="A323" i="3" a="1"/>
  <c r="A323" i="3" s="1"/>
  <c r="D323" i="3" s="1"/>
  <c r="A322" i="3" a="1"/>
  <c r="A322" i="3" s="1"/>
  <c r="A321" i="3" a="1"/>
  <c r="A321" i="3" s="1"/>
  <c r="A320" i="3" a="1"/>
  <c r="A320" i="3" s="1"/>
  <c r="A319" i="3" a="1"/>
  <c r="A319" i="3" s="1"/>
  <c r="C318" i="3"/>
  <c r="B318" i="3"/>
  <c r="A318" i="3" a="1"/>
  <c r="A318" i="3" s="1"/>
  <c r="D318" i="3" s="1"/>
  <c r="A317" i="3" a="1"/>
  <c r="A317" i="3" s="1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A311" i="3" a="1"/>
  <c r="A311" i="3" s="1"/>
  <c r="A310" i="3" a="1"/>
  <c r="A310" i="3" s="1"/>
  <c r="A309" i="3" a="1"/>
  <c r="A309" i="3" s="1"/>
  <c r="A308" i="3" a="1"/>
  <c r="A308" i="3" s="1"/>
  <c r="A307" i="3" a="1"/>
  <c r="A307" i="3" s="1"/>
  <c r="D307" i="3" s="1"/>
  <c r="A306" i="3" a="1"/>
  <c r="A306" i="3" s="1"/>
  <c r="A305" i="3" a="1"/>
  <c r="A305" i="3" s="1"/>
  <c r="A304" i="3" a="1"/>
  <c r="A304" i="3" s="1"/>
  <c r="C304" i="3" s="1"/>
  <c r="A303" i="3" a="1"/>
  <c r="A303" i="3" s="1"/>
  <c r="D303" i="3" s="1"/>
  <c r="A302" i="3" a="1"/>
  <c r="A302" i="3" s="1"/>
  <c r="A301" i="3" a="1"/>
  <c r="A301" i="3" s="1"/>
  <c r="A300" i="3" a="1"/>
  <c r="A300" i="3" s="1"/>
  <c r="A299" i="3" a="1"/>
  <c r="A299" i="3" s="1"/>
  <c r="A298" i="3" a="1"/>
  <c r="A298" i="3" s="1"/>
  <c r="A297" i="3" a="1"/>
  <c r="A297" i="3" s="1"/>
  <c r="A296" i="3" a="1"/>
  <c r="A296" i="3" s="1"/>
  <c r="B296" i="3" s="1"/>
  <c r="A295" i="3" a="1"/>
  <c r="A295" i="3" s="1"/>
  <c r="A294" i="3" a="1"/>
  <c r="A294" i="3"/>
  <c r="B294" i="3" s="1"/>
  <c r="A293" i="3" a="1"/>
  <c r="A293" i="3" s="1"/>
  <c r="A292" i="3" a="1"/>
  <c r="A292" i="3" s="1"/>
  <c r="A291" i="3" a="1"/>
  <c r="A291" i="3" s="1"/>
  <c r="D291" i="3" s="1"/>
  <c r="A290" i="3" a="1"/>
  <c r="A290" i="3" s="1"/>
  <c r="C290" i="3" s="1"/>
  <c r="A289" i="3" a="1"/>
  <c r="A289" i="3"/>
  <c r="D289" i="3" s="1"/>
  <c r="A288" i="3" a="1"/>
  <c r="A288" i="3" s="1"/>
  <c r="A287" i="3" a="1"/>
  <c r="A287" i="3" s="1"/>
  <c r="A286" i="3" a="1"/>
  <c r="A286" i="3" s="1"/>
  <c r="B286" i="3" s="1"/>
  <c r="A285" i="3" a="1"/>
  <c r="A285" i="3"/>
  <c r="D285" i="3" s="1"/>
  <c r="A284" i="3" a="1"/>
  <c r="A284" i="3" s="1"/>
  <c r="A283" i="3" a="1"/>
  <c r="A283" i="3" s="1"/>
  <c r="A282" i="3" a="1"/>
  <c r="A282" i="3" s="1"/>
  <c r="A281" i="3" a="1"/>
  <c r="A281" i="3" s="1"/>
  <c r="B281" i="3" s="1"/>
  <c r="A280" i="3" a="1"/>
  <c r="A280" i="3"/>
  <c r="B280" i="3" s="1"/>
  <c r="A279" i="3" a="1"/>
  <c r="A279" i="3" s="1"/>
  <c r="D279" i="3" s="1"/>
  <c r="A278" i="3" a="1"/>
  <c r="A278" i="3" s="1"/>
  <c r="A277" i="3" a="1"/>
  <c r="A277" i="3" s="1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D266" i="3" s="1"/>
  <c r="A265" i="3" a="1"/>
  <c r="A265" i="3"/>
  <c r="D265" i="3" s="1"/>
  <c r="A264" i="3" a="1"/>
  <c r="A264" i="3" s="1"/>
  <c r="A263" i="3" a="1"/>
  <c r="A263" i="3" s="1"/>
  <c r="A262" i="3" a="1"/>
  <c r="A262" i="3" s="1"/>
  <c r="A261" i="3" a="1"/>
  <c r="A261" i="3"/>
  <c r="D261" i="3" s="1"/>
  <c r="A260" i="3" a="1"/>
  <c r="A260" i="3" s="1"/>
  <c r="A259" i="3" a="1"/>
  <c r="A259" i="3"/>
  <c r="C259" i="3" s="1"/>
  <c r="A258" i="3" a="1"/>
  <c r="A258" i="3" s="1"/>
  <c r="D258" i="3" s="1"/>
  <c r="A257" i="3" a="1"/>
  <c r="A257" i="3" s="1"/>
  <c r="D257" i="3" s="1"/>
  <c r="A256" i="3" a="1"/>
  <c r="A256" i="3" s="1"/>
  <c r="A255" i="3" a="1"/>
  <c r="A255" i="3"/>
  <c r="A254" i="3" a="1"/>
  <c r="A254" i="3" s="1"/>
  <c r="D253" i="3"/>
  <c r="C253" i="3"/>
  <c r="A253" i="3" a="1"/>
  <c r="A253" i="3"/>
  <c r="B253" i="3" s="1"/>
  <c r="A252" i="3" a="1"/>
  <c r="A252" i="3" s="1"/>
  <c r="A251" i="3" a="1"/>
  <c r="A251" i="3"/>
  <c r="A250" i="3" a="1"/>
  <c r="A250" i="3" s="1"/>
  <c r="A249" i="3" a="1"/>
  <c r="A249" i="3" s="1"/>
  <c r="D249" i="3" s="1"/>
  <c r="A248" i="3" a="1"/>
  <c r="A248" i="3" s="1"/>
  <c r="A247" i="3" a="1"/>
  <c r="A247" i="3" s="1"/>
  <c r="A246" i="3" a="1"/>
  <c r="A246" i="3" s="1"/>
  <c r="A245" i="3" a="1"/>
  <c r="A245" i="3" s="1"/>
  <c r="B245" i="3" s="1"/>
  <c r="A244" i="3" a="1"/>
  <c r="A244" i="3" s="1"/>
  <c r="A243" i="3" a="1"/>
  <c r="A243" i="3" s="1"/>
  <c r="A242" i="3" a="1"/>
  <c r="A242" i="3" s="1"/>
  <c r="B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D231" i="3" s="1"/>
  <c r="A230" i="3" a="1"/>
  <c r="A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D213" i="3" s="1"/>
  <c r="A212" i="3" a="1"/>
  <c r="A212" i="3" s="1"/>
  <c r="A211" i="3" a="1"/>
  <c r="A211" i="3" s="1"/>
  <c r="A210" i="3" a="1"/>
  <c r="A210" i="3" s="1"/>
  <c r="A209" i="3" a="1"/>
  <c r="A209" i="3" s="1"/>
  <c r="B209" i="3" s="1"/>
  <c r="A208" i="3" a="1"/>
  <c r="A208" i="3"/>
  <c r="A207" i="3" a="1"/>
  <c r="A207" i="3"/>
  <c r="D207" i="3" s="1"/>
  <c r="A206" i="3" a="1"/>
  <c r="A206" i="3" s="1"/>
  <c r="A205" i="3" a="1"/>
  <c r="A205" i="3" s="1"/>
  <c r="A204" i="3" a="1"/>
  <c r="A204" i="3" s="1"/>
  <c r="A203" i="3" a="1"/>
  <c r="A203" i="3" s="1"/>
  <c r="B203" i="3" s="1"/>
  <c r="A202" i="3" a="1"/>
  <c r="A202" i="3" s="1"/>
  <c r="A201" i="3" a="1"/>
  <c r="A201" i="3"/>
  <c r="C201" i="3" s="1"/>
  <c r="A200" i="3" a="1"/>
  <c r="A200" i="3" s="1"/>
  <c r="B200" i="3" s="1"/>
  <c r="A199" i="3" a="1"/>
  <c r="A199" i="3" s="1"/>
  <c r="D199" i="3" s="1"/>
  <c r="A198" i="3" a="1"/>
  <c r="A198" i="3" s="1"/>
  <c r="A197" i="3" a="1"/>
  <c r="A197" i="3" s="1"/>
  <c r="A196" i="3" a="1"/>
  <c r="A196" i="3" s="1"/>
  <c r="A195" i="3" a="1"/>
  <c r="A195" i="3"/>
  <c r="A194" i="3" a="1"/>
  <c r="A194" i="3" s="1"/>
  <c r="A193" i="3" a="1"/>
  <c r="A193" i="3" s="1"/>
  <c r="D193" i="3" s="1"/>
  <c r="A192" i="3" a="1"/>
  <c r="A192" i="3" s="1"/>
  <c r="A191" i="3" a="1"/>
  <c r="A191" i="3" s="1"/>
  <c r="B191" i="3" s="1"/>
  <c r="A190" i="3" a="1"/>
  <c r="A190" i="3" s="1"/>
  <c r="A189" i="3" a="1"/>
  <c r="A189" i="3" s="1"/>
  <c r="A188" i="3" a="1"/>
  <c r="A188" i="3" s="1"/>
  <c r="B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B182" i="3" s="1"/>
  <c r="A181" i="3" a="1"/>
  <c r="A181" i="3" s="1"/>
  <c r="A180" i="3" a="1"/>
  <c r="A180" i="3"/>
  <c r="A179" i="3" a="1"/>
  <c r="A179" i="3" s="1"/>
  <c r="A178" i="3" a="1"/>
  <c r="A178" i="3" s="1"/>
  <c r="D178" i="3" s="1"/>
  <c r="A177" i="3" a="1"/>
  <c r="A177" i="3"/>
  <c r="D177" i="3" s="1"/>
  <c r="A176" i="3" a="1"/>
  <c r="A176" i="3"/>
  <c r="A175" i="3" a="1"/>
  <c r="A175" i="3" s="1"/>
  <c r="A174" i="3" a="1"/>
  <c r="A174" i="3" s="1"/>
  <c r="A173" i="3" a="1"/>
  <c r="A173" i="3" s="1"/>
  <c r="A172" i="3" a="1"/>
  <c r="A172" i="3" s="1"/>
  <c r="B172" i="3" s="1"/>
  <c r="A171" i="3" a="1"/>
  <c r="A171" i="3" s="1"/>
  <c r="D171" i="3" s="1"/>
  <c r="A170" i="3" a="1"/>
  <c r="A170" i="3" s="1"/>
  <c r="B170" i="3" s="1"/>
  <c r="A169" i="3" a="1"/>
  <c r="A169" i="3" s="1"/>
  <c r="A168" i="3" a="1"/>
  <c r="A168" i="3" s="1"/>
  <c r="A167" i="3" a="1"/>
  <c r="A167" i="3"/>
  <c r="D167" i="3" s="1"/>
  <c r="A166" i="3" a="1"/>
  <c r="A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B155" i="3" s="1"/>
  <c r="A154" i="3" a="1"/>
  <c r="A154" i="3" s="1"/>
  <c r="A153" i="3" a="1"/>
  <c r="A153" i="3" s="1"/>
  <c r="A152" i="3" a="1"/>
  <c r="A152" i="3" s="1"/>
  <c r="D152" i="3" s="1"/>
  <c r="A151" i="3" a="1"/>
  <c r="A151" i="3" s="1"/>
  <c r="C151" i="3" s="1"/>
  <c r="A150" i="3" a="1"/>
  <c r="A150" i="3" s="1"/>
  <c r="A149" i="3" a="1"/>
  <c r="A149" i="3"/>
  <c r="B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C144" i="3" s="1"/>
  <c r="A143" i="3" a="1"/>
  <c r="A143" i="3" s="1"/>
  <c r="A142" i="3" a="1"/>
  <c r="A142" i="3" s="1"/>
  <c r="A141" i="3" a="1"/>
  <c r="A141" i="3" s="1"/>
  <c r="D141" i="3" s="1"/>
  <c r="A140" i="3" a="1"/>
  <c r="A140" i="3" s="1"/>
  <c r="C140" i="3" s="1"/>
  <c r="A139" i="3" a="1"/>
  <c r="A139" i="3" s="1"/>
  <c r="A138" i="3" a="1"/>
  <c r="A138" i="3" s="1"/>
  <c r="A137" i="3" a="1"/>
  <c r="A137" i="3" s="1"/>
  <c r="A136" i="3" a="1"/>
  <c r="A136" i="3" s="1"/>
  <c r="A135" i="3" a="1"/>
  <c r="A135" i="3" s="1"/>
  <c r="A134" i="3" a="1"/>
  <c r="A134" i="3" s="1"/>
  <c r="A133" i="3" a="1"/>
  <c r="A133" i="3" s="1"/>
  <c r="D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B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A112" i="3" a="1"/>
  <c r="A112" i="3" s="1"/>
  <c r="A111" i="3" a="1"/>
  <c r="A111" i="3" s="1"/>
  <c r="D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D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C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C95" i="3" s="1"/>
  <c r="A94" i="3" a="1"/>
  <c r="A94" i="3" s="1"/>
  <c r="A93" i="3" a="1"/>
  <c r="A93" i="3" s="1"/>
  <c r="A92" i="3" a="1"/>
  <c r="A92" i="3" s="1"/>
  <c r="A91" i="3" a="1"/>
  <c r="A91" i="3" s="1"/>
  <c r="A90" i="3" a="1"/>
  <c r="A90" i="3" s="1"/>
  <c r="A89" i="3" a="1"/>
  <c r="A89" i="3" s="1"/>
  <c r="A88" i="3" a="1"/>
  <c r="A88" i="3" s="1"/>
  <c r="D88" i="3" s="1"/>
  <c r="A87" i="3" a="1"/>
  <c r="A87" i="3" s="1"/>
  <c r="A86" i="3" a="1"/>
  <c r="A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C79" i="3" s="1"/>
  <c r="A78" i="3" a="1"/>
  <c r="A78" i="3" s="1"/>
  <c r="A77" i="3" a="1"/>
  <c r="A77" i="3" s="1"/>
  <c r="A76" i="3" a="1"/>
  <c r="A76" i="3" s="1"/>
  <c r="A75" i="3" a="1"/>
  <c r="A75" i="3" s="1"/>
  <c r="B75" i="3" s="1"/>
  <c r="A74" i="3" a="1"/>
  <c r="A74" i="3" s="1"/>
  <c r="A73" i="3" a="1"/>
  <c r="A73" i="3" s="1"/>
  <c r="A72" i="3" a="1"/>
  <c r="A72" i="3" s="1"/>
  <c r="A71" i="3" a="1"/>
  <c r="A71" i="3"/>
  <c r="A70" i="3" a="1"/>
  <c r="A70" i="3" s="1"/>
  <c r="A69" i="3" a="1"/>
  <c r="A69" i="3" s="1"/>
  <c r="A68" i="3" a="1"/>
  <c r="A68" i="3" s="1"/>
  <c r="A67" i="3" a="1"/>
  <c r="A67" i="3" s="1"/>
  <c r="A66" i="3" a="1"/>
  <c r="A66" i="3" s="1"/>
  <c r="A65" i="3" a="1"/>
  <c r="A65" i="3" s="1"/>
  <c r="C65" i="3" s="1"/>
  <c r="A64" i="3" a="1"/>
  <c r="A64" i="3" s="1"/>
  <c r="D64" i="3" s="1"/>
  <c r="A63" i="3" a="1"/>
  <c r="A63" i="3" s="1"/>
  <c r="A62" i="3" a="1"/>
  <c r="A62" i="3" s="1"/>
  <c r="A61" i="3" a="1"/>
  <c r="A61" i="3" s="1"/>
  <c r="A60" i="3" a="1"/>
  <c r="A60" i="3" s="1"/>
  <c r="B60" i="3" s="1"/>
  <c r="A59" i="3" a="1"/>
  <c r="A59" i="3" s="1"/>
  <c r="A58" i="3" a="1"/>
  <c r="A58" i="3" s="1"/>
  <c r="A57" i="3" a="1"/>
  <c r="A57" i="3" s="1"/>
  <c r="A56" i="3" a="1"/>
  <c r="A56" i="3" s="1"/>
  <c r="A55" i="3" a="1"/>
  <c r="A55" i="3" s="1"/>
  <c r="D55" i="3" s="1"/>
  <c r="A54" i="3" a="1"/>
  <c r="A54" i="3" s="1"/>
  <c r="A53" i="3" a="1"/>
  <c r="A53" i="3"/>
  <c r="D53" i="3" s="1"/>
  <c r="A52" i="3" a="1"/>
  <c r="A52" i="3" s="1"/>
  <c r="D51" i="3"/>
  <c r="C51" i="3"/>
  <c r="B51" i="3"/>
  <c r="A51" i="3" a="1"/>
  <c r="A51" i="3"/>
  <c r="A50" i="3" a="1"/>
  <c r="A50" i="3" s="1"/>
  <c r="A49" i="3" a="1"/>
  <c r="A49" i="3" s="1"/>
  <c r="D49" i="3" s="1"/>
  <c r="A48" i="3" a="1"/>
  <c r="A48" i="3" s="1"/>
  <c r="A47" i="3" a="1"/>
  <c r="A47" i="3" s="1"/>
  <c r="D47" i="3" s="1"/>
  <c r="A46" i="3" a="1"/>
  <c r="A46" i="3" s="1"/>
  <c r="A45" i="3" a="1"/>
  <c r="A45" i="3" s="1"/>
  <c r="B45" i="3" s="1"/>
  <c r="A44" i="3" a="1"/>
  <c r="A44" i="3" s="1"/>
  <c r="A43" i="3" a="1"/>
  <c r="A43" i="3" s="1"/>
  <c r="A42" i="3" a="1"/>
  <c r="A42" i="3" s="1"/>
  <c r="A41" i="3" a="1"/>
  <c r="A41" i="3" s="1"/>
  <c r="A40" i="3" a="1"/>
  <c r="A40" i="3" s="1"/>
  <c r="A39" i="3" a="1"/>
  <c r="A39" i="3" s="1"/>
  <c r="A38" i="3" a="1"/>
  <c r="A38" i="3" s="1"/>
  <c r="A37" i="3" a="1"/>
  <c r="A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B32" i="3" s="1"/>
  <c r="A31" i="3" a="1"/>
  <c r="A31" i="3" s="1"/>
  <c r="A30" i="3" a="1"/>
  <c r="A30" i="3" s="1"/>
  <c r="A29" i="3" a="1"/>
  <c r="A29" i="3" s="1"/>
  <c r="A28" i="3" a="1"/>
  <c r="A28" i="3" s="1"/>
  <c r="B28" i="3" s="1"/>
  <c r="A27" i="3" a="1"/>
  <c r="A27" i="3"/>
  <c r="A26" i="3" a="1"/>
  <c r="A26" i="3" s="1"/>
  <c r="C26" i="3" s="1"/>
  <c r="A25" i="3" a="1"/>
  <c r="A25" i="3" s="1"/>
  <c r="B25" i="3" s="1"/>
  <c r="A24" i="3" a="1"/>
  <c r="A24" i="3" s="1"/>
  <c r="A23" i="3" a="1"/>
  <c r="A23" i="3"/>
  <c r="A22" i="3" a="1"/>
  <c r="A22" i="3" s="1"/>
  <c r="A21" i="3" a="1"/>
  <c r="A21" i="3" s="1"/>
  <c r="A20" i="3" a="1"/>
  <c r="A20" i="3" s="1"/>
  <c r="A19" i="3" a="1"/>
  <c r="A19" i="3" s="1"/>
  <c r="C19" i="3" s="1"/>
  <c r="A18" i="3" a="1"/>
  <c r="A18" i="3" s="1"/>
  <c r="D18" i="3" s="1"/>
  <c r="A17" i="3" a="1"/>
  <c r="A17" i="3" s="1"/>
  <c r="A16" i="3" a="1"/>
  <c r="A16" i="3" s="1"/>
  <c r="A15" i="3" a="1"/>
  <c r="A15" i="3" s="1"/>
  <c r="A14" i="3" a="1"/>
  <c r="A14" i="3" s="1"/>
  <c r="A13" i="3" a="1"/>
  <c r="A13" i="3"/>
  <c r="B13" i="3" s="1"/>
  <c r="A12" i="3" a="1"/>
  <c r="A12" i="3" s="1"/>
  <c r="A11" i="3" a="1"/>
  <c r="A11" i="3" s="1"/>
  <c r="D11" i="3" s="1"/>
  <c r="A10" i="3" a="1"/>
  <c r="A10" i="3" s="1"/>
  <c r="A9" i="3" a="1"/>
  <c r="A9" i="3" s="1"/>
  <c r="A8" i="3" a="1"/>
  <c r="A8" i="3" s="1"/>
  <c r="A7" i="3" a="1"/>
  <c r="A7" i="3" s="1"/>
  <c r="C7" i="3" s="1"/>
  <c r="A6" i="3" a="1"/>
  <c r="A6" i="3" s="1"/>
  <c r="D5" i="3"/>
  <c r="A5" i="3" a="1"/>
  <c r="A5" i="3"/>
  <c r="C5" i="3" s="1"/>
  <c r="A4" i="3" a="1"/>
  <c r="A4" i="3" s="1"/>
  <c r="A3" i="3" a="1"/>
  <c r="A3" i="3" s="1"/>
  <c r="A2" i="3" a="1"/>
  <c r="A2" i="3" s="1"/>
  <c r="C2" i="3" s="1"/>
  <c r="A1" i="3" a="1"/>
  <c r="A1" i="3"/>
  <c r="I15" i="2"/>
  <c r="A14" i="2"/>
  <c r="A13" i="2"/>
  <c r="AL10" i="2"/>
  <c r="A8" i="2"/>
  <c r="A7" i="2"/>
  <c r="E3" i="2"/>
  <c r="F8" i="1"/>
  <c r="B63" i="3" l="1"/>
  <c r="C63" i="3"/>
  <c r="D63" i="3"/>
  <c r="D168" i="3"/>
  <c r="B168" i="3"/>
  <c r="C168" i="3"/>
  <c r="C150" i="3"/>
  <c r="D150" i="3"/>
  <c r="C169" i="3"/>
  <c r="D169" i="3"/>
  <c r="B146" i="3"/>
  <c r="C146" i="3"/>
  <c r="D146" i="3"/>
  <c r="C15" i="3"/>
  <c r="D15" i="3"/>
  <c r="B15" i="3"/>
  <c r="C97" i="3"/>
  <c r="D97" i="3"/>
  <c r="B314" i="3"/>
  <c r="D314" i="3"/>
  <c r="C314" i="3"/>
  <c r="B373" i="3"/>
  <c r="D373" i="3"/>
  <c r="C373" i="3"/>
  <c r="C137" i="3"/>
  <c r="D137" i="3"/>
  <c r="D154" i="3"/>
  <c r="B154" i="3"/>
  <c r="D219" i="3"/>
  <c r="B219" i="3"/>
  <c r="C315" i="3"/>
  <c r="D315" i="3"/>
  <c r="B315" i="3"/>
  <c r="B85" i="3"/>
  <c r="C85" i="3"/>
  <c r="D85" i="3"/>
  <c r="D103" i="3"/>
  <c r="B103" i="3"/>
  <c r="D343" i="3"/>
  <c r="C343" i="3"/>
  <c r="B343" i="3"/>
  <c r="B66" i="3"/>
  <c r="D66" i="3"/>
  <c r="C66" i="3"/>
  <c r="C83" i="3"/>
  <c r="B83" i="3"/>
  <c r="D83" i="3"/>
  <c r="C101" i="3"/>
  <c r="D101" i="3"/>
  <c r="B101" i="3"/>
  <c r="C239" i="3"/>
  <c r="B239" i="3"/>
  <c r="D239" i="3"/>
  <c r="C361" i="3"/>
  <c r="D361" i="3"/>
  <c r="B361" i="3"/>
  <c r="B67" i="3"/>
  <c r="D67" i="3"/>
  <c r="D84" i="3"/>
  <c r="C84" i="3"/>
  <c r="B84" i="3"/>
  <c r="B204" i="3"/>
  <c r="D204" i="3"/>
  <c r="C204" i="3"/>
  <c r="D69" i="3"/>
  <c r="C69" i="3"/>
  <c r="B69" i="3"/>
  <c r="B6" i="3"/>
  <c r="C6" i="3"/>
  <c r="D6" i="3"/>
  <c r="C87" i="3"/>
  <c r="B87" i="3"/>
  <c r="D87" i="3"/>
  <c r="D105" i="3"/>
  <c r="C105" i="3"/>
  <c r="B105" i="3"/>
  <c r="C123" i="3"/>
  <c r="D123" i="3"/>
  <c r="B123" i="3"/>
  <c r="D158" i="3"/>
  <c r="C158" i="3"/>
  <c r="B158" i="3"/>
  <c r="B240" i="3"/>
  <c r="D240" i="3"/>
  <c r="C235" i="3"/>
  <c r="D235" i="3"/>
  <c r="D142" i="3"/>
  <c r="C142" i="3"/>
  <c r="B142" i="3"/>
  <c r="B159" i="3"/>
  <c r="D159" i="3"/>
  <c r="C24" i="3"/>
  <c r="D24" i="3"/>
  <c r="B24" i="3"/>
  <c r="D143" i="3"/>
  <c r="C143" i="3"/>
  <c r="B143" i="3"/>
  <c r="B224" i="3"/>
  <c r="D224" i="3"/>
  <c r="C224" i="3"/>
  <c r="D392" i="3"/>
  <c r="C392" i="3"/>
  <c r="B392" i="3"/>
  <c r="B81" i="3"/>
  <c r="D81" i="3"/>
  <c r="C81" i="3"/>
  <c r="D117" i="3"/>
  <c r="B117" i="3"/>
  <c r="C117" i="3"/>
  <c r="D225" i="3"/>
  <c r="C225" i="3"/>
  <c r="B225" i="3"/>
  <c r="C243" i="3"/>
  <c r="D243" i="3"/>
  <c r="B243" i="3"/>
  <c r="D271" i="3"/>
  <c r="C271" i="3"/>
  <c r="B271" i="3"/>
  <c r="C393" i="3"/>
  <c r="D393" i="3"/>
  <c r="C118" i="3"/>
  <c r="D118" i="3"/>
  <c r="B118" i="3"/>
  <c r="C42" i="3"/>
  <c r="D42" i="3"/>
  <c r="D194" i="3"/>
  <c r="C194" i="3"/>
  <c r="B194" i="3"/>
  <c r="D226" i="3"/>
  <c r="C226" i="3"/>
  <c r="B226" i="3"/>
  <c r="B272" i="3"/>
  <c r="D272" i="3"/>
  <c r="C272" i="3"/>
  <c r="D348" i="3"/>
  <c r="B348" i="3"/>
  <c r="D305" i="3"/>
  <c r="C305" i="3"/>
  <c r="C147" i="3"/>
  <c r="B147" i="3"/>
  <c r="D147" i="3"/>
  <c r="B93" i="3"/>
  <c r="D93" i="3"/>
  <c r="C366" i="3"/>
  <c r="D366" i="3"/>
  <c r="B366" i="3"/>
  <c r="B113" i="3"/>
  <c r="D113" i="3"/>
  <c r="B181" i="3"/>
  <c r="D181" i="3"/>
  <c r="C181" i="3"/>
  <c r="D325" i="3"/>
  <c r="C325" i="3"/>
  <c r="B325" i="3"/>
  <c r="C383" i="3"/>
  <c r="D383" i="3"/>
  <c r="D369" i="3"/>
  <c r="C369" i="3"/>
  <c r="B201" i="3"/>
  <c r="C289" i="3"/>
  <c r="B289" i="3"/>
  <c r="D149" i="3"/>
  <c r="D201" i="3"/>
  <c r="B5" i="3"/>
  <c r="C333" i="3"/>
  <c r="C332" i="3"/>
  <c r="D259" i="3"/>
  <c r="D280" i="3"/>
  <c r="D332" i="3"/>
  <c r="C149" i="3"/>
  <c r="D363" i="3"/>
  <c r="D13" i="3"/>
  <c r="C53" i="3"/>
  <c r="C261" i="3"/>
  <c r="D290" i="3"/>
  <c r="D333" i="3"/>
  <c r="C280" i="3"/>
  <c r="C25" i="3"/>
  <c r="C294" i="3"/>
  <c r="D339" i="3"/>
  <c r="B7" i="3"/>
  <c r="D25" i="3"/>
  <c r="D7" i="3"/>
  <c r="C286" i="3"/>
  <c r="D294" i="3"/>
  <c r="D286" i="3"/>
  <c r="D122" i="3"/>
  <c r="B122" i="3"/>
  <c r="C122" i="3"/>
  <c r="D4" i="3"/>
  <c r="C4" i="3"/>
  <c r="B4" i="3"/>
  <c r="B70" i="3"/>
  <c r="D70" i="3"/>
  <c r="C70" i="3"/>
  <c r="D109" i="3"/>
  <c r="B109" i="3"/>
  <c r="C109" i="3"/>
  <c r="D166" i="3"/>
  <c r="C166" i="3"/>
  <c r="B166" i="3"/>
  <c r="D102" i="3"/>
  <c r="C102" i="3"/>
  <c r="B102" i="3"/>
  <c r="D90" i="3"/>
  <c r="B90" i="3"/>
  <c r="C90" i="3"/>
  <c r="C43" i="3"/>
  <c r="B43" i="3"/>
  <c r="D43" i="3"/>
  <c r="D44" i="3"/>
  <c r="B44" i="3"/>
  <c r="C44" i="3"/>
  <c r="B112" i="3"/>
  <c r="D112" i="3"/>
  <c r="C112" i="3"/>
  <c r="D92" i="3"/>
  <c r="C92" i="3"/>
  <c r="B92" i="3"/>
  <c r="D34" i="3"/>
  <c r="C34" i="3"/>
  <c r="B34" i="3"/>
  <c r="C57" i="3"/>
  <c r="D57" i="3"/>
  <c r="B57" i="3"/>
  <c r="C127" i="3"/>
  <c r="D127" i="3"/>
  <c r="B127" i="3"/>
  <c r="B80" i="3"/>
  <c r="D80" i="3"/>
  <c r="C80" i="3"/>
  <c r="C128" i="3"/>
  <c r="B128" i="3"/>
  <c r="D128" i="3"/>
  <c r="B12" i="3"/>
  <c r="C12" i="3"/>
  <c r="D12" i="3"/>
  <c r="B30" i="3"/>
  <c r="D30" i="3"/>
  <c r="C30" i="3"/>
  <c r="B48" i="3"/>
  <c r="D48" i="3"/>
  <c r="C48" i="3"/>
  <c r="B16" i="3"/>
  <c r="C16" i="3"/>
  <c r="D16" i="3"/>
  <c r="D38" i="3"/>
  <c r="C38" i="3"/>
  <c r="B38" i="3"/>
  <c r="D59" i="3"/>
  <c r="B59" i="3"/>
  <c r="C59" i="3"/>
  <c r="C99" i="3"/>
  <c r="D99" i="3"/>
  <c r="B99" i="3"/>
  <c r="C29" i="3"/>
  <c r="D29" i="3"/>
  <c r="B29" i="3"/>
  <c r="D74" i="3"/>
  <c r="C74" i="3"/>
  <c r="B74" i="3"/>
  <c r="D36" i="3"/>
  <c r="B36" i="3"/>
  <c r="C36" i="3"/>
  <c r="D39" i="3"/>
  <c r="C39" i="3"/>
  <c r="B39" i="3"/>
  <c r="C20" i="3"/>
  <c r="D20" i="3"/>
  <c r="B20" i="3"/>
  <c r="D89" i="3"/>
  <c r="B89" i="3"/>
  <c r="C89" i="3"/>
  <c r="D52" i="3"/>
  <c r="C52" i="3"/>
  <c r="B52" i="3"/>
  <c r="B94" i="3"/>
  <c r="C94" i="3"/>
  <c r="D94" i="3"/>
  <c r="D33" i="3"/>
  <c r="B33" i="3"/>
  <c r="C33" i="3"/>
  <c r="C56" i="3"/>
  <c r="D56" i="3"/>
  <c r="B56" i="3"/>
  <c r="B61" i="3"/>
  <c r="C61" i="3"/>
  <c r="D61" i="3"/>
  <c r="D189" i="3"/>
  <c r="C189" i="3"/>
  <c r="B189" i="3"/>
  <c r="C3" i="3"/>
  <c r="B3" i="3"/>
  <c r="D3" i="3"/>
  <c r="D72" i="3"/>
  <c r="C72" i="3"/>
  <c r="B72" i="3"/>
  <c r="B31" i="3"/>
  <c r="D31" i="3"/>
  <c r="C31" i="3"/>
  <c r="D212" i="3"/>
  <c r="C212" i="3"/>
  <c r="B212" i="3"/>
  <c r="D8" i="3"/>
  <c r="C8" i="3"/>
  <c r="B8" i="3"/>
  <c r="C62" i="3"/>
  <c r="B62" i="3"/>
  <c r="D62" i="3"/>
  <c r="D108" i="3"/>
  <c r="B108" i="3"/>
  <c r="C108" i="3"/>
  <c r="C132" i="3"/>
  <c r="B132" i="3"/>
  <c r="D132" i="3"/>
  <c r="D23" i="3"/>
  <c r="C23" i="3"/>
  <c r="B23" i="3"/>
  <c r="C78" i="3"/>
  <c r="B78" i="3"/>
  <c r="D91" i="3"/>
  <c r="C91" i="3"/>
  <c r="B91" i="3"/>
  <c r="D37" i="3"/>
  <c r="B37" i="3"/>
  <c r="B40" i="3"/>
  <c r="C40" i="3"/>
  <c r="D54" i="3"/>
  <c r="C54" i="3"/>
  <c r="B54" i="3"/>
  <c r="D190" i="3"/>
  <c r="C190" i="3"/>
  <c r="B190" i="3"/>
  <c r="B2" i="3"/>
  <c r="C21" i="3"/>
  <c r="B21" i="3"/>
  <c r="D27" i="3"/>
  <c r="C27" i="3"/>
  <c r="B27" i="3"/>
  <c r="D68" i="3"/>
  <c r="C68" i="3"/>
  <c r="B68" i="3"/>
  <c r="C75" i="3"/>
  <c r="C98" i="3"/>
  <c r="B98" i="3"/>
  <c r="C114" i="3"/>
  <c r="D114" i="3"/>
  <c r="B114" i="3"/>
  <c r="C221" i="3"/>
  <c r="D221" i="3"/>
  <c r="B221" i="3"/>
  <c r="D287" i="3"/>
  <c r="C287" i="3"/>
  <c r="B287" i="3"/>
  <c r="D309" i="3"/>
  <c r="C309" i="3"/>
  <c r="B309" i="3"/>
  <c r="D338" i="3"/>
  <c r="B338" i="3"/>
  <c r="C338" i="3"/>
  <c r="C136" i="3"/>
  <c r="B136" i="3"/>
  <c r="D136" i="3"/>
  <c r="D2" i="3"/>
  <c r="D21" i="3"/>
  <c r="B42" i="3"/>
  <c r="C49" i="3"/>
  <c r="B49" i="3"/>
  <c r="C55" i="3"/>
  <c r="B55" i="3"/>
  <c r="D75" i="3"/>
  <c r="B88" i="3"/>
  <c r="D98" i="3"/>
  <c r="D179" i="3"/>
  <c r="C179" i="3"/>
  <c r="B179" i="3"/>
  <c r="D222" i="3"/>
  <c r="C222" i="3"/>
  <c r="B222" i="3"/>
  <c r="B250" i="3"/>
  <c r="D250" i="3"/>
  <c r="C250" i="3"/>
  <c r="D319" i="3"/>
  <c r="B319" i="3"/>
  <c r="C319" i="3"/>
  <c r="C22" i="3"/>
  <c r="B22" i="3"/>
  <c r="D28" i="3"/>
  <c r="C28" i="3"/>
  <c r="B76" i="3"/>
  <c r="C76" i="3"/>
  <c r="D76" i="3"/>
  <c r="C88" i="3"/>
  <c r="C115" i="3"/>
  <c r="D115" i="3"/>
  <c r="B115" i="3"/>
  <c r="C124" i="3"/>
  <c r="B124" i="3"/>
  <c r="D124" i="3"/>
  <c r="C223" i="3"/>
  <c r="D223" i="3"/>
  <c r="B223" i="3"/>
  <c r="C241" i="3"/>
  <c r="D241" i="3"/>
  <c r="B241" i="3"/>
  <c r="C311" i="3"/>
  <c r="D311" i="3"/>
  <c r="B311" i="3"/>
  <c r="D320" i="3"/>
  <c r="C320" i="3"/>
  <c r="B320" i="3"/>
  <c r="D35" i="3"/>
  <c r="B35" i="3"/>
  <c r="D192" i="3"/>
  <c r="C192" i="3"/>
  <c r="B192" i="3"/>
  <c r="D210" i="3"/>
  <c r="C210" i="3"/>
  <c r="B210" i="3"/>
  <c r="B11" i="3"/>
  <c r="C37" i="3"/>
  <c r="D9" i="3"/>
  <c r="C9" i="3"/>
  <c r="C77" i="3"/>
  <c r="B77" i="3"/>
  <c r="D77" i="3"/>
  <c r="D116" i="3"/>
  <c r="C116" i="3"/>
  <c r="B116" i="3"/>
  <c r="B125" i="3"/>
  <c r="D125" i="3"/>
  <c r="C125" i="3"/>
  <c r="B9" i="3"/>
  <c r="D22" i="3"/>
  <c r="C35" i="3"/>
  <c r="D50" i="3"/>
  <c r="C50" i="3"/>
  <c r="B50" i="3"/>
  <c r="D100" i="3"/>
  <c r="B100" i="3"/>
  <c r="C106" i="3"/>
  <c r="B106" i="3"/>
  <c r="B138" i="3"/>
  <c r="D138" i="3"/>
  <c r="C138" i="3"/>
  <c r="D211" i="3"/>
  <c r="C211" i="3"/>
  <c r="B211" i="3"/>
  <c r="B340" i="3"/>
  <c r="D340" i="3"/>
  <c r="C340" i="3"/>
  <c r="D10" i="3"/>
  <c r="C10" i="3"/>
  <c r="B10" i="3"/>
  <c r="B145" i="3"/>
  <c r="D145" i="3"/>
  <c r="C145" i="3"/>
  <c r="D78" i="3"/>
  <c r="C107" i="3"/>
  <c r="D107" i="3"/>
  <c r="B107" i="3"/>
  <c r="B139" i="3"/>
  <c r="D139" i="3"/>
  <c r="C139" i="3"/>
  <c r="B171" i="3"/>
  <c r="C171" i="3"/>
  <c r="B232" i="3"/>
  <c r="D232" i="3"/>
  <c r="C232" i="3"/>
  <c r="C160" i="3"/>
  <c r="B160" i="3"/>
  <c r="D301" i="3"/>
  <c r="C301" i="3"/>
  <c r="B301" i="3"/>
  <c r="D160" i="3"/>
  <c r="D234" i="3"/>
  <c r="B234" i="3"/>
  <c r="C234" i="3"/>
  <c r="D262" i="3"/>
  <c r="C262" i="3"/>
  <c r="B262" i="3"/>
  <c r="D282" i="3"/>
  <c r="C282" i="3"/>
  <c r="B282" i="3"/>
  <c r="C93" i="3"/>
  <c r="D129" i="3"/>
  <c r="C129" i="3"/>
  <c r="B129" i="3"/>
  <c r="D153" i="3"/>
  <c r="B153" i="3"/>
  <c r="C153" i="3"/>
  <c r="D161" i="3"/>
  <c r="C161" i="3"/>
  <c r="B161" i="3"/>
  <c r="D183" i="3"/>
  <c r="C183" i="3"/>
  <c r="B183" i="3"/>
  <c r="D214" i="3"/>
  <c r="C214" i="3"/>
  <c r="B214" i="3"/>
  <c r="B355" i="3"/>
  <c r="D355" i="3"/>
  <c r="C355" i="3"/>
  <c r="B130" i="3"/>
  <c r="C130" i="3"/>
  <c r="D130" i="3"/>
  <c r="C205" i="3"/>
  <c r="B205" i="3"/>
  <c r="D215" i="3"/>
  <c r="C215" i="3"/>
  <c r="B215" i="3"/>
  <c r="C254" i="3"/>
  <c r="B254" i="3"/>
  <c r="D254" i="3"/>
  <c r="D273" i="3"/>
  <c r="C273" i="3"/>
  <c r="C45" i="3"/>
  <c r="B18" i="3"/>
  <c r="D45" i="3"/>
  <c r="D65" i="3"/>
  <c r="D79" i="3"/>
  <c r="C18" i="3"/>
  <c r="B46" i="3"/>
  <c r="D46" i="3"/>
  <c r="C46" i="3"/>
  <c r="C110" i="3"/>
  <c r="D110" i="3"/>
  <c r="B110" i="3"/>
  <c r="C131" i="3"/>
  <c r="B131" i="3"/>
  <c r="D131" i="3"/>
  <c r="D174" i="3"/>
  <c r="C174" i="3"/>
  <c r="B174" i="3"/>
  <c r="D205" i="3"/>
  <c r="D216" i="3"/>
  <c r="B216" i="3"/>
  <c r="C216" i="3"/>
  <c r="D236" i="3"/>
  <c r="C236" i="3"/>
  <c r="B236" i="3"/>
  <c r="D264" i="3"/>
  <c r="C264" i="3"/>
  <c r="B264" i="3"/>
  <c r="B273" i="3"/>
  <c r="C111" i="3"/>
  <c r="B111" i="3"/>
  <c r="D120" i="3"/>
  <c r="C120" i="3"/>
  <c r="B120" i="3"/>
  <c r="C175" i="3"/>
  <c r="B175" i="3"/>
  <c r="D175" i="3"/>
  <c r="D185" i="3"/>
  <c r="C185" i="3"/>
  <c r="B185" i="3"/>
  <c r="D196" i="3"/>
  <c r="C196" i="3"/>
  <c r="B196" i="3"/>
  <c r="D326" i="3"/>
  <c r="C326" i="3"/>
  <c r="B326" i="3"/>
  <c r="D121" i="3"/>
  <c r="C121" i="3"/>
  <c r="B121" i="3"/>
  <c r="D164" i="3"/>
  <c r="C164" i="3"/>
  <c r="B164" i="3"/>
  <c r="D186" i="3"/>
  <c r="C186" i="3"/>
  <c r="B186" i="3"/>
  <c r="B197" i="3"/>
  <c r="D197" i="3"/>
  <c r="C197" i="3"/>
  <c r="D218" i="3"/>
  <c r="B218" i="3"/>
  <c r="D246" i="3"/>
  <c r="C246" i="3"/>
  <c r="B246" i="3"/>
  <c r="D316" i="3"/>
  <c r="C316" i="3"/>
  <c r="B316" i="3"/>
  <c r="C11" i="3"/>
  <c r="C71" i="3"/>
  <c r="D71" i="3"/>
  <c r="B71" i="3"/>
  <c r="D96" i="3"/>
  <c r="C96" i="3"/>
  <c r="B96" i="3"/>
  <c r="C103" i="3"/>
  <c r="C133" i="3"/>
  <c r="B133" i="3"/>
  <c r="D165" i="3"/>
  <c r="C165" i="3"/>
  <c r="B165" i="3"/>
  <c r="C187" i="3"/>
  <c r="D187" i="3"/>
  <c r="B187" i="3"/>
  <c r="C218" i="3"/>
  <c r="D17" i="3"/>
  <c r="C17" i="3"/>
  <c r="B17" i="3"/>
  <c r="D60" i="3"/>
  <c r="C1" i="3"/>
  <c r="D1" i="3"/>
  <c r="B1" i="3"/>
  <c r="D248" i="3"/>
  <c r="C248" i="3"/>
  <c r="B248" i="3"/>
  <c r="C277" i="3"/>
  <c r="D277" i="3"/>
  <c r="B277" i="3"/>
  <c r="D306" i="3"/>
  <c r="C306" i="3"/>
  <c r="B306" i="3"/>
  <c r="C329" i="3"/>
  <c r="B329" i="3"/>
  <c r="D329" i="3"/>
  <c r="D40" i="3"/>
  <c r="D104" i="3"/>
  <c r="C104" i="3"/>
  <c r="B104" i="3"/>
  <c r="B14" i="3"/>
  <c r="D14" i="3"/>
  <c r="C14" i="3"/>
  <c r="D26" i="3"/>
  <c r="B26" i="3"/>
  <c r="C41" i="3"/>
  <c r="D41" i="3"/>
  <c r="B41" i="3"/>
  <c r="C67" i="3"/>
  <c r="B97" i="3"/>
  <c r="C113" i="3"/>
  <c r="C134" i="3"/>
  <c r="D134" i="3"/>
  <c r="B134" i="3"/>
  <c r="C156" i="3"/>
  <c r="B156" i="3"/>
  <c r="D156" i="3"/>
  <c r="D200" i="3"/>
  <c r="C200" i="3"/>
  <c r="B58" i="3"/>
  <c r="D58" i="3"/>
  <c r="C58" i="3"/>
  <c r="B65" i="3"/>
  <c r="B79" i="3"/>
  <c r="D73" i="3"/>
  <c r="C73" i="3"/>
  <c r="B73" i="3"/>
  <c r="D86" i="3"/>
  <c r="C86" i="3"/>
  <c r="B86" i="3"/>
  <c r="D95" i="3"/>
  <c r="B95" i="3"/>
  <c r="C60" i="3"/>
  <c r="D82" i="3"/>
  <c r="C82" i="3"/>
  <c r="B82" i="3"/>
  <c r="C135" i="3"/>
  <c r="B135" i="3"/>
  <c r="D135" i="3"/>
  <c r="D157" i="3"/>
  <c r="C157" i="3"/>
  <c r="B157" i="3"/>
  <c r="B268" i="3"/>
  <c r="D268" i="3"/>
  <c r="C268" i="3"/>
  <c r="D162" i="3"/>
  <c r="B162" i="3"/>
  <c r="C208" i="3"/>
  <c r="B208" i="3"/>
  <c r="D269" i="3"/>
  <c r="C269" i="3"/>
  <c r="B269" i="3"/>
  <c r="D284" i="3"/>
  <c r="C284" i="3"/>
  <c r="B284" i="3"/>
  <c r="D299" i="3"/>
  <c r="C299" i="3"/>
  <c r="B299" i="3"/>
  <c r="D390" i="3"/>
  <c r="B390" i="3"/>
  <c r="C390" i="3"/>
  <c r="D202" i="3"/>
  <c r="C202" i="3"/>
  <c r="B202" i="3"/>
  <c r="D341" i="3"/>
  <c r="C341" i="3"/>
  <c r="B341" i="3"/>
  <c r="D208" i="3"/>
  <c r="D227" i="3"/>
  <c r="C227" i="3"/>
  <c r="D270" i="3"/>
  <c r="B270" i="3"/>
  <c r="C270" i="3"/>
  <c r="B278" i="3"/>
  <c r="D278" i="3"/>
  <c r="B291" i="3"/>
  <c r="D300" i="3"/>
  <c r="B300" i="3"/>
  <c r="D308" i="3"/>
  <c r="C308" i="3"/>
  <c r="B308" i="3"/>
  <c r="D342" i="3"/>
  <c r="C342" i="3"/>
  <c r="B342" i="3"/>
  <c r="C362" i="3"/>
  <c r="D362" i="3"/>
  <c r="B362" i="3"/>
  <c r="C370" i="3"/>
  <c r="D370" i="3"/>
  <c r="B370" i="3"/>
  <c r="C380" i="3"/>
  <c r="B380" i="3"/>
  <c r="D380" i="3"/>
  <c r="D255" i="3"/>
  <c r="C255" i="3"/>
  <c r="B255" i="3"/>
  <c r="D263" i="3"/>
  <c r="C263" i="3"/>
  <c r="D140" i="3"/>
  <c r="B140" i="3"/>
  <c r="D163" i="3"/>
  <c r="C163" i="3"/>
  <c r="B163" i="3"/>
  <c r="D352" i="3"/>
  <c r="C352" i="3"/>
  <c r="B352" i="3"/>
  <c r="C119" i="3"/>
  <c r="D119" i="3"/>
  <c r="B148" i="3"/>
  <c r="C148" i="3"/>
  <c r="D144" i="3"/>
  <c r="B144" i="3"/>
  <c r="D148" i="3"/>
  <c r="C162" i="3"/>
  <c r="D180" i="3"/>
  <c r="B180" i="3"/>
  <c r="C180" i="3"/>
  <c r="C203" i="3"/>
  <c r="D209" i="3"/>
  <c r="C209" i="3"/>
  <c r="D256" i="3"/>
  <c r="C256" i="3"/>
  <c r="B256" i="3"/>
  <c r="B263" i="3"/>
  <c r="C278" i="3"/>
  <c r="C291" i="3"/>
  <c r="C300" i="3"/>
  <c r="C13" i="3"/>
  <c r="B53" i="3"/>
  <c r="B169" i="3"/>
  <c r="D203" i="3"/>
  <c r="B227" i="3"/>
  <c r="C257" i="3"/>
  <c r="B257" i="3"/>
  <c r="D310" i="3"/>
  <c r="C310" i="3"/>
  <c r="B310" i="3"/>
  <c r="D228" i="3"/>
  <c r="C228" i="3"/>
  <c r="B228" i="3"/>
  <c r="C293" i="3"/>
  <c r="D293" i="3"/>
  <c r="B293" i="3"/>
  <c r="D327" i="3"/>
  <c r="C327" i="3"/>
  <c r="B327" i="3"/>
  <c r="D372" i="3"/>
  <c r="B372" i="3"/>
  <c r="C372" i="3"/>
  <c r="C229" i="3"/>
  <c r="B229" i="3"/>
  <c r="C258" i="3"/>
  <c r="B258" i="3"/>
  <c r="C344" i="3"/>
  <c r="B344" i="3"/>
  <c r="D354" i="3"/>
  <c r="C354" i="3"/>
  <c r="B354" i="3"/>
  <c r="C170" i="3"/>
  <c r="D198" i="3"/>
  <c r="B198" i="3"/>
  <c r="C198" i="3"/>
  <c r="C217" i="3"/>
  <c r="B217" i="3"/>
  <c r="D229" i="3"/>
  <c r="D237" i="3"/>
  <c r="C237" i="3"/>
  <c r="B237" i="3"/>
  <c r="C244" i="3"/>
  <c r="B244" i="3"/>
  <c r="D251" i="3"/>
  <c r="C251" i="3"/>
  <c r="B251" i="3"/>
  <c r="D344" i="3"/>
  <c r="B141" i="3"/>
  <c r="C154" i="3"/>
  <c r="D170" i="3"/>
  <c r="D176" i="3"/>
  <c r="C176" i="3"/>
  <c r="B176" i="3"/>
  <c r="B193" i="3"/>
  <c r="D217" i="3"/>
  <c r="D230" i="3"/>
  <c r="C230" i="3"/>
  <c r="B230" i="3"/>
  <c r="D302" i="3"/>
  <c r="C302" i="3"/>
  <c r="B302" i="3"/>
  <c r="D335" i="3"/>
  <c r="C335" i="3"/>
  <c r="B335" i="3"/>
  <c r="D345" i="3"/>
  <c r="C345" i="3"/>
  <c r="B345" i="3"/>
  <c r="B64" i="3"/>
  <c r="D312" i="3"/>
  <c r="C312" i="3"/>
  <c r="B312" i="3"/>
  <c r="C330" i="3"/>
  <c r="D126" i="3"/>
  <c r="B126" i="3"/>
  <c r="C141" i="3"/>
  <c r="D245" i="3"/>
  <c r="C245" i="3"/>
  <c r="B266" i="3"/>
  <c r="D288" i="3"/>
  <c r="B288" i="3"/>
  <c r="C288" i="3"/>
  <c r="D295" i="3"/>
  <c r="C295" i="3"/>
  <c r="D313" i="3"/>
  <c r="C313" i="3"/>
  <c r="B313" i="3"/>
  <c r="D330" i="3"/>
  <c r="C193" i="3"/>
  <c r="B199" i="3"/>
  <c r="D238" i="3"/>
  <c r="C238" i="3"/>
  <c r="B238" i="3"/>
  <c r="D244" i="3"/>
  <c r="D252" i="3"/>
  <c r="B252" i="3"/>
  <c r="C252" i="3"/>
  <c r="B19" i="3"/>
  <c r="C32" i="3"/>
  <c r="C64" i="3"/>
  <c r="B150" i="3"/>
  <c r="C177" i="3"/>
  <c r="B177" i="3"/>
  <c r="C182" i="3"/>
  <c r="C188" i="3"/>
  <c r="C199" i="3"/>
  <c r="C231" i="3"/>
  <c r="B231" i="3"/>
  <c r="D19" i="3"/>
  <c r="D32" i="3"/>
  <c r="C47" i="3"/>
  <c r="B47" i="3"/>
  <c r="C126" i="3"/>
  <c r="B137" i="3"/>
  <c r="D182" i="3"/>
  <c r="D188" i="3"/>
  <c r="B259" i="3"/>
  <c r="C266" i="3"/>
  <c r="B295" i="3"/>
  <c r="B304" i="3"/>
  <c r="D304" i="3"/>
  <c r="D331" i="3"/>
  <c r="C331" i="3"/>
  <c r="B331" i="3"/>
  <c r="D337" i="3"/>
  <c r="C337" i="3"/>
  <c r="B337" i="3"/>
  <c r="C347" i="3"/>
  <c r="D347" i="3"/>
  <c r="B347" i="3"/>
  <c r="C321" i="3"/>
  <c r="B321" i="3"/>
  <c r="D321" i="3"/>
  <c r="B206" i="3"/>
  <c r="C206" i="3"/>
  <c r="B260" i="3"/>
  <c r="D260" i="3"/>
  <c r="C260" i="3"/>
  <c r="D274" i="3"/>
  <c r="C274" i="3"/>
  <c r="B274" i="3"/>
  <c r="C296" i="3"/>
  <c r="B322" i="3"/>
  <c r="D322" i="3"/>
  <c r="C322" i="3"/>
  <c r="D396" i="3"/>
  <c r="C396" i="3"/>
  <c r="B396" i="3"/>
  <c r="B151" i="3"/>
  <c r="C172" i="3"/>
  <c r="B178" i="3"/>
  <c r="C195" i="3"/>
  <c r="B195" i="3"/>
  <c r="D195" i="3"/>
  <c r="D206" i="3"/>
  <c r="C240" i="3"/>
  <c r="C275" i="3"/>
  <c r="D275" i="3"/>
  <c r="B275" i="3"/>
  <c r="D296" i="3"/>
  <c r="B305" i="3"/>
  <c r="C323" i="3"/>
  <c r="B323" i="3"/>
  <c r="B358" i="3"/>
  <c r="D358" i="3"/>
  <c r="C358" i="3"/>
  <c r="D376" i="3"/>
  <c r="B376" i="3"/>
  <c r="C376" i="3"/>
  <c r="D151" i="3"/>
  <c r="B167" i="3"/>
  <c r="D172" i="3"/>
  <c r="C178" i="3"/>
  <c r="C207" i="3"/>
  <c r="B207" i="3"/>
  <c r="D247" i="3"/>
  <c r="C247" i="3"/>
  <c r="B247" i="3"/>
  <c r="D276" i="3"/>
  <c r="C276" i="3"/>
  <c r="D297" i="3"/>
  <c r="C297" i="3"/>
  <c r="B297" i="3"/>
  <c r="D349" i="3"/>
  <c r="C349" i="3"/>
  <c r="D359" i="3"/>
  <c r="C359" i="3"/>
  <c r="B359" i="3"/>
  <c r="D367" i="3"/>
  <c r="C367" i="3"/>
  <c r="B367" i="3"/>
  <c r="C152" i="3"/>
  <c r="B152" i="3"/>
  <c r="C167" i="3"/>
  <c r="D173" i="3"/>
  <c r="C173" i="3"/>
  <c r="B173" i="3"/>
  <c r="C219" i="3"/>
  <c r="D233" i="3"/>
  <c r="C233" i="3"/>
  <c r="B233" i="3"/>
  <c r="B276" i="3"/>
  <c r="D283" i="3"/>
  <c r="C283" i="3"/>
  <c r="B283" i="3"/>
  <c r="D324" i="3"/>
  <c r="C324" i="3"/>
  <c r="B324" i="3"/>
  <c r="B349" i="3"/>
  <c r="D360" i="3"/>
  <c r="C360" i="3"/>
  <c r="B360" i="3"/>
  <c r="D378" i="3"/>
  <c r="C378" i="3"/>
  <c r="B378" i="3"/>
  <c r="C388" i="3"/>
  <c r="D388" i="3"/>
  <c r="B388" i="3"/>
  <c r="D184" i="3"/>
  <c r="C184" i="3"/>
  <c r="B184" i="3"/>
  <c r="D220" i="3"/>
  <c r="C220" i="3"/>
  <c r="B220" i="3"/>
  <c r="D298" i="3"/>
  <c r="C298" i="3"/>
  <c r="B298" i="3"/>
  <c r="B350" i="3"/>
  <c r="D350" i="3"/>
  <c r="B386" i="3"/>
  <c r="D386" i="3"/>
  <c r="D387" i="3"/>
  <c r="C387" i="3"/>
  <c r="D292" i="3"/>
  <c r="C292" i="3"/>
  <c r="B292" i="3"/>
  <c r="B307" i="3"/>
  <c r="B336" i="3"/>
  <c r="B368" i="3"/>
  <c r="D368" i="3"/>
  <c r="C242" i="3"/>
  <c r="C307" i="3"/>
  <c r="C336" i="3"/>
  <c r="C368" i="3"/>
  <c r="B387" i="3"/>
  <c r="D242" i="3"/>
  <c r="B265" i="3"/>
  <c r="B279" i="3"/>
  <c r="D317" i="3"/>
  <c r="C317" i="3"/>
  <c r="B317" i="3"/>
  <c r="D346" i="3"/>
  <c r="C346" i="3"/>
  <c r="B346" i="3"/>
  <c r="B351" i="3"/>
  <c r="B356" i="3"/>
  <c r="B374" i="3"/>
  <c r="C381" i="3"/>
  <c r="C265" i="3"/>
  <c r="C279" i="3"/>
  <c r="C351" i="3"/>
  <c r="C356" i="3"/>
  <c r="C374" i="3"/>
  <c r="D381" i="3"/>
  <c r="D394" i="3"/>
  <c r="B394" i="3"/>
  <c r="B261" i="3"/>
  <c r="C303" i="3"/>
  <c r="B303" i="3"/>
  <c r="C357" i="3"/>
  <c r="B357" i="3"/>
  <c r="C363" i="3"/>
  <c r="B369" i="3"/>
  <c r="C375" i="3"/>
  <c r="B375" i="3"/>
  <c r="D382" i="3"/>
  <c r="C382" i="3"/>
  <c r="B382" i="3"/>
  <c r="C394" i="3"/>
  <c r="D155" i="3"/>
  <c r="C155" i="3"/>
  <c r="C159" i="3"/>
  <c r="D328" i="3"/>
  <c r="C328" i="3"/>
  <c r="B328" i="3"/>
  <c r="D364" i="3"/>
  <c r="C364" i="3"/>
  <c r="B364" i="3"/>
  <c r="D389" i="3"/>
  <c r="C389" i="3"/>
  <c r="B389" i="3"/>
  <c r="B395" i="3"/>
  <c r="C285" i="3"/>
  <c r="B285" i="3"/>
  <c r="B383" i="3"/>
  <c r="C395" i="3"/>
  <c r="C267" i="3"/>
  <c r="B267" i="3"/>
  <c r="D353" i="3"/>
  <c r="C353" i="3"/>
  <c r="B353" i="3"/>
  <c r="B377" i="3"/>
  <c r="B235" i="3"/>
  <c r="C249" i="3"/>
  <c r="B249" i="3"/>
  <c r="D281" i="3"/>
  <c r="C281" i="3"/>
  <c r="B290" i="3"/>
  <c r="C348" i="3"/>
  <c r="D365" i="3"/>
  <c r="D371" i="3"/>
  <c r="C371" i="3"/>
  <c r="B371" i="3"/>
  <c r="C377" i="3"/>
  <c r="B384" i="3"/>
  <c r="D397" i="3"/>
  <c r="C397" i="3"/>
  <c r="D191" i="3"/>
  <c r="C191" i="3"/>
  <c r="C213" i="3"/>
  <c r="B213" i="3"/>
  <c r="D267" i="3"/>
  <c r="C384" i="3"/>
  <c r="B397" i="3"/>
  <c r="C391" i="3"/>
  <c r="D398" i="3"/>
  <c r="C398" i="3"/>
  <c r="B398" i="3"/>
  <c r="D385" i="3"/>
  <c r="C385" i="3"/>
  <c r="D391" i="3"/>
  <c r="D399" i="3"/>
  <c r="C399" i="3"/>
  <c r="B399" i="3"/>
  <c r="D400" i="3"/>
  <c r="C400" i="3"/>
  <c r="B400" i="3"/>
  <c r="B339" i="3"/>
  <c r="B39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<sst xmlns="http://schemas.openxmlformats.org/spreadsheetml/2006/main" count="482" uniqueCount="450">
  <si>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</si>
  <si>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</si>
  <si>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</si>
  <si>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</si>
  <si>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</si>
  <si>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</si>
  <si>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</si>
  <si>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</si>
  <si>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</si>
  <si>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</si>
  <si>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</si>
  <si>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</si>
  <si>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</si>
  <si>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</si>
  <si>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</si>
  <si>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</si>
  <si>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</si>
  <si>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</si>
  <si>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</si>
  <si>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</si>
  <si>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</si>
  <si>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</si>
  <si>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</si>
  <si>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</si>
  <si>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</si>
  <si>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</si>
  <si>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</si>
  <si>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</si>
  <si>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</si>
  <si>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</si>
  <si>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</si>
  <si>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</si>
  <si>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</si>
  <si>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</si>
  <si>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</si>
  <si>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</si>
  <si>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</si>
  <si>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</si>
  <si>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</si>
  <si>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</si>
  <si>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</si>
  <si>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</si>
  <si>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</si>
  <si>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</si>
  <si>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</si>
  <si>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</si>
  <si>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</si>
  <si>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</si>
  <si>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</si>
  <si>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lift:PRICE#7</t>
  </si>
  <si>
    <t>lift:PRICE#8</t>
  </si>
  <si>
    <t>lift:PRICE#9</t>
  </si>
  <si>
    <t>lift:PRICE#10</t>
  </si>
  <si>
    <t>lift:PRICE#11</t>
  </si>
  <si>
    <t>lift:PRICE#12</t>
  </si>
  <si>
    <t>lift:PRICE#13</t>
  </si>
  <si>
    <t>lift:PRICE#14</t>
  </si>
  <si>
    <t>lift:PRICEDISC#1</t>
  </si>
  <si>
    <t>lift:PRICEDISC#2</t>
  </si>
  <si>
    <t>lift:PRICEDISC#3</t>
  </si>
  <si>
    <t>lift:PRICEDISC#4</t>
  </si>
  <si>
    <t>lift:PRICEDISC#5</t>
  </si>
  <si>
    <t>lift:PRICEDISC#6</t>
  </si>
  <si>
    <t>lift:PRICEDISC#7</t>
  </si>
  <si>
    <t>lift:PRICEDISC#8</t>
  </si>
  <si>
    <t>lift:PRICEDISC#9</t>
  </si>
  <si>
    <t>lift:PRICEDISC#10</t>
  </si>
  <si>
    <t>lift:PRICEMAT#1</t>
  </si>
  <si>
    <t>lift:PRICEMAT#2</t>
  </si>
  <si>
    <t>lift:PRICEMAT#3</t>
  </si>
  <si>
    <t>lift:PRICEMAT#4</t>
  </si>
  <si>
    <t>lift:PRICEMAT#5</t>
  </si>
  <si>
    <t>lift:PRICEMAT#6</t>
  </si>
  <si>
    <t>lift:PRICEMAT#7</t>
  </si>
  <si>
    <t>lift:PRICEMAT#8</t>
  </si>
  <si>
    <t>lift:PRICEMAT#9</t>
  </si>
  <si>
    <t>lift:PRICEMAT#10</t>
  </si>
  <si>
    <t>lift:PRICEMAT#11</t>
  </si>
  <si>
    <t>lift:PRICEMAT#12</t>
  </si>
  <si>
    <t>lift:PROB#1</t>
  </si>
  <si>
    <t>lift:PROB#2</t>
  </si>
  <si>
    <t>lift:PROPER#1</t>
  </si>
  <si>
    <t>lift:PROPER#2</t>
  </si>
  <si>
    <t>lift:PV#1</t>
  </si>
  <si>
    <t>lift:PV#2</t>
  </si>
  <si>
    <t>lift:PV#3</t>
  </si>
  <si>
    <t>lift:PV#4</t>
  </si>
  <si>
    <t>lift:PV#5</t>
  </si>
  <si>
    <t>lift:PV#6</t>
  </si>
  <si>
    <t>lift:PV#7</t>
  </si>
  <si>
    <t>lift:PV#8</t>
  </si>
  <si>
    <t>lift:PV#9</t>
  </si>
  <si>
    <t>lift:PV#10</t>
  </si>
  <si>
    <t>lift:QUARTILE#1</t>
  </si>
  <si>
    <t>lift:QUARTILE#2</t>
  </si>
  <si>
    <t>lift:QUARTILE.EXC#1</t>
  </si>
  <si>
    <t>lift:QUARTILE.EXC#2</t>
  </si>
  <si>
    <t>lift:QUARTILE.INC#1</t>
  </si>
  <si>
    <t>lift:QUARTILE.INC#2</t>
  </si>
  <si>
    <t>lift:QUOTIENT#1</t>
  </si>
  <si>
    <t>lift:QUOTIENT#2</t>
  </si>
  <si>
    <t>lift:QUOTIENT#3</t>
  </si>
  <si>
    <t>lift:QUOTIENT#4</t>
  </si>
  <si>
    <t>lift:RADIANS#1</t>
  </si>
  <si>
    <t>lift:RADIANS#2</t>
  </si>
  <si>
    <t>lift:RANK#1</t>
  </si>
  <si>
    <t>lift:RANK#2</t>
  </si>
  <si>
    <t>lift:RANK.AVG#1</t>
  </si>
  <si>
    <t>lift:RANK.AVG#2</t>
  </si>
  <si>
    <t>lift:RANK.EQ#1</t>
  </si>
  <si>
    <t>lift:RANK.EQ#2</t>
  </si>
  <si>
    <t>lift:RATE#1</t>
  </si>
  <si>
    <t>lift:RATE#2</t>
  </si>
  <si>
    <t>lift:RATE#3</t>
  </si>
  <si>
    <t>lift:RATE#4</t>
  </si>
  <si>
    <t>lift:RATE#5</t>
  </si>
  <si>
    <t>lift:RATE#6</t>
  </si>
  <si>
    <t>lift:RECEIVED#1</t>
  </si>
  <si>
    <t>lift:RECEIVED#2</t>
  </si>
  <si>
    <t>lift:RECEIVED#3</t>
  </si>
  <si>
    <t>lift:RECEIVED#4</t>
  </si>
  <si>
    <t>lift:RECEIVED#5</t>
  </si>
  <si>
    <t>lift:RECEIVED#6</t>
  </si>
  <si>
    <t>lift:RECEIVED#7</t>
  </si>
  <si>
    <t>lift:RECEIVED#8</t>
  </si>
  <si>
    <t>lift:RECEIVED#9</t>
  </si>
  <si>
    <t>lift:RECEIVED#10</t>
  </si>
  <si>
    <t>lift:REPLACE#1</t>
  </si>
  <si>
    <t>lift:REPLACE#2</t>
  </si>
  <si>
    <t>lift:REPLACE#3</t>
  </si>
  <si>
    <t>lift:REPLACE#4</t>
  </si>
  <si>
    <t>lift:REPLACE#5</t>
  </si>
  <si>
    <t>lift:REPLACE#6</t>
  </si>
  <si>
    <t>lift:REPLACE#7</t>
  </si>
  <si>
    <t>lift:REPLACE#8</t>
  </si>
  <si>
    <t>lift:REPLACEB#1</t>
  </si>
  <si>
    <t>lift:REPLACEB#2</t>
  </si>
  <si>
    <t>lift:REPLACEB#3</t>
  </si>
  <si>
    <t>lift:REPLACEB#4</t>
  </si>
  <si>
    <t>lift:REPLACEB#5</t>
  </si>
  <si>
    <t>lift:REPLACEB#6</t>
  </si>
  <si>
    <t>lift:REPLACEB#7</t>
  </si>
  <si>
    <t>lift:REPLACEB#8</t>
  </si>
  <si>
    <t>lift:REPT#1</t>
  </si>
  <si>
    <t>lift:REPT#2</t>
  </si>
  <si>
    <t>lift:REPT#3</t>
  </si>
  <si>
    <t>lift:REPT#4</t>
  </si>
  <si>
    <t>lift:RIGHT#1</t>
  </si>
  <si>
    <t>lift:RIGHT#2</t>
  </si>
  <si>
    <t>lift:RIGHT#3</t>
  </si>
  <si>
    <t>lift:RIGHT#4</t>
  </si>
  <si>
    <t>lift:RIGHTB#1</t>
  </si>
  <si>
    <t>lift:RIGHTB#2</t>
  </si>
  <si>
    <t>lift:RIGHTB#3</t>
  </si>
  <si>
    <t>lift:RIGHTB#4</t>
  </si>
  <si>
    <t>lift:ROMAN#1</t>
  </si>
  <si>
    <t>lift:ROMAN#2</t>
  </si>
  <si>
    <t>lift:ROMAN#3</t>
  </si>
  <si>
    <t>lift:ROMAN#4</t>
  </si>
  <si>
    <t>lift:ROUND#1</t>
  </si>
  <si>
    <t>lift:ROUND#2</t>
  </si>
  <si>
    <t>lift:ROUND#3</t>
  </si>
  <si>
    <t>lift:ROUND#4</t>
  </si>
  <si>
    <t>lift:ROUNDDOWN#1</t>
  </si>
  <si>
    <t>lift:ROUNDDOWN#2</t>
  </si>
  <si>
    <t>lift:ROUNDDOWN#3</t>
  </si>
  <si>
    <t>lift:ROUNDDOWN#4</t>
  </si>
  <si>
    <t>lift:ROUNDUP#1</t>
  </si>
  <si>
    <t>lift:ROUNDUP#2</t>
  </si>
  <si>
    <t>lift:ROUNDUP#3</t>
  </si>
  <si>
    <t>lift:ROUNDUP#4</t>
  </si>
  <si>
    <t>lift:RRI#1</t>
  </si>
  <si>
    <t>lift:RRI#2</t>
  </si>
  <si>
    <t>lift:RRI#3</t>
  </si>
  <si>
    <t>lift:RRI#4</t>
  </si>
  <si>
    <t>lift:RRI#5</t>
  </si>
  <si>
    <t>lift:RRI#6</t>
  </si>
  <si>
    <t>lift:SEARCH#1</t>
  </si>
  <si>
    <t>lift:SEARCH#2</t>
  </si>
  <si>
    <t>lift:SEARCH#3</t>
  </si>
  <si>
    <t>lift:SEARCH#4</t>
  </si>
  <si>
    <t>lift:SEARCH#5</t>
  </si>
  <si>
    <t>lift:SEARCH#6</t>
  </si>
  <si>
    <t>lift:SEARCHB#1</t>
  </si>
  <si>
    <t>lift:SEARCHB#2</t>
  </si>
  <si>
    <t>lift:SEARCHB#3</t>
  </si>
  <si>
    <t>lift:SEARCHB#4</t>
  </si>
  <si>
    <t>lift:SEC#1</t>
  </si>
  <si>
    <t>lift:SEC#2</t>
  </si>
  <si>
    <t>lift:SECH#1</t>
  </si>
  <si>
    <t>lift:SECH#2</t>
  </si>
  <si>
    <t>lift:SECOND#1</t>
  </si>
  <si>
    <t>lift:SECOND#2</t>
  </si>
  <si>
    <t>lift:SERIESSUM#1</t>
  </si>
  <si>
    <t>lift:SERIESSUM#2</t>
  </si>
  <si>
    <t>lift:SERIESSUM#3</t>
  </si>
  <si>
    <t>lift:SERIESSUM#4</t>
  </si>
  <si>
    <t>lift:SERIESSUM#5</t>
  </si>
  <si>
    <t>lift:SERIESSUM#6</t>
  </si>
  <si>
    <t>lift:SIGN#1</t>
  </si>
  <si>
    <t>lift:SIGN#2</t>
  </si>
  <si>
    <t>lift:SIN#1</t>
  </si>
  <si>
    <t>lift:SIN#2</t>
  </si>
  <si>
    <t>lift:SINH#1</t>
  </si>
  <si>
    <t>lift:SINH#2</t>
  </si>
  <si>
    <t>lift:SLN#1</t>
  </si>
  <si>
    <t>lift:SLN#2</t>
  </si>
  <si>
    <t>lift:SLN#3</t>
  </si>
  <si>
    <t>lift:SLN#4</t>
  </si>
  <si>
    <t>lift:SLN#5</t>
  </si>
  <si>
    <t>lift:SLN#6</t>
  </si>
  <si>
    <t>lift:SMALL#1</t>
  </si>
  <si>
    <t>lift:SMALL#2</t>
  </si>
  <si>
    <t>lift:SQRT#1</t>
  </si>
  <si>
    <t>lift:SQRT#2</t>
  </si>
  <si>
    <t>lift:SQRTPI#1</t>
  </si>
  <si>
    <t>lift:SQRTPI#2</t>
  </si>
  <si>
    <t>lift:STANDARDIZE#1</t>
  </si>
  <si>
    <t>lift:STANDARDIZE#2</t>
  </si>
  <si>
    <t>lift:STANDARDIZE#3</t>
  </si>
  <si>
    <t>lift:STANDARDIZE#4</t>
  </si>
  <si>
    <t>lift:STANDARDIZE#5</t>
  </si>
  <si>
    <t>lift:STANDARDIZE#6</t>
  </si>
  <si>
    <t>lift:STDEV#1</t>
  </si>
  <si>
    <t>lift:STDEV#2</t>
  </si>
  <si>
    <t>lift:STDEV#3</t>
  </si>
  <si>
    <t>lift:STDEV#4</t>
  </si>
  <si>
    <t>lift:STDEV#5</t>
  </si>
  <si>
    <t>lift:STDEV#6</t>
  </si>
  <si>
    <t>lift:SUBSTITUTE#1</t>
  </si>
  <si>
    <t>lift:SUBSTITUTE#2</t>
  </si>
  <si>
    <t>lift:SUBSTITUTE#3</t>
  </si>
  <si>
    <t>lift:SUBSTITUTE#4</t>
  </si>
  <si>
    <t>lift:SUBSTITUTE#5</t>
  </si>
  <si>
    <t>lift:SUBSTITUTE#6</t>
  </si>
  <si>
    <t>lift:SUBTOTAL#1</t>
  </si>
  <si>
    <t>lift:SUBTOTAL#2</t>
  </si>
  <si>
    <t>lift:SUMIF#1</t>
  </si>
  <si>
    <t>lift:SUMIF#2</t>
  </si>
  <si>
    <t>lift:SUMIFS#1</t>
  </si>
  <si>
    <t>lift:SUMIFS#2</t>
  </si>
  <si>
    <t>lift:SUMSQ#1</t>
  </si>
  <si>
    <t>lift:SUMSQ#2</t>
  </si>
  <si>
    <t>lift:SUMSQ#3</t>
  </si>
  <si>
    <t>lift:SUMSQ#4</t>
  </si>
  <si>
    <t>lift:SWITCH#1</t>
  </si>
  <si>
    <t>lift:SWITCH#2</t>
  </si>
  <si>
    <t>lift:SWITCH#3</t>
  </si>
  <si>
    <t>lift:SWITCH#4</t>
  </si>
  <si>
    <t>lift:SWITCH#5</t>
  </si>
  <si>
    <t>lift:SWITCH#6</t>
  </si>
  <si>
    <t>lift:SWITCH#7</t>
  </si>
  <si>
    <t>lift:SWITCH#8</t>
  </si>
  <si>
    <t>lift:SWITCH#9</t>
  </si>
  <si>
    <t>lift:SWITCH#10</t>
  </si>
  <si>
    <t>lift:SWITCH#11</t>
  </si>
  <si>
    <t>lift:SWITCH#12</t>
  </si>
  <si>
    <t>lift:SYD#1</t>
  </si>
  <si>
    <t>lift:SYD#2</t>
  </si>
  <si>
    <t>lift:SYD#3</t>
  </si>
  <si>
    <t>lift:SYD#4</t>
  </si>
  <si>
    <t>lift:SYD#5</t>
  </si>
  <si>
    <t>lift:SYD#6</t>
  </si>
  <si>
    <t>lift:SYD#7</t>
  </si>
  <si>
    <t>lift:SYD#8</t>
  </si>
  <si>
    <t>lift:T#1</t>
  </si>
  <si>
    <t>lift:T#2</t>
  </si>
  <si>
    <t>lift:T.DIST#1</t>
  </si>
  <si>
    <t>lift:T.DIST#2</t>
  </si>
  <si>
    <t>lift:T.DIST#3</t>
  </si>
  <si>
    <t>lift:T.DIST#4</t>
  </si>
  <si>
    <t>lift:T.DIST#5</t>
  </si>
  <si>
    <t>lift:T.DIST#6</t>
  </si>
  <si>
    <t>lift:T.DIST.2T#1</t>
  </si>
  <si>
    <t>lift:T.DIST.2T#2</t>
  </si>
  <si>
    <t>lift:T.DIST.2T#3</t>
  </si>
  <si>
    <t>lift:T.DIST.2T#4</t>
  </si>
  <si>
    <t>lift:T.DIST.RT#1</t>
  </si>
  <si>
    <t>lift:T.DIST.RT#2</t>
  </si>
  <si>
    <t>lift:T.DIST.RT#3</t>
  </si>
  <si>
    <t>lift:T.DIST.RT#4</t>
  </si>
  <si>
    <t>lift:T.INV#1</t>
  </si>
  <si>
    <t>lift:T.INV#2</t>
  </si>
  <si>
    <t>lift:T.INV#3</t>
  </si>
  <si>
    <t>lift:T.INV#4</t>
  </si>
  <si>
    <t>lift:T.INV.2T#1</t>
  </si>
  <si>
    <t>lift:T.INV.2T#2</t>
  </si>
  <si>
    <t>lift:T.INV.2T#3</t>
  </si>
  <si>
    <t>lift:T.INV.2T#4</t>
  </si>
  <si>
    <t>lift:T.TEST#1</t>
  </si>
  <si>
    <t>lift:T.TEST#2</t>
  </si>
  <si>
    <t>lift:T.TEST#3</t>
  </si>
  <si>
    <t>lift:T.TEST#4</t>
  </si>
  <si>
    <t>lift:TAN#1</t>
  </si>
  <si>
    <t>lift:TAN#2</t>
  </si>
  <si>
    <t>lift:TANH#1</t>
  </si>
  <si>
    <t>lift:TANH#2</t>
  </si>
  <si>
    <t>lift:TBILLEQ#1</t>
  </si>
  <si>
    <t>lift:TBILLEQ#2</t>
  </si>
  <si>
    <t>lift:TBILLEQ#3</t>
  </si>
  <si>
    <t>lift:TBILLEQ#4</t>
  </si>
  <si>
    <t>lift:TBILLEQ#5</t>
  </si>
  <si>
    <t>lift:TBILLEQ#6</t>
  </si>
  <si>
    <t>lift:TBILLPRICE#1</t>
  </si>
  <si>
    <t>lift:TBILLPRICE#2</t>
  </si>
  <si>
    <t>lift:TBILLPRICE#3</t>
  </si>
  <si>
    <t>lift:TBILLPRICE#4</t>
  </si>
  <si>
    <t>lift:TBILLPRICE#5</t>
  </si>
  <si>
    <t>lift:TBILLPRICE#6</t>
  </si>
  <si>
    <t>lift:TBILLYIELD#1</t>
  </si>
  <si>
    <t>lift:TBILLYIELD#2</t>
  </si>
  <si>
    <t>lift:TBILLYIELD#3</t>
  </si>
  <si>
    <t>lift:TBILLYIELD#4</t>
  </si>
  <si>
    <t>lift:TBILLYIELD#5</t>
  </si>
  <si>
    <t>lift:TBILLYIELD#6</t>
  </si>
  <si>
    <t>lift:TDIST#1</t>
  </si>
  <si>
    <t>lift:TDIST#2</t>
  </si>
  <si>
    <t>lift:TDIST#3</t>
  </si>
  <si>
    <t>lift:TDIST#4</t>
  </si>
  <si>
    <t>lift:TDIST#5</t>
  </si>
  <si>
    <t>lift:TDIST#6</t>
  </si>
  <si>
    <t>lift:TEXT#1</t>
  </si>
  <si>
    <t>lift:TEXT#2</t>
  </si>
  <si>
    <t>lift:TEXT#3</t>
  </si>
  <si>
    <t>lift:TEXT#4</t>
  </si>
  <si>
    <t>lift:TEXTAFTER#1</t>
  </si>
  <si>
    <t>lift:TEXTAFTER#2</t>
  </si>
  <si>
    <t>lift:TEXTAFTER#3</t>
  </si>
  <si>
    <t>lift:TEXTAFTER#4</t>
  </si>
  <si>
    <t>lift:TEXTBEFORE#1</t>
  </si>
  <si>
    <t>lift:TEXTBEFORE#2</t>
  </si>
  <si>
    <t>lift:TEXTBEFORE#3</t>
  </si>
  <si>
    <t>lift:TEXTBEFORE#4</t>
  </si>
  <si>
    <t>lift:TEXTJOIN#1</t>
  </si>
  <si>
    <t>lift:TEXTJOIN#2</t>
  </si>
  <si>
    <t>lift:TEXTJOIN#3</t>
  </si>
  <si>
    <t>lift:TEXTJOIN#4</t>
  </si>
  <si>
    <t>lift:TEXTJOIN#5</t>
  </si>
  <si>
    <t>lift:TEXTJOIN#6</t>
  </si>
  <si>
    <t>lift:TEXTJOIN#7</t>
  </si>
  <si>
    <t>lift:TEXTJOIN#8</t>
  </si>
  <si>
    <t>lift:TEXTJOIN#9</t>
  </si>
  <si>
    <t>lift:TEXTJOIN#10</t>
  </si>
  <si>
    <t>lift:TIME#1</t>
  </si>
  <si>
    <t>lift:TIME#2</t>
  </si>
  <si>
    <t>lift:TIME#3</t>
  </si>
  <si>
    <t>lift:TIME#4</t>
  </si>
  <si>
    <t>lift:TIME#5</t>
  </si>
  <si>
    <t>lift:TIME#6</t>
  </si>
  <si>
    <t>lift:TIMEVALUE#1</t>
  </si>
  <si>
    <t>lift:TIMEVALUE#2</t>
  </si>
  <si>
    <t>lift:TINV#1</t>
  </si>
  <si>
    <t>lift:TINV#2</t>
  </si>
  <si>
    <t>lift:TINV#3</t>
  </si>
  <si>
    <t>lift:TINV#4</t>
  </si>
  <si>
    <t>lift:TRIM#1</t>
  </si>
  <si>
    <t>lift:TRIM#2</t>
  </si>
  <si>
    <t>lift:TRIMMEAN#1</t>
  </si>
  <si>
    <t>lift:TRIMMEAN#2</t>
  </si>
  <si>
    <t>lift:TRUNC#1</t>
  </si>
  <si>
    <t>lift:TRUNC#2</t>
  </si>
  <si>
    <t>lift:TTEST#1</t>
  </si>
  <si>
    <t>lift:TTEST#2</t>
  </si>
  <si>
    <t>lift:TTEST#3</t>
  </si>
  <si>
    <t>lift:TTEST#4</t>
  </si>
  <si>
    <t>lift:TYPE#1</t>
  </si>
  <si>
    <t>lift:TYPE#2</t>
  </si>
  <si>
    <t>lift:UNICHAR#1</t>
  </si>
  <si>
    <t>lift:UNICHAR#2</t>
  </si>
  <si>
    <t>lift:UNICODE#1</t>
  </si>
  <si>
    <t>lift:UNICODE#2</t>
  </si>
  <si>
    <t>lift:UPPER#1</t>
  </si>
  <si>
    <t>lift:UPPER#2</t>
  </si>
  <si>
    <t>lift:VALUE#1</t>
  </si>
  <si>
    <t>lift:VALUE#2</t>
  </si>
  <si>
    <t>lift:VALUETOTEXT#1</t>
  </si>
  <si>
    <t>lift:VALUETOTEXT#2</t>
  </si>
  <si>
    <t>lift:VALUETOTEXT#3</t>
  </si>
  <si>
    <t>lift:VALUETOTEXT#4</t>
  </si>
  <si>
    <t>lift:VAR#1</t>
  </si>
  <si>
    <t>lift:VAR#2</t>
  </si>
  <si>
    <t>lift:VAR#3</t>
  </si>
  <si>
    <t>lift:VAR#4</t>
  </si>
  <si>
    <t>lift:VAR#5</t>
  </si>
  <si>
    <t>lift:VAR#6</t>
  </si>
  <si>
    <t>lift:VLOOKUP#1</t>
  </si>
  <si>
    <t>lift:VLOOKUP#2</t>
  </si>
  <si>
    <t>lift:VLOOKUP#3</t>
  </si>
  <si>
    <t>lift:VLOOKUP#4</t>
  </si>
  <si>
    <t>lift:VLOOKUP#5</t>
  </si>
  <si>
    <t>lift:VLOOKUP#6</t>
  </si>
  <si>
    <t>lift:WEEKDAY#1</t>
  </si>
  <si>
    <t>lift:WEEKDAY#2</t>
  </si>
  <si>
    <t>lift:WEEKNUM#1</t>
  </si>
  <si>
    <t>lift:WEEKNUM#2</t>
  </si>
  <si>
    <t>lift:WEIBULL#1</t>
  </si>
  <si>
    <t>lift:WEIBULL#2</t>
  </si>
  <si>
    <t>lift:WEIBULL#3</t>
  </si>
  <si>
    <t>lift:WEIBULL#4</t>
  </si>
  <si>
    <t>lift:WEIBULL#5</t>
  </si>
  <si>
    <t>lift:WEIBULL#6</t>
  </si>
  <si>
    <t>lift:WEIBULL#7</t>
  </si>
  <si>
    <t>lift:WEIBULL#8</t>
  </si>
  <si>
    <t>lift:WEIBULL.DIST#1</t>
  </si>
  <si>
    <t>lift:WEIBULL.DIST#2</t>
  </si>
  <si>
    <t>lift:WEIBULL.DIST#3</t>
  </si>
  <si>
    <t>lift:WEIBULL.DIST#4</t>
  </si>
  <si>
    <t>lift:WEIBULL.DIST#5</t>
  </si>
  <si>
    <t>lift:WEIBULL.DIST#6</t>
  </si>
  <si>
    <t>lift:WEIBULL.DIST#7</t>
  </si>
  <si>
    <t>lift:WEIBULL.DIST#8</t>
  </si>
  <si>
    <t>lift:WORKDAY#1</t>
  </si>
  <si>
    <t>lift:WORKDAY#2</t>
  </si>
  <si>
    <t>lift:WORKDAY#3</t>
  </si>
  <si>
    <t>lift:WORKDAY#4</t>
  </si>
  <si>
    <t>lift:WORKDAY.INTL#1</t>
  </si>
  <si>
    <t>lift:WORKDAY.INTL#2</t>
  </si>
  <si>
    <t>lift:WORKDAY.INTL#3</t>
  </si>
  <si>
    <t>lift:WORKDAY.INTL#4</t>
  </si>
  <si>
    <t>lift:WORKDAY.INTL#5</t>
  </si>
  <si>
    <t>lift:WORKDAY.INTL#6</t>
  </si>
  <si>
    <t>lift:XLOOKUP#1</t>
  </si>
  <si>
    <t>lift:XLOOKUP#2</t>
  </si>
  <si>
    <t>lift:XMATCH#1</t>
  </si>
  <si>
    <t>lift:XMATCH#2</t>
  </si>
  <si>
    <t>lift:XNPV#1</t>
  </si>
  <si>
    <t>lift:XNPV#2</t>
  </si>
  <si>
    <t>lift:XOR#1</t>
  </si>
  <si>
    <t>lift:XOR#2</t>
  </si>
  <si>
    <t>lift:XOR#3</t>
  </si>
  <si>
    <t>lift:XOR#4</t>
  </si>
  <si>
    <t>lift:YEAR#1</t>
  </si>
  <si>
    <t>lift:YEAR#2</t>
  </si>
  <si>
    <t>lift:YEARFRAC#1</t>
  </si>
  <si>
    <t>lift:YEARFRAC#2</t>
  </si>
  <si>
    <t>lift:YEARFRAC#3</t>
  </si>
  <si>
    <t>lift:YEARFRAC#4</t>
  </si>
  <si>
    <t>lift:YIELD#1</t>
  </si>
  <si>
    <t>lift:YIELD#2</t>
  </si>
  <si>
    <t>lift:YIELD#3</t>
  </si>
  <si>
    <t>lift:YIELD#4</t>
  </si>
  <si>
    <t>lift:YIELD#5</t>
  </si>
  <si>
    <t>lift:YIELD#6</t>
  </si>
  <si>
    <t>lift:YIELD#7</t>
  </si>
  <si>
    <t>lift:YIELD#8</t>
  </si>
  <si>
    <t>lift:YIELD#9</t>
  </si>
  <si>
    <t>lift:YIELD#10</t>
  </si>
  <si>
    <t>lift:YIELD#11</t>
  </si>
  <si>
    <t>lift:YIELD#12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</si>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</sst>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PRICE(DATE(2008,2,15),DATE(2017,11,15),0.0575,D!B1:B2,100,2,0)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49</v>
      </c>
    </row>
    <row r="2" spans="1:5" x14ac:dyDescent="0.2">
      <c r="A2" t="e" cm="1" vm="1">
        <f t="array" aca="1" ref="A2" ca="1">PRICE(DATE(2008,2,15),DATE(2017,11,15),0.0575,{1;2},100,2,0)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50</v>
      </c>
    </row>
    <row r="3" spans="1:5" x14ac:dyDescent="0.2">
      <c r="A3" t="e" cm="1">
        <f t="array" ref="A3">PRICE(DATE(2008,2,15),DATE(2017,11,15),0.0575,0.065,D!B1:B2,2,0)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51</v>
      </c>
    </row>
    <row r="4" spans="1:5" x14ac:dyDescent="0.2">
      <c r="A4" t="e" cm="1" vm="1">
        <f t="array" aca="1" ref="A4" ca="1">PRICE(DATE(2008,2,15),DATE(2017,11,15),0.0575,0.065,{1;2},2,0)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52</v>
      </c>
    </row>
    <row r="5" spans="1:5" x14ac:dyDescent="0.2">
      <c r="A5" t="e" cm="1">
        <f t="array" ref="A5">PRICE(DATE(2008,2,15),DATE(2017,11,15),0.0575,0.065,100,D!B1:B2,0)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53</v>
      </c>
    </row>
    <row r="6" spans="1:5" x14ac:dyDescent="0.2">
      <c r="A6" t="e" cm="1" vm="1">
        <f t="array" aca="1" ref="A6" ca="1">PRICE(DATE(2008,2,15),DATE(2017,11,15),0.0575,0.065,100,{1;2},0)</f>
        <v>#VALUE!</v>
      </c>
      <c r="B6">
        <f t="shared" ca="1" si="0"/>
        <v>9</v>
      </c>
      <c r="C6">
        <f t="shared" ca="1" si="1"/>
        <v>0</v>
      </c>
      <c r="D6" t="str">
        <f t="shared" ca="1" si="2"/>
        <v/>
      </c>
      <c r="E6" t="s">
        <v>54</v>
      </c>
    </row>
    <row r="7" spans="1:5" x14ac:dyDescent="0.2">
      <c r="A7" t="e" cm="1">
        <f t="array" ref="A7">PRICE(DATE(2008,2,15),DATE(2017,11,15),0.0575,0.065,100,2,D!B1:B2)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55</v>
      </c>
    </row>
    <row r="8" spans="1:5" x14ac:dyDescent="0.2">
      <c r="A8" t="e" cm="1" vm="1">
        <f t="array" aca="1" ref="A8" ca="1">PRICE(DATE(2008,2,15),DATE(2017,11,15),0.0575,0.065,100,2,{1;2})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t="e" cm="1">
        <f t="array" ref="A9">PRICEDISC(D!B1:B2,39508,0.0525,100,2)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57</v>
      </c>
    </row>
    <row r="10" spans="1:5" x14ac:dyDescent="0.2">
      <c r="A10" t="e" cm="1" vm="1">
        <f t="array" aca="1" ref="A10" ca="1">PRICEDISC({1;2},39508,0.0525,100,2)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e" cm="1">
        <f t="array" ref="A11">PRICEDISC(39494,D!B1:B2,0.0525,100,2)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59</v>
      </c>
    </row>
    <row r="12" spans="1:5" x14ac:dyDescent="0.2">
      <c r="A12" t="e" cm="1" vm="1">
        <f t="array" aca="1" ref="A12" ca="1">PRICEDISC(39494,{1;2},0.0525,100,2)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60</v>
      </c>
    </row>
    <row r="13" spans="1:5" x14ac:dyDescent="0.2">
      <c r="A13" t="e" cm="1">
        <f t="array" ref="A13">PRICEDISC(39494,39508,D!B1:B2,100,2)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61</v>
      </c>
    </row>
    <row r="14" spans="1:5" x14ac:dyDescent="0.2">
      <c r="A14" t="e" cm="1" vm="1">
        <f t="array" aca="1" ref="A14" ca="1">PRICEDISC(39494,39508,{1;2},100,2)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62</v>
      </c>
    </row>
    <row r="15" spans="1:5" x14ac:dyDescent="0.2">
      <c r="A15" t="e" cm="1">
        <f t="array" ref="A15">PRICEDISC(39494,39508,0.0525,D!B1:B2,2)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63</v>
      </c>
    </row>
    <row r="16" spans="1:5" x14ac:dyDescent="0.2">
      <c r="A16" t="e" cm="1" vm="1">
        <f t="array" aca="1" ref="A16" ca="1">PRICEDISC(39494,39508,0.0525,{1;2},2)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64</v>
      </c>
    </row>
    <row r="17" spans="1:5" x14ac:dyDescent="0.2">
      <c r="A17" t="e" cm="1">
        <f t="array" ref="A17">PRICEDISC(39494,39508,0.0525,100,D!B1:B2)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65</v>
      </c>
    </row>
    <row r="18" spans="1:5" x14ac:dyDescent="0.2">
      <c r="A18" t="e" cm="1" vm="1">
        <f t="array" aca="1" ref="A18" ca="1">PRICEDISC(39494,39508,0.0525,100,{1;2})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66</v>
      </c>
    </row>
    <row r="19" spans="1:5" x14ac:dyDescent="0.2">
      <c r="A19" t="e" cm="1">
        <f t="array" ref="A19">PRICEMAT(D!B1:B2,DATE(2008,4,13),DATE(2007,11,11),0.061,0.061,0)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67</v>
      </c>
    </row>
    <row r="20" spans="1:5" x14ac:dyDescent="0.2">
      <c r="A20" t="e" cm="1" vm="1">
        <f t="array" aca="1" ref="A20" ca="1">PRICEMAT({1;2},DATE(2008,4,13),DATE(2007,11,11),0.061,0.061,0)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68</v>
      </c>
    </row>
    <row r="21" spans="1:5" x14ac:dyDescent="0.2">
      <c r="A21" t="e" cm="1">
        <f t="array" ref="A21">PRICEMAT(DATE(2008,2,15),D!B1:B2,DATE(2007,11,11),0.061,0.061,0)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69</v>
      </c>
    </row>
    <row r="22" spans="1:5" x14ac:dyDescent="0.2">
      <c r="A22" t="e" cm="1" vm="1">
        <f t="array" aca="1" ref="A22" ca="1">PRICEMAT(DATE(2008,2,15),{1;2},DATE(2007,11,11),0.061,0.061,0)</f>
        <v>#VALUE!</v>
      </c>
      <c r="B22">
        <f t="shared" ca="1" si="0"/>
        <v>9</v>
      </c>
      <c r="C22">
        <f t="shared" ca="1" si="1"/>
        <v>0</v>
      </c>
      <c r="D22" t="str">
        <f t="shared" ca="1" si="2"/>
        <v/>
      </c>
      <c r="E22" t="s">
        <v>70</v>
      </c>
    </row>
    <row r="23" spans="1:5" x14ac:dyDescent="0.2">
      <c r="A23" t="e" cm="1">
        <f t="array" ref="A23">PRICEMAT(DATE(2008,2,15),DATE(2008,4,13),D!B1:B2,0.061,0.061,0)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71</v>
      </c>
    </row>
    <row r="24" spans="1:5" x14ac:dyDescent="0.2">
      <c r="A24" t="e" cm="1" vm="1">
        <f t="array" aca="1" ref="A24" ca="1">PRICEMAT(DATE(2008,2,15),DATE(2008,4,13),{1;2},0.061,0.061,0)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72</v>
      </c>
    </row>
    <row r="25" spans="1:5" x14ac:dyDescent="0.2">
      <c r="A25" t="e" cm="1">
        <f t="array" ref="A25">PRICEMAT(DATE(2008,2,15),DATE(2008,4,13),DATE(2007,11,11),D!B1:B2,0.061,0)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73</v>
      </c>
    </row>
    <row r="26" spans="1:5" x14ac:dyDescent="0.2">
      <c r="A26" t="e" cm="1" vm="1">
        <f t="array" aca="1" ref="A26" ca="1">PRICEMAT(DATE(2008,2,15),DATE(2008,4,13),DATE(2007,11,11),{1;2},0.061,0)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74</v>
      </c>
    </row>
    <row r="27" spans="1:5" x14ac:dyDescent="0.2">
      <c r="A27" t="e" cm="1">
        <f t="array" ref="A27">PRICEMAT(DATE(2008,2,15),DATE(2008,4,13),DATE(2007,11,11),0.061,D!B1:B2,0)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75</v>
      </c>
    </row>
    <row r="28" spans="1:5" x14ac:dyDescent="0.2">
      <c r="A28" t="e" cm="1" vm="1">
        <f t="array" aca="1" ref="A28" ca="1">PRICEMAT(DATE(2008,2,15),DATE(2008,4,13),DATE(2007,11,11),0.061,{1;2},0)</f>
        <v>#VALUE!</v>
      </c>
      <c r="B28">
        <f t="shared" ca="1" si="0"/>
        <v>9</v>
      </c>
      <c r="C28">
        <f t="shared" ca="1" si="1"/>
        <v>0</v>
      </c>
      <c r="D28" t="str">
        <f t="shared" ca="1" si="2"/>
        <v/>
      </c>
      <c r="E28" t="s">
        <v>76</v>
      </c>
    </row>
    <row r="29" spans="1:5" x14ac:dyDescent="0.2">
      <c r="A29" t="e" cm="1">
        <f t="array" ref="A29">PRICEMAT(DATE(2008,2,15),DATE(2008,4,13),DATE(2007,11,11),0.061,0.061,D!B1:B2)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77</v>
      </c>
    </row>
    <row r="30" spans="1:5" x14ac:dyDescent="0.2">
      <c r="A30" t="e" cm="1" vm="1">
        <f t="array" aca="1" ref="A30" ca="1">PRICEMAT(DATE(2008,2,15),DATE(2008,4,13),DATE(2007,11,11),0.061,0.061,{1;2})</f>
        <v>#VALUE!</v>
      </c>
      <c r="B30">
        <f t="shared" ca="1" si="0"/>
        <v>9</v>
      </c>
      <c r="C30">
        <f t="shared" ca="1" si="1"/>
        <v>0</v>
      </c>
      <c r="D30" t="str">
        <f t="shared" ca="1" si="2"/>
        <v/>
      </c>
      <c r="E30" t="s">
        <v>78</v>
      </c>
    </row>
    <row r="31" spans="1:5" x14ac:dyDescent="0.2">
      <c r="A31" t="e" cm="1" vm="1">
        <f t="array" aca="1" ref="A31" ca="1">PROB(D!AH1:AH4,D!AI1:AI4,D!B1:B2)</f>
        <v>#VALUE!</v>
      </c>
      <c r="B31">
        <f t="shared" ca="1" si="0"/>
        <v>9</v>
      </c>
      <c r="C31">
        <f t="shared" ca="1" si="1"/>
        <v>0</v>
      </c>
      <c r="D31" t="str">
        <f t="shared" ca="1" si="2"/>
        <v/>
      </c>
      <c r="E31" t="s">
        <v>79</v>
      </c>
    </row>
    <row r="32" spans="1:5" x14ac:dyDescent="0.2">
      <c r="A32" t="e" cm="1" vm="1">
        <f t="array" aca="1" ref="A32" ca="1">PROB(D!AH1:AH4,D!AI1:AI4,{1;2})</f>
        <v>#VALUE!</v>
      </c>
      <c r="B32">
        <f t="shared" ca="1" si="0"/>
        <v>9</v>
      </c>
      <c r="C32">
        <f t="shared" ca="1" si="1"/>
        <v>0</v>
      </c>
      <c r="D32" t="str">
        <f t="shared" ca="1" si="2"/>
        <v/>
      </c>
      <c r="E32" t="s">
        <v>80</v>
      </c>
    </row>
    <row r="33" spans="1:5" x14ac:dyDescent="0.2">
      <c r="A33" t="e" cm="1" vm="1">
        <f t="array" aca="1" ref="A33" ca="1">PROPER(D!B1:B2)</f>
        <v>#VALUE!</v>
      </c>
      <c r="B33">
        <f t="shared" ca="1" si="0"/>
        <v>9</v>
      </c>
      <c r="C33">
        <f t="shared" ca="1" si="1"/>
        <v>0</v>
      </c>
      <c r="D33" t="str">
        <f t="shared" ca="1" si="2"/>
        <v/>
      </c>
      <c r="E33" t="s">
        <v>81</v>
      </c>
    </row>
    <row r="34" spans="1:5" x14ac:dyDescent="0.2">
      <c r="A34" t="e" cm="1" vm="1">
        <f t="array" aca="1" ref="A34" ca="1">PROPER({1;2})</f>
        <v>#VALUE!</v>
      </c>
      <c r="B34">
        <f t="shared" ca="1" si="0"/>
        <v>9</v>
      </c>
      <c r="C34">
        <f t="shared" ca="1" si="1"/>
        <v>0</v>
      </c>
      <c r="D34" t="str">
        <f t="shared" ca="1" si="2"/>
        <v/>
      </c>
      <c r="E34" t="s">
        <v>82</v>
      </c>
    </row>
    <row r="35" spans="1:5" x14ac:dyDescent="0.2">
      <c r="A35" t="e" cm="1" vm="1">
        <f t="array" aca="1" ref="A35" ca="1">PV(D!B1:B2,240,500,0,0)</f>
        <v>#VALUE!</v>
      </c>
      <c r="B35">
        <f t="shared" ca="1" si="0"/>
        <v>9</v>
      </c>
      <c r="C35">
        <f t="shared" ca="1" si="1"/>
        <v>0</v>
      </c>
      <c r="D35" t="str">
        <f t="shared" ca="1" si="2"/>
        <v/>
      </c>
      <c r="E35" t="s">
        <v>83</v>
      </c>
    </row>
    <row r="36" spans="1:5" x14ac:dyDescent="0.2">
      <c r="A36" t="e" cm="1" vm="1">
        <f t="array" aca="1" ref="A36" ca="1">PV({1;2},240,500,0,0)</f>
        <v>#VALUE!</v>
      </c>
      <c r="B36">
        <f t="shared" ca="1" si="0"/>
        <v>9</v>
      </c>
      <c r="C36">
        <f t="shared" ca="1" si="1"/>
        <v>0</v>
      </c>
      <c r="D36" t="str">
        <f t="shared" ca="1" si="2"/>
        <v/>
      </c>
      <c r="E36" t="s">
        <v>84</v>
      </c>
    </row>
    <row r="37" spans="1:5" x14ac:dyDescent="0.2">
      <c r="A37" t="e" cm="1" vm="1">
        <f t="array" aca="1" ref="A37" ca="1">PV(0.00666666666666667,D!B1:B2,500,0,0)</f>
        <v>#VALUE!</v>
      </c>
      <c r="B37">
        <f t="shared" ca="1" si="0"/>
        <v>9</v>
      </c>
      <c r="C37">
        <f t="shared" ca="1" si="1"/>
        <v>0</v>
      </c>
      <c r="D37" t="str">
        <f t="shared" ca="1" si="2"/>
        <v/>
      </c>
      <c r="E37" t="s">
        <v>85</v>
      </c>
    </row>
    <row r="38" spans="1:5" x14ac:dyDescent="0.2">
      <c r="A38" t="e" cm="1" vm="1">
        <f t="array" aca="1" ref="A38" ca="1">PV(0.00666666666666667,{1;2},500,0,0)</f>
        <v>#VALUE!</v>
      </c>
      <c r="B38">
        <f t="shared" ca="1" si="0"/>
        <v>9</v>
      </c>
      <c r="C38">
        <f t="shared" ca="1" si="1"/>
        <v>0</v>
      </c>
      <c r="D38" t="str">
        <f t="shared" ca="1" si="2"/>
        <v/>
      </c>
      <c r="E38" t="s">
        <v>86</v>
      </c>
    </row>
    <row r="39" spans="1:5" x14ac:dyDescent="0.2">
      <c r="A39" t="e" cm="1" vm="1">
        <f t="array" aca="1" ref="A39" ca="1">PV(0.00666666666666667,240,D!B1:B2,0,0)</f>
        <v>#VALUE!</v>
      </c>
      <c r="B39">
        <f t="shared" ca="1" si="0"/>
        <v>9</v>
      </c>
      <c r="C39">
        <f t="shared" ca="1" si="1"/>
        <v>0</v>
      </c>
      <c r="D39" t="str">
        <f t="shared" ca="1" si="2"/>
        <v/>
      </c>
      <c r="E39" t="s">
        <v>87</v>
      </c>
    </row>
    <row r="40" spans="1:5" x14ac:dyDescent="0.2">
      <c r="A40" t="e" cm="1" vm="1">
        <f t="array" aca="1" ref="A40" ca="1">PV(0.00666666666666667,240,{1;2},0,0)</f>
        <v>#VALUE!</v>
      </c>
      <c r="B40">
        <f t="shared" ca="1" si="0"/>
        <v>9</v>
      </c>
      <c r="C40">
        <f t="shared" ca="1" si="1"/>
        <v>0</v>
      </c>
      <c r="D40" t="str">
        <f t="shared" ca="1" si="2"/>
        <v/>
      </c>
      <c r="E40" t="s">
        <v>88</v>
      </c>
    </row>
    <row r="41" spans="1:5" x14ac:dyDescent="0.2">
      <c r="A41" t="e" cm="1" vm="1">
        <f t="array" aca="1" ref="A41" ca="1">PV(0.00666666666666667,240,500,D!B1:B2,0)</f>
        <v>#VALUE!</v>
      </c>
      <c r="B41">
        <f t="shared" ca="1" si="0"/>
        <v>9</v>
      </c>
      <c r="C41">
        <f t="shared" ca="1" si="1"/>
        <v>0</v>
      </c>
      <c r="D41" t="str">
        <f t="shared" ca="1" si="2"/>
        <v/>
      </c>
      <c r="E41" t="s">
        <v>89</v>
      </c>
    </row>
    <row r="42" spans="1:5" x14ac:dyDescent="0.2">
      <c r="A42" t="e" cm="1" vm="1">
        <f t="array" aca="1" ref="A42" ca="1">PV(0.00666666666666667,240,500,{1;2},0)</f>
        <v>#VALUE!</v>
      </c>
      <c r="B42">
        <f t="shared" ca="1" si="0"/>
        <v>9</v>
      </c>
      <c r="C42">
        <f t="shared" ca="1" si="1"/>
        <v>0</v>
      </c>
      <c r="D42" t="str">
        <f t="shared" ca="1" si="2"/>
        <v/>
      </c>
      <c r="E42" t="s">
        <v>90</v>
      </c>
    </row>
    <row r="43" spans="1:5" x14ac:dyDescent="0.2">
      <c r="A43" t="e" cm="1" vm="1">
        <f t="array" aca="1" ref="A43" ca="1">PV(0.00666666666666667,240,500,0,D!B1:B2)</f>
        <v>#VALUE!</v>
      </c>
      <c r="B43">
        <f t="shared" ca="1" si="0"/>
        <v>9</v>
      </c>
      <c r="C43">
        <f t="shared" ca="1" si="1"/>
        <v>0</v>
      </c>
      <c r="D43" t="str">
        <f t="shared" ca="1" si="2"/>
        <v/>
      </c>
      <c r="E43" t="s">
        <v>91</v>
      </c>
    </row>
    <row r="44" spans="1:5" x14ac:dyDescent="0.2">
      <c r="A44" t="e" cm="1" vm="1">
        <f t="array" aca="1" ref="A44" ca="1">PV(0.00666666666666667,240,500,0,{1;2})</f>
        <v>#VALUE!</v>
      </c>
      <c r="B44">
        <f t="shared" ca="1" si="0"/>
        <v>9</v>
      </c>
      <c r="C44">
        <f t="shared" ca="1" si="1"/>
        <v>0</v>
      </c>
      <c r="D44" t="str">
        <f t="shared" ca="1" si="2"/>
        <v/>
      </c>
      <c r="E44" t="s">
        <v>92</v>
      </c>
    </row>
    <row r="45" spans="1:5" x14ac:dyDescent="0.2">
      <c r="A45" t="e" cm="1" vm="1">
        <f t="array" aca="1" ref="A45" ca="1">QUARTILE(D!B1:B8,D!B1:B2)</f>
        <v>#VALUE!</v>
      </c>
      <c r="B45">
        <f t="shared" ca="1" si="0"/>
        <v>9</v>
      </c>
      <c r="C45">
        <f t="shared" ca="1" si="1"/>
        <v>0</v>
      </c>
      <c r="D45" t="str">
        <f t="shared" ca="1" si="2"/>
        <v/>
      </c>
      <c r="E45" t="s">
        <v>93</v>
      </c>
    </row>
    <row r="46" spans="1:5" x14ac:dyDescent="0.2">
      <c r="A46" t="e" cm="1" vm="1">
        <f t="array" aca="1" ref="A46" ca="1">QUARTILE(D!B1:B8,{1;2})</f>
        <v>#VALUE!</v>
      </c>
      <c r="B46">
        <f t="shared" ca="1" si="0"/>
        <v>9</v>
      </c>
      <c r="C46">
        <f t="shared" ca="1" si="1"/>
        <v>0</v>
      </c>
      <c r="D46" t="str">
        <f t="shared" ca="1" si="2"/>
        <v/>
      </c>
      <c r="E46" t="s">
        <v>94</v>
      </c>
    </row>
    <row r="47" spans="1:5" x14ac:dyDescent="0.2">
      <c r="A47" t="e" cm="1" vm="1">
        <f t="array" aca="1" ref="A47" ca="1">_xlfn.QUARTILE.EXC(D!B1:B8,D!B1:B2)</f>
        <v>#VALUE!</v>
      </c>
      <c r="B47">
        <f t="shared" ca="1" si="0"/>
        <v>9</v>
      </c>
      <c r="C47">
        <f t="shared" ca="1" si="1"/>
        <v>0</v>
      </c>
      <c r="D47" t="str">
        <f t="shared" ca="1" si="2"/>
        <v/>
      </c>
      <c r="E47" t="s">
        <v>95</v>
      </c>
    </row>
    <row r="48" spans="1:5" x14ac:dyDescent="0.2">
      <c r="A48" t="e" cm="1" vm="1">
        <f t="array" aca="1" ref="A48" ca="1">_xlfn.QUARTILE.EXC(D!B1:B8,{1;2})</f>
        <v>#VALUE!</v>
      </c>
      <c r="B48">
        <f t="shared" ca="1" si="0"/>
        <v>9</v>
      </c>
      <c r="C48">
        <f t="shared" ca="1" si="1"/>
        <v>0</v>
      </c>
      <c r="D48" t="str">
        <f t="shared" ca="1" si="2"/>
        <v/>
      </c>
      <c r="E48" t="s">
        <v>96</v>
      </c>
    </row>
    <row r="49" spans="1:5" x14ac:dyDescent="0.2">
      <c r="A49" t="e" cm="1" vm="1">
        <f t="array" aca="1" ref="A49" ca="1">_xlfn.QUARTILE.INC(D!B1:B8,D!B1:B2)</f>
        <v>#VALUE!</v>
      </c>
      <c r="B49">
        <f t="shared" ca="1" si="0"/>
        <v>9</v>
      </c>
      <c r="C49">
        <f t="shared" ca="1" si="1"/>
        <v>0</v>
      </c>
      <c r="D49" t="str">
        <f t="shared" ca="1" si="2"/>
        <v/>
      </c>
      <c r="E49" t="s">
        <v>97</v>
      </c>
    </row>
    <row r="50" spans="1:5" x14ac:dyDescent="0.2">
      <c r="A50" t="e" cm="1" vm="1">
        <f t="array" aca="1" ref="A50" ca="1">_xlfn.QUARTILE.INC(D!B1:B8,{1;2})</f>
        <v>#VALUE!</v>
      </c>
      <c r="B50">
        <f t="shared" ca="1" si="0"/>
        <v>9</v>
      </c>
      <c r="C50">
        <f t="shared" ca="1" si="1"/>
        <v>0</v>
      </c>
      <c r="D50" t="str">
        <f t="shared" ca="1" si="2"/>
        <v/>
      </c>
      <c r="E50" t="s">
        <v>98</v>
      </c>
    </row>
    <row r="51" spans="1:5" x14ac:dyDescent="0.2">
      <c r="A51" t="e" cm="1">
        <f t="array" ref="A51">QUOTIENT(D!B1:B2,2)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99</v>
      </c>
    </row>
    <row r="52" spans="1:5" x14ac:dyDescent="0.2">
      <c r="A52" t="e" cm="1" vm="1">
        <f t="array" aca="1" ref="A52" ca="1">QUOTIENT({1;2},2)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100</v>
      </c>
    </row>
    <row r="53" spans="1:5" x14ac:dyDescent="0.2">
      <c r="A53" t="e" cm="1">
        <f t="array" ref="A53">QUOTIENT(5,D!B1:B2)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101</v>
      </c>
    </row>
    <row r="54" spans="1:5" x14ac:dyDescent="0.2">
      <c r="A54" t="e" cm="1" vm="1">
        <f t="array" aca="1" ref="A54" ca="1">QUOTIENT(5,{1;2})</f>
        <v>#VALUE!</v>
      </c>
      <c r="B54">
        <f t="shared" ca="1" si="0"/>
        <v>9</v>
      </c>
      <c r="C54">
        <f t="shared" ca="1" si="1"/>
        <v>0</v>
      </c>
      <c r="D54" t="str">
        <f t="shared" ca="1" si="2"/>
        <v/>
      </c>
      <c r="E54" t="s">
        <v>102</v>
      </c>
    </row>
    <row r="55" spans="1:5" x14ac:dyDescent="0.2">
      <c r="A55" t="e" cm="1" vm="1">
        <f t="array" aca="1" ref="A55" ca="1">RADIANS(D!B1:B2)</f>
        <v>#VALUE!</v>
      </c>
      <c r="B55">
        <f t="shared" ca="1" si="0"/>
        <v>9</v>
      </c>
      <c r="C55">
        <f t="shared" ca="1" si="1"/>
        <v>0</v>
      </c>
      <c r="D55" t="str">
        <f t="shared" ca="1" si="2"/>
        <v/>
      </c>
      <c r="E55" t="s">
        <v>103</v>
      </c>
    </row>
    <row r="56" spans="1:5" x14ac:dyDescent="0.2">
      <c r="A56" t="e" cm="1" vm="1">
        <f t="array" aca="1" ref="A56" ca="1">RADIANS({1;2})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104</v>
      </c>
    </row>
    <row r="57" spans="1:5" x14ac:dyDescent="0.2">
      <c r="A57" t="e" cm="1" vm="1">
        <f t="array" aca="1" ref="A57" ca="1">RANK(D!B1:B2,D!B1:B8)</f>
        <v>#VALUE!</v>
      </c>
      <c r="B57">
        <f t="shared" ca="1" si="0"/>
        <v>9</v>
      </c>
      <c r="C57">
        <f t="shared" ca="1" si="1"/>
        <v>0</v>
      </c>
      <c r="D57" t="str">
        <f t="shared" ca="1" si="2"/>
        <v/>
      </c>
      <c r="E57" t="s">
        <v>105</v>
      </c>
    </row>
    <row r="58" spans="1:5" x14ac:dyDescent="0.2">
      <c r="A58" t="e" cm="1" vm="1">
        <f t="array" aca="1" ref="A58" ca="1">RANK({1;2},D!B1:B8)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106</v>
      </c>
    </row>
    <row r="59" spans="1:5" x14ac:dyDescent="0.2">
      <c r="A59" t="e" cm="1" vm="1">
        <f t="array" aca="1" ref="A59" ca="1">_xlfn.RANK.AVG(D!B1:B2,D!BE1:BE7)</f>
        <v>#VALUE!</v>
      </c>
      <c r="B59">
        <f t="shared" ca="1" si="0"/>
        <v>9</v>
      </c>
      <c r="C59">
        <f t="shared" ca="1" si="1"/>
        <v>0</v>
      </c>
      <c r="D59" t="str">
        <f t="shared" ca="1" si="2"/>
        <v/>
      </c>
      <c r="E59" t="s">
        <v>107</v>
      </c>
    </row>
    <row r="60" spans="1:5" x14ac:dyDescent="0.2">
      <c r="A60" t="e" cm="1" vm="1">
        <f t="array" aca="1" ref="A60" ca="1">_xlfn.RANK.AVG({1;2},D!BE1:BE7)</f>
        <v>#VALUE!</v>
      </c>
      <c r="B60">
        <f t="shared" ca="1" si="0"/>
        <v>9</v>
      </c>
      <c r="C60">
        <f t="shared" ca="1" si="1"/>
        <v>0</v>
      </c>
      <c r="D60" t="str">
        <f t="shared" ca="1" si="2"/>
        <v/>
      </c>
      <c r="E60" t="s">
        <v>108</v>
      </c>
    </row>
    <row r="61" spans="1:5" x14ac:dyDescent="0.2">
      <c r="A61" t="e" cm="1" vm="1">
        <f t="array" aca="1" ref="A61" ca="1">_xlfn.RANK.EQ(D!B1:B2,D!BE1:BE7)</f>
        <v>#VALUE!</v>
      </c>
      <c r="B61">
        <f t="shared" ca="1" si="0"/>
        <v>9</v>
      </c>
      <c r="C61">
        <f t="shared" ca="1" si="1"/>
        <v>0</v>
      </c>
      <c r="D61" t="str">
        <f t="shared" ca="1" si="2"/>
        <v/>
      </c>
      <c r="E61" t="s">
        <v>109</v>
      </c>
    </row>
    <row r="62" spans="1:5" x14ac:dyDescent="0.2">
      <c r="A62" t="e" cm="1" vm="1">
        <f t="array" aca="1" ref="A62" ca="1">_xlfn.RANK.EQ({1;2},D!BE1:BE7)</f>
        <v>#VALUE!</v>
      </c>
      <c r="B62">
        <f t="shared" ca="1" si="0"/>
        <v>9</v>
      </c>
      <c r="C62">
        <f t="shared" ca="1" si="1"/>
        <v>0</v>
      </c>
      <c r="D62" t="str">
        <f t="shared" ca="1" si="2"/>
        <v/>
      </c>
      <c r="E62" t="s">
        <v>110</v>
      </c>
    </row>
    <row r="63" spans="1:5" x14ac:dyDescent="0.2">
      <c r="A63" t="e" cm="1" vm="1">
        <f t="array" aca="1" ref="A63" ca="1">RATE(D!B1:B2,-200,8000)</f>
        <v>#VALUE!</v>
      </c>
      <c r="B63">
        <f t="shared" ca="1" si="0"/>
        <v>9</v>
      </c>
      <c r="C63">
        <f t="shared" ca="1" si="1"/>
        <v>0</v>
      </c>
      <c r="D63" t="str">
        <f t="shared" ca="1" si="2"/>
        <v/>
      </c>
      <c r="E63" t="s">
        <v>111</v>
      </c>
    </row>
    <row r="64" spans="1:5" x14ac:dyDescent="0.2">
      <c r="A64" t="e" cm="1" vm="1">
        <f t="array" aca="1" ref="A64" ca="1">RATE({1;2},-200,8000)</f>
        <v>#VALUE!</v>
      </c>
      <c r="B64">
        <f t="shared" ca="1" si="0"/>
        <v>9</v>
      </c>
      <c r="C64">
        <f t="shared" ca="1" si="1"/>
        <v>0</v>
      </c>
      <c r="D64" t="str">
        <f t="shared" ca="1" si="2"/>
        <v/>
      </c>
      <c r="E64" t="s">
        <v>112</v>
      </c>
    </row>
    <row r="65" spans="1:5" x14ac:dyDescent="0.2">
      <c r="A65" t="e" cm="1" vm="1">
        <f t="array" aca="1" ref="A65" ca="1">RATE(48,D!B1:B2,8000)</f>
        <v>#VALUE!</v>
      </c>
      <c r="B65">
        <f t="shared" ref="B65:B128" ca="1" si="3">IF(ISERROR(A65),ERROR.TYPE(A65),IF(ISNUMBER(A65),0,IF(ISLOGICAL(A65),IF(A65,-1,-2),IF(ISTEXT(A65),-3,-4))))</f>
        <v>9</v>
      </c>
      <c r="C65">
        <f t="shared" ref="C65:C128" ca="1" si="4">IF(ISNUMBER(A65),A65,0)</f>
        <v>0</v>
      </c>
      <c r="D65" t="str">
        <f t="shared" ref="D65:D128" ca="1" si="5">IF(ISTEXT(A65),A65,"")</f>
        <v/>
      </c>
      <c r="E65" t="s">
        <v>113</v>
      </c>
    </row>
    <row r="66" spans="1:5" x14ac:dyDescent="0.2">
      <c r="A66" t="e" cm="1" vm="1">
        <f t="array" aca="1" ref="A66" ca="1">RATE(48,{1;2},8000)</f>
        <v>#VALUE!</v>
      </c>
      <c r="B66">
        <f t="shared" ca="1" si="3"/>
        <v>9</v>
      </c>
      <c r="C66">
        <f t="shared" ca="1" si="4"/>
        <v>0</v>
      </c>
      <c r="D66" t="str">
        <f t="shared" ca="1" si="5"/>
        <v/>
      </c>
      <c r="E66" t="s">
        <v>114</v>
      </c>
    </row>
    <row r="67" spans="1:5" x14ac:dyDescent="0.2">
      <c r="A67" t="e" cm="1" vm="1">
        <f t="array" aca="1" ref="A67" ca="1">RATE(48,-200,D!B1:B2)</f>
        <v>#VALUE!</v>
      </c>
      <c r="B67">
        <f t="shared" ca="1" si="3"/>
        <v>9</v>
      </c>
      <c r="C67">
        <f t="shared" ca="1" si="4"/>
        <v>0</v>
      </c>
      <c r="D67" t="str">
        <f t="shared" ca="1" si="5"/>
        <v/>
      </c>
      <c r="E67" t="s">
        <v>115</v>
      </c>
    </row>
    <row r="68" spans="1:5" x14ac:dyDescent="0.2">
      <c r="A68" t="e" cm="1" vm="1">
        <f t="array" aca="1" ref="A68" ca="1">RATE(48,-200,{1;2})</f>
        <v>#VALUE!</v>
      </c>
      <c r="B68">
        <f t="shared" ca="1" si="3"/>
        <v>9</v>
      </c>
      <c r="C68">
        <f t="shared" ca="1" si="4"/>
        <v>0</v>
      </c>
      <c r="D68" t="str">
        <f t="shared" ca="1" si="5"/>
        <v/>
      </c>
      <c r="E68" t="s">
        <v>116</v>
      </c>
    </row>
    <row r="69" spans="1:5" x14ac:dyDescent="0.2">
      <c r="A69" t="e" cm="1">
        <f t="array" ref="A69">RECEIVED(D!B1:B2,DATE(2008,5,15),1000000,0.0575,2)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117</v>
      </c>
    </row>
    <row r="70" spans="1:5" x14ac:dyDescent="0.2">
      <c r="A70" t="e" cm="1" vm="1">
        <f t="array" aca="1" ref="A70" ca="1">RECEIVED({1;2},DATE(2008,5,15),1000000,0.0575,2)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118</v>
      </c>
    </row>
    <row r="71" spans="1:5" x14ac:dyDescent="0.2">
      <c r="A71" t="e" cm="1">
        <f t="array" ref="A71">RECEIVED(DATE(2008,2,15),D!B1:B2,1000000,0.0575,2)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119</v>
      </c>
    </row>
    <row r="72" spans="1:5" x14ac:dyDescent="0.2">
      <c r="A72" t="e" cm="1" vm="1">
        <f t="array" aca="1" ref="A72" ca="1">RECEIVED(DATE(2008,2,15),{1;2},1000000,0.0575,2)</f>
        <v>#VALUE!</v>
      </c>
      <c r="B72">
        <f t="shared" ca="1" si="3"/>
        <v>9</v>
      </c>
      <c r="C72">
        <f t="shared" ca="1" si="4"/>
        <v>0</v>
      </c>
      <c r="D72" t="str">
        <f t="shared" ca="1" si="5"/>
        <v/>
      </c>
      <c r="E72" t="s">
        <v>120</v>
      </c>
    </row>
    <row r="73" spans="1:5" x14ac:dyDescent="0.2">
      <c r="A73" t="e" cm="1">
        <f t="array" ref="A73">RECEIVED(DATE(2008,2,15),DATE(2008,5,15),D!B1:B2,0.0575,2)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121</v>
      </c>
    </row>
    <row r="74" spans="1:5" x14ac:dyDescent="0.2">
      <c r="A74" t="e" cm="1" vm="1">
        <f t="array" aca="1" ref="A74" ca="1">RECEIVED(DATE(2008,2,15),DATE(2008,5,15),{1;2},0.0575,2)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122</v>
      </c>
    </row>
    <row r="75" spans="1:5" x14ac:dyDescent="0.2">
      <c r="A75" t="e" cm="1">
        <f t="array" ref="A75">RECEIVED(DATE(2008,2,15),DATE(2008,5,15),1000000,D!B1:B2,2)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123</v>
      </c>
    </row>
    <row r="76" spans="1:5" x14ac:dyDescent="0.2">
      <c r="A76" t="e" cm="1" vm="1">
        <f t="array" aca="1" ref="A76" ca="1">RECEIVED(DATE(2008,2,15),DATE(2008,5,15),1000000,{1;2},2)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124</v>
      </c>
    </row>
    <row r="77" spans="1:5" x14ac:dyDescent="0.2">
      <c r="A77" t="e" cm="1">
        <f t="array" ref="A77">RECEIVED(DATE(2008,2,15),DATE(2008,5,15),1000000,0.0575,D!B1:B2)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125</v>
      </c>
    </row>
    <row r="78" spans="1:5" x14ac:dyDescent="0.2">
      <c r="A78" t="e" cm="1" vm="1">
        <f t="array" aca="1" ref="A78" ca="1">RECEIVED(DATE(2008,2,15),DATE(2008,5,15),1000000,0.0575,{1;2})</f>
        <v>#VALUE!</v>
      </c>
      <c r="B78">
        <f t="shared" ca="1" si="3"/>
        <v>9</v>
      </c>
      <c r="C78">
        <f t="shared" ca="1" si="4"/>
        <v>0</v>
      </c>
      <c r="D78" t="str">
        <f t="shared" ca="1" si="5"/>
        <v/>
      </c>
      <c r="E78" t="s">
        <v>126</v>
      </c>
    </row>
    <row r="79" spans="1:5" x14ac:dyDescent="0.2">
      <c r="A79" t="e" cm="1" vm="1">
        <f t="array" aca="1" ref="A79" ca="1">REPLACE(D!B1:B2,6,5,"*")</f>
        <v>#VALUE!</v>
      </c>
      <c r="B79">
        <f t="shared" ca="1" si="3"/>
        <v>9</v>
      </c>
      <c r="C79">
        <f t="shared" ca="1" si="4"/>
        <v>0</v>
      </c>
      <c r="D79" t="str">
        <f t="shared" ca="1" si="5"/>
        <v/>
      </c>
      <c r="E79" t="s">
        <v>127</v>
      </c>
    </row>
    <row r="80" spans="1:5" x14ac:dyDescent="0.2">
      <c r="A80" t="e" cm="1" vm="1">
        <f t="array" aca="1" ref="A80" ca="1">REPLACE({1;2},6,5,"*")</f>
        <v>#VALUE!</v>
      </c>
      <c r="B80">
        <f t="shared" ca="1" si="3"/>
        <v>9</v>
      </c>
      <c r="C80">
        <f t="shared" ca="1" si="4"/>
        <v>0</v>
      </c>
      <c r="D80" t="str">
        <f t="shared" ca="1" si="5"/>
        <v/>
      </c>
      <c r="E80" t="s">
        <v>128</v>
      </c>
    </row>
    <row r="81" spans="1:5" x14ac:dyDescent="0.2">
      <c r="A81" t="e" cm="1" vm="1">
        <f t="array" aca="1" ref="A81" ca="1">REPLACE("abcdefghijk",D!B1:B2,5,"*")</f>
        <v>#VALUE!</v>
      </c>
      <c r="B81">
        <f t="shared" ca="1" si="3"/>
        <v>9</v>
      </c>
      <c r="C81">
        <f t="shared" ca="1" si="4"/>
        <v>0</v>
      </c>
      <c r="D81" t="str">
        <f t="shared" ca="1" si="5"/>
        <v/>
      </c>
      <c r="E81" t="s">
        <v>129</v>
      </c>
    </row>
    <row r="82" spans="1:5" x14ac:dyDescent="0.2">
      <c r="A82" t="e" cm="1" vm="1">
        <f t="array" aca="1" ref="A82" ca="1">REPLACE("abcdefghijk",{1;2},5,"*")</f>
        <v>#VALUE!</v>
      </c>
      <c r="B82">
        <f t="shared" ca="1" si="3"/>
        <v>9</v>
      </c>
      <c r="C82">
        <f t="shared" ca="1" si="4"/>
        <v>0</v>
      </c>
      <c r="D82" t="str">
        <f t="shared" ca="1" si="5"/>
        <v/>
      </c>
      <c r="E82" t="s">
        <v>130</v>
      </c>
    </row>
    <row r="83" spans="1:5" x14ac:dyDescent="0.2">
      <c r="A83" t="e" cm="1" vm="1">
        <f t="array" aca="1" ref="A83" ca="1">REPLACE("abcdefghijk",6,D!B1:B2,"*")</f>
        <v>#VALUE!</v>
      </c>
      <c r="B83">
        <f t="shared" ca="1" si="3"/>
        <v>9</v>
      </c>
      <c r="C83">
        <f t="shared" ca="1" si="4"/>
        <v>0</v>
      </c>
      <c r="D83" t="str">
        <f t="shared" ca="1" si="5"/>
        <v/>
      </c>
      <c r="E83" t="s">
        <v>131</v>
      </c>
    </row>
    <row r="84" spans="1:5" x14ac:dyDescent="0.2">
      <c r="A84" t="e" cm="1" vm="1">
        <f t="array" aca="1" ref="A84" ca="1">REPLACE("abcdefghijk",6,{1;2},"*")</f>
        <v>#VALUE!</v>
      </c>
      <c r="B84">
        <f t="shared" ca="1" si="3"/>
        <v>9</v>
      </c>
      <c r="C84">
        <f t="shared" ca="1" si="4"/>
        <v>0</v>
      </c>
      <c r="D84" t="str">
        <f t="shared" ca="1" si="5"/>
        <v/>
      </c>
      <c r="E84" t="s">
        <v>132</v>
      </c>
    </row>
    <row r="85" spans="1:5" x14ac:dyDescent="0.2">
      <c r="A85" t="e" cm="1" vm="1">
        <f t="array" aca="1" ref="A85" ca="1">REPLACE("abcdefghijk",6,5,D!B1:B2)</f>
        <v>#VALUE!</v>
      </c>
      <c r="B85">
        <f t="shared" ca="1" si="3"/>
        <v>9</v>
      </c>
      <c r="C85">
        <f t="shared" ca="1" si="4"/>
        <v>0</v>
      </c>
      <c r="D85" t="str">
        <f t="shared" ca="1" si="5"/>
        <v/>
      </c>
      <c r="E85" t="s">
        <v>133</v>
      </c>
    </row>
    <row r="86" spans="1:5" x14ac:dyDescent="0.2">
      <c r="A86" t="e" cm="1" vm="1">
        <f t="array" aca="1" ref="A86" ca="1">REPLACE("abcdefghijk",6,5,{1;2})</f>
        <v>#VALUE!</v>
      </c>
      <c r="B86">
        <f t="shared" ca="1" si="3"/>
        <v>9</v>
      </c>
      <c r="C86">
        <f t="shared" ca="1" si="4"/>
        <v>0</v>
      </c>
      <c r="D86" t="str">
        <f t="shared" ca="1" si="5"/>
        <v/>
      </c>
      <c r="E86" t="s">
        <v>134</v>
      </c>
    </row>
    <row r="87" spans="1:5" x14ac:dyDescent="0.2">
      <c r="A87" t="e" cm="1" vm="1">
        <f t="array" aca="1" ref="A87" ca="1">REPLACEB(D!B1:B2,2,3,"x")</f>
        <v>#VALUE!</v>
      </c>
      <c r="B87">
        <f t="shared" ca="1" si="3"/>
        <v>9</v>
      </c>
      <c r="C87">
        <f t="shared" ca="1" si="4"/>
        <v>0</v>
      </c>
      <c r="D87" t="str">
        <f t="shared" ca="1" si="5"/>
        <v/>
      </c>
      <c r="E87" t="s">
        <v>135</v>
      </c>
    </row>
    <row r="88" spans="1:5" x14ac:dyDescent="0.2">
      <c r="A88" t="e" cm="1" vm="1">
        <f t="array" aca="1" ref="A88" ca="1">REPLACEB({1;2},2,3,"x")</f>
        <v>#VALUE!</v>
      </c>
      <c r="B88">
        <f t="shared" ca="1" si="3"/>
        <v>9</v>
      </c>
      <c r="C88">
        <f t="shared" ca="1" si="4"/>
        <v>0</v>
      </c>
      <c r="D88" t="str">
        <f t="shared" ca="1" si="5"/>
        <v/>
      </c>
      <c r="E88" t="s">
        <v>136</v>
      </c>
    </row>
    <row r="89" spans="1:5" x14ac:dyDescent="0.2">
      <c r="A89" t="e" cm="1" vm="1">
        <f t="array" aca="1" ref="A89" ca="1">REPLACEB("abcdef",D!B1:B2,3,"x")</f>
        <v>#VALUE!</v>
      </c>
      <c r="B89">
        <f t="shared" ca="1" si="3"/>
        <v>9</v>
      </c>
      <c r="C89">
        <f t="shared" ca="1" si="4"/>
        <v>0</v>
      </c>
      <c r="D89" t="str">
        <f t="shared" ca="1" si="5"/>
        <v/>
      </c>
      <c r="E89" t="s">
        <v>137</v>
      </c>
    </row>
    <row r="90" spans="1:5" x14ac:dyDescent="0.2">
      <c r="A90" t="e" cm="1" vm="1">
        <f t="array" aca="1" ref="A90" ca="1">REPLACEB("abcdef",{1;2},3,"x")</f>
        <v>#VALUE!</v>
      </c>
      <c r="B90">
        <f t="shared" ca="1" si="3"/>
        <v>9</v>
      </c>
      <c r="C90">
        <f t="shared" ca="1" si="4"/>
        <v>0</v>
      </c>
      <c r="D90" t="str">
        <f t="shared" ca="1" si="5"/>
        <v/>
      </c>
      <c r="E90" t="s">
        <v>138</v>
      </c>
    </row>
    <row r="91" spans="1:5" x14ac:dyDescent="0.2">
      <c r="A91" t="e" cm="1" vm="1">
        <f t="array" aca="1" ref="A91" ca="1">REPLACEB("abcdef",2,D!B1:B2,"x")</f>
        <v>#VALUE!</v>
      </c>
      <c r="B91">
        <f t="shared" ca="1" si="3"/>
        <v>9</v>
      </c>
      <c r="C91">
        <f t="shared" ca="1" si="4"/>
        <v>0</v>
      </c>
      <c r="D91" t="str">
        <f t="shared" ca="1" si="5"/>
        <v/>
      </c>
      <c r="E91" t="s">
        <v>139</v>
      </c>
    </row>
    <row r="92" spans="1:5" x14ac:dyDescent="0.2">
      <c r="A92" t="e" cm="1" vm="1">
        <f t="array" aca="1" ref="A92" ca="1">REPLACEB("abcdef",2,{1;2},"x")</f>
        <v>#VALUE!</v>
      </c>
      <c r="B92">
        <f t="shared" ca="1" si="3"/>
        <v>9</v>
      </c>
      <c r="C92">
        <f t="shared" ca="1" si="4"/>
        <v>0</v>
      </c>
      <c r="D92" t="str">
        <f t="shared" ca="1" si="5"/>
        <v/>
      </c>
      <c r="E92" t="s">
        <v>140</v>
      </c>
    </row>
    <row r="93" spans="1:5" x14ac:dyDescent="0.2">
      <c r="A93" t="e" cm="1" vm="1">
        <f t="array" aca="1" ref="A93" ca="1">REPLACEB("abcdef",2,3,D!B1:B2)</f>
        <v>#VALUE!</v>
      </c>
      <c r="B93">
        <f t="shared" ca="1" si="3"/>
        <v>9</v>
      </c>
      <c r="C93">
        <f t="shared" ca="1" si="4"/>
        <v>0</v>
      </c>
      <c r="D93" t="str">
        <f t="shared" ca="1" si="5"/>
        <v/>
      </c>
      <c r="E93" t="s">
        <v>141</v>
      </c>
    </row>
    <row r="94" spans="1:5" x14ac:dyDescent="0.2">
      <c r="A94" t="e" cm="1" vm="1">
        <f t="array" aca="1" ref="A94" ca="1">REPLACEB("abcdef",2,3,{1;2})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142</v>
      </c>
    </row>
    <row r="95" spans="1:5" x14ac:dyDescent="0.2">
      <c r="A95" t="e" cm="1" vm="1">
        <f t="array" aca="1" ref="A95" ca="1">REPT(D!B1:B2,3)</f>
        <v>#VALUE!</v>
      </c>
      <c r="B95">
        <f t="shared" ca="1" si="3"/>
        <v>9</v>
      </c>
      <c r="C95">
        <f t="shared" ca="1" si="4"/>
        <v>0</v>
      </c>
      <c r="D95" t="str">
        <f t="shared" ca="1" si="5"/>
        <v/>
      </c>
      <c r="E95" t="s">
        <v>143</v>
      </c>
    </row>
    <row r="96" spans="1:5" x14ac:dyDescent="0.2">
      <c r="A96" t="e" cm="1" vm="1">
        <f t="array" aca="1" ref="A96" ca="1">REPT({1;2},3)</f>
        <v>#VALUE!</v>
      </c>
      <c r="B96">
        <f t="shared" ca="1" si="3"/>
        <v>9</v>
      </c>
      <c r="C96">
        <f t="shared" ca="1" si="4"/>
        <v>0</v>
      </c>
      <c r="D96" t="str">
        <f t="shared" ca="1" si="5"/>
        <v/>
      </c>
      <c r="E96" t="s">
        <v>144</v>
      </c>
    </row>
    <row r="97" spans="1:5" x14ac:dyDescent="0.2">
      <c r="A97" t="e" cm="1" vm="1">
        <f t="array" aca="1" ref="A97" ca="1">REPT("*-",D!B1:B2)</f>
        <v>#VALUE!</v>
      </c>
      <c r="B97">
        <f t="shared" ca="1" si="3"/>
        <v>9</v>
      </c>
      <c r="C97">
        <f t="shared" ca="1" si="4"/>
        <v>0</v>
      </c>
      <c r="D97" t="str">
        <f t="shared" ca="1" si="5"/>
        <v/>
      </c>
      <c r="E97" t="s">
        <v>145</v>
      </c>
    </row>
    <row r="98" spans="1:5" x14ac:dyDescent="0.2">
      <c r="A98" t="e" cm="1" vm="1">
        <f t="array" aca="1" ref="A98" ca="1">REPT("*-",{1;2})</f>
        <v>#VALUE!</v>
      </c>
      <c r="B98">
        <f t="shared" ca="1" si="3"/>
        <v>9</v>
      </c>
      <c r="C98">
        <f t="shared" ca="1" si="4"/>
        <v>0</v>
      </c>
      <c r="D98" t="str">
        <f t="shared" ca="1" si="5"/>
        <v/>
      </c>
      <c r="E98" t="s">
        <v>146</v>
      </c>
    </row>
    <row r="99" spans="1:5" x14ac:dyDescent="0.2">
      <c r="A99" t="e" cm="1" vm="1">
        <f t="array" aca="1" ref="A99" ca="1">RIGHT(D!B1:B2,5)</f>
        <v>#VALUE!</v>
      </c>
      <c r="B99">
        <f t="shared" ca="1" si="3"/>
        <v>9</v>
      </c>
      <c r="C99">
        <f t="shared" ca="1" si="4"/>
        <v>0</v>
      </c>
      <c r="D99" t="str">
        <f t="shared" ca="1" si="5"/>
        <v/>
      </c>
      <c r="E99" t="s">
        <v>147</v>
      </c>
    </row>
    <row r="100" spans="1:5" x14ac:dyDescent="0.2">
      <c r="A100" t="e" cm="1" vm="1">
        <f t="array" aca="1" ref="A100" ca="1">RIGHT({1;2},5)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148</v>
      </c>
    </row>
    <row r="101" spans="1:5" x14ac:dyDescent="0.2">
      <c r="A101" t="e" cm="1" vm="1">
        <f t="array" aca="1" ref="A101" ca="1">RIGHT("Sale Price",D!B1:B2)</f>
        <v>#VALUE!</v>
      </c>
      <c r="B101">
        <f t="shared" ca="1" si="3"/>
        <v>9</v>
      </c>
      <c r="C101">
        <f t="shared" ca="1" si="4"/>
        <v>0</v>
      </c>
      <c r="D101" t="str">
        <f t="shared" ca="1" si="5"/>
        <v/>
      </c>
      <c r="E101" t="s">
        <v>149</v>
      </c>
    </row>
    <row r="102" spans="1:5" x14ac:dyDescent="0.2">
      <c r="A102" t="e" cm="1" vm="1">
        <f t="array" aca="1" ref="A102" ca="1">RIGHT("Sale Price",{1;2})</f>
        <v>#VALUE!</v>
      </c>
      <c r="B102">
        <f t="shared" ca="1" si="3"/>
        <v>9</v>
      </c>
      <c r="C102">
        <f t="shared" ca="1" si="4"/>
        <v>0</v>
      </c>
      <c r="D102" t="str">
        <f t="shared" ca="1" si="5"/>
        <v/>
      </c>
      <c r="E102" t="s">
        <v>150</v>
      </c>
    </row>
    <row r="103" spans="1:5" x14ac:dyDescent="0.2">
      <c r="A103" t="e" cm="1" vm="1">
        <f t="array" aca="1" ref="A103" ca="1">RIGHTB(D!B1:B2,2)</f>
        <v>#VALUE!</v>
      </c>
      <c r="B103">
        <f t="shared" ca="1" si="3"/>
        <v>9</v>
      </c>
      <c r="C103">
        <f t="shared" ca="1" si="4"/>
        <v>0</v>
      </c>
      <c r="D103" t="str">
        <f t="shared" ca="1" si="5"/>
        <v/>
      </c>
      <c r="E103" t="s">
        <v>151</v>
      </c>
    </row>
    <row r="104" spans="1:5" x14ac:dyDescent="0.2">
      <c r="A104" t="e" cm="1" vm="1">
        <f t="array" aca="1" ref="A104" ca="1">RIGHTB({1;2},2)</f>
        <v>#VALUE!</v>
      </c>
      <c r="B104">
        <f t="shared" ca="1" si="3"/>
        <v>9</v>
      </c>
      <c r="C104">
        <f t="shared" ca="1" si="4"/>
        <v>0</v>
      </c>
      <c r="D104" t="str">
        <f t="shared" ca="1" si="5"/>
        <v/>
      </c>
      <c r="E104" t="s">
        <v>152</v>
      </c>
    </row>
    <row r="105" spans="1:5" x14ac:dyDescent="0.2">
      <c r="A105" t="e" cm="1" vm="1">
        <f t="array" aca="1" ref="A105" ca="1">RIGHTB("abc",D!B1:B2)</f>
        <v>#VALUE!</v>
      </c>
      <c r="B105">
        <f t="shared" ca="1" si="3"/>
        <v>9</v>
      </c>
      <c r="C105">
        <f t="shared" ca="1" si="4"/>
        <v>0</v>
      </c>
      <c r="D105" t="str">
        <f t="shared" ca="1" si="5"/>
        <v/>
      </c>
      <c r="E105" t="s">
        <v>153</v>
      </c>
    </row>
    <row r="106" spans="1:5" x14ac:dyDescent="0.2">
      <c r="A106" t="e" cm="1" vm="1">
        <f t="array" aca="1" ref="A106" ca="1">RIGHTB("abc",{1;2})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154</v>
      </c>
    </row>
    <row r="107" spans="1:5" x14ac:dyDescent="0.2">
      <c r="A107" t="e" cm="1" vm="1">
        <f t="array" aca="1" ref="A107" ca="1">ROMAN(D!B1:B2,0)</f>
        <v>#VALUE!</v>
      </c>
      <c r="B107">
        <f t="shared" ca="1" si="3"/>
        <v>9</v>
      </c>
      <c r="C107">
        <f t="shared" ca="1" si="4"/>
        <v>0</v>
      </c>
      <c r="D107" t="str">
        <f t="shared" ca="1" si="5"/>
        <v/>
      </c>
      <c r="E107" t="s">
        <v>155</v>
      </c>
    </row>
    <row r="108" spans="1:5" x14ac:dyDescent="0.2">
      <c r="A108" t="e" cm="1" vm="1">
        <f t="array" aca="1" ref="A108" ca="1">ROMAN({1;2},0)</f>
        <v>#VALUE!</v>
      </c>
      <c r="B108">
        <f t="shared" ca="1" si="3"/>
        <v>9</v>
      </c>
      <c r="C108">
        <f t="shared" ca="1" si="4"/>
        <v>0</v>
      </c>
      <c r="D108" t="str">
        <f t="shared" ca="1" si="5"/>
        <v/>
      </c>
      <c r="E108" t="s">
        <v>156</v>
      </c>
    </row>
    <row r="109" spans="1:5" x14ac:dyDescent="0.2">
      <c r="A109" t="e" cm="1" vm="1">
        <f t="array" aca="1" ref="A109" ca="1">ROMAN(499,D!B1:B2)</f>
        <v>#VALUE!</v>
      </c>
      <c r="B109">
        <f t="shared" ca="1" si="3"/>
        <v>9</v>
      </c>
      <c r="C109">
        <f t="shared" ca="1" si="4"/>
        <v>0</v>
      </c>
      <c r="D109" t="str">
        <f t="shared" ca="1" si="5"/>
        <v/>
      </c>
      <c r="E109" t="s">
        <v>157</v>
      </c>
    </row>
    <row r="110" spans="1:5" x14ac:dyDescent="0.2">
      <c r="A110" t="e" cm="1" vm="1">
        <f t="array" aca="1" ref="A110" ca="1">ROMAN(499,{1;2})</f>
        <v>#VALUE!</v>
      </c>
      <c r="B110">
        <f t="shared" ca="1" si="3"/>
        <v>9</v>
      </c>
      <c r="C110">
        <f t="shared" ca="1" si="4"/>
        <v>0</v>
      </c>
      <c r="D110" t="str">
        <f t="shared" ca="1" si="5"/>
        <v/>
      </c>
      <c r="E110" t="s">
        <v>158</v>
      </c>
    </row>
    <row r="111" spans="1:5" x14ac:dyDescent="0.2">
      <c r="A111" t="e" cm="1" vm="1">
        <f t="array" aca="1" ref="A111" ca="1">ROUND(D!B1:B2,1)</f>
        <v>#VALUE!</v>
      </c>
      <c r="B111">
        <f t="shared" ca="1" si="3"/>
        <v>9</v>
      </c>
      <c r="C111">
        <f t="shared" ca="1" si="4"/>
        <v>0</v>
      </c>
      <c r="D111" t="str">
        <f t="shared" ca="1" si="5"/>
        <v/>
      </c>
      <c r="E111" t="s">
        <v>159</v>
      </c>
    </row>
    <row r="112" spans="1:5" x14ac:dyDescent="0.2">
      <c r="A112" t="e" cm="1" vm="1">
        <f t="array" aca="1" ref="A112" ca="1">ROUND({1;2},1)</f>
        <v>#VALUE!</v>
      </c>
      <c r="B112">
        <f t="shared" ca="1" si="3"/>
        <v>9</v>
      </c>
      <c r="C112">
        <f t="shared" ca="1" si="4"/>
        <v>0</v>
      </c>
      <c r="D112" t="str">
        <f t="shared" ca="1" si="5"/>
        <v/>
      </c>
      <c r="E112" t="s">
        <v>160</v>
      </c>
    </row>
    <row r="113" spans="1:5" x14ac:dyDescent="0.2">
      <c r="A113" t="e" cm="1" vm="1">
        <f t="array" aca="1" ref="A113" ca="1">ROUND(2.15,D!B1:B2)</f>
        <v>#VALUE!</v>
      </c>
      <c r="B113">
        <f t="shared" ca="1" si="3"/>
        <v>9</v>
      </c>
      <c r="C113">
        <f t="shared" ca="1" si="4"/>
        <v>0</v>
      </c>
      <c r="D113" t="str">
        <f t="shared" ca="1" si="5"/>
        <v/>
      </c>
      <c r="E113" t="s">
        <v>161</v>
      </c>
    </row>
    <row r="114" spans="1:5" x14ac:dyDescent="0.2">
      <c r="A114" t="e" cm="1" vm="1">
        <f t="array" aca="1" ref="A114" ca="1">ROUND(2.15,{1;2})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162</v>
      </c>
    </row>
    <row r="115" spans="1:5" x14ac:dyDescent="0.2">
      <c r="A115" t="e" cm="1" vm="1">
        <f t="array" aca="1" ref="A115" ca="1">ROUNDDOWN(D!B1:B2,0)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163</v>
      </c>
    </row>
    <row r="116" spans="1:5" x14ac:dyDescent="0.2">
      <c r="A116" t="e" cm="1" vm="1">
        <f t="array" aca="1" ref="A116" ca="1">ROUNDDOWN({1;2},0)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164</v>
      </c>
    </row>
    <row r="117" spans="1:5" x14ac:dyDescent="0.2">
      <c r="A117" t="e" cm="1" vm="1">
        <f t="array" aca="1" ref="A117" ca="1">ROUNDDOWN(3.2,D!B1:B2)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165</v>
      </c>
    </row>
    <row r="118" spans="1:5" x14ac:dyDescent="0.2">
      <c r="A118" t="e" cm="1" vm="1">
        <f t="array" aca="1" ref="A118" ca="1">ROUNDDOWN(3.2,{1;2})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166</v>
      </c>
    </row>
    <row r="119" spans="1:5" x14ac:dyDescent="0.2">
      <c r="A119" t="e" cm="1" vm="1">
        <f t="array" aca="1" ref="A119" ca="1">ROUNDUP(D!B1:B2,0)</f>
        <v>#VALUE!</v>
      </c>
      <c r="B119">
        <f t="shared" ca="1" si="3"/>
        <v>9</v>
      </c>
      <c r="C119">
        <f t="shared" ca="1" si="4"/>
        <v>0</v>
      </c>
      <c r="D119" t="str">
        <f t="shared" ca="1" si="5"/>
        <v/>
      </c>
      <c r="E119" t="s">
        <v>167</v>
      </c>
    </row>
    <row r="120" spans="1:5" x14ac:dyDescent="0.2">
      <c r="A120" t="e" cm="1" vm="1">
        <f t="array" aca="1" ref="A120" ca="1">ROUNDUP({1;2},0)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168</v>
      </c>
    </row>
    <row r="121" spans="1:5" x14ac:dyDescent="0.2">
      <c r="A121" t="e" cm="1" vm="1">
        <f t="array" aca="1" ref="A121" ca="1">ROUNDUP(3.2,D!B1:B2)</f>
        <v>#VALUE!</v>
      </c>
      <c r="B121">
        <f t="shared" ca="1" si="3"/>
        <v>9</v>
      </c>
      <c r="C121">
        <f t="shared" ca="1" si="4"/>
        <v>0</v>
      </c>
      <c r="D121" t="str">
        <f t="shared" ca="1" si="5"/>
        <v/>
      </c>
      <c r="E121" t="s">
        <v>169</v>
      </c>
    </row>
    <row r="122" spans="1:5" x14ac:dyDescent="0.2">
      <c r="A122" t="e" cm="1" vm="1">
        <f t="array" aca="1" ref="A122" ca="1">ROUNDUP(3.2,{1;2})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170</v>
      </c>
    </row>
    <row r="123" spans="1:5" x14ac:dyDescent="0.2">
      <c r="A123" t="e" cm="1" vm="1">
        <f t="array" aca="1" ref="A123" ca="1">_xlfn.RRI(D!B1:B2,10000,11000)</f>
        <v>#VALUE!</v>
      </c>
      <c r="B123">
        <f t="shared" ca="1" si="3"/>
        <v>9</v>
      </c>
      <c r="C123">
        <f t="shared" ca="1" si="4"/>
        <v>0</v>
      </c>
      <c r="D123" t="str">
        <f t="shared" ca="1" si="5"/>
        <v/>
      </c>
      <c r="E123" t="s">
        <v>171</v>
      </c>
    </row>
    <row r="124" spans="1:5" x14ac:dyDescent="0.2">
      <c r="A124" t="e" cm="1" vm="1">
        <f t="array" aca="1" ref="A124" ca="1">_xlfn.RRI({1;2},10000,11000)</f>
        <v>#VALUE!</v>
      </c>
      <c r="B124">
        <f t="shared" ca="1" si="3"/>
        <v>9</v>
      </c>
      <c r="C124">
        <f t="shared" ca="1" si="4"/>
        <v>0</v>
      </c>
      <c r="D124" t="str">
        <f t="shared" ca="1" si="5"/>
        <v/>
      </c>
      <c r="E124" t="s">
        <v>172</v>
      </c>
    </row>
    <row r="125" spans="1:5" x14ac:dyDescent="0.2">
      <c r="A125" t="e" cm="1" vm="1">
        <f t="array" aca="1" ref="A125" ca="1">_xlfn.RRI(96,D!B1:B2,11000)</f>
        <v>#VALUE!</v>
      </c>
      <c r="B125">
        <f t="shared" ca="1" si="3"/>
        <v>9</v>
      </c>
      <c r="C125">
        <f t="shared" ca="1" si="4"/>
        <v>0</v>
      </c>
      <c r="D125" t="str">
        <f t="shared" ca="1" si="5"/>
        <v/>
      </c>
      <c r="E125" t="s">
        <v>173</v>
      </c>
    </row>
    <row r="126" spans="1:5" x14ac:dyDescent="0.2">
      <c r="A126" t="e" cm="1" vm="1">
        <f t="array" aca="1" ref="A126" ca="1">_xlfn.RRI(96,{1;2},11000)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e" cm="1" vm="1">
        <f t="array" aca="1" ref="A127" ca="1">_xlfn.RRI(96,10000,D!B1:B2)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175</v>
      </c>
    </row>
    <row r="128" spans="1:5" x14ac:dyDescent="0.2">
      <c r="A128" t="e" cm="1" vm="1">
        <f t="array" aca="1" ref="A128" ca="1">_xlfn.RRI(96,10000,{1;2})</f>
        <v>#VALUE!</v>
      </c>
      <c r="B128">
        <f t="shared" ca="1" si="3"/>
        <v>9</v>
      </c>
      <c r="C128">
        <f t="shared" ca="1" si="4"/>
        <v>0</v>
      </c>
      <c r="D128" t="str">
        <f t="shared" ca="1" si="5"/>
        <v/>
      </c>
      <c r="E128" t="s">
        <v>176</v>
      </c>
    </row>
    <row r="129" spans="1:5" x14ac:dyDescent="0.2">
      <c r="A129" t="e" cm="1" vm="1">
        <f t="array" aca="1" ref="A129" ca="1">SEARCH(D!B1:B2,"Statements",6)</f>
        <v>#VALUE!</v>
      </c>
      <c r="B129">
        <f t="shared" ref="B129:B192" ca="1" si="6">IF(ISERROR(A129),ERROR.TYPE(A129),IF(ISNUMBER(A129),0,IF(ISLOGICAL(A129),IF(A129,-1,-2),IF(ISTEXT(A129),-3,-4))))</f>
        <v>9</v>
      </c>
      <c r="C129">
        <f t="shared" ref="C129:C192" ca="1" si="7">IF(ISNUMBER(A129),A129,0)</f>
        <v>0</v>
      </c>
      <c r="D129" t="str">
        <f t="shared" ref="D129:D192" ca="1" si="8">IF(ISTEXT(A129),A129,"")</f>
        <v/>
      </c>
      <c r="E129" t="s">
        <v>177</v>
      </c>
    </row>
    <row r="130" spans="1:5" x14ac:dyDescent="0.2">
      <c r="A130" t="e" cm="1" vm="1">
        <f t="array" aca="1" ref="A130" ca="1">SEARCH({1;2},"Statements",6)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t="e" cm="1" vm="1">
        <f t="array" aca="1" ref="A131" ca="1">SEARCH("e",D!B1:B2,6)</f>
        <v>#VALUE!</v>
      </c>
      <c r="B131">
        <f t="shared" ca="1" si="6"/>
        <v>9</v>
      </c>
      <c r="C131">
        <f t="shared" ca="1" si="7"/>
        <v>0</v>
      </c>
      <c r="D131" t="str">
        <f t="shared" ca="1" si="8"/>
        <v/>
      </c>
      <c r="E131" t="s">
        <v>179</v>
      </c>
    </row>
    <row r="132" spans="1:5" x14ac:dyDescent="0.2">
      <c r="A132" t="e" cm="1" vm="1">
        <f t="array" aca="1" ref="A132" ca="1">SEARCH("e",{1;2},6)</f>
        <v>#VALUE!</v>
      </c>
      <c r="B132">
        <f t="shared" ca="1" si="6"/>
        <v>9</v>
      </c>
      <c r="C132">
        <f t="shared" ca="1" si="7"/>
        <v>0</v>
      </c>
      <c r="D132" t="str">
        <f t="shared" ca="1" si="8"/>
        <v/>
      </c>
      <c r="E132" t="s">
        <v>180</v>
      </c>
    </row>
    <row r="133" spans="1:5" x14ac:dyDescent="0.2">
      <c r="A133" t="e" cm="1" vm="1">
        <f t="array" aca="1" ref="A133" ca="1">SEARCH("e","Statements",D!B1:B2)</f>
        <v>#VALUE!</v>
      </c>
      <c r="B133">
        <f t="shared" ca="1" si="6"/>
        <v>9</v>
      </c>
      <c r="C133">
        <f t="shared" ca="1" si="7"/>
        <v>0</v>
      </c>
      <c r="D133" t="str">
        <f t="shared" ca="1" si="8"/>
        <v/>
      </c>
      <c r="E133" t="s">
        <v>181</v>
      </c>
    </row>
    <row r="134" spans="1:5" x14ac:dyDescent="0.2">
      <c r="A134" t="e" cm="1" vm="1">
        <f t="array" aca="1" ref="A134" ca="1">SEARCH("e","Statements",{1;2})</f>
        <v>#VALUE!</v>
      </c>
      <c r="B134">
        <f t="shared" ca="1" si="6"/>
        <v>9</v>
      </c>
      <c r="C134">
        <f t="shared" ca="1" si="7"/>
        <v>0</v>
      </c>
      <c r="D134" t="str">
        <f t="shared" ca="1" si="8"/>
        <v/>
      </c>
      <c r="E134" t="s">
        <v>182</v>
      </c>
    </row>
    <row r="135" spans="1:5" x14ac:dyDescent="0.2">
      <c r="A135" t="e" cm="1" vm="1">
        <f t="array" aca="1" ref="A135" ca="1">SEARCHB(D!B1:B2,"abc")</f>
        <v>#VALUE!</v>
      </c>
      <c r="B135">
        <f t="shared" ca="1" si="6"/>
        <v>9</v>
      </c>
      <c r="C135">
        <f t="shared" ca="1" si="7"/>
        <v>0</v>
      </c>
      <c r="D135" t="str">
        <f t="shared" ca="1" si="8"/>
        <v/>
      </c>
      <c r="E135" t="s">
        <v>183</v>
      </c>
    </row>
    <row r="136" spans="1:5" x14ac:dyDescent="0.2">
      <c r="A136" t="e" cm="1" vm="1">
        <f t="array" aca="1" ref="A136" ca="1">SEARCHB({1;2},"abc")</f>
        <v>#VALUE!</v>
      </c>
      <c r="B136">
        <f t="shared" ca="1" si="6"/>
        <v>9</v>
      </c>
      <c r="C136">
        <f t="shared" ca="1" si="7"/>
        <v>0</v>
      </c>
      <c r="D136" t="str">
        <f t="shared" ca="1" si="8"/>
        <v/>
      </c>
      <c r="E136" t="s">
        <v>184</v>
      </c>
    </row>
    <row r="137" spans="1:5" x14ac:dyDescent="0.2">
      <c r="A137" t="e" cm="1" vm="1">
        <f t="array" aca="1" ref="A137" ca="1">SEARCHB("B",D!B1:B2)</f>
        <v>#VALUE!</v>
      </c>
      <c r="B137">
        <f t="shared" ca="1" si="6"/>
        <v>9</v>
      </c>
      <c r="C137">
        <f t="shared" ca="1" si="7"/>
        <v>0</v>
      </c>
      <c r="D137" t="str">
        <f t="shared" ca="1" si="8"/>
        <v/>
      </c>
      <c r="E137" t="s">
        <v>185</v>
      </c>
    </row>
    <row r="138" spans="1:5" x14ac:dyDescent="0.2">
      <c r="A138" t="e" cm="1" vm="1">
        <f t="array" aca="1" ref="A138" ca="1">SEARCHB("B",{1;2})</f>
        <v>#VALUE!</v>
      </c>
      <c r="B138">
        <f t="shared" ca="1" si="6"/>
        <v>9</v>
      </c>
      <c r="C138">
        <f t="shared" ca="1" si="7"/>
        <v>0</v>
      </c>
      <c r="D138" t="str">
        <f t="shared" ca="1" si="8"/>
        <v/>
      </c>
      <c r="E138" t="s">
        <v>186</v>
      </c>
    </row>
    <row r="139" spans="1:5" x14ac:dyDescent="0.2">
      <c r="A139" t="e" cm="1" vm="1">
        <f t="array" aca="1" ref="A139" ca="1">_xlfn.SEC(D!B1:B2)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187</v>
      </c>
    </row>
    <row r="140" spans="1:5" x14ac:dyDescent="0.2">
      <c r="A140" t="e" cm="1" vm="1">
        <f t="array" aca="1" ref="A140" ca="1">_xlfn.SEC({1;2})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188</v>
      </c>
    </row>
    <row r="141" spans="1:5" x14ac:dyDescent="0.2">
      <c r="A141" t="e" cm="1" vm="1">
        <f t="array" aca="1" ref="A141" ca="1">_xlfn.SECH(D!B1:B2)</f>
        <v>#VALUE!</v>
      </c>
      <c r="B141">
        <f t="shared" ca="1" si="6"/>
        <v>9</v>
      </c>
      <c r="C141">
        <f t="shared" ca="1" si="7"/>
        <v>0</v>
      </c>
      <c r="D141" t="str">
        <f t="shared" ca="1" si="8"/>
        <v/>
      </c>
      <c r="E141" t="s">
        <v>189</v>
      </c>
    </row>
    <row r="142" spans="1:5" x14ac:dyDescent="0.2">
      <c r="A142" t="e" cm="1" vm="1">
        <f t="array" aca="1" ref="A142" ca="1">_xlfn.SECH({1;2})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190</v>
      </c>
    </row>
    <row r="143" spans="1:5" x14ac:dyDescent="0.2">
      <c r="A143" t="e" cm="1" vm="1">
        <f t="array" aca="1" ref="A143" ca="1">SECOND(D!B1:B2)</f>
        <v>#VALUE!</v>
      </c>
      <c r="B143">
        <f t="shared" ca="1" si="6"/>
        <v>9</v>
      </c>
      <c r="C143">
        <f t="shared" ca="1" si="7"/>
        <v>0</v>
      </c>
      <c r="D143" t="str">
        <f t="shared" ca="1" si="8"/>
        <v/>
      </c>
      <c r="E143" t="s">
        <v>191</v>
      </c>
    </row>
    <row r="144" spans="1:5" x14ac:dyDescent="0.2">
      <c r="A144" t="e" cm="1" vm="1">
        <f t="array" aca="1" ref="A144" ca="1">SECOND({1;2})</f>
        <v>#VALUE!</v>
      </c>
      <c r="B144">
        <f t="shared" ca="1" si="6"/>
        <v>9</v>
      </c>
      <c r="C144">
        <f t="shared" ca="1" si="7"/>
        <v>0</v>
      </c>
      <c r="D144" t="str">
        <f t="shared" ca="1" si="8"/>
        <v/>
      </c>
      <c r="E144" t="s">
        <v>192</v>
      </c>
    </row>
    <row r="145" spans="1:5" x14ac:dyDescent="0.2">
      <c r="A145" t="e" cm="1">
        <f t="array" ref="A145">SERIESSUM(D!B1:B2,0,2,D!AR1:AR4)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193</v>
      </c>
    </row>
    <row r="146" spans="1:5" x14ac:dyDescent="0.2">
      <c r="A146" t="e" cm="1" vm="1">
        <f t="array" aca="1" ref="A146" ca="1">SERIESSUM({1;2},0,2,D!AR1:AR4)</f>
        <v>#VALUE!</v>
      </c>
      <c r="B146">
        <f t="shared" ca="1" si="6"/>
        <v>9</v>
      </c>
      <c r="C146">
        <f t="shared" ca="1" si="7"/>
        <v>0</v>
      </c>
      <c r="D146" t="str">
        <f t="shared" ca="1" si="8"/>
        <v/>
      </c>
      <c r="E146" t="s">
        <v>194</v>
      </c>
    </row>
    <row r="147" spans="1:5" x14ac:dyDescent="0.2">
      <c r="A147" t="e" cm="1">
        <f t="array" ref="A147">SERIESSUM(0.785398163,D!B1:B2,2,D!AR1:AR4)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195</v>
      </c>
    </row>
    <row r="148" spans="1:5" x14ac:dyDescent="0.2">
      <c r="A148" t="e" cm="1" vm="1">
        <f t="array" aca="1" ref="A148" ca="1">SERIESSUM(0.785398163,{1;2},2,D!AR1:AR4)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196</v>
      </c>
    </row>
    <row r="149" spans="1:5" x14ac:dyDescent="0.2">
      <c r="A149" t="e" cm="1">
        <f t="array" ref="A149">SERIESSUM(0.785398163,0,D!B1:B2,D!AR1:AR4)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197</v>
      </c>
    </row>
    <row r="150" spans="1:5" x14ac:dyDescent="0.2">
      <c r="A150" t="e" cm="1" vm="1">
        <f t="array" aca="1" ref="A150" ca="1">SERIESSUM(0.785398163,0,{1;2},D!AR1:AR4)</f>
        <v>#VALUE!</v>
      </c>
      <c r="B150">
        <f t="shared" ca="1" si="6"/>
        <v>9</v>
      </c>
      <c r="C150">
        <f t="shared" ca="1" si="7"/>
        <v>0</v>
      </c>
      <c r="D150" t="str">
        <f t="shared" ca="1" si="8"/>
        <v/>
      </c>
      <c r="E150" t="s">
        <v>198</v>
      </c>
    </row>
    <row r="151" spans="1:5" x14ac:dyDescent="0.2">
      <c r="A151" t="e" cm="1" vm="1">
        <f t="array" aca="1" ref="A151" ca="1">SIGN(D!B1:B2)</f>
        <v>#VALUE!</v>
      </c>
      <c r="B151">
        <f t="shared" ca="1" si="6"/>
        <v>9</v>
      </c>
      <c r="C151">
        <f t="shared" ca="1" si="7"/>
        <v>0</v>
      </c>
      <c r="D151" t="str">
        <f t="shared" ca="1" si="8"/>
        <v/>
      </c>
      <c r="E151" t="s">
        <v>199</v>
      </c>
    </row>
    <row r="152" spans="1:5" x14ac:dyDescent="0.2">
      <c r="A152" t="e" cm="1" vm="1">
        <f t="array" aca="1" ref="A152" ca="1">SIGN({1;2})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200</v>
      </c>
    </row>
    <row r="153" spans="1:5" x14ac:dyDescent="0.2">
      <c r="A153" t="e" cm="1" vm="1">
        <f t="array" aca="1" ref="A153" ca="1">SIN(D!B1:B2)</f>
        <v>#VALUE!</v>
      </c>
      <c r="B153">
        <f t="shared" ca="1" si="6"/>
        <v>9</v>
      </c>
      <c r="C153">
        <f t="shared" ca="1" si="7"/>
        <v>0</v>
      </c>
      <c r="D153" t="str">
        <f t="shared" ca="1" si="8"/>
        <v/>
      </c>
      <c r="E153" t="s">
        <v>201</v>
      </c>
    </row>
    <row r="154" spans="1:5" x14ac:dyDescent="0.2">
      <c r="A154" t="e" cm="1" vm="1">
        <f t="array" aca="1" ref="A154" ca="1">SIN({1;2})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202</v>
      </c>
    </row>
    <row r="155" spans="1:5" x14ac:dyDescent="0.2">
      <c r="A155" t="e" cm="1" vm="1">
        <f t="array" aca="1" ref="A155" ca="1">SINH(D!B1:B2)</f>
        <v>#VALUE!</v>
      </c>
      <c r="B155">
        <f t="shared" ca="1" si="6"/>
        <v>9</v>
      </c>
      <c r="C155">
        <f t="shared" ca="1" si="7"/>
        <v>0</v>
      </c>
      <c r="D155" t="str">
        <f t="shared" ca="1" si="8"/>
        <v/>
      </c>
      <c r="E155" t="s">
        <v>203</v>
      </c>
    </row>
    <row r="156" spans="1:5" x14ac:dyDescent="0.2">
      <c r="A156" t="e" cm="1" vm="1">
        <f t="array" aca="1" ref="A156" ca="1">SINH({1;2})</f>
        <v>#VALUE!</v>
      </c>
      <c r="B156">
        <f t="shared" ca="1" si="6"/>
        <v>9</v>
      </c>
      <c r="C156">
        <f t="shared" ca="1" si="7"/>
        <v>0</v>
      </c>
      <c r="D156" t="str">
        <f t="shared" ca="1" si="8"/>
        <v/>
      </c>
      <c r="E156" t="s">
        <v>204</v>
      </c>
    </row>
    <row r="157" spans="1:5" x14ac:dyDescent="0.2">
      <c r="A157" t="e" cm="1" vm="1">
        <f t="array" aca="1" ref="A157" ca="1">SLN(D!B1:B2,7500,10)</f>
        <v>#VALUE!</v>
      </c>
      <c r="B157">
        <f t="shared" ca="1" si="6"/>
        <v>9</v>
      </c>
      <c r="C157">
        <f t="shared" ca="1" si="7"/>
        <v>0</v>
      </c>
      <c r="D157" t="str">
        <f t="shared" ca="1" si="8"/>
        <v/>
      </c>
      <c r="E157" t="s">
        <v>205</v>
      </c>
    </row>
    <row r="158" spans="1:5" x14ac:dyDescent="0.2">
      <c r="A158" t="e" cm="1" vm="1">
        <f t="array" aca="1" ref="A158" ca="1">SLN({1;2},7500,10)</f>
        <v>#VALUE!</v>
      </c>
      <c r="B158">
        <f t="shared" ca="1" si="6"/>
        <v>9</v>
      </c>
      <c r="C158">
        <f t="shared" ca="1" si="7"/>
        <v>0</v>
      </c>
      <c r="D158" t="str">
        <f t="shared" ca="1" si="8"/>
        <v/>
      </c>
      <c r="E158" t="s">
        <v>206</v>
      </c>
    </row>
    <row r="159" spans="1:5" x14ac:dyDescent="0.2">
      <c r="A159" t="e" cm="1" vm="1">
        <f t="array" aca="1" ref="A159" ca="1">SLN(30000,D!B1:B2,10)</f>
        <v>#VALUE!</v>
      </c>
      <c r="B159">
        <f t="shared" ca="1" si="6"/>
        <v>9</v>
      </c>
      <c r="C159">
        <f t="shared" ca="1" si="7"/>
        <v>0</v>
      </c>
      <c r="D159" t="str">
        <f t="shared" ca="1" si="8"/>
        <v/>
      </c>
      <c r="E159" t="s">
        <v>207</v>
      </c>
    </row>
    <row r="160" spans="1:5" x14ac:dyDescent="0.2">
      <c r="A160" t="e" cm="1" vm="1">
        <f t="array" aca="1" ref="A160" ca="1">SLN(30000,{1;2},10)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208</v>
      </c>
    </row>
    <row r="161" spans="1:5" x14ac:dyDescent="0.2">
      <c r="A161" t="e" cm="1" vm="1">
        <f t="array" aca="1" ref="A161" ca="1">SLN(30000,7500,D!B1:B2)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209</v>
      </c>
    </row>
    <row r="162" spans="1:5" x14ac:dyDescent="0.2">
      <c r="A162" t="e" cm="1" vm="1">
        <f t="array" aca="1" ref="A162" ca="1">SLN(30000,7500,{1;2})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210</v>
      </c>
    </row>
    <row r="163" spans="1:5" x14ac:dyDescent="0.2">
      <c r="A163" t="e" cm="1" vm="1">
        <f t="array" aca="1" ref="A163" ca="1">SMALL(D!B1:B8,D!B1:B2)</f>
        <v>#VALUE!</v>
      </c>
      <c r="B163">
        <f t="shared" ca="1" si="6"/>
        <v>9</v>
      </c>
      <c r="C163">
        <f t="shared" ca="1" si="7"/>
        <v>0</v>
      </c>
      <c r="D163" t="str">
        <f t="shared" ca="1" si="8"/>
        <v/>
      </c>
      <c r="E163" t="s">
        <v>211</v>
      </c>
    </row>
    <row r="164" spans="1:5" x14ac:dyDescent="0.2">
      <c r="A164" t="e" cm="1" vm="1">
        <f t="array" aca="1" ref="A164" ca="1">SMALL(D!B1:B8,{1;2})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212</v>
      </c>
    </row>
    <row r="165" spans="1:5" x14ac:dyDescent="0.2">
      <c r="A165" t="e" cm="1" vm="1">
        <f t="array" aca="1" ref="A165" ca="1">SQRT(D!B1:B2)</f>
        <v>#VALUE!</v>
      </c>
      <c r="B165">
        <f t="shared" ca="1" si="6"/>
        <v>9</v>
      </c>
      <c r="C165">
        <f t="shared" ca="1" si="7"/>
        <v>0</v>
      </c>
      <c r="D165" t="str">
        <f t="shared" ca="1" si="8"/>
        <v/>
      </c>
      <c r="E165" t="s">
        <v>213</v>
      </c>
    </row>
    <row r="166" spans="1:5" x14ac:dyDescent="0.2">
      <c r="A166" t="e" cm="1" vm="1">
        <f t="array" aca="1" ref="A166" ca="1">SQRT({1;2})</f>
        <v>#VALUE!</v>
      </c>
      <c r="B166">
        <f t="shared" ca="1" si="6"/>
        <v>9</v>
      </c>
      <c r="C166">
        <f t="shared" ca="1" si="7"/>
        <v>0</v>
      </c>
      <c r="D166" t="str">
        <f t="shared" ca="1" si="8"/>
        <v/>
      </c>
      <c r="E166" t="s">
        <v>214</v>
      </c>
    </row>
    <row r="167" spans="1:5" x14ac:dyDescent="0.2">
      <c r="A167" t="e" cm="1">
        <f t="array" ref="A167">SQRTPI(D!B1:B2)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215</v>
      </c>
    </row>
    <row r="168" spans="1:5" x14ac:dyDescent="0.2">
      <c r="A168" t="e" cm="1" vm="1">
        <f t="array" aca="1" ref="A168" ca="1">SQRTPI({1;2})</f>
        <v>#VALUE!</v>
      </c>
      <c r="B168">
        <f t="shared" ca="1" si="6"/>
        <v>9</v>
      </c>
      <c r="C168">
        <f t="shared" ca="1" si="7"/>
        <v>0</v>
      </c>
      <c r="D168" t="str">
        <f t="shared" ca="1" si="8"/>
        <v/>
      </c>
      <c r="E168" t="s">
        <v>216</v>
      </c>
    </row>
    <row r="169" spans="1:5" x14ac:dyDescent="0.2">
      <c r="A169" t="e" cm="1" vm="1">
        <f t="array" aca="1" ref="A169" ca="1">STANDARDIZE(D!B1:B2,40,1.5)</f>
        <v>#VALUE!</v>
      </c>
      <c r="B169">
        <f t="shared" ca="1" si="6"/>
        <v>9</v>
      </c>
      <c r="C169">
        <f t="shared" ca="1" si="7"/>
        <v>0</v>
      </c>
      <c r="D169" t="str">
        <f t="shared" ca="1" si="8"/>
        <v/>
      </c>
      <c r="E169" t="s">
        <v>217</v>
      </c>
    </row>
    <row r="170" spans="1:5" x14ac:dyDescent="0.2">
      <c r="A170" t="e" cm="1" vm="1">
        <f t="array" aca="1" ref="A170" ca="1">STANDARDIZE({1;2},40,1.5)</f>
        <v>#VALUE!</v>
      </c>
      <c r="B170">
        <f t="shared" ca="1" si="6"/>
        <v>9</v>
      </c>
      <c r="C170">
        <f t="shared" ca="1" si="7"/>
        <v>0</v>
      </c>
      <c r="D170" t="str">
        <f t="shared" ca="1" si="8"/>
        <v/>
      </c>
      <c r="E170" t="s">
        <v>218</v>
      </c>
    </row>
    <row r="171" spans="1:5" x14ac:dyDescent="0.2">
      <c r="A171" t="e" cm="1" vm="1">
        <f t="array" aca="1" ref="A171" ca="1">STANDARDIZE(42,D!B1:B2,1.5)</f>
        <v>#VALUE!</v>
      </c>
      <c r="B171">
        <f t="shared" ca="1" si="6"/>
        <v>9</v>
      </c>
      <c r="C171">
        <f t="shared" ca="1" si="7"/>
        <v>0</v>
      </c>
      <c r="D171" t="str">
        <f t="shared" ca="1" si="8"/>
        <v/>
      </c>
      <c r="E171" t="s">
        <v>219</v>
      </c>
    </row>
    <row r="172" spans="1:5" x14ac:dyDescent="0.2">
      <c r="A172" t="e" cm="1" vm="1">
        <f t="array" aca="1" ref="A172" ca="1">STANDARDIZE(42,{1;2},1.5)</f>
        <v>#VALUE!</v>
      </c>
      <c r="B172">
        <f t="shared" ca="1" si="6"/>
        <v>9</v>
      </c>
      <c r="C172">
        <f t="shared" ca="1" si="7"/>
        <v>0</v>
      </c>
      <c r="D172" t="str">
        <f t="shared" ca="1" si="8"/>
        <v/>
      </c>
      <c r="E172" t="s">
        <v>220</v>
      </c>
    </row>
    <row r="173" spans="1:5" x14ac:dyDescent="0.2">
      <c r="A173" t="e" cm="1" vm="1">
        <f t="array" aca="1" ref="A173" ca="1">STANDARDIZE(42,40,D!B1:B2)</f>
        <v>#VALUE!</v>
      </c>
      <c r="B173">
        <f t="shared" ca="1" si="6"/>
        <v>9</v>
      </c>
      <c r="C173">
        <f t="shared" ca="1" si="7"/>
        <v>0</v>
      </c>
      <c r="D173" t="str">
        <f t="shared" ca="1" si="8"/>
        <v/>
      </c>
      <c r="E173" t="s">
        <v>221</v>
      </c>
    </row>
    <row r="174" spans="1:5" x14ac:dyDescent="0.2">
      <c r="A174" t="e" cm="1" vm="1">
        <f t="array" aca="1" ref="A174" ca="1">STANDARDIZE(42,40,{1;2})</f>
        <v>#VALUE!</v>
      </c>
      <c r="B174">
        <f t="shared" ca="1" si="6"/>
        <v>9</v>
      </c>
      <c r="C174">
        <f t="shared" ca="1" si="7"/>
        <v>0</v>
      </c>
      <c r="D174" t="str">
        <f t="shared" ca="1" si="8"/>
        <v/>
      </c>
      <c r="E174" t="s">
        <v>222</v>
      </c>
    </row>
    <row r="175" spans="1:5" x14ac:dyDescent="0.2">
      <c r="A175" cm="1">
        <f t="array" ref="A175">STDEV(D!B1:B2,2,3)</f>
        <v>2.6299556396765835</v>
      </c>
      <c r="B175">
        <f t="shared" si="6"/>
        <v>0</v>
      </c>
      <c r="C175">
        <f t="shared" si="7"/>
        <v>2.6299556396765835</v>
      </c>
      <c r="D175" t="str">
        <f t="shared" si="8"/>
        <v/>
      </c>
      <c r="E175" t="s">
        <v>223</v>
      </c>
    </row>
    <row r="176" spans="1:5" x14ac:dyDescent="0.2">
      <c r="A176" cm="1">
        <f t="array" ref="A176">STDEV({1;2},2,3)</f>
        <v>0.81649658092772603</v>
      </c>
      <c r="B176">
        <f t="shared" si="6"/>
        <v>0</v>
      </c>
      <c r="C176">
        <f t="shared" si="7"/>
        <v>0.81649658092772603</v>
      </c>
      <c r="D176" t="str">
        <f t="shared" si="8"/>
        <v/>
      </c>
      <c r="E176" t="s">
        <v>224</v>
      </c>
    </row>
    <row r="177" spans="1:5" x14ac:dyDescent="0.2">
      <c r="A177" cm="1">
        <f t="array" ref="A177">STDEV(1,D!B1:B2,3)</f>
        <v>2.9439202887759488</v>
      </c>
      <c r="B177">
        <f t="shared" si="6"/>
        <v>0</v>
      </c>
      <c r="C177">
        <f t="shared" si="7"/>
        <v>2.9439202887759488</v>
      </c>
      <c r="D177" t="str">
        <f t="shared" si="8"/>
        <v/>
      </c>
      <c r="E177" t="s">
        <v>225</v>
      </c>
    </row>
    <row r="178" spans="1:5" x14ac:dyDescent="0.2">
      <c r="A178" cm="1">
        <f t="array" ref="A178">STDEV(1,{1;2},3)</f>
        <v>0.9574271077563381</v>
      </c>
      <c r="B178">
        <f t="shared" si="6"/>
        <v>0</v>
      </c>
      <c r="C178">
        <f t="shared" si="7"/>
        <v>0.9574271077563381</v>
      </c>
      <c r="D178" t="str">
        <f t="shared" si="8"/>
        <v/>
      </c>
      <c r="E178" t="s">
        <v>226</v>
      </c>
    </row>
    <row r="179" spans="1:5" x14ac:dyDescent="0.2">
      <c r="A179" cm="1">
        <f t="array" ref="A179">STDEV(1,2,D!B1:B2)</f>
        <v>3.0956959368344519</v>
      </c>
      <c r="B179">
        <f t="shared" si="6"/>
        <v>0</v>
      </c>
      <c r="C179">
        <f t="shared" si="7"/>
        <v>3.0956959368344519</v>
      </c>
      <c r="D179" t="str">
        <f t="shared" si="8"/>
        <v/>
      </c>
      <c r="E179" t="s">
        <v>227</v>
      </c>
    </row>
    <row r="180" spans="1:5" x14ac:dyDescent="0.2">
      <c r="A180" cm="1">
        <f t="array" ref="A180">STDEV(1,2,{1;2})</f>
        <v>0.57735026918962573</v>
      </c>
      <c r="B180">
        <f t="shared" si="6"/>
        <v>0</v>
      </c>
      <c r="C180">
        <f t="shared" si="7"/>
        <v>0.57735026918962573</v>
      </c>
      <c r="D180" t="str">
        <f t="shared" si="8"/>
        <v/>
      </c>
      <c r="E180" t="s">
        <v>228</v>
      </c>
    </row>
    <row r="181" spans="1:5" x14ac:dyDescent="0.2">
      <c r="A181" t="e" cm="1" vm="1">
        <f t="array" aca="1" ref="A181" ca="1">SUBSTITUTE(D!B1:B2,"Sales","Cost")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229</v>
      </c>
    </row>
    <row r="182" spans="1:5" x14ac:dyDescent="0.2">
      <c r="A182" t="e" cm="1" vm="1">
        <f t="array" aca="1" ref="A182" ca="1">SUBSTITUTE({1;2},"Sales","Cost")</f>
        <v>#VALUE!</v>
      </c>
      <c r="B182">
        <f t="shared" ca="1" si="6"/>
        <v>9</v>
      </c>
      <c r="C182">
        <f t="shared" ca="1" si="7"/>
        <v>0</v>
      </c>
      <c r="D182" t="str">
        <f t="shared" ca="1" si="8"/>
        <v/>
      </c>
      <c r="E182" t="s">
        <v>230</v>
      </c>
    </row>
    <row r="183" spans="1:5" x14ac:dyDescent="0.2">
      <c r="A183" t="e" cm="1" vm="1">
        <f t="array" aca="1" ref="A183" ca="1">SUBSTITUTE("Sales Data",D!B1:B2,"Cost")</f>
        <v>#VALUE!</v>
      </c>
      <c r="B183">
        <f t="shared" ca="1" si="6"/>
        <v>9</v>
      </c>
      <c r="C183">
        <f t="shared" ca="1" si="7"/>
        <v>0</v>
      </c>
      <c r="D183" t="str">
        <f t="shared" ca="1" si="8"/>
        <v/>
      </c>
      <c r="E183" t="s">
        <v>231</v>
      </c>
    </row>
    <row r="184" spans="1:5" x14ac:dyDescent="0.2">
      <c r="A184" t="e" cm="1" vm="1">
        <f t="array" aca="1" ref="A184" ca="1">SUBSTITUTE("Sales Data",{1;2},"Cost")</f>
        <v>#VALUE!</v>
      </c>
      <c r="B184">
        <f t="shared" ca="1" si="6"/>
        <v>9</v>
      </c>
      <c r="C184">
        <f t="shared" ca="1" si="7"/>
        <v>0</v>
      </c>
      <c r="D184" t="str">
        <f t="shared" ca="1" si="8"/>
        <v/>
      </c>
      <c r="E184" t="s">
        <v>232</v>
      </c>
    </row>
    <row r="185" spans="1:5" x14ac:dyDescent="0.2">
      <c r="A185" t="e" cm="1" vm="1">
        <f t="array" aca="1" ref="A185" ca="1">SUBSTITUTE("Sales Data","Sales",D!B1:B2)</f>
        <v>#VALUE!</v>
      </c>
      <c r="B185">
        <f t="shared" ca="1" si="6"/>
        <v>9</v>
      </c>
      <c r="C185">
        <f t="shared" ca="1" si="7"/>
        <v>0</v>
      </c>
      <c r="D185" t="str">
        <f t="shared" ca="1" si="8"/>
        <v/>
      </c>
      <c r="E185" t="s">
        <v>233</v>
      </c>
    </row>
    <row r="186" spans="1:5" x14ac:dyDescent="0.2">
      <c r="A186" t="e" cm="1" vm="1">
        <f t="array" aca="1" ref="A186" ca="1">SUBSTITUTE("Sales Data","Sales",{1;2})</f>
        <v>#VALUE!</v>
      </c>
      <c r="B186">
        <f t="shared" ca="1" si="6"/>
        <v>9</v>
      </c>
      <c r="C186">
        <f t="shared" ca="1" si="7"/>
        <v>0</v>
      </c>
      <c r="D186" t="str">
        <f t="shared" ca="1" si="8"/>
        <v/>
      </c>
      <c r="E186" t="s">
        <v>234</v>
      </c>
    </row>
    <row r="187" spans="1:5" x14ac:dyDescent="0.2">
      <c r="A187" t="e" cm="1" vm="1">
        <f t="array" aca="1" ref="A187" ca="1">SUBTOTAL(D!B1:B2,D!B1:B8)</f>
        <v>#VALUE!</v>
      </c>
      <c r="B187">
        <f t="shared" ca="1" si="6"/>
        <v>9</v>
      </c>
      <c r="C187">
        <f t="shared" ca="1" si="7"/>
        <v>0</v>
      </c>
      <c r="D187" t="str">
        <f t="shared" ca="1" si="8"/>
        <v/>
      </c>
      <c r="E187" t="s">
        <v>235</v>
      </c>
    </row>
    <row r="188" spans="1:5" x14ac:dyDescent="0.2">
      <c r="A188" t="e" cm="1" vm="1">
        <f t="array" aca="1" ref="A188" ca="1">SUBTOTAL({1;2},D!B1:B8)</f>
        <v>#VALUE!</v>
      </c>
      <c r="B188">
        <f t="shared" ca="1" si="6"/>
        <v>9</v>
      </c>
      <c r="C188">
        <f t="shared" ca="1" si="7"/>
        <v>0</v>
      </c>
      <c r="D188" t="str">
        <f t="shared" ca="1" si="8"/>
        <v/>
      </c>
      <c r="E188" t="s">
        <v>236</v>
      </c>
    </row>
    <row r="189" spans="1:5" x14ac:dyDescent="0.2">
      <c r="A189" t="e" cm="1" vm="1">
        <f t="array" aca="1" ref="A189" ca="1">SUMIF(D!G1:G7,D!B1:B2,D!G1:G7)</f>
        <v>#VALUE!</v>
      </c>
      <c r="B189">
        <f t="shared" ca="1" si="6"/>
        <v>9</v>
      </c>
      <c r="C189">
        <f t="shared" ca="1" si="7"/>
        <v>0</v>
      </c>
      <c r="D189" t="str">
        <f t="shared" ca="1" si="8"/>
        <v/>
      </c>
      <c r="E189" t="s">
        <v>237</v>
      </c>
    </row>
    <row r="190" spans="1:5" x14ac:dyDescent="0.2">
      <c r="A190" t="e" cm="1" vm="1">
        <f t="array" aca="1" ref="A190" ca="1">SUMIF(D!G1:G7,{1;2},D!G1:G7)</f>
        <v>#VALUE!</v>
      </c>
      <c r="B190">
        <f t="shared" ca="1" si="6"/>
        <v>9</v>
      </c>
      <c r="C190">
        <f t="shared" ca="1" si="7"/>
        <v>0</v>
      </c>
      <c r="D190" t="str">
        <f t="shared" ca="1" si="8"/>
        <v/>
      </c>
      <c r="E190" t="s">
        <v>238</v>
      </c>
    </row>
    <row r="191" spans="1:5" x14ac:dyDescent="0.2">
      <c r="A191" t="e" cm="1" vm="1">
        <f t="array" aca="1" ref="A191" ca="1">SUMIFS(D!G1:G7,D!G1:G7,D!B1:B2)</f>
        <v>#VALUE!</v>
      </c>
      <c r="B191">
        <f t="shared" ca="1" si="6"/>
        <v>9</v>
      </c>
      <c r="C191">
        <f t="shared" ca="1" si="7"/>
        <v>0</v>
      </c>
      <c r="D191" t="str">
        <f t="shared" ca="1" si="8"/>
        <v/>
      </c>
      <c r="E191" t="s">
        <v>239</v>
      </c>
    </row>
    <row r="192" spans="1:5" x14ac:dyDescent="0.2">
      <c r="A192" t="e" cm="1" vm="1">
        <f t="array" aca="1" ref="A192" ca="1">SUMIFS(D!G1:G7,D!G1:G7,{1;2})</f>
        <v>#VALUE!</v>
      </c>
      <c r="B192">
        <f t="shared" ca="1" si="6"/>
        <v>9</v>
      </c>
      <c r="C192">
        <f t="shared" ca="1" si="7"/>
        <v>0</v>
      </c>
      <c r="D192" t="str">
        <f t="shared" ca="1" si="8"/>
        <v/>
      </c>
      <c r="E192" t="s">
        <v>240</v>
      </c>
    </row>
    <row r="193" spans="1:5" x14ac:dyDescent="0.2">
      <c r="A193" cm="1">
        <f t="array" ref="A193">SUMSQ(D!B1:B2,4)</f>
        <v>96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96</v>
      </c>
      <c r="D193" t="str">
        <f t="shared" ref="D193:D256" si="11">IF(ISTEXT(A193),A193,"")</f>
        <v/>
      </c>
      <c r="E193" t="s">
        <v>241</v>
      </c>
    </row>
    <row r="194" spans="1:5" x14ac:dyDescent="0.2">
      <c r="A194" cm="1">
        <f t="array" ref="A194">SUMSQ({1;2},4)</f>
        <v>21</v>
      </c>
      <c r="B194">
        <f t="shared" si="9"/>
        <v>0</v>
      </c>
      <c r="C194">
        <f t="shared" si="10"/>
        <v>21</v>
      </c>
      <c r="D194" t="str">
        <f t="shared" si="11"/>
        <v/>
      </c>
      <c r="E194" t="s">
        <v>242</v>
      </c>
    </row>
    <row r="195" spans="1:5" x14ac:dyDescent="0.2">
      <c r="A195" cm="1">
        <f t="array" ref="A195">SUMSQ(3,D!B1:B2)</f>
        <v>89</v>
      </c>
      <c r="B195">
        <f t="shared" si="9"/>
        <v>0</v>
      </c>
      <c r="C195">
        <f t="shared" si="10"/>
        <v>89</v>
      </c>
      <c r="D195" t="str">
        <f t="shared" si="11"/>
        <v/>
      </c>
      <c r="E195" t="s">
        <v>243</v>
      </c>
    </row>
    <row r="196" spans="1:5" x14ac:dyDescent="0.2">
      <c r="A196" cm="1">
        <f t="array" ref="A196">SUMSQ(3,{1;2})</f>
        <v>14</v>
      </c>
      <c r="B196">
        <f t="shared" si="9"/>
        <v>0</v>
      </c>
      <c r="C196">
        <f t="shared" si="10"/>
        <v>14</v>
      </c>
      <c r="D196" t="str">
        <f t="shared" si="11"/>
        <v/>
      </c>
      <c r="E196" t="s">
        <v>244</v>
      </c>
    </row>
    <row r="197" spans="1:5" x14ac:dyDescent="0.2">
      <c r="A197" t="e" cm="1" vm="1">
        <f t="array" aca="1" ref="A197" ca="1">_xlfn.SWITCH(D!B1:B2,1,"one",2,"two","other")</f>
        <v>#VALUE!</v>
      </c>
      <c r="B197">
        <f t="shared" ca="1" si="9"/>
        <v>9</v>
      </c>
      <c r="C197">
        <f t="shared" ca="1" si="10"/>
        <v>0</v>
      </c>
      <c r="D197" t="str">
        <f t="shared" ca="1" si="11"/>
        <v/>
      </c>
      <c r="E197" t="s">
        <v>245</v>
      </c>
    </row>
    <row r="198" spans="1:5" x14ac:dyDescent="0.2">
      <c r="A198" t="e" cm="1" vm="1">
        <f t="array" aca="1" ref="A198" ca="1">_xlfn.SWITCH({1;2},1,"one",2,"two","other")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246</v>
      </c>
    </row>
    <row r="199" spans="1:5" x14ac:dyDescent="0.2">
      <c r="A199" t="e" cm="1" vm="1">
        <f t="array" aca="1" ref="A199" ca="1">_xlfn.SWITCH(2,D!B1:B2,"one",2,"two","other")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247</v>
      </c>
    </row>
    <row r="200" spans="1:5" x14ac:dyDescent="0.2">
      <c r="A200" t="e" cm="1" vm="1">
        <f t="array" aca="1" ref="A200" ca="1">_xlfn.SWITCH(2,{1;2},"one",2,"two","other")</f>
        <v>#VALUE!</v>
      </c>
      <c r="B200">
        <f t="shared" ca="1" si="9"/>
        <v>9</v>
      </c>
      <c r="C200">
        <f t="shared" ca="1" si="10"/>
        <v>0</v>
      </c>
      <c r="D200" t="str">
        <f t="shared" ca="1" si="11"/>
        <v/>
      </c>
      <c r="E200" t="s">
        <v>248</v>
      </c>
    </row>
    <row r="201" spans="1:5" x14ac:dyDescent="0.2">
      <c r="A201" t="str" cm="1">
        <f t="array" ref="A201">_xlfn.SWITCH(2,1,D!B1:B2,2,"two","other")</f>
        <v>two</v>
      </c>
      <c r="B201">
        <f t="shared" si="9"/>
        <v>-3</v>
      </c>
      <c r="C201">
        <f t="shared" si="10"/>
        <v>0</v>
      </c>
      <c r="D201" t="str">
        <f t="shared" si="11"/>
        <v>two</v>
      </c>
      <c r="E201" t="s">
        <v>249</v>
      </c>
    </row>
    <row r="202" spans="1:5" x14ac:dyDescent="0.2">
      <c r="A202" t="str" cm="1">
        <f t="array" ref="A202">_xlfn.SWITCH(2,1,{1;2},2,"two","other")</f>
        <v>two</v>
      </c>
      <c r="B202">
        <f t="shared" si="9"/>
        <v>-3</v>
      </c>
      <c r="C202">
        <f t="shared" si="10"/>
        <v>0</v>
      </c>
      <c r="D202" t="str">
        <f t="shared" si="11"/>
        <v>two</v>
      </c>
      <c r="E202" t="s">
        <v>250</v>
      </c>
    </row>
    <row r="203" spans="1:5" x14ac:dyDescent="0.2">
      <c r="A203" t="e" cm="1" vm="1">
        <f t="array" aca="1" ref="A203" ca="1">_xlfn.SWITCH(2,1,"one",D!B1:B2,"two","other")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251</v>
      </c>
    </row>
    <row r="204" spans="1:5" x14ac:dyDescent="0.2">
      <c r="A204" t="e" cm="1" vm="1">
        <f t="array" aca="1" ref="A204" ca="1">_xlfn.SWITCH(2,1,"one",{1;2},"two","other")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252</v>
      </c>
    </row>
    <row r="205" spans="1:5" x14ac:dyDescent="0.2">
      <c r="A205" t="e" cm="1" vm="1">
        <f t="array" aca="1" ref="A205" ca="1">_xlfn.SWITCH(2,1,"one",2,D!B1:B2,"other")</f>
        <v>#VALUE!</v>
      </c>
      <c r="B205">
        <f t="shared" ca="1" si="9"/>
        <v>9</v>
      </c>
      <c r="C205">
        <f t="shared" ca="1" si="10"/>
        <v>0</v>
      </c>
      <c r="D205" t="str">
        <f t="shared" ca="1" si="11"/>
        <v/>
      </c>
      <c r="E205" t="s">
        <v>253</v>
      </c>
    </row>
    <row r="206" spans="1:5" x14ac:dyDescent="0.2">
      <c r="A206" t="e" cm="1" vm="1">
        <f t="array" aca="1" ref="A206" ca="1">_xlfn.SWITCH(2,1,"one",2,{1;2},"other")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254</v>
      </c>
    </row>
    <row r="207" spans="1:5" x14ac:dyDescent="0.2">
      <c r="A207" t="str" cm="1">
        <f t="array" ref="A207">_xlfn.SWITCH(2,1,"one",2,"two",D!B1:B2)</f>
        <v>two</v>
      </c>
      <c r="B207">
        <f t="shared" si="9"/>
        <v>-3</v>
      </c>
      <c r="C207">
        <f t="shared" si="10"/>
        <v>0</v>
      </c>
      <c r="D207" t="str">
        <f t="shared" si="11"/>
        <v>two</v>
      </c>
      <c r="E207" t="s">
        <v>255</v>
      </c>
    </row>
    <row r="208" spans="1:5" x14ac:dyDescent="0.2">
      <c r="A208" t="str" cm="1">
        <f t="array" ref="A208">_xlfn.SWITCH(2,1,"one",2,"two",{1;2})</f>
        <v>two</v>
      </c>
      <c r="B208">
        <f t="shared" si="9"/>
        <v>-3</v>
      </c>
      <c r="C208">
        <f t="shared" si="10"/>
        <v>0</v>
      </c>
      <c r="D208" t="str">
        <f t="shared" si="11"/>
        <v>two</v>
      </c>
      <c r="E208" t="s">
        <v>256</v>
      </c>
    </row>
    <row r="209" spans="1:5" x14ac:dyDescent="0.2">
      <c r="A209" t="e" cm="1" vm="1">
        <f t="array" aca="1" ref="A209" ca="1">SYD(D!B1:B2,7500,10,1)</f>
        <v>#VALUE!</v>
      </c>
      <c r="B209">
        <f t="shared" ca="1" si="9"/>
        <v>9</v>
      </c>
      <c r="C209">
        <f t="shared" ca="1" si="10"/>
        <v>0</v>
      </c>
      <c r="D209" t="str">
        <f t="shared" ca="1" si="11"/>
        <v/>
      </c>
      <c r="E209" t="s">
        <v>257</v>
      </c>
    </row>
    <row r="210" spans="1:5" x14ac:dyDescent="0.2">
      <c r="A210" t="e" cm="1" vm="1">
        <f t="array" aca="1" ref="A210" ca="1">SYD({1;2},7500,10,1)</f>
        <v>#VALUE!</v>
      </c>
      <c r="B210">
        <f t="shared" ca="1" si="9"/>
        <v>9</v>
      </c>
      <c r="C210">
        <f t="shared" ca="1" si="10"/>
        <v>0</v>
      </c>
      <c r="D210" t="str">
        <f t="shared" ca="1" si="11"/>
        <v/>
      </c>
      <c r="E210" t="s">
        <v>258</v>
      </c>
    </row>
    <row r="211" spans="1:5" x14ac:dyDescent="0.2">
      <c r="A211" t="e" cm="1" vm="1">
        <f t="array" aca="1" ref="A211" ca="1">SYD(30000,D!B1:B2,10,1)</f>
        <v>#VALUE!</v>
      </c>
      <c r="B211">
        <f t="shared" ca="1" si="9"/>
        <v>9</v>
      </c>
      <c r="C211">
        <f t="shared" ca="1" si="10"/>
        <v>0</v>
      </c>
      <c r="D211" t="str">
        <f t="shared" ca="1" si="11"/>
        <v/>
      </c>
      <c r="E211" t="s">
        <v>259</v>
      </c>
    </row>
    <row r="212" spans="1:5" x14ac:dyDescent="0.2">
      <c r="A212" t="e" cm="1" vm="1">
        <f t="array" aca="1" ref="A212" ca="1">SYD(30000,{1;2},10,1)</f>
        <v>#VALUE!</v>
      </c>
      <c r="B212">
        <f t="shared" ca="1" si="9"/>
        <v>9</v>
      </c>
      <c r="C212">
        <f t="shared" ca="1" si="10"/>
        <v>0</v>
      </c>
      <c r="D212" t="str">
        <f t="shared" ca="1" si="11"/>
        <v/>
      </c>
      <c r="E212" t="s">
        <v>260</v>
      </c>
    </row>
    <row r="213" spans="1:5" x14ac:dyDescent="0.2">
      <c r="A213" t="e" cm="1" vm="1">
        <f t="array" aca="1" ref="A213" ca="1">SYD(30000,7500,D!B1:B2,1)</f>
        <v>#VALUE!</v>
      </c>
      <c r="B213">
        <f t="shared" ca="1" si="9"/>
        <v>9</v>
      </c>
      <c r="C213">
        <f t="shared" ca="1" si="10"/>
        <v>0</v>
      </c>
      <c r="D213" t="str">
        <f t="shared" ca="1" si="11"/>
        <v/>
      </c>
      <c r="E213" t="s">
        <v>261</v>
      </c>
    </row>
    <row r="214" spans="1:5" x14ac:dyDescent="0.2">
      <c r="A214" t="e" cm="1" vm="1">
        <f t="array" aca="1" ref="A214" ca="1">SYD(30000,7500,{1;2},1)</f>
        <v>#VALUE!</v>
      </c>
      <c r="B214">
        <f t="shared" ca="1" si="9"/>
        <v>9</v>
      </c>
      <c r="C214">
        <f t="shared" ca="1" si="10"/>
        <v>0</v>
      </c>
      <c r="D214" t="str">
        <f t="shared" ca="1" si="11"/>
        <v/>
      </c>
      <c r="E214" t="s">
        <v>262</v>
      </c>
    </row>
    <row r="215" spans="1:5" x14ac:dyDescent="0.2">
      <c r="A215" t="e" cm="1" vm="1">
        <f t="array" aca="1" ref="A215" ca="1">SYD(30000,7500,10,D!B1:B2)</f>
        <v>#VALUE!</v>
      </c>
      <c r="B215">
        <f t="shared" ca="1" si="9"/>
        <v>9</v>
      </c>
      <c r="C215">
        <f t="shared" ca="1" si="10"/>
        <v>0</v>
      </c>
      <c r="D215" t="str">
        <f t="shared" ca="1" si="11"/>
        <v/>
      </c>
      <c r="E215" t="s">
        <v>263</v>
      </c>
    </row>
    <row r="216" spans="1:5" x14ac:dyDescent="0.2">
      <c r="A216" t="e" cm="1" vm="1">
        <f t="array" aca="1" ref="A216" ca="1">SYD(30000,7500,10,{1;2})</f>
        <v>#VALUE!</v>
      </c>
      <c r="B216">
        <f t="shared" ca="1" si="9"/>
        <v>9</v>
      </c>
      <c r="C216">
        <f t="shared" ca="1" si="10"/>
        <v>0</v>
      </c>
      <c r="D216" t="str">
        <f t="shared" ca="1" si="11"/>
        <v/>
      </c>
      <c r="E216" t="s">
        <v>264</v>
      </c>
    </row>
    <row r="217" spans="1:5" x14ac:dyDescent="0.2">
      <c r="A217" t="str" cm="1">
        <f t="array" ref="A217">T(D!B1:B2)</f>
        <v/>
      </c>
      <c r="B217">
        <f t="shared" si="9"/>
        <v>-3</v>
      </c>
      <c r="C217">
        <f t="shared" si="10"/>
        <v>0</v>
      </c>
      <c r="D217" t="str">
        <f t="shared" si="11"/>
        <v/>
      </c>
      <c r="E217" t="s">
        <v>265</v>
      </c>
    </row>
    <row r="218" spans="1:5" x14ac:dyDescent="0.2">
      <c r="A218" t="e" cm="1" vm="1">
        <f t="array" aca="1" ref="A218" ca="1">T({1;2})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266</v>
      </c>
    </row>
    <row r="219" spans="1:5" x14ac:dyDescent="0.2">
      <c r="A219" t="e" cm="1" vm="1">
        <f t="array" aca="1" ref="A219" ca="1">_xlfn.T.DIST(D!B1:B2,1,TRUE)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267</v>
      </c>
    </row>
    <row r="220" spans="1:5" x14ac:dyDescent="0.2">
      <c r="A220" t="e" cm="1" vm="1">
        <f t="array" aca="1" ref="A220" ca="1">_xlfn.T.DIST({1;2},1,TRUE)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268</v>
      </c>
    </row>
    <row r="221" spans="1:5" x14ac:dyDescent="0.2">
      <c r="A221" t="e" cm="1" vm="1">
        <f t="array" aca="1" ref="A221" ca="1">_xlfn.T.DIST(60,D!B1:B2,TRUE)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269</v>
      </c>
    </row>
    <row r="222" spans="1:5" x14ac:dyDescent="0.2">
      <c r="A222" t="e" cm="1" vm="1">
        <f t="array" aca="1" ref="A222" ca="1">_xlfn.T.DIST(60,{1;2},TRUE)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270</v>
      </c>
    </row>
    <row r="223" spans="1:5" x14ac:dyDescent="0.2">
      <c r="A223" t="e" cm="1" vm="1">
        <f t="array" aca="1" ref="A223" ca="1">_xlfn.T.DIST(60,1,D!B1:B2)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271</v>
      </c>
    </row>
    <row r="224" spans="1:5" x14ac:dyDescent="0.2">
      <c r="A224" t="e" cm="1" vm="1">
        <f t="array" aca="1" ref="A224" ca="1">_xlfn.T.DIST(60,1,{1;2})</f>
        <v>#VALUE!</v>
      </c>
      <c r="B224">
        <f t="shared" ca="1" si="9"/>
        <v>9</v>
      </c>
      <c r="C224">
        <f t="shared" ca="1" si="10"/>
        <v>0</v>
      </c>
      <c r="D224" t="str">
        <f t="shared" ca="1" si="11"/>
        <v/>
      </c>
      <c r="E224" t="s">
        <v>272</v>
      </c>
    </row>
    <row r="225" spans="1:5" x14ac:dyDescent="0.2">
      <c r="A225" t="e" cm="1" vm="1">
        <f t="array" aca="1" ref="A225" ca="1">_xlfn.T.DIST.2T(D!B1:B2,60)</f>
        <v>#VALUE!</v>
      </c>
      <c r="B225">
        <f t="shared" ca="1" si="9"/>
        <v>9</v>
      </c>
      <c r="C225">
        <f t="shared" ca="1" si="10"/>
        <v>0</v>
      </c>
      <c r="D225" t="str">
        <f t="shared" ca="1" si="11"/>
        <v/>
      </c>
      <c r="E225" t="s">
        <v>273</v>
      </c>
    </row>
    <row r="226" spans="1:5" x14ac:dyDescent="0.2">
      <c r="A226" t="e" cm="1" vm="1">
        <f t="array" aca="1" ref="A226" ca="1">_xlfn.T.DIST.2T({1;2},60)</f>
        <v>#VALUE!</v>
      </c>
      <c r="B226">
        <f t="shared" ca="1" si="9"/>
        <v>9</v>
      </c>
      <c r="C226">
        <f t="shared" ca="1" si="10"/>
        <v>0</v>
      </c>
      <c r="D226" t="str">
        <f t="shared" ca="1" si="11"/>
        <v/>
      </c>
      <c r="E226" t="s">
        <v>274</v>
      </c>
    </row>
    <row r="227" spans="1:5" x14ac:dyDescent="0.2">
      <c r="A227" t="e" cm="1" vm="1">
        <f t="array" aca="1" ref="A227" ca="1">_xlfn.T.DIST.2T(1.959999998,D!B1:B2)</f>
        <v>#VALUE!</v>
      </c>
      <c r="B227">
        <f t="shared" ca="1" si="9"/>
        <v>9</v>
      </c>
      <c r="C227">
        <f t="shared" ca="1" si="10"/>
        <v>0</v>
      </c>
      <c r="D227" t="str">
        <f t="shared" ca="1" si="11"/>
        <v/>
      </c>
      <c r="E227" t="s">
        <v>275</v>
      </c>
    </row>
    <row r="228" spans="1:5" x14ac:dyDescent="0.2">
      <c r="A228" t="e" cm="1" vm="1">
        <f t="array" aca="1" ref="A228" ca="1">_xlfn.T.DIST.2T(1.959999998,{1;2})</f>
        <v>#VALUE!</v>
      </c>
      <c r="B228">
        <f t="shared" ca="1" si="9"/>
        <v>9</v>
      </c>
      <c r="C228">
        <f t="shared" ca="1" si="10"/>
        <v>0</v>
      </c>
      <c r="D228" t="str">
        <f t="shared" ca="1" si="11"/>
        <v/>
      </c>
      <c r="E228" t="s">
        <v>276</v>
      </c>
    </row>
    <row r="229" spans="1:5" x14ac:dyDescent="0.2">
      <c r="A229" t="e" cm="1" vm="1">
        <f t="array" aca="1" ref="A229" ca="1">_xlfn.T.DIST.RT(D!B1:B2,60)</f>
        <v>#VALUE!</v>
      </c>
      <c r="B229">
        <f t="shared" ca="1" si="9"/>
        <v>9</v>
      </c>
      <c r="C229">
        <f t="shared" ca="1" si="10"/>
        <v>0</v>
      </c>
      <c r="D229" t="str">
        <f t="shared" ca="1" si="11"/>
        <v/>
      </c>
      <c r="E229" t="s">
        <v>277</v>
      </c>
    </row>
    <row r="230" spans="1:5" x14ac:dyDescent="0.2">
      <c r="A230" t="e" cm="1" vm="1">
        <f t="array" aca="1" ref="A230" ca="1">_xlfn.T.DIST.RT({1;2},60)</f>
        <v>#VALUE!</v>
      </c>
      <c r="B230">
        <f t="shared" ca="1" si="9"/>
        <v>9</v>
      </c>
      <c r="C230">
        <f t="shared" ca="1" si="10"/>
        <v>0</v>
      </c>
      <c r="D230" t="str">
        <f t="shared" ca="1" si="11"/>
        <v/>
      </c>
      <c r="E230" t="s">
        <v>278</v>
      </c>
    </row>
    <row r="231" spans="1:5" x14ac:dyDescent="0.2">
      <c r="A231" t="e" cm="1" vm="1">
        <f t="array" aca="1" ref="A231" ca="1">_xlfn.T.DIST.RT(1.959999998,D!B1:B2)</f>
        <v>#VALUE!</v>
      </c>
      <c r="B231">
        <f t="shared" ca="1" si="9"/>
        <v>9</v>
      </c>
      <c r="C231">
        <f t="shared" ca="1" si="10"/>
        <v>0</v>
      </c>
      <c r="D231" t="str">
        <f t="shared" ca="1" si="11"/>
        <v/>
      </c>
      <c r="E231" t="s">
        <v>279</v>
      </c>
    </row>
    <row r="232" spans="1:5" x14ac:dyDescent="0.2">
      <c r="A232" t="e" cm="1" vm="1">
        <f t="array" aca="1" ref="A232" ca="1">_xlfn.T.DIST.RT(1.959999998,{1;2})</f>
        <v>#VALUE!</v>
      </c>
      <c r="B232">
        <f t="shared" ca="1" si="9"/>
        <v>9</v>
      </c>
      <c r="C232">
        <f t="shared" ca="1" si="10"/>
        <v>0</v>
      </c>
      <c r="D232" t="str">
        <f t="shared" ca="1" si="11"/>
        <v/>
      </c>
      <c r="E232" t="s">
        <v>280</v>
      </c>
    </row>
    <row r="233" spans="1:5" x14ac:dyDescent="0.2">
      <c r="A233" t="e" cm="1" vm="1">
        <f t="array" aca="1" ref="A233" ca="1">_xlfn.T.INV(D!B1:B2,2)</f>
        <v>#VALUE!</v>
      </c>
      <c r="B233">
        <f t="shared" ca="1" si="9"/>
        <v>9</v>
      </c>
      <c r="C233">
        <f t="shared" ca="1" si="10"/>
        <v>0</v>
      </c>
      <c r="D233" t="str">
        <f t="shared" ca="1" si="11"/>
        <v/>
      </c>
      <c r="E233" t="s">
        <v>281</v>
      </c>
    </row>
    <row r="234" spans="1:5" x14ac:dyDescent="0.2">
      <c r="A234" t="e" cm="1" vm="1">
        <f t="array" aca="1" ref="A234" ca="1">_xlfn.T.INV({1;2},2)</f>
        <v>#VALUE!</v>
      </c>
      <c r="B234">
        <f t="shared" ca="1" si="9"/>
        <v>9</v>
      </c>
      <c r="C234">
        <f t="shared" ca="1" si="10"/>
        <v>0</v>
      </c>
      <c r="D234" t="str">
        <f t="shared" ca="1" si="11"/>
        <v/>
      </c>
      <c r="E234" t="s">
        <v>282</v>
      </c>
    </row>
    <row r="235" spans="1:5" x14ac:dyDescent="0.2">
      <c r="A235" t="e" cm="1" vm="1">
        <f t="array" aca="1" ref="A235" ca="1">_xlfn.T.INV(0.75,D!B1:B2)</f>
        <v>#VALUE!</v>
      </c>
      <c r="B235">
        <f t="shared" ca="1" si="9"/>
        <v>9</v>
      </c>
      <c r="C235">
        <f t="shared" ca="1" si="10"/>
        <v>0</v>
      </c>
      <c r="D235" t="str">
        <f t="shared" ca="1" si="11"/>
        <v/>
      </c>
      <c r="E235" t="s">
        <v>283</v>
      </c>
    </row>
    <row r="236" spans="1:5" x14ac:dyDescent="0.2">
      <c r="A236" t="e" cm="1" vm="1">
        <f t="array" aca="1" ref="A236" ca="1">_xlfn.T.INV(0.75,{1;2})</f>
        <v>#VALUE!</v>
      </c>
      <c r="B236">
        <f t="shared" ca="1" si="9"/>
        <v>9</v>
      </c>
      <c r="C236">
        <f t="shared" ca="1" si="10"/>
        <v>0</v>
      </c>
      <c r="D236" t="str">
        <f t="shared" ca="1" si="11"/>
        <v/>
      </c>
      <c r="E236" t="s">
        <v>284</v>
      </c>
    </row>
    <row r="237" spans="1:5" x14ac:dyDescent="0.2">
      <c r="A237" t="e" cm="1" vm="1">
        <f t="array" aca="1" ref="A237" ca="1">_xlfn.T.INV.2T(D!B1:B2,60)</f>
        <v>#VALUE!</v>
      </c>
      <c r="B237">
        <f t="shared" ca="1" si="9"/>
        <v>9</v>
      </c>
      <c r="C237">
        <f t="shared" ca="1" si="10"/>
        <v>0</v>
      </c>
      <c r="D237" t="str">
        <f t="shared" ca="1" si="11"/>
        <v/>
      </c>
      <c r="E237" t="s">
        <v>285</v>
      </c>
    </row>
    <row r="238" spans="1:5" x14ac:dyDescent="0.2">
      <c r="A238" t="e" cm="1" vm="1">
        <f t="array" aca="1" ref="A238" ca="1">_xlfn.T.INV.2T({1;2},60)</f>
        <v>#VALUE!</v>
      </c>
      <c r="B238">
        <f t="shared" ca="1" si="9"/>
        <v>9</v>
      </c>
      <c r="C238">
        <f t="shared" ca="1" si="10"/>
        <v>0</v>
      </c>
      <c r="D238" t="str">
        <f t="shared" ca="1" si="11"/>
        <v/>
      </c>
      <c r="E238" t="s">
        <v>286</v>
      </c>
    </row>
    <row r="239" spans="1:5" x14ac:dyDescent="0.2">
      <c r="A239" t="e" cm="1" vm="1">
        <f t="array" aca="1" ref="A239" ca="1">_xlfn.T.INV.2T(0.546449,D!B1:B2)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287</v>
      </c>
    </row>
    <row r="240" spans="1:5" x14ac:dyDescent="0.2">
      <c r="A240" t="e" cm="1" vm="1">
        <f t="array" aca="1" ref="A240" ca="1">_xlfn.T.INV.2T(0.546449,{1;2})</f>
        <v>#VALUE!</v>
      </c>
      <c r="B240">
        <f t="shared" ca="1" si="9"/>
        <v>9</v>
      </c>
      <c r="C240">
        <f t="shared" ca="1" si="10"/>
        <v>0</v>
      </c>
      <c r="D240" t="str">
        <f t="shared" ca="1" si="11"/>
        <v/>
      </c>
      <c r="E240" t="s">
        <v>288</v>
      </c>
    </row>
    <row r="241" spans="1:5" x14ac:dyDescent="0.2">
      <c r="A241" t="e" cm="1" vm="1">
        <f t="array" aca="1" ref="A241" ca="1">_xlfn.T.TEST(D!B1:B8,D!C1:C8,D!B1:B2,1)</f>
        <v>#VALUE!</v>
      </c>
      <c r="B241">
        <f t="shared" ca="1" si="9"/>
        <v>9</v>
      </c>
      <c r="C241">
        <f t="shared" ca="1" si="10"/>
        <v>0</v>
      </c>
      <c r="D241" t="str">
        <f t="shared" ca="1" si="11"/>
        <v/>
      </c>
      <c r="E241" t="s">
        <v>289</v>
      </c>
    </row>
    <row r="242" spans="1:5" x14ac:dyDescent="0.2">
      <c r="A242" t="e" cm="1" vm="1">
        <f t="array" aca="1" ref="A242" ca="1">_xlfn.T.TEST(D!B1:B8,D!C1:C8,{1;2},1)</f>
        <v>#VALUE!</v>
      </c>
      <c r="B242">
        <f t="shared" ca="1" si="9"/>
        <v>9</v>
      </c>
      <c r="C242">
        <f t="shared" ca="1" si="10"/>
        <v>0</v>
      </c>
      <c r="D242" t="str">
        <f t="shared" ca="1" si="11"/>
        <v/>
      </c>
      <c r="E242" t="s">
        <v>290</v>
      </c>
    </row>
    <row r="243" spans="1:5" x14ac:dyDescent="0.2">
      <c r="A243" t="e" cm="1" vm="1">
        <f t="array" aca="1" ref="A243" ca="1">_xlfn.T.TEST(D!B1:B8,D!C1:C8,2,D!B1:B2)</f>
        <v>#VALUE!</v>
      </c>
      <c r="B243">
        <f t="shared" ca="1" si="9"/>
        <v>9</v>
      </c>
      <c r="C243">
        <f t="shared" ca="1" si="10"/>
        <v>0</v>
      </c>
      <c r="D243" t="str">
        <f t="shared" ca="1" si="11"/>
        <v/>
      </c>
      <c r="E243" t="s">
        <v>291</v>
      </c>
    </row>
    <row r="244" spans="1:5" x14ac:dyDescent="0.2">
      <c r="A244" t="e" cm="1" vm="1">
        <f t="array" aca="1" ref="A244" ca="1">_xlfn.T.TEST(D!B1:B8,D!C1:C8,2,{1;2})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292</v>
      </c>
    </row>
    <row r="245" spans="1:5" x14ac:dyDescent="0.2">
      <c r="A245" t="e" cm="1" vm="1">
        <f t="array" aca="1" ref="A245" ca="1">TAN(D!B1:B2)</f>
        <v>#VALUE!</v>
      </c>
      <c r="B245">
        <f t="shared" ca="1" si="9"/>
        <v>9</v>
      </c>
      <c r="C245">
        <f t="shared" ca="1" si="10"/>
        <v>0</v>
      </c>
      <c r="D245" t="str">
        <f t="shared" ca="1" si="11"/>
        <v/>
      </c>
      <c r="E245" t="s">
        <v>293</v>
      </c>
    </row>
    <row r="246" spans="1:5" x14ac:dyDescent="0.2">
      <c r="A246" t="e" cm="1" vm="1">
        <f t="array" aca="1" ref="A246" ca="1">TAN({1;2})</f>
        <v>#VALUE!</v>
      </c>
      <c r="B246">
        <f t="shared" ca="1" si="9"/>
        <v>9</v>
      </c>
      <c r="C246">
        <f t="shared" ca="1" si="10"/>
        <v>0</v>
      </c>
      <c r="D246" t="str">
        <f t="shared" ca="1" si="11"/>
        <v/>
      </c>
      <c r="E246" t="s">
        <v>294</v>
      </c>
    </row>
    <row r="247" spans="1:5" x14ac:dyDescent="0.2">
      <c r="A247" t="e" cm="1" vm="1">
        <f t="array" aca="1" ref="A247" ca="1">TANH(D!B1:B2)</f>
        <v>#VALUE!</v>
      </c>
      <c r="B247">
        <f t="shared" ca="1" si="9"/>
        <v>9</v>
      </c>
      <c r="C247">
        <f t="shared" ca="1" si="10"/>
        <v>0</v>
      </c>
      <c r="D247" t="str">
        <f t="shared" ca="1" si="11"/>
        <v/>
      </c>
      <c r="E247" t="s">
        <v>295</v>
      </c>
    </row>
    <row r="248" spans="1:5" x14ac:dyDescent="0.2">
      <c r="A248" t="e" cm="1" vm="1">
        <f t="array" aca="1" ref="A248" ca="1">TANH({1;2})</f>
        <v>#VALUE!</v>
      </c>
      <c r="B248">
        <f t="shared" ca="1" si="9"/>
        <v>9</v>
      </c>
      <c r="C248">
        <f t="shared" ca="1" si="10"/>
        <v>0</v>
      </c>
      <c r="D248" t="str">
        <f t="shared" ca="1" si="11"/>
        <v/>
      </c>
      <c r="E248" t="s">
        <v>296</v>
      </c>
    </row>
    <row r="249" spans="1:5" x14ac:dyDescent="0.2">
      <c r="A249" t="e" cm="1">
        <f t="array" ref="A249">TBILLEQ(D!B1:B2,39600,0.0914)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297</v>
      </c>
    </row>
    <row r="250" spans="1:5" x14ac:dyDescent="0.2">
      <c r="A250" t="e" cm="1" vm="1">
        <f t="array" aca="1" ref="A250" ca="1">TBILLEQ({1;2},39600,0.0914)</f>
        <v>#VALUE!</v>
      </c>
      <c r="B250">
        <f t="shared" ca="1" si="9"/>
        <v>9</v>
      </c>
      <c r="C250">
        <f t="shared" ca="1" si="10"/>
        <v>0</v>
      </c>
      <c r="D250" t="str">
        <f t="shared" ca="1" si="11"/>
        <v/>
      </c>
      <c r="E250" t="s">
        <v>298</v>
      </c>
    </row>
    <row r="251" spans="1:5" x14ac:dyDescent="0.2">
      <c r="A251" t="e" cm="1">
        <f t="array" ref="A251">TBILLEQ(39538,D!B1:B2,0.0914)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299</v>
      </c>
    </row>
    <row r="252" spans="1:5" x14ac:dyDescent="0.2">
      <c r="A252" t="e" cm="1" vm="1">
        <f t="array" aca="1" ref="A252" ca="1">TBILLEQ(39538,{1;2},0.0914)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300</v>
      </c>
    </row>
    <row r="253" spans="1:5" x14ac:dyDescent="0.2">
      <c r="A253" t="e" cm="1">
        <f t="array" ref="A253">TBILLEQ(39538,39600,D!B1:B2)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301</v>
      </c>
    </row>
    <row r="254" spans="1:5" x14ac:dyDescent="0.2">
      <c r="A254" t="e" cm="1" vm="1">
        <f t="array" aca="1" ref="A254" ca="1">TBILLEQ(39538,39600,{1;2})</f>
        <v>#VALUE!</v>
      </c>
      <c r="B254">
        <f t="shared" ca="1" si="9"/>
        <v>9</v>
      </c>
      <c r="C254">
        <f t="shared" ca="1" si="10"/>
        <v>0</v>
      </c>
      <c r="D254" t="str">
        <f t="shared" ca="1" si="11"/>
        <v/>
      </c>
      <c r="E254" t="s">
        <v>302</v>
      </c>
    </row>
    <row r="255" spans="1:5" x14ac:dyDescent="0.2">
      <c r="A255" t="e" cm="1">
        <f t="array" ref="A255">TBILLPRICE(D!B1:B2,39600,0.09)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303</v>
      </c>
    </row>
    <row r="256" spans="1:5" x14ac:dyDescent="0.2">
      <c r="A256" t="e" cm="1" vm="1">
        <f t="array" aca="1" ref="A256" ca="1">TBILLPRICE({1;2},39600,0.09)</f>
        <v>#VALUE!</v>
      </c>
      <c r="B256">
        <f t="shared" ca="1" si="9"/>
        <v>9</v>
      </c>
      <c r="C256">
        <f t="shared" ca="1" si="10"/>
        <v>0</v>
      </c>
      <c r="D256" t="str">
        <f t="shared" ca="1" si="11"/>
        <v/>
      </c>
      <c r="E256" t="s">
        <v>304</v>
      </c>
    </row>
    <row r="257" spans="1:5" x14ac:dyDescent="0.2">
      <c r="A257" t="e" cm="1">
        <f t="array" ref="A257">TBILLPRICE(39538,D!B1:B2,0.09)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305</v>
      </c>
    </row>
    <row r="258" spans="1:5" x14ac:dyDescent="0.2">
      <c r="A258" t="e" cm="1" vm="1">
        <f t="array" aca="1" ref="A258" ca="1">TBILLPRICE(39538,{1;2},0.09)</f>
        <v>#VALUE!</v>
      </c>
      <c r="B258">
        <f t="shared" ca="1" si="12"/>
        <v>9</v>
      </c>
      <c r="C258">
        <f t="shared" ca="1" si="13"/>
        <v>0</v>
      </c>
      <c r="D258" t="str">
        <f t="shared" ca="1" si="14"/>
        <v/>
      </c>
      <c r="E258" t="s">
        <v>306</v>
      </c>
    </row>
    <row r="259" spans="1:5" x14ac:dyDescent="0.2">
      <c r="A259" t="e" cm="1">
        <f t="array" ref="A259">TBILLPRICE(39538,39600,D!B1:B2)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307</v>
      </c>
    </row>
    <row r="260" spans="1:5" x14ac:dyDescent="0.2">
      <c r="A260" t="e" cm="1" vm="1">
        <f t="array" aca="1" ref="A260" ca="1">TBILLPRICE(39538,39600,{1;2})</f>
        <v>#VALUE!</v>
      </c>
      <c r="B260">
        <f t="shared" ca="1" si="12"/>
        <v>9</v>
      </c>
      <c r="C260">
        <f t="shared" ca="1" si="13"/>
        <v>0</v>
      </c>
      <c r="D260" t="str">
        <f t="shared" ca="1" si="14"/>
        <v/>
      </c>
      <c r="E260" t="s">
        <v>308</v>
      </c>
    </row>
    <row r="261" spans="1:5" x14ac:dyDescent="0.2">
      <c r="A261" t="e" cm="1">
        <f t="array" ref="A261">TBILLYIELD(D!B1:B2,39600,98.45)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309</v>
      </c>
    </row>
    <row r="262" spans="1:5" x14ac:dyDescent="0.2">
      <c r="A262" t="e" cm="1" vm="1">
        <f t="array" aca="1" ref="A262" ca="1">TBILLYIELD({1;2},39600,98.45)</f>
        <v>#VALUE!</v>
      </c>
      <c r="B262">
        <f t="shared" ca="1" si="12"/>
        <v>9</v>
      </c>
      <c r="C262">
        <f t="shared" ca="1" si="13"/>
        <v>0</v>
      </c>
      <c r="D262" t="str">
        <f t="shared" ca="1" si="14"/>
        <v/>
      </c>
      <c r="E262" t="s">
        <v>310</v>
      </c>
    </row>
    <row r="263" spans="1:5" x14ac:dyDescent="0.2">
      <c r="A263" t="e" cm="1">
        <f t="array" ref="A263">TBILLYIELD(39538,D!B1:B2,98.45)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311</v>
      </c>
    </row>
    <row r="264" spans="1:5" x14ac:dyDescent="0.2">
      <c r="A264" t="e" cm="1" vm="1">
        <f t="array" aca="1" ref="A264" ca="1">TBILLYIELD(39538,{1;2},98.45)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312</v>
      </c>
    </row>
    <row r="265" spans="1:5" x14ac:dyDescent="0.2">
      <c r="A265" t="e" cm="1">
        <f t="array" ref="A265">TBILLYIELD(39538,39600,D!B1:B2)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313</v>
      </c>
    </row>
    <row r="266" spans="1:5" x14ac:dyDescent="0.2">
      <c r="A266" t="e" cm="1" vm="1">
        <f t="array" aca="1" ref="A266" ca="1">TBILLYIELD(39538,39600,{1;2})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314</v>
      </c>
    </row>
    <row r="267" spans="1:5" x14ac:dyDescent="0.2">
      <c r="A267" t="e" cm="1" vm="1">
        <f t="array" aca="1" ref="A267" ca="1">TDIST(D!B1:B2,60,2)</f>
        <v>#VALUE!</v>
      </c>
      <c r="B267">
        <f t="shared" ca="1" si="12"/>
        <v>9</v>
      </c>
      <c r="C267">
        <f t="shared" ca="1" si="13"/>
        <v>0</v>
      </c>
      <c r="D267" t="str">
        <f t="shared" ca="1" si="14"/>
        <v/>
      </c>
      <c r="E267" t="s">
        <v>315</v>
      </c>
    </row>
    <row r="268" spans="1:5" x14ac:dyDescent="0.2">
      <c r="A268" t="e" cm="1" vm="1">
        <f t="array" aca="1" ref="A268" ca="1">TDIST({1;2},60,2)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316</v>
      </c>
    </row>
    <row r="269" spans="1:5" x14ac:dyDescent="0.2">
      <c r="A269" t="e" cm="1" vm="1">
        <f t="array" aca="1" ref="A269" ca="1">TDIST(1.959999998,D!B1:B2,2)</f>
        <v>#VALUE!</v>
      </c>
      <c r="B269">
        <f t="shared" ca="1" si="12"/>
        <v>9</v>
      </c>
      <c r="C269">
        <f t="shared" ca="1" si="13"/>
        <v>0</v>
      </c>
      <c r="D269" t="str">
        <f t="shared" ca="1" si="14"/>
        <v/>
      </c>
      <c r="E269" t="s">
        <v>317</v>
      </c>
    </row>
    <row r="270" spans="1:5" x14ac:dyDescent="0.2">
      <c r="A270" t="e" cm="1" vm="1">
        <f t="array" aca="1" ref="A270" ca="1">TDIST(1.959999998,{1;2},2)</f>
        <v>#VALUE!</v>
      </c>
      <c r="B270">
        <f t="shared" ca="1" si="12"/>
        <v>9</v>
      </c>
      <c r="C270">
        <f t="shared" ca="1" si="13"/>
        <v>0</v>
      </c>
      <c r="D270" t="str">
        <f t="shared" ca="1" si="14"/>
        <v/>
      </c>
      <c r="E270" t="s">
        <v>318</v>
      </c>
    </row>
    <row r="271" spans="1:5" x14ac:dyDescent="0.2">
      <c r="A271" t="e" cm="1" vm="1">
        <f t="array" aca="1" ref="A271" ca="1">TDIST(1.959999998,60,D!B1:B2)</f>
        <v>#VALUE!</v>
      </c>
      <c r="B271">
        <f t="shared" ca="1" si="12"/>
        <v>9</v>
      </c>
      <c r="C271">
        <f t="shared" ca="1" si="13"/>
        <v>0</v>
      </c>
      <c r="D271" t="str">
        <f t="shared" ca="1" si="14"/>
        <v/>
      </c>
      <c r="E271" t="s">
        <v>319</v>
      </c>
    </row>
    <row r="272" spans="1:5" x14ac:dyDescent="0.2">
      <c r="A272" t="e" cm="1" vm="1">
        <f t="array" aca="1" ref="A272" ca="1">TDIST(1.959999998,60,{1;2})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320</v>
      </c>
    </row>
    <row r="273" spans="1:5" x14ac:dyDescent="0.2">
      <c r="A273" t="e" cm="1" vm="1">
        <f t="array" aca="1" ref="A273" ca="1">TEXT(D!B1:B2,"$#,##0.00")</f>
        <v>#VALUE!</v>
      </c>
      <c r="B273">
        <f t="shared" ca="1" si="12"/>
        <v>9</v>
      </c>
      <c r="C273">
        <f t="shared" ca="1" si="13"/>
        <v>0</v>
      </c>
      <c r="D273" t="str">
        <f t="shared" ca="1" si="14"/>
        <v/>
      </c>
      <c r="E273" t="s">
        <v>321</v>
      </c>
    </row>
    <row r="274" spans="1:5" x14ac:dyDescent="0.2">
      <c r="A274" t="e" cm="1" vm="1">
        <f t="array" aca="1" ref="A274" ca="1">TEXT({1;2},"$#,##0.00")</f>
        <v>#VALUE!</v>
      </c>
      <c r="B274">
        <f t="shared" ca="1" si="12"/>
        <v>9</v>
      </c>
      <c r="C274">
        <f t="shared" ca="1" si="13"/>
        <v>0</v>
      </c>
      <c r="D274" t="str">
        <f t="shared" ca="1" si="14"/>
        <v/>
      </c>
      <c r="E274" t="s">
        <v>322</v>
      </c>
    </row>
    <row r="275" spans="1:5" x14ac:dyDescent="0.2">
      <c r="A275" t="e" cm="1" vm="1">
        <f t="array" aca="1" ref="A275" ca="1">TEXT(1234.567,D!B1:B2)</f>
        <v>#VALUE!</v>
      </c>
      <c r="B275">
        <f t="shared" ca="1" si="12"/>
        <v>9</v>
      </c>
      <c r="C275">
        <f t="shared" ca="1" si="13"/>
        <v>0</v>
      </c>
      <c r="D275" t="str">
        <f t="shared" ca="1" si="14"/>
        <v/>
      </c>
      <c r="E275" t="s">
        <v>323</v>
      </c>
    </row>
    <row r="276" spans="1:5" x14ac:dyDescent="0.2">
      <c r="A276" t="e" cm="1" vm="1">
        <f t="array" aca="1" ref="A276" ca="1">TEXT(1234.567,{1;2})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324</v>
      </c>
    </row>
    <row r="277" spans="1:5" x14ac:dyDescent="0.2">
      <c r="A277" t="e" cm="1" vm="1">
        <f t="array" aca="1" ref="A277" ca="1">_xlfn.TEXTAFTER(D!B1:B2,"-")</f>
        <v>#VALUE!</v>
      </c>
      <c r="B277">
        <f t="shared" ca="1" si="12"/>
        <v>9</v>
      </c>
      <c r="C277">
        <f t="shared" ca="1" si="13"/>
        <v>0</v>
      </c>
      <c r="D277" t="str">
        <f t="shared" ca="1" si="14"/>
        <v/>
      </c>
      <c r="E277" t="s">
        <v>325</v>
      </c>
    </row>
    <row r="278" spans="1:5" x14ac:dyDescent="0.2">
      <c r="A278" t="e" cm="1" vm="1">
        <f t="array" aca="1" ref="A278" ca="1">_xlfn.TEXTAFTER({1;2},"-")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326</v>
      </c>
    </row>
    <row r="279" spans="1:5" x14ac:dyDescent="0.2">
      <c r="A279" t="e" cm="1">
        <f t="array" ref="A279">_xlfn.TEXTAFTER("a-b-c",D!B1:B2)</f>
        <v>#N/A</v>
      </c>
      <c r="B279">
        <f t="shared" si="12"/>
        <v>7</v>
      </c>
      <c r="C279">
        <f t="shared" si="13"/>
        <v>0</v>
      </c>
      <c r="D279" t="str">
        <f t="shared" si="14"/>
        <v/>
      </c>
      <c r="E279" t="s">
        <v>327</v>
      </c>
    </row>
    <row r="280" spans="1:5" x14ac:dyDescent="0.2">
      <c r="A280" t="e" cm="1">
        <f t="array" ref="A280">_xlfn.TEXTAFTER("a-b-c",{1;2})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328</v>
      </c>
    </row>
    <row r="281" spans="1:5" x14ac:dyDescent="0.2">
      <c r="A281" t="e" cm="1" vm="1">
        <f t="array" aca="1" ref="A281" ca="1">_xlfn.TEXTBEFORE(D!B1:B2,"-")</f>
        <v>#VALUE!</v>
      </c>
      <c r="B281">
        <f t="shared" ca="1" si="12"/>
        <v>9</v>
      </c>
      <c r="C281">
        <f t="shared" ca="1" si="13"/>
        <v>0</v>
      </c>
      <c r="D281" t="str">
        <f t="shared" ca="1" si="14"/>
        <v/>
      </c>
      <c r="E281" t="s">
        <v>329</v>
      </c>
    </row>
    <row r="282" spans="1:5" x14ac:dyDescent="0.2">
      <c r="A282" t="e" cm="1" vm="1">
        <f t="array" aca="1" ref="A282" ca="1">_xlfn.TEXTBEFORE({1;2},"-")</f>
        <v>#VALUE!</v>
      </c>
      <c r="B282">
        <f t="shared" ca="1" si="12"/>
        <v>9</v>
      </c>
      <c r="C282">
        <f t="shared" ca="1" si="13"/>
        <v>0</v>
      </c>
      <c r="D282" t="str">
        <f t="shared" ca="1" si="14"/>
        <v/>
      </c>
      <c r="E282" t="s">
        <v>330</v>
      </c>
    </row>
    <row r="283" spans="1:5" x14ac:dyDescent="0.2">
      <c r="A283" t="e" cm="1">
        <f t="array" ref="A283">_xlfn.TEXTBEFORE("a-b-c",D!B1:B2)</f>
        <v>#N/A</v>
      </c>
      <c r="B283">
        <f t="shared" si="12"/>
        <v>7</v>
      </c>
      <c r="C283">
        <f t="shared" si="13"/>
        <v>0</v>
      </c>
      <c r="D283" t="str">
        <f t="shared" si="14"/>
        <v/>
      </c>
      <c r="E283" t="s">
        <v>331</v>
      </c>
    </row>
    <row r="284" spans="1:5" x14ac:dyDescent="0.2">
      <c r="A284" t="e" cm="1">
        <f t="array" ref="A284">_xlfn.TEXTBEFORE("a-b-c",{1;2})</f>
        <v>#N/A</v>
      </c>
      <c r="B284">
        <f t="shared" si="12"/>
        <v>7</v>
      </c>
      <c r="C284">
        <f t="shared" si="13"/>
        <v>0</v>
      </c>
      <c r="D284" t="str">
        <f t="shared" si="14"/>
        <v/>
      </c>
      <c r="E284" t="s">
        <v>332</v>
      </c>
    </row>
    <row r="285" spans="1:5" x14ac:dyDescent="0.2">
      <c r="A285" t="str" cm="1">
        <f t="array" ref="A285">_xlfn.TEXTJOIN(D!B1:B2,TRUE,"a","","b")</f>
        <v>a4b</v>
      </c>
      <c r="B285">
        <f t="shared" si="12"/>
        <v>-3</v>
      </c>
      <c r="C285">
        <f t="shared" si="13"/>
        <v>0</v>
      </c>
      <c r="D285" t="str">
        <f t="shared" si="14"/>
        <v>a4b</v>
      </c>
      <c r="E285" t="s">
        <v>333</v>
      </c>
    </row>
    <row r="286" spans="1:5" x14ac:dyDescent="0.2">
      <c r="A286" t="str" cm="1">
        <f t="array" ref="A286">_xlfn.TEXTJOIN({1;2},TRUE,"a","","b")</f>
        <v>a1b</v>
      </c>
      <c r="B286">
        <f t="shared" si="12"/>
        <v>-3</v>
      </c>
      <c r="C286">
        <f t="shared" si="13"/>
        <v>0</v>
      </c>
      <c r="D286" t="str">
        <f t="shared" si="14"/>
        <v>a1b</v>
      </c>
      <c r="E286" t="s">
        <v>334</v>
      </c>
    </row>
    <row r="287" spans="1:5" x14ac:dyDescent="0.2">
      <c r="A287" t="e" cm="1" vm="1">
        <f t="array" aca="1" ref="A287" ca="1">_xlfn.TEXTJOIN(", ",D!B1:B2,"a","","b")</f>
        <v>#VALUE!</v>
      </c>
      <c r="B287">
        <f t="shared" ca="1" si="12"/>
        <v>9</v>
      </c>
      <c r="C287">
        <f t="shared" ca="1" si="13"/>
        <v>0</v>
      </c>
      <c r="D287" t="str">
        <f t="shared" ca="1" si="14"/>
        <v/>
      </c>
      <c r="E287" t="s">
        <v>335</v>
      </c>
    </row>
    <row r="288" spans="1:5" x14ac:dyDescent="0.2">
      <c r="A288" t="e" cm="1" vm="1">
        <f t="array" aca="1" ref="A288" ca="1">_xlfn.TEXTJOIN(", ",{1;2},"a","","b")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336</v>
      </c>
    </row>
    <row r="289" spans="1:5" x14ac:dyDescent="0.2">
      <c r="A289" t="str" cm="1">
        <f t="array" ref="A289">_xlfn.TEXTJOIN(", ",TRUE,D!B1:B2,"","b")</f>
        <v>4, 8, b</v>
      </c>
      <c r="B289">
        <f t="shared" si="12"/>
        <v>-3</v>
      </c>
      <c r="C289">
        <f t="shared" si="13"/>
        <v>0</v>
      </c>
      <c r="D289" t="str">
        <f t="shared" si="14"/>
        <v>4, 8, b</v>
      </c>
      <c r="E289" t="s">
        <v>337</v>
      </c>
    </row>
    <row r="290" spans="1:5" x14ac:dyDescent="0.2">
      <c r="A290" t="str" cm="1">
        <f t="array" ref="A290">_xlfn.TEXTJOIN(", ",TRUE,{1;2},"","b")</f>
        <v>1, 2, b</v>
      </c>
      <c r="B290">
        <f t="shared" si="12"/>
        <v>-3</v>
      </c>
      <c r="C290">
        <f t="shared" si="13"/>
        <v>0</v>
      </c>
      <c r="D290" t="str">
        <f t="shared" si="14"/>
        <v>1, 2, b</v>
      </c>
      <c r="E290" t="s">
        <v>338</v>
      </c>
    </row>
    <row r="291" spans="1:5" x14ac:dyDescent="0.2">
      <c r="A291" t="str" cm="1">
        <f t="array" ref="A291">_xlfn.TEXTJOIN(", ",TRUE,"a",D!B1:B2,"b")</f>
        <v>a, 4, 8, b</v>
      </c>
      <c r="B291">
        <f t="shared" si="12"/>
        <v>-3</v>
      </c>
      <c r="C291">
        <f t="shared" si="13"/>
        <v>0</v>
      </c>
      <c r="D291" t="str">
        <f t="shared" si="14"/>
        <v>a, 4, 8, b</v>
      </c>
      <c r="E291" t="s">
        <v>339</v>
      </c>
    </row>
    <row r="292" spans="1:5" x14ac:dyDescent="0.2">
      <c r="A292" t="str" cm="1">
        <f t="array" ref="A292">_xlfn.TEXTJOIN(", ",TRUE,"a",{1;2},"b")</f>
        <v>a, 1, 2, b</v>
      </c>
      <c r="B292">
        <f t="shared" si="12"/>
        <v>-3</v>
      </c>
      <c r="C292">
        <f t="shared" si="13"/>
        <v>0</v>
      </c>
      <c r="D292" t="str">
        <f t="shared" si="14"/>
        <v>a, 1, 2, b</v>
      </c>
      <c r="E292" t="s">
        <v>340</v>
      </c>
    </row>
    <row r="293" spans="1:5" x14ac:dyDescent="0.2">
      <c r="A293" t="str" cm="1">
        <f t="array" ref="A293">_xlfn.TEXTJOIN(", ",TRUE,"a","",D!B1:B2)</f>
        <v>a, 4, 8</v>
      </c>
      <c r="B293">
        <f t="shared" si="12"/>
        <v>-3</v>
      </c>
      <c r="C293">
        <f t="shared" si="13"/>
        <v>0</v>
      </c>
      <c r="D293" t="str">
        <f t="shared" si="14"/>
        <v>a, 4, 8</v>
      </c>
      <c r="E293" t="s">
        <v>341</v>
      </c>
    </row>
    <row r="294" spans="1:5" x14ac:dyDescent="0.2">
      <c r="A294" t="str" cm="1">
        <f t="array" ref="A294">_xlfn.TEXTJOIN(", ",TRUE,"a","",{1;2})</f>
        <v>a, 1, 2</v>
      </c>
      <c r="B294">
        <f t="shared" si="12"/>
        <v>-3</v>
      </c>
      <c r="C294">
        <f t="shared" si="13"/>
        <v>0</v>
      </c>
      <c r="D294" t="str">
        <f t="shared" si="14"/>
        <v>a, 1, 2</v>
      </c>
      <c r="E294" t="s">
        <v>342</v>
      </c>
    </row>
    <row r="295" spans="1:5" x14ac:dyDescent="0.2">
      <c r="A295" t="e" cm="1" vm="1">
        <f t="array" aca="1" ref="A295" ca="1">TIME(D!B1:B2,0,0)</f>
        <v>#VALUE!</v>
      </c>
      <c r="B295">
        <f t="shared" ca="1" si="12"/>
        <v>9</v>
      </c>
      <c r="C295">
        <f t="shared" ca="1" si="13"/>
        <v>0</v>
      </c>
      <c r="D295" t="str">
        <f t="shared" ca="1" si="14"/>
        <v/>
      </c>
      <c r="E295" t="s">
        <v>343</v>
      </c>
    </row>
    <row r="296" spans="1:5" x14ac:dyDescent="0.2">
      <c r="A296" t="e" cm="1" vm="1">
        <f t="array" aca="1" ref="A296" ca="1">TIME({1;2},0,0)</f>
        <v>#VALUE!</v>
      </c>
      <c r="B296">
        <f t="shared" ca="1" si="12"/>
        <v>9</v>
      </c>
      <c r="C296">
        <f t="shared" ca="1" si="13"/>
        <v>0</v>
      </c>
      <c r="D296" t="str">
        <f t="shared" ca="1" si="14"/>
        <v/>
      </c>
      <c r="E296" t="s">
        <v>344</v>
      </c>
    </row>
    <row r="297" spans="1:5" x14ac:dyDescent="0.2">
      <c r="A297" t="e" cm="1" vm="1">
        <f t="array" aca="1" ref="A297" ca="1">TIME(12,D!B1:B2,0)</f>
        <v>#VALUE!</v>
      </c>
      <c r="B297">
        <f t="shared" ca="1" si="12"/>
        <v>9</v>
      </c>
      <c r="C297">
        <f t="shared" ca="1" si="13"/>
        <v>0</v>
      </c>
      <c r="D297" t="str">
        <f t="shared" ca="1" si="14"/>
        <v/>
      </c>
      <c r="E297" t="s">
        <v>345</v>
      </c>
    </row>
    <row r="298" spans="1:5" x14ac:dyDescent="0.2">
      <c r="A298" t="e" cm="1" vm="1">
        <f t="array" aca="1" ref="A298" ca="1">TIME(12,{1;2},0)</f>
        <v>#VALUE!</v>
      </c>
      <c r="B298">
        <f t="shared" ca="1" si="12"/>
        <v>9</v>
      </c>
      <c r="C298">
        <f t="shared" ca="1" si="13"/>
        <v>0</v>
      </c>
      <c r="D298" t="str">
        <f t="shared" ca="1" si="14"/>
        <v/>
      </c>
      <c r="E298" t="s">
        <v>346</v>
      </c>
    </row>
    <row r="299" spans="1:5" x14ac:dyDescent="0.2">
      <c r="A299" t="e" cm="1" vm="1">
        <f t="array" aca="1" ref="A299" ca="1">TIME(12,0,D!B1:B2)</f>
        <v>#VALUE!</v>
      </c>
      <c r="B299">
        <f t="shared" ca="1" si="12"/>
        <v>9</v>
      </c>
      <c r="C299">
        <f t="shared" ca="1" si="13"/>
        <v>0</v>
      </c>
      <c r="D299" t="str">
        <f t="shared" ca="1" si="14"/>
        <v/>
      </c>
      <c r="E299" t="s">
        <v>347</v>
      </c>
    </row>
    <row r="300" spans="1:5" x14ac:dyDescent="0.2">
      <c r="A300" t="e" cm="1" vm="1">
        <f t="array" aca="1" ref="A300" ca="1">TIME(12,0,{1;2})</f>
        <v>#VALUE!</v>
      </c>
      <c r="B300">
        <f t="shared" ca="1" si="12"/>
        <v>9</v>
      </c>
      <c r="C300">
        <f t="shared" ca="1" si="13"/>
        <v>0</v>
      </c>
      <c r="D300" t="str">
        <f t="shared" ca="1" si="14"/>
        <v/>
      </c>
      <c r="E300" t="s">
        <v>348</v>
      </c>
    </row>
    <row r="301" spans="1:5" x14ac:dyDescent="0.2">
      <c r="A301" t="e" cm="1" vm="1">
        <f t="array" aca="1" ref="A301" ca="1">TIMEVALUE(D!B1:B2)</f>
        <v>#VALUE!</v>
      </c>
      <c r="B301">
        <f t="shared" ca="1" si="12"/>
        <v>9</v>
      </c>
      <c r="C301">
        <f t="shared" ca="1" si="13"/>
        <v>0</v>
      </c>
      <c r="D301" t="str">
        <f t="shared" ca="1" si="14"/>
        <v/>
      </c>
      <c r="E301" t="s">
        <v>349</v>
      </c>
    </row>
    <row r="302" spans="1:5" x14ac:dyDescent="0.2">
      <c r="A302" t="e" cm="1" vm="1">
        <f t="array" aca="1" ref="A302" ca="1">TIMEVALUE({1;2})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350</v>
      </c>
    </row>
    <row r="303" spans="1:5" x14ac:dyDescent="0.2">
      <c r="A303" t="e" cm="1" vm="1">
        <f t="array" aca="1" ref="A303" ca="1">TINV(D!B1:B2,60)</f>
        <v>#VALUE!</v>
      </c>
      <c r="B303">
        <f t="shared" ca="1" si="12"/>
        <v>9</v>
      </c>
      <c r="C303">
        <f t="shared" ca="1" si="13"/>
        <v>0</v>
      </c>
      <c r="D303" t="str">
        <f t="shared" ca="1" si="14"/>
        <v/>
      </c>
      <c r="E303" t="s">
        <v>351</v>
      </c>
    </row>
    <row r="304" spans="1:5" x14ac:dyDescent="0.2">
      <c r="A304" t="e" cm="1" vm="1">
        <f t="array" aca="1" ref="A304" ca="1">TINV({1;2},60)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352</v>
      </c>
    </row>
    <row r="305" spans="1:5" x14ac:dyDescent="0.2">
      <c r="A305" t="e" cm="1" vm="1">
        <f t="array" aca="1" ref="A305" ca="1">TINV(0.05464493,D!B1:B2)</f>
        <v>#VALUE!</v>
      </c>
      <c r="B305">
        <f t="shared" ca="1" si="12"/>
        <v>9</v>
      </c>
      <c r="C305">
        <f t="shared" ca="1" si="13"/>
        <v>0</v>
      </c>
      <c r="D305" t="str">
        <f t="shared" ca="1" si="14"/>
        <v/>
      </c>
      <c r="E305" t="s">
        <v>353</v>
      </c>
    </row>
    <row r="306" spans="1:5" x14ac:dyDescent="0.2">
      <c r="A306" t="e" cm="1" vm="1">
        <f t="array" aca="1" ref="A306" ca="1">TINV(0.05464493,{1;2})</f>
        <v>#VALUE!</v>
      </c>
      <c r="B306">
        <f t="shared" ca="1" si="12"/>
        <v>9</v>
      </c>
      <c r="C306">
        <f t="shared" ca="1" si="13"/>
        <v>0</v>
      </c>
      <c r="D306" t="str">
        <f t="shared" ca="1" si="14"/>
        <v/>
      </c>
      <c r="E306" t="s">
        <v>354</v>
      </c>
    </row>
    <row r="307" spans="1:5" x14ac:dyDescent="0.2">
      <c r="A307" t="e" cm="1" vm="1">
        <f t="array" aca="1" ref="A307" ca="1">TRIM(D!B1:B2)</f>
        <v>#VALUE!</v>
      </c>
      <c r="B307">
        <f t="shared" ca="1" si="12"/>
        <v>9</v>
      </c>
      <c r="C307">
        <f t="shared" ca="1" si="13"/>
        <v>0</v>
      </c>
      <c r="D307" t="str">
        <f t="shared" ca="1" si="14"/>
        <v/>
      </c>
      <c r="E307" t="s">
        <v>355</v>
      </c>
    </row>
    <row r="308" spans="1:5" x14ac:dyDescent="0.2">
      <c r="A308" t="e" cm="1" vm="1">
        <f t="array" aca="1" ref="A308" ca="1">TRIM({1;2})</f>
        <v>#VALUE!</v>
      </c>
      <c r="B308">
        <f t="shared" ca="1" si="12"/>
        <v>9</v>
      </c>
      <c r="C308">
        <f t="shared" ca="1" si="13"/>
        <v>0</v>
      </c>
      <c r="D308" t="str">
        <f t="shared" ca="1" si="14"/>
        <v/>
      </c>
      <c r="E308" t="s">
        <v>356</v>
      </c>
    </row>
    <row r="309" spans="1:5" x14ac:dyDescent="0.2">
      <c r="A309" t="e" cm="1" vm="1">
        <f t="array" aca="1" ref="A309" ca="1">TRIMMEAN(D!B1:B8,D!B1:B2)</f>
        <v>#VALUE!</v>
      </c>
      <c r="B309">
        <f t="shared" ca="1" si="12"/>
        <v>9</v>
      </c>
      <c r="C309">
        <f t="shared" ca="1" si="13"/>
        <v>0</v>
      </c>
      <c r="D309" t="str">
        <f t="shared" ca="1" si="14"/>
        <v/>
      </c>
      <c r="E309" t="s">
        <v>357</v>
      </c>
    </row>
    <row r="310" spans="1:5" x14ac:dyDescent="0.2">
      <c r="A310" t="e" cm="1" vm="1">
        <f t="array" aca="1" ref="A310" ca="1">TRIMMEAN(D!B1:B8,{1;2})</f>
        <v>#VALUE!</v>
      </c>
      <c r="B310">
        <f t="shared" ca="1" si="12"/>
        <v>9</v>
      </c>
      <c r="C310">
        <f t="shared" ca="1" si="13"/>
        <v>0</v>
      </c>
      <c r="D310" t="str">
        <f t="shared" ca="1" si="14"/>
        <v/>
      </c>
      <c r="E310" t="s">
        <v>358</v>
      </c>
    </row>
    <row r="311" spans="1:5" x14ac:dyDescent="0.2">
      <c r="A311" t="e" cm="1" vm="1">
        <f t="array" aca="1" ref="A311" ca="1">TRUNC(D!B1:B2)</f>
        <v>#VALUE!</v>
      </c>
      <c r="B311">
        <f t="shared" ca="1" si="12"/>
        <v>9</v>
      </c>
      <c r="C311">
        <f t="shared" ca="1" si="13"/>
        <v>0</v>
      </c>
      <c r="D311" t="str">
        <f t="shared" ca="1" si="14"/>
        <v/>
      </c>
      <c r="E311" t="s">
        <v>359</v>
      </c>
    </row>
    <row r="312" spans="1:5" x14ac:dyDescent="0.2">
      <c r="A312" t="e" cm="1" vm="1">
        <f t="array" aca="1" ref="A312" ca="1">TRUNC({1;2})</f>
        <v>#VALUE!</v>
      </c>
      <c r="B312">
        <f t="shared" ca="1" si="12"/>
        <v>9</v>
      </c>
      <c r="C312">
        <f t="shared" ca="1" si="13"/>
        <v>0</v>
      </c>
      <c r="D312" t="str">
        <f t="shared" ca="1" si="14"/>
        <v/>
      </c>
      <c r="E312" t="s">
        <v>360</v>
      </c>
    </row>
    <row r="313" spans="1:5" x14ac:dyDescent="0.2">
      <c r="A313" t="e" cm="1" vm="1">
        <f t="array" aca="1" ref="A313" ca="1">TTEST(D!B1:B8,D!C1:C8,D!B1:B2,1)</f>
        <v>#VALUE!</v>
      </c>
      <c r="B313">
        <f t="shared" ca="1" si="12"/>
        <v>9</v>
      </c>
      <c r="C313">
        <f t="shared" ca="1" si="13"/>
        <v>0</v>
      </c>
      <c r="D313" t="str">
        <f t="shared" ca="1" si="14"/>
        <v/>
      </c>
      <c r="E313" t="s">
        <v>361</v>
      </c>
    </row>
    <row r="314" spans="1:5" x14ac:dyDescent="0.2">
      <c r="A314" t="e" cm="1" vm="1">
        <f t="array" aca="1" ref="A314" ca="1">TTEST(D!B1:B8,D!C1:C8,{1;2},1)</f>
        <v>#VALUE!</v>
      </c>
      <c r="B314">
        <f t="shared" ca="1" si="12"/>
        <v>9</v>
      </c>
      <c r="C314">
        <f t="shared" ca="1" si="13"/>
        <v>0</v>
      </c>
      <c r="D314" t="str">
        <f t="shared" ca="1" si="14"/>
        <v/>
      </c>
      <c r="E314" t="s">
        <v>362</v>
      </c>
    </row>
    <row r="315" spans="1:5" x14ac:dyDescent="0.2">
      <c r="A315" t="e" cm="1" vm="1">
        <f t="array" aca="1" ref="A315" ca="1">TTEST(D!B1:B8,D!C1:C8,2,D!B1:B2)</f>
        <v>#VALUE!</v>
      </c>
      <c r="B315">
        <f t="shared" ca="1" si="12"/>
        <v>9</v>
      </c>
      <c r="C315">
        <f t="shared" ca="1" si="13"/>
        <v>0</v>
      </c>
      <c r="D315" t="str">
        <f t="shared" ca="1" si="14"/>
        <v/>
      </c>
      <c r="E315" t="s">
        <v>363</v>
      </c>
    </row>
    <row r="316" spans="1:5" x14ac:dyDescent="0.2">
      <c r="A316" t="e" cm="1" vm="1">
        <f t="array" aca="1" ref="A316" ca="1">TTEST(D!B1:B8,D!C1:C8,2,{1;2})</f>
        <v>#VALUE!</v>
      </c>
      <c r="B316">
        <f t="shared" ca="1" si="12"/>
        <v>9</v>
      </c>
      <c r="C316">
        <f t="shared" ca="1" si="13"/>
        <v>0</v>
      </c>
      <c r="D316" t="str">
        <f t="shared" ca="1" si="14"/>
        <v/>
      </c>
      <c r="E316" t="s">
        <v>364</v>
      </c>
    </row>
    <row r="317" spans="1:5" x14ac:dyDescent="0.2">
      <c r="A317" cm="1">
        <f t="array" ref="A317">TYPE(D!B1:B2)</f>
        <v>64</v>
      </c>
      <c r="B317">
        <f t="shared" si="12"/>
        <v>0</v>
      </c>
      <c r="C317">
        <f t="shared" si="13"/>
        <v>64</v>
      </c>
      <c r="D317" t="str">
        <f t="shared" si="14"/>
        <v/>
      </c>
      <c r="E317" t="s">
        <v>365</v>
      </c>
    </row>
    <row r="318" spans="1:5" x14ac:dyDescent="0.2">
      <c r="A318" cm="1">
        <f t="array" ref="A318">TYPE({1;2})</f>
        <v>64</v>
      </c>
      <c r="B318">
        <f t="shared" si="12"/>
        <v>0</v>
      </c>
      <c r="C318">
        <f t="shared" si="13"/>
        <v>64</v>
      </c>
      <c r="D318" t="str">
        <f t="shared" si="14"/>
        <v/>
      </c>
      <c r="E318" t="s">
        <v>366</v>
      </c>
    </row>
    <row r="319" spans="1:5" x14ac:dyDescent="0.2">
      <c r="A319" t="e" cm="1" vm="1">
        <f t="array" aca="1" ref="A319" ca="1">_xlfn.UNICHAR(D!B1:B2)</f>
        <v>#VALUE!</v>
      </c>
      <c r="B319">
        <f t="shared" ca="1" si="12"/>
        <v>9</v>
      </c>
      <c r="C319">
        <f t="shared" ca="1" si="13"/>
        <v>0</v>
      </c>
      <c r="D319" t="str">
        <f t="shared" ca="1" si="14"/>
        <v/>
      </c>
      <c r="E319" t="s">
        <v>367</v>
      </c>
    </row>
    <row r="320" spans="1:5" x14ac:dyDescent="0.2">
      <c r="A320" t="e" cm="1" vm="1">
        <f t="array" aca="1" ref="A320" ca="1">_xlfn.UNICHAR({1;2})</f>
        <v>#VALUE!</v>
      </c>
      <c r="B320">
        <f t="shared" ca="1" si="12"/>
        <v>9</v>
      </c>
      <c r="C320">
        <f t="shared" ca="1" si="13"/>
        <v>0</v>
      </c>
      <c r="D320" t="str">
        <f t="shared" ca="1" si="14"/>
        <v/>
      </c>
      <c r="E320" t="s">
        <v>368</v>
      </c>
    </row>
    <row r="321" spans="1:5" x14ac:dyDescent="0.2">
      <c r="A321" t="e" cm="1" vm="1">
        <f t="array" aca="1" ref="A321" ca="1">_xlfn.UNICODE(D!B1:B2)</f>
        <v>#VALUE!</v>
      </c>
      <c r="B321">
        <f t="shared" ref="B321:B384" ca="1" si="15">IF(ISERROR(A321),ERROR.TYPE(A321),IF(ISNUMBER(A321),0,IF(ISLOGICAL(A321),IF(A321,-1,-2),IF(ISTEXT(A321),-3,-4))))</f>
        <v>9</v>
      </c>
      <c r="C321">
        <f t="shared" ref="C321:C384" ca="1" si="16">IF(ISNUMBER(A321),A321,0)</f>
        <v>0</v>
      </c>
      <c r="D321" t="str">
        <f t="shared" ref="D321:D384" ca="1" si="17">IF(ISTEXT(A321),A321,"")</f>
        <v/>
      </c>
      <c r="E321" t="s">
        <v>369</v>
      </c>
    </row>
    <row r="322" spans="1:5" x14ac:dyDescent="0.2">
      <c r="A322" t="e" cm="1" vm="1">
        <f t="array" aca="1" ref="A322" ca="1">_xlfn.UNICODE({1;2})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370</v>
      </c>
    </row>
    <row r="323" spans="1:5" x14ac:dyDescent="0.2">
      <c r="A323" t="e" cm="1" vm="1">
        <f t="array" aca="1" ref="A323" ca="1">UPPER(D!B1:B2)</f>
        <v>#VALUE!</v>
      </c>
      <c r="B323">
        <f t="shared" ca="1" si="15"/>
        <v>9</v>
      </c>
      <c r="C323">
        <f t="shared" ca="1" si="16"/>
        <v>0</v>
      </c>
      <c r="D323" t="str">
        <f t="shared" ca="1" si="17"/>
        <v/>
      </c>
      <c r="E323" t="s">
        <v>371</v>
      </c>
    </row>
    <row r="324" spans="1:5" x14ac:dyDescent="0.2">
      <c r="A324" t="e" cm="1" vm="1">
        <f t="array" aca="1" ref="A324" ca="1">UPPER({1;2})</f>
        <v>#VALUE!</v>
      </c>
      <c r="B324">
        <f t="shared" ca="1" si="15"/>
        <v>9</v>
      </c>
      <c r="C324">
        <f t="shared" ca="1" si="16"/>
        <v>0</v>
      </c>
      <c r="D324" t="str">
        <f t="shared" ca="1" si="17"/>
        <v/>
      </c>
      <c r="E324" t="s">
        <v>372</v>
      </c>
    </row>
    <row r="325" spans="1:5" x14ac:dyDescent="0.2">
      <c r="A325" t="e" cm="1" vm="1">
        <f t="array" aca="1" ref="A325" ca="1">VALUE(D!B1:B2)</f>
        <v>#VALUE!</v>
      </c>
      <c r="B325">
        <f t="shared" ca="1" si="15"/>
        <v>9</v>
      </c>
      <c r="C325">
        <f t="shared" ca="1" si="16"/>
        <v>0</v>
      </c>
      <c r="D325" t="str">
        <f t="shared" ca="1" si="17"/>
        <v/>
      </c>
      <c r="E325" t="s">
        <v>373</v>
      </c>
    </row>
    <row r="326" spans="1:5" x14ac:dyDescent="0.2">
      <c r="A326" t="e" cm="1" vm="1">
        <f t="array" aca="1" ref="A326" ca="1">VALUE({1;2})</f>
        <v>#VALUE!</v>
      </c>
      <c r="B326">
        <f t="shared" ca="1" si="15"/>
        <v>9</v>
      </c>
      <c r="C326">
        <f t="shared" ca="1" si="16"/>
        <v>0</v>
      </c>
      <c r="D326" t="str">
        <f t="shared" ca="1" si="17"/>
        <v/>
      </c>
      <c r="E326" t="s">
        <v>374</v>
      </c>
    </row>
    <row r="327" spans="1:5" x14ac:dyDescent="0.2">
      <c r="A327" t="e" cm="1" vm="1">
        <f t="array" aca="1" ref="A327" ca="1">_xlfn.VALUETOTEXT(D!B1:B2,0)</f>
        <v>#VALUE!</v>
      </c>
      <c r="B327">
        <f t="shared" ca="1" si="15"/>
        <v>9</v>
      </c>
      <c r="C327">
        <f t="shared" ca="1" si="16"/>
        <v>0</v>
      </c>
      <c r="D327" t="str">
        <f t="shared" ca="1" si="17"/>
        <v/>
      </c>
      <c r="E327" t="s">
        <v>375</v>
      </c>
    </row>
    <row r="328" spans="1:5" x14ac:dyDescent="0.2">
      <c r="A328" t="e" cm="1" vm="1">
        <f t="array" aca="1" ref="A328" ca="1">_xlfn.VALUETOTEXT({1;2},0)</f>
        <v>#VALUE!</v>
      </c>
      <c r="B328">
        <f t="shared" ca="1" si="15"/>
        <v>9</v>
      </c>
      <c r="C328">
        <f t="shared" ca="1" si="16"/>
        <v>0</v>
      </c>
      <c r="D328" t="str">
        <f t="shared" ca="1" si="17"/>
        <v/>
      </c>
      <c r="E328" t="s">
        <v>376</v>
      </c>
    </row>
    <row r="329" spans="1:5" x14ac:dyDescent="0.2">
      <c r="A329" t="e" cm="1" vm="1">
        <f t="array" aca="1" ref="A329" ca="1">_xlfn.VALUETOTEXT(1.5,D!B1:B2)</f>
        <v>#VALUE!</v>
      </c>
      <c r="B329">
        <f t="shared" ca="1" si="15"/>
        <v>9</v>
      </c>
      <c r="C329">
        <f t="shared" ca="1" si="16"/>
        <v>0</v>
      </c>
      <c r="D329" t="str">
        <f t="shared" ca="1" si="17"/>
        <v/>
      </c>
      <c r="E329" t="s">
        <v>377</v>
      </c>
    </row>
    <row r="330" spans="1:5" x14ac:dyDescent="0.2">
      <c r="A330" t="e" cm="1" vm="1">
        <f t="array" aca="1" ref="A330" ca="1">_xlfn.VALUETOTEXT(1.5,{1;2})</f>
        <v>#VALUE!</v>
      </c>
      <c r="B330">
        <f t="shared" ca="1" si="15"/>
        <v>9</v>
      </c>
      <c r="C330">
        <f t="shared" ca="1" si="16"/>
        <v>0</v>
      </c>
      <c r="D330" t="str">
        <f t="shared" ca="1" si="17"/>
        <v/>
      </c>
      <c r="E330" t="s">
        <v>378</v>
      </c>
    </row>
    <row r="331" spans="1:5" x14ac:dyDescent="0.2">
      <c r="A331" cm="1">
        <f t="array" ref="A331">VAR(D!B1:B2,2,4)</f>
        <v>6.333333333333333</v>
      </c>
      <c r="B331">
        <f t="shared" si="15"/>
        <v>0</v>
      </c>
      <c r="C331">
        <f t="shared" si="16"/>
        <v>6.333333333333333</v>
      </c>
      <c r="D331" t="str">
        <f t="shared" si="17"/>
        <v/>
      </c>
      <c r="E331" t="s">
        <v>379</v>
      </c>
    </row>
    <row r="332" spans="1:5" x14ac:dyDescent="0.2">
      <c r="A332" cm="1">
        <f t="array" ref="A332">VAR({1;2},2,4)</f>
        <v>1.5833333333333333</v>
      </c>
      <c r="B332">
        <f t="shared" si="15"/>
        <v>0</v>
      </c>
      <c r="C332">
        <f t="shared" si="16"/>
        <v>1.5833333333333333</v>
      </c>
      <c r="D332" t="str">
        <f t="shared" si="17"/>
        <v/>
      </c>
      <c r="E332" t="s">
        <v>380</v>
      </c>
    </row>
    <row r="333" spans="1:5" x14ac:dyDescent="0.2">
      <c r="A333" cm="1">
        <f t="array" ref="A333">VAR(1,D!B1:B2,4)</f>
        <v>8.25</v>
      </c>
      <c r="B333">
        <f t="shared" si="15"/>
        <v>0</v>
      </c>
      <c r="C333">
        <f t="shared" si="16"/>
        <v>8.25</v>
      </c>
      <c r="D333" t="str">
        <f t="shared" si="17"/>
        <v/>
      </c>
      <c r="E333" t="s">
        <v>381</v>
      </c>
    </row>
    <row r="334" spans="1:5" x14ac:dyDescent="0.2">
      <c r="A334" cm="1">
        <f t="array" ref="A334">VAR(1,{1;2},4)</f>
        <v>2</v>
      </c>
      <c r="B334">
        <f t="shared" si="15"/>
        <v>0</v>
      </c>
      <c r="C334">
        <f t="shared" si="16"/>
        <v>2</v>
      </c>
      <c r="D334" t="str">
        <f t="shared" si="17"/>
        <v/>
      </c>
      <c r="E334" t="s">
        <v>382</v>
      </c>
    </row>
    <row r="335" spans="1:5" x14ac:dyDescent="0.2">
      <c r="A335" cm="1">
        <f t="array" ref="A335">VAR(1,2,D!B1:B2)</f>
        <v>9.5833333333333339</v>
      </c>
      <c r="B335">
        <f t="shared" si="15"/>
        <v>0</v>
      </c>
      <c r="C335">
        <f t="shared" si="16"/>
        <v>9.5833333333333339</v>
      </c>
      <c r="D335" t="str">
        <f t="shared" si="17"/>
        <v/>
      </c>
      <c r="E335" t="s">
        <v>383</v>
      </c>
    </row>
    <row r="336" spans="1:5" x14ac:dyDescent="0.2">
      <c r="A336" cm="1">
        <f t="array" ref="A336">VAR(1,2,{1;2})</f>
        <v>0.33333333333333331</v>
      </c>
      <c r="B336">
        <f t="shared" si="15"/>
        <v>0</v>
      </c>
      <c r="C336">
        <f t="shared" si="16"/>
        <v>0.33333333333333331</v>
      </c>
      <c r="D336" t="str">
        <f t="shared" si="17"/>
        <v/>
      </c>
      <c r="E336" t="s">
        <v>384</v>
      </c>
    </row>
    <row r="337" spans="1:5" x14ac:dyDescent="0.2">
      <c r="A337" t="e" cm="1" vm="1">
        <f t="array" aca="1" ref="A337" ca="1">VLOOKUP(D!B1:B2,D!L1:N6,2,FALSE)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385</v>
      </c>
    </row>
    <row r="338" spans="1:5" x14ac:dyDescent="0.2">
      <c r="A338" t="e" cm="1" vm="1">
        <f t="array" aca="1" ref="A338" ca="1">VLOOKUP({1;2},D!L1:N6,2,FALSE)</f>
        <v>#VALUE!</v>
      </c>
      <c r="B338">
        <f t="shared" ca="1" si="15"/>
        <v>9</v>
      </c>
      <c r="C338">
        <f t="shared" ca="1" si="16"/>
        <v>0</v>
      </c>
      <c r="D338" t="str">
        <f t="shared" ca="1" si="17"/>
        <v/>
      </c>
      <c r="E338" t="s">
        <v>386</v>
      </c>
    </row>
    <row r="339" spans="1:5" x14ac:dyDescent="0.2">
      <c r="A339" t="e" cm="1">
        <f t="array" ref="A339">VLOOKUP(5,D!L1:N6,D!B1:B2,FALSE)</f>
        <v>#REF!</v>
      </c>
      <c r="B339">
        <f t="shared" si="15"/>
        <v>4</v>
      </c>
      <c r="C339">
        <f t="shared" si="16"/>
        <v>0</v>
      </c>
      <c r="D339" t="str">
        <f t="shared" si="17"/>
        <v/>
      </c>
      <c r="E339" t="s">
        <v>387</v>
      </c>
    </row>
    <row r="340" spans="1:5" x14ac:dyDescent="0.2">
      <c r="A340" t="e" cm="1" vm="1">
        <f t="array" aca="1" ref="A340" ca="1">VLOOKUP(5,D!L1:N6,{1;2},FALSE)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388</v>
      </c>
    </row>
    <row r="341" spans="1:5" x14ac:dyDescent="0.2">
      <c r="A341" t="e" cm="1" vm="1">
        <f t="array" aca="1" ref="A341" ca="1">VLOOKUP(5,D!L1:N6,2,D!B1:B2)</f>
        <v>#VALUE!</v>
      </c>
      <c r="B341">
        <f t="shared" ca="1" si="15"/>
        <v>9</v>
      </c>
      <c r="C341">
        <f t="shared" ca="1" si="16"/>
        <v>0</v>
      </c>
      <c r="D341" t="str">
        <f t="shared" ca="1" si="17"/>
        <v/>
      </c>
      <c r="E341" t="s">
        <v>389</v>
      </c>
    </row>
    <row r="342" spans="1:5" x14ac:dyDescent="0.2">
      <c r="A342" t="e" cm="1" vm="1">
        <f t="array" aca="1" ref="A342" ca="1">VLOOKUP(5,D!L1:N6,2,{1;2})</f>
        <v>#VALUE!</v>
      </c>
      <c r="B342">
        <f t="shared" ca="1" si="15"/>
        <v>9</v>
      </c>
      <c r="C342">
        <f t="shared" ca="1" si="16"/>
        <v>0</v>
      </c>
      <c r="D342" t="str">
        <f t="shared" ca="1" si="17"/>
        <v/>
      </c>
      <c r="E342" t="s">
        <v>390</v>
      </c>
    </row>
    <row r="343" spans="1:5" x14ac:dyDescent="0.2">
      <c r="A343" t="e" cm="1" vm="1">
        <f t="array" aca="1" ref="A343" ca="1">WEEKDAY(D!B1:B2)</f>
        <v>#VALUE!</v>
      </c>
      <c r="B343">
        <f t="shared" ca="1" si="15"/>
        <v>9</v>
      </c>
      <c r="C343">
        <f t="shared" ca="1" si="16"/>
        <v>0</v>
      </c>
      <c r="D343" t="str">
        <f t="shared" ca="1" si="17"/>
        <v/>
      </c>
      <c r="E343" t="s">
        <v>391</v>
      </c>
    </row>
    <row r="344" spans="1:5" x14ac:dyDescent="0.2">
      <c r="A344" t="e" cm="1" vm="1">
        <f t="array" aca="1" ref="A344" ca="1">WEEKDAY({1;2})</f>
        <v>#VALUE!</v>
      </c>
      <c r="B344">
        <f t="shared" ca="1" si="15"/>
        <v>9</v>
      </c>
      <c r="C344">
        <f t="shared" ca="1" si="16"/>
        <v>0</v>
      </c>
      <c r="D344" t="str">
        <f t="shared" ca="1" si="17"/>
        <v/>
      </c>
      <c r="E344" t="s">
        <v>392</v>
      </c>
    </row>
    <row r="345" spans="1:5" x14ac:dyDescent="0.2">
      <c r="A345" t="e" cm="1">
        <f t="array" ref="A345">WEEKNUM(D!B1:B2)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393</v>
      </c>
    </row>
    <row r="346" spans="1:5" x14ac:dyDescent="0.2">
      <c r="A346" t="e" cm="1" vm="1">
        <f t="array" aca="1" ref="A346" ca="1">WEEKNUM({1;2})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394</v>
      </c>
    </row>
    <row r="347" spans="1:5" x14ac:dyDescent="0.2">
      <c r="A347" t="e" cm="1" vm="1">
        <f t="array" aca="1" ref="A347" ca="1">WEIBULL(D!B1:B2,20,100,TRUE)</f>
        <v>#VALUE!</v>
      </c>
      <c r="B347">
        <f t="shared" ca="1" si="15"/>
        <v>9</v>
      </c>
      <c r="C347">
        <f t="shared" ca="1" si="16"/>
        <v>0</v>
      </c>
      <c r="D347" t="str">
        <f t="shared" ca="1" si="17"/>
        <v/>
      </c>
      <c r="E347" t="s">
        <v>395</v>
      </c>
    </row>
    <row r="348" spans="1:5" x14ac:dyDescent="0.2">
      <c r="A348" t="e" cm="1" vm="1">
        <f t="array" aca="1" ref="A348" ca="1">WEIBULL({1;2},20,100,TRUE)</f>
        <v>#VALUE!</v>
      </c>
      <c r="B348">
        <f t="shared" ca="1" si="15"/>
        <v>9</v>
      </c>
      <c r="C348">
        <f t="shared" ca="1" si="16"/>
        <v>0</v>
      </c>
      <c r="D348" t="str">
        <f t="shared" ca="1" si="17"/>
        <v/>
      </c>
      <c r="E348" t="s">
        <v>396</v>
      </c>
    </row>
    <row r="349" spans="1:5" x14ac:dyDescent="0.2">
      <c r="A349" t="e" cm="1" vm="1">
        <f t="array" aca="1" ref="A349" ca="1">WEIBULL(105,D!B1:B2,100,TRUE)</f>
        <v>#VALUE!</v>
      </c>
      <c r="B349">
        <f t="shared" ca="1" si="15"/>
        <v>9</v>
      </c>
      <c r="C349">
        <f t="shared" ca="1" si="16"/>
        <v>0</v>
      </c>
      <c r="D349" t="str">
        <f t="shared" ca="1" si="17"/>
        <v/>
      </c>
      <c r="E349" t="s">
        <v>397</v>
      </c>
    </row>
    <row r="350" spans="1:5" x14ac:dyDescent="0.2">
      <c r="A350" t="e" cm="1" vm="1">
        <f t="array" aca="1" ref="A350" ca="1">WEIBULL(105,{1;2},100,TRUE)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398</v>
      </c>
    </row>
    <row r="351" spans="1:5" x14ac:dyDescent="0.2">
      <c r="A351" t="e" cm="1" vm="1">
        <f t="array" aca="1" ref="A351" ca="1">WEIBULL(105,20,D!B1:B2,TRUE)</f>
        <v>#VALUE!</v>
      </c>
      <c r="B351">
        <f t="shared" ca="1" si="15"/>
        <v>9</v>
      </c>
      <c r="C351">
        <f t="shared" ca="1" si="16"/>
        <v>0</v>
      </c>
      <c r="D351" t="str">
        <f t="shared" ca="1" si="17"/>
        <v/>
      </c>
      <c r="E351" t="s">
        <v>399</v>
      </c>
    </row>
    <row r="352" spans="1:5" x14ac:dyDescent="0.2">
      <c r="A352" t="e" cm="1" vm="1">
        <f t="array" aca="1" ref="A352" ca="1">WEIBULL(105,20,{1;2},TRUE)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400</v>
      </c>
    </row>
    <row r="353" spans="1:5" x14ac:dyDescent="0.2">
      <c r="A353" t="e" cm="1" vm="1">
        <f t="array" aca="1" ref="A353" ca="1">WEIBULL(105,20,100,D!B1:B2)</f>
        <v>#VALUE!</v>
      </c>
      <c r="B353">
        <f t="shared" ca="1" si="15"/>
        <v>9</v>
      </c>
      <c r="C353">
        <f t="shared" ca="1" si="16"/>
        <v>0</v>
      </c>
      <c r="D353" t="str">
        <f t="shared" ca="1" si="17"/>
        <v/>
      </c>
      <c r="E353" t="s">
        <v>401</v>
      </c>
    </row>
    <row r="354" spans="1:5" x14ac:dyDescent="0.2">
      <c r="A354" t="e" cm="1" vm="1">
        <f t="array" aca="1" ref="A354" ca="1">WEIBULL(105,20,100,{1;2})</f>
        <v>#VALUE!</v>
      </c>
      <c r="B354">
        <f t="shared" ca="1" si="15"/>
        <v>9</v>
      </c>
      <c r="C354">
        <f t="shared" ca="1" si="16"/>
        <v>0</v>
      </c>
      <c r="D354" t="str">
        <f t="shared" ca="1" si="17"/>
        <v/>
      </c>
      <c r="E354" t="s">
        <v>402</v>
      </c>
    </row>
    <row r="355" spans="1:5" x14ac:dyDescent="0.2">
      <c r="A355" t="e" cm="1" vm="1">
        <f t="array" aca="1" ref="A355" ca="1">_xlfn.WEIBULL.DIST(D!B1:B2,20,100,TRUE)</f>
        <v>#VALUE!</v>
      </c>
      <c r="B355">
        <f t="shared" ca="1" si="15"/>
        <v>9</v>
      </c>
      <c r="C355">
        <f t="shared" ca="1" si="16"/>
        <v>0</v>
      </c>
      <c r="D355" t="str">
        <f t="shared" ca="1" si="17"/>
        <v/>
      </c>
      <c r="E355" t="s">
        <v>403</v>
      </c>
    </row>
    <row r="356" spans="1:5" x14ac:dyDescent="0.2">
      <c r="A356" t="e" cm="1" vm="1">
        <f t="array" aca="1" ref="A356" ca="1">_xlfn.WEIBULL.DIST({1;2},20,100,TRUE)</f>
        <v>#VALUE!</v>
      </c>
      <c r="B356">
        <f t="shared" ca="1" si="15"/>
        <v>9</v>
      </c>
      <c r="C356">
        <f t="shared" ca="1" si="16"/>
        <v>0</v>
      </c>
      <c r="D356" t="str">
        <f t="shared" ca="1" si="17"/>
        <v/>
      </c>
      <c r="E356" t="s">
        <v>404</v>
      </c>
    </row>
    <row r="357" spans="1:5" x14ac:dyDescent="0.2">
      <c r="A357" t="e" cm="1" vm="1">
        <f t="array" aca="1" ref="A357" ca="1">_xlfn.WEIBULL.DIST(105,D!B1:B2,100,TRUE)</f>
        <v>#VALUE!</v>
      </c>
      <c r="B357">
        <f t="shared" ca="1" si="15"/>
        <v>9</v>
      </c>
      <c r="C357">
        <f t="shared" ca="1" si="16"/>
        <v>0</v>
      </c>
      <c r="D357" t="str">
        <f t="shared" ca="1" si="17"/>
        <v/>
      </c>
      <c r="E357" t="s">
        <v>405</v>
      </c>
    </row>
    <row r="358" spans="1:5" x14ac:dyDescent="0.2">
      <c r="A358" t="e" cm="1" vm="1">
        <f t="array" aca="1" ref="A358" ca="1">_xlfn.WEIBULL.DIST(105,{1;2},100,TRUE)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406</v>
      </c>
    </row>
    <row r="359" spans="1:5" x14ac:dyDescent="0.2">
      <c r="A359" t="e" cm="1" vm="1">
        <f t="array" aca="1" ref="A359" ca="1">_xlfn.WEIBULL.DIST(105,20,D!B1:B2,TRUE)</f>
        <v>#VALUE!</v>
      </c>
      <c r="B359">
        <f t="shared" ca="1" si="15"/>
        <v>9</v>
      </c>
      <c r="C359">
        <f t="shared" ca="1" si="16"/>
        <v>0</v>
      </c>
      <c r="D359" t="str">
        <f t="shared" ca="1" si="17"/>
        <v/>
      </c>
      <c r="E359" t="s">
        <v>407</v>
      </c>
    </row>
    <row r="360" spans="1:5" x14ac:dyDescent="0.2">
      <c r="A360" t="e" cm="1" vm="1">
        <f t="array" aca="1" ref="A360" ca="1">_xlfn.WEIBULL.DIST(105,20,{1;2},TRUE)</f>
        <v>#VALUE!</v>
      </c>
      <c r="B360">
        <f t="shared" ca="1" si="15"/>
        <v>9</v>
      </c>
      <c r="C360">
        <f t="shared" ca="1" si="16"/>
        <v>0</v>
      </c>
      <c r="D360" t="str">
        <f t="shared" ca="1" si="17"/>
        <v/>
      </c>
      <c r="E360" t="s">
        <v>408</v>
      </c>
    </row>
    <row r="361" spans="1:5" x14ac:dyDescent="0.2">
      <c r="A361" t="e" cm="1" vm="1">
        <f t="array" aca="1" ref="A361" ca="1">_xlfn.WEIBULL.DIST(105,20,100,D!B1:B2)</f>
        <v>#VALUE!</v>
      </c>
      <c r="B361">
        <f t="shared" ca="1" si="15"/>
        <v>9</v>
      </c>
      <c r="C361">
        <f t="shared" ca="1" si="16"/>
        <v>0</v>
      </c>
      <c r="D361" t="str">
        <f t="shared" ca="1" si="17"/>
        <v/>
      </c>
      <c r="E361" t="s">
        <v>409</v>
      </c>
    </row>
    <row r="362" spans="1:5" x14ac:dyDescent="0.2">
      <c r="A362" t="e" cm="1" vm="1">
        <f t="array" aca="1" ref="A362" ca="1">_xlfn.WEIBULL.DIST(105,20,100,{1;2})</f>
        <v>#VALUE!</v>
      </c>
      <c r="B362">
        <f t="shared" ca="1" si="15"/>
        <v>9</v>
      </c>
      <c r="C362">
        <f t="shared" ca="1" si="16"/>
        <v>0</v>
      </c>
      <c r="D362" t="str">
        <f t="shared" ca="1" si="17"/>
        <v/>
      </c>
      <c r="E362" t="s">
        <v>410</v>
      </c>
    </row>
    <row r="363" spans="1:5" x14ac:dyDescent="0.2">
      <c r="A363" t="e" cm="1">
        <f t="array" ref="A363">WORKDAY(D!B1:B2,151)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411</v>
      </c>
    </row>
    <row r="364" spans="1:5" x14ac:dyDescent="0.2">
      <c r="A364" t="e" cm="1" vm="1">
        <f t="array" aca="1" ref="A364" ca="1">WORKDAY({1;2},151)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412</v>
      </c>
    </row>
    <row r="365" spans="1:5" x14ac:dyDescent="0.2">
      <c r="A365" t="e" cm="1">
        <f t="array" ref="A365">WORKDAY(39722,D!B1:B2)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413</v>
      </c>
    </row>
    <row r="366" spans="1:5" x14ac:dyDescent="0.2">
      <c r="A366" t="e" cm="1" vm="1">
        <f t="array" aca="1" ref="A366" ca="1">WORKDAY(39722,{1;2})</f>
        <v>#VALUE!</v>
      </c>
      <c r="B366">
        <f t="shared" ca="1" si="15"/>
        <v>9</v>
      </c>
      <c r="C366">
        <f t="shared" ca="1" si="16"/>
        <v>0</v>
      </c>
      <c r="D366" t="str">
        <f t="shared" ca="1" si="17"/>
        <v/>
      </c>
      <c r="E366" t="s">
        <v>414</v>
      </c>
    </row>
    <row r="367" spans="1:5" x14ac:dyDescent="0.2">
      <c r="A367" t="e" cm="1">
        <f t="array" ref="A367">WORKDAY.INTL(D!B1:B2,90,11)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415</v>
      </c>
    </row>
    <row r="368" spans="1:5" x14ac:dyDescent="0.2">
      <c r="A368" t="e" cm="1" vm="1">
        <f t="array" aca="1" ref="A368" ca="1">WORKDAY.INTL({1;2},90,11)</f>
        <v>#VALUE!</v>
      </c>
      <c r="B368">
        <f t="shared" ca="1" si="15"/>
        <v>9</v>
      </c>
      <c r="C368">
        <f t="shared" ca="1" si="16"/>
        <v>0</v>
      </c>
      <c r="D368" t="str">
        <f t="shared" ca="1" si="17"/>
        <v/>
      </c>
      <c r="E368" t="s">
        <v>416</v>
      </c>
    </row>
    <row r="369" spans="1:5" x14ac:dyDescent="0.2">
      <c r="A369" t="e" cm="1">
        <f t="array" ref="A369">WORKDAY.INTL(40909,D!B1:B2,11)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417</v>
      </c>
    </row>
    <row r="370" spans="1:5" x14ac:dyDescent="0.2">
      <c r="A370" t="e" cm="1" vm="1">
        <f t="array" aca="1" ref="A370" ca="1">WORKDAY.INTL(40909,{1;2},11)</f>
        <v>#VALUE!</v>
      </c>
      <c r="B370">
        <f t="shared" ca="1" si="15"/>
        <v>9</v>
      </c>
      <c r="C370">
        <f t="shared" ca="1" si="16"/>
        <v>0</v>
      </c>
      <c r="D370" t="str">
        <f t="shared" ca="1" si="17"/>
        <v/>
      </c>
      <c r="E370" t="s">
        <v>418</v>
      </c>
    </row>
    <row r="371" spans="1:5" x14ac:dyDescent="0.2">
      <c r="A371" t="e" cm="1" vm="1">
        <f t="array" aca="1" ref="A371" ca="1">WORKDAY.INTL(40909,90,D!B1:B2)</f>
        <v>#VALUE!</v>
      </c>
      <c r="B371">
        <f t="shared" ca="1" si="15"/>
        <v>9</v>
      </c>
      <c r="C371">
        <f t="shared" ca="1" si="16"/>
        <v>0</v>
      </c>
      <c r="D371" t="str">
        <f t="shared" ca="1" si="17"/>
        <v/>
      </c>
      <c r="E371" t="s">
        <v>419</v>
      </c>
    </row>
    <row r="372" spans="1:5" x14ac:dyDescent="0.2">
      <c r="A372" t="e" cm="1" vm="1">
        <f t="array" aca="1" ref="A372" ca="1">WORKDAY.INTL(40909,90,{1;2})</f>
        <v>#VALUE!</v>
      </c>
      <c r="B372">
        <f t="shared" ca="1" si="15"/>
        <v>9</v>
      </c>
      <c r="C372">
        <f t="shared" ca="1" si="16"/>
        <v>0</v>
      </c>
      <c r="D372" t="str">
        <f t="shared" ca="1" si="17"/>
        <v/>
      </c>
      <c r="E372" t="s">
        <v>420</v>
      </c>
    </row>
    <row r="373" spans="1:5" x14ac:dyDescent="0.2">
      <c r="A373" t="e" cm="1" vm="1">
        <f t="array" aca="1" ref="A373" ca="1">_xlfn.XLOOKUP(D!B1:B2,D!L1:L6,D!M1:M6)</f>
        <v>#VALUE!</v>
      </c>
      <c r="B373">
        <f t="shared" ca="1" si="15"/>
        <v>9</v>
      </c>
      <c r="C373">
        <f t="shared" ca="1" si="16"/>
        <v>0</v>
      </c>
      <c r="D373" t="str">
        <f t="shared" ca="1" si="17"/>
        <v/>
      </c>
      <c r="E373" t="s">
        <v>421</v>
      </c>
    </row>
    <row r="374" spans="1:5" x14ac:dyDescent="0.2">
      <c r="A374" t="e" cm="1" vm="1">
        <f t="array" aca="1" ref="A374" ca="1">_xlfn.XLOOKUP({1;2},D!L1:L6,D!M1:M6)</f>
        <v>#VALUE!</v>
      </c>
      <c r="B374">
        <f t="shared" ca="1" si="15"/>
        <v>9</v>
      </c>
      <c r="C374">
        <f t="shared" ca="1" si="16"/>
        <v>0</v>
      </c>
      <c r="D374" t="str">
        <f t="shared" ca="1" si="17"/>
        <v/>
      </c>
      <c r="E374" t="s">
        <v>422</v>
      </c>
    </row>
    <row r="375" spans="1:5" x14ac:dyDescent="0.2">
      <c r="A375" t="e" cm="1" vm="1">
        <f t="array" aca="1" ref="A375" ca="1">_xlfn.XMATCH(D!B1:B2,D!L1:L6)</f>
        <v>#VALUE!</v>
      </c>
      <c r="B375">
        <f t="shared" ca="1" si="15"/>
        <v>9</v>
      </c>
      <c r="C375">
        <f t="shared" ca="1" si="16"/>
        <v>0</v>
      </c>
      <c r="D375" t="str">
        <f t="shared" ca="1" si="17"/>
        <v/>
      </c>
      <c r="E375" t="s">
        <v>423</v>
      </c>
    </row>
    <row r="376" spans="1:5" x14ac:dyDescent="0.2">
      <c r="A376" t="e" cm="1" vm="1">
        <f t="array" aca="1" ref="A376" ca="1">_xlfn.XMATCH({1;2},D!L1:L6)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424</v>
      </c>
    </row>
    <row r="377" spans="1:5" x14ac:dyDescent="0.2">
      <c r="A377" t="e" cm="1">
        <f t="array" ref="A377">XNPV(D!B1:B2,D!J1:J5,D!AU1:AU5)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425</v>
      </c>
    </row>
    <row r="378" spans="1:5" x14ac:dyDescent="0.2">
      <c r="A378" t="e" cm="1" vm="1">
        <f t="array" aca="1" ref="A378" ca="1">XNPV({1;2},D!J1:J5,D!AU1:AU5)</f>
        <v>#VALUE!</v>
      </c>
      <c r="B378">
        <f t="shared" ca="1" si="15"/>
        <v>9</v>
      </c>
      <c r="C378">
        <f t="shared" ca="1" si="16"/>
        <v>0</v>
      </c>
      <c r="D378" t="str">
        <f t="shared" ca="1" si="17"/>
        <v/>
      </c>
      <c r="E378" t="s">
        <v>426</v>
      </c>
    </row>
    <row r="379" spans="1:5" x14ac:dyDescent="0.2">
      <c r="A379" t="b" cm="1">
        <f t="array" ref="A379">_xlfn.XOR(D!B1:B2,FALSE)</f>
        <v>0</v>
      </c>
      <c r="B379">
        <f t="shared" si="15"/>
        <v>-2</v>
      </c>
      <c r="C379">
        <f t="shared" si="16"/>
        <v>0</v>
      </c>
      <c r="D379" t="str">
        <f t="shared" si="17"/>
        <v/>
      </c>
      <c r="E379" t="s">
        <v>427</v>
      </c>
    </row>
    <row r="380" spans="1:5" x14ac:dyDescent="0.2">
      <c r="A380" t="b" cm="1">
        <f t="array" ref="A380">_xlfn.XOR({1;2},FALSE)</f>
        <v>0</v>
      </c>
      <c r="B380">
        <f t="shared" si="15"/>
        <v>-2</v>
      </c>
      <c r="C380">
        <f t="shared" si="16"/>
        <v>0</v>
      </c>
      <c r="D380" t="str">
        <f t="shared" si="17"/>
        <v/>
      </c>
      <c r="E380" t="s">
        <v>428</v>
      </c>
    </row>
    <row r="381" spans="1:5" x14ac:dyDescent="0.2">
      <c r="A381" t="b" cm="1">
        <f t="array" ref="A381">_xlfn.XOR(TRUE,D!B1:B2)</f>
        <v>1</v>
      </c>
      <c r="B381">
        <f t="shared" si="15"/>
        <v>-1</v>
      </c>
      <c r="C381">
        <f t="shared" si="16"/>
        <v>0</v>
      </c>
      <c r="D381" t="str">
        <f t="shared" si="17"/>
        <v/>
      </c>
      <c r="E381" t="s">
        <v>429</v>
      </c>
    </row>
    <row r="382" spans="1:5" x14ac:dyDescent="0.2">
      <c r="A382" t="b" cm="1">
        <f t="array" ref="A382">_xlfn.XOR(TRUE,{1;2})</f>
        <v>1</v>
      </c>
      <c r="B382">
        <f t="shared" si="15"/>
        <v>-1</v>
      </c>
      <c r="C382">
        <f t="shared" si="16"/>
        <v>0</v>
      </c>
      <c r="D382" t="str">
        <f t="shared" si="17"/>
        <v/>
      </c>
      <c r="E382" t="s">
        <v>430</v>
      </c>
    </row>
    <row r="383" spans="1:5" x14ac:dyDescent="0.2">
      <c r="A383" t="e" cm="1" vm="1">
        <f t="array" aca="1" ref="A383" ca="1">YEAR(D!B1:B2)</f>
        <v>#VALUE!</v>
      </c>
      <c r="B383">
        <f t="shared" ca="1" si="15"/>
        <v>9</v>
      </c>
      <c r="C383">
        <f t="shared" ca="1" si="16"/>
        <v>0</v>
      </c>
      <c r="D383" t="str">
        <f t="shared" ca="1" si="17"/>
        <v/>
      </c>
      <c r="E383" t="s">
        <v>431</v>
      </c>
    </row>
    <row r="384" spans="1:5" x14ac:dyDescent="0.2">
      <c r="A384" t="e" cm="1" vm="1">
        <f t="array" aca="1" ref="A384" ca="1">YEAR({1;2})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432</v>
      </c>
    </row>
    <row r="385" spans="1:5" x14ac:dyDescent="0.2">
      <c r="A385" t="e" cm="1">
        <f t="array" ref="A385">YEARFRAC(D!B1:B2,41120)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433</v>
      </c>
    </row>
    <row r="386" spans="1:5" x14ac:dyDescent="0.2">
      <c r="A386" t="e" cm="1" vm="1">
        <f t="array" aca="1" ref="A386" ca="1">YEARFRAC({1;2},41120)</f>
        <v>#VALUE!</v>
      </c>
      <c r="B386">
        <f t="shared" ca="1" si="18"/>
        <v>9</v>
      </c>
      <c r="C386">
        <f t="shared" ca="1" si="19"/>
        <v>0</v>
      </c>
      <c r="D386" t="str">
        <f t="shared" ca="1" si="20"/>
        <v/>
      </c>
      <c r="E386" t="s">
        <v>434</v>
      </c>
    </row>
    <row r="387" spans="1:5" x14ac:dyDescent="0.2">
      <c r="A387" t="e" cm="1">
        <f t="array" ref="A387">YEARFRAC(40909,D!B1:B2)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435</v>
      </c>
    </row>
    <row r="388" spans="1:5" x14ac:dyDescent="0.2">
      <c r="A388" t="e" cm="1" vm="1">
        <f t="array" aca="1" ref="A388" ca="1">YEARFRAC(40909,{1;2})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436</v>
      </c>
    </row>
    <row r="389" spans="1:5" x14ac:dyDescent="0.2">
      <c r="A389" t="e" cm="1">
        <f t="array" ref="A389">YIELD(D!B1:B2,DATE(2016,11,15),0.0575,95.04287,100,2,0)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437</v>
      </c>
    </row>
    <row r="390" spans="1:5" x14ac:dyDescent="0.2">
      <c r="A390" t="e" cm="1" vm="1">
        <f t="array" aca="1" ref="A390" ca="1">YIELD({1;2},DATE(2016,11,15),0.0575,95.04287,100,2,0)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438</v>
      </c>
    </row>
    <row r="391" spans="1:5" x14ac:dyDescent="0.2">
      <c r="A391" t="e" cm="1">
        <f t="array" ref="A391">YIELD(DATE(2008,2,15),D!B1:B2,0.0575,95.04287,100,2,0)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439</v>
      </c>
    </row>
    <row r="392" spans="1:5" x14ac:dyDescent="0.2">
      <c r="A392" t="e" cm="1" vm="1">
        <f t="array" aca="1" ref="A392" ca="1">YIELD(DATE(2008,2,15),{1;2},0.0575,95.04287,100,2,0)</f>
        <v>#VALUE!</v>
      </c>
      <c r="B392">
        <f t="shared" ca="1" si="18"/>
        <v>9</v>
      </c>
      <c r="C392">
        <f t="shared" ca="1" si="19"/>
        <v>0</v>
      </c>
      <c r="D392" t="str">
        <f t="shared" ca="1" si="20"/>
        <v/>
      </c>
      <c r="E392" t="s">
        <v>440</v>
      </c>
    </row>
    <row r="393" spans="1:5" x14ac:dyDescent="0.2">
      <c r="A393" t="e" cm="1">
        <f t="array" ref="A393">YIELD(DATE(2008,2,15),DATE(2016,11,15),D!B1:B2,95.04287,100,2,0)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441</v>
      </c>
    </row>
    <row r="394" spans="1:5" x14ac:dyDescent="0.2">
      <c r="A394" t="e" cm="1" vm="1">
        <f t="array" aca="1" ref="A394" ca="1">YIELD(DATE(2008,2,15),DATE(2016,11,15),{1;2},95.04287,100,2,0)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442</v>
      </c>
    </row>
    <row r="395" spans="1:5" x14ac:dyDescent="0.2">
      <c r="A395" t="e" cm="1">
        <f t="array" ref="A395">YIELD(DATE(2008,2,15),DATE(2016,11,15),0.0575,D!B1:B2,100,2,0)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443</v>
      </c>
    </row>
    <row r="396" spans="1:5" x14ac:dyDescent="0.2">
      <c r="A396" t="e" cm="1" vm="1">
        <f t="array" aca="1" ref="A396" ca="1">YIELD(DATE(2008,2,15),DATE(2016,11,15),0.0575,{1;2},100,2,0)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e" cm="1">
        <f t="array" ref="A397">YIELD(DATE(2008,2,15),DATE(2016,11,15),0.0575,95.04287,D!B1:B2,2,0)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445</v>
      </c>
    </row>
    <row r="398" spans="1:5" x14ac:dyDescent="0.2">
      <c r="A398" t="e" cm="1" vm="1">
        <f t="array" aca="1" ref="A398" ca="1">YIELD(DATE(2008,2,15),DATE(2016,11,15),0.0575,95.04287,{1;2},2,0)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t="e" cm="1">
        <f t="array" ref="A399">YIELD(DATE(2008,2,15),DATE(2016,11,15),0.0575,95.04287,100,D!B1:B2,0)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447</v>
      </c>
    </row>
    <row r="400" spans="1:5" x14ac:dyDescent="0.2">
      <c r="A400" t="e" cm="1" vm="1">
        <f t="array" aca="1" ref="A400" ca="1">YIELD(DATE(2008,2,15),DATE(2016,11,15),0.0575,95.04287,100,{1;2},0)</f>
        <v>#VALUE!</v>
      </c>
      <c r="B400">
        <f t="shared" ca="1" si="18"/>
        <v>9</v>
      </c>
      <c r="C400">
        <f t="shared" ca="1" si="19"/>
        <v>0</v>
      </c>
      <c r="D400" t="str">
        <f t="shared" ca="1" si="20"/>
        <v/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2026-10-07T08:57:42Z</dcterms:created>
  <dcterms:modified xsi:type="dcterms:W3CDTF">2026-10-07T08:57:43Z</dcterms:modified>
  <cp:category/>
</cp:coreProperties>
</file>