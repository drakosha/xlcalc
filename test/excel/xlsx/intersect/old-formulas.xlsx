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4374/"/>
    </mc:Choice>
  </mc:AlternateContent>
  <xr:revisionPtr revIDLastSave="0" documentId="8_{39DD01FE-4302-884F-B0E3-646F80EF3A0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definedNames>
    <definedName name="one">S!$C$1</definedName>
    <definedName name="span">S!$C$1:$C$3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2" i="1" l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A10"/>
  <sheetViews>
    <sheetView tabSelected="1" workbookViewId="0"/>
  </sheetViews>
  <sheetFormatPr baseColWidth="10" defaultColWidth="8.83203125" defaultRowHeight="16" x14ac:dyDescent="0.2"/>
  <sheetData>
    <row r="1" spans="3:79" x14ac:dyDescent="0.2">
      <c r="C1">
        <v>1</v>
      </c>
      <c r="D1">
        <v>2</v>
      </c>
      <c r="E1">
        <v>3</v>
      </c>
    </row>
    <row r="2" spans="3:79" x14ac:dyDescent="0.2">
      <c r="C2">
        <v>2</v>
      </c>
      <c r="D2">
        <v>4</v>
      </c>
      <c r="E2">
        <v>6</v>
      </c>
      <c r="G2">
        <f>C1:C3*2</f>
        <v>4</v>
      </c>
      <c r="H2">
        <f>C1:C3</f>
        <v>2</v>
      </c>
      <c r="I2">
        <f>-C1:C3</f>
        <v>-2</v>
      </c>
      <c r="J2">
        <f>C1:C3%</f>
        <v>0.02</v>
      </c>
      <c r="K2" t="str">
        <f>C1:C3&amp;"x"</f>
        <v>2x</v>
      </c>
      <c r="L2" t="b">
        <f>C1:C3=1</f>
        <v>0</v>
      </c>
      <c r="M2">
        <f>(C1:C3)</f>
        <v>2</v>
      </c>
      <c r="N2">
        <f>C1*2</f>
        <v>2</v>
      </c>
      <c r="O2">
        <f>C:C+0</f>
        <v>2</v>
      </c>
      <c r="P2">
        <f>1:1+0</f>
        <v>0</v>
      </c>
      <c r="Q2">
        <f>SUM(C1:C3)</f>
        <v>6</v>
      </c>
      <c r="R2">
        <f>SUM(C1:C3*2)</f>
        <v>4</v>
      </c>
      <c r="S2">
        <f>SUMPRODUCT(C1:C3*2)</f>
        <v>12</v>
      </c>
      <c r="T2">
        <f>ABS(C1:C3)</f>
        <v>2</v>
      </c>
      <c r="U2">
        <f>ABS(C1)</f>
        <v>1</v>
      </c>
      <c r="V2" t="str">
        <f>LEFT(C1:C3,1)</f>
        <v>2</v>
      </c>
      <c r="W2">
        <f>DATE(C1:C3,1,1)</f>
        <v>732</v>
      </c>
      <c r="X2">
        <f>ROUND(C1:C3,1)</f>
        <v>2</v>
      </c>
      <c r="Y2">
        <f>COUNTIF(C1:C3,"&gt;0")</f>
        <v>3</v>
      </c>
      <c r="Z2">
        <f>COUNTIF(C1:C3,D1:D3)</f>
        <v>0</v>
      </c>
      <c r="AA2">
        <f>SUMIFS(C1:C3,D1:D3,"&gt;0")</f>
        <v>6</v>
      </c>
      <c r="AB2">
        <f>AVERAGE(C1:E3)</f>
        <v>4</v>
      </c>
      <c r="AC2">
        <f>MAX(C:C)</f>
        <v>10</v>
      </c>
      <c r="AD2">
        <f>COUNTA(C1:E10)</f>
        <v>30</v>
      </c>
      <c r="AE2">
        <f>INDEX(C1:E5,2,1)</f>
        <v>2</v>
      </c>
      <c r="AF2">
        <f>INDEX(C1:E5,0,1)</f>
        <v>2</v>
      </c>
      <c r="AG2">
        <f>INDEX(C1:C5,2)</f>
        <v>2</v>
      </c>
      <c r="AH2">
        <f>VLOOKUP(1,C1:E5,2,FALSE)</f>
        <v>2</v>
      </c>
      <c r="AI2">
        <f>HLOOKUP(1,C1:E5,2,FALSE)</f>
        <v>2</v>
      </c>
      <c r="AJ2">
        <f>MATCH(1,C1:C5,0)</f>
        <v>1</v>
      </c>
      <c r="AK2">
        <f>LOOKUP(1,C1:C5,D1:D5)</f>
        <v>2</v>
      </c>
      <c r="AL2">
        <f ca="1">OFFSET(C1,1,0)</f>
        <v>2</v>
      </c>
      <c r="AM2">
        <f ca="1">OFFSET(C1,0,0,2,1)</f>
        <v>2</v>
      </c>
      <c r="AN2">
        <f>ROW()</f>
        <v>2</v>
      </c>
      <c r="AO2">
        <f>ROW(C3)</f>
        <v>3</v>
      </c>
      <c r="AP2">
        <f>ROW(C1:C3)</f>
        <v>1</v>
      </c>
      <c r="AQ2">
        <f>COLUMN(D1)</f>
        <v>4</v>
      </c>
      <c r="AR2">
        <f>COLUMN(C1:E1)</f>
        <v>3</v>
      </c>
      <c r="AS2">
        <f>ROWS(C1:C3)</f>
        <v>3</v>
      </c>
      <c r="AT2">
        <f>TRANSPOSE(C1:C3)</f>
        <v>2</v>
      </c>
      <c r="AU2">
        <f>MMULT(C1:D2,C1:D2)</f>
        <v>5</v>
      </c>
      <c r="AV2">
        <f>IF(C1&gt;0,1,2)</f>
        <v>1</v>
      </c>
      <c r="AW2">
        <f>IF(C1:C3&gt;0,1,2)</f>
        <v>1</v>
      </c>
      <c r="AX2">
        <f>IF(TRUE,C1:C3)</f>
        <v>2</v>
      </c>
      <c r="AY2">
        <f>SUM(IF(C1:C3&gt;0,1,0))</f>
        <v>1</v>
      </c>
      <c r="AZ2">
        <f>SUM(IF(TRUE,C1:C3))</f>
        <v>6</v>
      </c>
      <c r="BA2">
        <f>IFERROR(C1:C3,0)</f>
        <v>2</v>
      </c>
      <c r="BB2">
        <f>IFERROR(C1,0)</f>
        <v>1</v>
      </c>
      <c r="BC2">
        <f>CHOOSE(1,C1:C3,D1:D3)</f>
        <v>2</v>
      </c>
      <c r="BD2">
        <f>N(C1:C3)</f>
        <v>1</v>
      </c>
      <c r="BE2" t="str">
        <f>T(C1:C3)</f>
        <v/>
      </c>
      <c r="BF2">
        <f>span*1</f>
        <v>2</v>
      </c>
      <c r="BG2">
        <f>one*1</f>
        <v>1</v>
      </c>
      <c r="BH2">
        <f>SUM(span)</f>
        <v>6</v>
      </c>
      <c r="BI2">
        <f>span</f>
        <v>2</v>
      </c>
      <c r="BJ2">
        <f>{1,2,3}</f>
        <v>1</v>
      </c>
      <c r="BK2">
        <f>{1,2}+0</f>
        <v>1</v>
      </c>
      <c r="BL2">
        <f>SUM({1,2})</f>
        <v>3</v>
      </c>
      <c r="BM2" t="b">
        <f>ISNUMBER(C1:C3)</f>
        <v>1</v>
      </c>
      <c r="BN2" t="b">
        <f>AND(C1:C3&gt;0)</f>
        <v>1</v>
      </c>
      <c r="BO2" t="str">
        <f>CONCATENATE(C1:C3)</f>
        <v>2</v>
      </c>
      <c r="BP2" t="str">
        <f>TEXT(C1:C3,"0")</f>
        <v>2</v>
      </c>
      <c r="BQ2">
        <f>MEDIAN(C1:C3)</f>
        <v>2</v>
      </c>
      <c r="BR2">
        <f>FREQUENCY(C1:C5,D1:D2)</f>
        <v>2</v>
      </c>
      <c r="BS2" t="e">
        <f>EOMONTH(C1:C3,0)</f>
        <v>#VALUE!</v>
      </c>
      <c r="BT2" t="e">
        <f>NETWORKDAYS(C1,C2:C3)</f>
        <v>#VALUE!</v>
      </c>
      <c r="BU2">
        <f>_xlfn.XLOOKUP(1,C1:C5,D1:D5)</f>
        <v>2</v>
      </c>
      <c r="BV2" t="e">
        <f>_xlfn.XLOOKUP(1,C1:C5,D1:E5)</f>
        <v>#VALUE!</v>
      </c>
      <c r="BW2">
        <f>_xlfn.SEQUENCE(3)</f>
        <v>1</v>
      </c>
      <c r="BX2">
        <f>_xlfn._xlws.SORT(C1:C3)</f>
        <v>1</v>
      </c>
      <c r="BY2">
        <f>_xlfn.UNIQUE(C1:C3)</f>
        <v>1</v>
      </c>
      <c r="BZ2">
        <f>_xlfn._xlws.FILTER(C1:C3,C1:C3&gt;1)</f>
        <v>2</v>
      </c>
      <c r="CA2" t="e">
        <f>C1:C3 D2:E2</f>
        <v>#NULL!</v>
      </c>
    </row>
    <row r="3" spans="3:79" x14ac:dyDescent="0.2">
      <c r="C3">
        <v>3</v>
      </c>
      <c r="D3">
        <v>6</v>
      </c>
      <c r="E3">
        <v>9</v>
      </c>
    </row>
    <row r="4" spans="3:79" x14ac:dyDescent="0.2">
      <c r="C4">
        <v>4</v>
      </c>
      <c r="D4">
        <v>8</v>
      </c>
      <c r="E4">
        <v>12</v>
      </c>
    </row>
    <row r="5" spans="3:79" x14ac:dyDescent="0.2">
      <c r="C5">
        <v>5</v>
      </c>
      <c r="D5">
        <v>10</v>
      </c>
      <c r="E5">
        <v>15</v>
      </c>
    </row>
    <row r="6" spans="3:79" x14ac:dyDescent="0.2">
      <c r="C6">
        <v>6</v>
      </c>
      <c r="D6">
        <v>12</v>
      </c>
      <c r="E6">
        <v>18</v>
      </c>
    </row>
    <row r="7" spans="3:79" x14ac:dyDescent="0.2">
      <c r="C7">
        <v>7</v>
      </c>
      <c r="D7">
        <v>14</v>
      </c>
      <c r="E7">
        <v>21</v>
      </c>
    </row>
    <row r="8" spans="3:79" x14ac:dyDescent="0.2">
      <c r="C8">
        <v>8</v>
      </c>
      <c r="D8">
        <v>16</v>
      </c>
      <c r="E8">
        <v>24</v>
      </c>
    </row>
    <row r="9" spans="3:79" x14ac:dyDescent="0.2">
      <c r="C9">
        <v>9</v>
      </c>
      <c r="D9">
        <v>18</v>
      </c>
      <c r="E9">
        <v>27</v>
      </c>
    </row>
    <row r="10" spans="3:79" x14ac:dyDescent="0.2">
      <c r="C10">
        <v>10</v>
      </c>
      <c r="D10">
        <v>20</v>
      </c>
      <c r="E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</vt:lpstr>
      <vt:lpstr>one</vt:lpstr>
      <vt:lpstr>span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2026-10-07T05:29:21Z</dcterms:created>
  <dcterms:modified xsi:type="dcterms:W3CDTF">2026-10-07T05:29:21Z</dcterms:modified>
</cp:coreProperties>
</file>