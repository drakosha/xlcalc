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98478/"/>
    </mc:Choice>
  </mc:AlternateContent>
  <xr:revisionPtr revIDLastSave="0" documentId="8_{1DCE6EF9-8468-6F45-8426-A2EE46DBC6F8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0" i="1" l="1" a="1"/>
  <c r="J30" i="1" s="1"/>
  <c r="J29" i="1" a="1"/>
  <c r="J29" i="1" s="1"/>
  <c r="J28" i="1" a="1"/>
  <c r="J28" i="1" s="1"/>
  <c r="J26" i="1" a="1"/>
  <c r="J26" i="1" s="1"/>
  <c r="J25" i="1" a="1"/>
  <c r="J25" i="1" s="1"/>
  <c r="J24" i="1" a="1"/>
  <c r="J24" i="1" s="1"/>
  <c r="J23" i="1" a="1"/>
  <c r="J23" i="1" s="1"/>
  <c r="J22" i="1" a="1"/>
  <c r="J22" i="1" s="1"/>
  <c r="J21" i="1" a="1"/>
  <c r="J21" i="1" s="1"/>
  <c r="J20" i="1" a="1"/>
  <c r="J20" i="1" s="1"/>
  <c r="J18" i="1" a="1"/>
  <c r="J18" i="1" s="1"/>
  <c r="J17" i="1" a="1"/>
  <c r="J17" i="1" s="1"/>
  <c r="J16" i="1" a="1"/>
  <c r="J16" i="1" s="1"/>
  <c r="J15" i="1" a="1"/>
  <c r="J15" i="1" s="1"/>
  <c r="J14" i="1" a="1"/>
  <c r="J14" i="1" s="1"/>
  <c r="J13" i="1" a="1"/>
  <c r="J13" i="1" s="1"/>
  <c r="J12" i="1" a="1"/>
  <c r="J12" i="1" s="1"/>
  <c r="J11" i="1" a="1"/>
  <c r="J11" i="1" s="1"/>
  <c r="J10" i="1" a="1"/>
  <c r="J10" i="1"/>
  <c r="J9" i="1" a="1"/>
  <c r="J9" i="1"/>
  <c r="J8" i="1" a="1"/>
  <c r="J8" i="1"/>
  <c r="J7" i="1" a="1"/>
  <c r="J7" i="1" s="1"/>
  <c r="J6" i="1" a="1"/>
  <c r="J6" i="1"/>
  <c r="J5" i="1" a="1"/>
  <c r="J5" i="1"/>
  <c r="D5" i="1" a="1"/>
  <c r="D5" i="1" s="1"/>
  <c r="J4" i="1" a="1"/>
  <c r="J4" i="1" s="1"/>
  <c r="D4" i="1" a="1"/>
  <c r="D4" i="1" s="1"/>
  <c r="J19" i="1" s="1" a="1"/>
  <c r="J19" i="1" s="1"/>
  <c r="J3" i="1" a="1"/>
  <c r="J3" i="1" s="1"/>
  <c r="D3" i="1" a="1"/>
  <c r="D3" i="1"/>
  <c r="J2" i="1" a="1"/>
  <c r="J2" i="1" s="1"/>
  <c r="D2" i="1" a="1"/>
  <c r="D2" i="1"/>
  <c r="J1" i="1" a="1"/>
  <c r="J1" i="1"/>
  <c r="J27" i="1" l="1" a="1"/>
  <c r="J2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<sst xmlns="http://schemas.openxmlformats.org/spreadsheetml/2006/main" count="8" uniqueCount="7">
  <si>
    <t>Region</t>
  </si>
  <si>
    <t>Qty</t>
  </si>
  <si>
    <t>Price</t>
  </si>
  <si>
    <t>Total</t>
  </si>
  <si>
    <t>North</t>
  </si>
  <si>
    <t>South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</si>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</sst>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" displayName="Sales" ref="A1:D5">
  <autoFilter ref="A1:D5" xr:uid="{00000000-0009-0000-0100-000001000000}"/>
  <tableColumns count="4">
    <tableColumn id="1" xr3:uid="{00000000-0010-0000-0000-000001000000}" name="Region"/>
    <tableColumn id="2" xr3:uid="{00000000-0010-0000-0000-000002000000}" name="Qty"/>
    <tableColumn id="3" xr3:uid="{00000000-0010-0000-0000-000003000000}" name="Price"/>
    <tableColumn id="4" xr3:uid="{00000000-0010-0000-0000-000004000000}" name="Total">
      <calculatedColumnFormula>Sales[[#This Row],[Qty]]*Sales[[#This Row],[Price]]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workbookViewId="0"/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J1" cm="1">
        <f t="array" ref="J1">SUM(Sales[Qty])</f>
        <v>11</v>
      </c>
    </row>
    <row r="2" spans="1:10" x14ac:dyDescent="0.2">
      <c r="A2" t="s">
        <v>4</v>
      </c>
      <c r="B2">
        <v>2</v>
      </c>
      <c r="C2">
        <v>10</v>
      </c>
      <c r="D2" cm="1">
        <f t="array" ref="D2">Sales[[#This Row],[Qty]]*Sales[[#This Row],[Price]]</f>
        <v>20</v>
      </c>
      <c r="J2" cm="1">
        <f t="array" ref="J2">Sales[[#This Row],[Qty]]</f>
        <v>2</v>
      </c>
    </row>
    <row r="3" spans="1:10" x14ac:dyDescent="0.2">
      <c r="A3" t="s">
        <v>5</v>
      </c>
      <c r="B3">
        <v>3</v>
      </c>
      <c r="C3">
        <v>20</v>
      </c>
      <c r="D3" cm="1">
        <f t="array" ref="D3">Sales[[#This Row],[Qty]]*Sales[[#This Row],[Price]]</f>
        <v>60</v>
      </c>
      <c r="J3" cm="1">
        <f t="array" ref="J3">SUM(Sales[[Qty]:[Price]])</f>
        <v>111</v>
      </c>
    </row>
    <row r="4" spans="1:10" x14ac:dyDescent="0.2">
      <c r="A4" t="s">
        <v>4</v>
      </c>
      <c r="B4">
        <v>5</v>
      </c>
      <c r="C4">
        <v>30</v>
      </c>
      <c r="D4" cm="1">
        <f t="array" ref="D4">Sales[[#This Row],[Qty]]*Sales[[#This Row],[Price]]</f>
        <v>150</v>
      </c>
      <c r="J4" cm="1">
        <f t="array" ref="J4">ROWS(Sales[#All])</f>
        <v>5</v>
      </c>
    </row>
    <row r="5" spans="1:10" x14ac:dyDescent="0.2">
      <c r="A5" t="s">
        <v>6</v>
      </c>
      <c r="B5">
        <v>1</v>
      </c>
      <c r="C5">
        <v>40</v>
      </c>
      <c r="D5" cm="1">
        <f t="array" ref="D5">Sales[[#This Row],[Qty]]*Sales[[#This Row],[Price]]</f>
        <v>40</v>
      </c>
      <c r="J5" cm="1">
        <f t="array" ref="J5">ROWS(Sales[#Data])</f>
        <v>4</v>
      </c>
    </row>
    <row r="6" spans="1:10" x14ac:dyDescent="0.2">
      <c r="J6" cm="1">
        <f t="array" ref="J6">COLUMNS(Sales[#All])</f>
        <v>4</v>
      </c>
    </row>
    <row r="7" spans="1:10" x14ac:dyDescent="0.2">
      <c r="J7" t="str" cm="1">
        <f t="array" ref="J7">Sales[[#Headers],[Qty]]</f>
        <v>Qty</v>
      </c>
    </row>
    <row r="8" spans="1:10" x14ac:dyDescent="0.2">
      <c r="J8" cm="1">
        <f t="array" ref="J8">ROWS(Sales[[#Headers],[#Data]])</f>
        <v>5</v>
      </c>
    </row>
    <row r="9" spans="1:10" x14ac:dyDescent="0.2">
      <c r="J9" t="b" cm="1">
        <f t="array" ref="J9">ISERROR(Sales[#Totals])</f>
        <v>1</v>
      </c>
    </row>
    <row r="10" spans="1:10" x14ac:dyDescent="0.2">
      <c r="J10" cm="1">
        <f t="array" ref="J10">ROWS(Sales[])</f>
        <v>4</v>
      </c>
    </row>
    <row r="11" spans="1:10" x14ac:dyDescent="0.2">
      <c r="J11" cm="1">
        <f t="array" ref="J11">ROWS(Sales[])</f>
        <v>4</v>
      </c>
    </row>
    <row r="12" spans="1:10" x14ac:dyDescent="0.2">
      <c r="J12" cm="1">
        <f t="array" ref="J12">COUNTA(Sales[[#Headers],[#Data],[Region]])</f>
        <v>5</v>
      </c>
    </row>
    <row r="13" spans="1:10" x14ac:dyDescent="0.2">
      <c r="J13" cm="1">
        <f t="array" ref="J13">SUM(Sales[[#Data],[#Totals],[Qty]])</f>
        <v>11</v>
      </c>
    </row>
    <row r="14" spans="1:10" x14ac:dyDescent="0.2">
      <c r="J14" t="b" cm="1">
        <f t="array" ref="J14">ISERROR(Sales[[#Totals],[Qty]])</f>
        <v>1</v>
      </c>
    </row>
    <row r="15" spans="1:10" x14ac:dyDescent="0.2">
      <c r="J15" cm="1">
        <f t="array" ref="J15">SUM(Sales[[#Headers],[Qty]:[Price]])</f>
        <v>0</v>
      </c>
    </row>
    <row r="16" spans="1:10" x14ac:dyDescent="0.2">
      <c r="J16" cm="1">
        <f t="array" ref="J16">SUM(Sales[[#All],[Qty]])</f>
        <v>11</v>
      </c>
    </row>
    <row r="17" spans="10:10" x14ac:dyDescent="0.2">
      <c r="J17" cm="1">
        <f t="array" ref="J17">SUM(Sales[[Price]:[Qty]])</f>
        <v>111</v>
      </c>
    </row>
    <row r="18" spans="10:10" x14ac:dyDescent="0.2">
      <c r="J18" cm="1">
        <f t="array" ref="J18">SUM(Sales[[#Data],[Qty]:[Price]])</f>
        <v>111</v>
      </c>
    </row>
    <row r="19" spans="10:10" x14ac:dyDescent="0.2">
      <c r="J19" cm="1">
        <f t="array" ref="J19">SUMIF(Sales[Region],"North",Sales[Total])</f>
        <v>170</v>
      </c>
    </row>
    <row r="20" spans="10:10" x14ac:dyDescent="0.2">
      <c r="J20" cm="1">
        <f t="array" ref="J20">INDEX(Sales[],2,2)</f>
        <v>3</v>
      </c>
    </row>
    <row r="21" spans="10:10" x14ac:dyDescent="0.2">
      <c r="J21" cm="1">
        <f t="array" ref="J21">ROW(Sales[#Headers])</f>
        <v>1</v>
      </c>
    </row>
    <row r="22" spans="10:10" x14ac:dyDescent="0.2">
      <c r="J22" cm="1">
        <f t="array" ref="J22">COLUMN(Sales[Price])</f>
        <v>3</v>
      </c>
    </row>
    <row r="23" spans="10:10" x14ac:dyDescent="0.2">
      <c r="J23" cm="1">
        <f t="array" ref="J23">SUM((Sales[Qty],Sales[Price]))</f>
        <v>111</v>
      </c>
    </row>
    <row r="24" spans="10:10" x14ac:dyDescent="0.2">
      <c r="J24" cm="1">
        <f t="array" ref="J24">AREAS((Sales[Qty],Sales[Price]))</f>
        <v>2</v>
      </c>
    </row>
    <row r="25" spans="10:10" x14ac:dyDescent="0.2">
      <c r="J25" cm="1">
        <f t="array" ref="J25">COUNTIFS(Sales[Region],"North",Sales[Qty],"&gt;2")</f>
        <v>1</v>
      </c>
    </row>
    <row r="26" spans="10:10" x14ac:dyDescent="0.2">
      <c r="J26" cm="1">
        <f t="array" ref="J26">_xlfn.XLOOKUP("East",Sales[Region],Sales[Price])</f>
        <v>40</v>
      </c>
    </row>
    <row r="27" spans="10:10" x14ac:dyDescent="0.2">
      <c r="J27" cm="1">
        <f t="array" ref="J27">MAX(Sales[Total])</f>
        <v>150</v>
      </c>
    </row>
    <row r="28" spans="10:10" x14ac:dyDescent="0.2">
      <c r="J28" cm="1">
        <f t="array" ref="J28">TYPE(Sales[Qty])</f>
        <v>64</v>
      </c>
    </row>
    <row r="29" spans="10:10" x14ac:dyDescent="0.2">
      <c r="J29" t="b" cm="1">
        <f t="array" ref="J29">ISREF(Sales[Qty])</f>
        <v>1</v>
      </c>
    </row>
    <row r="30" spans="10:10" x14ac:dyDescent="0.2">
      <c r="J30" cm="1">
        <f t="array" ref="J30:J33">Sales[Qty]</f>
        <v>2</v>
      </c>
    </row>
    <row r="31" spans="10:10" x14ac:dyDescent="0.2">
      <c r="J31">
        <v>3</v>
      </c>
    </row>
    <row r="32" spans="10:10" x14ac:dyDescent="0.2">
      <c r="J32">
        <v>5</v>
      </c>
    </row>
    <row r="33" spans="10:10" x14ac:dyDescent="0.2">
      <c r="J33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2026-10-08T11:54:27Z</dcterms:created>
  <dcterms:modified xsi:type="dcterms:W3CDTF">2026-10-08T11:54:27Z</dcterms:modified>
</cp:coreProperties>
</file>