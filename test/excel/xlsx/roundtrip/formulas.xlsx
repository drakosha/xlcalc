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71511/"/>
    </mc:Choice>
  </mc:AlternateContent>
  <xr:revisionPtr revIDLastSave="0" documentId="8_{A24558C0-67C7-A34F-BF10-72BC358D75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Other sheet" sheetId="2" r:id="rId2"/>
  </sheets>
  <definedNames>
    <definedName name="column">Data!$A:$A</definedName>
    <definedName name="local" localSheetId="0">Data!$A$2</definedName>
    <definedName name="local" localSheetId="1">'Other sheet'!$A$1</definedName>
    <definedName name="rate">Data!$A$1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B1" i="2" a="1"/>
  <c r="B1" i="2" s="1"/>
  <c r="C26" i="1" a="1"/>
  <c r="C26" i="1" s="1"/>
  <c r="C25" i="1" a="1"/>
  <c r="C25" i="1" s="1"/>
  <c r="C24" i="1" a="1"/>
  <c r="C24" i="1" s="1"/>
  <c r="C23" i="1" a="1"/>
  <c r="C23" i="1"/>
  <c r="C22" i="1" a="1"/>
  <c r="C22" i="1"/>
  <c r="C21" i="1" a="1"/>
  <c r="C21" i="1"/>
  <c r="C20" i="1" a="1"/>
  <c r="C20" i="1"/>
  <c r="C19" i="1" a="1"/>
  <c r="C19" i="1" s="1"/>
  <c r="C18" i="1" a="1"/>
  <c r="C18" i="1" s="1"/>
  <c r="C17" i="1" a="1"/>
  <c r="C17" i="1"/>
  <c r="C16" i="1" a="1"/>
  <c r="C16" i="1" s="1"/>
  <c r="C15" i="1" a="1"/>
  <c r="C15" i="1"/>
  <c r="C14" i="1" a="1"/>
  <c r="C14" i="1"/>
  <c r="C13" i="1" a="1"/>
  <c r="C13" i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<sst xmlns="http://schemas.openxmlformats.org/spreadsheetml/2006/main" count="4" uniqueCount="4">
  <si>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x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</si>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</sst>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10</v>
      </c>
      <c r="B1" t="s">
        <v>1</v>
      </c>
      <c r="C1" cm="1">
        <f t="array" ref="C1">SUM(A1:A3)</f>
        <v>60</v>
      </c>
    </row>
    <row r="2" spans="1:3" x14ac:dyDescent="0.2">
      <c r="A2">
        <v>20</v>
      </c>
      <c r="B2" t="s">
        <v>2</v>
      </c>
      <c r="C2" t="e" cm="1">
        <f t="array" ref="C2">A1/0</f>
        <v>#DIV/0!</v>
      </c>
    </row>
    <row r="3" spans="1:3" x14ac:dyDescent="0.2">
      <c r="A3">
        <v>30</v>
      </c>
      <c r="B3" t="s">
        <v>3</v>
      </c>
      <c r="C3" t="str" cm="1">
        <f t="array" ref="C3">_xlfn.XLOOKUP(20,A1:A3,B1:B3)</f>
        <v>b</v>
      </c>
    </row>
    <row r="4" spans="1:3" x14ac:dyDescent="0.2">
      <c r="A4" t="s">
        <v>0</v>
      </c>
      <c r="C4" t="str" cm="1">
        <f t="array" ref="C4">_xlfn.IFS(A1&gt;5,"big",TRUE,"small")</f>
        <v>big</v>
      </c>
    </row>
    <row r="5" spans="1:3" x14ac:dyDescent="0.2">
      <c r="C5" t="str" cm="1">
        <f t="array" ref="C5">_xlfn.TEXTJOIN("-",TRUE,B1:B3)</f>
        <v>a-b-c</v>
      </c>
    </row>
    <row r="6" spans="1:3" x14ac:dyDescent="0.2">
      <c r="C6" t="str" cm="1">
        <f t="array" ref="C6">_xlfn.CONCAT(B1:B3)</f>
        <v>abc</v>
      </c>
    </row>
    <row r="7" spans="1:3" x14ac:dyDescent="0.2">
      <c r="C7" cm="1">
        <f t="array" ref="C7">_xlfn.XMATCH(30,A1:A3)</f>
        <v>3</v>
      </c>
    </row>
    <row r="8" spans="1:3" x14ac:dyDescent="0.2">
      <c r="C8" t="str" cm="1">
        <f t="array" ref="C8">_xlfn.IFNA(MATCH(99,A1:A3,0),"none")</f>
        <v>none</v>
      </c>
    </row>
    <row r="9" spans="1:3" x14ac:dyDescent="0.2">
      <c r="C9" t="str" cm="1">
        <f t="array" ref="C9">_xlfn.SWITCH(A2,10,"ten",20,"twenty")</f>
        <v>twenty</v>
      </c>
    </row>
    <row r="10" spans="1:3" x14ac:dyDescent="0.2">
      <c r="C10" cm="1">
        <f t="array" ref="C10">_xlfn.STDEV.S(A1:A3)</f>
        <v>10</v>
      </c>
    </row>
    <row r="11" spans="1:3" x14ac:dyDescent="0.2">
      <c r="C11" cm="1">
        <f t="array" ref="C11">_xlfn.CEILING.MATH(2.5)</f>
        <v>3</v>
      </c>
    </row>
    <row r="12" spans="1:3" x14ac:dyDescent="0.2">
      <c r="C12" t="e" cm="1">
        <f t="array" ref="C12">A4+1</f>
        <v>#VALUE!</v>
      </c>
    </row>
    <row r="13" spans="1:3" x14ac:dyDescent="0.2">
      <c r="C13" cm="1">
        <f t="array" ref="C13">rate*2</f>
        <v>20</v>
      </c>
    </row>
    <row r="14" spans="1:3" x14ac:dyDescent="0.2">
      <c r="C14" cm="1">
        <f t="array" ref="C14">'Other sheet'!A1+1</f>
        <v>6</v>
      </c>
    </row>
    <row r="15" spans="1:3" x14ac:dyDescent="0.2">
      <c r="C15" cm="1">
        <f t="array" ref="C15">SUM(A:A)</f>
        <v>60</v>
      </c>
    </row>
    <row r="16" spans="1:3" x14ac:dyDescent="0.2">
      <c r="C16" cm="1">
        <f t="array" ref="C16">_xlfn.LET(_xlpm.x,A1,_xlpm.y,A2,_xlpm.x*_xlpm.y)</f>
        <v>200</v>
      </c>
    </row>
    <row r="17" spans="3:3" x14ac:dyDescent="0.2">
      <c r="C17" t="str" cm="1">
        <f t="array" ref="C17">IF(A1&gt;5,"yes")</f>
        <v>yes</v>
      </c>
    </row>
    <row r="18" spans="3:3" x14ac:dyDescent="0.2">
      <c r="C18" cm="1">
        <f t="array" ref="C18">ROUND(1/3,10)</f>
        <v>0.33333333329999998</v>
      </c>
    </row>
    <row r="19" spans="3:3" x14ac:dyDescent="0.2">
      <c r="C19" cm="1">
        <f t="array" ref="C19">1E+21*1</f>
        <v>1E+21</v>
      </c>
    </row>
    <row r="20" spans="3:3" x14ac:dyDescent="0.2">
      <c r="C20" cm="1">
        <f t="array" ref="C20">0.000001*1</f>
        <v>9.9999999999999995E-7</v>
      </c>
    </row>
    <row r="21" spans="3:3" x14ac:dyDescent="0.2">
      <c r="C21" t="str" cm="1">
        <f t="array" ref="C21">"a""b"</f>
        <v>a"b</v>
      </c>
    </row>
    <row r="22" spans="3:3" x14ac:dyDescent="0.2">
      <c r="C22" t="b" cm="1">
        <f t="array" ref="C22">TRUE</f>
        <v>1</v>
      </c>
    </row>
    <row r="23" spans="3:3" x14ac:dyDescent="0.2">
      <c r="C23" t="e" cm="1">
        <f t="array" ref="C23">#N/A</f>
        <v>#N/A</v>
      </c>
    </row>
    <row r="24" spans="3:3" x14ac:dyDescent="0.2">
      <c r="C24" t="str" cm="1">
        <f t="array" ref="C24">IFERROR(1/0,"div")</f>
        <v>div</v>
      </c>
    </row>
    <row r="25" spans="3:3" x14ac:dyDescent="0.2">
      <c r="C25" cm="1">
        <f t="array" ref="C25">local*1</f>
        <v>20</v>
      </c>
    </row>
    <row r="26" spans="3:3" x14ac:dyDescent="0.2">
      <c r="C26" cm="1">
        <f t="array" ref="C26">NETWORKDAYS.INTL(DATE(2025,1,1),DATE(2025,1,31),1)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5</v>
      </c>
      <c r="B1" cm="1">
        <f t="array" ref="B1">SUM(Data!A1:A3)</f>
        <v>60</v>
      </c>
    </row>
    <row r="2" spans="1:2" x14ac:dyDescent="0.2">
      <c r="A2" cm="1">
        <f t="array" ref="A2">local+Data!A1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Data</vt:lpstr>
      <vt:lpstr>Other sheet</vt:lpstr>
      <vt:lpstr>column</vt:lpstr>
      <vt:lpstr>Data!local</vt:lpstr>
      <vt:lpstr>'Other sheet'!local</vt:lpstr>
      <vt:lpstr>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2026-10-07T05:14:34Z</dcterms:created>
  <dcterms:modified xsi:type="dcterms:W3CDTF">2026-10-07T05:14:34Z</dcterms:modified>
</cp:coreProperties>
</file>