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16CEA0D2-4DDE-9249-AC0E-B8C84220F6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Данные" sheetId="1" r:id="rId1"/>
    <sheet name="Статьи" sheetId="2" r:id="rId2"/>
    <sheet name="Параметры" sheetId="3" r:id="rId3"/>
    <sheet name="ПоМесяцам" sheetId="4" r:id="rId4"/>
    <sheet name="ПоПроектам" sheetId="5" r:id="rId5"/>
    <sheet name="ПоКатегориям" sheetId="6" r:id="rId6"/>
    <sheet name="ПоНаправлениям" sheetId="7" r:id="rId7"/>
  </sheets>
  <definedNames>
    <definedName name="data_amt">Данные!$D$2:$D$341</definedName>
    <definedName name="data_cat">Данные!$C$2:$C$341</definedName>
    <definedName name="data_dir">Данные!$E$2:$E$341</definedName>
    <definedName name="data_item">Данные!$B$2:$B$341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7" l="1" a="1"/>
  <c r="A50" i="7" s="1"/>
  <c r="A49" i="7" a="1"/>
  <c r="A49" i="7" s="1"/>
  <c r="A48" i="7" a="1"/>
  <c r="A48" i="7" s="1"/>
  <c r="A47" i="7" a="1"/>
  <c r="A47" i="7" s="1"/>
  <c r="A46" i="7" a="1"/>
  <c r="A46" i="7" s="1"/>
  <c r="A44" i="7" a="1"/>
  <c r="A44" i="7" s="1"/>
  <c r="C44" i="7" s="1" a="1"/>
  <c r="C44" i="7" s="1"/>
  <c r="A43" i="7" a="1"/>
  <c r="A43" i="7" s="1"/>
  <c r="A42" i="7" a="1"/>
  <c r="A42" i="7"/>
  <c r="A41" i="7" a="1"/>
  <c r="A41" i="7" s="1"/>
  <c r="A40" i="7" a="1"/>
  <c r="A40" i="7" s="1"/>
  <c r="A38" i="7" a="1"/>
  <c r="A38" i="7" s="1"/>
  <c r="A37" i="7" a="1"/>
  <c r="A37" i="7" s="1"/>
  <c r="A36" i="7" a="1"/>
  <c r="A36" i="7" s="1"/>
  <c r="A35" i="7" a="1"/>
  <c r="A35" i="7" s="1"/>
  <c r="A34" i="7" a="1"/>
  <c r="A34" i="7" s="1"/>
  <c r="V32" i="7" a="1"/>
  <c r="V32" i="7" s="1"/>
  <c r="A32" i="7" a="1"/>
  <c r="A32" i="7" s="1"/>
  <c r="W32" i="7" s="1" a="1"/>
  <c r="W32" i="7" s="1"/>
  <c r="A31" i="7" a="1"/>
  <c r="A31" i="7"/>
  <c r="A30" i="7" a="1"/>
  <c r="A30" i="7" s="1"/>
  <c r="A29" i="7" a="1"/>
  <c r="A29" i="7"/>
  <c r="V29" i="7" s="1" a="1"/>
  <c r="V29" i="7" s="1"/>
  <c r="A28" i="7" a="1"/>
  <c r="A28" i="7" s="1"/>
  <c r="A26" i="7" a="1"/>
  <c r="A26" i="7" s="1"/>
  <c r="A25" i="7" a="1"/>
  <c r="A25" i="7" s="1"/>
  <c r="A24" i="7" a="1"/>
  <c r="A24" i="7"/>
  <c r="V24" i="7" s="1" a="1"/>
  <c r="V24" i="7" s="1"/>
  <c r="A23" i="7" a="1"/>
  <c r="A23" i="7"/>
  <c r="W22" i="7" a="1"/>
  <c r="W22" i="7" s="1"/>
  <c r="A22" i="7" a="1"/>
  <c r="A22" i="7" s="1"/>
  <c r="A20" i="7" a="1"/>
  <c r="A20" i="7" s="1"/>
  <c r="A19" i="7" a="1"/>
  <c r="A19" i="7" s="1"/>
  <c r="W19" i="7" s="1" a="1"/>
  <c r="W19" i="7" s="1"/>
  <c r="A18" i="7" a="1"/>
  <c r="A18" i="7" s="1"/>
  <c r="A17" i="7" a="1"/>
  <c r="A17" i="7" s="1"/>
  <c r="A16" i="7" a="1"/>
  <c r="A16" i="7"/>
  <c r="A14" i="7" a="1"/>
  <c r="A14" i="7" s="1"/>
  <c r="V14" i="7" s="1" a="1"/>
  <c r="V14" i="7" s="1"/>
  <c r="A13" i="7" a="1"/>
  <c r="A13" i="7" s="1"/>
  <c r="W13" i="7" s="1" a="1"/>
  <c r="W13" i="7" s="1"/>
  <c r="A12" i="7" a="1"/>
  <c r="A12" i="7" s="1"/>
  <c r="A11" i="7" a="1"/>
  <c r="A11" i="7" s="1"/>
  <c r="C11" i="7" s="1" a="1"/>
  <c r="C11" i="7" s="1"/>
  <c r="A10" i="7" a="1"/>
  <c r="A10" i="7" s="1"/>
  <c r="A8" i="7" a="1"/>
  <c r="A8" i="7" s="1"/>
  <c r="J8" i="7" s="1" a="1"/>
  <c r="J8" i="7" s="1"/>
  <c r="A7" i="7" a="1"/>
  <c r="A7" i="7" s="1"/>
  <c r="D6" i="7" a="1"/>
  <c r="D6" i="7" s="1"/>
  <c r="A6" i="7" a="1"/>
  <c r="A6" i="7" s="1"/>
  <c r="A5" i="7" a="1"/>
  <c r="A5" i="7" s="1"/>
  <c r="A4" i="7" a="1"/>
  <c r="A4" i="7" s="1"/>
  <c r="W4" i="7" s="1" a="1"/>
  <c r="W4" i="7" s="1"/>
  <c r="Y3" i="7" a="1"/>
  <c r="Y3" i="7"/>
  <c r="X3" i="7" a="1"/>
  <c r="X3" i="7" s="1"/>
  <c r="W3" i="7" a="1"/>
  <c r="W3" i="7" s="1"/>
  <c r="V3" i="7" a="1"/>
  <c r="V3" i="7" s="1"/>
  <c r="V7" i="7" s="1" a="1"/>
  <c r="V7" i="7" s="1"/>
  <c r="U3" i="7" a="1"/>
  <c r="U3" i="7" s="1"/>
  <c r="T3" i="7" a="1"/>
  <c r="T3" i="7" s="1"/>
  <c r="S3" i="7" a="1"/>
  <c r="S3" i="7" s="1"/>
  <c r="R3" i="7" a="1"/>
  <c r="R3" i="7"/>
  <c r="Q3" i="7" a="1"/>
  <c r="Q3" i="7" s="1"/>
  <c r="P3" i="7" a="1"/>
  <c r="P3" i="7"/>
  <c r="O3" i="7" a="1"/>
  <c r="O3" i="7" s="1"/>
  <c r="N3" i="7" a="1"/>
  <c r="N3" i="7" s="1"/>
  <c r="M3" i="7" a="1"/>
  <c r="M3" i="7"/>
  <c r="L3" i="7" a="1"/>
  <c r="L3" i="7"/>
  <c r="K3" i="7" a="1"/>
  <c r="K3" i="7" s="1"/>
  <c r="J3" i="7" a="1"/>
  <c r="J3" i="7"/>
  <c r="I3" i="7" a="1"/>
  <c r="I3" i="7" s="1"/>
  <c r="H3" i="7" a="1"/>
  <c r="H3" i="7" s="1"/>
  <c r="G3" i="7" a="1"/>
  <c r="G3" i="7" s="1"/>
  <c r="F3" i="7" a="1"/>
  <c r="F3" i="7"/>
  <c r="E3" i="7" a="1"/>
  <c r="E3" i="7" s="1"/>
  <c r="D3" i="7" a="1"/>
  <c r="D3" i="7" s="1"/>
  <c r="C3" i="7" a="1"/>
  <c r="C3" i="7" s="1"/>
  <c r="B3" i="7" a="1"/>
  <c r="B3" i="7" s="1"/>
  <c r="Y2" i="7" a="1"/>
  <c r="Y2" i="7" s="1"/>
  <c r="X2" i="7" a="1"/>
  <c r="X2" i="7" s="1"/>
  <c r="W2" i="7" a="1"/>
  <c r="W2" i="7" s="1"/>
  <c r="W11" i="7" s="1" a="1"/>
  <c r="W11" i="7" s="1"/>
  <c r="V2" i="7" a="1"/>
  <c r="V2" i="7" s="1"/>
  <c r="U2" i="7" a="1"/>
  <c r="U2" i="7" s="1"/>
  <c r="T2" i="7" a="1"/>
  <c r="T2" i="7" s="1"/>
  <c r="S2" i="7" a="1"/>
  <c r="S2" i="7" s="1"/>
  <c r="R2" i="7" a="1"/>
  <c r="R2" i="7" s="1"/>
  <c r="Q2" i="7" a="1"/>
  <c r="Q2" i="7" s="1"/>
  <c r="P2" i="7" a="1"/>
  <c r="P2" i="7" s="1"/>
  <c r="O2" i="7" a="1"/>
  <c r="O2" i="7" s="1"/>
  <c r="N2" i="7" a="1"/>
  <c r="N2" i="7" s="1"/>
  <c r="M2" i="7" a="1"/>
  <c r="M2" i="7" s="1"/>
  <c r="L2" i="7" a="1"/>
  <c r="L2" i="7"/>
  <c r="K2" i="7" a="1"/>
  <c r="K2" i="7" s="1"/>
  <c r="J2" i="7" a="1"/>
  <c r="J2" i="7"/>
  <c r="I2" i="7" a="1"/>
  <c r="I2" i="7" s="1"/>
  <c r="H2" i="7" a="1"/>
  <c r="H2" i="7" s="1"/>
  <c r="G2" i="7" a="1"/>
  <c r="G2" i="7" s="1"/>
  <c r="F2" i="7" a="1"/>
  <c r="F2" i="7" s="1"/>
  <c r="E2" i="7" a="1"/>
  <c r="E2" i="7" s="1"/>
  <c r="D2" i="7" a="1"/>
  <c r="D2" i="7" s="1"/>
  <c r="C2" i="7" a="1"/>
  <c r="C2" i="7" s="1"/>
  <c r="B2" i="7" a="1"/>
  <c r="B2" i="7" s="1"/>
  <c r="Y1" i="7" a="1"/>
  <c r="Y1" i="7" s="1"/>
  <c r="Y29" i="7" s="1" a="1"/>
  <c r="Y29" i="7" s="1"/>
  <c r="X1" i="7" a="1"/>
  <c r="X1" i="7" s="1"/>
  <c r="W1" i="7" a="1"/>
  <c r="W1" i="7" s="1"/>
  <c r="V1" i="7" a="1"/>
  <c r="V1" i="7" s="1"/>
  <c r="V35" i="7" s="1" a="1"/>
  <c r="V35" i="7" s="1"/>
  <c r="U1" i="7" a="1"/>
  <c r="U1" i="7" s="1"/>
  <c r="T1" i="7" a="1"/>
  <c r="T1" i="7" s="1"/>
  <c r="S1" i="7" a="1"/>
  <c r="S1" i="7" s="1"/>
  <c r="R1" i="7" a="1"/>
  <c r="R1" i="7" s="1"/>
  <c r="Q1" i="7" a="1"/>
  <c r="Q1" i="7" s="1"/>
  <c r="P1" i="7" a="1"/>
  <c r="P1" i="7" s="1"/>
  <c r="O1" i="7" a="1"/>
  <c r="O1" i="7" s="1"/>
  <c r="N1" i="7" a="1"/>
  <c r="N1" i="7" s="1"/>
  <c r="M1" i="7" a="1"/>
  <c r="M1" i="7" s="1"/>
  <c r="M13" i="7" s="1" a="1"/>
  <c r="M13" i="7" s="1"/>
  <c r="L1" i="7" a="1"/>
  <c r="L1" i="7" s="1"/>
  <c r="K1" i="7" a="1"/>
  <c r="K1" i="7" s="1"/>
  <c r="J1" i="7" a="1"/>
  <c r="J1" i="7"/>
  <c r="I1" i="7" a="1"/>
  <c r="I1" i="7" s="1"/>
  <c r="H1" i="7" a="1"/>
  <c r="H1" i="7" s="1"/>
  <c r="H13" i="7" s="1" a="1"/>
  <c r="H13" i="7" s="1"/>
  <c r="G1" i="7" a="1"/>
  <c r="G1" i="7" s="1"/>
  <c r="F1" i="7" a="1"/>
  <c r="F1" i="7" s="1"/>
  <c r="E1" i="7" a="1"/>
  <c r="E1" i="7" s="1"/>
  <c r="D1" i="7" a="1"/>
  <c r="D1" i="7" s="1"/>
  <c r="C1" i="7" a="1"/>
  <c r="C1" i="7"/>
  <c r="B1" i="7" a="1"/>
  <c r="B1" i="7" s="1"/>
  <c r="U48" i="6" a="1"/>
  <c r="U48" i="6" s="1"/>
  <c r="T48" i="6" a="1"/>
  <c r="T48" i="6" s="1"/>
  <c r="S48" i="6" a="1"/>
  <c r="S48" i="6"/>
  <c r="R48" i="6" a="1"/>
  <c r="R48" i="6" s="1"/>
  <c r="O48" i="6" a="1"/>
  <c r="O48" i="6" s="1"/>
  <c r="K48" i="6" a="1"/>
  <c r="K48" i="6" s="1"/>
  <c r="J48" i="6" a="1"/>
  <c r="J48" i="6" s="1"/>
  <c r="I48" i="6" a="1"/>
  <c r="I48" i="6" s="1"/>
  <c r="E48" i="6" a="1"/>
  <c r="E48" i="6" s="1"/>
  <c r="D48" i="6" a="1"/>
  <c r="D48" i="6" s="1"/>
  <c r="C48" i="6" a="1"/>
  <c r="C48" i="6" s="1"/>
  <c r="A48" i="6" a="1"/>
  <c r="A48" i="6" s="1"/>
  <c r="R47" i="6" a="1"/>
  <c r="R47" i="6" s="1"/>
  <c r="P47" i="6" a="1"/>
  <c r="P47" i="6" s="1"/>
  <c r="O47" i="6" a="1"/>
  <c r="O47" i="6" s="1"/>
  <c r="N47" i="6" a="1"/>
  <c r="N47" i="6" s="1"/>
  <c r="L47" i="6" a="1"/>
  <c r="L47" i="6" s="1"/>
  <c r="K47" i="6" a="1"/>
  <c r="K47" i="6" s="1"/>
  <c r="H47" i="6" a="1"/>
  <c r="H47" i="6" s="1"/>
  <c r="G47" i="6" a="1"/>
  <c r="G47" i="6" s="1"/>
  <c r="F47" i="6" a="1"/>
  <c r="F47" i="6"/>
  <c r="E47" i="6" a="1"/>
  <c r="E47" i="6" s="1"/>
  <c r="D47" i="6" a="1"/>
  <c r="D47" i="6" s="1"/>
  <c r="C47" i="6" a="1"/>
  <c r="C47" i="6" s="1"/>
  <c r="B47" i="6" a="1"/>
  <c r="B47" i="6" s="1"/>
  <c r="A47" i="6" a="1"/>
  <c r="A47" i="6" s="1"/>
  <c r="U47" i="6" s="1" a="1"/>
  <c r="U47" i="6" s="1"/>
  <c r="A46" i="6" a="1"/>
  <c r="A46" i="6" s="1"/>
  <c r="T46" i="6" s="1" a="1"/>
  <c r="T46" i="6" s="1"/>
  <c r="A45" i="6" a="1"/>
  <c r="A45" i="6" s="1"/>
  <c r="A44" i="6" a="1"/>
  <c r="A44" i="6" s="1"/>
  <c r="A42" i="6" a="1"/>
  <c r="A42" i="6" s="1"/>
  <c r="A41" i="6" a="1"/>
  <c r="A41" i="6" s="1"/>
  <c r="C40" i="6" a="1"/>
  <c r="C40" i="6" s="1"/>
  <c r="A40" i="6" a="1"/>
  <c r="A40" i="6" s="1"/>
  <c r="I39" i="6" a="1"/>
  <c r="I39" i="6" s="1"/>
  <c r="H39" i="6" a="1"/>
  <c r="H39" i="6" s="1"/>
  <c r="G39" i="6" a="1"/>
  <c r="G39" i="6" s="1"/>
  <c r="A39" i="6" a="1"/>
  <c r="A39" i="6"/>
  <c r="U39" i="6" s="1" a="1"/>
  <c r="U39" i="6" s="1"/>
  <c r="A38" i="6" a="1"/>
  <c r="A38" i="6"/>
  <c r="O38" i="6" s="1" a="1"/>
  <c r="O38" i="6" s="1"/>
  <c r="Q36" i="6" a="1"/>
  <c r="Q36" i="6" s="1"/>
  <c r="A36" i="6" a="1"/>
  <c r="A36" i="6"/>
  <c r="P36" i="6" s="1" a="1"/>
  <c r="P36" i="6" s="1"/>
  <c r="Q35" i="6" a="1"/>
  <c r="Q35" i="6" s="1"/>
  <c r="O35" i="6" a="1"/>
  <c r="O35" i="6" s="1"/>
  <c r="N35" i="6" a="1"/>
  <c r="N35" i="6" s="1"/>
  <c r="M35" i="6" a="1"/>
  <c r="M35" i="6" s="1"/>
  <c r="L35" i="6" a="1"/>
  <c r="L35" i="6" s="1"/>
  <c r="H35" i="6" a="1"/>
  <c r="H35" i="6" s="1"/>
  <c r="E35" i="6" a="1"/>
  <c r="E35" i="6" s="1"/>
  <c r="D35" i="6" a="1"/>
  <c r="D35" i="6" s="1"/>
  <c r="C35" i="6" a="1"/>
  <c r="C35" i="6" s="1"/>
  <c r="B35" i="6" a="1"/>
  <c r="B35" i="6" s="1"/>
  <c r="A35" i="6" a="1"/>
  <c r="A35" i="6" s="1"/>
  <c r="U34" i="6" a="1"/>
  <c r="U34" i="6" s="1"/>
  <c r="A34" i="6" a="1"/>
  <c r="A34" i="6" s="1"/>
  <c r="S34" i="6" s="1" a="1"/>
  <c r="S34" i="6" s="1"/>
  <c r="S33" i="6" a="1"/>
  <c r="S33" i="6" s="1"/>
  <c r="P33" i="6" a="1"/>
  <c r="P33" i="6" s="1"/>
  <c r="O33" i="6" a="1"/>
  <c r="O33" i="6" s="1"/>
  <c r="L33" i="6" a="1"/>
  <c r="L33" i="6" s="1"/>
  <c r="J33" i="6" a="1"/>
  <c r="J33" i="6" s="1"/>
  <c r="C33" i="6" a="1"/>
  <c r="C33" i="6" s="1"/>
  <c r="B33" i="6" a="1"/>
  <c r="B33" i="6" s="1"/>
  <c r="A33" i="6" a="1"/>
  <c r="A33" i="6" s="1"/>
  <c r="A32" i="6" a="1"/>
  <c r="A32" i="6" s="1"/>
  <c r="S32" i="6" s="1" a="1"/>
  <c r="S32" i="6" s="1"/>
  <c r="A30" i="6" a="1"/>
  <c r="A30" i="6" s="1"/>
  <c r="U30" i="6" s="1" a="1"/>
  <c r="U30" i="6" s="1"/>
  <c r="A29" i="6" a="1"/>
  <c r="A29" i="6" s="1"/>
  <c r="A28" i="6" a="1"/>
  <c r="A28" i="6" s="1"/>
  <c r="T27" i="6" a="1"/>
  <c r="T27" i="6" s="1"/>
  <c r="P27" i="6" a="1"/>
  <c r="P27" i="6" s="1"/>
  <c r="A27" i="6" a="1"/>
  <c r="A27" i="6" s="1"/>
  <c r="S27" i="6" s="1" a="1"/>
  <c r="S27" i="6" s="1"/>
  <c r="U26" i="6" a="1"/>
  <c r="U26" i="6" s="1"/>
  <c r="T26" i="6" a="1"/>
  <c r="T26" i="6" s="1"/>
  <c r="S26" i="6" a="1"/>
  <c r="S26" i="6" s="1"/>
  <c r="P26" i="6" a="1"/>
  <c r="P26" i="6" s="1"/>
  <c r="N26" i="6" a="1"/>
  <c r="N26" i="6" s="1"/>
  <c r="M26" i="6" a="1"/>
  <c r="M26" i="6" s="1"/>
  <c r="J26" i="6" a="1"/>
  <c r="J26" i="6" s="1"/>
  <c r="I26" i="6" a="1"/>
  <c r="I26" i="6" s="1"/>
  <c r="H26" i="6" a="1"/>
  <c r="H26" i="6" s="1"/>
  <c r="D26" i="6" a="1"/>
  <c r="D26" i="6"/>
  <c r="C26" i="6" a="1"/>
  <c r="C26" i="6" s="1"/>
  <c r="A26" i="6" a="1"/>
  <c r="A26" i="6" s="1"/>
  <c r="A24" i="6" a="1"/>
  <c r="A24" i="6" s="1"/>
  <c r="T24" i="6" s="1" a="1"/>
  <c r="T24" i="6" s="1"/>
  <c r="U23" i="6" a="1"/>
  <c r="U23" i="6" s="1"/>
  <c r="Q23" i="6" a="1"/>
  <c r="Q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A23" i="6" a="1"/>
  <c r="A23" i="6" s="1"/>
  <c r="A22" i="6" a="1"/>
  <c r="A22" i="6" s="1"/>
  <c r="F22" i="6" s="1" a="1"/>
  <c r="F22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A21" i="6" a="1"/>
  <c r="A21" i="6" s="1"/>
  <c r="F21" i="6" s="1" a="1"/>
  <c r="F21" i="6" s="1"/>
  <c r="A20" i="6" a="1"/>
  <c r="A20" i="6" s="1"/>
  <c r="U20" i="6" s="1" a="1"/>
  <c r="U20" i="6" s="1"/>
  <c r="T18" i="6" a="1"/>
  <c r="T18" i="6" s="1"/>
  <c r="S18" i="6" a="1"/>
  <c r="S18" i="6" s="1"/>
  <c r="R18" i="6" a="1"/>
  <c r="R18" i="6" s="1"/>
  <c r="Q18" i="6" a="1"/>
  <c r="Q18" i="6" s="1"/>
  <c r="N18" i="6" a="1"/>
  <c r="N18" i="6" s="1"/>
  <c r="K18" i="6" a="1"/>
  <c r="K18" i="6" s="1"/>
  <c r="A18" i="6" a="1"/>
  <c r="A18" i="6" s="1"/>
  <c r="O18" i="6" s="1" a="1"/>
  <c r="O18" i="6" s="1"/>
  <c r="A17" i="6" a="1"/>
  <c r="A17" i="6"/>
  <c r="D17" i="6" s="1" a="1"/>
  <c r="D17" i="6" s="1"/>
  <c r="U16" i="6" a="1"/>
  <c r="U16" i="6" s="1"/>
  <c r="S16" i="6" a="1"/>
  <c r="S16" i="6" s="1"/>
  <c r="R16" i="6" a="1"/>
  <c r="R16" i="6" s="1"/>
  <c r="Q16" i="6" a="1"/>
  <c r="Q16" i="6" s="1"/>
  <c r="P16" i="6" a="1"/>
  <c r="P16" i="6" s="1"/>
  <c r="K16" i="6" a="1"/>
  <c r="K16" i="6" s="1"/>
  <c r="I16" i="6" a="1"/>
  <c r="I16" i="6" s="1"/>
  <c r="A16" i="6" a="1"/>
  <c r="A16" i="6"/>
  <c r="H16" i="6" s="1" a="1"/>
  <c r="H16" i="6" s="1"/>
  <c r="A15" i="6" a="1"/>
  <c r="A15" i="6" s="1"/>
  <c r="U14" i="6" a="1"/>
  <c r="U14" i="6" s="1"/>
  <c r="S14" i="6" a="1"/>
  <c r="S14" i="6" s="1"/>
  <c r="O14" i="6" a="1"/>
  <c r="O14" i="6" s="1"/>
  <c r="M14" i="6" a="1"/>
  <c r="M14" i="6" s="1"/>
  <c r="K14" i="6" a="1"/>
  <c r="K14" i="6" s="1"/>
  <c r="J14" i="6" a="1"/>
  <c r="J14" i="6" s="1"/>
  <c r="I14" i="6" a="1"/>
  <c r="I14" i="6" s="1"/>
  <c r="A14" i="6" a="1"/>
  <c r="A14" i="6" s="1"/>
  <c r="E14" i="6" s="1" a="1"/>
  <c r="E14" i="6" s="1"/>
  <c r="A12" i="6" a="1"/>
  <c r="A12" i="6"/>
  <c r="S12" i="6" s="1" a="1"/>
  <c r="S12" i="6" s="1"/>
  <c r="A11" i="6" a="1"/>
  <c r="A11" i="6" s="1"/>
  <c r="S11" i="6" s="1" a="1"/>
  <c r="S11" i="6" s="1"/>
  <c r="A10" i="6" a="1"/>
  <c r="A10" i="6" s="1"/>
  <c r="P10" i="6" s="1" a="1"/>
  <c r="P10" i="6" s="1"/>
  <c r="A9" i="6" a="1"/>
  <c r="A9" i="6"/>
  <c r="N9" i="6" s="1" a="1"/>
  <c r="N9" i="6" s="1"/>
  <c r="A8" i="6" a="1"/>
  <c r="A8" i="6" s="1"/>
  <c r="A6" i="6" a="1"/>
  <c r="A6" i="6"/>
  <c r="R6" i="6" s="1" a="1"/>
  <c r="R6" i="6" s="1"/>
  <c r="U5" i="6" a="1"/>
  <c r="U5" i="6" s="1"/>
  <c r="S5" i="6" a="1"/>
  <c r="S5" i="6" s="1"/>
  <c r="P5" i="6" a="1"/>
  <c r="P5" i="6" s="1"/>
  <c r="N5" i="6" a="1"/>
  <c r="N5" i="6" s="1"/>
  <c r="M5" i="6" a="1"/>
  <c r="M5" i="6" s="1"/>
  <c r="L5" i="6" a="1"/>
  <c r="L5" i="6" s="1"/>
  <c r="K5" i="6" a="1"/>
  <c r="K5" i="6" s="1"/>
  <c r="J5" i="6" a="1"/>
  <c r="J5" i="6" s="1"/>
  <c r="I5" i="6" a="1"/>
  <c r="I5" i="6" s="1"/>
  <c r="D5" i="6" a="1"/>
  <c r="D5" i="6" s="1"/>
  <c r="C5" i="6" a="1"/>
  <c r="C5" i="6" s="1"/>
  <c r="B5" i="6" a="1"/>
  <c r="B5" i="6" s="1"/>
  <c r="A5" i="6" a="1"/>
  <c r="A5" i="6" s="1"/>
  <c r="A4" i="6" a="1"/>
  <c r="A4" i="6"/>
  <c r="P4" i="6" s="1" a="1"/>
  <c r="P4" i="6" s="1"/>
  <c r="A3" i="6" a="1"/>
  <c r="A3" i="6"/>
  <c r="O3" i="6" s="1" a="1"/>
  <c r="O3" i="6" s="1"/>
  <c r="U2" i="6" a="1"/>
  <c r="U2" i="6" s="1"/>
  <c r="A2" i="6" a="1"/>
  <c r="A2" i="6"/>
  <c r="T2" i="6" s="1" a="1"/>
  <c r="T2" i="6" s="1"/>
  <c r="A48" i="5" a="1"/>
  <c r="A48" i="5" s="1"/>
  <c r="A47" i="5" a="1"/>
  <c r="A47" i="5"/>
  <c r="A46" i="5" a="1"/>
  <c r="A46" i="5" s="1"/>
  <c r="A45" i="5" a="1"/>
  <c r="A45" i="5" s="1"/>
  <c r="A44" i="5" a="1"/>
  <c r="A44" i="5"/>
  <c r="A42" i="5" a="1"/>
  <c r="A42" i="5" s="1"/>
  <c r="A41" i="5" a="1"/>
  <c r="A41" i="5"/>
  <c r="D41" i="5" s="1" a="1"/>
  <c r="D41" i="5" s="1"/>
  <c r="A40" i="5" a="1"/>
  <c r="A40" i="5" s="1"/>
  <c r="A39" i="5" a="1"/>
  <c r="A39" i="5"/>
  <c r="A38" i="5" a="1"/>
  <c r="A38" i="5" s="1"/>
  <c r="A36" i="5" a="1"/>
  <c r="A36" i="5" s="1"/>
  <c r="A35" i="5" a="1"/>
  <c r="A35" i="5"/>
  <c r="A34" i="5" a="1"/>
  <c r="A34" i="5" s="1"/>
  <c r="A33" i="5" a="1"/>
  <c r="A33" i="5"/>
  <c r="N33" i="5" s="1" a="1"/>
  <c r="N33" i="5" s="1"/>
  <c r="A32" i="5" a="1"/>
  <c r="A32" i="5" s="1"/>
  <c r="A30" i="5" a="1"/>
  <c r="A30" i="5"/>
  <c r="A29" i="5" a="1"/>
  <c r="A29" i="5"/>
  <c r="A28" i="5" a="1"/>
  <c r="A28" i="5" s="1"/>
  <c r="A27" i="5" a="1"/>
  <c r="A27" i="5" s="1"/>
  <c r="A26" i="5" a="1"/>
  <c r="A26" i="5"/>
  <c r="A24" i="5" a="1"/>
  <c r="A24" i="5" s="1"/>
  <c r="C24" i="5" s="1" a="1"/>
  <c r="C24" i="5" s="1"/>
  <c r="A23" i="5" a="1"/>
  <c r="A23" i="5" s="1"/>
  <c r="A22" i="5" a="1"/>
  <c r="A22" i="5" s="1"/>
  <c r="A21" i="5" a="1"/>
  <c r="A21" i="5"/>
  <c r="A20" i="5" a="1"/>
  <c r="A20" i="5"/>
  <c r="D20" i="5" s="1" a="1"/>
  <c r="D20" i="5" s="1"/>
  <c r="A18" i="5" a="1"/>
  <c r="A18" i="5" s="1"/>
  <c r="A17" i="5" a="1"/>
  <c r="A17" i="5" s="1"/>
  <c r="A16" i="5" a="1"/>
  <c r="A16" i="5" s="1"/>
  <c r="A15" i="5" a="1"/>
  <c r="A15" i="5"/>
  <c r="A14" i="5" a="1"/>
  <c r="A14" i="5"/>
  <c r="M14" i="5" s="1" a="1"/>
  <c r="M14" i="5" s="1"/>
  <c r="A12" i="5" a="1"/>
  <c r="A12" i="5"/>
  <c r="A11" i="5" a="1"/>
  <c r="A11" i="5"/>
  <c r="K11" i="5" s="1" a="1"/>
  <c r="K11" i="5" s="1"/>
  <c r="A10" i="5" a="1"/>
  <c r="A10" i="5"/>
  <c r="A9" i="5" a="1"/>
  <c r="A9" i="5" s="1"/>
  <c r="A8" i="5" a="1"/>
  <c r="A8" i="5" s="1"/>
  <c r="C6" i="5" a="1"/>
  <c r="C6" i="5" s="1"/>
  <c r="A6" i="5" a="1"/>
  <c r="A6" i="5"/>
  <c r="A5" i="5" a="1"/>
  <c r="A5" i="5" s="1"/>
  <c r="A4" i="5" a="1"/>
  <c r="A4" i="5"/>
  <c r="N4" i="5" s="1" a="1"/>
  <c r="N4" i="5" s="1"/>
  <c r="A3" i="5" a="1"/>
  <c r="A3" i="5"/>
  <c r="A2" i="5" a="1"/>
  <c r="A2" i="5"/>
  <c r="A49" i="4" a="1"/>
  <c r="A49" i="4"/>
  <c r="A48" i="4" a="1"/>
  <c r="A48" i="4"/>
  <c r="A47" i="4" a="1"/>
  <c r="A47" i="4" s="1"/>
  <c r="A46" i="4" a="1"/>
  <c r="A46" i="4"/>
  <c r="A45" i="4" a="1"/>
  <c r="A45" i="4"/>
  <c r="A43" i="4" a="1"/>
  <c r="A43" i="4" s="1"/>
  <c r="A42" i="4" a="1"/>
  <c r="A42" i="4" s="1"/>
  <c r="A41" i="4" a="1"/>
  <c r="A41" i="4"/>
  <c r="A40" i="4" a="1"/>
  <c r="A40" i="4" s="1"/>
  <c r="A39" i="4" a="1"/>
  <c r="A39" i="4"/>
  <c r="A37" i="4" a="1"/>
  <c r="A37" i="4"/>
  <c r="A36" i="4" a="1"/>
  <c r="A36" i="4" s="1"/>
  <c r="A35" i="4" a="1"/>
  <c r="A35" i="4"/>
  <c r="A34" i="4" a="1"/>
  <c r="A34" i="4" s="1"/>
  <c r="A33" i="4" a="1"/>
  <c r="A33" i="4" s="1"/>
  <c r="A31" i="4" a="1"/>
  <c r="A31" i="4" s="1"/>
  <c r="A30" i="4" a="1"/>
  <c r="A30" i="4" s="1"/>
  <c r="A29" i="4" a="1"/>
  <c r="A29" i="4" s="1"/>
  <c r="A28" i="4" a="1"/>
  <c r="A28" i="4" s="1"/>
  <c r="A27" i="4" a="1"/>
  <c r="A27" i="4" s="1"/>
  <c r="A25" i="4" a="1"/>
  <c r="A25" i="4"/>
  <c r="A24" i="4" a="1"/>
  <c r="A24" i="4" s="1"/>
  <c r="A23" i="4" a="1"/>
  <c r="A23" i="4"/>
  <c r="A22" i="4" a="1"/>
  <c r="A22" i="4"/>
  <c r="A21" i="4" a="1"/>
  <c r="A21" i="4" s="1"/>
  <c r="A19" i="4" a="1"/>
  <c r="A19" i="4"/>
  <c r="A18" i="4" a="1"/>
  <c r="A18" i="4"/>
  <c r="A17" i="4" a="1"/>
  <c r="A17" i="4" s="1"/>
  <c r="A16" i="4" a="1"/>
  <c r="A16" i="4" s="1"/>
  <c r="A15" i="4" a="1"/>
  <c r="A15" i="4"/>
  <c r="A13" i="4" a="1"/>
  <c r="A13" i="4"/>
  <c r="A12" i="4" a="1"/>
  <c r="A12" i="4" s="1"/>
  <c r="A11" i="4" a="1"/>
  <c r="A11" i="4"/>
  <c r="A10" i="4" a="1"/>
  <c r="A10" i="4" s="1"/>
  <c r="A9" i="4" a="1"/>
  <c r="A9" i="4"/>
  <c r="A7" i="4" a="1"/>
  <c r="A7" i="4"/>
  <c r="A6" i="4" a="1"/>
  <c r="A6" i="4"/>
  <c r="A5" i="4" a="1"/>
  <c r="A5" i="4"/>
  <c r="A4" i="4" a="1"/>
  <c r="A4" i="4" s="1"/>
  <c r="A3" i="4" a="1"/>
  <c r="A3" i="4" s="1"/>
  <c r="B1" i="4" a="1"/>
  <c r="B1" i="4" s="1"/>
  <c r="B18" i="3" a="1"/>
  <c r="B18" i="3"/>
  <c r="B17" i="3" a="1"/>
  <c r="B17" i="3"/>
  <c r="B15" i="3" a="1"/>
  <c r="B15" i="3"/>
  <c r="B11" i="3" a="1"/>
  <c r="B11" i="3" s="1"/>
  <c r="B10" i="3" a="1"/>
  <c r="B10" i="3" s="1"/>
  <c r="B5" i="3" a="1"/>
  <c r="B5" i="3" s="1"/>
  <c r="B2" i="3" a="1"/>
  <c r="B2" i="3" s="1"/>
  <c r="P38" i="5" s="1" a="1"/>
  <c r="P38" i="5" s="1"/>
  <c r="C41" i="2" a="1"/>
  <c r="C41" i="2" s="1"/>
  <c r="C40" i="2" a="1"/>
  <c r="C40" i="2"/>
  <c r="C39" i="2" a="1"/>
  <c r="C39" i="2" s="1"/>
  <c r="C38" i="2" a="1"/>
  <c r="C38" i="2"/>
  <c r="C37" i="2" a="1"/>
  <c r="C37" i="2"/>
  <c r="C36" i="2" a="1"/>
  <c r="C36" i="2" s="1"/>
  <c r="C35" i="2" a="1"/>
  <c r="C35" i="2"/>
  <c r="C34" i="2" a="1"/>
  <c r="C34" i="2" s="1"/>
  <c r="C33" i="2" a="1"/>
  <c r="C33" i="2"/>
  <c r="C32" i="2" a="1"/>
  <c r="C32" i="2"/>
  <c r="C31" i="2" a="1"/>
  <c r="C31" i="2"/>
  <c r="C30" i="2" a="1"/>
  <c r="C30" i="2"/>
  <c r="C29" i="2" a="1"/>
  <c r="C29" i="2"/>
  <c r="C28" i="2" a="1"/>
  <c r="C28" i="2" s="1"/>
  <c r="C27" i="2" a="1"/>
  <c r="C27" i="2" s="1"/>
  <c r="C26" i="2" a="1"/>
  <c r="C26" i="2" s="1"/>
  <c r="C25" i="2" a="1"/>
  <c r="C25" i="2" s="1"/>
  <c r="C24" i="2" a="1"/>
  <c r="C24" i="2"/>
  <c r="C23" i="2" a="1"/>
  <c r="C23" i="2" s="1"/>
  <c r="C22" i="2" a="1"/>
  <c r="C22" i="2" s="1"/>
  <c r="C21" i="2" a="1"/>
  <c r="C21" i="2"/>
  <c r="C20" i="2" a="1"/>
  <c r="C20" i="2" s="1"/>
  <c r="C19" i="2" a="1"/>
  <c r="C19" i="2" s="1"/>
  <c r="C18" i="2" a="1"/>
  <c r="C18" i="2" s="1"/>
  <c r="C17" i="2" a="1"/>
  <c r="C17" i="2"/>
  <c r="C16" i="2" a="1"/>
  <c r="C16" i="2"/>
  <c r="C15" i="2" a="1"/>
  <c r="C15" i="2" s="1"/>
  <c r="C14" i="2" a="1"/>
  <c r="C14" i="2" s="1"/>
  <c r="C13" i="2" a="1"/>
  <c r="C13" i="2" s="1"/>
  <c r="C12" i="2" a="1"/>
  <c r="C12" i="2"/>
  <c r="C11" i="2" a="1"/>
  <c r="C11" i="2"/>
  <c r="C10" i="2" a="1"/>
  <c r="C10" i="2"/>
  <c r="C9" i="2" a="1"/>
  <c r="C9" i="2" s="1"/>
  <c r="C8" i="2" a="1"/>
  <c r="C8" i="2"/>
  <c r="C7" i="2" a="1"/>
  <c r="C7" i="2" s="1"/>
  <c r="C6" i="2" a="1"/>
  <c r="C6" i="2"/>
  <c r="C5" i="2" a="1"/>
  <c r="C5" i="2" s="1"/>
  <c r="C4" i="2" a="1"/>
  <c r="C4" i="2" s="1"/>
  <c r="C3" i="2" a="1"/>
  <c r="C3" i="2" s="1"/>
  <c r="C2" i="2" a="1"/>
  <c r="C2" i="2"/>
  <c r="H18" i="7" l="1" a="1"/>
  <c r="H18" i="7" s="1"/>
  <c r="M17" i="7" a="1"/>
  <c r="M17" i="7" s="1"/>
  <c r="C17" i="7" a="1"/>
  <c r="C17" i="7" s="1"/>
  <c r="M35" i="7" a="1"/>
  <c r="M35" i="7" s="1"/>
  <c r="Y7" i="7" a="1"/>
  <c r="Y7" i="7" s="1"/>
  <c r="R8" i="6" a="1"/>
  <c r="R8" i="6" s="1"/>
  <c r="Q8" i="6" a="1"/>
  <c r="Q8" i="6" s="1"/>
  <c r="O8" i="6" a="1"/>
  <c r="O8" i="6" s="1"/>
  <c r="P8" i="6" a="1"/>
  <c r="P8" i="6" s="1"/>
  <c r="C8" i="6" a="1"/>
  <c r="C8" i="6" s="1"/>
  <c r="M26" i="7" a="1"/>
  <c r="M26" i="7" s="1"/>
  <c r="T41" i="6" a="1"/>
  <c r="T41" i="6" s="1"/>
  <c r="N41" i="6" a="1"/>
  <c r="N41" i="6" s="1"/>
  <c r="P11" i="6" a="1"/>
  <c r="P11" i="6" s="1"/>
  <c r="U36" i="6" a="1"/>
  <c r="U36" i="6" s="1"/>
  <c r="K38" i="6" a="1"/>
  <c r="K38" i="6" s="1"/>
  <c r="C4" i="7" a="1"/>
  <c r="C4" i="7" s="1"/>
  <c r="H12" i="6" a="1"/>
  <c r="H12" i="6" s="1"/>
  <c r="M4" i="7" a="1"/>
  <c r="M4" i="7" s="1"/>
  <c r="I12" i="6" a="1"/>
  <c r="I12" i="6" s="1"/>
  <c r="E30" i="6" a="1"/>
  <c r="E30" i="6" s="1"/>
  <c r="J10" i="7" a="1"/>
  <c r="J10" i="7" s="1"/>
  <c r="C3" i="6" a="1"/>
  <c r="C3" i="6" s="1"/>
  <c r="L30" i="6" a="1"/>
  <c r="L30" i="6" s="1"/>
  <c r="C34" i="6" a="1"/>
  <c r="C34" i="6" s="1"/>
  <c r="C34" i="7" a="1"/>
  <c r="C34" i="7" s="1"/>
  <c r="X6" i="7" a="1"/>
  <c r="X6" i="7" s="1"/>
  <c r="C2" i="6" a="1"/>
  <c r="C2" i="6" s="1"/>
  <c r="Q3" i="6" a="1"/>
  <c r="Q3" i="6" s="1"/>
  <c r="D32" i="7" a="1"/>
  <c r="D32" i="7" s="1"/>
  <c r="M29" i="7" a="1"/>
  <c r="M29" i="7" s="1"/>
  <c r="N3" i="6" a="1"/>
  <c r="N3" i="6" s="1"/>
  <c r="M9" i="6" a="1"/>
  <c r="M9" i="6" s="1"/>
  <c r="J12" i="6" a="1"/>
  <c r="J12" i="6" s="1"/>
  <c r="J2" i="6" a="1"/>
  <c r="J2" i="6" s="1"/>
  <c r="H32" i="6" a="1"/>
  <c r="H32" i="6" s="1"/>
  <c r="G34" i="6" a="1"/>
  <c r="G34" i="6" s="1"/>
  <c r="H6" i="7" a="1"/>
  <c r="H6" i="7" s="1"/>
  <c r="B10" i="6" a="1"/>
  <c r="B10" i="6" s="1"/>
  <c r="G20" i="6" a="1"/>
  <c r="G20" i="6" s="1"/>
  <c r="J32" i="6" a="1"/>
  <c r="J32" i="6" s="1"/>
  <c r="H34" i="6" a="1"/>
  <c r="H34" i="6" s="1"/>
  <c r="J39" i="6" a="1"/>
  <c r="J39" i="6" s="1"/>
  <c r="I46" i="6" a="1"/>
  <c r="I46" i="6" s="1"/>
  <c r="D29" i="7" a="1"/>
  <c r="D29" i="7" s="1"/>
  <c r="O6" i="7" a="1"/>
  <c r="O6" i="7" s="1"/>
  <c r="B3" i="6" a="1"/>
  <c r="B3" i="6" s="1"/>
  <c r="G10" i="6" a="1"/>
  <c r="G10" i="6" s="1"/>
  <c r="B14" i="6" a="1"/>
  <c r="B14" i="6" s="1"/>
  <c r="C18" i="6" a="1"/>
  <c r="C18" i="6" s="1"/>
  <c r="R21" i="6" a="1"/>
  <c r="R21" i="6" s="1"/>
  <c r="M4" i="5" a="1"/>
  <c r="M4" i="5" s="1"/>
  <c r="L4" i="6" a="1"/>
  <c r="L4" i="6" s="1"/>
  <c r="I10" i="6" a="1"/>
  <c r="I10" i="6" s="1"/>
  <c r="C16" i="6" a="1"/>
  <c r="C16" i="6" s="1"/>
  <c r="E18" i="6" a="1"/>
  <c r="E18" i="6" s="1"/>
  <c r="D21" i="6" a="1"/>
  <c r="D21" i="6" s="1"/>
  <c r="T21" i="6" a="1"/>
  <c r="T21" i="6" s="1"/>
  <c r="L24" i="6" a="1"/>
  <c r="L24" i="6" s="1"/>
  <c r="V6" i="7" a="1"/>
  <c r="V6" i="7" s="1"/>
  <c r="M12" i="6" a="1"/>
  <c r="M12" i="6" s="1"/>
  <c r="F32" i="6" a="1"/>
  <c r="F32" i="6" s="1"/>
  <c r="F46" i="6" a="1"/>
  <c r="F46" i="6" s="1"/>
  <c r="M2" i="6" a="1"/>
  <c r="M2" i="6" s="1"/>
  <c r="N4" i="6" a="1"/>
  <c r="N4" i="6" s="1"/>
  <c r="O6" i="6" a="1"/>
  <c r="O6" i="6" s="1"/>
  <c r="J10" i="6" a="1"/>
  <c r="J10" i="6" s="1"/>
  <c r="E16" i="6" a="1"/>
  <c r="E16" i="6" s="1"/>
  <c r="H18" i="6" a="1"/>
  <c r="H18" i="6" s="1"/>
  <c r="B22" i="6" a="1"/>
  <c r="B22" i="6" s="1"/>
  <c r="O24" i="6" a="1"/>
  <c r="O24" i="6" s="1"/>
  <c r="D27" i="6" a="1"/>
  <c r="D27" i="6" s="1"/>
  <c r="P32" i="6" a="1"/>
  <c r="P32" i="6" s="1"/>
  <c r="K34" i="6" a="1"/>
  <c r="K34" i="6" s="1"/>
  <c r="B36" i="6" a="1"/>
  <c r="B36" i="6" s="1"/>
  <c r="K39" i="6" a="1"/>
  <c r="K39" i="6" s="1"/>
  <c r="Q46" i="6" a="1"/>
  <c r="Q46" i="6" s="1"/>
  <c r="Q47" i="6" a="1"/>
  <c r="Q47" i="6" s="1"/>
  <c r="H10" i="7" a="1"/>
  <c r="H10" i="7" s="1"/>
  <c r="F2" i="6" a="1"/>
  <c r="F2" i="6" s="1"/>
  <c r="U3" i="6" a="1"/>
  <c r="U3" i="6" s="1"/>
  <c r="B32" i="6" a="1"/>
  <c r="B32" i="6" s="1"/>
  <c r="F34" i="6" a="1"/>
  <c r="F34" i="6" s="1"/>
  <c r="K2" i="6" a="1"/>
  <c r="K2" i="6" s="1"/>
  <c r="I4" i="6" a="1"/>
  <c r="I4" i="6" s="1"/>
  <c r="L2" i="6" a="1"/>
  <c r="L2" i="6" s="1"/>
  <c r="M4" i="6" a="1"/>
  <c r="M4" i="6" s="1"/>
  <c r="L6" i="6" a="1"/>
  <c r="L6" i="6" s="1"/>
  <c r="D14" i="6" a="1"/>
  <c r="D14" i="6" s="1"/>
  <c r="D16" i="6" a="1"/>
  <c r="D16" i="6" s="1"/>
  <c r="E21" i="6" a="1"/>
  <c r="E21" i="6" s="1"/>
  <c r="N24" i="6" a="1"/>
  <c r="N24" i="6" s="1"/>
  <c r="B27" i="6" a="1"/>
  <c r="B27" i="6" s="1"/>
  <c r="N32" i="6" a="1"/>
  <c r="N32" i="6" s="1"/>
  <c r="J34" i="6" a="1"/>
  <c r="J34" i="6" s="1"/>
  <c r="E10" i="6" a="1"/>
  <c r="E10" i="6" s="1"/>
  <c r="H10" i="6" a="1"/>
  <c r="H10" i="6" s="1"/>
  <c r="C14" i="6" a="1"/>
  <c r="C14" i="6" s="1"/>
  <c r="B16" i="6" a="1"/>
  <c r="B16" i="6" s="1"/>
  <c r="D18" i="6" a="1"/>
  <c r="D18" i="6" s="1"/>
  <c r="B21" i="6" a="1"/>
  <c r="B21" i="6" s="1"/>
  <c r="S21" i="6" a="1"/>
  <c r="S21" i="6" s="1"/>
  <c r="I24" i="6" a="1"/>
  <c r="I24" i="6" s="1"/>
  <c r="O2" i="6" a="1"/>
  <c r="O2" i="6" s="1"/>
  <c r="O4" i="6" a="1"/>
  <c r="O4" i="6" s="1"/>
  <c r="P6" i="6" a="1"/>
  <c r="P6" i="6" s="1"/>
  <c r="T10" i="6" a="1"/>
  <c r="T10" i="6" s="1"/>
  <c r="F16" i="6" a="1"/>
  <c r="F16" i="6" s="1"/>
  <c r="H27" i="6" a="1"/>
  <c r="H27" i="6" s="1"/>
  <c r="T32" i="6" a="1"/>
  <c r="T32" i="6" s="1"/>
  <c r="L34" i="6" a="1"/>
  <c r="L34" i="6" s="1"/>
  <c r="C36" i="6" a="1"/>
  <c r="C36" i="6" s="1"/>
  <c r="T39" i="6" a="1"/>
  <c r="T39" i="6" s="1"/>
  <c r="U10" i="6" a="1"/>
  <c r="U10" i="6" s="1"/>
  <c r="I18" i="6" a="1"/>
  <c r="I18" i="6" s="1"/>
  <c r="I27" i="6" a="1"/>
  <c r="I27" i="6" s="1"/>
  <c r="O34" i="6" a="1"/>
  <c r="O34" i="6" s="1"/>
  <c r="D36" i="6" a="1"/>
  <c r="D36" i="6" s="1"/>
  <c r="L18" i="5" a="1"/>
  <c r="L18" i="5" s="1"/>
  <c r="P33" i="5" a="1"/>
  <c r="P33" i="5" s="1"/>
  <c r="K12" i="5" a="1"/>
  <c r="K12" i="5" s="1"/>
  <c r="L34" i="5" a="1"/>
  <c r="L34" i="5" s="1"/>
  <c r="H27" i="5" a="1"/>
  <c r="H27" i="5" s="1"/>
  <c r="J29" i="5" a="1"/>
  <c r="J29" i="5" s="1"/>
  <c r="O29" i="5" a="1"/>
  <c r="O29" i="5" s="1"/>
  <c r="L29" i="5" a="1"/>
  <c r="L29" i="5" s="1"/>
  <c r="E29" i="5" a="1"/>
  <c r="E29" i="5" s="1"/>
  <c r="G29" i="5" a="1"/>
  <c r="G29" i="5" s="1"/>
  <c r="I29" i="5" a="1"/>
  <c r="I29" i="5" s="1"/>
  <c r="H29" i="5" a="1"/>
  <c r="H29" i="5" s="1"/>
  <c r="F29" i="5" a="1"/>
  <c r="F29" i="5" s="1"/>
  <c r="M29" i="5" a="1"/>
  <c r="M29" i="5" s="1"/>
  <c r="D29" i="5" a="1"/>
  <c r="D29" i="5" s="1"/>
  <c r="C29" i="5" a="1"/>
  <c r="C29" i="5" s="1"/>
  <c r="B29" i="5" a="1"/>
  <c r="B29" i="5" s="1"/>
  <c r="P29" i="5" a="1"/>
  <c r="P29" i="5" s="1"/>
  <c r="K29" i="5" a="1"/>
  <c r="K29" i="5" s="1"/>
  <c r="N29" i="5" a="1"/>
  <c r="N29" i="5" s="1"/>
  <c r="C36" i="5" a="1"/>
  <c r="C36" i="5" s="1"/>
  <c r="O3" i="5" a="1"/>
  <c r="O3" i="5" s="1"/>
  <c r="F3" i="5" a="1"/>
  <c r="F3" i="5" s="1"/>
  <c r="B3" i="5" a="1"/>
  <c r="B3" i="5" s="1"/>
  <c r="H3" i="5" a="1"/>
  <c r="H3" i="5" s="1"/>
  <c r="G3" i="5" a="1"/>
  <c r="G3" i="5" s="1"/>
  <c r="P3" i="5" a="1"/>
  <c r="P3" i="5" s="1"/>
  <c r="E3" i="5" a="1"/>
  <c r="E3" i="5" s="1"/>
  <c r="L3" i="5" a="1"/>
  <c r="L3" i="5" s="1"/>
  <c r="J3" i="5" a="1"/>
  <c r="J3" i="5" s="1"/>
  <c r="C3" i="5" a="1"/>
  <c r="C3" i="5" s="1"/>
  <c r="N3" i="5" a="1"/>
  <c r="N3" i="5" s="1"/>
  <c r="K3" i="5" a="1"/>
  <c r="K3" i="5" s="1"/>
  <c r="I3" i="5" a="1"/>
  <c r="I3" i="5" s="1"/>
  <c r="D3" i="5" a="1"/>
  <c r="D3" i="5" s="1"/>
  <c r="H8" i="5" a="1"/>
  <c r="H8" i="5" s="1"/>
  <c r="D36" i="5" a="1"/>
  <c r="D36" i="5" s="1"/>
  <c r="N14" i="5" a="1"/>
  <c r="N14" i="5" s="1"/>
  <c r="E21" i="5" a="1"/>
  <c r="E21" i="5" s="1"/>
  <c r="N46" i="5" a="1"/>
  <c r="N46" i="5" s="1"/>
  <c r="M3" i="5" a="1"/>
  <c r="M3" i="5" s="1"/>
  <c r="E47" i="5" a="1"/>
  <c r="E47" i="5" s="1"/>
  <c r="K47" i="5" a="1"/>
  <c r="K47" i="5" s="1"/>
  <c r="P47" i="5" a="1"/>
  <c r="P47" i="5" s="1"/>
  <c r="D47" i="5" a="1"/>
  <c r="D47" i="5" s="1"/>
  <c r="O47" i="5" a="1"/>
  <c r="O47" i="5" s="1"/>
  <c r="C47" i="5" a="1"/>
  <c r="C47" i="5" s="1"/>
  <c r="N47" i="5" a="1"/>
  <c r="N47" i="5" s="1"/>
  <c r="M47" i="5" a="1"/>
  <c r="M47" i="5" s="1"/>
  <c r="B47" i="5" a="1"/>
  <c r="B47" i="5" s="1"/>
  <c r="G47" i="5" a="1"/>
  <c r="G47" i="5" s="1"/>
  <c r="J47" i="5" a="1"/>
  <c r="J47" i="5" s="1"/>
  <c r="I47" i="5" a="1"/>
  <c r="I47" i="5" s="1"/>
  <c r="L47" i="5" a="1"/>
  <c r="L47" i="5" s="1"/>
  <c r="H47" i="5" a="1"/>
  <c r="H47" i="5" s="1"/>
  <c r="F47" i="5" a="1"/>
  <c r="F47" i="5" s="1"/>
  <c r="K9" i="5" a="1"/>
  <c r="K9" i="5" s="1"/>
  <c r="E40" i="5" a="1"/>
  <c r="E40" i="5" s="1"/>
  <c r="B40" i="5" a="1"/>
  <c r="B40" i="5" s="1"/>
  <c r="P40" i="5" a="1"/>
  <c r="P40" i="5" s="1"/>
  <c r="O40" i="5" a="1"/>
  <c r="O40" i="5" s="1"/>
  <c r="K40" i="5" a="1"/>
  <c r="K40" i="5" s="1"/>
  <c r="K10" i="5" a="1"/>
  <c r="K10" i="5" s="1"/>
  <c r="J48" i="5" a="1"/>
  <c r="J48" i="5" s="1"/>
  <c r="I40" i="5" a="1"/>
  <c r="I40" i="5" s="1"/>
  <c r="I39" i="5" a="1"/>
  <c r="I39" i="5" s="1"/>
  <c r="H34" i="5" a="1"/>
  <c r="H34" i="5" s="1"/>
  <c r="D32" i="5" a="1"/>
  <c r="D32" i="5" s="1"/>
  <c r="I27" i="5" a="1"/>
  <c r="I27" i="5" s="1"/>
  <c r="K20" i="5" a="1"/>
  <c r="K20" i="5" s="1"/>
  <c r="H14" i="5" a="1"/>
  <c r="H14" i="5" s="1"/>
  <c r="F4" i="5" a="1"/>
  <c r="F4" i="5" s="1"/>
  <c r="G40" i="5" a="1"/>
  <c r="G40" i="5" s="1"/>
  <c r="F39" i="5" a="1"/>
  <c r="F39" i="5" s="1"/>
  <c r="F34" i="5" a="1"/>
  <c r="F34" i="5" s="1"/>
  <c r="D15" i="5" a="1"/>
  <c r="D15" i="5" s="1"/>
  <c r="C10" i="5" a="1"/>
  <c r="C10" i="5" s="1"/>
  <c r="F48" i="5" a="1"/>
  <c r="F48" i="5" s="1"/>
  <c r="F40" i="5" a="1"/>
  <c r="F40" i="5" s="1"/>
  <c r="E34" i="5" a="1"/>
  <c r="E34" i="5" s="1"/>
  <c r="F20" i="5" a="1"/>
  <c r="F20" i="5" s="1"/>
  <c r="O48" i="5" a="1"/>
  <c r="O48" i="5" s="1"/>
  <c r="H32" i="5" a="1"/>
  <c r="H32" i="5" s="1"/>
  <c r="L27" i="5" a="1"/>
  <c r="L27" i="5" s="1"/>
  <c r="H15" i="5" a="1"/>
  <c r="H15" i="5" s="1"/>
  <c r="I12" i="5" a="1"/>
  <c r="I12" i="5" s="1"/>
  <c r="N48" i="5" a="1"/>
  <c r="N48" i="5" s="1"/>
  <c r="H40" i="5" a="1"/>
  <c r="H40" i="5" s="1"/>
  <c r="C40" i="5" a="1"/>
  <c r="C40" i="5" s="1"/>
  <c r="I15" i="5" a="1"/>
  <c r="I15" i="5" s="1"/>
  <c r="E41" i="5" a="1"/>
  <c r="E41" i="5" s="1"/>
  <c r="G35" i="5" a="1"/>
  <c r="G35" i="5" s="1"/>
  <c r="M32" i="5" a="1"/>
  <c r="M32" i="5" s="1"/>
  <c r="G14" i="5" a="1"/>
  <c r="G14" i="5" s="1"/>
  <c r="I10" i="5" a="1"/>
  <c r="I10" i="5" s="1"/>
  <c r="J5" i="5" a="1"/>
  <c r="J5" i="5" s="1"/>
  <c r="E4" i="5" a="1"/>
  <c r="E4" i="5" s="1"/>
  <c r="C41" i="5" a="1"/>
  <c r="C41" i="5" s="1"/>
  <c r="M39" i="5" a="1"/>
  <c r="M39" i="5" s="1"/>
  <c r="K30" i="5" a="1"/>
  <c r="K30" i="5" s="1"/>
  <c r="J20" i="5" a="1"/>
  <c r="J20" i="5" s="1"/>
  <c r="P17" i="5" a="1"/>
  <c r="P17" i="5" s="1"/>
  <c r="E20" i="5" a="1"/>
  <c r="E20" i="5" s="1"/>
  <c r="C32" i="5" a="1"/>
  <c r="C32" i="5" s="1"/>
  <c r="J30" i="5" a="1"/>
  <c r="J30" i="5" s="1"/>
  <c r="K17" i="5" a="1"/>
  <c r="K17" i="5" s="1"/>
  <c r="J12" i="5" a="1"/>
  <c r="J12" i="5" s="1"/>
  <c r="B5" i="5" a="1"/>
  <c r="B5" i="5" s="1"/>
  <c r="P2" i="5" a="1"/>
  <c r="P2" i="5" s="1"/>
  <c r="B41" i="5" a="1"/>
  <c r="B41" i="5" s="1"/>
  <c r="I30" i="5" a="1"/>
  <c r="I30" i="5" s="1"/>
  <c r="H39" i="5" a="1"/>
  <c r="H39" i="5" s="1"/>
  <c r="M34" i="5" a="1"/>
  <c r="M34" i="5" s="1"/>
  <c r="J24" i="5" a="1"/>
  <c r="J24" i="5" s="1"/>
  <c r="N34" i="5" a="1"/>
  <c r="N34" i="5" s="1"/>
  <c r="H30" i="5" a="1"/>
  <c r="H30" i="5" s="1"/>
  <c r="J27" i="5" a="1"/>
  <c r="J27" i="5" s="1"/>
  <c r="N24" i="5" a="1"/>
  <c r="N24" i="5" s="1"/>
  <c r="I17" i="5" a="1"/>
  <c r="I17" i="5" s="1"/>
  <c r="K2" i="5" a="1"/>
  <c r="K2" i="5" s="1"/>
  <c r="H48" i="5" a="1"/>
  <c r="H48" i="5" s="1"/>
  <c r="C35" i="5" a="1"/>
  <c r="C35" i="5" s="1"/>
  <c r="O32" i="5" a="1"/>
  <c r="O32" i="5" s="1"/>
  <c r="E30" i="5" a="1"/>
  <c r="E30" i="5" s="1"/>
  <c r="B28" i="5" a="1"/>
  <c r="B28" i="5" s="1"/>
  <c r="L20" i="5" a="1"/>
  <c r="L20" i="5" s="1"/>
  <c r="P15" i="5" a="1"/>
  <c r="P15" i="5" s="1"/>
  <c r="D2" i="5" a="1"/>
  <c r="D2" i="5" s="1"/>
  <c r="J45" i="5" a="1"/>
  <c r="J45" i="5" s="1"/>
  <c r="N42" i="5" a="1"/>
  <c r="N42" i="5" s="1"/>
  <c r="N32" i="5" a="1"/>
  <c r="N32" i="5" s="1"/>
  <c r="N22" i="5" a="1"/>
  <c r="N22" i="5" s="1"/>
  <c r="O15" i="5" a="1"/>
  <c r="O15" i="5" s="1"/>
  <c r="K5" i="5" a="1"/>
  <c r="K5" i="5" s="1"/>
  <c r="G27" i="5" a="1"/>
  <c r="G27" i="5" s="1"/>
  <c r="H17" i="5" a="1"/>
  <c r="H17" i="5" s="1"/>
  <c r="G15" i="5" a="1"/>
  <c r="G15" i="5" s="1"/>
  <c r="G5" i="5" a="1"/>
  <c r="G5" i="5" s="1"/>
  <c r="M44" i="5" a="1"/>
  <c r="M44" i="5" s="1"/>
  <c r="G34" i="5" a="1"/>
  <c r="G34" i="5" s="1"/>
  <c r="B22" i="5" a="1"/>
  <c r="B22" i="5" s="1"/>
  <c r="F17" i="5" a="1"/>
  <c r="F17" i="5" s="1"/>
  <c r="E15" i="5" a="1"/>
  <c r="E15" i="5" s="1"/>
  <c r="B9" i="5" a="1"/>
  <c r="B9" i="5" s="1"/>
  <c r="O6" i="5" a="1"/>
  <c r="O6" i="5" s="1"/>
  <c r="O44" i="5" a="1"/>
  <c r="O44" i="5" s="1"/>
  <c r="F27" i="5" a="1"/>
  <c r="F27" i="5" s="1"/>
  <c r="H24" i="5" a="1"/>
  <c r="H24" i="5" s="1"/>
  <c r="F15" i="5" a="1"/>
  <c r="F15" i="5" s="1"/>
  <c r="L44" i="5" a="1"/>
  <c r="L44" i="5" s="1"/>
  <c r="E39" i="5" a="1"/>
  <c r="E39" i="5" s="1"/>
  <c r="G24" i="5" a="1"/>
  <c r="G24" i="5" s="1"/>
  <c r="O4" i="5" a="1"/>
  <c r="O4" i="5" s="1"/>
  <c r="N41" i="5" a="1"/>
  <c r="N41" i="5" s="1"/>
  <c r="O26" i="5" a="1"/>
  <c r="O26" i="5" s="1"/>
  <c r="F24" i="5" a="1"/>
  <c r="F24" i="5" s="1"/>
  <c r="L21" i="5" a="1"/>
  <c r="L21" i="5" s="1"/>
  <c r="N6" i="5" a="1"/>
  <c r="N6" i="5" s="1"/>
  <c r="B24" i="5" a="1"/>
  <c r="B24" i="5" s="1"/>
  <c r="H10" i="5" a="1"/>
  <c r="H10" i="5" s="1"/>
  <c r="G8" i="5" a="1"/>
  <c r="G8" i="5" s="1"/>
  <c r="I4" i="5" a="1"/>
  <c r="I4" i="5" s="1"/>
  <c r="L33" i="5" a="1"/>
  <c r="L33" i="5" s="1"/>
  <c r="C21" i="5" a="1"/>
  <c r="C21" i="5" s="1"/>
  <c r="L14" i="5" a="1"/>
  <c r="L14" i="5" s="1"/>
  <c r="G10" i="5" a="1"/>
  <c r="G10" i="5" s="1"/>
  <c r="K46" i="5" a="1"/>
  <c r="K46" i="5" s="1"/>
  <c r="M38" i="5" a="1"/>
  <c r="M38" i="5" s="1"/>
  <c r="I28" i="5" a="1"/>
  <c r="I28" i="5" s="1"/>
  <c r="D12" i="5" a="1"/>
  <c r="D12" i="5" s="1"/>
  <c r="J2" i="5" a="1"/>
  <c r="J2" i="5" s="1"/>
  <c r="K38" i="5" a="1"/>
  <c r="K38" i="5" s="1"/>
  <c r="N30" i="5" a="1"/>
  <c r="N30" i="5" s="1"/>
  <c r="H28" i="5" a="1"/>
  <c r="H28" i="5" s="1"/>
  <c r="I14" i="5" a="1"/>
  <c r="I14" i="5" s="1"/>
  <c r="H2" i="5" a="1"/>
  <c r="H2" i="5" s="1"/>
  <c r="I35" i="5" a="1"/>
  <c r="I35" i="5" s="1"/>
  <c r="L30" i="5" a="1"/>
  <c r="L30" i="5" s="1"/>
  <c r="F28" i="5" a="1"/>
  <c r="F28" i="5" s="1"/>
  <c r="C4" i="5" a="1"/>
  <c r="C4" i="5" s="1"/>
  <c r="D42" i="5" a="1"/>
  <c r="D42" i="5" s="1"/>
  <c r="D40" i="5" a="1"/>
  <c r="D40" i="5" s="1"/>
  <c r="L11" i="5" a="1"/>
  <c r="L11" i="5" s="1"/>
  <c r="J40" i="5" a="1"/>
  <c r="J40" i="5" s="1"/>
  <c r="G30" i="5" a="1"/>
  <c r="G30" i="5" s="1"/>
  <c r="C28" i="5" a="1"/>
  <c r="C28" i="5" s="1"/>
  <c r="M5" i="5" a="1"/>
  <c r="M5" i="5" s="1"/>
  <c r="B4" i="5" a="1"/>
  <c r="B4" i="5" s="1"/>
  <c r="D35" i="5" a="1"/>
  <c r="D35" i="5" s="1"/>
  <c r="P32" i="5" a="1"/>
  <c r="P32" i="5" s="1"/>
  <c r="F30" i="5" a="1"/>
  <c r="F30" i="5" s="1"/>
  <c r="P22" i="5" a="1"/>
  <c r="P22" i="5" s="1"/>
  <c r="P20" i="5" a="1"/>
  <c r="P20" i="5" s="1"/>
  <c r="O9" i="5" a="1"/>
  <c r="O9" i="5" s="1"/>
  <c r="L5" i="5" a="1"/>
  <c r="L5" i="5" s="1"/>
  <c r="F8" i="5" a="1"/>
  <c r="F8" i="5" s="1"/>
  <c r="N15" i="5" a="1"/>
  <c r="N15" i="5" s="1"/>
  <c r="H4" i="5" a="1"/>
  <c r="H4" i="5" s="1"/>
  <c r="M16" i="5" a="1"/>
  <c r="M16" i="5" s="1"/>
  <c r="D16" i="5" a="1"/>
  <c r="D16" i="5" s="1"/>
  <c r="L16" i="5" a="1"/>
  <c r="L16" i="5" s="1"/>
  <c r="C16" i="5" a="1"/>
  <c r="C16" i="5" s="1"/>
  <c r="B16" i="5" a="1"/>
  <c r="B16" i="5" s="1"/>
  <c r="P16" i="5" a="1"/>
  <c r="P16" i="5" s="1"/>
  <c r="E16" i="5" a="1"/>
  <c r="E16" i="5" s="1"/>
  <c r="H16" i="5" a="1"/>
  <c r="H16" i="5" s="1"/>
  <c r="G16" i="5" a="1"/>
  <c r="G16" i="5" s="1"/>
  <c r="F16" i="5" a="1"/>
  <c r="F16" i="5" s="1"/>
  <c r="K16" i="5" a="1"/>
  <c r="K16" i="5" s="1"/>
  <c r="N16" i="5" a="1"/>
  <c r="N16" i="5" s="1"/>
  <c r="J16" i="5" a="1"/>
  <c r="J16" i="5" s="1"/>
  <c r="I16" i="5" a="1"/>
  <c r="I16" i="5" s="1"/>
  <c r="P21" i="5" a="1"/>
  <c r="P21" i="5" s="1"/>
  <c r="N23" i="5" a="1"/>
  <c r="N23" i="5" s="1"/>
  <c r="M23" i="5" a="1"/>
  <c r="M23" i="5" s="1"/>
  <c r="O23" i="5" a="1"/>
  <c r="O23" i="5" s="1"/>
  <c r="D23" i="5" a="1"/>
  <c r="D23" i="5" s="1"/>
  <c r="K23" i="5" a="1"/>
  <c r="K23" i="5" s="1"/>
  <c r="F23" i="5" a="1"/>
  <c r="F23" i="5" s="1"/>
  <c r="C23" i="5" a="1"/>
  <c r="C23" i="5" s="1"/>
  <c r="B23" i="5" a="1"/>
  <c r="B23" i="5" s="1"/>
  <c r="P23" i="5" a="1"/>
  <c r="P23" i="5" s="1"/>
  <c r="L23" i="5" a="1"/>
  <c r="L23" i="5" s="1"/>
  <c r="E23" i="5" a="1"/>
  <c r="E23" i="5" s="1"/>
  <c r="H23" i="5" a="1"/>
  <c r="H23" i="5" s="1"/>
  <c r="G23" i="5" a="1"/>
  <c r="G23" i="5" s="1"/>
  <c r="I6" i="5" a="1"/>
  <c r="I6" i="5" s="1"/>
  <c r="H6" i="5" a="1"/>
  <c r="H6" i="5" s="1"/>
  <c r="L6" i="5" a="1"/>
  <c r="L6" i="5" s="1"/>
  <c r="B6" i="5" a="1"/>
  <c r="B6" i="5" s="1"/>
  <c r="P6" i="5" a="1"/>
  <c r="P6" i="5" s="1"/>
  <c r="K6" i="5" a="1"/>
  <c r="K6" i="5" s="1"/>
  <c r="J6" i="5" a="1"/>
  <c r="J6" i="5" s="1"/>
  <c r="D6" i="5" a="1"/>
  <c r="D6" i="5" s="1"/>
  <c r="M6" i="5" a="1"/>
  <c r="M6" i="5" s="1"/>
  <c r="F6" i="5" a="1"/>
  <c r="F6" i="5" s="1"/>
  <c r="E6" i="5" a="1"/>
  <c r="E6" i="5" s="1"/>
  <c r="O8" i="5" a="1"/>
  <c r="O8" i="5" s="1"/>
  <c r="I23" i="5" a="1"/>
  <c r="I23" i="5" s="1"/>
  <c r="H33" i="5" a="1"/>
  <c r="H33" i="5" s="1"/>
  <c r="G33" i="5" a="1"/>
  <c r="G33" i="5" s="1"/>
  <c r="F33" i="5" a="1"/>
  <c r="F33" i="5" s="1"/>
  <c r="O33" i="5" a="1"/>
  <c r="O33" i="5" s="1"/>
  <c r="D33" i="5" a="1"/>
  <c r="D33" i="5" s="1"/>
  <c r="E33" i="5" a="1"/>
  <c r="E33" i="5" s="1"/>
  <c r="I33" i="5" a="1"/>
  <c r="I33" i="5" s="1"/>
  <c r="K33" i="5" a="1"/>
  <c r="K33" i="5" s="1"/>
  <c r="C33" i="5" a="1"/>
  <c r="C33" i="5" s="1"/>
  <c r="J33" i="5" a="1"/>
  <c r="J33" i="5" s="1"/>
  <c r="J23" i="5" a="1"/>
  <c r="J23" i="5" s="1"/>
  <c r="L26" i="5" a="1"/>
  <c r="L26" i="5" s="1"/>
  <c r="B26" i="5" a="1"/>
  <c r="B26" i="5" s="1"/>
  <c r="G26" i="5" a="1"/>
  <c r="G26" i="5" s="1"/>
  <c r="I26" i="5" a="1"/>
  <c r="I26" i="5" s="1"/>
  <c r="I31" i="5" s="1" a="1"/>
  <c r="I31" i="5" s="1"/>
  <c r="F26" i="5" a="1"/>
  <c r="F26" i="5" s="1"/>
  <c r="E26" i="5" a="1"/>
  <c r="E26" i="5" s="1"/>
  <c r="D26" i="5" a="1"/>
  <c r="D26" i="5" s="1"/>
  <c r="P26" i="5" a="1"/>
  <c r="P26" i="5" s="1"/>
  <c r="C26" i="5" a="1"/>
  <c r="C26" i="5" s="1"/>
  <c r="M26" i="5" a="1"/>
  <c r="M26" i="5" s="1"/>
  <c r="N26" i="5" a="1"/>
  <c r="N26" i="5" s="1"/>
  <c r="J26" i="5" a="1"/>
  <c r="J26" i="5" s="1"/>
  <c r="H26" i="5" a="1"/>
  <c r="H26" i="5" s="1"/>
  <c r="B33" i="5" a="1"/>
  <c r="B33" i="5" s="1"/>
  <c r="E36" i="5" a="1"/>
  <c r="E36" i="5" s="1"/>
  <c r="M36" i="5" a="1"/>
  <c r="M36" i="5" s="1"/>
  <c r="J36" i="5" a="1"/>
  <c r="J36" i="5" s="1"/>
  <c r="K36" i="5" a="1"/>
  <c r="K36" i="5" s="1"/>
  <c r="L36" i="5" a="1"/>
  <c r="L36" i="5" s="1"/>
  <c r="P36" i="5" a="1"/>
  <c r="P36" i="5" s="1"/>
  <c r="B36" i="5" a="1"/>
  <c r="B36" i="5" s="1"/>
  <c r="I36" i="5" a="1"/>
  <c r="I36" i="5" s="1"/>
  <c r="H36" i="5" a="1"/>
  <c r="H36" i="5" s="1"/>
  <c r="N36" i="5" a="1"/>
  <c r="N36" i="5" s="1"/>
  <c r="G36" i="5" a="1"/>
  <c r="G36" i="5" s="1"/>
  <c r="F36" i="5" a="1"/>
  <c r="F36" i="5" s="1"/>
  <c r="G6" i="5" a="1"/>
  <c r="G6" i="5" s="1"/>
  <c r="O16" i="5" a="1"/>
  <c r="O16" i="5" s="1"/>
  <c r="K26" i="5" a="1"/>
  <c r="K26" i="5" s="1"/>
  <c r="M33" i="5" a="1"/>
  <c r="M33" i="5" s="1"/>
  <c r="O36" i="5" a="1"/>
  <c r="O36" i="5" s="1"/>
  <c r="N9" i="5" a="1"/>
  <c r="N9" i="5" s="1"/>
  <c r="E9" i="5" a="1"/>
  <c r="E9" i="5" s="1"/>
  <c r="M9" i="5" a="1"/>
  <c r="M9" i="5" s="1"/>
  <c r="D9" i="5" a="1"/>
  <c r="D9" i="5" s="1"/>
  <c r="G9" i="5" a="1"/>
  <c r="G9" i="5" s="1"/>
  <c r="J9" i="5" a="1"/>
  <c r="J9" i="5" s="1"/>
  <c r="F9" i="5" a="1"/>
  <c r="F9" i="5" s="1"/>
  <c r="P9" i="5" a="1"/>
  <c r="P9" i="5" s="1"/>
  <c r="H9" i="5" a="1"/>
  <c r="H9" i="5" s="1"/>
  <c r="L9" i="5" a="1"/>
  <c r="L9" i="5" s="1"/>
  <c r="I9" i="5" a="1"/>
  <c r="I9" i="5" s="1"/>
  <c r="L22" i="5" a="1"/>
  <c r="L22" i="5" s="1"/>
  <c r="K22" i="5" a="1"/>
  <c r="K22" i="5" s="1"/>
  <c r="J22" i="5" a="1"/>
  <c r="J22" i="5" s="1"/>
  <c r="G22" i="5" a="1"/>
  <c r="G22" i="5" s="1"/>
  <c r="F22" i="5" a="1"/>
  <c r="F22" i="5" s="1"/>
  <c r="E22" i="5" a="1"/>
  <c r="E22" i="5" s="1"/>
  <c r="D22" i="5" a="1"/>
  <c r="D22" i="5" s="1"/>
  <c r="M22" i="5" a="1"/>
  <c r="M22" i="5" s="1"/>
  <c r="H22" i="5" a="1"/>
  <c r="H22" i="5" s="1"/>
  <c r="C1" i="4" a="1"/>
  <c r="C1" i="4" s="1"/>
  <c r="B2" i="4" a="1"/>
  <c r="B2" i="4" s="1"/>
  <c r="B10" i="4" s="1" a="1"/>
  <c r="B10" i="4" s="1"/>
  <c r="C9" i="5" a="1"/>
  <c r="C9" i="5" s="1"/>
  <c r="C22" i="5" a="1"/>
  <c r="C22" i="5" s="1"/>
  <c r="L42" i="5" a="1"/>
  <c r="L42" i="5" s="1"/>
  <c r="F42" i="5" a="1"/>
  <c r="F42" i="5" s="1"/>
  <c r="C42" i="5" a="1"/>
  <c r="C42" i="5" s="1"/>
  <c r="H42" i="5" a="1"/>
  <c r="H42" i="5" s="1"/>
  <c r="J42" i="5" a="1"/>
  <c r="J42" i="5" s="1"/>
  <c r="G42" i="5" a="1"/>
  <c r="G42" i="5" s="1"/>
  <c r="I42" i="5" a="1"/>
  <c r="I42" i="5" s="1"/>
  <c r="E42" i="5" a="1"/>
  <c r="E42" i="5" s="1"/>
  <c r="O42" i="5" a="1"/>
  <c r="O42" i="5" s="1"/>
  <c r="M42" i="5" a="1"/>
  <c r="M42" i="5" s="1"/>
  <c r="K42" i="5" a="1"/>
  <c r="K42" i="5" s="1"/>
  <c r="P11" i="5" a="1"/>
  <c r="P11" i="5" s="1"/>
  <c r="G11" i="5" a="1"/>
  <c r="G11" i="5" s="1"/>
  <c r="O11" i="5" a="1"/>
  <c r="O11" i="5" s="1"/>
  <c r="F11" i="5" a="1"/>
  <c r="F11" i="5" s="1"/>
  <c r="M11" i="5" a="1"/>
  <c r="M11" i="5" s="1"/>
  <c r="C11" i="5" a="1"/>
  <c r="C11" i="5" s="1"/>
  <c r="H11" i="5" a="1"/>
  <c r="H11" i="5" s="1"/>
  <c r="E11" i="5" a="1"/>
  <c r="E11" i="5" s="1"/>
  <c r="D11" i="5" a="1"/>
  <c r="D11" i="5" s="1"/>
  <c r="B11" i="5" a="1"/>
  <c r="B11" i="5" s="1"/>
  <c r="N11" i="5" a="1"/>
  <c r="N11" i="5" s="1"/>
  <c r="J11" i="5" a="1"/>
  <c r="J11" i="5" s="1"/>
  <c r="I11" i="5" a="1"/>
  <c r="I11" i="5" s="1"/>
  <c r="B27" i="5" a="1"/>
  <c r="B27" i="5" s="1"/>
  <c r="B40" i="4" a="1"/>
  <c r="B40" i="4" s="1"/>
  <c r="I22" i="5" a="1"/>
  <c r="I22" i="5" s="1"/>
  <c r="B42" i="5" a="1"/>
  <c r="B42" i="5" s="1"/>
  <c r="P45" i="5" a="1"/>
  <c r="P45" i="5" s="1"/>
  <c r="F45" i="5" a="1"/>
  <c r="F45" i="5" s="1"/>
  <c r="E45" i="5" a="1"/>
  <c r="E45" i="5" s="1"/>
  <c r="H45" i="5" a="1"/>
  <c r="H45" i="5" s="1"/>
  <c r="K45" i="5" a="1"/>
  <c r="K45" i="5" s="1"/>
  <c r="N45" i="5" a="1"/>
  <c r="N45" i="5" s="1"/>
  <c r="L45" i="5" a="1"/>
  <c r="L45" i="5" s="1"/>
  <c r="I45" i="5" a="1"/>
  <c r="I45" i="5" s="1"/>
  <c r="B45" i="5" a="1"/>
  <c r="B45" i="5" s="1"/>
  <c r="D45" i="5" a="1"/>
  <c r="D45" i="5" s="1"/>
  <c r="G45" i="5" a="1"/>
  <c r="G45" i="5" s="1"/>
  <c r="C45" i="5" a="1"/>
  <c r="C45" i="5" s="1"/>
  <c r="M45" i="5" a="1"/>
  <c r="M45" i="5" s="1"/>
  <c r="O45" i="5" a="1"/>
  <c r="O45" i="5" s="1"/>
  <c r="O18" i="5" a="1"/>
  <c r="O18" i="5" s="1"/>
  <c r="F18" i="5" a="1"/>
  <c r="F18" i="5" s="1"/>
  <c r="N18" i="5" a="1"/>
  <c r="N18" i="5" s="1"/>
  <c r="E18" i="5" a="1"/>
  <c r="E18" i="5" s="1"/>
  <c r="K18" i="5" a="1"/>
  <c r="K18" i="5" s="1"/>
  <c r="D18" i="5" a="1"/>
  <c r="D18" i="5" s="1"/>
  <c r="I18" i="5" a="1"/>
  <c r="I18" i="5" s="1"/>
  <c r="J18" i="5" a="1"/>
  <c r="J18" i="5" s="1"/>
  <c r="H18" i="5" a="1"/>
  <c r="H18" i="5" s="1"/>
  <c r="G18" i="5" a="1"/>
  <c r="G18" i="5" s="1"/>
  <c r="M18" i="5" a="1"/>
  <c r="M18" i="5" s="1"/>
  <c r="B18" i="5" a="1"/>
  <c r="B18" i="5" s="1"/>
  <c r="P18" i="5" a="1"/>
  <c r="P18" i="5" s="1"/>
  <c r="B47" i="4" a="1"/>
  <c r="B47" i="4" s="1"/>
  <c r="C18" i="5" a="1"/>
  <c r="C18" i="5" s="1"/>
  <c r="O22" i="5" a="1"/>
  <c r="O22" i="5" s="1"/>
  <c r="P42" i="5" a="1"/>
  <c r="P42" i="5" s="1"/>
  <c r="B18" i="4" a="1"/>
  <c r="B18" i="4" s="1"/>
  <c r="O21" i="5" a="1"/>
  <c r="O21" i="5" s="1"/>
  <c r="J38" i="5" a="1"/>
  <c r="J38" i="5" s="1"/>
  <c r="I38" i="5" a="1"/>
  <c r="I38" i="5" s="1"/>
  <c r="O38" i="5" a="1"/>
  <c r="O38" i="5" s="1"/>
  <c r="L38" i="5" a="1"/>
  <c r="L38" i="5" s="1"/>
  <c r="E38" i="5" a="1"/>
  <c r="E38" i="5" s="1"/>
  <c r="F38" i="5" a="1"/>
  <c r="F38" i="5" s="1"/>
  <c r="D38" i="5" a="1"/>
  <c r="D38" i="5" s="1"/>
  <c r="G38" i="5" a="1"/>
  <c r="G38" i="5" s="1"/>
  <c r="B38" i="5" a="1"/>
  <c r="B38" i="5" s="1"/>
  <c r="M10" i="5" a="1"/>
  <c r="M10" i="5" s="1"/>
  <c r="D44" i="5" a="1"/>
  <c r="D44" i="5" s="1"/>
  <c r="C44" i="5" a="1"/>
  <c r="C44" i="5" s="1"/>
  <c r="N44" i="5" a="1"/>
  <c r="N44" i="5" s="1"/>
  <c r="N49" i="5" s="1" a="1"/>
  <c r="N49" i="5" s="1"/>
  <c r="F44" i="5" a="1"/>
  <c r="F44" i="5" s="1"/>
  <c r="H44" i="5" a="1"/>
  <c r="H44" i="5" s="1"/>
  <c r="I44" i="5" a="1"/>
  <c r="I44" i="5" s="1"/>
  <c r="G44" i="5" a="1"/>
  <c r="G44" i="5" s="1"/>
  <c r="E44" i="5" a="1"/>
  <c r="E44" i="5" s="1"/>
  <c r="B44" i="5" a="1"/>
  <c r="B44" i="5" s="1"/>
  <c r="K44" i="5" a="1"/>
  <c r="K44" i="5" s="1"/>
  <c r="H5" i="5" a="1"/>
  <c r="H5" i="5" s="1"/>
  <c r="F5" i="5" a="1"/>
  <c r="F5" i="5" s="1"/>
  <c r="I5" i="5" a="1"/>
  <c r="I5" i="5" s="1"/>
  <c r="D5" i="5" a="1"/>
  <c r="D5" i="5" s="1"/>
  <c r="P5" i="5" a="1"/>
  <c r="P5" i="5" s="1"/>
  <c r="E5" i="5" a="1"/>
  <c r="E5" i="5" s="1"/>
  <c r="O5" i="5" a="1"/>
  <c r="O5" i="5" s="1"/>
  <c r="N5" i="5" a="1"/>
  <c r="N5" i="5" s="1"/>
  <c r="C5" i="5" a="1"/>
  <c r="C5" i="5" s="1"/>
  <c r="L35" i="5" a="1"/>
  <c r="L35" i="5" s="1"/>
  <c r="K35" i="5" a="1"/>
  <c r="K35" i="5" s="1"/>
  <c r="F35" i="5" a="1"/>
  <c r="F35" i="5" s="1"/>
  <c r="E35" i="5" a="1"/>
  <c r="E35" i="5" s="1"/>
  <c r="N35" i="5" a="1"/>
  <c r="N35" i="5" s="1"/>
  <c r="M35" i="5" a="1"/>
  <c r="M35" i="5" s="1"/>
  <c r="J35" i="5" a="1"/>
  <c r="J35" i="5" s="1"/>
  <c r="O35" i="5" a="1"/>
  <c r="O35" i="5" s="1"/>
  <c r="G46" i="5" a="1"/>
  <c r="G46" i="5" s="1"/>
  <c r="L46" i="5" a="1"/>
  <c r="L46" i="5" s="1"/>
  <c r="P46" i="5" a="1"/>
  <c r="P46" i="5" s="1"/>
  <c r="E46" i="5" a="1"/>
  <c r="E46" i="5" s="1"/>
  <c r="J46" i="5" a="1"/>
  <c r="J46" i="5" s="1"/>
  <c r="H46" i="5" a="1"/>
  <c r="H46" i="5" s="1"/>
  <c r="B46" i="5" a="1"/>
  <c r="B46" i="5" s="1"/>
  <c r="O46" i="5" a="1"/>
  <c r="O46" i="5" s="1"/>
  <c r="F46" i="5" a="1"/>
  <c r="F46" i="5" s="1"/>
  <c r="D46" i="5" a="1"/>
  <c r="D46" i="5" s="1"/>
  <c r="C46" i="5" a="1"/>
  <c r="C46" i="5" s="1"/>
  <c r="I46" i="5" a="1"/>
  <c r="I46" i="5" s="1"/>
  <c r="B7" i="4" a="1"/>
  <c r="B7" i="4" s="1"/>
  <c r="B42" i="4" a="1"/>
  <c r="B42" i="4" s="1"/>
  <c r="J4" i="5" a="1"/>
  <c r="J4" i="5" s="1"/>
  <c r="P28" i="5" a="1"/>
  <c r="P28" i="5" s="1"/>
  <c r="O28" i="5" a="1"/>
  <c r="O28" i="5" s="1"/>
  <c r="E28" i="5" a="1"/>
  <c r="E28" i="5" s="1"/>
  <c r="G28" i="5" a="1"/>
  <c r="G28" i="5" s="1"/>
  <c r="M28" i="5" a="1"/>
  <c r="M28" i="5" s="1"/>
  <c r="L28" i="5" a="1"/>
  <c r="L28" i="5" s="1"/>
  <c r="K28" i="5" a="1"/>
  <c r="K28" i="5" s="1"/>
  <c r="J28" i="5" a="1"/>
  <c r="J28" i="5" s="1"/>
  <c r="C38" i="5" a="1"/>
  <c r="C38" i="5" s="1"/>
  <c r="J44" i="5" a="1"/>
  <c r="J44" i="5" s="1"/>
  <c r="J49" i="5" s="1" a="1"/>
  <c r="J49" i="5" s="1"/>
  <c r="B49" i="4" a="1"/>
  <c r="B49" i="4" s="1"/>
  <c r="B35" i="5" a="1"/>
  <c r="B35" i="5" s="1"/>
  <c r="H38" i="5" a="1"/>
  <c r="H38" i="5" s="1"/>
  <c r="B5" i="4" a="1"/>
  <c r="B5" i="4" s="1"/>
  <c r="M8" i="5" a="1"/>
  <c r="M8" i="5" s="1"/>
  <c r="L8" i="5" a="1"/>
  <c r="L8" i="5" s="1"/>
  <c r="C8" i="5" a="1"/>
  <c r="C8" i="5" s="1"/>
  <c r="N8" i="5" a="1"/>
  <c r="N8" i="5" s="1"/>
  <c r="D8" i="5" a="1"/>
  <c r="D8" i="5" s="1"/>
  <c r="I8" i="5" a="1"/>
  <c r="I8" i="5" s="1"/>
  <c r="I13" i="5" s="1" a="1"/>
  <c r="I13" i="5" s="1"/>
  <c r="P8" i="5" a="1"/>
  <c r="P8" i="5" s="1"/>
  <c r="E8" i="5" a="1"/>
  <c r="E8" i="5" s="1"/>
  <c r="J8" i="5" a="1"/>
  <c r="J8" i="5" s="1"/>
  <c r="K8" i="5" a="1"/>
  <c r="K8" i="5" s="1"/>
  <c r="K13" i="5" s="1" a="1"/>
  <c r="K13" i="5" s="1"/>
  <c r="J21" i="5" a="1"/>
  <c r="J21" i="5" s="1"/>
  <c r="I21" i="5" a="1"/>
  <c r="I21" i="5" s="1"/>
  <c r="F21" i="5" a="1"/>
  <c r="F21" i="5" s="1"/>
  <c r="N21" i="5" a="1"/>
  <c r="N21" i="5" s="1"/>
  <c r="B21" i="5" a="1"/>
  <c r="B21" i="5" s="1"/>
  <c r="H21" i="5" a="1"/>
  <c r="H21" i="5" s="1"/>
  <c r="G21" i="5" a="1"/>
  <c r="G21" i="5" s="1"/>
  <c r="M21" i="5" a="1"/>
  <c r="M21" i="5" s="1"/>
  <c r="K21" i="5" a="1"/>
  <c r="K21" i="5" s="1"/>
  <c r="P44" i="5" a="1"/>
  <c r="P44" i="5" s="1"/>
  <c r="B11" i="4" a="1"/>
  <c r="B11" i="4" s="1"/>
  <c r="B34" i="4" a="1"/>
  <c r="B34" i="4" s="1"/>
  <c r="N2" i="5" a="1"/>
  <c r="N2" i="5" s="1"/>
  <c r="N7" i="5" s="1" a="1"/>
  <c r="N7" i="5" s="1"/>
  <c r="E2" i="5" a="1"/>
  <c r="E2" i="5" s="1"/>
  <c r="E7" i="5" s="1" a="1"/>
  <c r="E7" i="5" s="1"/>
  <c r="I2" i="5" a="1"/>
  <c r="I2" i="5" s="1"/>
  <c r="I7" i="5" s="1" a="1"/>
  <c r="I7" i="5" s="1"/>
  <c r="B2" i="5" a="1"/>
  <c r="B2" i="5" s="1"/>
  <c r="C2" i="5" a="1"/>
  <c r="C2" i="5" s="1"/>
  <c r="C7" i="5" s="1" a="1"/>
  <c r="C7" i="5" s="1"/>
  <c r="M2" i="5" a="1"/>
  <c r="M2" i="5" s="1"/>
  <c r="M7" i="5" s="1" a="1"/>
  <c r="M7" i="5" s="1"/>
  <c r="L2" i="5" a="1"/>
  <c r="L2" i="5" s="1"/>
  <c r="G2" i="5" a="1"/>
  <c r="G2" i="5" s="1"/>
  <c r="F2" i="5" a="1"/>
  <c r="F2" i="5" s="1"/>
  <c r="O2" i="5" a="1"/>
  <c r="O2" i="5" s="1"/>
  <c r="B8" i="5" a="1"/>
  <c r="B8" i="5" s="1"/>
  <c r="P24" i="5" a="1"/>
  <c r="P24" i="5" s="1"/>
  <c r="O24" i="5" a="1"/>
  <c r="O24" i="5" s="1"/>
  <c r="I24" i="5" a="1"/>
  <c r="I24" i="5" s="1"/>
  <c r="E24" i="5" a="1"/>
  <c r="E24" i="5" s="1"/>
  <c r="M24" i="5" a="1"/>
  <c r="M24" i="5" s="1"/>
  <c r="L24" i="5" a="1"/>
  <c r="L24" i="5" s="1"/>
  <c r="K24" i="5" a="1"/>
  <c r="K24" i="5" s="1"/>
  <c r="D28" i="5" a="1"/>
  <c r="D28" i="5" s="1"/>
  <c r="H35" i="5" a="1"/>
  <c r="H35" i="5" s="1"/>
  <c r="N38" i="5" a="1"/>
  <c r="N38" i="5" s="1"/>
  <c r="M46" i="5" a="1"/>
  <c r="M46" i="5" s="1"/>
  <c r="B30" i="4" a="1"/>
  <c r="B30" i="4" s="1"/>
  <c r="N17" i="5" a="1"/>
  <c r="N17" i="5" s="1"/>
  <c r="E17" i="5" a="1"/>
  <c r="E17" i="5" s="1"/>
  <c r="M17" i="5" a="1"/>
  <c r="M17" i="5" s="1"/>
  <c r="D17" i="5" a="1"/>
  <c r="D17" i="5" s="1"/>
  <c r="G17" i="5" a="1"/>
  <c r="G17" i="5" s="1"/>
  <c r="J17" i="5" a="1"/>
  <c r="J17" i="5" s="1"/>
  <c r="C17" i="5" a="1"/>
  <c r="C17" i="5" s="1"/>
  <c r="O17" i="5" a="1"/>
  <c r="O17" i="5" s="1"/>
  <c r="B17" i="5" a="1"/>
  <c r="B17" i="5" s="1"/>
  <c r="L17" i="5" a="1"/>
  <c r="L17" i="5" s="1"/>
  <c r="D21" i="5" a="1"/>
  <c r="D21" i="5" s="1"/>
  <c r="D24" i="5" a="1"/>
  <c r="D24" i="5" s="1"/>
  <c r="N28" i="5" a="1"/>
  <c r="N28" i="5" s="1"/>
  <c r="C30" i="5" a="1"/>
  <c r="C30" i="5" s="1"/>
  <c r="M30" i="5" a="1"/>
  <c r="M30" i="5" s="1"/>
  <c r="P30" i="5" a="1"/>
  <c r="P30" i="5" s="1"/>
  <c r="D30" i="5" a="1"/>
  <c r="D30" i="5" s="1"/>
  <c r="O30" i="5" a="1"/>
  <c r="O30" i="5" s="1"/>
  <c r="B30" i="5" a="1"/>
  <c r="B30" i="5" s="1"/>
  <c r="P35" i="5" a="1"/>
  <c r="P35" i="5" s="1"/>
  <c r="N11" i="6" a="1"/>
  <c r="N11" i="6" s="1"/>
  <c r="K11" i="6" a="1"/>
  <c r="K11" i="6" s="1"/>
  <c r="T11" i="6" a="1"/>
  <c r="T11" i="6" s="1"/>
  <c r="J11" i="6" a="1"/>
  <c r="J11" i="6" s="1"/>
  <c r="O11" i="6" a="1"/>
  <c r="O11" i="6" s="1"/>
  <c r="U11" i="6" a="1"/>
  <c r="U11" i="6" s="1"/>
  <c r="H11" i="6" a="1"/>
  <c r="H11" i="6" s="1"/>
  <c r="I11" i="6" a="1"/>
  <c r="I11" i="6" s="1"/>
  <c r="F11" i="6" a="1"/>
  <c r="F11" i="6" s="1"/>
  <c r="M11" i="6" a="1"/>
  <c r="M11" i="6" s="1"/>
  <c r="L11" i="6" a="1"/>
  <c r="L11" i="6" s="1"/>
  <c r="E11" i="6" a="1"/>
  <c r="E11" i="6" s="1"/>
  <c r="G11" i="6" a="1"/>
  <c r="G11" i="6" s="1"/>
  <c r="D11" i="6" a="1"/>
  <c r="D11" i="6" s="1"/>
  <c r="R11" i="6" a="1"/>
  <c r="R11" i="6" s="1"/>
  <c r="C11" i="6" a="1"/>
  <c r="C11" i="6" s="1"/>
  <c r="B11" i="6" a="1"/>
  <c r="B11" i="6" s="1"/>
  <c r="Q11" i="6" a="1"/>
  <c r="Q11" i="6" s="1"/>
  <c r="P41" i="5" a="1"/>
  <c r="P41" i="5" s="1"/>
  <c r="O41" i="5" a="1"/>
  <c r="O41" i="5" s="1"/>
  <c r="L41" i="5" a="1"/>
  <c r="L41" i="5" s="1"/>
  <c r="F41" i="5" a="1"/>
  <c r="F41" i="5" s="1"/>
  <c r="K41" i="5" a="1"/>
  <c r="K41" i="5" s="1"/>
  <c r="H41" i="5" a="1"/>
  <c r="H41" i="5" s="1"/>
  <c r="M41" i="5" a="1"/>
  <c r="M41" i="5" s="1"/>
  <c r="J41" i="5" a="1"/>
  <c r="J41" i="5" s="1"/>
  <c r="I41" i="5" a="1"/>
  <c r="I41" i="5" s="1"/>
  <c r="C15" i="6" a="1"/>
  <c r="C15" i="6" s="1"/>
  <c r="E15" i="6" a="1"/>
  <c r="E15" i="6" s="1"/>
  <c r="N15" i="6" a="1"/>
  <c r="N15" i="6" s="1"/>
  <c r="D15" i="6" a="1"/>
  <c r="D15" i="6" s="1"/>
  <c r="D19" i="6" s="1" a="1"/>
  <c r="D19" i="6" s="1"/>
  <c r="U15" i="6" a="1"/>
  <c r="U15" i="6" s="1"/>
  <c r="Q15" i="6" a="1"/>
  <c r="Q15" i="6" s="1"/>
  <c r="G15" i="6" a="1"/>
  <c r="G15" i="6" s="1"/>
  <c r="B15" i="6" a="1"/>
  <c r="B15" i="6" s="1"/>
  <c r="L15" i="6" a="1"/>
  <c r="L15" i="6" s="1"/>
  <c r="I15" i="6" a="1"/>
  <c r="I15" i="6" s="1"/>
  <c r="H15" i="6" a="1"/>
  <c r="H15" i="6" s="1"/>
  <c r="F15" i="6" a="1"/>
  <c r="F15" i="6" s="1"/>
  <c r="R15" i="6" a="1"/>
  <c r="R15" i="6" s="1"/>
  <c r="T15" i="6" a="1"/>
  <c r="T15" i="6" s="1"/>
  <c r="S15" i="6" a="1"/>
  <c r="S15" i="6" s="1"/>
  <c r="O15" i="6" a="1"/>
  <c r="O15" i="6" s="1"/>
  <c r="K15" i="6" a="1"/>
  <c r="K15" i="6" s="1"/>
  <c r="J15" i="6" a="1"/>
  <c r="J15" i="6" s="1"/>
  <c r="F8" i="6" a="1"/>
  <c r="F8" i="6" s="1"/>
  <c r="M15" i="6" a="1"/>
  <c r="M15" i="6" s="1"/>
  <c r="P15" i="6" a="1"/>
  <c r="P15" i="6" s="1"/>
  <c r="F6" i="6" a="1"/>
  <c r="F6" i="6" s="1"/>
  <c r="N6" i="6" a="1"/>
  <c r="N6" i="6" s="1"/>
  <c r="Q6" i="6" a="1"/>
  <c r="Q6" i="6" s="1"/>
  <c r="J6" i="6" a="1"/>
  <c r="J6" i="6" s="1"/>
  <c r="K6" i="6" a="1"/>
  <c r="K6" i="6" s="1"/>
  <c r="I6" i="6" a="1"/>
  <c r="I6" i="6" s="1"/>
  <c r="H6" i="6" a="1"/>
  <c r="H6" i="6" s="1"/>
  <c r="G6" i="6" a="1"/>
  <c r="G6" i="6" s="1"/>
  <c r="E6" i="6" a="1"/>
  <c r="E6" i="6" s="1"/>
  <c r="B6" i="6" a="1"/>
  <c r="B6" i="6" s="1"/>
  <c r="U6" i="6" a="1"/>
  <c r="U6" i="6" s="1"/>
  <c r="D6" i="6" a="1"/>
  <c r="D6" i="6" s="1"/>
  <c r="T6" i="6" a="1"/>
  <c r="T6" i="6" s="1"/>
  <c r="C6" i="6" a="1"/>
  <c r="C6" i="6" s="1"/>
  <c r="S6" i="6" a="1"/>
  <c r="S6" i="6" s="1"/>
  <c r="K14" i="5" a="1"/>
  <c r="K14" i="5" s="1"/>
  <c r="B14" i="5" a="1"/>
  <c r="B14" i="5" s="1"/>
  <c r="J14" i="5" a="1"/>
  <c r="J14" i="5" s="1"/>
  <c r="O14" i="5" a="1"/>
  <c r="O14" i="5" s="1"/>
  <c r="O19" i="5" s="1" a="1"/>
  <c r="O19" i="5" s="1"/>
  <c r="P14" i="5" a="1"/>
  <c r="P14" i="5" s="1"/>
  <c r="P19" i="5" s="1" a="1"/>
  <c r="P19" i="5" s="1"/>
  <c r="E14" i="5" a="1"/>
  <c r="E14" i="5" s="1"/>
  <c r="E19" i="5" s="1" a="1"/>
  <c r="E19" i="5" s="1"/>
  <c r="D14" i="5" a="1"/>
  <c r="D14" i="5" s="1"/>
  <c r="F14" i="5" a="1"/>
  <c r="F14" i="5" s="1"/>
  <c r="F19" i="5" s="1" a="1"/>
  <c r="F19" i="5" s="1"/>
  <c r="C14" i="5" a="1"/>
  <c r="C14" i="5" s="1"/>
  <c r="F32" i="5" a="1"/>
  <c r="F32" i="5" s="1"/>
  <c r="F37" i="5" s="1" a="1"/>
  <c r="F37" i="5" s="1"/>
  <c r="E32" i="5" a="1"/>
  <c r="E32" i="5" s="1"/>
  <c r="E37" i="5" s="1" a="1"/>
  <c r="E37" i="5" s="1"/>
  <c r="B32" i="5" a="1"/>
  <c r="B32" i="5" s="1"/>
  <c r="J32" i="5" a="1"/>
  <c r="J32" i="5" s="1"/>
  <c r="G32" i="5" a="1"/>
  <c r="G32" i="5" s="1"/>
  <c r="G37" i="5" s="1" a="1"/>
  <c r="G37" i="5" s="1"/>
  <c r="L32" i="5" a="1"/>
  <c r="L32" i="5" s="1"/>
  <c r="L37" i="5" s="1" a="1"/>
  <c r="L37" i="5" s="1"/>
  <c r="K32" i="5" a="1"/>
  <c r="K32" i="5" s="1"/>
  <c r="I32" i="5" a="1"/>
  <c r="I32" i="5" s="1"/>
  <c r="G41" i="5" a="1"/>
  <c r="G41" i="5" s="1"/>
  <c r="Q9" i="6" a="1"/>
  <c r="Q9" i="6" s="1"/>
  <c r="P9" i="6" a="1"/>
  <c r="P9" i="6" s="1"/>
  <c r="O9" i="6" a="1"/>
  <c r="O9" i="6" s="1"/>
  <c r="O13" i="6" s="1" a="1"/>
  <c r="O13" i="6" s="1"/>
  <c r="D9" i="6" a="1"/>
  <c r="D9" i="6" s="1"/>
  <c r="B9" i="6" a="1"/>
  <c r="B9" i="6" s="1"/>
  <c r="L9" i="6" a="1"/>
  <c r="L9" i="6" s="1"/>
  <c r="I9" i="6" a="1"/>
  <c r="I9" i="6" s="1"/>
  <c r="E9" i="6" a="1"/>
  <c r="E9" i="6" s="1"/>
  <c r="H9" i="6" a="1"/>
  <c r="H9" i="6" s="1"/>
  <c r="G9" i="6" a="1"/>
  <c r="G9" i="6" s="1"/>
  <c r="U9" i="6" a="1"/>
  <c r="U9" i="6" s="1"/>
  <c r="F9" i="6" a="1"/>
  <c r="F9" i="6" s="1"/>
  <c r="R9" i="6" a="1"/>
  <c r="R9" i="6" s="1"/>
  <c r="T9" i="6" a="1"/>
  <c r="T9" i="6" s="1"/>
  <c r="C9" i="6" a="1"/>
  <c r="C9" i="6" s="1"/>
  <c r="S9" i="6" a="1"/>
  <c r="S9" i="6" s="1"/>
  <c r="T8" i="6" a="1"/>
  <c r="T8" i="6" s="1"/>
  <c r="S8" i="6" a="1"/>
  <c r="S8" i="6" s="1"/>
  <c r="E8" i="6" a="1"/>
  <c r="E8" i="6" s="1"/>
  <c r="J8" i="6" a="1"/>
  <c r="J8" i="6" s="1"/>
  <c r="N8" i="6" a="1"/>
  <c r="N8" i="6" s="1"/>
  <c r="L8" i="6" a="1"/>
  <c r="L8" i="6" s="1"/>
  <c r="U8" i="6" a="1"/>
  <c r="U8" i="6" s="1"/>
  <c r="G8" i="6" a="1"/>
  <c r="G8" i="6" s="1"/>
  <c r="D8" i="6" a="1"/>
  <c r="D8" i="6" s="1"/>
  <c r="M8" i="6" a="1"/>
  <c r="M8" i="6" s="1"/>
  <c r="K8" i="6" a="1"/>
  <c r="K8" i="6" s="1"/>
  <c r="I8" i="6" a="1"/>
  <c r="I8" i="6" s="1"/>
  <c r="H8" i="6" a="1"/>
  <c r="H8" i="6" s="1"/>
  <c r="J9" i="6" a="1"/>
  <c r="J9" i="6" s="1"/>
  <c r="B37" i="4" a="1"/>
  <c r="B37" i="4" s="1"/>
  <c r="E3" i="6" a="1"/>
  <c r="E3" i="6" s="1"/>
  <c r="D3" i="6" a="1"/>
  <c r="D3" i="6" s="1"/>
  <c r="S3" i="6" a="1"/>
  <c r="S3" i="6" s="1"/>
  <c r="H3" i="6" a="1"/>
  <c r="H3" i="6" s="1"/>
  <c r="R3" i="6" a="1"/>
  <c r="R3" i="6" s="1"/>
  <c r="P3" i="6" a="1"/>
  <c r="P3" i="6" s="1"/>
  <c r="T3" i="6" a="1"/>
  <c r="T3" i="6" s="1"/>
  <c r="F3" i="6" a="1"/>
  <c r="F3" i="6" s="1"/>
  <c r="M3" i="6" a="1"/>
  <c r="M3" i="6" s="1"/>
  <c r="L3" i="6" a="1"/>
  <c r="L3" i="6" s="1"/>
  <c r="L7" i="6" s="1" a="1"/>
  <c r="L7" i="6" s="1"/>
  <c r="K3" i="6" a="1"/>
  <c r="K3" i="6" s="1"/>
  <c r="J3" i="6" a="1"/>
  <c r="J3" i="6" s="1"/>
  <c r="G3" i="6" a="1"/>
  <c r="G3" i="6" s="1"/>
  <c r="I3" i="6" a="1"/>
  <c r="I3" i="6" s="1"/>
  <c r="M6" i="6" a="1"/>
  <c r="M6" i="6" s="1"/>
  <c r="B8" i="6" a="1"/>
  <c r="B8" i="6" s="1"/>
  <c r="K9" i="6" a="1"/>
  <c r="K9" i="6" s="1"/>
  <c r="G12" i="6" a="1"/>
  <c r="G12" i="6" s="1"/>
  <c r="M17" i="6" a="1"/>
  <c r="M17" i="6" s="1"/>
  <c r="L17" i="6" a="1"/>
  <c r="L17" i="6" s="1"/>
  <c r="J17" i="6" a="1"/>
  <c r="J17" i="6" s="1"/>
  <c r="P17" i="6" a="1"/>
  <c r="P17" i="6" s="1"/>
  <c r="C17" i="6" a="1"/>
  <c r="C17" i="6" s="1"/>
  <c r="C19" i="6" s="1" a="1"/>
  <c r="C19" i="6" s="1"/>
  <c r="F17" i="6" a="1"/>
  <c r="F17" i="6" s="1"/>
  <c r="N17" i="6" a="1"/>
  <c r="N17" i="6" s="1"/>
  <c r="H17" i="6" a="1"/>
  <c r="H17" i="6" s="1"/>
  <c r="U17" i="6" a="1"/>
  <c r="U17" i="6" s="1"/>
  <c r="G17" i="6" a="1"/>
  <c r="G17" i="6" s="1"/>
  <c r="B17" i="6" a="1"/>
  <c r="B17" i="6" s="1"/>
  <c r="T17" i="6" a="1"/>
  <c r="T17" i="6" s="1"/>
  <c r="S17" i="6" a="1"/>
  <c r="S17" i="6" s="1"/>
  <c r="E17" i="6" a="1"/>
  <c r="E17" i="6" s="1"/>
  <c r="D20" i="6" a="1"/>
  <c r="D20" i="6" s="1"/>
  <c r="M20" i="6" a="1"/>
  <c r="M20" i="6" s="1"/>
  <c r="C20" i="6" a="1"/>
  <c r="C20" i="6" s="1"/>
  <c r="N20" i="6" a="1"/>
  <c r="N20" i="6" s="1"/>
  <c r="N25" i="6" s="1" a="1"/>
  <c r="N25" i="6" s="1"/>
  <c r="Q20" i="6" a="1"/>
  <c r="Q20" i="6" s="1"/>
  <c r="B20" i="6" a="1"/>
  <c r="B20" i="6" s="1"/>
  <c r="J20" i="6" a="1"/>
  <c r="J20" i="6" s="1"/>
  <c r="F20" i="6" a="1"/>
  <c r="F20" i="6" s="1"/>
  <c r="S20" i="6" a="1"/>
  <c r="S20" i="6" s="1"/>
  <c r="E20" i="6" a="1"/>
  <c r="E20" i="6" s="1"/>
  <c r="R20" i="6" a="1"/>
  <c r="R20" i="6" s="1"/>
  <c r="P20" i="6" a="1"/>
  <c r="P20" i="6" s="1"/>
  <c r="H20" i="6" a="1"/>
  <c r="H20" i="6" s="1"/>
  <c r="O20" i="6" a="1"/>
  <c r="O20" i="6" s="1"/>
  <c r="P12" i="6" a="1"/>
  <c r="P12" i="6" s="1"/>
  <c r="I17" i="6" a="1"/>
  <c r="I17" i="6" s="1"/>
  <c r="E22" i="6" a="1"/>
  <c r="E22" i="6" s="1"/>
  <c r="N22" i="6" a="1"/>
  <c r="N22" i="6" s="1"/>
  <c r="I22" i="6" a="1"/>
  <c r="I22" i="6" s="1"/>
  <c r="J22" i="6" a="1"/>
  <c r="J22" i="6" s="1"/>
  <c r="H22" i="6" a="1"/>
  <c r="H22" i="6" s="1"/>
  <c r="S22" i="6" a="1"/>
  <c r="S22" i="6" s="1"/>
  <c r="D22" i="6" a="1"/>
  <c r="D22" i="6" s="1"/>
  <c r="K22" i="6" a="1"/>
  <c r="K22" i="6" s="1"/>
  <c r="G22" i="6" a="1"/>
  <c r="G22" i="6" s="1"/>
  <c r="U22" i="6" a="1"/>
  <c r="U22" i="6" s="1"/>
  <c r="P22" i="6" a="1"/>
  <c r="P22" i="6" s="1"/>
  <c r="M22" i="6" a="1"/>
  <c r="M22" i="6" s="1"/>
  <c r="O22" i="6" a="1"/>
  <c r="O22" i="6" s="1"/>
  <c r="L22" i="6" a="1"/>
  <c r="L22" i="6" s="1"/>
  <c r="H12" i="5" a="1"/>
  <c r="H12" i="5" s="1"/>
  <c r="P12" i="5" a="1"/>
  <c r="P12" i="5" s="1"/>
  <c r="G12" i="5" a="1"/>
  <c r="G12" i="5" s="1"/>
  <c r="F12" i="5" a="1"/>
  <c r="F12" i="5" s="1"/>
  <c r="E12" i="5" a="1"/>
  <c r="E12" i="5" s="1"/>
  <c r="L12" i="5" a="1"/>
  <c r="L12" i="5" s="1"/>
  <c r="I20" i="5" a="1"/>
  <c r="I20" i="5" s="1"/>
  <c r="I25" i="5" s="1" a="1"/>
  <c r="I25" i="5" s="1"/>
  <c r="H20" i="5" a="1"/>
  <c r="H20" i="5" s="1"/>
  <c r="H25" i="5" s="1" a="1"/>
  <c r="H25" i="5" s="1"/>
  <c r="G20" i="5" a="1"/>
  <c r="G20" i="5" s="1"/>
  <c r="G25" i="5" s="1" a="1"/>
  <c r="G25" i="5" s="1"/>
  <c r="J34" i="5" a="1"/>
  <c r="J34" i="5" s="1"/>
  <c r="I34" i="5" a="1"/>
  <c r="I34" i="5" s="1"/>
  <c r="K34" i="5" a="1"/>
  <c r="K34" i="5" s="1"/>
  <c r="L39" i="5" a="1"/>
  <c r="L39" i="5" s="1"/>
  <c r="K39" i="5" a="1"/>
  <c r="K39" i="5" s="1"/>
  <c r="N39" i="5" a="1"/>
  <c r="N39" i="5" s="1"/>
  <c r="J39" i="5" a="1"/>
  <c r="J39" i="5" s="1"/>
  <c r="G39" i="5" a="1"/>
  <c r="G39" i="5" s="1"/>
  <c r="O39" i="5" a="1"/>
  <c r="O39" i="5" s="1"/>
  <c r="B31" i="4" a="1"/>
  <c r="B31" i="4" s="1"/>
  <c r="M20" i="5" a="1"/>
  <c r="M20" i="5" s="1"/>
  <c r="M25" i="5" s="1" a="1"/>
  <c r="M25" i="5" s="1"/>
  <c r="O34" i="5" a="1"/>
  <c r="O34" i="5" s="1"/>
  <c r="C48" i="5" a="1"/>
  <c r="C48" i="5" s="1"/>
  <c r="B48" i="5" a="1"/>
  <c r="B48" i="5" s="1"/>
  <c r="I48" i="5" a="1"/>
  <c r="I48" i="5" s="1"/>
  <c r="P48" i="5" a="1"/>
  <c r="P48" i="5" s="1"/>
  <c r="E48" i="5" a="1"/>
  <c r="E48" i="5" s="1"/>
  <c r="K48" i="5" a="1"/>
  <c r="K48" i="5" s="1"/>
  <c r="L48" i="5" a="1"/>
  <c r="L48" i="5" s="1"/>
  <c r="G48" i="5" a="1"/>
  <c r="G48" i="5" s="1"/>
  <c r="M48" i="5" a="1"/>
  <c r="M48" i="5" s="1"/>
  <c r="I20" i="6" a="1"/>
  <c r="I20" i="6" s="1"/>
  <c r="I25" i="6" s="1" a="1"/>
  <c r="I25" i="6" s="1"/>
  <c r="C22" i="6" a="1"/>
  <c r="C22" i="6" s="1"/>
  <c r="U4" i="6" a="1"/>
  <c r="U4" i="6" s="1"/>
  <c r="U7" i="6" s="1" a="1"/>
  <c r="U7" i="6" s="1"/>
  <c r="B4" i="6" a="1"/>
  <c r="B4" i="6" s="1"/>
  <c r="T4" i="6" a="1"/>
  <c r="T4" i="6" s="1"/>
  <c r="G4" i="6" a="1"/>
  <c r="G4" i="6" s="1"/>
  <c r="R4" i="6" a="1"/>
  <c r="R4" i="6" s="1"/>
  <c r="Q4" i="6" a="1"/>
  <c r="Q4" i="6" s="1"/>
  <c r="J4" i="6" a="1"/>
  <c r="J4" i="6" s="1"/>
  <c r="K4" i="6" a="1"/>
  <c r="K4" i="6" s="1"/>
  <c r="H4" i="6" a="1"/>
  <c r="H4" i="6" s="1"/>
  <c r="K17" i="6" a="1"/>
  <c r="K17" i="6" s="1"/>
  <c r="B12" i="6" a="1"/>
  <c r="B12" i="6" s="1"/>
  <c r="R12" i="6" a="1"/>
  <c r="R12" i="6" s="1"/>
  <c r="B41" i="4" a="1"/>
  <c r="B41" i="4" s="1"/>
  <c r="B45" i="4" a="1"/>
  <c r="B45" i="4" s="1"/>
  <c r="P4" i="5" a="1"/>
  <c r="P4" i="5" s="1"/>
  <c r="G4" i="5" a="1"/>
  <c r="G4" i="5" s="1"/>
  <c r="D4" i="5" a="1"/>
  <c r="D4" i="5" s="1"/>
  <c r="K4" i="5" a="1"/>
  <c r="K4" i="5" s="1"/>
  <c r="B12" i="5" a="1"/>
  <c r="B12" i="5" s="1"/>
  <c r="B20" i="5" a="1"/>
  <c r="B20" i="5" s="1"/>
  <c r="C34" i="5" a="1"/>
  <c r="C34" i="5" s="1"/>
  <c r="P34" i="5" a="1"/>
  <c r="P34" i="5" s="1"/>
  <c r="C39" i="5" a="1"/>
  <c r="C39" i="5" s="1"/>
  <c r="H2" i="6" a="1"/>
  <c r="H2" i="6" s="1"/>
  <c r="G2" i="6" a="1"/>
  <c r="G2" i="6" s="1"/>
  <c r="I2" i="6" a="1"/>
  <c r="I2" i="6" s="1"/>
  <c r="I7" i="6" s="1" a="1"/>
  <c r="I7" i="6" s="1"/>
  <c r="Q2" i="6" a="1"/>
  <c r="Q2" i="6" s="1"/>
  <c r="N2" i="6" a="1"/>
  <c r="N2" i="6" s="1"/>
  <c r="N7" i="6" s="1" a="1"/>
  <c r="N7" i="6" s="1"/>
  <c r="B2" i="6" a="1"/>
  <c r="B2" i="6" s="1"/>
  <c r="P2" i="6" a="1"/>
  <c r="P2" i="6" s="1"/>
  <c r="D2" i="6" a="1"/>
  <c r="D2" i="6" s="1"/>
  <c r="S2" i="6" a="1"/>
  <c r="S2" i="6" s="1"/>
  <c r="S7" i="6" s="1" a="1"/>
  <c r="S7" i="6" s="1"/>
  <c r="E2" i="6" a="1"/>
  <c r="E2" i="6" s="1"/>
  <c r="C12" i="6" a="1"/>
  <c r="C12" i="6" s="1"/>
  <c r="N12" i="5" a="1"/>
  <c r="N12" i="5" s="1"/>
  <c r="L15" i="5" a="1"/>
  <c r="L15" i="5" s="1"/>
  <c r="C15" i="5" a="1"/>
  <c r="C15" i="5" s="1"/>
  <c r="K15" i="5" a="1"/>
  <c r="K15" i="5" s="1"/>
  <c r="B15" i="5" a="1"/>
  <c r="B15" i="5" s="1"/>
  <c r="J15" i="5" a="1"/>
  <c r="J15" i="5" s="1"/>
  <c r="M15" i="5" a="1"/>
  <c r="M15" i="5" s="1"/>
  <c r="M19" i="5" s="1" a="1"/>
  <c r="M19" i="5" s="1"/>
  <c r="O20" i="5" a="1"/>
  <c r="O20" i="5" s="1"/>
  <c r="O25" i="5" s="1" a="1"/>
  <c r="O25" i="5" s="1"/>
  <c r="D39" i="5" a="1"/>
  <c r="D39" i="5" s="1"/>
  <c r="R2" i="6" a="1"/>
  <c r="R2" i="6" s="1"/>
  <c r="C4" i="6" a="1"/>
  <c r="C4" i="6" s="1"/>
  <c r="C7" i="6" s="1" a="1"/>
  <c r="C7" i="6" s="1"/>
  <c r="S4" i="6" a="1"/>
  <c r="S4" i="6" s="1"/>
  <c r="Q22" i="6" a="1"/>
  <c r="Q22" i="6" s="1"/>
  <c r="K12" i="6" a="1"/>
  <c r="K12" i="6" s="1"/>
  <c r="O12" i="6" a="1"/>
  <c r="O12" i="6" s="1"/>
  <c r="D12" i="6" a="1"/>
  <c r="D12" i="6" s="1"/>
  <c r="N12" i="6" a="1"/>
  <c r="N12" i="6" s="1"/>
  <c r="L12" i="6" a="1"/>
  <c r="L12" i="6" s="1"/>
  <c r="Q12" i="6" a="1"/>
  <c r="Q12" i="6" s="1"/>
  <c r="B6" i="4" a="1"/>
  <c r="B6" i="4" s="1"/>
  <c r="B19" i="4" a="1"/>
  <c r="B19" i="4" s="1"/>
  <c r="O10" i="5" a="1"/>
  <c r="O10" i="5" s="1"/>
  <c r="F10" i="5" a="1"/>
  <c r="F10" i="5" s="1"/>
  <c r="N10" i="5" a="1"/>
  <c r="N10" i="5" s="1"/>
  <c r="E10" i="5" a="1"/>
  <c r="E10" i="5" s="1"/>
  <c r="J10" i="5" a="1"/>
  <c r="J10" i="5" s="1"/>
  <c r="P10" i="5" a="1"/>
  <c r="P10" i="5" s="1"/>
  <c r="D10" i="5" a="1"/>
  <c r="D10" i="5" s="1"/>
  <c r="L10" i="5" a="1"/>
  <c r="L10" i="5" s="1"/>
  <c r="M12" i="5" a="1"/>
  <c r="M12" i="5" s="1"/>
  <c r="N20" i="5" a="1"/>
  <c r="N20" i="5" s="1"/>
  <c r="N25" i="5" s="1" a="1"/>
  <c r="N25" i="5" s="1"/>
  <c r="N27" i="5" a="1"/>
  <c r="N27" i="5" s="1"/>
  <c r="M27" i="5" a="1"/>
  <c r="M27" i="5" s="1"/>
  <c r="C27" i="5" a="1"/>
  <c r="C27" i="5" s="1"/>
  <c r="K27" i="5" a="1"/>
  <c r="K27" i="5" s="1"/>
  <c r="D27" i="5" a="1"/>
  <c r="D27" i="5" s="1"/>
  <c r="O27" i="5" a="1"/>
  <c r="O27" i="5" s="1"/>
  <c r="P27" i="5" a="1"/>
  <c r="P27" i="5" s="1"/>
  <c r="B34" i="5" a="1"/>
  <c r="B34" i="5" s="1"/>
  <c r="B39" i="5" a="1"/>
  <c r="B39" i="5" s="1"/>
  <c r="P39" i="5" a="1"/>
  <c r="P39" i="5" s="1"/>
  <c r="P43" i="5" s="1" a="1"/>
  <c r="P43" i="5" s="1"/>
  <c r="T12" i="6" a="1"/>
  <c r="T12" i="6" s="1"/>
  <c r="K20" i="6" a="1"/>
  <c r="K20" i="6" s="1"/>
  <c r="B48" i="4" a="1"/>
  <c r="B48" i="4" s="1"/>
  <c r="L4" i="5" a="1"/>
  <c r="L4" i="5" s="1"/>
  <c r="B10" i="5" a="1"/>
  <c r="B10" i="5" s="1"/>
  <c r="C12" i="5" a="1"/>
  <c r="C12" i="5" s="1"/>
  <c r="O12" i="5" a="1"/>
  <c r="O12" i="5" s="1"/>
  <c r="C20" i="5" a="1"/>
  <c r="C20" i="5" s="1"/>
  <c r="C25" i="5" s="1" a="1"/>
  <c r="C25" i="5" s="1"/>
  <c r="E27" i="5" a="1"/>
  <c r="E27" i="5" s="1"/>
  <c r="D34" i="5" a="1"/>
  <c r="D34" i="5" s="1"/>
  <c r="D48" i="5" a="1"/>
  <c r="D48" i="5" s="1"/>
  <c r="U12" i="6" a="1"/>
  <c r="U12" i="6" s="1"/>
  <c r="K19" i="6" a="1"/>
  <c r="K19" i="6" s="1"/>
  <c r="R24" i="6" a="1"/>
  <c r="R24" i="6" s="1"/>
  <c r="H24" i="6" a="1"/>
  <c r="H24" i="6" s="1"/>
  <c r="Q24" i="6" a="1"/>
  <c r="Q24" i="6" s="1"/>
  <c r="F24" i="6" a="1"/>
  <c r="F24" i="6" s="1"/>
  <c r="G24" i="6" a="1"/>
  <c r="G24" i="6" s="1"/>
  <c r="J24" i="6" a="1"/>
  <c r="J24" i="6" s="1"/>
  <c r="K24" i="6" a="1"/>
  <c r="K24" i="6" s="1"/>
  <c r="D24" i="6" a="1"/>
  <c r="D24" i="6" s="1"/>
  <c r="S24" i="6" a="1"/>
  <c r="S24" i="6" s="1"/>
  <c r="P24" i="6" a="1"/>
  <c r="P24" i="6" s="1"/>
  <c r="E24" i="6" a="1"/>
  <c r="E24" i="6" s="1"/>
  <c r="C24" i="6" a="1"/>
  <c r="C24" i="6" s="1"/>
  <c r="U24" i="6" a="1"/>
  <c r="U24" i="6" s="1"/>
  <c r="M24" i="6" a="1"/>
  <c r="M24" i="6" s="1"/>
  <c r="D4" i="6" a="1"/>
  <c r="D4" i="6" s="1"/>
  <c r="N10" i="6" a="1"/>
  <c r="N10" i="6" s="1"/>
  <c r="M10" i="6" a="1"/>
  <c r="M10" i="6" s="1"/>
  <c r="O10" i="6" a="1"/>
  <c r="O10" i="6" s="1"/>
  <c r="D10" i="6" a="1"/>
  <c r="D10" i="6" s="1"/>
  <c r="K10" i="6" a="1"/>
  <c r="K10" i="6" s="1"/>
  <c r="S10" i="6" a="1"/>
  <c r="S10" i="6" s="1"/>
  <c r="F10" i="6" a="1"/>
  <c r="F10" i="6" s="1"/>
  <c r="Q10" i="6" a="1"/>
  <c r="Q10" i="6" s="1"/>
  <c r="C10" i="6" a="1"/>
  <c r="C10" i="6" s="1"/>
  <c r="V10" i="6" s="1" a="1"/>
  <c r="V10" i="6" s="1"/>
  <c r="L10" i="6" a="1"/>
  <c r="L10" i="6" s="1"/>
  <c r="E12" i="6" a="1"/>
  <c r="E12" i="6" s="1"/>
  <c r="O17" i="6" a="1"/>
  <c r="O17" i="6" s="1"/>
  <c r="L20" i="6" a="1"/>
  <c r="L20" i="6" s="1"/>
  <c r="R22" i="6" a="1"/>
  <c r="R22" i="6" s="1"/>
  <c r="B24" i="6" a="1"/>
  <c r="B24" i="6" s="1"/>
  <c r="E4" i="6" a="1"/>
  <c r="E4" i="6" s="1"/>
  <c r="R10" i="6" a="1"/>
  <c r="R10" i="6" s="1"/>
  <c r="F4" i="6" a="1"/>
  <c r="F4" i="6" s="1"/>
  <c r="F12" i="6" a="1"/>
  <c r="F12" i="6" s="1"/>
  <c r="Q17" i="6" a="1"/>
  <c r="Q17" i="6" s="1"/>
  <c r="T22" i="6" a="1"/>
  <c r="T22" i="6" s="1"/>
  <c r="R17" i="6" a="1"/>
  <c r="R17" i="6" s="1"/>
  <c r="T20" i="6" a="1"/>
  <c r="T20" i="6" s="1"/>
  <c r="R5" i="6" a="1"/>
  <c r="R5" i="6" s="1"/>
  <c r="Q5" i="6" a="1"/>
  <c r="Q5" i="6" s="1"/>
  <c r="F5" i="6" a="1"/>
  <c r="F5" i="6" s="1"/>
  <c r="G5" i="6" a="1"/>
  <c r="G5" i="6" s="1"/>
  <c r="H5" i="6" a="1"/>
  <c r="H5" i="6" s="1"/>
  <c r="T5" i="6" a="1"/>
  <c r="T5" i="6" s="1"/>
  <c r="E5" i="6" a="1"/>
  <c r="E5" i="6" s="1"/>
  <c r="O5" i="6" a="1"/>
  <c r="O5" i="6" s="1"/>
  <c r="O7" i="6" s="1" a="1"/>
  <c r="O7" i="6" s="1"/>
  <c r="S28" i="6" a="1"/>
  <c r="S28" i="6" s="1"/>
  <c r="S31" i="6" s="1" a="1"/>
  <c r="S31" i="6" s="1"/>
  <c r="J28" i="6" a="1"/>
  <c r="J28" i="6" s="1"/>
  <c r="R28" i="6" a="1"/>
  <c r="R28" i="6" s="1"/>
  <c r="I28" i="6" a="1"/>
  <c r="I28" i="6" s="1"/>
  <c r="T28" i="6" a="1"/>
  <c r="T28" i="6" s="1"/>
  <c r="Q28" i="6" a="1"/>
  <c r="Q28" i="6" s="1"/>
  <c r="P28" i="6" a="1"/>
  <c r="P28" i="6" s="1"/>
  <c r="U28" i="6" a="1"/>
  <c r="U28" i="6" s="1"/>
  <c r="D28" i="6" a="1"/>
  <c r="D28" i="6" s="1"/>
  <c r="G28" i="6" a="1"/>
  <c r="G28" i="6" s="1"/>
  <c r="E28" i="6" a="1"/>
  <c r="E28" i="6" s="1"/>
  <c r="L28" i="6" a="1"/>
  <c r="L28" i="6" s="1"/>
  <c r="K28" i="6" a="1"/>
  <c r="K28" i="6" s="1"/>
  <c r="H28" i="6" a="1"/>
  <c r="H28" i="6" s="1"/>
  <c r="H31" i="6" s="1" a="1"/>
  <c r="H31" i="6" s="1"/>
  <c r="C28" i="6" a="1"/>
  <c r="C28" i="6" s="1"/>
  <c r="B28" i="6" a="1"/>
  <c r="B28" i="6" s="1"/>
  <c r="O28" i="6" a="1"/>
  <c r="O28" i="6" s="1"/>
  <c r="N28" i="6" a="1"/>
  <c r="N28" i="6" s="1"/>
  <c r="M28" i="6" a="1"/>
  <c r="M28" i="6" s="1"/>
  <c r="F28" i="6" a="1"/>
  <c r="F28" i="6" s="1"/>
  <c r="O29" i="6" a="1"/>
  <c r="O29" i="6" s="1"/>
  <c r="F29" i="6" a="1"/>
  <c r="F29" i="6" s="1"/>
  <c r="N29" i="6" a="1"/>
  <c r="N29" i="6" s="1"/>
  <c r="E29" i="6" a="1"/>
  <c r="E29" i="6" s="1"/>
  <c r="U29" i="6" a="1"/>
  <c r="U29" i="6" s="1"/>
  <c r="T29" i="6" a="1"/>
  <c r="T29" i="6" s="1"/>
  <c r="I29" i="6" a="1"/>
  <c r="I29" i="6" s="1"/>
  <c r="D29" i="6" a="1"/>
  <c r="D29" i="6" s="1"/>
  <c r="K29" i="6" a="1"/>
  <c r="K29" i="6" s="1"/>
  <c r="B29" i="6" a="1"/>
  <c r="B29" i="6" s="1"/>
  <c r="P29" i="6" a="1"/>
  <c r="P29" i="6" s="1"/>
  <c r="J29" i="6" a="1"/>
  <c r="J29" i="6" s="1"/>
  <c r="H29" i="6" a="1"/>
  <c r="H29" i="6" s="1"/>
  <c r="G29" i="6" a="1"/>
  <c r="G29" i="6" s="1"/>
  <c r="C29" i="6" a="1"/>
  <c r="C29" i="6" s="1"/>
  <c r="S29" i="6" a="1"/>
  <c r="S29" i="6" s="1"/>
  <c r="R29" i="6" a="1"/>
  <c r="R29" i="6" s="1"/>
  <c r="Q29" i="6" a="1"/>
  <c r="Q29" i="6" s="1"/>
  <c r="M29" i="6" a="1"/>
  <c r="M29" i="6" s="1"/>
  <c r="L29" i="6" a="1"/>
  <c r="L29" i="6" s="1"/>
  <c r="M30" i="6" a="1"/>
  <c r="M30" i="6" s="1"/>
  <c r="N30" i="6" a="1"/>
  <c r="N30" i="6" s="1"/>
  <c r="G45" i="6" a="1"/>
  <c r="G45" i="6" s="1"/>
  <c r="P45" i="6" a="1"/>
  <c r="P45" i="6" s="1"/>
  <c r="F45" i="6" a="1"/>
  <c r="F45" i="6" s="1"/>
  <c r="O45" i="6" a="1"/>
  <c r="O45" i="6" s="1"/>
  <c r="T45" i="6" a="1"/>
  <c r="T45" i="6" s="1"/>
  <c r="H45" i="6" a="1"/>
  <c r="H45" i="6" s="1"/>
  <c r="R45" i="6" a="1"/>
  <c r="R45" i="6" s="1"/>
  <c r="U45" i="6" a="1"/>
  <c r="U45" i="6" s="1"/>
  <c r="D45" i="6" a="1"/>
  <c r="D45" i="6" s="1"/>
  <c r="C45" i="6" a="1"/>
  <c r="C45" i="6" s="1"/>
  <c r="B45" i="6" a="1"/>
  <c r="B45" i="6" s="1"/>
  <c r="I45" i="6" a="1"/>
  <c r="I45" i="6" s="1"/>
  <c r="Q45" i="6" a="1"/>
  <c r="Q45" i="6" s="1"/>
  <c r="L45" i="6" a="1"/>
  <c r="L45" i="6" s="1"/>
  <c r="K45" i="6" a="1"/>
  <c r="K45" i="6" s="1"/>
  <c r="S45" i="6" a="1"/>
  <c r="S45" i="6" s="1"/>
  <c r="J45" i="6" a="1"/>
  <c r="J45" i="6" s="1"/>
  <c r="R33" i="6" a="1"/>
  <c r="R33" i="6" s="1"/>
  <c r="I33" i="6" a="1"/>
  <c r="I33" i="6" s="1"/>
  <c r="Q33" i="6" a="1"/>
  <c r="Q33" i="6" s="1"/>
  <c r="H33" i="6" a="1"/>
  <c r="H33" i="6" s="1"/>
  <c r="T33" i="6" a="1"/>
  <c r="T33" i="6" s="1"/>
  <c r="G33" i="6" a="1"/>
  <c r="G33" i="6" s="1"/>
  <c r="F33" i="6" a="1"/>
  <c r="F33" i="6" s="1"/>
  <c r="U33" i="6" a="1"/>
  <c r="U33" i="6" s="1"/>
  <c r="M33" i="6" a="1"/>
  <c r="M33" i="6" s="1"/>
  <c r="K33" i="6" a="1"/>
  <c r="K33" i="6" s="1"/>
  <c r="D33" i="6" a="1"/>
  <c r="D33" i="6" s="1"/>
  <c r="Q38" i="6" a="1"/>
  <c r="Q38" i="6" s="1"/>
  <c r="H38" i="6" a="1"/>
  <c r="H38" i="6" s="1"/>
  <c r="P38" i="6" a="1"/>
  <c r="P38" i="6" s="1"/>
  <c r="G38" i="6" a="1"/>
  <c r="G38" i="6" s="1"/>
  <c r="N38" i="6" a="1"/>
  <c r="N38" i="6" s="1"/>
  <c r="C38" i="6" a="1"/>
  <c r="C38" i="6" s="1"/>
  <c r="L38" i="6" a="1"/>
  <c r="L38" i="6" s="1"/>
  <c r="F38" i="6" a="1"/>
  <c r="F38" i="6" s="1"/>
  <c r="U38" i="6" a="1"/>
  <c r="U38" i="6" s="1"/>
  <c r="E38" i="6" a="1"/>
  <c r="E38" i="6" s="1"/>
  <c r="T38" i="6" a="1"/>
  <c r="T38" i="6" s="1"/>
  <c r="S38" i="6" a="1"/>
  <c r="S38" i="6" s="1"/>
  <c r="M38" i="6" a="1"/>
  <c r="M38" i="6" s="1"/>
  <c r="J38" i="6" a="1"/>
  <c r="J38" i="6" s="1"/>
  <c r="O42" i="6" a="1"/>
  <c r="O42" i="6" s="1"/>
  <c r="E42" i="6" a="1"/>
  <c r="E42" i="6" s="1"/>
  <c r="N42" i="6" a="1"/>
  <c r="N42" i="6" s="1"/>
  <c r="D42" i="6" a="1"/>
  <c r="D42" i="6" s="1"/>
  <c r="K42" i="6" a="1"/>
  <c r="K42" i="6" s="1"/>
  <c r="I42" i="6" a="1"/>
  <c r="I42" i="6" s="1"/>
  <c r="T42" i="6" a="1"/>
  <c r="T42" i="6" s="1"/>
  <c r="M42" i="6" a="1"/>
  <c r="M42" i="6" s="1"/>
  <c r="H42" i="6" a="1"/>
  <c r="H42" i="6" s="1"/>
  <c r="B42" i="6" a="1"/>
  <c r="B42" i="6" s="1"/>
  <c r="R42" i="6" a="1"/>
  <c r="R42" i="6" s="1"/>
  <c r="P42" i="6" a="1"/>
  <c r="P42" i="6" s="1"/>
  <c r="G42" i="6" a="1"/>
  <c r="G42" i="6" s="1"/>
  <c r="U42" i="6" a="1"/>
  <c r="U42" i="6" s="1"/>
  <c r="S42" i="6" a="1"/>
  <c r="S42" i="6" s="1"/>
  <c r="Q42" i="6" a="1"/>
  <c r="Q42" i="6" s="1"/>
  <c r="L42" i="6" a="1"/>
  <c r="L42" i="6" s="1"/>
  <c r="F42" i="6" a="1"/>
  <c r="F42" i="6" s="1"/>
  <c r="C42" i="6" a="1"/>
  <c r="C42" i="6" s="1"/>
  <c r="E45" i="6" a="1"/>
  <c r="E45" i="6" s="1"/>
  <c r="N27" i="6" a="1"/>
  <c r="N27" i="6" s="1"/>
  <c r="N31" i="6" s="1" a="1"/>
  <c r="N31" i="6" s="1"/>
  <c r="C27" i="6" a="1"/>
  <c r="C27" i="6" s="1"/>
  <c r="R27" i="6" a="1"/>
  <c r="R27" i="6" s="1"/>
  <c r="G27" i="6" a="1"/>
  <c r="G27" i="6" s="1"/>
  <c r="Q27" i="6" a="1"/>
  <c r="Q27" i="6" s="1"/>
  <c r="F27" i="6" a="1"/>
  <c r="F27" i="6" s="1"/>
  <c r="O27" i="6" a="1"/>
  <c r="O27" i="6" s="1"/>
  <c r="L27" i="6" a="1"/>
  <c r="L27" i="6" s="1"/>
  <c r="K27" i="6" a="1"/>
  <c r="K27" i="6" s="1"/>
  <c r="U27" i="6" a="1"/>
  <c r="U27" i="6" s="1"/>
  <c r="U31" i="6" s="1" a="1"/>
  <c r="U31" i="6" s="1"/>
  <c r="M32" i="6" a="1"/>
  <c r="M32" i="6" s="1"/>
  <c r="D32" i="6" a="1"/>
  <c r="D32" i="6" s="1"/>
  <c r="U32" i="6" a="1"/>
  <c r="U32" i="6" s="1"/>
  <c r="L32" i="6" a="1"/>
  <c r="L32" i="6" s="1"/>
  <c r="C32" i="6" a="1"/>
  <c r="C32" i="6" s="1"/>
  <c r="C37" i="6" s="1" a="1"/>
  <c r="C37" i="6" s="1"/>
  <c r="R32" i="6" a="1"/>
  <c r="R32" i="6" s="1"/>
  <c r="G32" i="6" a="1"/>
  <c r="G32" i="6" s="1"/>
  <c r="Q32" i="6" a="1"/>
  <c r="Q32" i="6" s="1"/>
  <c r="I32" i="6" a="1"/>
  <c r="I32" i="6" s="1"/>
  <c r="K32" i="6" a="1"/>
  <c r="K32" i="6" s="1"/>
  <c r="B38" i="6" a="1"/>
  <c r="B38" i="6" s="1"/>
  <c r="M45" i="6" a="1"/>
  <c r="M45" i="6" s="1"/>
  <c r="D38" i="6" a="1"/>
  <c r="D38" i="6" s="1"/>
  <c r="J42" i="6" a="1"/>
  <c r="J42" i="6" s="1"/>
  <c r="N45" i="6" a="1"/>
  <c r="N45" i="6" s="1"/>
  <c r="T30" i="6" a="1"/>
  <c r="T30" i="6" s="1"/>
  <c r="K30" i="6" a="1"/>
  <c r="K30" i="6" s="1"/>
  <c r="B30" i="6" a="1"/>
  <c r="B30" i="6" s="1"/>
  <c r="S30" i="6" a="1"/>
  <c r="S30" i="6" s="1"/>
  <c r="J30" i="6" a="1"/>
  <c r="J30" i="6" s="1"/>
  <c r="O30" i="6" a="1"/>
  <c r="O30" i="6" s="1"/>
  <c r="D30" i="6" a="1"/>
  <c r="D30" i="6" s="1"/>
  <c r="C30" i="6" a="1"/>
  <c r="C30" i="6" s="1"/>
  <c r="Q30" i="6" a="1"/>
  <c r="Q30" i="6" s="1"/>
  <c r="F30" i="6" a="1"/>
  <c r="F30" i="6" s="1"/>
  <c r="R30" i="6" a="1"/>
  <c r="R30" i="6" s="1"/>
  <c r="P30" i="6" a="1"/>
  <c r="P30" i="6" s="1"/>
  <c r="I30" i="6" a="1"/>
  <c r="I30" i="6" s="1"/>
  <c r="I38" i="6" a="1"/>
  <c r="I38" i="6" s="1"/>
  <c r="E27" i="6" a="1"/>
  <c r="E27" i="6" s="1"/>
  <c r="E32" i="6" a="1"/>
  <c r="E32" i="6" s="1"/>
  <c r="E33" i="6" a="1"/>
  <c r="E33" i="6" s="1"/>
  <c r="U40" i="6" a="1"/>
  <c r="U40" i="6" s="1"/>
  <c r="K40" i="6" a="1"/>
  <c r="K40" i="6" s="1"/>
  <c r="T40" i="6" a="1"/>
  <c r="T40" i="6" s="1"/>
  <c r="J40" i="6" a="1"/>
  <c r="J40" i="6" s="1"/>
  <c r="S40" i="6" a="1"/>
  <c r="S40" i="6" s="1"/>
  <c r="R40" i="6" a="1"/>
  <c r="R40" i="6" s="1"/>
  <c r="F40" i="6" a="1"/>
  <c r="F40" i="6" s="1"/>
  <c r="P40" i="6" a="1"/>
  <c r="P40" i="6" s="1"/>
  <c r="I40" i="6" a="1"/>
  <c r="I40" i="6" s="1"/>
  <c r="M40" i="6" a="1"/>
  <c r="M40" i="6" s="1"/>
  <c r="L40" i="6" a="1"/>
  <c r="L40" i="6" s="1"/>
  <c r="O40" i="6" a="1"/>
  <c r="O40" i="6" s="1"/>
  <c r="B40" i="6" a="1"/>
  <c r="B40" i="6" s="1"/>
  <c r="E40" i="6" a="1"/>
  <c r="E40" i="6" s="1"/>
  <c r="D40" i="6" a="1"/>
  <c r="D40" i="6" s="1"/>
  <c r="Q40" i="6" a="1"/>
  <c r="Q40" i="6" s="1"/>
  <c r="H40" i="6" a="1"/>
  <c r="H40" i="6" s="1"/>
  <c r="R38" i="6" a="1"/>
  <c r="R38" i="6" s="1"/>
  <c r="G40" i="6" a="1"/>
  <c r="G40" i="6" s="1"/>
  <c r="G30" i="6" a="1"/>
  <c r="G30" i="6" s="1"/>
  <c r="F14" i="6" a="1"/>
  <c r="F14" i="6" s="1"/>
  <c r="Q14" i="6" a="1"/>
  <c r="Q14" i="6" s="1"/>
  <c r="Q19" i="6" s="1" a="1"/>
  <c r="Q19" i="6" s="1"/>
  <c r="G14" i="6" a="1"/>
  <c r="G14" i="6" s="1"/>
  <c r="P14" i="6" a="1"/>
  <c r="P14" i="6" s="1"/>
  <c r="R14" i="6" a="1"/>
  <c r="R14" i="6" s="1"/>
  <c r="R19" i="6" s="1" a="1"/>
  <c r="R19" i="6" s="1"/>
  <c r="T14" i="6" a="1"/>
  <c r="T14" i="6" s="1"/>
  <c r="H14" i="6" a="1"/>
  <c r="H14" i="6" s="1"/>
  <c r="H19" i="6" s="1" a="1"/>
  <c r="H19" i="6" s="1"/>
  <c r="L14" i="6" a="1"/>
  <c r="L14" i="6" s="1"/>
  <c r="N14" i="6" a="1"/>
  <c r="N14" i="6" s="1"/>
  <c r="J27" i="6" a="1"/>
  <c r="J27" i="6" s="1"/>
  <c r="J31" i="6" s="1" a="1"/>
  <c r="J31" i="6" s="1"/>
  <c r="N33" i="6" a="1"/>
  <c r="N33" i="6" s="1"/>
  <c r="N40" i="6" a="1"/>
  <c r="N40" i="6" s="1"/>
  <c r="H30" i="6" a="1"/>
  <c r="H30" i="6" s="1"/>
  <c r="J16" i="6" a="1"/>
  <c r="J16" i="6" s="1"/>
  <c r="N16" i="6" a="1"/>
  <c r="N16" i="6" s="1"/>
  <c r="M16" i="6" a="1"/>
  <c r="M16" i="6" s="1"/>
  <c r="T16" i="6" a="1"/>
  <c r="T16" i="6" s="1"/>
  <c r="L16" i="6" a="1"/>
  <c r="L16" i="6" s="1"/>
  <c r="O16" i="6" a="1"/>
  <c r="O16" i="6" s="1"/>
  <c r="O19" i="6" s="1" a="1"/>
  <c r="O19" i="6" s="1"/>
  <c r="G16" i="6" a="1"/>
  <c r="G16" i="6" s="1"/>
  <c r="M18" i="6" a="1"/>
  <c r="M18" i="6" s="1"/>
  <c r="B18" i="6" a="1"/>
  <c r="B18" i="6" s="1"/>
  <c r="L18" i="6" a="1"/>
  <c r="L18" i="6" s="1"/>
  <c r="F18" i="6" a="1"/>
  <c r="F18" i="6" s="1"/>
  <c r="J18" i="6" a="1"/>
  <c r="J18" i="6" s="1"/>
  <c r="U18" i="6" a="1"/>
  <c r="U18" i="6" s="1"/>
  <c r="G18" i="6" a="1"/>
  <c r="G18" i="6" s="1"/>
  <c r="P18" i="6" a="1"/>
  <c r="P18" i="6" s="1"/>
  <c r="M27" i="6" a="1"/>
  <c r="M27" i="6" s="1"/>
  <c r="M31" i="6" s="1" a="1"/>
  <c r="M31" i="6" s="1"/>
  <c r="O32" i="6" a="1"/>
  <c r="O32" i="6" s="1"/>
  <c r="R41" i="6" a="1"/>
  <c r="R41" i="6" s="1"/>
  <c r="H41" i="6" a="1"/>
  <c r="H41" i="6" s="1"/>
  <c r="Q41" i="6" a="1"/>
  <c r="Q41" i="6" s="1"/>
  <c r="G41" i="6" a="1"/>
  <c r="G41" i="6" s="1"/>
  <c r="P41" i="6" a="1"/>
  <c r="P41" i="6" s="1"/>
  <c r="J41" i="6" a="1"/>
  <c r="J41" i="6" s="1"/>
  <c r="U41" i="6" a="1"/>
  <c r="U41" i="6" s="1"/>
  <c r="S41" i="6" a="1"/>
  <c r="S41" i="6" s="1"/>
  <c r="E41" i="6" a="1"/>
  <c r="E41" i="6" s="1"/>
  <c r="D41" i="6" a="1"/>
  <c r="D41" i="6" s="1"/>
  <c r="I41" i="6" a="1"/>
  <c r="I41" i="6" s="1"/>
  <c r="L41" i="6" a="1"/>
  <c r="L41" i="6" s="1"/>
  <c r="O41" i="6" a="1"/>
  <c r="O41" i="6" s="1"/>
  <c r="F41" i="6" a="1"/>
  <c r="F41" i="6" s="1"/>
  <c r="K41" i="6" a="1"/>
  <c r="K41" i="6" s="1"/>
  <c r="C41" i="6" a="1"/>
  <c r="C41" i="6" s="1"/>
  <c r="B41" i="6" a="1"/>
  <c r="B41" i="6" s="1"/>
  <c r="M41" i="6" a="1"/>
  <c r="M41" i="6" s="1"/>
  <c r="I6" i="7" a="1"/>
  <c r="I6" i="7" s="1"/>
  <c r="I7" i="7" a="1"/>
  <c r="I7" i="7" s="1"/>
  <c r="O36" i="6" a="1"/>
  <c r="O36" i="6" s="1"/>
  <c r="F36" i="6" a="1"/>
  <c r="F36" i="6" s="1"/>
  <c r="N36" i="6" a="1"/>
  <c r="N36" i="6" s="1"/>
  <c r="E36" i="6" a="1"/>
  <c r="E36" i="6" s="1"/>
  <c r="K36" i="6" a="1"/>
  <c r="K36" i="6" s="1"/>
  <c r="T36" i="6" a="1"/>
  <c r="T36" i="6" s="1"/>
  <c r="I36" i="6" a="1"/>
  <c r="I36" i="6" s="1"/>
  <c r="S36" i="6" a="1"/>
  <c r="S36" i="6" s="1"/>
  <c r="R36" i="6" a="1"/>
  <c r="R36" i="6" s="1"/>
  <c r="L36" i="6" a="1"/>
  <c r="L36" i="6" s="1"/>
  <c r="H36" i="6" a="1"/>
  <c r="H36" i="6" s="1"/>
  <c r="K12" i="7" a="1"/>
  <c r="K12" i="7" s="1"/>
  <c r="K4" i="7" a="1"/>
  <c r="K4" i="7" s="1"/>
  <c r="L47" i="7" a="1"/>
  <c r="L47" i="7" s="1"/>
  <c r="L31" i="7" a="1"/>
  <c r="L31" i="7" s="1"/>
  <c r="L23" i="7" a="1"/>
  <c r="L23" i="7" s="1"/>
  <c r="L50" i="7" a="1"/>
  <c r="L50" i="7" s="1"/>
  <c r="L26" i="7" a="1"/>
  <c r="L26" i="7" s="1"/>
  <c r="L17" i="7" a="1"/>
  <c r="L17" i="7" s="1"/>
  <c r="L13" i="7" a="1"/>
  <c r="L13" i="7" s="1"/>
  <c r="L42" i="7" a="1"/>
  <c r="L42" i="7" s="1"/>
  <c r="B34" i="7" a="1"/>
  <c r="B34" i="7" s="1"/>
  <c r="B35" i="7" a="1"/>
  <c r="B35" i="7" s="1"/>
  <c r="B44" i="7" a="1"/>
  <c r="B44" i="7" s="1"/>
  <c r="B13" i="7" a="1"/>
  <c r="B13" i="7" s="1"/>
  <c r="B4" i="7" a="1"/>
  <c r="B4" i="7" s="1"/>
  <c r="J44" i="6" a="1"/>
  <c r="J44" i="6" s="1"/>
  <c r="S44" i="6" a="1"/>
  <c r="S44" i="6" s="1"/>
  <c r="I44" i="6" a="1"/>
  <c r="I44" i="6" s="1"/>
  <c r="R44" i="6" a="1"/>
  <c r="R44" i="6" s="1"/>
  <c r="R49" i="6" s="1" a="1"/>
  <c r="R49" i="6" s="1"/>
  <c r="Q44" i="6" a="1"/>
  <c r="Q44" i="6" s="1"/>
  <c r="E44" i="6" a="1"/>
  <c r="E44" i="6" s="1"/>
  <c r="O44" i="6" a="1"/>
  <c r="O44" i="6" s="1"/>
  <c r="C44" i="6" a="1"/>
  <c r="C44" i="6" s="1"/>
  <c r="G44" i="6" a="1"/>
  <c r="G44" i="6" s="1"/>
  <c r="F44" i="6" a="1"/>
  <c r="F44" i="6" s="1"/>
  <c r="D44" i="6" a="1"/>
  <c r="D44" i="6" s="1"/>
  <c r="U44" i="6" a="1"/>
  <c r="U44" i="6" s="1"/>
  <c r="T44" i="6" a="1"/>
  <c r="T44" i="6" s="1"/>
  <c r="M44" i="6" a="1"/>
  <c r="M44" i="6" s="1"/>
  <c r="L44" i="6" a="1"/>
  <c r="L44" i="6" s="1"/>
  <c r="F50" i="7" a="1"/>
  <c r="F50" i="7" s="1"/>
  <c r="F17" i="7" a="1"/>
  <c r="F17" i="7" s="1"/>
  <c r="F35" i="7" a="1"/>
  <c r="F35" i="7" s="1"/>
  <c r="F43" i="7" a="1"/>
  <c r="F43" i="7" s="1"/>
  <c r="F14" i="7" a="1"/>
  <c r="F14" i="7" s="1"/>
  <c r="F44" i="7" a="1"/>
  <c r="F44" i="7" s="1"/>
  <c r="F31" i="7" a="1"/>
  <c r="F31" i="7" s="1"/>
  <c r="F30" i="7" a="1"/>
  <c r="F30" i="7" s="1"/>
  <c r="F11" i="7" a="1"/>
  <c r="F11" i="7" s="1"/>
  <c r="F7" i="7" a="1"/>
  <c r="F7" i="7" s="1"/>
  <c r="F13" i="7" a="1"/>
  <c r="F13" i="7" s="1"/>
  <c r="R17" i="7" a="1"/>
  <c r="R17" i="7" s="1"/>
  <c r="R44" i="7" a="1"/>
  <c r="R44" i="7" s="1"/>
  <c r="R34" i="7" a="1"/>
  <c r="R34" i="7" s="1"/>
  <c r="R31" i="7" a="1"/>
  <c r="R31" i="7" s="1"/>
  <c r="R14" i="7" a="1"/>
  <c r="R14" i="7" s="1"/>
  <c r="R30" i="7" a="1"/>
  <c r="R30" i="7" s="1"/>
  <c r="R4" i="7" a="1"/>
  <c r="R4" i="7" s="1"/>
  <c r="R19" i="7" a="1"/>
  <c r="R19" i="7" s="1"/>
  <c r="S23" i="6" a="1"/>
  <c r="S23" i="6" s="1"/>
  <c r="R23" i="6" a="1"/>
  <c r="R23" i="6" s="1"/>
  <c r="E23" i="6" a="1"/>
  <c r="E23" i="6" s="1"/>
  <c r="T23" i="6" a="1"/>
  <c r="T23" i="6" s="1"/>
  <c r="D23" i="6" a="1"/>
  <c r="D23" i="6" s="1"/>
  <c r="O23" i="6" a="1"/>
  <c r="O23" i="6" s="1"/>
  <c r="B23" i="6" a="1"/>
  <c r="B23" i="6" s="1"/>
  <c r="P23" i="6" a="1"/>
  <c r="P23" i="6" s="1"/>
  <c r="O26" i="6" a="1"/>
  <c r="O26" i="6" s="1"/>
  <c r="O31" i="6" s="1" a="1"/>
  <c r="O31" i="6" s="1"/>
  <c r="E26" i="6" a="1"/>
  <c r="E26" i="6" s="1"/>
  <c r="E31" i="6" s="1" a="1"/>
  <c r="E31" i="6" s="1"/>
  <c r="G26" i="6" a="1"/>
  <c r="G26" i="6" s="1"/>
  <c r="G31" i="6" s="1" a="1"/>
  <c r="G31" i="6" s="1"/>
  <c r="Q26" i="6" a="1"/>
  <c r="Q26" i="6" s="1"/>
  <c r="F26" i="6" a="1"/>
  <c r="F26" i="6" s="1"/>
  <c r="F31" i="6" s="1" a="1"/>
  <c r="F31" i="6" s="1"/>
  <c r="L26" i="6" a="1"/>
  <c r="L26" i="6" s="1"/>
  <c r="L31" i="6" s="1" a="1"/>
  <c r="L31" i="6" s="1"/>
  <c r="K26" i="6" a="1"/>
  <c r="K26" i="6" s="1"/>
  <c r="K31" i="6" s="1" a="1"/>
  <c r="K31" i="6" s="1"/>
  <c r="G36" i="6" a="1"/>
  <c r="G36" i="6" s="1"/>
  <c r="B44" i="6" a="1"/>
  <c r="B44" i="6" s="1"/>
  <c r="N40" i="5" a="1"/>
  <c r="N40" i="5" s="1"/>
  <c r="M40" i="5" a="1"/>
  <c r="M40" i="5" s="1"/>
  <c r="L40" i="5" a="1"/>
  <c r="L40" i="5" s="1"/>
  <c r="U21" i="6" a="1"/>
  <c r="U21" i="6" s="1"/>
  <c r="U25" i="6" s="1" a="1"/>
  <c r="U25" i="6" s="1"/>
  <c r="Q21" i="6" a="1"/>
  <c r="Q21" i="6" s="1"/>
  <c r="C21" i="6" a="1"/>
  <c r="C21" i="6" s="1"/>
  <c r="V21" i="6" s="1" a="1"/>
  <c r="V21" i="6" s="1"/>
  <c r="C23" i="6" a="1"/>
  <c r="C23" i="6" s="1"/>
  <c r="B26" i="6" a="1"/>
  <c r="B26" i="6" s="1"/>
  <c r="R26" i="6" a="1"/>
  <c r="R26" i="6" s="1"/>
  <c r="R31" i="6" s="1" a="1"/>
  <c r="R31" i="6" s="1"/>
  <c r="J36" i="6" a="1"/>
  <c r="J36" i="6" s="1"/>
  <c r="H44" i="6" a="1"/>
  <c r="H44" i="6" s="1"/>
  <c r="D46" i="6" a="1"/>
  <c r="D46" i="6" s="1"/>
  <c r="M46" i="6" a="1"/>
  <c r="M46" i="6" s="1"/>
  <c r="C46" i="6" a="1"/>
  <c r="C46" i="6" s="1"/>
  <c r="L46" i="6" a="1"/>
  <c r="L46" i="6" s="1"/>
  <c r="J46" i="6" a="1"/>
  <c r="J46" i="6" s="1"/>
  <c r="U46" i="6" a="1"/>
  <c r="U46" i="6" s="1"/>
  <c r="H46" i="6" a="1"/>
  <c r="H46" i="6" s="1"/>
  <c r="N46" i="6" a="1"/>
  <c r="N46" i="6" s="1"/>
  <c r="K46" i="6" a="1"/>
  <c r="K46" i="6" s="1"/>
  <c r="G46" i="6" a="1"/>
  <c r="G46" i="6" s="1"/>
  <c r="R46" i="6" a="1"/>
  <c r="R46" i="6" s="1"/>
  <c r="S46" i="6" a="1"/>
  <c r="S46" i="6" s="1"/>
  <c r="P46" i="6" a="1"/>
  <c r="P46" i="6" s="1"/>
  <c r="O46" i="6" a="1"/>
  <c r="O46" i="6" s="1"/>
  <c r="M36" i="6" a="1"/>
  <c r="M36" i="6" s="1"/>
  <c r="K44" i="6" a="1"/>
  <c r="K44" i="6" s="1"/>
  <c r="N44" i="6" a="1"/>
  <c r="N44" i="6" s="1"/>
  <c r="B46" i="6" a="1"/>
  <c r="B46" i="6" s="1"/>
  <c r="P44" i="6" a="1"/>
  <c r="P44" i="6" s="1"/>
  <c r="E46" i="6" a="1"/>
  <c r="E46" i="6" s="1"/>
  <c r="K17" i="7" a="1"/>
  <c r="K17" i="7" s="1"/>
  <c r="X26" i="7" a="1"/>
  <c r="X26" i="7" s="1"/>
  <c r="X47" i="7" a="1"/>
  <c r="X47" i="7" s="1"/>
  <c r="X31" i="7" a="1"/>
  <c r="X31" i="7" s="1"/>
  <c r="X42" i="7" a="1"/>
  <c r="X42" i="7" s="1"/>
  <c r="X17" i="7" a="1"/>
  <c r="X17" i="7" s="1"/>
  <c r="X13" i="7" a="1"/>
  <c r="X13" i="7" s="1"/>
  <c r="X22" i="7" a="1"/>
  <c r="X22" i="7" s="1"/>
  <c r="X8" i="7" a="1"/>
  <c r="X8" i="7" s="1"/>
  <c r="X11" i="7" a="1"/>
  <c r="X11" i="7" s="1"/>
  <c r="N30" i="7" a="1"/>
  <c r="N30" i="7" s="1"/>
  <c r="N34" i="7" a="1"/>
  <c r="N34" i="7" s="1"/>
  <c r="N17" i="7" a="1"/>
  <c r="N17" i="7" s="1"/>
  <c r="N29" i="7" a="1"/>
  <c r="N29" i="7" s="1"/>
  <c r="N43" i="7" a="1"/>
  <c r="N43" i="7" s="1"/>
  <c r="N14" i="7" a="1"/>
  <c r="N14" i="7" s="1"/>
  <c r="N10" i="7" a="1"/>
  <c r="N10" i="7" s="1"/>
  <c r="N7" i="7" a="1"/>
  <c r="N7" i="7" s="1"/>
  <c r="N4" i="7" a="1"/>
  <c r="N4" i="7" s="1"/>
  <c r="N36" i="7" a="1"/>
  <c r="N36" i="7" s="1"/>
  <c r="N46" i="7" a="1"/>
  <c r="N46" i="7" s="1"/>
  <c r="N26" i="7" a="1"/>
  <c r="N26" i="7" s="1"/>
  <c r="N32" i="7" a="1"/>
  <c r="N32" i="7" s="1"/>
  <c r="O44" i="7" a="1"/>
  <c r="O44" i="7" s="1"/>
  <c r="O30" i="7" a="1"/>
  <c r="O30" i="7" s="1"/>
  <c r="O29" i="7" a="1"/>
  <c r="O29" i="7" s="1"/>
  <c r="O36" i="7" a="1"/>
  <c r="O36" i="7" s="1"/>
  <c r="O26" i="7" a="1"/>
  <c r="O26" i="7" s="1"/>
  <c r="O7" i="7" a="1"/>
  <c r="O7" i="7" s="1"/>
  <c r="O31" i="7" a="1"/>
  <c r="O31" i="7" s="1"/>
  <c r="O17" i="7" a="1"/>
  <c r="O17" i="7" s="1"/>
  <c r="O43" i="7" a="1"/>
  <c r="O43" i="7" s="1"/>
  <c r="O28" i="7" a="1"/>
  <c r="O28" i="7" s="1"/>
  <c r="O46" i="7" a="1"/>
  <c r="O46" i="7" s="1"/>
  <c r="O42" i="7" a="1"/>
  <c r="O42" i="7" s="1"/>
  <c r="O11" i="7" a="1"/>
  <c r="O11" i="7" s="1"/>
  <c r="P23" i="7" a="1"/>
  <c r="P23" i="7" s="1"/>
  <c r="P17" i="7" a="1"/>
  <c r="P17" i="7" s="1"/>
  <c r="P26" i="7" a="1"/>
  <c r="P26" i="7" s="1"/>
  <c r="P30" i="7" a="1"/>
  <c r="P30" i="7" s="1"/>
  <c r="P28" i="7" a="1"/>
  <c r="P28" i="7" s="1"/>
  <c r="P36" i="7" a="1"/>
  <c r="P36" i="7" s="1"/>
  <c r="P14" i="7" a="1"/>
  <c r="P14" i="7" s="1"/>
  <c r="P8" i="7" a="1"/>
  <c r="P8" i="7" s="1"/>
  <c r="P42" i="7" a="1"/>
  <c r="P42" i="7" s="1"/>
  <c r="P35" i="7" a="1"/>
  <c r="P35" i="7" s="1"/>
  <c r="S5" i="7" a="1"/>
  <c r="S5" i="7" s="1"/>
  <c r="J5" i="7" a="1"/>
  <c r="J5" i="7" s="1"/>
  <c r="V5" i="7" a="1"/>
  <c r="V5" i="7" s="1"/>
  <c r="K5" i="7" a="1"/>
  <c r="K5" i="7" s="1"/>
  <c r="U5" i="7" a="1"/>
  <c r="U5" i="7" s="1"/>
  <c r="I5" i="7" a="1"/>
  <c r="I5" i="7" s="1"/>
  <c r="P5" i="7" a="1"/>
  <c r="P5" i="7" s="1"/>
  <c r="Y5" i="7" a="1"/>
  <c r="Y5" i="7" s="1"/>
  <c r="L5" i="7" a="1"/>
  <c r="L5" i="7" s="1"/>
  <c r="H5" i="7" a="1"/>
  <c r="H5" i="7" s="1"/>
  <c r="X5" i="7" a="1"/>
  <c r="X5" i="7" s="1"/>
  <c r="G5" i="7" a="1"/>
  <c r="G5" i="7" s="1"/>
  <c r="W5" i="7" a="1"/>
  <c r="W5" i="7" s="1"/>
  <c r="F5" i="7" a="1"/>
  <c r="F5" i="7" s="1"/>
  <c r="R5" i="7" a="1"/>
  <c r="R5" i="7" s="1"/>
  <c r="Q5" i="7" a="1"/>
  <c r="Q5" i="7" s="1"/>
  <c r="T5" i="7" a="1"/>
  <c r="T5" i="7" s="1"/>
  <c r="N5" i="7" a="1"/>
  <c r="N5" i="7" s="1"/>
  <c r="E5" i="7" a="1"/>
  <c r="E5" i="7" s="1"/>
  <c r="C5" i="7" a="1"/>
  <c r="C5" i="7" s="1"/>
  <c r="M5" i="7" a="1"/>
  <c r="M5" i="7" s="1"/>
  <c r="D5" i="7" a="1"/>
  <c r="D5" i="7" s="1"/>
  <c r="B5" i="7" a="1"/>
  <c r="B5" i="7" s="1"/>
  <c r="N39" i="6" a="1"/>
  <c r="N39" i="6" s="1"/>
  <c r="D39" i="6" a="1"/>
  <c r="D39" i="6" s="1"/>
  <c r="M39" i="6" a="1"/>
  <c r="M39" i="6" s="1"/>
  <c r="C39" i="6" a="1"/>
  <c r="C39" i="6" s="1"/>
  <c r="Q39" i="6" a="1"/>
  <c r="Q39" i="6" s="1"/>
  <c r="E39" i="6" a="1"/>
  <c r="E39" i="6" s="1"/>
  <c r="O39" i="6" a="1"/>
  <c r="O39" i="6" s="1"/>
  <c r="F39" i="6" a="1"/>
  <c r="F39" i="6" s="1"/>
  <c r="B39" i="6" a="1"/>
  <c r="B39" i="6" s="1"/>
  <c r="R39" i="6" a="1"/>
  <c r="R39" i="6" s="1"/>
  <c r="P39" i="6" a="1"/>
  <c r="P39" i="6" s="1"/>
  <c r="L39" i="6" a="1"/>
  <c r="L39" i="6" s="1"/>
  <c r="S39" i="6" a="1"/>
  <c r="S39" i="6" s="1"/>
  <c r="E17" i="7" a="1"/>
  <c r="E17" i="7" s="1"/>
  <c r="E35" i="7" a="1"/>
  <c r="E35" i="7" s="1"/>
  <c r="E29" i="7" a="1"/>
  <c r="E29" i="7" s="1"/>
  <c r="E47" i="7" a="1"/>
  <c r="E47" i="7" s="1"/>
  <c r="E7" i="7" a="1"/>
  <c r="E7" i="7" s="1"/>
  <c r="E31" i="7" a="1"/>
  <c r="E31" i="7" s="1"/>
  <c r="E24" i="7" a="1"/>
  <c r="E24" i="7" s="1"/>
  <c r="E14" i="7" a="1"/>
  <c r="E14" i="7" s="1"/>
  <c r="Q17" i="7" a="1"/>
  <c r="Q17" i="7" s="1"/>
  <c r="Q34" i="7" a="1"/>
  <c r="Q34" i="7" s="1"/>
  <c r="Q49" i="7" a="1"/>
  <c r="Q49" i="7" s="1"/>
  <c r="Q30" i="7" a="1"/>
  <c r="Q30" i="7" s="1"/>
  <c r="Q13" i="7" a="1"/>
  <c r="Q13" i="7" s="1"/>
  <c r="Q42" i="7" a="1"/>
  <c r="Q42" i="7" s="1"/>
  <c r="Q46" i="7" a="1"/>
  <c r="Q46" i="7" s="1"/>
  <c r="Q35" i="7" a="1"/>
  <c r="Q35" i="7" s="1"/>
  <c r="Q4" i="7" a="1"/>
  <c r="Q4" i="7" s="1"/>
  <c r="Q28" i="7" a="1"/>
  <c r="Q28" i="7" s="1"/>
  <c r="Q43" i="7" a="1"/>
  <c r="Q43" i="7" s="1"/>
  <c r="Q14" i="7" a="1"/>
  <c r="Q14" i="7" s="1"/>
  <c r="Q10" i="7" a="1"/>
  <c r="Q10" i="7" s="1"/>
  <c r="O5" i="7" a="1"/>
  <c r="O5" i="7" s="1"/>
  <c r="R16" i="7" a="1"/>
  <c r="R16" i="7" s="1"/>
  <c r="I16" i="7" a="1"/>
  <c r="I16" i="7" s="1"/>
  <c r="H16" i="7" a="1"/>
  <c r="H16" i="7" s="1"/>
  <c r="Q16" i="7" a="1"/>
  <c r="Q16" i="7" s="1"/>
  <c r="G16" i="7" a="1"/>
  <c r="G16" i="7" s="1"/>
  <c r="P16" i="7" a="1"/>
  <c r="P16" i="7" s="1"/>
  <c r="W16" i="7" a="1"/>
  <c r="W16" i="7" s="1"/>
  <c r="K16" i="7" a="1"/>
  <c r="K16" i="7" s="1"/>
  <c r="V16" i="7" a="1"/>
  <c r="V16" i="7" s="1"/>
  <c r="J16" i="7" a="1"/>
  <c r="J16" i="7" s="1"/>
  <c r="U16" i="7" a="1"/>
  <c r="U16" i="7" s="1"/>
  <c r="D16" i="7" a="1"/>
  <c r="D16" i="7" s="1"/>
  <c r="E16" i="7" a="1"/>
  <c r="E16" i="7" s="1"/>
  <c r="Y16" i="7" a="1"/>
  <c r="Y16" i="7" s="1"/>
  <c r="C16" i="7" a="1"/>
  <c r="C16" i="7" s="1"/>
  <c r="X16" i="7" a="1"/>
  <c r="X16" i="7" s="1"/>
  <c r="B16" i="7" a="1"/>
  <c r="B16" i="7" s="1"/>
  <c r="S16" i="7" a="1"/>
  <c r="S16" i="7" s="1"/>
  <c r="O16" i="7" a="1"/>
  <c r="O16" i="7" s="1"/>
  <c r="L16" i="7" a="1"/>
  <c r="L16" i="7" s="1"/>
  <c r="T16" i="7" a="1"/>
  <c r="T16" i="7" s="1"/>
  <c r="F16" i="7" a="1"/>
  <c r="F16" i="7" s="1"/>
  <c r="M16" i="7" a="1"/>
  <c r="M16" i="7" s="1"/>
  <c r="G17" i="7" a="1"/>
  <c r="G17" i="7" s="1"/>
  <c r="G35" i="7" a="1"/>
  <c r="G35" i="7" s="1"/>
  <c r="G50" i="7" a="1"/>
  <c r="G50" i="7" s="1"/>
  <c r="G30" i="7" a="1"/>
  <c r="G30" i="7" s="1"/>
  <c r="G44" i="7" a="1"/>
  <c r="G44" i="7" s="1"/>
  <c r="G14" i="7" a="1"/>
  <c r="G14" i="7" s="1"/>
  <c r="G36" i="7" a="1"/>
  <c r="G36" i="7" s="1"/>
  <c r="G43" i="7" a="1"/>
  <c r="G43" i="7" s="1"/>
  <c r="G23" i="7" a="1"/>
  <c r="G23" i="7" s="1"/>
  <c r="G6" i="7" a="1"/>
  <c r="G6" i="7" s="1"/>
  <c r="G7" i="7" a="1"/>
  <c r="G7" i="7" s="1"/>
  <c r="G13" i="7" a="1"/>
  <c r="G13" i="7" s="1"/>
  <c r="S34" i="7" a="1"/>
  <c r="S34" i="7" s="1"/>
  <c r="S31" i="7" a="1"/>
  <c r="S31" i="7" s="1"/>
  <c r="S47" i="7" a="1"/>
  <c r="S47" i="7" s="1"/>
  <c r="S36" i="7" a="1"/>
  <c r="S36" i="7" s="1"/>
  <c r="S30" i="7" a="1"/>
  <c r="S30" i="7" s="1"/>
  <c r="S50" i="7" a="1"/>
  <c r="S50" i="7" s="1"/>
  <c r="S44" i="7" a="1"/>
  <c r="S44" i="7" s="1"/>
  <c r="S14" i="7" a="1"/>
  <c r="S14" i="7" s="1"/>
  <c r="S19" i="7" a="1"/>
  <c r="S19" i="7" s="1"/>
  <c r="S7" i="7" a="1"/>
  <c r="S7" i="7" s="1"/>
  <c r="N16" i="7" a="1"/>
  <c r="N16" i="7" s="1"/>
  <c r="S35" i="6" a="1"/>
  <c r="S35" i="6" s="1"/>
  <c r="S37" i="6" s="1" a="1"/>
  <c r="S37" i="6" s="1"/>
  <c r="J35" i="6" a="1"/>
  <c r="J35" i="6" s="1"/>
  <c r="J37" i="6" s="1" a="1"/>
  <c r="J37" i="6" s="1"/>
  <c r="R35" i="6" a="1"/>
  <c r="R35" i="6" s="1"/>
  <c r="I35" i="6" a="1"/>
  <c r="I35" i="6" s="1"/>
  <c r="K35" i="6" a="1"/>
  <c r="K35" i="6" s="1"/>
  <c r="T35" i="6" a="1"/>
  <c r="T35" i="6" s="1"/>
  <c r="G35" i="6" a="1"/>
  <c r="G35" i="6" s="1"/>
  <c r="U35" i="6" a="1"/>
  <c r="U35" i="6" s="1"/>
  <c r="F35" i="6" a="1"/>
  <c r="F35" i="6" s="1"/>
  <c r="F37" i="6" s="1" a="1"/>
  <c r="F37" i="6" s="1"/>
  <c r="P35" i="6" a="1"/>
  <c r="P35" i="6" s="1"/>
  <c r="U49" i="7" a="1"/>
  <c r="U49" i="7" s="1"/>
  <c r="U23" i="7" a="1"/>
  <c r="U23" i="7" s="1"/>
  <c r="U41" i="7" a="1"/>
  <c r="U41" i="7" s="1"/>
  <c r="U30" i="7" a="1"/>
  <c r="U30" i="7" s="1"/>
  <c r="U22" i="7" a="1"/>
  <c r="U22" i="7" s="1"/>
  <c r="U32" i="7" a="1"/>
  <c r="U32" i="7" s="1"/>
  <c r="T50" i="7" a="1"/>
  <c r="T50" i="7" s="1"/>
  <c r="T47" i="7" a="1"/>
  <c r="T47" i="7" s="1"/>
  <c r="T30" i="7" a="1"/>
  <c r="T30" i="7" s="1"/>
  <c r="T44" i="7" a="1"/>
  <c r="T44" i="7" s="1"/>
  <c r="T34" i="7" a="1"/>
  <c r="T34" i="7" s="1"/>
  <c r="T13" i="7" a="1"/>
  <c r="T13" i="7" s="1"/>
  <c r="T49" i="7" a="1"/>
  <c r="T49" i="7" s="1"/>
  <c r="T28" i="7" a="1"/>
  <c r="T28" i="7" s="1"/>
  <c r="T35" i="7" a="1"/>
  <c r="T35" i="7" s="1"/>
  <c r="T19" i="7" a="1"/>
  <c r="T19" i="7" s="1"/>
  <c r="N34" i="6" a="1"/>
  <c r="N34" i="6" s="1"/>
  <c r="E34" i="6" a="1"/>
  <c r="E34" i="6" s="1"/>
  <c r="M34" i="6" a="1"/>
  <c r="M34" i="6" s="1"/>
  <c r="D34" i="6" a="1"/>
  <c r="D34" i="6" s="1"/>
  <c r="T34" i="6" a="1"/>
  <c r="T34" i="6" s="1"/>
  <c r="I34" i="6" a="1"/>
  <c r="I34" i="6" s="1"/>
  <c r="Q34" i="6" a="1"/>
  <c r="Q34" i="6" s="1"/>
  <c r="P34" i="6" a="1"/>
  <c r="P34" i="6" s="1"/>
  <c r="P37" i="6" s="1" a="1"/>
  <c r="P37" i="6" s="1"/>
  <c r="R34" i="6" a="1"/>
  <c r="R34" i="6" s="1"/>
  <c r="B34" i="6" a="1"/>
  <c r="B34" i="6" s="1"/>
  <c r="T7" i="7" a="1"/>
  <c r="T7" i="7" s="1"/>
  <c r="T18" i="7" a="1"/>
  <c r="T18" i="7" s="1"/>
  <c r="K18" i="7" a="1"/>
  <c r="K18" i="7" s="1"/>
  <c r="B18" i="7" a="1"/>
  <c r="B18" i="7" s="1"/>
  <c r="M18" i="7" a="1"/>
  <c r="M18" i="7" s="1"/>
  <c r="V18" i="7" a="1"/>
  <c r="V18" i="7" s="1"/>
  <c r="C18" i="7" a="1"/>
  <c r="C18" i="7" s="1"/>
  <c r="L18" i="7" a="1"/>
  <c r="L18" i="7" s="1"/>
  <c r="U18" i="7" a="1"/>
  <c r="U18" i="7" s="1"/>
  <c r="R18" i="7" a="1"/>
  <c r="R18" i="7" s="1"/>
  <c r="F18" i="7" a="1"/>
  <c r="F18" i="7" s="1"/>
  <c r="Q18" i="7" a="1"/>
  <c r="Q18" i="7" s="1"/>
  <c r="E18" i="7" a="1"/>
  <c r="E18" i="7" s="1"/>
  <c r="P18" i="7" a="1"/>
  <c r="P18" i="7" s="1"/>
  <c r="D18" i="7" a="1"/>
  <c r="D18" i="7" s="1"/>
  <c r="Y18" i="7" a="1"/>
  <c r="Y18" i="7" s="1"/>
  <c r="S18" i="7" a="1"/>
  <c r="S18" i="7" s="1"/>
  <c r="O18" i="7" a="1"/>
  <c r="O18" i="7" s="1"/>
  <c r="N18" i="7" a="1"/>
  <c r="N18" i="7" s="1"/>
  <c r="J18" i="7" a="1"/>
  <c r="J18" i="7" s="1"/>
  <c r="B47" i="7" a="1"/>
  <c r="B47" i="7" s="1"/>
  <c r="H7" i="7" a="1"/>
  <c r="H7" i="7" s="1"/>
  <c r="G18" i="7" a="1"/>
  <c r="G18" i="7" s="1"/>
  <c r="D4" i="7" a="1"/>
  <c r="D4" i="7" s="1"/>
  <c r="I18" i="7" a="1"/>
  <c r="I18" i="7" s="1"/>
  <c r="R20" i="7" a="1"/>
  <c r="R20" i="7" s="1"/>
  <c r="N20" i="7" a="1"/>
  <c r="N20" i="7" s="1"/>
  <c r="W20" i="7" a="1"/>
  <c r="W20" i="7" s="1"/>
  <c r="M20" i="7" a="1"/>
  <c r="M20" i="7" s="1"/>
  <c r="D20" i="7" a="1"/>
  <c r="D20" i="7" s="1"/>
  <c r="V20" i="7" a="1"/>
  <c r="V20" i="7" s="1"/>
  <c r="T20" i="7" a="1"/>
  <c r="T20" i="7" s="1"/>
  <c r="H20" i="7" a="1"/>
  <c r="H20" i="7" s="1"/>
  <c r="S20" i="7" a="1"/>
  <c r="S20" i="7" s="1"/>
  <c r="G20" i="7" a="1"/>
  <c r="G20" i="7" s="1"/>
  <c r="C20" i="7" a="1"/>
  <c r="C20" i="7" s="1"/>
  <c r="P20" i="7" a="1"/>
  <c r="P20" i="7" s="1"/>
  <c r="B20" i="7" a="1"/>
  <c r="B20" i="7" s="1"/>
  <c r="O20" i="7" a="1"/>
  <c r="O20" i="7" s="1"/>
  <c r="L20" i="7" a="1"/>
  <c r="L20" i="7" s="1"/>
  <c r="J20" i="7" a="1"/>
  <c r="J20" i="7" s="1"/>
  <c r="Y20" i="7" a="1"/>
  <c r="Y20" i="7" s="1"/>
  <c r="I20" i="7" a="1"/>
  <c r="I20" i="7" s="1"/>
  <c r="F20" i="7" a="1"/>
  <c r="F20" i="7" s="1"/>
  <c r="E20" i="7" a="1"/>
  <c r="E20" i="7" s="1"/>
  <c r="U20" i="7" a="1"/>
  <c r="U20" i="7" s="1"/>
  <c r="Q20" i="7" a="1"/>
  <c r="Q20" i="7" s="1"/>
  <c r="K20" i="7" a="1"/>
  <c r="K20" i="7" s="1"/>
  <c r="J25" i="7" a="1"/>
  <c r="J25" i="7" s="1"/>
  <c r="I25" i="7" a="1"/>
  <c r="I25" i="7" s="1"/>
  <c r="N25" i="7" a="1"/>
  <c r="N25" i="7" s="1"/>
  <c r="C25" i="7" a="1"/>
  <c r="C25" i="7" s="1"/>
  <c r="X25" i="7" a="1"/>
  <c r="X25" i="7" s="1"/>
  <c r="M25" i="7" a="1"/>
  <c r="M25" i="7" s="1"/>
  <c r="B25" i="7" a="1"/>
  <c r="B25" i="7" s="1"/>
  <c r="W25" i="7" a="1"/>
  <c r="W25" i="7" s="1"/>
  <c r="L25" i="7" a="1"/>
  <c r="L25" i="7" s="1"/>
  <c r="R25" i="7" a="1"/>
  <c r="R25" i="7" s="1"/>
  <c r="E25" i="7" a="1"/>
  <c r="E25" i="7" s="1"/>
  <c r="Q25" i="7" a="1"/>
  <c r="Q25" i="7" s="1"/>
  <c r="D25" i="7" a="1"/>
  <c r="D25" i="7" s="1"/>
  <c r="T25" i="7" a="1"/>
  <c r="T25" i="7" s="1"/>
  <c r="S25" i="7" a="1"/>
  <c r="S25" i="7" s="1"/>
  <c r="P25" i="7" a="1"/>
  <c r="P25" i="7" s="1"/>
  <c r="O25" i="7" a="1"/>
  <c r="O25" i="7" s="1"/>
  <c r="V25" i="7" a="1"/>
  <c r="V25" i="7" s="1"/>
  <c r="U25" i="7" a="1"/>
  <c r="U25" i="7" s="1"/>
  <c r="K25" i="7" a="1"/>
  <c r="K25" i="7" s="1"/>
  <c r="Y25" i="7" a="1"/>
  <c r="Y25" i="7" s="1"/>
  <c r="G25" i="7" a="1"/>
  <c r="G25" i="7" s="1"/>
  <c r="N40" i="7" a="1"/>
  <c r="N40" i="7" s="1"/>
  <c r="W40" i="7" a="1"/>
  <c r="W40" i="7" s="1"/>
  <c r="D40" i="7" a="1"/>
  <c r="D40" i="7" s="1"/>
  <c r="M40" i="7" a="1"/>
  <c r="M40" i="7" s="1"/>
  <c r="C40" i="7" a="1"/>
  <c r="C40" i="7" s="1"/>
  <c r="V40" i="7" a="1"/>
  <c r="V40" i="7" s="1"/>
  <c r="L40" i="7" a="1"/>
  <c r="L40" i="7" s="1"/>
  <c r="F40" i="7" a="1"/>
  <c r="F40" i="7" s="1"/>
  <c r="Q40" i="7" a="1"/>
  <c r="Q40" i="7" s="1"/>
  <c r="E40" i="7" a="1"/>
  <c r="E40" i="7" s="1"/>
  <c r="P40" i="7" a="1"/>
  <c r="P40" i="7" s="1"/>
  <c r="B40" i="7" a="1"/>
  <c r="B40" i="7" s="1"/>
  <c r="J40" i="7" a="1"/>
  <c r="J40" i="7" s="1"/>
  <c r="Y40" i="7" a="1"/>
  <c r="Y40" i="7" s="1"/>
  <c r="I40" i="7" a="1"/>
  <c r="I40" i="7" s="1"/>
  <c r="X40" i="7" a="1"/>
  <c r="X40" i="7" s="1"/>
  <c r="U40" i="7" a="1"/>
  <c r="U40" i="7" s="1"/>
  <c r="T40" i="7" a="1"/>
  <c r="T40" i="7" s="1"/>
  <c r="S40" i="7" a="1"/>
  <c r="S40" i="7" s="1"/>
  <c r="O40" i="7" a="1"/>
  <c r="O40" i="7" s="1"/>
  <c r="R40" i="7" a="1"/>
  <c r="R40" i="7" s="1"/>
  <c r="K40" i="7" a="1"/>
  <c r="K40" i="7" s="1"/>
  <c r="H40" i="7" a="1"/>
  <c r="H40" i="7" s="1"/>
  <c r="G40" i="7" a="1"/>
  <c r="G40" i="7" s="1"/>
  <c r="G48" i="7" a="1"/>
  <c r="G48" i="7" s="1"/>
  <c r="P48" i="7" a="1"/>
  <c r="P48" i="7" s="1"/>
  <c r="Y48" i="7" a="1"/>
  <c r="Y48" i="7" s="1"/>
  <c r="F48" i="7" a="1"/>
  <c r="F48" i="7" s="1"/>
  <c r="O48" i="7" a="1"/>
  <c r="O48" i="7" s="1"/>
  <c r="R48" i="7" a="1"/>
  <c r="R48" i="7" s="1"/>
  <c r="D48" i="7" a="1"/>
  <c r="D48" i="7" s="1"/>
  <c r="Q48" i="7" a="1"/>
  <c r="Q48" i="7" s="1"/>
  <c r="C48" i="7" a="1"/>
  <c r="C48" i="7" s="1"/>
  <c r="V48" i="7" a="1"/>
  <c r="V48" i="7" s="1"/>
  <c r="H48" i="7" a="1"/>
  <c r="H48" i="7" s="1"/>
  <c r="U48" i="7" a="1"/>
  <c r="U48" i="7" s="1"/>
  <c r="E48" i="7" a="1"/>
  <c r="E48" i="7" s="1"/>
  <c r="T48" i="7" a="1"/>
  <c r="T48" i="7" s="1"/>
  <c r="M48" i="7" a="1"/>
  <c r="M48" i="7" s="1"/>
  <c r="L48" i="7" a="1"/>
  <c r="L48" i="7" s="1"/>
  <c r="K48" i="7" a="1"/>
  <c r="K48" i="7" s="1"/>
  <c r="J48" i="7" a="1"/>
  <c r="J48" i="7" s="1"/>
  <c r="B48" i="7" a="1"/>
  <c r="B48" i="7" s="1"/>
  <c r="X48" i="7" a="1"/>
  <c r="X48" i="7" s="1"/>
  <c r="F25" i="7" a="1"/>
  <c r="F25" i="7" s="1"/>
  <c r="I48" i="7" a="1"/>
  <c r="I48" i="7" s="1"/>
  <c r="S23" i="7" a="1"/>
  <c r="S23" i="7" s="1"/>
  <c r="N48" i="7" a="1"/>
  <c r="N48" i="7" s="1"/>
  <c r="R12" i="7" a="1"/>
  <c r="R12" i="7" s="1"/>
  <c r="I12" i="7" a="1"/>
  <c r="I12" i="7" s="1"/>
  <c r="Q12" i="7" a="1"/>
  <c r="Q12" i="7" s="1"/>
  <c r="H12" i="7" a="1"/>
  <c r="H12" i="7" s="1"/>
  <c r="T12" i="7" a="1"/>
  <c r="T12" i="7" s="1"/>
  <c r="G12" i="7" a="1"/>
  <c r="G12" i="7" s="1"/>
  <c r="S12" i="7" a="1"/>
  <c r="S12" i="7" s="1"/>
  <c r="F12" i="7" a="1"/>
  <c r="F12" i="7" s="1"/>
  <c r="Y12" i="7" a="1"/>
  <c r="Y12" i="7" s="1"/>
  <c r="N12" i="7" a="1"/>
  <c r="N12" i="7" s="1"/>
  <c r="C12" i="7" a="1"/>
  <c r="C12" i="7" s="1"/>
  <c r="J12" i="7" a="1"/>
  <c r="J12" i="7" s="1"/>
  <c r="X12" i="7" a="1"/>
  <c r="X12" i="7" s="1"/>
  <c r="E12" i="7" a="1"/>
  <c r="E12" i="7" s="1"/>
  <c r="W12" i="7" a="1"/>
  <c r="W12" i="7" s="1"/>
  <c r="D12" i="7" a="1"/>
  <c r="D12" i="7" s="1"/>
  <c r="V12" i="7" a="1"/>
  <c r="V12" i="7" s="1"/>
  <c r="B12" i="7" a="1"/>
  <c r="B12" i="7" s="1"/>
  <c r="U12" i="7" a="1"/>
  <c r="U12" i="7" s="1"/>
  <c r="P12" i="7" a="1"/>
  <c r="P12" i="7" s="1"/>
  <c r="W18" i="7" a="1"/>
  <c r="W18" i="7" s="1"/>
  <c r="X37" i="7" a="1"/>
  <c r="X37" i="7" s="1"/>
  <c r="E37" i="7" a="1"/>
  <c r="E37" i="7" s="1"/>
  <c r="N37" i="7" a="1"/>
  <c r="N37" i="7" s="1"/>
  <c r="W37" i="7" a="1"/>
  <c r="W37" i="7" s="1"/>
  <c r="D37" i="7" a="1"/>
  <c r="D37" i="7" s="1"/>
  <c r="M37" i="7" a="1"/>
  <c r="M37" i="7" s="1"/>
  <c r="I37" i="7" a="1"/>
  <c r="I37" i="7" s="1"/>
  <c r="T37" i="7" a="1"/>
  <c r="T37" i="7" s="1"/>
  <c r="H37" i="7" a="1"/>
  <c r="H37" i="7" s="1"/>
  <c r="S37" i="7" a="1"/>
  <c r="S37" i="7" s="1"/>
  <c r="G37" i="7" a="1"/>
  <c r="G37" i="7" s="1"/>
  <c r="J37" i="7" a="1"/>
  <c r="J37" i="7" s="1"/>
  <c r="Y37" i="7" a="1"/>
  <c r="Y37" i="7" s="1"/>
  <c r="R37" i="7" a="1"/>
  <c r="R37" i="7" s="1"/>
  <c r="Q37" i="7" a="1"/>
  <c r="Q37" i="7" s="1"/>
  <c r="P37" i="7" a="1"/>
  <c r="P37" i="7" s="1"/>
  <c r="O37" i="7" a="1"/>
  <c r="O37" i="7" s="1"/>
  <c r="K37" i="7" a="1"/>
  <c r="K37" i="7" s="1"/>
  <c r="U37" i="7" a="1"/>
  <c r="U37" i="7" s="1"/>
  <c r="L37" i="7" a="1"/>
  <c r="L37" i="7" s="1"/>
  <c r="F37" i="7" a="1"/>
  <c r="F37" i="7" s="1"/>
  <c r="C37" i="7" a="1"/>
  <c r="C37" i="7" s="1"/>
  <c r="G41" i="7" a="1"/>
  <c r="G41" i="7" s="1"/>
  <c r="P41" i="7" a="1"/>
  <c r="P41" i="7" s="1"/>
  <c r="Y41" i="7" a="1"/>
  <c r="Y41" i="7" s="1"/>
  <c r="F41" i="7" a="1"/>
  <c r="F41" i="7" s="1"/>
  <c r="O41" i="7" a="1"/>
  <c r="O41" i="7" s="1"/>
  <c r="Q41" i="7" a="1"/>
  <c r="Q41" i="7" s="1"/>
  <c r="C41" i="7" a="1"/>
  <c r="C41" i="7" s="1"/>
  <c r="N41" i="7" a="1"/>
  <c r="N41" i="7" s="1"/>
  <c r="B41" i="7" a="1"/>
  <c r="B41" i="7" s="1"/>
  <c r="M41" i="7" a="1"/>
  <c r="M41" i="7" s="1"/>
  <c r="R41" i="7" a="1"/>
  <c r="R41" i="7" s="1"/>
  <c r="T41" i="7" a="1"/>
  <c r="T41" i="7" s="1"/>
  <c r="S41" i="7" a="1"/>
  <c r="S41" i="7" s="1"/>
  <c r="L41" i="7" a="1"/>
  <c r="L41" i="7" s="1"/>
  <c r="K41" i="7" a="1"/>
  <c r="K41" i="7" s="1"/>
  <c r="I41" i="7" a="1"/>
  <c r="I41" i="7" s="1"/>
  <c r="X41" i="7" a="1"/>
  <c r="X41" i="7" s="1"/>
  <c r="W41" i="7" a="1"/>
  <c r="W41" i="7" s="1"/>
  <c r="V41" i="7" a="1"/>
  <c r="V41" i="7" s="1"/>
  <c r="H41" i="7" a="1"/>
  <c r="H41" i="7" s="1"/>
  <c r="E41" i="7" a="1"/>
  <c r="E41" i="7" s="1"/>
  <c r="D41" i="7" a="1"/>
  <c r="D41" i="7" s="1"/>
  <c r="X18" i="7" a="1"/>
  <c r="X18" i="7" s="1"/>
  <c r="X20" i="7" a="1"/>
  <c r="X20" i="7" s="1"/>
  <c r="H25" i="7" a="1"/>
  <c r="H25" i="7" s="1"/>
  <c r="D31" i="7" a="1"/>
  <c r="D31" i="7" s="1"/>
  <c r="J41" i="7" a="1"/>
  <c r="J41" i="7" s="1"/>
  <c r="S48" i="7" a="1"/>
  <c r="S48" i="7" s="1"/>
  <c r="D17" i="7" a="1"/>
  <c r="D17" i="7" s="1"/>
  <c r="B37" i="7" a="1"/>
  <c r="B37" i="7" s="1"/>
  <c r="H50" i="7" a="1"/>
  <c r="H50" i="7" s="1"/>
  <c r="H30" i="7" a="1"/>
  <c r="H30" i="7" s="1"/>
  <c r="H34" i="7" a="1"/>
  <c r="H34" i="7" s="1"/>
  <c r="H46" i="7" a="1"/>
  <c r="H46" i="7" s="1"/>
  <c r="H29" i="7" a="1"/>
  <c r="H29" i="7" s="1"/>
  <c r="H14" i="7" a="1"/>
  <c r="H14" i="7" s="1"/>
  <c r="H23" i="7" a="1"/>
  <c r="H23" i="7" s="1"/>
  <c r="H44" i="7" a="1"/>
  <c r="H44" i="7" s="1"/>
  <c r="H32" i="7" a="1"/>
  <c r="H32" i="7" s="1"/>
  <c r="H47" i="7" a="1"/>
  <c r="H47" i="7" s="1"/>
  <c r="N35" i="7" a="1"/>
  <c r="N35" i="7" s="1"/>
  <c r="W48" i="7" a="1"/>
  <c r="W48" i="7" s="1"/>
  <c r="V8" i="7" a="1"/>
  <c r="V8" i="7" s="1"/>
  <c r="M8" i="7" a="1"/>
  <c r="M8" i="7" s="1"/>
  <c r="D8" i="7" a="1"/>
  <c r="D8" i="7" s="1"/>
  <c r="S8" i="7" a="1"/>
  <c r="S8" i="7" s="1"/>
  <c r="H8" i="7" a="1"/>
  <c r="H8" i="7" s="1"/>
  <c r="R8" i="7" a="1"/>
  <c r="R8" i="7" s="1"/>
  <c r="G8" i="7" a="1"/>
  <c r="G8" i="7" s="1"/>
  <c r="Y8" i="7" a="1"/>
  <c r="Y8" i="7" s="1"/>
  <c r="N8" i="7" a="1"/>
  <c r="N8" i="7" s="1"/>
  <c r="W8" i="7" a="1"/>
  <c r="W8" i="7" s="1"/>
  <c r="F8" i="7" a="1"/>
  <c r="F8" i="7" s="1"/>
  <c r="U8" i="7" a="1"/>
  <c r="U8" i="7" s="1"/>
  <c r="E8" i="7" a="1"/>
  <c r="E8" i="7" s="1"/>
  <c r="T8" i="7" a="1"/>
  <c r="T8" i="7" s="1"/>
  <c r="C8" i="7" a="1"/>
  <c r="C8" i="7" s="1"/>
  <c r="B8" i="7" a="1"/>
  <c r="B8" i="7" s="1"/>
  <c r="Q8" i="7" a="1"/>
  <c r="Q8" i="7" s="1"/>
  <c r="O8" i="7" a="1"/>
  <c r="O8" i="7" s="1"/>
  <c r="L8" i="7" a="1"/>
  <c r="L8" i="7" s="1"/>
  <c r="K8" i="7" a="1"/>
  <c r="K8" i="7" s="1"/>
  <c r="Q11" i="7" a="1"/>
  <c r="Q11" i="7" s="1"/>
  <c r="H11" i="7" a="1"/>
  <c r="H11" i="7" s="1"/>
  <c r="Y11" i="7" a="1"/>
  <c r="Y11" i="7" s="1"/>
  <c r="P11" i="7" a="1"/>
  <c r="P11" i="7" s="1"/>
  <c r="G11" i="7" a="1"/>
  <c r="G11" i="7" s="1"/>
  <c r="V11" i="7" a="1"/>
  <c r="V11" i="7" s="1"/>
  <c r="K11" i="7" a="1"/>
  <c r="K11" i="7" s="1"/>
  <c r="U11" i="7" a="1"/>
  <c r="U11" i="7" s="1"/>
  <c r="J11" i="7" a="1"/>
  <c r="J11" i="7" s="1"/>
  <c r="R11" i="7" a="1"/>
  <c r="R11" i="7" s="1"/>
  <c r="E11" i="7" a="1"/>
  <c r="E11" i="7" s="1"/>
  <c r="N11" i="7" a="1"/>
  <c r="N11" i="7" s="1"/>
  <c r="M11" i="7" a="1"/>
  <c r="M11" i="7" s="1"/>
  <c r="L11" i="7" a="1"/>
  <c r="L11" i="7" s="1"/>
  <c r="I11" i="7" a="1"/>
  <c r="I11" i="7" s="1"/>
  <c r="T11" i="7" a="1"/>
  <c r="T11" i="7" s="1"/>
  <c r="S11" i="7" a="1"/>
  <c r="S11" i="7" s="1"/>
  <c r="D11" i="7" a="1"/>
  <c r="D11" i="7" s="1"/>
  <c r="L12" i="7" a="1"/>
  <c r="L12" i="7" s="1"/>
  <c r="H17" i="7" a="1"/>
  <c r="H17" i="7" s="1"/>
  <c r="U19" i="7" a="1"/>
  <c r="U19" i="7" s="1"/>
  <c r="L19" i="7" a="1"/>
  <c r="L19" i="7" s="1"/>
  <c r="C19" i="7" a="1"/>
  <c r="C19" i="7" s="1"/>
  <c r="Y19" i="7" a="1"/>
  <c r="Y19" i="7" s="1"/>
  <c r="F19" i="7" a="1"/>
  <c r="F19" i="7" s="1"/>
  <c r="O19" i="7" a="1"/>
  <c r="O19" i="7" s="1"/>
  <c r="X19" i="7" a="1"/>
  <c r="X19" i="7" s="1"/>
  <c r="E19" i="7" a="1"/>
  <c r="E19" i="7" s="1"/>
  <c r="N19" i="7" a="1"/>
  <c r="N19" i="7" s="1"/>
  <c r="D19" i="7" a="1"/>
  <c r="D19" i="7" s="1"/>
  <c r="Q19" i="7" a="1"/>
  <c r="Q19" i="7" s="1"/>
  <c r="P19" i="7" a="1"/>
  <c r="P19" i="7" s="1"/>
  <c r="B19" i="7" a="1"/>
  <c r="B19" i="7" s="1"/>
  <c r="M19" i="7" a="1"/>
  <c r="M19" i="7" s="1"/>
  <c r="V19" i="7" a="1"/>
  <c r="V19" i="7" s="1"/>
  <c r="J19" i="7" a="1"/>
  <c r="J19" i="7" s="1"/>
  <c r="K19" i="7" a="1"/>
  <c r="K19" i="7" s="1"/>
  <c r="I19" i="7" a="1"/>
  <c r="I19" i="7" s="1"/>
  <c r="H19" i="7" a="1"/>
  <c r="H19" i="7" s="1"/>
  <c r="G19" i="7" a="1"/>
  <c r="G19" i="7" s="1"/>
  <c r="V37" i="7" a="1"/>
  <c r="V37" i="7" s="1"/>
  <c r="J34" i="7" a="1"/>
  <c r="J34" i="7" s="1"/>
  <c r="J39" i="7" s="1" a="1"/>
  <c r="J39" i="7" s="1"/>
  <c r="J30" i="7" a="1"/>
  <c r="J30" i="7" s="1"/>
  <c r="J35" i="7" a="1"/>
  <c r="J35" i="7" s="1"/>
  <c r="J47" i="7" a="1"/>
  <c r="J47" i="7" s="1"/>
  <c r="J23" i="7" a="1"/>
  <c r="J23" i="7" s="1"/>
  <c r="J50" i="7" a="1"/>
  <c r="J50" i="7" s="1"/>
  <c r="J7" i="7" a="1"/>
  <c r="J7" i="7" s="1"/>
  <c r="J36" i="7" a="1"/>
  <c r="J36" i="7" s="1"/>
  <c r="V17" i="7" a="1"/>
  <c r="V17" i="7" s="1"/>
  <c r="M12" i="7" a="1"/>
  <c r="M12" i="7" s="1"/>
  <c r="V23" i="7" a="1"/>
  <c r="V23" i="7" s="1"/>
  <c r="H31" i="7" a="1"/>
  <c r="H31" i="7" s="1"/>
  <c r="Q38" i="7" a="1"/>
  <c r="Q38" i="7" s="1"/>
  <c r="G38" i="7" a="1"/>
  <c r="G38" i="7" s="1"/>
  <c r="P38" i="7" a="1"/>
  <c r="P38" i="7" s="1"/>
  <c r="Y38" i="7" a="1"/>
  <c r="Y38" i="7" s="1"/>
  <c r="F38" i="7" a="1"/>
  <c r="F38" i="7" s="1"/>
  <c r="T38" i="7" a="1"/>
  <c r="T38" i="7" s="1"/>
  <c r="H38" i="7" a="1"/>
  <c r="H38" i="7" s="1"/>
  <c r="S38" i="7" a="1"/>
  <c r="S38" i="7" s="1"/>
  <c r="E38" i="7" a="1"/>
  <c r="E38" i="7" s="1"/>
  <c r="R38" i="7" a="1"/>
  <c r="R38" i="7" s="1"/>
  <c r="N38" i="7" a="1"/>
  <c r="N38" i="7" s="1"/>
  <c r="M38" i="7" a="1"/>
  <c r="M38" i="7" s="1"/>
  <c r="L38" i="7" a="1"/>
  <c r="L38" i="7" s="1"/>
  <c r="K38" i="7" a="1"/>
  <c r="K38" i="7" s="1"/>
  <c r="J38" i="7" a="1"/>
  <c r="J38" i="7" s="1"/>
  <c r="I38" i="7" a="1"/>
  <c r="I38" i="7" s="1"/>
  <c r="W38" i="7" a="1"/>
  <c r="W38" i="7" s="1"/>
  <c r="C38" i="7" a="1"/>
  <c r="C38" i="7" s="1"/>
  <c r="X38" i="7" a="1"/>
  <c r="X38" i="7" s="1"/>
  <c r="V38" i="7" a="1"/>
  <c r="V38" i="7" s="1"/>
  <c r="U38" i="7" a="1"/>
  <c r="U38" i="7" s="1"/>
  <c r="O38" i="7" a="1"/>
  <c r="O38" i="7" s="1"/>
  <c r="D38" i="7" a="1"/>
  <c r="D38" i="7" s="1"/>
  <c r="W34" i="7" a="1"/>
  <c r="W34" i="7" s="1"/>
  <c r="W14" i="7" a="1"/>
  <c r="W14" i="7" s="1"/>
  <c r="W17" i="7" a="1"/>
  <c r="W17" i="7" s="1"/>
  <c r="W26" i="7" a="1"/>
  <c r="W26" i="7" s="1"/>
  <c r="W31" i="7" a="1"/>
  <c r="W31" i="7" s="1"/>
  <c r="W49" i="7" a="1"/>
  <c r="W49" i="7" s="1"/>
  <c r="W42" i="7" a="1"/>
  <c r="W42" i="7" s="1"/>
  <c r="T6" i="7" a="1"/>
  <c r="T6" i="7" s="1"/>
  <c r="K6" i="7" a="1"/>
  <c r="K6" i="7" s="1"/>
  <c r="B6" i="7" a="1"/>
  <c r="B6" i="7" s="1"/>
  <c r="Q6" i="7" a="1"/>
  <c r="Q6" i="7" s="1"/>
  <c r="F6" i="7" a="1"/>
  <c r="F6" i="7" s="1"/>
  <c r="P6" i="7" a="1"/>
  <c r="P6" i="7" s="1"/>
  <c r="E6" i="7" a="1"/>
  <c r="E6" i="7" s="1"/>
  <c r="W6" i="7" a="1"/>
  <c r="W6" i="7" s="1"/>
  <c r="W9" i="7" s="1" a="1"/>
  <c r="W9" i="7" s="1"/>
  <c r="N6" i="7" a="1"/>
  <c r="N6" i="7" s="1"/>
  <c r="M6" i="7" a="1"/>
  <c r="M6" i="7" s="1"/>
  <c r="L6" i="7" a="1"/>
  <c r="L6" i="7" s="1"/>
  <c r="Y6" i="7" a="1"/>
  <c r="Y6" i="7" s="1"/>
  <c r="J6" i="7" a="1"/>
  <c r="J6" i="7" s="1"/>
  <c r="U6" i="7" a="1"/>
  <c r="U6" i="7" s="1"/>
  <c r="S6" i="7" a="1"/>
  <c r="S6" i="7" s="1"/>
  <c r="R6" i="7" a="1"/>
  <c r="R6" i="7" s="1"/>
  <c r="I8" i="7" a="1"/>
  <c r="I8" i="7" s="1"/>
  <c r="B11" i="7" a="1"/>
  <c r="B11" i="7" s="1"/>
  <c r="D35" i="7" a="1"/>
  <c r="D35" i="7" s="1"/>
  <c r="B38" i="7" a="1"/>
  <c r="B38" i="7" s="1"/>
  <c r="H48" i="6" a="1"/>
  <c r="H48" i="6" s="1"/>
  <c r="Q48" i="6" a="1"/>
  <c r="Q48" i="6" s="1"/>
  <c r="G48" i="6" a="1"/>
  <c r="G48" i="6" s="1"/>
  <c r="P48" i="6" a="1"/>
  <c r="P48" i="6" s="1"/>
  <c r="F48" i="6" a="1"/>
  <c r="F48" i="6" s="1"/>
  <c r="N48" i="6" a="1"/>
  <c r="N48" i="6" s="1"/>
  <c r="B48" i="6" a="1"/>
  <c r="B48" i="6" s="1"/>
  <c r="M48" i="6" a="1"/>
  <c r="M48" i="6" s="1"/>
  <c r="L48" i="6" a="1"/>
  <c r="L48" i="6" s="1"/>
  <c r="K30" i="7" a="1"/>
  <c r="K30" i="7" s="1"/>
  <c r="K44" i="7" a="1"/>
  <c r="K44" i="7" s="1"/>
  <c r="K23" i="7" a="1"/>
  <c r="K23" i="7" s="1"/>
  <c r="K47" i="7" a="1"/>
  <c r="K47" i="7" s="1"/>
  <c r="K34" i="7" a="1"/>
  <c r="K34" i="7" s="1"/>
  <c r="K50" i="7" a="1"/>
  <c r="K50" i="7" s="1"/>
  <c r="K10" i="7" a="1"/>
  <c r="K10" i="7" s="1"/>
  <c r="K31" i="7" a="1"/>
  <c r="K31" i="7" s="1"/>
  <c r="C6" i="7" a="1"/>
  <c r="C6" i="7" s="1"/>
  <c r="O12" i="7" a="1"/>
  <c r="O12" i="7" s="1"/>
  <c r="D14" i="7" a="1"/>
  <c r="D14" i="7" s="1"/>
  <c r="L22" i="7" a="1"/>
  <c r="L22" i="7" s="1"/>
  <c r="C22" i="7" a="1"/>
  <c r="C22" i="7" s="1"/>
  <c r="T22" i="7" a="1"/>
  <c r="T22" i="7" s="1"/>
  <c r="J22" i="7" a="1"/>
  <c r="J22" i="7" s="1"/>
  <c r="S22" i="7" a="1"/>
  <c r="S22" i="7" s="1"/>
  <c r="I22" i="7" a="1"/>
  <c r="I22" i="7" s="1"/>
  <c r="Q22" i="7" a="1"/>
  <c r="Q22" i="7" s="1"/>
  <c r="E22" i="7" a="1"/>
  <c r="E22" i="7" s="1"/>
  <c r="P22" i="7" a="1"/>
  <c r="P22" i="7" s="1"/>
  <c r="D22" i="7" a="1"/>
  <c r="D22" i="7" s="1"/>
  <c r="M22" i="7" a="1"/>
  <c r="M22" i="7" s="1"/>
  <c r="K22" i="7" a="1"/>
  <c r="K22" i="7" s="1"/>
  <c r="Y22" i="7" a="1"/>
  <c r="Y22" i="7" s="1"/>
  <c r="H22" i="7" a="1"/>
  <c r="H22" i="7" s="1"/>
  <c r="F22" i="7" a="1"/>
  <c r="F22" i="7" s="1"/>
  <c r="V22" i="7" a="1"/>
  <c r="V22" i="7" s="1"/>
  <c r="N22" i="7" a="1"/>
  <c r="N22" i="7" s="1"/>
  <c r="G22" i="7" a="1"/>
  <c r="G22" i="7" s="1"/>
  <c r="B31" i="7" a="1"/>
  <c r="B31" i="7" s="1"/>
  <c r="B17" i="7" a="1"/>
  <c r="B17" i="7" s="1"/>
  <c r="B7" i="7" a="1"/>
  <c r="B7" i="7" s="1"/>
  <c r="Y50" i="7" a="1"/>
  <c r="Y50" i="7" s="1"/>
  <c r="Y17" i="7" a="1"/>
  <c r="Y17" i="7" s="1"/>
  <c r="Y47" i="7" a="1"/>
  <c r="Y47" i="7" s="1"/>
  <c r="Y44" i="7" a="1"/>
  <c r="Y44" i="7" s="1"/>
  <c r="Y31" i="7" a="1"/>
  <c r="Y31" i="7" s="1"/>
  <c r="Y35" i="7" a="1"/>
  <c r="Y35" i="7" s="1"/>
  <c r="Y32" i="7" a="1"/>
  <c r="Y32" i="7" s="1"/>
  <c r="B22" i="7" a="1"/>
  <c r="B22" i="7" s="1"/>
  <c r="O22" i="7" a="1"/>
  <c r="O22" i="7" s="1"/>
  <c r="Q24" i="7" a="1"/>
  <c r="Q24" i="7" s="1"/>
  <c r="S24" i="7" a="1"/>
  <c r="S24" i="7" s="1"/>
  <c r="I24" i="7" a="1"/>
  <c r="I24" i="7" s="1"/>
  <c r="R24" i="7" a="1"/>
  <c r="R24" i="7" s="1"/>
  <c r="H24" i="7" a="1"/>
  <c r="H24" i="7" s="1"/>
  <c r="G24" i="7" a="1"/>
  <c r="G24" i="7" s="1"/>
  <c r="P24" i="7" a="1"/>
  <c r="P24" i="7" s="1"/>
  <c r="D24" i="7" a="1"/>
  <c r="D24" i="7" s="1"/>
  <c r="O24" i="7" a="1"/>
  <c r="O24" i="7" s="1"/>
  <c r="C24" i="7" a="1"/>
  <c r="C24" i="7" s="1"/>
  <c r="K24" i="7" a="1"/>
  <c r="K24" i="7" s="1"/>
  <c r="Y24" i="7" a="1"/>
  <c r="Y24" i="7" s="1"/>
  <c r="J24" i="7" a="1"/>
  <c r="J24" i="7" s="1"/>
  <c r="X24" i="7" a="1"/>
  <c r="X24" i="7" s="1"/>
  <c r="W24" i="7" a="1"/>
  <c r="W24" i="7" s="1"/>
  <c r="F24" i="7" a="1"/>
  <c r="F24" i="7" s="1"/>
  <c r="U24" i="7" a="1"/>
  <c r="U24" i="7" s="1"/>
  <c r="T24" i="7" a="1"/>
  <c r="T24" i="7" s="1"/>
  <c r="N24" i="7" a="1"/>
  <c r="N24" i="7" s="1"/>
  <c r="M24" i="7" a="1"/>
  <c r="M24" i="7" s="1"/>
  <c r="L24" i="7" a="1"/>
  <c r="L24" i="7" s="1"/>
  <c r="C31" i="7" a="1"/>
  <c r="C31" i="7" s="1"/>
  <c r="C35" i="7" a="1"/>
  <c r="C35" i="7" s="1"/>
  <c r="C42" i="7" a="1"/>
  <c r="C42" i="7" s="1"/>
  <c r="G4" i="7" a="1"/>
  <c r="G4" i="7" s="1"/>
  <c r="G9" i="7" s="1" a="1"/>
  <c r="G9" i="7" s="1"/>
  <c r="P4" i="7" a="1"/>
  <c r="P4" i="7" s="1"/>
  <c r="Y4" i="7" a="1"/>
  <c r="Y4" i="7" s="1"/>
  <c r="F4" i="7" a="1"/>
  <c r="F4" i="7" s="1"/>
  <c r="F9" i="7" s="1" a="1"/>
  <c r="F9" i="7" s="1"/>
  <c r="O4" i="7" a="1"/>
  <c r="O4" i="7" s="1"/>
  <c r="L4" i="7" a="1"/>
  <c r="L4" i="7" s="1"/>
  <c r="J4" i="7" a="1"/>
  <c r="J4" i="7" s="1"/>
  <c r="V4" i="7" a="1"/>
  <c r="V4" i="7" s="1"/>
  <c r="V9" i="7" s="1" a="1"/>
  <c r="V9" i="7" s="1"/>
  <c r="I4" i="7" a="1"/>
  <c r="I4" i="7" s="1"/>
  <c r="I9" i="7" s="1" a="1"/>
  <c r="I9" i="7" s="1"/>
  <c r="U4" i="7" a="1"/>
  <c r="U4" i="7" s="1"/>
  <c r="H4" i="7" a="1"/>
  <c r="H4" i="7" s="1"/>
  <c r="H9" i="7" s="1" a="1"/>
  <c r="H9" i="7" s="1"/>
  <c r="T4" i="7" a="1"/>
  <c r="T4" i="7" s="1"/>
  <c r="E4" i="7" a="1"/>
  <c r="E4" i="7" s="1"/>
  <c r="S4" i="7" a="1"/>
  <c r="S4" i="7" s="1"/>
  <c r="C14" i="7" a="1"/>
  <c r="C14" i="7" s="1"/>
  <c r="M36" i="7" a="1"/>
  <c r="M36" i="7" s="1"/>
  <c r="P43" i="7" a="1"/>
  <c r="P43" i="7" s="1"/>
  <c r="D49" i="7" a="1"/>
  <c r="D49" i="7" s="1"/>
  <c r="X4" i="7" a="1"/>
  <c r="X4" i="7" s="1"/>
  <c r="X9" i="7" s="1" a="1"/>
  <c r="X9" i="7" s="1"/>
  <c r="U13" i="7" a="1"/>
  <c r="U13" i="7" s="1"/>
  <c r="R22" i="7" a="1"/>
  <c r="R22" i="7" s="1"/>
  <c r="B24" i="7" a="1"/>
  <c r="B24" i="7" s="1"/>
  <c r="C30" i="7" a="1"/>
  <c r="C30" i="7" s="1"/>
  <c r="D34" i="7" a="1"/>
  <c r="D34" i="7" s="1"/>
  <c r="U47" i="7" a="1"/>
  <c r="U47" i="7" s="1"/>
  <c r="I34" i="7" a="1"/>
  <c r="I34" i="7" s="1"/>
  <c r="I30" i="7" a="1"/>
  <c r="I30" i="7" s="1"/>
  <c r="I50" i="7" a="1"/>
  <c r="I50" i="7" s="1"/>
  <c r="I14" i="7" a="1"/>
  <c r="I14" i="7" s="1"/>
  <c r="Y10" i="7" a="1"/>
  <c r="Y10" i="7" s="1"/>
  <c r="P10" i="7" a="1"/>
  <c r="P10" i="7" s="1"/>
  <c r="G10" i="7" a="1"/>
  <c r="G10" i="7" s="1"/>
  <c r="G15" i="7" s="1" a="1"/>
  <c r="G15" i="7" s="1"/>
  <c r="X10" i="7" a="1"/>
  <c r="X10" i="7" s="1"/>
  <c r="O10" i="7" a="1"/>
  <c r="O10" i="7" s="1"/>
  <c r="F10" i="7" a="1"/>
  <c r="F10" i="7" s="1"/>
  <c r="F15" i="7" s="1" a="1"/>
  <c r="F15" i="7" s="1"/>
  <c r="M10" i="7" a="1"/>
  <c r="M10" i="7" s="1"/>
  <c r="B10" i="7" a="1"/>
  <c r="B10" i="7" s="1"/>
  <c r="W10" i="7" a="1"/>
  <c r="W10" i="7" s="1"/>
  <c r="W15" i="7" s="1" a="1"/>
  <c r="W15" i="7" s="1"/>
  <c r="L10" i="7" a="1"/>
  <c r="L10" i="7" s="1"/>
  <c r="T10" i="7" a="1"/>
  <c r="T10" i="7" s="1"/>
  <c r="I10" i="7" a="1"/>
  <c r="I10" i="7" s="1"/>
  <c r="R10" i="7" a="1"/>
  <c r="R10" i="7" s="1"/>
  <c r="S28" i="7" a="1"/>
  <c r="S28" i="7" s="1"/>
  <c r="R28" i="7" a="1"/>
  <c r="R28" i="7" s="1"/>
  <c r="L28" i="7" a="1"/>
  <c r="L28" i="7" s="1"/>
  <c r="V28" i="7" a="1"/>
  <c r="V28" i="7" s="1"/>
  <c r="K28" i="7" a="1"/>
  <c r="K28" i="7" s="1"/>
  <c r="U28" i="7" a="1"/>
  <c r="U28" i="7" s="1"/>
  <c r="X28" i="7" a="1"/>
  <c r="X28" i="7" s="1"/>
  <c r="I28" i="7" a="1"/>
  <c r="I28" i="7" s="1"/>
  <c r="H28" i="7" a="1"/>
  <c r="H28" i="7" s="1"/>
  <c r="H33" i="7" s="1" a="1"/>
  <c r="H33" i="7" s="1"/>
  <c r="W28" i="7" a="1"/>
  <c r="W28" i="7" s="1"/>
  <c r="G28" i="7" a="1"/>
  <c r="G28" i="7" s="1"/>
  <c r="M28" i="7" a="1"/>
  <c r="M28" i="7" s="1"/>
  <c r="J28" i="7" a="1"/>
  <c r="J28" i="7" s="1"/>
  <c r="F28" i="7" a="1"/>
  <c r="F28" i="7" s="1"/>
  <c r="Y28" i="7" a="1"/>
  <c r="Y28" i="7" s="1"/>
  <c r="E28" i="7" a="1"/>
  <c r="E28" i="7" s="1"/>
  <c r="C28" i="7" a="1"/>
  <c r="C28" i="7" s="1"/>
  <c r="I47" i="7" a="1"/>
  <c r="I47" i="7" s="1"/>
  <c r="C10" i="7" a="1"/>
  <c r="C10" i="7" s="1"/>
  <c r="S10" i="7" a="1"/>
  <c r="S10" i="7" s="1"/>
  <c r="B28" i="7" a="1"/>
  <c r="B28" i="7" s="1"/>
  <c r="P46" i="7" a="1"/>
  <c r="P46" i="7" s="1"/>
  <c r="U7" i="7" a="1"/>
  <c r="U7" i="7" s="1"/>
  <c r="L7" i="7" a="1"/>
  <c r="L7" i="7" s="1"/>
  <c r="C7" i="7" a="1"/>
  <c r="C7" i="7" s="1"/>
  <c r="X7" i="7" a="1"/>
  <c r="X7" i="7" s="1"/>
  <c r="M7" i="7" a="1"/>
  <c r="M7" i="7" s="1"/>
  <c r="W7" i="7" a="1"/>
  <c r="W7" i="7" s="1"/>
  <c r="K7" i="7" a="1"/>
  <c r="K7" i="7" s="1"/>
  <c r="R7" i="7" a="1"/>
  <c r="R7" i="7" s="1"/>
  <c r="P7" i="7" a="1"/>
  <c r="P7" i="7" s="1"/>
  <c r="I23" i="7" a="1"/>
  <c r="I23" i="7" s="1"/>
  <c r="U50" i="7" a="1"/>
  <c r="U50" i="7" s="1"/>
  <c r="U17" i="7" a="1"/>
  <c r="U17" i="7" s="1"/>
  <c r="U35" i="7" a="1"/>
  <c r="U35" i="7" s="1"/>
  <c r="D10" i="7" a="1"/>
  <c r="D10" i="7" s="1"/>
  <c r="U10" i="7" a="1"/>
  <c r="U10" i="7" s="1"/>
  <c r="I17" i="7" a="1"/>
  <c r="I17" i="7" s="1"/>
  <c r="D28" i="7" a="1"/>
  <c r="D28" i="7" s="1"/>
  <c r="I29" i="7" a="1"/>
  <c r="I29" i="7" s="1"/>
  <c r="L14" i="7" a="1"/>
  <c r="L14" i="7" s="1"/>
  <c r="D7" i="7" a="1"/>
  <c r="D7" i="7" s="1"/>
  <c r="Q7" i="7" a="1"/>
  <c r="Q7" i="7" s="1"/>
  <c r="U34" i="7" a="1"/>
  <c r="U34" i="7" s="1"/>
  <c r="T47" i="6" a="1"/>
  <c r="T47" i="6" s="1"/>
  <c r="J47" i="6" a="1"/>
  <c r="J47" i="6" s="1"/>
  <c r="S47" i="6" a="1"/>
  <c r="S47" i="6" s="1"/>
  <c r="I47" i="6" a="1"/>
  <c r="I47" i="6" s="1"/>
  <c r="M47" i="6" a="1"/>
  <c r="M47" i="6" s="1"/>
  <c r="V50" i="7" a="1"/>
  <c r="V50" i="7" s="1"/>
  <c r="V34" i="7" a="1"/>
  <c r="V34" i="7" s="1"/>
  <c r="V31" i="7" a="1"/>
  <c r="V31" i="7" s="1"/>
  <c r="E10" i="7" a="1"/>
  <c r="E10" i="7" s="1"/>
  <c r="V10" i="7" a="1"/>
  <c r="V10" i="7" s="1"/>
  <c r="S13" i="7" a="1"/>
  <c r="S13" i="7" s="1"/>
  <c r="J13" i="7" a="1"/>
  <c r="J13" i="7" s="1"/>
  <c r="R13" i="7" a="1"/>
  <c r="R13" i="7" s="1"/>
  <c r="I13" i="7" a="1"/>
  <c r="I13" i="7" s="1"/>
  <c r="P13" i="7" a="1"/>
  <c r="P13" i="7" s="1"/>
  <c r="E13" i="7" a="1"/>
  <c r="E13" i="7" s="1"/>
  <c r="O13" i="7" a="1"/>
  <c r="O13" i="7" s="1"/>
  <c r="D13" i="7" a="1"/>
  <c r="D13" i="7" s="1"/>
  <c r="Y13" i="7" a="1"/>
  <c r="Y13" i="7" s="1"/>
  <c r="N13" i="7" a="1"/>
  <c r="N13" i="7" s="1"/>
  <c r="C13" i="7" a="1"/>
  <c r="C13" i="7" s="1"/>
  <c r="V13" i="7" a="1"/>
  <c r="V13" i="7" s="1"/>
  <c r="K13" i="7" a="1"/>
  <c r="K13" i="7" s="1"/>
  <c r="N28" i="7" a="1"/>
  <c r="N28" i="7" s="1"/>
  <c r="J32" i="7" a="1"/>
  <c r="J32" i="7" s="1"/>
  <c r="S32" i="7" a="1"/>
  <c r="S32" i="7" s="1"/>
  <c r="I32" i="7" a="1"/>
  <c r="I32" i="7" s="1"/>
  <c r="Q32" i="7" a="1"/>
  <c r="Q32" i="7" s="1"/>
  <c r="F32" i="7" a="1"/>
  <c r="F32" i="7" s="1"/>
  <c r="P32" i="7" a="1"/>
  <c r="P32" i="7" s="1"/>
  <c r="E32" i="7" a="1"/>
  <c r="E32" i="7" s="1"/>
  <c r="T32" i="7" a="1"/>
  <c r="T32" i="7" s="1"/>
  <c r="R32" i="7" a="1"/>
  <c r="R32" i="7" s="1"/>
  <c r="C32" i="7" a="1"/>
  <c r="C32" i="7" s="1"/>
  <c r="B32" i="7" a="1"/>
  <c r="B32" i="7" s="1"/>
  <c r="O32" i="7" a="1"/>
  <c r="O32" i="7" s="1"/>
  <c r="M32" i="7" a="1"/>
  <c r="M32" i="7" s="1"/>
  <c r="L32" i="7" a="1"/>
  <c r="L32" i="7" s="1"/>
  <c r="K32" i="7" a="1"/>
  <c r="K32" i="7" s="1"/>
  <c r="X32" i="7" a="1"/>
  <c r="X32" i="7" s="1"/>
  <c r="G32" i="7" a="1"/>
  <c r="G32" i="7" s="1"/>
  <c r="V26" i="7" a="1"/>
  <c r="V26" i="7" s="1"/>
  <c r="C26" i="7" a="1"/>
  <c r="C26" i="7" s="1"/>
  <c r="U26" i="7" a="1"/>
  <c r="U26" i="7" s="1"/>
  <c r="B26" i="7" a="1"/>
  <c r="B26" i="7" s="1"/>
  <c r="I26" i="7" a="1"/>
  <c r="I26" i="7" s="1"/>
  <c r="S26" i="7" a="1"/>
  <c r="S26" i="7" s="1"/>
  <c r="H26" i="7" a="1"/>
  <c r="H26" i="7" s="1"/>
  <c r="R26" i="7" a="1"/>
  <c r="R26" i="7" s="1"/>
  <c r="F26" i="7" a="1"/>
  <c r="F26" i="7" s="1"/>
  <c r="T26" i="7" a="1"/>
  <c r="T26" i="7" s="1"/>
  <c r="E26" i="7" a="1"/>
  <c r="E26" i="7" s="1"/>
  <c r="Q26" i="7" a="1"/>
  <c r="Q26" i="7" s="1"/>
  <c r="D26" i="7" a="1"/>
  <c r="D26" i="7" s="1"/>
  <c r="S42" i="7" a="1"/>
  <c r="S42" i="7" s="1"/>
  <c r="I42" i="7" a="1"/>
  <c r="I42" i="7" s="1"/>
  <c r="R42" i="7" a="1"/>
  <c r="R42" i="7" s="1"/>
  <c r="H42" i="7" a="1"/>
  <c r="H42" i="7" s="1"/>
  <c r="N42" i="7" a="1"/>
  <c r="N42" i="7" s="1"/>
  <c r="B42" i="7" a="1"/>
  <c r="B42" i="7" s="1"/>
  <c r="Y42" i="7" a="1"/>
  <c r="Y42" i="7" s="1"/>
  <c r="M42" i="7" a="1"/>
  <c r="M42" i="7" s="1"/>
  <c r="F42" i="7" a="1"/>
  <c r="F42" i="7" s="1"/>
  <c r="U42" i="7" a="1"/>
  <c r="U42" i="7" s="1"/>
  <c r="E42" i="7" a="1"/>
  <c r="E42" i="7" s="1"/>
  <c r="T42" i="7" a="1"/>
  <c r="T42" i="7" s="1"/>
  <c r="D42" i="7" a="1"/>
  <c r="D42" i="7" s="1"/>
  <c r="V42" i="7" a="1"/>
  <c r="V42" i="7" s="1"/>
  <c r="V49" i="7" a="1"/>
  <c r="V49" i="7" s="1"/>
  <c r="M49" i="7" a="1"/>
  <c r="M49" i="7" s="1"/>
  <c r="S49" i="7" a="1"/>
  <c r="S49" i="7" s="1"/>
  <c r="I49" i="7" a="1"/>
  <c r="I49" i="7" s="1"/>
  <c r="R49" i="7" a="1"/>
  <c r="R49" i="7" s="1"/>
  <c r="H49" i="7" a="1"/>
  <c r="H49" i="7" s="1"/>
  <c r="P49" i="7" a="1"/>
  <c r="P49" i="7" s="1"/>
  <c r="C49" i="7" a="1"/>
  <c r="C49" i="7" s="1"/>
  <c r="O49" i="7" a="1"/>
  <c r="O49" i="7" s="1"/>
  <c r="B49" i="7" a="1"/>
  <c r="B49" i="7" s="1"/>
  <c r="N49" i="7" a="1"/>
  <c r="N49" i="7" s="1"/>
  <c r="L49" i="7" a="1"/>
  <c r="L49" i="7" s="1"/>
  <c r="K49" i="7" a="1"/>
  <c r="K49" i="7" s="1"/>
  <c r="J49" i="7" a="1"/>
  <c r="J49" i="7" s="1"/>
  <c r="Y49" i="7" a="1"/>
  <c r="Y49" i="7" s="1"/>
  <c r="X49" i="7" a="1"/>
  <c r="X49" i="7" s="1"/>
  <c r="L43" i="7" a="1"/>
  <c r="L43" i="7" s="1"/>
  <c r="U43" i="7" a="1"/>
  <c r="U43" i="7" s="1"/>
  <c r="B43" i="7" a="1"/>
  <c r="B43" i="7" s="1"/>
  <c r="K43" i="7" a="1"/>
  <c r="K43" i="7" s="1"/>
  <c r="T43" i="7" a="1"/>
  <c r="T43" i="7" s="1"/>
  <c r="Y43" i="7" a="1"/>
  <c r="Y43" i="7" s="1"/>
  <c r="M43" i="7" a="1"/>
  <c r="M43" i="7" s="1"/>
  <c r="X43" i="7" a="1"/>
  <c r="X43" i="7" s="1"/>
  <c r="J43" i="7" a="1"/>
  <c r="J43" i="7" s="1"/>
  <c r="W43" i="7" a="1"/>
  <c r="W43" i="7" s="1"/>
  <c r="I43" i="7" a="1"/>
  <c r="I43" i="7" s="1"/>
  <c r="H43" i="7" a="1"/>
  <c r="H43" i="7" s="1"/>
  <c r="R43" i="7" a="1"/>
  <c r="R43" i="7" s="1"/>
  <c r="U46" i="7" a="1"/>
  <c r="U46" i="7" s="1"/>
  <c r="B46" i="7" a="1"/>
  <c r="B46" i="7" s="1"/>
  <c r="K46" i="7" a="1"/>
  <c r="K46" i="7" s="1"/>
  <c r="K51" i="7" s="1" a="1"/>
  <c r="K51" i="7" s="1"/>
  <c r="T46" i="7" a="1"/>
  <c r="T46" i="7" s="1"/>
  <c r="T51" i="7" s="1" a="1"/>
  <c r="T51" i="7" s="1"/>
  <c r="J46" i="7" a="1"/>
  <c r="J46" i="7" s="1"/>
  <c r="J51" i="7" s="1" a="1"/>
  <c r="J51" i="7" s="1"/>
  <c r="S46" i="7" a="1"/>
  <c r="S46" i="7" s="1"/>
  <c r="S51" i="7" s="1" a="1"/>
  <c r="S51" i="7" s="1"/>
  <c r="G46" i="7" a="1"/>
  <c r="G46" i="7" s="1"/>
  <c r="R46" i="7" a="1"/>
  <c r="R46" i="7" s="1"/>
  <c r="F46" i="7" a="1"/>
  <c r="F46" i="7" s="1"/>
  <c r="M46" i="7" a="1"/>
  <c r="M46" i="7" s="1"/>
  <c r="L46" i="7" a="1"/>
  <c r="L46" i="7" s="1"/>
  <c r="Y46" i="7" a="1"/>
  <c r="Y46" i="7" s="1"/>
  <c r="I46" i="7" a="1"/>
  <c r="I46" i="7" s="1"/>
  <c r="V46" i="7" a="1"/>
  <c r="V46" i="7" s="1"/>
  <c r="E49" i="7" a="1"/>
  <c r="E49" i="7" s="1"/>
  <c r="G42" i="7" a="1"/>
  <c r="G42" i="7" s="1"/>
  <c r="G26" i="7" a="1"/>
  <c r="G26" i="7" s="1"/>
  <c r="Y26" i="7" a="1"/>
  <c r="Y26" i="7" s="1"/>
  <c r="L29" i="7" a="1"/>
  <c r="L29" i="7" s="1"/>
  <c r="K29" i="7" a="1"/>
  <c r="K29" i="7" s="1"/>
  <c r="R29" i="7" a="1"/>
  <c r="R29" i="7" s="1"/>
  <c r="G29" i="7" a="1"/>
  <c r="G29" i="7" s="1"/>
  <c r="Q29" i="7" a="1"/>
  <c r="Q29" i="7" s="1"/>
  <c r="F29" i="7" a="1"/>
  <c r="F29" i="7" s="1"/>
  <c r="P29" i="7" a="1"/>
  <c r="P29" i="7" s="1"/>
  <c r="X29" i="7" a="1"/>
  <c r="X29" i="7" s="1"/>
  <c r="J29" i="7" a="1"/>
  <c r="J29" i="7" s="1"/>
  <c r="W29" i="7" a="1"/>
  <c r="W29" i="7" s="1"/>
  <c r="L36" i="7" a="1"/>
  <c r="L36" i="7" s="1"/>
  <c r="U36" i="7" a="1"/>
  <c r="U36" i="7" s="1"/>
  <c r="B36" i="7" a="1"/>
  <c r="B36" i="7" s="1"/>
  <c r="K36" i="7" a="1"/>
  <c r="K36" i="7" s="1"/>
  <c r="T36" i="7" a="1"/>
  <c r="T36" i="7" s="1"/>
  <c r="W36" i="7" a="1"/>
  <c r="W36" i="7" s="1"/>
  <c r="I36" i="7" a="1"/>
  <c r="I36" i="7" s="1"/>
  <c r="V36" i="7" a="1"/>
  <c r="V36" i="7" s="1"/>
  <c r="H36" i="7" a="1"/>
  <c r="H36" i="7" s="1"/>
  <c r="R36" i="7" a="1"/>
  <c r="R36" i="7" s="1"/>
  <c r="D36" i="7" a="1"/>
  <c r="D36" i="7" s="1"/>
  <c r="Q36" i="7" a="1"/>
  <c r="Q36" i="7" s="1"/>
  <c r="C36" i="7" a="1"/>
  <c r="C36" i="7" s="1"/>
  <c r="X36" i="7" a="1"/>
  <c r="X36" i="7" s="1"/>
  <c r="C43" i="7" a="1"/>
  <c r="C43" i="7" s="1"/>
  <c r="S43" i="7" a="1"/>
  <c r="S43" i="7" s="1"/>
  <c r="L44" i="7" a="1"/>
  <c r="L44" i="7" s="1"/>
  <c r="C46" i="7" a="1"/>
  <c r="C46" i="7" s="1"/>
  <c r="W46" i="7" a="1"/>
  <c r="W46" i="7" s="1"/>
  <c r="F49" i="7" a="1"/>
  <c r="F49" i="7" s="1"/>
  <c r="S29" i="7" a="1"/>
  <c r="S29" i="7" s="1"/>
  <c r="J42" i="7" a="1"/>
  <c r="J42" i="7" s="1"/>
  <c r="J26" i="7" a="1"/>
  <c r="J26" i="7" s="1"/>
  <c r="B29" i="7" a="1"/>
  <c r="B29" i="7" s="1"/>
  <c r="E36" i="7" a="1"/>
  <c r="E36" i="7" s="1"/>
  <c r="Y36" i="7" a="1"/>
  <c r="Y36" i="7" s="1"/>
  <c r="D43" i="7" a="1"/>
  <c r="D43" i="7" s="1"/>
  <c r="V43" i="7" a="1"/>
  <c r="V43" i="7" s="1"/>
  <c r="D46" i="7" a="1"/>
  <c r="D46" i="7" s="1"/>
  <c r="X46" i="7" a="1"/>
  <c r="X46" i="7" s="1"/>
  <c r="G49" i="7" a="1"/>
  <c r="G49" i="7" s="1"/>
  <c r="M31" i="7" a="1"/>
  <c r="M31" i="7" s="1"/>
  <c r="X14" i="7" a="1"/>
  <c r="X14" i="7" s="1"/>
  <c r="O14" i="7" a="1"/>
  <c r="O14" i="7" s="1"/>
  <c r="U14" i="7" a="1"/>
  <c r="U14" i="7" s="1"/>
  <c r="K14" i="7" a="1"/>
  <c r="K14" i="7" s="1"/>
  <c r="B14" i="7" a="1"/>
  <c r="B14" i="7" s="1"/>
  <c r="T14" i="7" a="1"/>
  <c r="T14" i="7" s="1"/>
  <c r="J14" i="7" a="1"/>
  <c r="J14" i="7" s="1"/>
  <c r="M14" i="7" a="1"/>
  <c r="M14" i="7" s="1"/>
  <c r="Y14" i="7" a="1"/>
  <c r="Y14" i="7" s="1"/>
  <c r="X23" i="7" a="1"/>
  <c r="X23" i="7" s="1"/>
  <c r="E23" i="7" a="1"/>
  <c r="E23" i="7" s="1"/>
  <c r="Y23" i="7" a="1"/>
  <c r="Y23" i="7" s="1"/>
  <c r="O23" i="7" a="1"/>
  <c r="O23" i="7" s="1"/>
  <c r="N23" i="7" a="1"/>
  <c r="N23" i="7" s="1"/>
  <c r="D23" i="7" a="1"/>
  <c r="D23" i="7" s="1"/>
  <c r="W23" i="7" a="1"/>
  <c r="W23" i="7" s="1"/>
  <c r="W27" i="7" s="1" a="1"/>
  <c r="W27" i="7" s="1"/>
  <c r="M23" i="7" a="1"/>
  <c r="M23" i="7" s="1"/>
  <c r="C23" i="7" a="1"/>
  <c r="C23" i="7" s="1"/>
  <c r="R23" i="7" a="1"/>
  <c r="R23" i="7" s="1"/>
  <c r="F23" i="7" a="1"/>
  <c r="F23" i="7" s="1"/>
  <c r="Q23" i="7" a="1"/>
  <c r="Q23" i="7" s="1"/>
  <c r="B23" i="7" a="1"/>
  <c r="B23" i="7" s="1"/>
  <c r="T23" i="7" a="1"/>
  <c r="T23" i="7" s="1"/>
  <c r="C29" i="7" a="1"/>
  <c r="C29" i="7" s="1"/>
  <c r="T29" i="7" a="1"/>
  <c r="T29" i="7" s="1"/>
  <c r="K42" i="7" a="1"/>
  <c r="K42" i="7" s="1"/>
  <c r="K26" i="7" a="1"/>
  <c r="K26" i="7" s="1"/>
  <c r="U29" i="7" a="1"/>
  <c r="U29" i="7" s="1"/>
  <c r="F36" i="7" a="1"/>
  <c r="F36" i="7" s="1"/>
  <c r="E43" i="7" a="1"/>
  <c r="E43" i="7" s="1"/>
  <c r="E46" i="7" a="1"/>
  <c r="E46" i="7" s="1"/>
  <c r="N47" i="7" a="1"/>
  <c r="N47" i="7" s="1"/>
  <c r="W47" i="7" a="1"/>
  <c r="W47" i="7" s="1"/>
  <c r="D47" i="7" a="1"/>
  <c r="D47" i="7" s="1"/>
  <c r="M47" i="7" a="1"/>
  <c r="M47" i="7" s="1"/>
  <c r="V47" i="7" a="1"/>
  <c r="V47" i="7" s="1"/>
  <c r="C47" i="7" a="1"/>
  <c r="C47" i="7" s="1"/>
  <c r="G47" i="7" a="1"/>
  <c r="G47" i="7" s="1"/>
  <c r="R47" i="7" a="1"/>
  <c r="R47" i="7" s="1"/>
  <c r="F47" i="7" a="1"/>
  <c r="F47" i="7" s="1"/>
  <c r="Q47" i="7" a="1"/>
  <c r="Q47" i="7" s="1"/>
  <c r="P47" i="7" a="1"/>
  <c r="P47" i="7" s="1"/>
  <c r="O47" i="7" a="1"/>
  <c r="O47" i="7" s="1"/>
  <c r="S17" i="7" a="1"/>
  <c r="S17" i="7" s="1"/>
  <c r="J17" i="7" a="1"/>
  <c r="J17" i="7" s="1"/>
  <c r="Q31" i="7" a="1"/>
  <c r="Q31" i="7" s="1"/>
  <c r="G31" i="7" a="1"/>
  <c r="G31" i="7" s="1"/>
  <c r="P31" i="7" a="1"/>
  <c r="P31" i="7" s="1"/>
  <c r="J31" i="7" a="1"/>
  <c r="J31" i="7" s="1"/>
  <c r="U31" i="7" a="1"/>
  <c r="U31" i="7" s="1"/>
  <c r="I31" i="7" a="1"/>
  <c r="I31" i="7" s="1"/>
  <c r="T31" i="7" a="1"/>
  <c r="T31" i="7" s="1"/>
  <c r="N31" i="7" a="1"/>
  <c r="N31" i="7" s="1"/>
  <c r="S35" i="7" a="1"/>
  <c r="S35" i="7" s="1"/>
  <c r="I35" i="7" a="1"/>
  <c r="I35" i="7" s="1"/>
  <c r="R35" i="7" a="1"/>
  <c r="R35" i="7" s="1"/>
  <c r="H35" i="7" a="1"/>
  <c r="H35" i="7" s="1"/>
  <c r="X35" i="7" a="1"/>
  <c r="X35" i="7" s="1"/>
  <c r="L35" i="7" a="1"/>
  <c r="L35" i="7" s="1"/>
  <c r="W35" i="7" a="1"/>
  <c r="W35" i="7" s="1"/>
  <c r="K35" i="7" a="1"/>
  <c r="K35" i="7" s="1"/>
  <c r="X44" i="7" a="1"/>
  <c r="X44" i="7" s="1"/>
  <c r="E44" i="7" a="1"/>
  <c r="E44" i="7" s="1"/>
  <c r="N44" i="7" a="1"/>
  <c r="N44" i="7" s="1"/>
  <c r="W44" i="7" a="1"/>
  <c r="W44" i="7" s="1"/>
  <c r="D44" i="7" a="1"/>
  <c r="D44" i="7" s="1"/>
  <c r="M44" i="7" a="1"/>
  <c r="M44" i="7" s="1"/>
  <c r="V44" i="7" a="1"/>
  <c r="V44" i="7" s="1"/>
  <c r="J44" i="7" a="1"/>
  <c r="J44" i="7" s="1"/>
  <c r="U44" i="7" a="1"/>
  <c r="U44" i="7" s="1"/>
  <c r="I44" i="7" a="1"/>
  <c r="I44" i="7" s="1"/>
  <c r="P44" i="7" a="1"/>
  <c r="P44" i="7" s="1"/>
  <c r="T17" i="7" a="1"/>
  <c r="T17" i="7" s="1"/>
  <c r="O35" i="7" a="1"/>
  <c r="O35" i="7" s="1"/>
  <c r="Q44" i="7" a="1"/>
  <c r="Q44" i="7" s="1"/>
  <c r="X30" i="7" a="1"/>
  <c r="X30" i="7" s="1"/>
  <c r="E30" i="7" a="1"/>
  <c r="E30" i="7" s="1"/>
  <c r="W30" i="7" a="1"/>
  <c r="W30" i="7" s="1"/>
  <c r="D30" i="7" a="1"/>
  <c r="D30" i="7" s="1"/>
  <c r="V30" i="7" a="1"/>
  <c r="V30" i="7" s="1"/>
  <c r="X50" i="7" a="1"/>
  <c r="X50" i="7" s="1"/>
  <c r="O50" i="7" a="1"/>
  <c r="O50" i="7" s="1"/>
  <c r="W50" i="7" a="1"/>
  <c r="W50" i="7" s="1"/>
  <c r="N50" i="7" a="1"/>
  <c r="N50" i="7" s="1"/>
  <c r="E50" i="7" a="1"/>
  <c r="E50" i="7" s="1"/>
  <c r="P50" i="7" a="1"/>
  <c r="P50" i="7" s="1"/>
  <c r="C50" i="7" a="1"/>
  <c r="C50" i="7" s="1"/>
  <c r="M50" i="7" a="1"/>
  <c r="M50" i="7" s="1"/>
  <c r="B50" i="7" a="1"/>
  <c r="B50" i="7" s="1"/>
  <c r="Q50" i="7" a="1"/>
  <c r="Q50" i="7" s="1"/>
  <c r="L30" i="7" a="1"/>
  <c r="L30" i="7" s="1"/>
  <c r="G34" i="7" a="1"/>
  <c r="G34" i="7" s="1"/>
  <c r="G39" i="7" s="1" a="1"/>
  <c r="G39" i="7" s="1"/>
  <c r="P34" i="7" a="1"/>
  <c r="P34" i="7" s="1"/>
  <c r="P39" i="7" s="1" a="1"/>
  <c r="P39" i="7" s="1"/>
  <c r="Y34" i="7" a="1"/>
  <c r="Y34" i="7" s="1"/>
  <c r="F34" i="7" a="1"/>
  <c r="F34" i="7" s="1"/>
  <c r="O34" i="7" a="1"/>
  <c r="O34" i="7" s="1"/>
  <c r="E34" i="7" a="1"/>
  <c r="E34" i="7" s="1"/>
  <c r="L34" i="7" a="1"/>
  <c r="L34" i="7" s="1"/>
  <c r="X34" i="7" a="1"/>
  <c r="X34" i="7" s="1"/>
  <c r="B30" i="7" a="1"/>
  <c r="B30" i="7" s="1"/>
  <c r="R50" i="7" a="1"/>
  <c r="R50" i="7" s="1"/>
  <c r="M30" i="7" a="1"/>
  <c r="M30" i="7" s="1"/>
  <c r="Y30" i="7" a="1"/>
  <c r="Y30" i="7" s="1"/>
  <c r="M34" i="7" a="1"/>
  <c r="M34" i="7" s="1"/>
  <c r="M39" i="7" s="1" a="1"/>
  <c r="M39" i="7" s="1"/>
  <c r="D50" i="7" a="1"/>
  <c r="D50" i="7" s="1"/>
  <c r="V47" i="6" l="1" a="1"/>
  <c r="V47" i="6" s="1"/>
  <c r="L37" i="6" a="1"/>
  <c r="L37" i="6" s="1"/>
  <c r="T37" i="6" a="1"/>
  <c r="T37" i="6" s="1"/>
  <c r="D31" i="6" a="1"/>
  <c r="D31" i="6" s="1"/>
  <c r="V22" i="6" a="1"/>
  <c r="V22" i="6" s="1"/>
  <c r="F25" i="6" a="1"/>
  <c r="F25" i="6" s="1"/>
  <c r="L39" i="7" a="1"/>
  <c r="L39" i="7" s="1"/>
  <c r="C39" i="7" a="1"/>
  <c r="C39" i="7" s="1"/>
  <c r="H37" i="6" a="1"/>
  <c r="H37" i="6" s="1"/>
  <c r="G25" i="6" a="1"/>
  <c r="G25" i="6" s="1"/>
  <c r="B36" i="4" a="1"/>
  <c r="B36" i="4" s="1"/>
  <c r="B33" i="4" a="1"/>
  <c r="B33" i="4" s="1"/>
  <c r="E39" i="7" a="1"/>
  <c r="E39" i="7" s="1"/>
  <c r="I51" i="7" a="1"/>
  <c r="I51" i="7" s="1"/>
  <c r="V18" i="6" a="1"/>
  <c r="V18" i="6" s="1"/>
  <c r="V3" i="6" a="1"/>
  <c r="V3" i="6" s="1"/>
  <c r="C13" i="6" a="1"/>
  <c r="C13" i="6" s="1"/>
  <c r="S19" i="6" a="1"/>
  <c r="S19" i="6" s="1"/>
  <c r="Y51" i="7" a="1"/>
  <c r="Y51" i="7" s="1"/>
  <c r="P31" i="6" a="1"/>
  <c r="P31" i="6" s="1"/>
  <c r="V16" i="6" a="1"/>
  <c r="V16" i="6" s="1"/>
  <c r="R13" i="6" a="1"/>
  <c r="R13" i="6" s="1"/>
  <c r="T31" i="6" a="1"/>
  <c r="T31" i="6" s="1"/>
  <c r="F31" i="5" a="1"/>
  <c r="F31" i="5" s="1"/>
  <c r="F51" i="7" a="1"/>
  <c r="F51" i="7" s="1"/>
  <c r="T9" i="7" a="1"/>
  <c r="T9" i="7" s="1"/>
  <c r="J15" i="7" a="1"/>
  <c r="J15" i="7" s="1"/>
  <c r="O43" i="6" a="1"/>
  <c r="O43" i="6" s="1"/>
  <c r="V36" i="6" a="1"/>
  <c r="V36" i="6" s="1"/>
  <c r="K43" i="6" a="1"/>
  <c r="K43" i="6" s="1"/>
  <c r="I31" i="6" a="1"/>
  <c r="I31" i="6" s="1"/>
  <c r="P7" i="6" a="1"/>
  <c r="P7" i="6" s="1"/>
  <c r="H13" i="6" a="1"/>
  <c r="H13" i="6" s="1"/>
  <c r="F7" i="5" a="1"/>
  <c r="F7" i="5" s="1"/>
  <c r="M7" i="6" a="1"/>
  <c r="M7" i="6" s="1"/>
  <c r="I19" i="6" a="1"/>
  <c r="I19" i="6" s="1"/>
  <c r="B29" i="4" a="1"/>
  <c r="B29" i="4" s="1"/>
  <c r="U49" i="6" a="1"/>
  <c r="U49" i="6" s="1"/>
  <c r="V24" i="6" a="1"/>
  <c r="V24" i="6" s="1"/>
  <c r="E43" i="5" a="1"/>
  <c r="E43" i="5" s="1"/>
  <c r="B22" i="4" a="1"/>
  <c r="B22" i="4" s="1"/>
  <c r="P27" i="7" a="1"/>
  <c r="P27" i="7" s="1"/>
  <c r="Q31" i="6" a="1"/>
  <c r="Q31" i="6" s="1"/>
  <c r="L25" i="6" a="1"/>
  <c r="L25" i="6" s="1"/>
  <c r="Q10" i="5" a="1"/>
  <c r="Q10" i="5" s="1"/>
  <c r="J7" i="6" a="1"/>
  <c r="J7" i="6" s="1"/>
  <c r="D19" i="5" a="1"/>
  <c r="D19" i="5" s="1"/>
  <c r="B35" i="4" a="1"/>
  <c r="B35" i="4" s="1"/>
  <c r="B38" i="4" s="1" a="1"/>
  <c r="B38" i="4" s="1"/>
  <c r="V5" i="6" a="1"/>
  <c r="V5" i="6" s="1"/>
  <c r="K7" i="6" a="1"/>
  <c r="K7" i="6" s="1"/>
  <c r="D15" i="7" a="1"/>
  <c r="D15" i="7" s="1"/>
  <c r="M9" i="7" a="1"/>
  <c r="M9" i="7" s="1"/>
  <c r="V27" i="6" a="1"/>
  <c r="V27" i="6" s="1"/>
  <c r="V33" i="6" a="1"/>
  <c r="V33" i="6" s="1"/>
  <c r="V28" i="6" a="1"/>
  <c r="V28" i="6" s="1"/>
  <c r="U19" i="6" a="1"/>
  <c r="U19" i="6" s="1"/>
  <c r="O9" i="7" a="1"/>
  <c r="O9" i="7" s="1"/>
  <c r="H15" i="7" a="1"/>
  <c r="H15" i="7" s="1"/>
  <c r="R21" i="7" a="1"/>
  <c r="R21" i="7" s="1"/>
  <c r="Z5" i="7" a="1"/>
  <c r="Z5" i="7" s="1"/>
  <c r="N37" i="6" a="1"/>
  <c r="N37" i="6" s="1"/>
  <c r="L15" i="7" a="1"/>
  <c r="L15" i="7" s="1"/>
  <c r="Y9" i="7" a="1"/>
  <c r="Y9" i="7" s="1"/>
  <c r="T7" i="6" a="1"/>
  <c r="T7" i="6" s="1"/>
  <c r="J13" i="6" a="1"/>
  <c r="J13" i="6" s="1"/>
  <c r="P13" i="6" a="1"/>
  <c r="P13" i="6" s="1"/>
  <c r="M19" i="6" a="1"/>
  <c r="M19" i="6" s="1"/>
  <c r="E19" i="6" a="1"/>
  <c r="E19" i="6" s="1"/>
  <c r="B25" i="4" a="1"/>
  <c r="B25" i="4" s="1"/>
  <c r="B27" i="4" a="1"/>
  <c r="B27" i="4" s="1"/>
  <c r="H31" i="5" a="1"/>
  <c r="H31" i="5" s="1"/>
  <c r="C9" i="7" a="1"/>
  <c r="C9" i="7" s="1"/>
  <c r="Q13" i="6" a="1"/>
  <c r="Q13" i="6" s="1"/>
  <c r="Q34" i="5" a="1"/>
  <c r="Q34" i="5" s="1"/>
  <c r="J19" i="6" a="1"/>
  <c r="J19" i="6" s="1"/>
  <c r="D25" i="5" a="1"/>
  <c r="D25" i="5" s="1"/>
  <c r="Z36" i="7" a="1"/>
  <c r="Z36" i="7" s="1"/>
  <c r="W33" i="7" a="1"/>
  <c r="W33" i="7" s="1"/>
  <c r="O15" i="7" a="1"/>
  <c r="O15" i="7" s="1"/>
  <c r="V27" i="7" a="1"/>
  <c r="V27" i="7" s="1"/>
  <c r="Z38" i="7" a="1"/>
  <c r="Z38" i="7" s="1"/>
  <c r="K45" i="7" a="1"/>
  <c r="K45" i="7" s="1"/>
  <c r="M45" i="7" a="1"/>
  <c r="M45" i="7" s="1"/>
  <c r="Z20" i="7" a="1"/>
  <c r="Z20" i="7" s="1"/>
  <c r="Z47" i="7" a="1"/>
  <c r="Z47" i="7" s="1"/>
  <c r="T39" i="7" a="1"/>
  <c r="T39" i="7" s="1"/>
  <c r="Y21" i="7" a="1"/>
  <c r="Y21" i="7" s="1"/>
  <c r="Q33" i="7" a="1"/>
  <c r="Q33" i="7" s="1"/>
  <c r="V41" i="6" a="1"/>
  <c r="V41" i="6" s="1"/>
  <c r="E37" i="6" a="1"/>
  <c r="E37" i="6" s="1"/>
  <c r="G43" i="6" a="1"/>
  <c r="G43" i="6" s="1"/>
  <c r="D25" i="6" a="1"/>
  <c r="D25" i="6" s="1"/>
  <c r="Q21" i="5" a="1"/>
  <c r="Q21" i="5" s="1"/>
  <c r="L43" i="5" a="1"/>
  <c r="L43" i="5" s="1"/>
  <c r="B46" i="4" a="1"/>
  <c r="B46" i="4" s="1"/>
  <c r="B50" i="4" s="1" a="1"/>
  <c r="B50" i="4" s="1"/>
  <c r="L31" i="5" a="1"/>
  <c r="L31" i="5" s="1"/>
  <c r="K7" i="5" a="1"/>
  <c r="K7" i="5" s="1"/>
  <c r="X15" i="7" a="1"/>
  <c r="X15" i="7" s="1"/>
  <c r="F27" i="7" a="1"/>
  <c r="F27" i="7" s="1"/>
  <c r="R45" i="7" a="1"/>
  <c r="R45" i="7" s="1"/>
  <c r="D45" i="7" a="1"/>
  <c r="D45" i="7" s="1"/>
  <c r="Z25" i="7" a="1"/>
  <c r="Z25" i="7" s="1"/>
  <c r="E21" i="7" a="1"/>
  <c r="E21" i="7" s="1"/>
  <c r="Q9" i="7" a="1"/>
  <c r="Q9" i="7" s="1"/>
  <c r="I49" i="6" a="1"/>
  <c r="I49" i="6" s="1"/>
  <c r="D43" i="6" a="1"/>
  <c r="D43" i="6" s="1"/>
  <c r="P43" i="6" a="1"/>
  <c r="P43" i="6" s="1"/>
  <c r="B13" i="6" a="1"/>
  <c r="B13" i="6" s="1"/>
  <c r="V8" i="6" a="1"/>
  <c r="V8" i="6" s="1"/>
  <c r="E13" i="6" a="1"/>
  <c r="E13" i="6" s="1"/>
  <c r="C43" i="5" a="1"/>
  <c r="C43" i="5" s="1"/>
  <c r="K49" i="5" a="1"/>
  <c r="K49" i="5" s="1"/>
  <c r="O43" i="5" a="1"/>
  <c r="O43" i="5" s="1"/>
  <c r="O13" i="5" a="1"/>
  <c r="O13" i="5" s="1"/>
  <c r="O31" i="5" a="1"/>
  <c r="O31" i="5" s="1"/>
  <c r="J25" i="5" a="1"/>
  <c r="J25" i="5" s="1"/>
  <c r="H37" i="5" a="1"/>
  <c r="H37" i="5" s="1"/>
  <c r="B21" i="4" a="1"/>
  <c r="B21" i="4" s="1"/>
  <c r="F39" i="7" a="1"/>
  <c r="F39" i="7" s="1"/>
  <c r="Z14" i="7" a="1"/>
  <c r="Z14" i="7" s="1"/>
  <c r="W51" i="7" a="1"/>
  <c r="W51" i="7" s="1"/>
  <c r="L51" i="7" a="1"/>
  <c r="L51" i="7" s="1"/>
  <c r="U39" i="7" a="1"/>
  <c r="U39" i="7" s="1"/>
  <c r="I33" i="7" a="1"/>
  <c r="I33" i="7" s="1"/>
  <c r="S9" i="7" a="1"/>
  <c r="S9" i="7" s="1"/>
  <c r="H27" i="7" a="1"/>
  <c r="H27" i="7" s="1"/>
  <c r="K15" i="7" a="1"/>
  <c r="K15" i="7" s="1"/>
  <c r="Z11" i="7" a="1"/>
  <c r="Z11" i="7" s="1"/>
  <c r="O45" i="7" a="1"/>
  <c r="O45" i="7" s="1"/>
  <c r="W45" i="7" a="1"/>
  <c r="W45" i="7" s="1"/>
  <c r="D21" i="7" a="1"/>
  <c r="D21" i="7" s="1"/>
  <c r="S49" i="6" a="1"/>
  <c r="S49" i="6" s="1"/>
  <c r="H43" i="6" a="1"/>
  <c r="H43" i="6" s="1"/>
  <c r="C31" i="6" a="1"/>
  <c r="C31" i="6" s="1"/>
  <c r="S13" i="6" a="1"/>
  <c r="S13" i="6" s="1"/>
  <c r="B13" i="5" a="1"/>
  <c r="B13" i="5" s="1"/>
  <c r="Q8" i="5" a="1"/>
  <c r="Q8" i="5" s="1"/>
  <c r="Q44" i="5" a="1"/>
  <c r="Q44" i="5" s="1"/>
  <c r="B49" i="5" a="1"/>
  <c r="B49" i="5" s="1"/>
  <c r="I43" i="5" a="1"/>
  <c r="I43" i="5" s="1"/>
  <c r="B9" i="4" a="1"/>
  <c r="B9" i="4" s="1"/>
  <c r="P37" i="5" a="1"/>
  <c r="P37" i="5" s="1"/>
  <c r="K43" i="5" a="1"/>
  <c r="K43" i="5" s="1"/>
  <c r="O39" i="7" a="1"/>
  <c r="O39" i="7" s="1"/>
  <c r="Y39" i="7" a="1"/>
  <c r="Y39" i="7" s="1"/>
  <c r="Z23" i="7" a="1"/>
  <c r="Z23" i="7" s="1"/>
  <c r="C51" i="7" a="1"/>
  <c r="C51" i="7" s="1"/>
  <c r="M51" i="7" a="1"/>
  <c r="M51" i="7" s="1"/>
  <c r="Z32" i="7" a="1"/>
  <c r="Z32" i="7" s="1"/>
  <c r="X33" i="7" a="1"/>
  <c r="X33" i="7" s="1"/>
  <c r="P15" i="7" a="1"/>
  <c r="P15" i="7" s="1"/>
  <c r="E9" i="7" a="1"/>
  <c r="E9" i="7" s="1"/>
  <c r="Y27" i="7" a="1"/>
  <c r="Y27" i="7" s="1"/>
  <c r="S45" i="7" a="1"/>
  <c r="S45" i="7" s="1"/>
  <c r="N45" i="7" a="1"/>
  <c r="N45" i="7" s="1"/>
  <c r="V34" i="6" a="1"/>
  <c r="V34" i="6" s="1"/>
  <c r="N21" i="7" a="1"/>
  <c r="N21" i="7" s="1"/>
  <c r="U21" i="7" a="1"/>
  <c r="U21" i="7" s="1"/>
  <c r="Q51" i="7" a="1"/>
  <c r="Q51" i="7" s="1"/>
  <c r="X27" i="7" a="1"/>
  <c r="X27" i="7" s="1"/>
  <c r="J49" i="6" a="1"/>
  <c r="J49" i="6" s="1"/>
  <c r="N19" i="6" a="1"/>
  <c r="N19" i="6" s="1"/>
  <c r="I43" i="6" a="1"/>
  <c r="I43" i="6" s="1"/>
  <c r="B43" i="6" a="1"/>
  <c r="B43" i="6" s="1"/>
  <c r="V38" i="6" a="1"/>
  <c r="V38" i="6" s="1"/>
  <c r="Q43" i="6" a="1"/>
  <c r="Q43" i="6" s="1"/>
  <c r="T25" i="6" a="1"/>
  <c r="T25" i="6" s="1"/>
  <c r="K25" i="6" a="1"/>
  <c r="K25" i="6" s="1"/>
  <c r="Q20" i="5" a="1"/>
  <c r="Q20" i="5" s="1"/>
  <c r="B25" i="5" a="1"/>
  <c r="B25" i="5" s="1"/>
  <c r="T13" i="6" a="1"/>
  <c r="T13" i="6" s="1"/>
  <c r="J19" i="5" a="1"/>
  <c r="J19" i="5" s="1"/>
  <c r="V15" i="6" a="1"/>
  <c r="V15" i="6" s="1"/>
  <c r="O7" i="5" a="1"/>
  <c r="O7" i="5" s="1"/>
  <c r="E49" i="5" a="1"/>
  <c r="E49" i="5" s="1"/>
  <c r="J43" i="5" a="1"/>
  <c r="J43" i="5" s="1"/>
  <c r="C31" i="4" a="1"/>
  <c r="C31" i="4" s="1"/>
  <c r="C9" i="4" a="1"/>
  <c r="C9" i="4" s="1"/>
  <c r="C19" i="4" a="1"/>
  <c r="C19" i="4" s="1"/>
  <c r="D1" i="4" a="1"/>
  <c r="D1" i="4" s="1"/>
  <c r="C22" i="4" a="1"/>
  <c r="C22" i="4" s="1"/>
  <c r="C2" i="4" a="1"/>
  <c r="C2" i="4" s="1"/>
  <c r="C49" i="4" s="1" a="1"/>
  <c r="C49" i="4" s="1"/>
  <c r="C25" i="4" a="1"/>
  <c r="C25" i="4" s="1"/>
  <c r="C40" i="4" a="1"/>
  <c r="C40" i="4" s="1"/>
  <c r="C43" i="4" a="1"/>
  <c r="C43" i="4" s="1"/>
  <c r="C30" i="4" a="1"/>
  <c r="C30" i="4" s="1"/>
  <c r="B24" i="4" a="1"/>
  <c r="B24" i="4" s="1"/>
  <c r="C15" i="4" a="1"/>
  <c r="C15" i="4" s="1"/>
  <c r="B28" i="4" a="1"/>
  <c r="B28" i="4" s="1"/>
  <c r="J7" i="5" a="1"/>
  <c r="J7" i="5" s="1"/>
  <c r="F25" i="5" a="1"/>
  <c r="F25" i="5" s="1"/>
  <c r="U33" i="7" a="1"/>
  <c r="U33" i="7" s="1"/>
  <c r="Y15" i="7" a="1"/>
  <c r="Y15" i="7" s="1"/>
  <c r="O27" i="7" a="1"/>
  <c r="O27" i="7" s="1"/>
  <c r="K27" i="7" a="1"/>
  <c r="K27" i="7" s="1"/>
  <c r="K39" i="7" a="1"/>
  <c r="K39" i="7" s="1"/>
  <c r="T45" i="7" a="1"/>
  <c r="T45" i="7" s="1"/>
  <c r="J21" i="7" a="1"/>
  <c r="J21" i="7" s="1"/>
  <c r="V39" i="6" a="1"/>
  <c r="V39" i="6" s="1"/>
  <c r="Z4" i="7" a="1"/>
  <c r="Z4" i="7" s="1"/>
  <c r="B9" i="7" a="1"/>
  <c r="B9" i="7" s="1"/>
  <c r="L19" i="6" a="1"/>
  <c r="L19" i="6" s="1"/>
  <c r="V40" i="6" a="1"/>
  <c r="V40" i="6" s="1"/>
  <c r="K37" i="6" a="1"/>
  <c r="K37" i="6" s="1"/>
  <c r="V35" i="6" a="1"/>
  <c r="V35" i="6" s="1"/>
  <c r="Q12" i="5" a="1"/>
  <c r="Q12" i="5" s="1"/>
  <c r="V12" i="6" a="1"/>
  <c r="V12" i="6" s="1"/>
  <c r="Q14" i="5" a="1"/>
  <c r="Q14" i="5" s="1"/>
  <c r="B19" i="5" a="1"/>
  <c r="B19" i="5" s="1"/>
  <c r="G49" i="5" a="1"/>
  <c r="G49" i="5" s="1"/>
  <c r="B15" i="4" a="1"/>
  <c r="B15" i="4" s="1"/>
  <c r="Q4" i="5" a="1"/>
  <c r="Q4" i="5" s="1"/>
  <c r="R51" i="7" a="1"/>
  <c r="R51" i="7" s="1"/>
  <c r="Z43" i="7" a="1"/>
  <c r="Z43" i="7" s="1"/>
  <c r="K33" i="7" a="1"/>
  <c r="K33" i="7" s="1"/>
  <c r="B27" i="7" a="1"/>
  <c r="B27" i="7" s="1"/>
  <c r="Z22" i="7" a="1"/>
  <c r="Z22" i="7" s="1"/>
  <c r="M27" i="7" a="1"/>
  <c r="M27" i="7" s="1"/>
  <c r="H51" i="7" a="1"/>
  <c r="H51" i="7" s="1"/>
  <c r="U45" i="7" a="1"/>
  <c r="U45" i="7" s="1"/>
  <c r="V21" i="7" a="1"/>
  <c r="V21" i="7" s="1"/>
  <c r="Z13" i="7" a="1"/>
  <c r="Z13" i="7" s="1"/>
  <c r="I37" i="6" a="1"/>
  <c r="I37" i="6" s="1"/>
  <c r="O25" i="6" a="1"/>
  <c r="O25" i="6" s="1"/>
  <c r="K19" i="5" a="1"/>
  <c r="K19" i="5" s="1"/>
  <c r="G7" i="5" a="1"/>
  <c r="G7" i="5" s="1"/>
  <c r="I49" i="5" a="1"/>
  <c r="I49" i="5" s="1"/>
  <c r="K31" i="5" a="1"/>
  <c r="K31" i="5" s="1"/>
  <c r="Q33" i="5" a="1"/>
  <c r="Q33" i="5" s="1"/>
  <c r="G51" i="7" a="1"/>
  <c r="G51" i="7" s="1"/>
  <c r="P51" i="7" a="1"/>
  <c r="P51" i="7" s="1"/>
  <c r="V33" i="7" a="1"/>
  <c r="V33" i="7" s="1"/>
  <c r="U9" i="7" a="1"/>
  <c r="U9" i="7" s="1"/>
  <c r="D27" i="7" a="1"/>
  <c r="D27" i="7" s="1"/>
  <c r="H39" i="7" a="1"/>
  <c r="H39" i="7" s="1"/>
  <c r="X45" i="7" a="1"/>
  <c r="X45" i="7" s="1"/>
  <c r="U27" i="7" a="1"/>
  <c r="U27" i="7" s="1"/>
  <c r="K21" i="7" a="1"/>
  <c r="K21" i="7" s="1"/>
  <c r="P33" i="7" a="1"/>
  <c r="P33" i="7" s="1"/>
  <c r="Z44" i="7" a="1"/>
  <c r="Z44" i="7" s="1"/>
  <c r="T19" i="6" a="1"/>
  <c r="T19" i="6" s="1"/>
  <c r="Q37" i="6" a="1"/>
  <c r="Q37" i="6" s="1"/>
  <c r="V45" i="6" a="1"/>
  <c r="V45" i="6" s="1"/>
  <c r="Q39" i="5" a="1"/>
  <c r="Q39" i="5" s="1"/>
  <c r="R7" i="6" a="1"/>
  <c r="R7" i="6" s="1"/>
  <c r="H25" i="6" a="1"/>
  <c r="H25" i="6" s="1"/>
  <c r="V17" i="6" a="1"/>
  <c r="V17" i="6" s="1"/>
  <c r="V11" i="6" a="1"/>
  <c r="V11" i="6" s="1"/>
  <c r="Q30" i="5" a="1"/>
  <c r="Q30" i="5" s="1"/>
  <c r="L7" i="5" a="1"/>
  <c r="L7" i="5" s="1"/>
  <c r="J13" i="5" a="1"/>
  <c r="J13" i="5" s="1"/>
  <c r="Q46" i="5" a="1"/>
  <c r="Q46" i="5" s="1"/>
  <c r="H49" i="5" a="1"/>
  <c r="H49" i="5" s="1"/>
  <c r="Q18" i="5" a="1"/>
  <c r="Q18" i="5" s="1"/>
  <c r="Q27" i="5" a="1"/>
  <c r="Q27" i="5" s="1"/>
  <c r="B16" i="4" a="1"/>
  <c r="B16" i="4" s="1"/>
  <c r="M43" i="5" a="1"/>
  <c r="M43" i="5" s="1"/>
  <c r="L49" i="5" a="1"/>
  <c r="L49" i="5" s="1"/>
  <c r="C21" i="4" a="1"/>
  <c r="C21" i="4" s="1"/>
  <c r="D33" i="7" a="1"/>
  <c r="D33" i="7" s="1"/>
  <c r="B33" i="7" a="1"/>
  <c r="B33" i="7" s="1"/>
  <c r="Z28" i="7" a="1"/>
  <c r="Z28" i="7" s="1"/>
  <c r="L33" i="7" a="1"/>
  <c r="L33" i="7" s="1"/>
  <c r="I45" i="7" a="1"/>
  <c r="I45" i="7" s="1"/>
  <c r="W21" i="7" a="1"/>
  <c r="W21" i="7" s="1"/>
  <c r="V44" i="6" a="1"/>
  <c r="V44" i="6" s="1"/>
  <c r="B49" i="6" a="1"/>
  <c r="B49" i="6" s="1"/>
  <c r="R9" i="7" a="1"/>
  <c r="R9" i="7" s="1"/>
  <c r="L49" i="6" a="1"/>
  <c r="L49" i="6" s="1"/>
  <c r="Z35" i="7" a="1"/>
  <c r="Z35" i="7" s="1"/>
  <c r="G37" i="6" a="1"/>
  <c r="G37" i="6" s="1"/>
  <c r="P25" i="6" a="1"/>
  <c r="P25" i="6" s="1"/>
  <c r="I37" i="5" a="1"/>
  <c r="I37" i="5" s="1"/>
  <c r="E13" i="5" a="1"/>
  <c r="E13" i="5" s="1"/>
  <c r="H43" i="5" a="1"/>
  <c r="H43" i="5" s="1"/>
  <c r="F49" i="5" a="1"/>
  <c r="F49" i="5" s="1"/>
  <c r="J31" i="5" a="1"/>
  <c r="J31" i="5" s="1"/>
  <c r="B39" i="4" a="1"/>
  <c r="B39" i="4" s="1"/>
  <c r="N37" i="5" a="1"/>
  <c r="N37" i="5" s="1"/>
  <c r="Q40" i="5" a="1"/>
  <c r="Q40" i="5" s="1"/>
  <c r="Q3" i="5" a="1"/>
  <c r="Q3" i="5" s="1"/>
  <c r="Z50" i="7" a="1"/>
  <c r="Z50" i="7" s="1"/>
  <c r="S15" i="7" a="1"/>
  <c r="S15" i="7" s="1"/>
  <c r="R33" i="7" a="1"/>
  <c r="R33" i="7" s="1"/>
  <c r="I39" i="7" a="1"/>
  <c r="I39" i="7" s="1"/>
  <c r="E27" i="7" a="1"/>
  <c r="E27" i="7" s="1"/>
  <c r="W39" i="7" a="1"/>
  <c r="W39" i="7" s="1"/>
  <c r="Y45" i="7" a="1"/>
  <c r="Y45" i="7" s="1"/>
  <c r="P21" i="7" a="1"/>
  <c r="P21" i="7" s="1"/>
  <c r="Q39" i="7" a="1"/>
  <c r="Q39" i="7" s="1"/>
  <c r="N51" i="7" a="1"/>
  <c r="N51" i="7" s="1"/>
  <c r="M49" i="6" a="1"/>
  <c r="M49" i="6" s="1"/>
  <c r="Z34" i="7" a="1"/>
  <c r="Z34" i="7" s="1"/>
  <c r="B39" i="7" a="1"/>
  <c r="B39" i="7" s="1"/>
  <c r="P19" i="6" a="1"/>
  <c r="P19" i="6" s="1"/>
  <c r="R37" i="6" a="1"/>
  <c r="R37" i="6" s="1"/>
  <c r="J43" i="6" a="1"/>
  <c r="J43" i="6" s="1"/>
  <c r="E7" i="6" a="1"/>
  <c r="E7" i="6" s="1"/>
  <c r="Q48" i="5" a="1"/>
  <c r="Q48" i="5" s="1"/>
  <c r="R25" i="6" a="1"/>
  <c r="R25" i="6" s="1"/>
  <c r="K37" i="5" a="1"/>
  <c r="K37" i="5" s="1"/>
  <c r="P13" i="5" a="1"/>
  <c r="P13" i="5" s="1"/>
  <c r="Q35" i="5" a="1"/>
  <c r="Q35" i="5" s="1"/>
  <c r="Q42" i="5" a="1"/>
  <c r="Q42" i="5" s="1"/>
  <c r="N31" i="5" a="1"/>
  <c r="N31" i="5" s="1"/>
  <c r="B4" i="4" a="1"/>
  <c r="B4" i="4" s="1"/>
  <c r="G19" i="5" a="1"/>
  <c r="G19" i="5" s="1"/>
  <c r="X51" i="7" a="1"/>
  <c r="X51" i="7" s="1"/>
  <c r="U15" i="7" a="1"/>
  <c r="U15" i="7" s="1"/>
  <c r="C15" i="7" a="1"/>
  <c r="C15" i="7" s="1"/>
  <c r="S33" i="7" a="1"/>
  <c r="S33" i="7" s="1"/>
  <c r="J9" i="7" a="1"/>
  <c r="J9" i="7" s="1"/>
  <c r="Q27" i="7" a="1"/>
  <c r="Q27" i="7" s="1"/>
  <c r="Z37" i="7" a="1"/>
  <c r="Z37" i="7" s="1"/>
  <c r="J45" i="7" a="1"/>
  <c r="J45" i="7" s="1"/>
  <c r="M21" i="7" a="1"/>
  <c r="M21" i="7" s="1"/>
  <c r="G21" i="7" a="1"/>
  <c r="G21" i="7" s="1"/>
  <c r="T49" i="6" a="1"/>
  <c r="T49" i="6" s="1"/>
  <c r="G19" i="6" a="1"/>
  <c r="G19" i="6" s="1"/>
  <c r="M43" i="6" a="1"/>
  <c r="M43" i="6" s="1"/>
  <c r="E25" i="6" a="1"/>
  <c r="E25" i="6" s="1"/>
  <c r="F7" i="6" a="1"/>
  <c r="F7" i="6" s="1"/>
  <c r="B7" i="5" a="1"/>
  <c r="B7" i="5" s="1"/>
  <c r="Q2" i="5" a="1"/>
  <c r="Q2" i="5" s="1"/>
  <c r="C49" i="5" a="1"/>
  <c r="C49" i="5" s="1"/>
  <c r="M31" i="5" a="1"/>
  <c r="M31" i="5" s="1"/>
  <c r="Q6" i="5" a="1"/>
  <c r="Q6" i="5" s="1"/>
  <c r="L19" i="5" a="1"/>
  <c r="L19" i="5" s="1"/>
  <c r="M37" i="5" a="1"/>
  <c r="M37" i="5" s="1"/>
  <c r="D51" i="7" a="1"/>
  <c r="D51" i="7" s="1"/>
  <c r="V15" i="7" a="1"/>
  <c r="V15" i="7" s="1"/>
  <c r="R15" i="7" a="1"/>
  <c r="R15" i="7" s="1"/>
  <c r="D39" i="7" a="1"/>
  <c r="D39" i="7" s="1"/>
  <c r="L9" i="7" a="1"/>
  <c r="L9" i="7" s="1"/>
  <c r="I27" i="7" a="1"/>
  <c r="I27" i="7" s="1"/>
  <c r="Z12" i="7" a="1"/>
  <c r="Z12" i="7" s="1"/>
  <c r="Z40" i="7" a="1"/>
  <c r="Z40" i="7" s="1"/>
  <c r="B45" i="7" a="1"/>
  <c r="B45" i="7" s="1"/>
  <c r="F21" i="7" a="1"/>
  <c r="F21" i="7" s="1"/>
  <c r="Q21" i="7" a="1"/>
  <c r="Q21" i="7" s="1"/>
  <c r="N9" i="7" a="1"/>
  <c r="N9" i="7" s="1"/>
  <c r="S43" i="6" a="1"/>
  <c r="S43" i="6" s="1"/>
  <c r="D7" i="6" a="1"/>
  <c r="D7" i="6" s="1"/>
  <c r="S25" i="6" a="1"/>
  <c r="S25" i="6" s="1"/>
  <c r="I13" i="6" a="1"/>
  <c r="I13" i="6" s="1"/>
  <c r="F13" i="6" a="1"/>
  <c r="F13" i="6" s="1"/>
  <c r="N43" i="5" a="1"/>
  <c r="N43" i="5" s="1"/>
  <c r="D13" i="5" a="1"/>
  <c r="D13" i="5" s="1"/>
  <c r="D49" i="5" a="1"/>
  <c r="D49" i="5" s="1"/>
  <c r="Q11" i="5" a="1"/>
  <c r="Q11" i="5" s="1"/>
  <c r="C31" i="5" a="1"/>
  <c r="C31" i="5" s="1"/>
  <c r="O49" i="5" a="1"/>
  <c r="O49" i="5" s="1"/>
  <c r="D7" i="5" a="1"/>
  <c r="D7" i="5" s="1"/>
  <c r="Q41" i="5" a="1"/>
  <c r="Q41" i="5" s="1"/>
  <c r="B3" i="4" a="1"/>
  <c r="B3" i="4" s="1"/>
  <c r="B51" i="7" a="1"/>
  <c r="B51" i="7" s="1"/>
  <c r="Z46" i="7" a="1"/>
  <c r="Z46" i="7" s="1"/>
  <c r="Z26" i="7" a="1"/>
  <c r="Z26" i="7" s="1"/>
  <c r="E15" i="7" a="1"/>
  <c r="E15" i="7" s="1"/>
  <c r="C33" i="7" a="1"/>
  <c r="C33" i="7" s="1"/>
  <c r="I15" i="7" a="1"/>
  <c r="I15" i="7" s="1"/>
  <c r="S27" i="7" a="1"/>
  <c r="S27" i="7" s="1"/>
  <c r="V48" i="6" a="1"/>
  <c r="V48" i="6" s="1"/>
  <c r="P45" i="7" a="1"/>
  <c r="P45" i="7" s="1"/>
  <c r="T21" i="7" a="1"/>
  <c r="T21" i="7" s="1"/>
  <c r="H21" i="7" a="1"/>
  <c r="H21" i="7" s="1"/>
  <c r="R39" i="7" a="1"/>
  <c r="R39" i="7" s="1"/>
  <c r="D49" i="6" a="1"/>
  <c r="D49" i="6" s="1"/>
  <c r="F19" i="6" a="1"/>
  <c r="F19" i="6" s="1"/>
  <c r="U37" i="6" a="1"/>
  <c r="U37" i="6" s="1"/>
  <c r="T43" i="6" a="1"/>
  <c r="T43" i="6" s="1"/>
  <c r="Q15" i="5" a="1"/>
  <c r="Q15" i="5" s="1"/>
  <c r="K13" i="6" a="1"/>
  <c r="K13" i="6" s="1"/>
  <c r="J37" i="5" a="1"/>
  <c r="J37" i="5" s="1"/>
  <c r="B19" i="6" a="1"/>
  <c r="B19" i="6" s="1"/>
  <c r="N13" i="5" a="1"/>
  <c r="N13" i="5" s="1"/>
  <c r="P31" i="5" a="1"/>
  <c r="P31" i="5" s="1"/>
  <c r="B17" i="4" a="1"/>
  <c r="B17" i="4" s="1"/>
  <c r="B23" i="4" a="1"/>
  <c r="B23" i="4" s="1"/>
  <c r="P7" i="5" a="1"/>
  <c r="P7" i="5" s="1"/>
  <c r="Q47" i="5" a="1"/>
  <c r="Q47" i="5" s="1"/>
  <c r="E51" i="7" a="1"/>
  <c r="E51" i="7" s="1"/>
  <c r="U51" i="7" a="1"/>
  <c r="U51" i="7" s="1"/>
  <c r="E33" i="7" a="1"/>
  <c r="E33" i="7" s="1"/>
  <c r="T15" i="7" a="1"/>
  <c r="T15" i="7" s="1"/>
  <c r="Z24" i="7" a="1"/>
  <c r="Z24" i="7" s="1"/>
  <c r="J27" i="7" a="1"/>
  <c r="J27" i="7" s="1"/>
  <c r="Z41" i="7" a="1"/>
  <c r="Z41" i="7" s="1"/>
  <c r="E45" i="7" a="1"/>
  <c r="E45" i="7" s="1"/>
  <c r="L21" i="7" a="1"/>
  <c r="L21" i="7" s="1"/>
  <c r="I21" i="7" a="1"/>
  <c r="I21" i="7" s="1"/>
  <c r="N15" i="7" a="1"/>
  <c r="N15" i="7" s="1"/>
  <c r="F49" i="6" a="1"/>
  <c r="F49" i="6" s="1"/>
  <c r="D37" i="6" a="1"/>
  <c r="D37" i="6" s="1"/>
  <c r="E43" i="6" a="1"/>
  <c r="E43" i="6" s="1"/>
  <c r="B7" i="6" a="1"/>
  <c r="B7" i="6" s="1"/>
  <c r="V2" i="6" a="1"/>
  <c r="V2" i="6" s="1"/>
  <c r="J25" i="6" a="1"/>
  <c r="J25" i="6" s="1"/>
  <c r="M13" i="6" a="1"/>
  <c r="M13" i="6" s="1"/>
  <c r="B37" i="5" a="1"/>
  <c r="B37" i="5" s="1"/>
  <c r="Q32" i="5" a="1"/>
  <c r="Q32" i="5" s="1"/>
  <c r="V6" i="6" a="1"/>
  <c r="V6" i="6" s="1"/>
  <c r="V14" i="6" a="1"/>
  <c r="V14" i="6" s="1"/>
  <c r="V19" i="6" s="1" a="1"/>
  <c r="V19" i="6" s="1"/>
  <c r="C13" i="5" a="1"/>
  <c r="C13" i="5" s="1"/>
  <c r="D31" i="5" a="1"/>
  <c r="D31" i="5" s="1"/>
  <c r="Q23" i="5" a="1"/>
  <c r="Q23" i="5" s="1"/>
  <c r="Q16" i="5" a="1"/>
  <c r="Q16" i="5" s="1"/>
  <c r="C17" i="4" a="1"/>
  <c r="C17" i="4" s="1"/>
  <c r="Q9" i="5" a="1"/>
  <c r="Q9" i="5" s="1"/>
  <c r="L25" i="5" a="1"/>
  <c r="L25" i="5" s="1"/>
  <c r="Q5" i="5" a="1"/>
  <c r="Q5" i="5" s="1"/>
  <c r="B12" i="4" a="1"/>
  <c r="B12" i="4" s="1"/>
  <c r="V39" i="7" a="1"/>
  <c r="V39" i="7" s="1"/>
  <c r="Y33" i="7" a="1"/>
  <c r="Y33" i="7" s="1"/>
  <c r="R27" i="7" a="1"/>
  <c r="R27" i="7" s="1"/>
  <c r="Z7" i="7" a="1"/>
  <c r="Z7" i="7" s="1"/>
  <c r="T27" i="7" a="1"/>
  <c r="T27" i="7" s="1"/>
  <c r="Q45" i="7" a="1"/>
  <c r="Q45" i="7" s="1"/>
  <c r="S39" i="7" a="1"/>
  <c r="S39" i="7" s="1"/>
  <c r="O21" i="7" a="1"/>
  <c r="O21" i="7" s="1"/>
  <c r="O51" i="7" a="1"/>
  <c r="O51" i="7" s="1"/>
  <c r="P49" i="6" a="1"/>
  <c r="P49" i="6" s="1"/>
  <c r="G49" i="6" a="1"/>
  <c r="G49" i="6" s="1"/>
  <c r="M37" i="6" a="1"/>
  <c r="M37" i="6" s="1"/>
  <c r="U43" i="6" a="1"/>
  <c r="U43" i="6" s="1"/>
  <c r="V4" i="6" a="1"/>
  <c r="V4" i="6" s="1"/>
  <c r="B25" i="6" a="1"/>
  <c r="B25" i="6" s="1"/>
  <c r="V20" i="6" a="1"/>
  <c r="V20" i="6" s="1"/>
  <c r="D13" i="6" a="1"/>
  <c r="D13" i="6" s="1"/>
  <c r="P49" i="5" a="1"/>
  <c r="P49" i="5" s="1"/>
  <c r="L13" i="5" a="1"/>
  <c r="L13" i="5" s="1"/>
  <c r="B43" i="5" a="1"/>
  <c r="B43" i="5" s="1"/>
  <c r="Q38" i="5" a="1"/>
  <c r="Q38" i="5" s="1"/>
  <c r="E31" i="5" a="1"/>
  <c r="E31" i="5" s="1"/>
  <c r="G13" i="5" a="1"/>
  <c r="G13" i="5" s="1"/>
  <c r="Q28" i="5" a="1"/>
  <c r="Q28" i="5" s="1"/>
  <c r="H19" i="5" a="1"/>
  <c r="H19" i="5" s="1"/>
  <c r="C3" i="4" a="1"/>
  <c r="C3" i="4" s="1"/>
  <c r="H13" i="5" a="1"/>
  <c r="H13" i="5" s="1"/>
  <c r="Z49" i="7" a="1"/>
  <c r="Z49" i="7" s="1"/>
  <c r="Z42" i="7" a="1"/>
  <c r="Z42" i="7" s="1"/>
  <c r="N33" i="7" a="1"/>
  <c r="N33" i="7" s="1"/>
  <c r="F33" i="7" a="1"/>
  <c r="F33" i="7" s="1"/>
  <c r="P9" i="7" a="1"/>
  <c r="P9" i="7" s="1"/>
  <c r="Z17" i="7" a="1"/>
  <c r="Z17" i="7" s="1"/>
  <c r="C27" i="7" a="1"/>
  <c r="C27" i="7" s="1"/>
  <c r="F45" i="7" a="1"/>
  <c r="F45" i="7" s="1"/>
  <c r="D9" i="7" a="1"/>
  <c r="D9" i="7" s="1"/>
  <c r="S21" i="7" a="1"/>
  <c r="S21" i="7" s="1"/>
  <c r="O33" i="7" a="1"/>
  <c r="O33" i="7" s="1"/>
  <c r="V46" i="6" a="1"/>
  <c r="V46" i="6" s="1"/>
  <c r="H49" i="6" a="1"/>
  <c r="H49" i="6" s="1"/>
  <c r="C49" i="6" a="1"/>
  <c r="C49" i="6" s="1"/>
  <c r="R43" i="6" a="1"/>
  <c r="R43" i="6" s="1"/>
  <c r="V30" i="6" a="1"/>
  <c r="V30" i="6" s="1"/>
  <c r="F43" i="6" a="1"/>
  <c r="F43" i="6" s="1"/>
  <c r="V29" i="6" a="1"/>
  <c r="V29" i="6" s="1"/>
  <c r="Q7" i="6" a="1"/>
  <c r="Q7" i="6" s="1"/>
  <c r="Q25" i="6" a="1"/>
  <c r="Q25" i="6" s="1"/>
  <c r="G13" i="6" a="1"/>
  <c r="G13" i="6" s="1"/>
  <c r="M13" i="5" a="1"/>
  <c r="M13" i="5" s="1"/>
  <c r="G43" i="5" a="1"/>
  <c r="G43" i="5" s="1"/>
  <c r="B13" i="4" a="1"/>
  <c r="B13" i="4" s="1"/>
  <c r="F13" i="5" a="1"/>
  <c r="F13" i="5" s="1"/>
  <c r="K25" i="5" a="1"/>
  <c r="K25" i="5" s="1"/>
  <c r="Q29" i="5" a="1"/>
  <c r="Q29" i="5" s="1"/>
  <c r="B43" i="4" a="1"/>
  <c r="B43" i="4" s="1"/>
  <c r="Z30" i="7" a="1"/>
  <c r="Z30" i="7" s="1"/>
  <c r="Z29" i="7" a="1"/>
  <c r="Z29" i="7" s="1"/>
  <c r="J33" i="7" a="1"/>
  <c r="J33" i="7" s="1"/>
  <c r="Z10" i="7" a="1"/>
  <c r="Z10" i="7" s="1"/>
  <c r="B15" i="7" a="1"/>
  <c r="B15" i="7" s="1"/>
  <c r="Z31" i="7" a="1"/>
  <c r="Z31" i="7" s="1"/>
  <c r="L27" i="7" a="1"/>
  <c r="L27" i="7" s="1"/>
  <c r="Z48" i="7" a="1"/>
  <c r="Z48" i="7" s="1"/>
  <c r="L45" i="7" a="1"/>
  <c r="L45" i="7" s="1"/>
  <c r="T33" i="7" a="1"/>
  <c r="T33" i="7" s="1"/>
  <c r="B21" i="7" a="1"/>
  <c r="B21" i="7" s="1"/>
  <c r="Z16" i="7" a="1"/>
  <c r="Z16" i="7" s="1"/>
  <c r="Q15" i="7" a="1"/>
  <c r="Q15" i="7" s="1"/>
  <c r="N49" i="6" a="1"/>
  <c r="N49" i="6" s="1"/>
  <c r="O49" i="6" a="1"/>
  <c r="O49" i="6" s="1"/>
  <c r="L43" i="6" a="1"/>
  <c r="L43" i="6" s="1"/>
  <c r="B37" i="6" a="1"/>
  <c r="B37" i="6" s="1"/>
  <c r="U13" i="6" a="1"/>
  <c r="U13" i="6" s="1"/>
  <c r="C19" i="5" a="1"/>
  <c r="C19" i="5" s="1"/>
  <c r="D43" i="5" a="1"/>
  <c r="D43" i="5" s="1"/>
  <c r="Q24" i="5" a="1"/>
  <c r="Q24" i="5" s="1"/>
  <c r="Q22" i="5" a="1"/>
  <c r="Q22" i="5" s="1"/>
  <c r="O37" i="5" a="1"/>
  <c r="O37" i="5" s="1"/>
  <c r="X39" i="7" a="1"/>
  <c r="X39" i="7" s="1"/>
  <c r="M33" i="7" a="1"/>
  <c r="M33" i="7" s="1"/>
  <c r="M15" i="7" a="1"/>
  <c r="M15" i="7" s="1"/>
  <c r="G27" i="7" a="1"/>
  <c r="G27" i="7" s="1"/>
  <c r="Z19" i="7" a="1"/>
  <c r="Z19" i="7" s="1"/>
  <c r="G45" i="7" a="1"/>
  <c r="G45" i="7" s="1"/>
  <c r="V45" i="7" a="1"/>
  <c r="V45" i="7" s="1"/>
  <c r="X21" i="7" a="1"/>
  <c r="X21" i="7" s="1"/>
  <c r="K49" i="6" a="1"/>
  <c r="K49" i="6" s="1"/>
  <c r="E49" i="6" a="1"/>
  <c r="E49" i="6" s="1"/>
  <c r="V42" i="6" a="1"/>
  <c r="V42" i="6" s="1"/>
  <c r="C43" i="6" a="1"/>
  <c r="C43" i="6" s="1"/>
  <c r="G7" i="6" a="1"/>
  <c r="G7" i="6" s="1"/>
  <c r="V32" i="6" a="1"/>
  <c r="V32" i="6" s="1"/>
  <c r="C25" i="6" a="1"/>
  <c r="C25" i="6" s="1"/>
  <c r="L13" i="6" a="1"/>
  <c r="L13" i="6" s="1"/>
  <c r="V9" i="6" a="1"/>
  <c r="V9" i="6" s="1"/>
  <c r="Q17" i="5" a="1"/>
  <c r="Q17" i="5" s="1"/>
  <c r="F43" i="5" a="1"/>
  <c r="F43" i="5" s="1"/>
  <c r="Q36" i="5" a="1"/>
  <c r="Q36" i="5" s="1"/>
  <c r="G31" i="5" a="1"/>
  <c r="G31" i="5" s="1"/>
  <c r="H7" i="5" a="1"/>
  <c r="H7" i="5" s="1"/>
  <c r="C37" i="5" a="1"/>
  <c r="C37" i="5" s="1"/>
  <c r="D37" i="5" a="1"/>
  <c r="D37" i="5" s="1"/>
  <c r="V51" i="7" a="1"/>
  <c r="V51" i="7" s="1"/>
  <c r="G33" i="7" a="1"/>
  <c r="G33" i="7" s="1"/>
  <c r="N27" i="7" a="1"/>
  <c r="N27" i="7" s="1"/>
  <c r="Z6" i="7" a="1"/>
  <c r="Z6" i="7" s="1"/>
  <c r="Z8" i="7" a="1"/>
  <c r="Z8" i="7" s="1"/>
  <c r="H45" i="7" a="1"/>
  <c r="H45" i="7" s="1"/>
  <c r="C45" i="7" a="1"/>
  <c r="C45" i="7" s="1"/>
  <c r="Z18" i="7" a="1"/>
  <c r="Z18" i="7" s="1"/>
  <c r="C21" i="7" a="1"/>
  <c r="C21" i="7" s="1"/>
  <c r="N39" i="7" a="1"/>
  <c r="N39" i="7" s="1"/>
  <c r="B31" i="6" a="1"/>
  <c r="B31" i="6" s="1"/>
  <c r="V26" i="6" a="1"/>
  <c r="V26" i="6" s="1"/>
  <c r="V23" i="6" a="1"/>
  <c r="V23" i="6" s="1"/>
  <c r="Q49" i="6" a="1"/>
  <c r="Q49" i="6" s="1"/>
  <c r="K9" i="7" a="1"/>
  <c r="K9" i="7" s="1"/>
  <c r="O37" i="6" a="1"/>
  <c r="O37" i="6" s="1"/>
  <c r="N43" i="6" a="1"/>
  <c r="N43" i="6" s="1"/>
  <c r="H7" i="6" a="1"/>
  <c r="H7" i="6" s="1"/>
  <c r="M25" i="6" a="1"/>
  <c r="M25" i="6" s="1"/>
  <c r="N13" i="6" a="1"/>
  <c r="N13" i="6" s="1"/>
  <c r="Q45" i="5" a="1"/>
  <c r="Q45" i="5" s="1"/>
  <c r="Q26" i="5" a="1"/>
  <c r="Q26" i="5" s="1"/>
  <c r="B31" i="5" a="1"/>
  <c r="B31" i="5" s="1"/>
  <c r="P25" i="5" a="1"/>
  <c r="P25" i="5" s="1"/>
  <c r="I19" i="5" a="1"/>
  <c r="I19" i="5" s="1"/>
  <c r="M49" i="5" a="1"/>
  <c r="M49" i="5" s="1"/>
  <c r="E25" i="5" a="1"/>
  <c r="E25" i="5" s="1"/>
  <c r="C12" i="4" a="1"/>
  <c r="C12" i="4" s="1"/>
  <c r="N19" i="5" a="1"/>
  <c r="N19" i="5" s="1"/>
  <c r="V7" i="6" l="1" a="1"/>
  <c r="V7" i="6" s="1"/>
  <c r="V25" i="6" a="1"/>
  <c r="V25" i="6" s="1"/>
  <c r="V31" i="6" a="1"/>
  <c r="V31" i="6" s="1"/>
  <c r="Z33" i="7" a="1"/>
  <c r="Z33" i="7" s="1"/>
  <c r="Q19" i="5" a="1"/>
  <c r="Q19" i="5" s="1"/>
  <c r="V13" i="6" a="1"/>
  <c r="V13" i="6" s="1"/>
  <c r="B14" i="4" a="1"/>
  <c r="B14" i="4" s="1"/>
  <c r="B44" i="4" a="1"/>
  <c r="B44" i="4" s="1"/>
  <c r="Q49" i="5" a="1"/>
  <c r="Q49" i="5" s="1"/>
  <c r="Z21" i="7" a="1"/>
  <c r="Z21" i="7" s="1"/>
  <c r="Q13" i="5" a="1"/>
  <c r="Q13" i="5" s="1"/>
  <c r="Z39" i="7" a="1"/>
  <c r="Z39" i="7" s="1"/>
  <c r="B26" i="4" a="1"/>
  <c r="B26" i="4" s="1"/>
  <c r="Z51" i="7" a="1"/>
  <c r="Z51" i="7" s="1"/>
  <c r="C33" i="4" a="1"/>
  <c r="C33" i="4" s="1"/>
  <c r="Q25" i="5" a="1"/>
  <c r="Q25" i="5" s="1"/>
  <c r="B8" i="4" a="1"/>
  <c r="B8" i="4" s="1"/>
  <c r="Z27" i="7" a="1"/>
  <c r="Z27" i="7" s="1"/>
  <c r="C45" i="4" a="1"/>
  <c r="C45" i="4" s="1"/>
  <c r="Z15" i="7" a="1"/>
  <c r="Z15" i="7" s="1"/>
  <c r="B32" i="4" a="1"/>
  <c r="B32" i="4" s="1"/>
  <c r="Z45" i="7" a="1"/>
  <c r="Z45" i="7" s="1"/>
  <c r="C46" i="4" a="1"/>
  <c r="C46" i="4" s="1"/>
  <c r="C27" i="4" a="1"/>
  <c r="C27" i="4" s="1"/>
  <c r="C36" i="4" a="1"/>
  <c r="C36" i="4" s="1"/>
  <c r="C29" i="4" a="1"/>
  <c r="C29" i="4" s="1"/>
  <c r="C4" i="4" a="1"/>
  <c r="C4" i="4" s="1"/>
  <c r="C5" i="4" a="1"/>
  <c r="C5" i="4" s="1"/>
  <c r="C7" i="4" a="1"/>
  <c r="C7" i="4" s="1"/>
  <c r="C13" i="4" a="1"/>
  <c r="C13" i="4" s="1"/>
  <c r="C18" i="4" a="1"/>
  <c r="C18" i="4" s="1"/>
  <c r="C16" i="4" a="1"/>
  <c r="C16" i="4" s="1"/>
  <c r="C42" i="4" a="1"/>
  <c r="C42" i="4" s="1"/>
  <c r="C39" i="4" a="1"/>
  <c r="C39" i="4" s="1"/>
  <c r="C11" i="4" a="1"/>
  <c r="C11" i="4" s="1"/>
  <c r="C48" i="4" a="1"/>
  <c r="C48" i="4" s="1"/>
  <c r="C47" i="4" a="1"/>
  <c r="C47" i="4" s="1"/>
  <c r="C24" i="4" a="1"/>
  <c r="C24" i="4" s="1"/>
  <c r="C23" i="4" a="1"/>
  <c r="C23" i="4" s="1"/>
  <c r="C26" i="4" s="1" a="1"/>
  <c r="C26" i="4" s="1"/>
  <c r="C10" i="4" a="1"/>
  <c r="C10" i="4" s="1"/>
  <c r="C37" i="4" a="1"/>
  <c r="C37" i="4" s="1"/>
  <c r="C34" i="4" a="1"/>
  <c r="C34" i="4" s="1"/>
  <c r="C41" i="4" a="1"/>
  <c r="C41" i="4" s="1"/>
  <c r="C28" i="4" a="1"/>
  <c r="C28" i="4" s="1"/>
  <c r="Z9" i="7" a="1"/>
  <c r="Z9" i="7" s="1"/>
  <c r="Q31" i="5" a="1"/>
  <c r="Q31" i="5" s="1"/>
  <c r="V49" i="6" a="1"/>
  <c r="V49" i="6" s="1"/>
  <c r="V43" i="6" a="1"/>
  <c r="V43" i="6" s="1"/>
  <c r="E1" i="4" a="1"/>
  <c r="E1" i="4" s="1"/>
  <c r="D2" i="4" a="1"/>
  <c r="D2" i="4" s="1"/>
  <c r="D7" i="4" s="1" a="1"/>
  <c r="D7" i="4" s="1"/>
  <c r="D9" i="4" a="1"/>
  <c r="D9" i="4" s="1"/>
  <c r="D35" i="4" a="1"/>
  <c r="D35" i="4" s="1"/>
  <c r="D41" i="4" a="1"/>
  <c r="D41" i="4" s="1"/>
  <c r="D15" i="4" a="1"/>
  <c r="D15" i="4" s="1"/>
  <c r="D3" i="4" a="1"/>
  <c r="D3" i="4" s="1"/>
  <c r="D18" i="4" a="1"/>
  <c r="D18" i="4" s="1"/>
  <c r="D47" i="4" a="1"/>
  <c r="D47" i="4" s="1"/>
  <c r="D21" i="4" a="1"/>
  <c r="D21" i="4" s="1"/>
  <c r="D16" i="4" a="1"/>
  <c r="D16" i="4" s="1"/>
  <c r="Q43" i="5" a="1"/>
  <c r="Q43" i="5" s="1"/>
  <c r="Q37" i="5" a="1"/>
  <c r="Q37" i="5" s="1"/>
  <c r="C6" i="4" a="1"/>
  <c r="C6" i="4" s="1"/>
  <c r="V37" i="6" a="1"/>
  <c r="V37" i="6" s="1"/>
  <c r="Q7" i="5" a="1"/>
  <c r="Q7" i="5" s="1"/>
  <c r="B20" i="4" a="1"/>
  <c r="B20" i="4" s="1"/>
  <c r="C35" i="4" a="1"/>
  <c r="C35" i="4" s="1"/>
  <c r="D31" i="4" l="1" a="1"/>
  <c r="D31" i="4" s="1"/>
  <c r="D6" i="4" a="1"/>
  <c r="D6" i="4" s="1"/>
  <c r="D37" i="4" a="1"/>
  <c r="D37" i="4" s="1"/>
  <c r="D13" i="4" a="1"/>
  <c r="D13" i="4" s="1"/>
  <c r="D45" i="4" a="1"/>
  <c r="D45" i="4" s="1"/>
  <c r="D23" i="4" a="1"/>
  <c r="D23" i="4" s="1"/>
  <c r="D30" i="4" a="1"/>
  <c r="D30" i="4" s="1"/>
  <c r="D22" i="4" a="1"/>
  <c r="D22" i="4" s="1"/>
  <c r="C20" i="4" a="1"/>
  <c r="C20" i="4" s="1"/>
  <c r="D49" i="4" a="1"/>
  <c r="D49" i="4" s="1"/>
  <c r="D27" i="4" a="1"/>
  <c r="D27" i="4" s="1"/>
  <c r="D28" i="4" a="1"/>
  <c r="D28" i="4" s="1"/>
  <c r="D19" i="4" a="1"/>
  <c r="D19" i="4" s="1"/>
  <c r="D43" i="4" a="1"/>
  <c r="D43" i="4" s="1"/>
  <c r="D4" i="4" a="1"/>
  <c r="D4" i="4" s="1"/>
  <c r="D12" i="4" a="1"/>
  <c r="D12" i="4" s="1"/>
  <c r="D36" i="4" a="1"/>
  <c r="D36" i="4" s="1"/>
  <c r="D24" i="4" a="1"/>
  <c r="D24" i="4" s="1"/>
  <c r="D26" i="4" s="1" a="1"/>
  <c r="D26" i="4" s="1"/>
  <c r="D34" i="4" a="1"/>
  <c r="D34" i="4" s="1"/>
  <c r="D33" i="4" a="1"/>
  <c r="D33" i="4" s="1"/>
  <c r="D38" i="4" s="1" a="1"/>
  <c r="D38" i="4" s="1"/>
  <c r="D5" i="4" a="1"/>
  <c r="D5" i="4" s="1"/>
  <c r="D8" i="4" s="1" a="1"/>
  <c r="D8" i="4" s="1"/>
  <c r="C8" i="4" a="1"/>
  <c r="C8" i="4" s="1"/>
  <c r="D17" i="4" a="1"/>
  <c r="D17" i="4" s="1"/>
  <c r="D20" i="4" s="1" a="1"/>
  <c r="D20" i="4" s="1"/>
  <c r="D11" i="4" a="1"/>
  <c r="D11" i="4" s="1"/>
  <c r="C14" i="4" a="1"/>
  <c r="C14" i="4" s="1"/>
  <c r="D40" i="4" a="1"/>
  <c r="D40" i="4" s="1"/>
  <c r="D48" i="4" a="1"/>
  <c r="D48" i="4" s="1"/>
  <c r="D29" i="4" a="1"/>
  <c r="D29" i="4" s="1"/>
  <c r="D10" i="4" a="1"/>
  <c r="D10" i="4" s="1"/>
  <c r="D14" i="4" s="1" a="1"/>
  <c r="D14" i="4" s="1"/>
  <c r="D46" i="4" a="1"/>
  <c r="D46" i="4" s="1"/>
  <c r="D42" i="4" a="1"/>
  <c r="D42" i="4" s="1"/>
  <c r="D25" i="4" a="1"/>
  <c r="D25" i="4" s="1"/>
  <c r="D39" i="4" a="1"/>
  <c r="D39" i="4" s="1"/>
  <c r="E2" i="4" a="1"/>
  <c r="E2" i="4" s="1"/>
  <c r="E13" i="4" s="1" a="1"/>
  <c r="E13" i="4" s="1"/>
  <c r="E45" i="4" a="1"/>
  <c r="E45" i="4" s="1"/>
  <c r="E35" i="4" a="1"/>
  <c r="E35" i="4" s="1"/>
  <c r="E9" i="4" a="1"/>
  <c r="E9" i="4" s="1"/>
  <c r="E19" i="4" a="1"/>
  <c r="E19" i="4" s="1"/>
  <c r="E31" i="4" a="1"/>
  <c r="E31" i="4" s="1"/>
  <c r="F1" i="4" a="1"/>
  <c r="F1" i="4" s="1"/>
  <c r="E46" i="4" a="1"/>
  <c r="E46" i="4" s="1"/>
  <c r="E17" i="4" a="1"/>
  <c r="E17" i="4" s="1"/>
  <c r="E23" i="4" a="1"/>
  <c r="E23" i="4" s="1"/>
  <c r="E40" i="4" a="1"/>
  <c r="E40" i="4" s="1"/>
  <c r="E33" i="4" a="1"/>
  <c r="E33" i="4" s="1"/>
  <c r="E34" i="4" a="1"/>
  <c r="E34" i="4" s="1"/>
  <c r="E30" i="4" a="1"/>
  <c r="E30" i="4" s="1"/>
  <c r="D50" i="4" a="1"/>
  <c r="D50" i="4" s="1"/>
  <c r="C50" i="4" a="1"/>
  <c r="C50" i="4" s="1"/>
  <c r="C44" i="4" a="1"/>
  <c r="C44" i="4" s="1"/>
  <c r="C38" i="4" a="1"/>
  <c r="C38" i="4" s="1"/>
  <c r="C32" i="4" a="1"/>
  <c r="C32" i="4" s="1"/>
  <c r="D44" i="4" l="1" a="1"/>
  <c r="D44" i="4" s="1"/>
  <c r="D32" i="4" a="1"/>
  <c r="D32" i="4" s="1"/>
  <c r="E5" i="4" a="1"/>
  <c r="E5" i="4" s="1"/>
  <c r="E7" i="4" a="1"/>
  <c r="E7" i="4" s="1"/>
  <c r="E15" i="4" a="1"/>
  <c r="E15" i="4" s="1"/>
  <c r="E41" i="4" a="1"/>
  <c r="E41" i="4" s="1"/>
  <c r="E37" i="4" a="1"/>
  <c r="E37" i="4" s="1"/>
  <c r="E16" i="4" a="1"/>
  <c r="E16" i="4" s="1"/>
  <c r="E39" i="4" a="1"/>
  <c r="E39" i="4" s="1"/>
  <c r="E4" i="4" a="1"/>
  <c r="E4" i="4" s="1"/>
  <c r="E36" i="4" a="1"/>
  <c r="E36" i="4" s="1"/>
  <c r="E27" i="4" a="1"/>
  <c r="E27" i="4" s="1"/>
  <c r="E43" i="4" a="1"/>
  <c r="E43" i="4" s="1"/>
  <c r="E24" i="4" a="1"/>
  <c r="E24" i="4" s="1"/>
  <c r="E10" i="4" a="1"/>
  <c r="E10" i="4" s="1"/>
  <c r="E29" i="4" a="1"/>
  <c r="E29" i="4" s="1"/>
  <c r="E6" i="4" a="1"/>
  <c r="E6" i="4" s="1"/>
  <c r="E18" i="4" a="1"/>
  <c r="E18" i="4" s="1"/>
  <c r="E12" i="4" a="1"/>
  <c r="E12" i="4" s="1"/>
  <c r="E28" i="4" a="1"/>
  <c r="E28" i="4" s="1"/>
  <c r="E32" i="4" s="1" a="1"/>
  <c r="E32" i="4" s="1"/>
  <c r="E49" i="4" a="1"/>
  <c r="E49" i="4" s="1"/>
  <c r="E3" i="4" a="1"/>
  <c r="E3" i="4" s="1"/>
  <c r="E25" i="4" a="1"/>
  <c r="E25" i="4" s="1"/>
  <c r="E21" i="4" a="1"/>
  <c r="E21" i="4" s="1"/>
  <c r="E42" i="4" a="1"/>
  <c r="E42" i="4" s="1"/>
  <c r="E47" i="4" a="1"/>
  <c r="E47" i="4" s="1"/>
  <c r="E50" i="4" s="1" a="1"/>
  <c r="E50" i="4" s="1"/>
  <c r="E48" i="4" a="1"/>
  <c r="E48" i="4" s="1"/>
  <c r="G1" i="4" a="1"/>
  <c r="G1" i="4" s="1"/>
  <c r="F2" i="4" a="1"/>
  <c r="F2" i="4" s="1"/>
  <c r="F12" i="4" s="1" a="1"/>
  <c r="F12" i="4" s="1"/>
  <c r="F37" i="4" a="1"/>
  <c r="F37" i="4" s="1"/>
  <c r="F22" i="4" a="1"/>
  <c r="F22" i="4" s="1"/>
  <c r="F4" i="4" a="1"/>
  <c r="F4" i="4" s="1"/>
  <c r="F39" i="4" a="1"/>
  <c r="F39" i="4" s="1"/>
  <c r="F28" i="4" a="1"/>
  <c r="F28" i="4" s="1"/>
  <c r="F6" i="4" a="1"/>
  <c r="F6" i="4" s="1"/>
  <c r="F46" i="4" a="1"/>
  <c r="F46" i="4" s="1"/>
  <c r="F18" i="4" a="1"/>
  <c r="F18" i="4" s="1"/>
  <c r="F3" i="4" a="1"/>
  <c r="F3" i="4" s="1"/>
  <c r="F19" i="4" a="1"/>
  <c r="F19" i="4" s="1"/>
  <c r="F33" i="4" a="1"/>
  <c r="F33" i="4" s="1"/>
  <c r="F40" i="4" a="1"/>
  <c r="F40" i="4" s="1"/>
  <c r="F24" i="4" a="1"/>
  <c r="F24" i="4" s="1"/>
  <c r="F27" i="4" a="1"/>
  <c r="F27" i="4" s="1"/>
  <c r="F25" i="4" a="1"/>
  <c r="F25" i="4" s="1"/>
  <c r="E8" i="4" a="1"/>
  <c r="E8" i="4" s="1"/>
  <c r="E38" i="4" a="1"/>
  <c r="E38" i="4" s="1"/>
  <c r="E14" i="4" a="1"/>
  <c r="E14" i="4" s="1"/>
  <c r="E22" i="4" a="1"/>
  <c r="E22" i="4" s="1"/>
  <c r="E26" i="4" s="1" a="1"/>
  <c r="E26" i="4" s="1"/>
  <c r="E20" i="4" a="1"/>
  <c r="E20" i="4" s="1"/>
  <c r="E11" i="4" a="1"/>
  <c r="E11" i="4" s="1"/>
  <c r="F16" i="4" l="1" a="1"/>
  <c r="F16" i="4" s="1"/>
  <c r="F31" i="4" a="1"/>
  <c r="F31" i="4" s="1"/>
  <c r="F29" i="4" a="1"/>
  <c r="F29" i="4" s="1"/>
  <c r="F9" i="4" a="1"/>
  <c r="F9" i="4" s="1"/>
  <c r="F21" i="4" a="1"/>
  <c r="F21" i="4" s="1"/>
  <c r="F42" i="4" a="1"/>
  <c r="F42" i="4" s="1"/>
  <c r="F47" i="4" a="1"/>
  <c r="F47" i="4" s="1"/>
  <c r="F48" i="4" a="1"/>
  <c r="F48" i="4" s="1"/>
  <c r="E44" i="4" a="1"/>
  <c r="E44" i="4" s="1"/>
  <c r="F5" i="4" a="1"/>
  <c r="F5" i="4" s="1"/>
  <c r="F11" i="4" a="1"/>
  <c r="F11" i="4" s="1"/>
  <c r="F43" i="4" a="1"/>
  <c r="F43" i="4" s="1"/>
  <c r="F13" i="4" a="1"/>
  <c r="F13" i="4" s="1"/>
  <c r="F15" i="4" a="1"/>
  <c r="F15" i="4" s="1"/>
  <c r="F45" i="4" a="1"/>
  <c r="F45" i="4" s="1"/>
  <c r="F23" i="4" a="1"/>
  <c r="F23" i="4" s="1"/>
  <c r="F35" i="4" a="1"/>
  <c r="F35" i="4" s="1"/>
  <c r="F41" i="4" a="1"/>
  <c r="F41" i="4" s="1"/>
  <c r="F36" i="4" a="1"/>
  <c r="F36" i="4" s="1"/>
  <c r="F49" i="4" a="1"/>
  <c r="F49" i="4" s="1"/>
  <c r="F50" i="4" s="1" a="1"/>
  <c r="F50" i="4" s="1"/>
  <c r="G2" i="4" a="1"/>
  <c r="G2" i="4" s="1"/>
  <c r="G9" i="4" s="1" a="1"/>
  <c r="G9" i="4" s="1"/>
  <c r="H1" i="4" a="1"/>
  <c r="H1" i="4" s="1"/>
  <c r="G31" i="4" a="1"/>
  <c r="G31" i="4" s="1"/>
  <c r="G41" i="4" a="1"/>
  <c r="G41" i="4" s="1"/>
  <c r="G22" i="4" a="1"/>
  <c r="G22" i="4" s="1"/>
  <c r="G19" i="4" a="1"/>
  <c r="G19" i="4" s="1"/>
  <c r="G46" i="4" a="1"/>
  <c r="G46" i="4" s="1"/>
  <c r="G7" i="4" a="1"/>
  <c r="G7" i="4" s="1"/>
  <c r="G42" i="4" a="1"/>
  <c r="G42" i="4" s="1"/>
  <c r="G33" i="4" a="1"/>
  <c r="G33" i="4" s="1"/>
  <c r="G49" i="4" a="1"/>
  <c r="G49" i="4" s="1"/>
  <c r="G34" i="4" a="1"/>
  <c r="G34" i="4" s="1"/>
  <c r="G45" i="4" a="1"/>
  <c r="G45" i="4" s="1"/>
  <c r="G29" i="4" a="1"/>
  <c r="G29" i="4" s="1"/>
  <c r="G13" i="4" a="1"/>
  <c r="G13" i="4" s="1"/>
  <c r="F7" i="4" a="1"/>
  <c r="F7" i="4" s="1"/>
  <c r="F8" i="4" s="1" a="1"/>
  <c r="F8" i="4" s="1"/>
  <c r="F10" i="4" a="1"/>
  <c r="F10" i="4" s="1"/>
  <c r="F14" i="4" s="1" a="1"/>
  <c r="F14" i="4" s="1"/>
  <c r="F30" i="4" a="1"/>
  <c r="F30" i="4" s="1"/>
  <c r="F32" i="4" s="1" a="1"/>
  <c r="F32" i="4" s="1"/>
  <c r="F17" i="4" a="1"/>
  <c r="F17" i="4" s="1"/>
  <c r="F20" i="4" s="1" a="1"/>
  <c r="F20" i="4" s="1"/>
  <c r="F34" i="4" a="1"/>
  <c r="F34" i="4" s="1"/>
  <c r="F38" i="4" s="1" a="1"/>
  <c r="F38" i="4" s="1"/>
  <c r="G12" i="4" l="1" a="1"/>
  <c r="G12" i="4" s="1"/>
  <c r="G5" i="4" a="1"/>
  <c r="G5" i="4" s="1"/>
  <c r="G30" i="4" a="1"/>
  <c r="G30" i="4" s="1"/>
  <c r="G47" i="4" a="1"/>
  <c r="G47" i="4" s="1"/>
  <c r="G24" i="4" a="1"/>
  <c r="G24" i="4" s="1"/>
  <c r="G26" i="4" s="1" a="1"/>
  <c r="G26" i="4" s="1"/>
  <c r="G25" i="4" a="1"/>
  <c r="G25" i="4" s="1"/>
  <c r="G21" i="4" a="1"/>
  <c r="G21" i="4" s="1"/>
  <c r="G11" i="4" a="1"/>
  <c r="G11" i="4" s="1"/>
  <c r="G36" i="4" a="1"/>
  <c r="G36" i="4" s="1"/>
  <c r="G37" i="4" a="1"/>
  <c r="G37" i="4" s="1"/>
  <c r="G10" i="4" a="1"/>
  <c r="G10" i="4" s="1"/>
  <c r="G14" i="4" s="1" a="1"/>
  <c r="G14" i="4" s="1"/>
  <c r="G35" i="4" a="1"/>
  <c r="G35" i="4" s="1"/>
  <c r="G38" i="4" s="1" a="1"/>
  <c r="G38" i="4" s="1"/>
  <c r="G43" i="4" a="1"/>
  <c r="G43" i="4" s="1"/>
  <c r="G48" i="4" a="1"/>
  <c r="G48" i="4" s="1"/>
  <c r="G50" i="4" s="1" a="1"/>
  <c r="G50" i="4" s="1"/>
  <c r="G23" i="4" a="1"/>
  <c r="G23" i="4" s="1"/>
  <c r="G18" i="4" a="1"/>
  <c r="G18" i="4" s="1"/>
  <c r="G39" i="4" a="1"/>
  <c r="G39" i="4" s="1"/>
  <c r="G27" i="4" a="1"/>
  <c r="G27" i="4" s="1"/>
  <c r="F26" i="4" a="1"/>
  <c r="F26" i="4" s="1"/>
  <c r="H2" i="4" a="1"/>
  <c r="H2" i="4" s="1"/>
  <c r="H47" i="4" s="1" a="1"/>
  <c r="H47" i="4" s="1"/>
  <c r="H25" i="4" a="1"/>
  <c r="H25" i="4" s="1"/>
  <c r="H37" i="4" a="1"/>
  <c r="H37" i="4" s="1"/>
  <c r="H40" i="4" a="1"/>
  <c r="H40" i="4" s="1"/>
  <c r="H10" i="4" a="1"/>
  <c r="H10" i="4" s="1"/>
  <c r="H45" i="4" a="1"/>
  <c r="H45" i="4" s="1"/>
  <c r="I1" i="4" a="1"/>
  <c r="I1" i="4" s="1"/>
  <c r="H17" i="4" a="1"/>
  <c r="H17" i="4" s="1"/>
  <c r="H39" i="4" a="1"/>
  <c r="H39" i="4" s="1"/>
  <c r="H28" i="4" a="1"/>
  <c r="H28" i="4" s="1"/>
  <c r="H42" i="4" a="1"/>
  <c r="H42" i="4" s="1"/>
  <c r="H36" i="4" a="1"/>
  <c r="H36" i="4" s="1"/>
  <c r="F44" i="4" a="1"/>
  <c r="F44" i="4" s="1"/>
  <c r="G4" i="4" a="1"/>
  <c r="G4" i="4" s="1"/>
  <c r="G16" i="4" a="1"/>
  <c r="G16" i="4" s="1"/>
  <c r="G28" i="4" a="1"/>
  <c r="G28" i="4" s="1"/>
  <c r="G17" i="4" a="1"/>
  <c r="G17" i="4" s="1"/>
  <c r="G3" i="4" a="1"/>
  <c r="G3" i="4" s="1"/>
  <c r="G6" i="4" a="1"/>
  <c r="G6" i="4" s="1"/>
  <c r="G15" i="4" a="1"/>
  <c r="G15" i="4" s="1"/>
  <c r="G40" i="4" a="1"/>
  <c r="G40" i="4" s="1"/>
  <c r="G44" i="4" s="1" a="1"/>
  <c r="G44" i="4" s="1"/>
  <c r="H7" i="4" l="1" a="1"/>
  <c r="H7" i="4" s="1"/>
  <c r="H30" i="4" a="1"/>
  <c r="H30" i="4" s="1"/>
  <c r="H13" i="4" a="1"/>
  <c r="H13" i="4" s="1"/>
  <c r="H43" i="4" a="1"/>
  <c r="H43" i="4" s="1"/>
  <c r="H12" i="4" a="1"/>
  <c r="H12" i="4" s="1"/>
  <c r="H5" i="4" a="1"/>
  <c r="H5" i="4" s="1"/>
  <c r="H4" i="4" a="1"/>
  <c r="H4" i="4" s="1"/>
  <c r="H21" i="4" a="1"/>
  <c r="H21" i="4" s="1"/>
  <c r="H41" i="4" a="1"/>
  <c r="H41" i="4" s="1"/>
  <c r="H44" i="4" s="1" a="1"/>
  <c r="H44" i="4" s="1"/>
  <c r="H16" i="4" a="1"/>
  <c r="H16" i="4" s="1"/>
  <c r="H24" i="4" a="1"/>
  <c r="H24" i="4" s="1"/>
  <c r="H9" i="4" a="1"/>
  <c r="H9" i="4" s="1"/>
  <c r="H33" i="4" a="1"/>
  <c r="H33" i="4" s="1"/>
  <c r="H35" i="4" a="1"/>
  <c r="H35" i="4" s="1"/>
  <c r="H29" i="4" a="1"/>
  <c r="H29" i="4" s="1"/>
  <c r="H19" i="4" a="1"/>
  <c r="H19" i="4" s="1"/>
  <c r="G32" i="4" a="1"/>
  <c r="G32" i="4" s="1"/>
  <c r="H49" i="4" a="1"/>
  <c r="H49" i="4" s="1"/>
  <c r="H46" i="4" a="1"/>
  <c r="H46" i="4" s="1"/>
  <c r="H22" i="4" a="1"/>
  <c r="H22" i="4" s="1"/>
  <c r="H48" i="4" a="1"/>
  <c r="H48" i="4" s="1"/>
  <c r="H50" i="4" s="1" a="1"/>
  <c r="H50" i="4" s="1"/>
  <c r="H6" i="4" a="1"/>
  <c r="H6" i="4" s="1"/>
  <c r="H15" i="4" a="1"/>
  <c r="H15" i="4" s="1"/>
  <c r="H18" i="4" a="1"/>
  <c r="H18" i="4" s="1"/>
  <c r="G20" i="4" a="1"/>
  <c r="G20" i="4" s="1"/>
  <c r="H23" i="4" a="1"/>
  <c r="H23" i="4" s="1"/>
  <c r="H31" i="4" a="1"/>
  <c r="H31" i="4" s="1"/>
  <c r="H3" i="4" a="1"/>
  <c r="H3" i="4" s="1"/>
  <c r="H27" i="4" a="1"/>
  <c r="H27" i="4" s="1"/>
  <c r="G8" i="4" a="1"/>
  <c r="G8" i="4" s="1"/>
  <c r="H11" i="4" a="1"/>
  <c r="H11" i="4" s="1"/>
  <c r="H14" i="4" s="1" a="1"/>
  <c r="H14" i="4" s="1"/>
  <c r="H34" i="4" a="1"/>
  <c r="H34" i="4" s="1"/>
  <c r="H38" i="4" s="1" a="1"/>
  <c r="H38" i="4" s="1"/>
  <c r="J1" i="4" a="1"/>
  <c r="J1" i="4" s="1"/>
  <c r="I2" i="4" a="1"/>
  <c r="I2" i="4" s="1"/>
  <c r="I45" i="4" s="1" a="1"/>
  <c r="I45" i="4" s="1"/>
  <c r="I4" i="4" a="1"/>
  <c r="I4" i="4" s="1"/>
  <c r="I16" i="4" l="1" a="1"/>
  <c r="I16" i="4" s="1"/>
  <c r="I31" i="4" a="1"/>
  <c r="I31" i="4" s="1"/>
  <c r="H20" i="4" a="1"/>
  <c r="H20" i="4" s="1"/>
  <c r="I42" i="4" a="1"/>
  <c r="I42" i="4" s="1"/>
  <c r="I6" i="4" a="1"/>
  <c r="I6" i="4" s="1"/>
  <c r="I24" i="4" a="1"/>
  <c r="I24" i="4" s="1"/>
  <c r="I30" i="4" a="1"/>
  <c r="I30" i="4" s="1"/>
  <c r="I11" i="4" a="1"/>
  <c r="I11" i="4" s="1"/>
  <c r="I40" i="4" a="1"/>
  <c r="I40" i="4" s="1"/>
  <c r="I44" i="4" s="1" a="1"/>
  <c r="I44" i="4" s="1"/>
  <c r="I29" i="4" a="1"/>
  <c r="I29" i="4" s="1"/>
  <c r="I18" i="4" a="1"/>
  <c r="I18" i="4" s="1"/>
  <c r="I39" i="4" a="1"/>
  <c r="I39" i="4" s="1"/>
  <c r="I27" i="4" a="1"/>
  <c r="I27" i="4" s="1"/>
  <c r="I19" i="4" a="1"/>
  <c r="I19" i="4" s="1"/>
  <c r="I3" i="4" a="1"/>
  <c r="I3" i="4" s="1"/>
  <c r="I34" i="4" a="1"/>
  <c r="I34" i="4" s="1"/>
  <c r="I21" i="4" a="1"/>
  <c r="I21" i="4" s="1"/>
  <c r="I47" i="4" a="1"/>
  <c r="I47" i="4" s="1"/>
  <c r="I22" i="4" a="1"/>
  <c r="I22" i="4" s="1"/>
  <c r="I49" i="4" a="1"/>
  <c r="I49" i="4" s="1"/>
  <c r="I17" i="4" a="1"/>
  <c r="I17" i="4" s="1"/>
  <c r="I15" i="4" a="1"/>
  <c r="I15" i="4" s="1"/>
  <c r="I20" i="4" s="1" a="1"/>
  <c r="I20" i="4" s="1"/>
  <c r="I41" i="4" a="1"/>
  <c r="I41" i="4" s="1"/>
  <c r="I23" i="4" a="1"/>
  <c r="I23" i="4" s="1"/>
  <c r="I28" i="4" a="1"/>
  <c r="I28" i="4" s="1"/>
  <c r="I32" i="4" s="1" a="1"/>
  <c r="I32" i="4" s="1"/>
  <c r="H26" i="4" a="1"/>
  <c r="H26" i="4" s="1"/>
  <c r="I37" i="4" a="1"/>
  <c r="I37" i="4" s="1"/>
  <c r="I7" i="4" a="1"/>
  <c r="I7" i="4" s="1"/>
  <c r="I43" i="4" a="1"/>
  <c r="I43" i="4" s="1"/>
  <c r="I5" i="4" a="1"/>
  <c r="I5" i="4" s="1"/>
  <c r="I33" i="4" a="1"/>
  <c r="I33" i="4" s="1"/>
  <c r="I10" i="4" a="1"/>
  <c r="I10" i="4" s="1"/>
  <c r="H32" i="4" a="1"/>
  <c r="H32" i="4" s="1"/>
  <c r="H8" i="4" a="1"/>
  <c r="H8" i="4" s="1"/>
  <c r="I35" i="4" a="1"/>
  <c r="I35" i="4" s="1"/>
  <c r="I46" i="4" a="1"/>
  <c r="I46" i="4" s="1"/>
  <c r="I48" i="4" a="1"/>
  <c r="I48" i="4" s="1"/>
  <c r="I13" i="4" a="1"/>
  <c r="I13" i="4" s="1"/>
  <c r="I25" i="4" a="1"/>
  <c r="I25" i="4" s="1"/>
  <c r="I26" i="4" s="1" a="1"/>
  <c r="I26" i="4" s="1"/>
  <c r="I9" i="4" a="1"/>
  <c r="I9" i="4" s="1"/>
  <c r="I12" i="4" a="1"/>
  <c r="I12" i="4" s="1"/>
  <c r="I36" i="4" a="1"/>
  <c r="I36" i="4" s="1"/>
  <c r="J2" i="4" a="1"/>
  <c r="J2" i="4" s="1"/>
  <c r="J19" i="4" s="1" a="1"/>
  <c r="J19" i="4" s="1"/>
  <c r="K1" i="4" a="1"/>
  <c r="K1" i="4" s="1"/>
  <c r="J30" i="4" a="1"/>
  <c r="J30" i="4" s="1"/>
  <c r="J4" i="4" a="1"/>
  <c r="J4" i="4" s="1"/>
  <c r="J23" i="4" l="1" a="1"/>
  <c r="J23" i="4" s="1"/>
  <c r="J7" i="4" a="1"/>
  <c r="J7" i="4" s="1"/>
  <c r="J28" i="4" a="1"/>
  <c r="J28" i="4" s="1"/>
  <c r="J13" i="4" a="1"/>
  <c r="J13" i="4" s="1"/>
  <c r="J24" i="4" a="1"/>
  <c r="J24" i="4" s="1"/>
  <c r="J5" i="4" a="1"/>
  <c r="J5" i="4" s="1"/>
  <c r="I38" i="4" a="1"/>
  <c r="I38" i="4" s="1"/>
  <c r="J42" i="4" a="1"/>
  <c r="J42" i="4" s="1"/>
  <c r="J34" i="4" a="1"/>
  <c r="J34" i="4" s="1"/>
  <c r="J16" i="4" a="1"/>
  <c r="J16" i="4" s="1"/>
  <c r="J49" i="4" a="1"/>
  <c r="J49" i="4" s="1"/>
  <c r="J25" i="4" a="1"/>
  <c r="J25" i="4" s="1"/>
  <c r="J15" i="4" a="1"/>
  <c r="J15" i="4" s="1"/>
  <c r="J31" i="4" a="1"/>
  <c r="J31" i="4" s="1"/>
  <c r="J48" i="4" a="1"/>
  <c r="J48" i="4" s="1"/>
  <c r="J41" i="4" a="1"/>
  <c r="J41" i="4" s="1"/>
  <c r="J46" i="4" a="1"/>
  <c r="J46" i="4" s="1"/>
  <c r="J22" i="4" a="1"/>
  <c r="J22" i="4" s="1"/>
  <c r="J33" i="4" a="1"/>
  <c r="J33" i="4" s="1"/>
  <c r="J11" i="4" a="1"/>
  <c r="J11" i="4" s="1"/>
  <c r="I8" i="4" a="1"/>
  <c r="I8" i="4" s="1"/>
  <c r="J9" i="4" a="1"/>
  <c r="J9" i="4" s="1"/>
  <c r="J35" i="4" a="1"/>
  <c r="J35" i="4" s="1"/>
  <c r="J6" i="4" a="1"/>
  <c r="J6" i="4" s="1"/>
  <c r="J36" i="4" a="1"/>
  <c r="J36" i="4" s="1"/>
  <c r="J40" i="4" a="1"/>
  <c r="J40" i="4" s="1"/>
  <c r="J21" i="4" a="1"/>
  <c r="J21" i="4" s="1"/>
  <c r="J17" i="4" a="1"/>
  <c r="J17" i="4" s="1"/>
  <c r="J45" i="4" a="1"/>
  <c r="J45" i="4" s="1"/>
  <c r="J39" i="4" a="1"/>
  <c r="J39" i="4" s="1"/>
  <c r="J10" i="4" a="1"/>
  <c r="J10" i="4" s="1"/>
  <c r="J47" i="4" a="1"/>
  <c r="J47" i="4" s="1"/>
  <c r="J29" i="4" a="1"/>
  <c r="J29" i="4" s="1"/>
  <c r="J3" i="4" a="1"/>
  <c r="J3" i="4" s="1"/>
  <c r="J12" i="4" a="1"/>
  <c r="J12" i="4" s="1"/>
  <c r="J43" i="4" a="1"/>
  <c r="J43" i="4" s="1"/>
  <c r="J44" i="4" s="1" a="1"/>
  <c r="J44" i="4" s="1"/>
  <c r="J27" i="4" a="1"/>
  <c r="J27" i="4" s="1"/>
  <c r="J32" i="4" s="1" a="1"/>
  <c r="J32" i="4" s="1"/>
  <c r="J37" i="4" a="1"/>
  <c r="J37" i="4" s="1"/>
  <c r="J38" i="4" s="1" a="1"/>
  <c r="J38" i="4" s="1"/>
  <c r="J18" i="4" a="1"/>
  <c r="J18" i="4" s="1"/>
  <c r="I50" i="4" a="1"/>
  <c r="I50" i="4" s="1"/>
  <c r="I14" i="4" a="1"/>
  <c r="I14" i="4" s="1"/>
  <c r="L1" i="4" a="1"/>
  <c r="L1" i="4" s="1"/>
  <c r="K2" i="4" a="1"/>
  <c r="K2" i="4" s="1"/>
  <c r="K33" i="4" s="1" a="1"/>
  <c r="K33" i="4" s="1"/>
  <c r="K34" i="4" a="1"/>
  <c r="K34" i="4" s="1"/>
  <c r="K23" i="4" a="1"/>
  <c r="K23" i="4" s="1"/>
  <c r="K7" i="4" a="1"/>
  <c r="K7" i="4" s="1"/>
  <c r="K15" i="4" a="1"/>
  <c r="K15" i="4" s="1"/>
  <c r="K13" i="4" a="1"/>
  <c r="K13" i="4" s="1"/>
  <c r="K36" i="4" a="1"/>
  <c r="K36" i="4" s="1"/>
  <c r="K25" i="4" a="1"/>
  <c r="K25" i="4" s="1"/>
  <c r="K17" i="4" a="1"/>
  <c r="K17" i="4" s="1"/>
  <c r="K39" i="4" a="1"/>
  <c r="K39" i="4" s="1"/>
  <c r="K11" i="4" a="1"/>
  <c r="K11" i="4" s="1"/>
  <c r="K21" i="4" a="1"/>
  <c r="K21" i="4" s="1"/>
  <c r="K16" i="4" a="1"/>
  <c r="K16" i="4" s="1"/>
  <c r="K24" i="4" a="1"/>
  <c r="K24" i="4" s="1"/>
  <c r="K47" i="4" a="1"/>
  <c r="K47" i="4" s="1"/>
  <c r="K4" i="4" a="1"/>
  <c r="K4" i="4" s="1"/>
  <c r="K5" i="4" a="1"/>
  <c r="K5" i="4" s="1"/>
  <c r="J50" i="4" a="1"/>
  <c r="J50" i="4" s="1"/>
  <c r="J8" i="4" l="1" a="1"/>
  <c r="J8" i="4" s="1"/>
  <c r="J20" i="4" a="1"/>
  <c r="J20" i="4" s="1"/>
  <c r="J26" i="4" a="1"/>
  <c r="J26" i="4" s="1"/>
  <c r="J14" i="4" a="1"/>
  <c r="J14" i="4" s="1"/>
  <c r="K29" i="4" a="1"/>
  <c r="K29" i="4" s="1"/>
  <c r="K28" i="4" a="1"/>
  <c r="K28" i="4" s="1"/>
  <c r="K40" i="4" a="1"/>
  <c r="K40" i="4" s="1"/>
  <c r="K48" i="4" a="1"/>
  <c r="K48" i="4" s="1"/>
  <c r="K19" i="4" a="1"/>
  <c r="K19" i="4" s="1"/>
  <c r="K46" i="4" a="1"/>
  <c r="K46" i="4" s="1"/>
  <c r="K9" i="4" a="1"/>
  <c r="K9" i="4" s="1"/>
  <c r="K30" i="4" a="1"/>
  <c r="K30" i="4" s="1"/>
  <c r="K3" i="4" a="1"/>
  <c r="K3" i="4" s="1"/>
  <c r="K10" i="4" a="1"/>
  <c r="K10" i="4" s="1"/>
  <c r="K6" i="4" a="1"/>
  <c r="K6" i="4" s="1"/>
  <c r="K41" i="4" a="1"/>
  <c r="K41" i="4" s="1"/>
  <c r="K49" i="4" a="1"/>
  <c r="K49" i="4" s="1"/>
  <c r="K43" i="4" a="1"/>
  <c r="K43" i="4" s="1"/>
  <c r="K42" i="4" a="1"/>
  <c r="K42" i="4" s="1"/>
  <c r="M1" i="4" a="1"/>
  <c r="M1" i="4" s="1"/>
  <c r="L2" i="4" a="1"/>
  <c r="L2" i="4" s="1"/>
  <c r="L34" i="4" s="1" a="1"/>
  <c r="L34" i="4" s="1"/>
  <c r="L30" i="4" a="1"/>
  <c r="L30" i="4" s="1"/>
  <c r="L29" i="4" a="1"/>
  <c r="L29" i="4" s="1"/>
  <c r="L12" i="4" a="1"/>
  <c r="L12" i="4" s="1"/>
  <c r="L42" i="4" a="1"/>
  <c r="L42" i="4" s="1"/>
  <c r="L41" i="4" a="1"/>
  <c r="L41" i="4" s="1"/>
  <c r="L24" i="4" a="1"/>
  <c r="L24" i="4" s="1"/>
  <c r="L11" i="4" a="1"/>
  <c r="L11" i="4" s="1"/>
  <c r="L6" i="4" a="1"/>
  <c r="L6" i="4" s="1"/>
  <c r="K45" i="4" a="1"/>
  <c r="K45" i="4" s="1"/>
  <c r="K12" i="4" a="1"/>
  <c r="K12" i="4" s="1"/>
  <c r="K27" i="4" a="1"/>
  <c r="K27" i="4" s="1"/>
  <c r="K35" i="4" a="1"/>
  <c r="K35" i="4" s="1"/>
  <c r="K38" i="4" s="1" a="1"/>
  <c r="K38" i="4" s="1"/>
  <c r="K18" i="4" a="1"/>
  <c r="K18" i="4" s="1"/>
  <c r="K20" i="4" s="1" a="1"/>
  <c r="K20" i="4" s="1"/>
  <c r="K22" i="4" a="1"/>
  <c r="K22" i="4" s="1"/>
  <c r="K26" i="4" s="1" a="1"/>
  <c r="K26" i="4" s="1"/>
  <c r="K31" i="4" a="1"/>
  <c r="K31" i="4" s="1"/>
  <c r="K37" i="4" a="1"/>
  <c r="K37" i="4" s="1"/>
  <c r="K8" i="4" l="1" a="1"/>
  <c r="K8" i="4" s="1"/>
  <c r="K44" i="4" a="1"/>
  <c r="K44" i="4" s="1"/>
  <c r="L7" i="4" a="1"/>
  <c r="L7" i="4" s="1"/>
  <c r="K14" i="4" a="1"/>
  <c r="K14" i="4" s="1"/>
  <c r="K32" i="4" a="1"/>
  <c r="K32" i="4" s="1"/>
  <c r="L45" i="4" a="1"/>
  <c r="L45" i="4" s="1"/>
  <c r="M2" i="4" a="1"/>
  <c r="M2" i="4" s="1"/>
  <c r="M7" i="4" s="1" a="1"/>
  <c r="M7" i="4" s="1"/>
  <c r="N7" i="4" s="1" a="1"/>
  <c r="N7" i="4" s="1"/>
  <c r="M9" i="4" a="1"/>
  <c r="M9" i="4" s="1"/>
  <c r="M46" i="4" a="1"/>
  <c r="M46" i="4" s="1"/>
  <c r="M18" i="4" a="1"/>
  <c r="M18" i="4" s="1"/>
  <c r="M17" i="4" a="1"/>
  <c r="M17" i="4" s="1"/>
  <c r="M19" i="4" a="1"/>
  <c r="M19" i="4" s="1"/>
  <c r="M22" i="4" a="1"/>
  <c r="M22" i="4" s="1"/>
  <c r="M4" i="4" a="1"/>
  <c r="M4" i="4" s="1"/>
  <c r="M48" i="4" a="1"/>
  <c r="M48" i="4" s="1"/>
  <c r="M5" i="4" a="1"/>
  <c r="M5" i="4" s="1"/>
  <c r="M42" i="4" a="1"/>
  <c r="M42" i="4" s="1"/>
  <c r="N42" i="4" s="1" a="1"/>
  <c r="N42" i="4" s="1"/>
  <c r="M47" i="4" a="1"/>
  <c r="M47" i="4" s="1"/>
  <c r="N47" i="4" s="1" a="1"/>
  <c r="N47" i="4" s="1"/>
  <c r="M12" i="4" a="1"/>
  <c r="M12" i="4" s="1"/>
  <c r="N12" i="4" s="1" a="1"/>
  <c r="N12" i="4" s="1"/>
  <c r="M23" i="4" a="1"/>
  <c r="M23" i="4" s="1"/>
  <c r="K50" i="4" a="1"/>
  <c r="K50" i="4" s="1"/>
  <c r="L46" i="4" a="1"/>
  <c r="L46" i="4" s="1"/>
  <c r="L49" i="4" a="1"/>
  <c r="L49" i="4" s="1"/>
  <c r="L25" i="4" a="1"/>
  <c r="L25" i="4" s="1"/>
  <c r="L31" i="4" a="1"/>
  <c r="L31" i="4" s="1"/>
  <c r="L21" i="4" a="1"/>
  <c r="L21" i="4" s="1"/>
  <c r="L10" i="4" a="1"/>
  <c r="L10" i="4" s="1"/>
  <c r="L5" i="4" a="1"/>
  <c r="L5" i="4" s="1"/>
  <c r="L19" i="4" a="1"/>
  <c r="L19" i="4" s="1"/>
  <c r="L15" i="4" a="1"/>
  <c r="L15" i="4" s="1"/>
  <c r="L17" i="4" a="1"/>
  <c r="L17" i="4" s="1"/>
  <c r="L18" i="4" a="1"/>
  <c r="L18" i="4" s="1"/>
  <c r="L22" i="4" a="1"/>
  <c r="L22" i="4" s="1"/>
  <c r="L37" i="4" a="1"/>
  <c r="L37" i="4" s="1"/>
  <c r="L16" i="4" a="1"/>
  <c r="L16" i="4" s="1"/>
  <c r="L47" i="4" a="1"/>
  <c r="L47" i="4" s="1"/>
  <c r="L43" i="4" a="1"/>
  <c r="L43" i="4" s="1"/>
  <c r="L33" i="4" a="1"/>
  <c r="L33" i="4" s="1"/>
  <c r="L23" i="4" a="1"/>
  <c r="L23" i="4" s="1"/>
  <c r="L3" i="4" a="1"/>
  <c r="L3" i="4" s="1"/>
  <c r="L40" i="4" a="1"/>
  <c r="L40" i="4" s="1"/>
  <c r="L36" i="4" a="1"/>
  <c r="L36" i="4" s="1"/>
  <c r="L4" i="4" a="1"/>
  <c r="L4" i="4" s="1"/>
  <c r="L13" i="4" a="1"/>
  <c r="L13" i="4" s="1"/>
  <c r="L28" i="4" a="1"/>
  <c r="L28" i="4" s="1"/>
  <c r="L27" i="4" a="1"/>
  <c r="L27" i="4" s="1"/>
  <c r="L32" i="4" s="1" a="1"/>
  <c r="L32" i="4" s="1"/>
  <c r="L39" i="4" a="1"/>
  <c r="L39" i="4" s="1"/>
  <c r="L35" i="4" a="1"/>
  <c r="L35" i="4" s="1"/>
  <c r="L9" i="4" a="1"/>
  <c r="L9" i="4" s="1"/>
  <c r="L48" i="4" a="1"/>
  <c r="L48" i="4" s="1"/>
  <c r="L44" i="4" l="1" a="1"/>
  <c r="L44" i="4" s="1"/>
  <c r="N17" i="4" a="1"/>
  <c r="N17" i="4" s="1"/>
  <c r="N18" i="4" a="1"/>
  <c r="N18" i="4" s="1"/>
  <c r="M24" i="4" a="1"/>
  <c r="M24" i="4" s="1"/>
  <c r="N24" i="4" s="1" a="1"/>
  <c r="N24" i="4" s="1"/>
  <c r="N23" i="4" a="1"/>
  <c r="N23" i="4" s="1"/>
  <c r="M28" i="4" a="1"/>
  <c r="M28" i="4" s="1"/>
  <c r="N28" i="4" s="1" a="1"/>
  <c r="N28" i="4" s="1"/>
  <c r="M33" i="4" a="1"/>
  <c r="M33" i="4" s="1"/>
  <c r="N33" i="4" s="1" a="1"/>
  <c r="N33" i="4" s="1"/>
  <c r="M16" i="4" a="1"/>
  <c r="M16" i="4" s="1"/>
  <c r="N16" i="4" s="1" a="1"/>
  <c r="N16" i="4" s="1"/>
  <c r="L20" i="4" a="1"/>
  <c r="L20" i="4" s="1"/>
  <c r="N4" i="4" a="1"/>
  <c r="N4" i="4" s="1"/>
  <c r="N22" i="4" a="1"/>
  <c r="N22" i="4" s="1"/>
  <c r="N19" i="4" a="1"/>
  <c r="N19" i="4" s="1"/>
  <c r="N46" i="4" a="1"/>
  <c r="N46" i="4" s="1"/>
  <c r="N9" i="4" a="1"/>
  <c r="N9" i="4" s="1"/>
  <c r="N5" i="4" a="1"/>
  <c r="N5" i="4" s="1"/>
  <c r="M11" i="4" a="1"/>
  <c r="M11" i="4" s="1"/>
  <c r="N11" i="4" s="1" a="1"/>
  <c r="N11" i="4" s="1"/>
  <c r="M6" i="4" a="1"/>
  <c r="M6" i="4" s="1"/>
  <c r="N6" i="4" s="1" a="1"/>
  <c r="N6" i="4" s="1"/>
  <c r="M3" i="4" a="1"/>
  <c r="M3" i="4" s="1"/>
  <c r="M29" i="4" a="1"/>
  <c r="M29" i="4" s="1"/>
  <c r="N29" i="4" s="1" a="1"/>
  <c r="N29" i="4" s="1"/>
  <c r="L38" i="4" a="1"/>
  <c r="L38" i="4" s="1"/>
  <c r="M37" i="4" a="1"/>
  <c r="M37" i="4" s="1"/>
  <c r="N37" i="4" s="1" a="1"/>
  <c r="N37" i="4" s="1"/>
  <c r="M21" i="4" a="1"/>
  <c r="M21" i="4" s="1"/>
  <c r="M10" i="4" a="1"/>
  <c r="M10" i="4" s="1"/>
  <c r="N10" i="4" s="1" a="1"/>
  <c r="N10" i="4" s="1"/>
  <c r="M43" i="4" a="1"/>
  <c r="M43" i="4" s="1"/>
  <c r="N43" i="4" s="1" a="1"/>
  <c r="N43" i="4" s="1"/>
  <c r="M40" i="4" a="1"/>
  <c r="M40" i="4" s="1"/>
  <c r="N40" i="4" s="1" a="1"/>
  <c r="N40" i="4" s="1"/>
  <c r="M30" i="4" a="1"/>
  <c r="M30" i="4" s="1"/>
  <c r="N30" i="4" s="1" a="1"/>
  <c r="N30" i="4" s="1"/>
  <c r="L26" i="4" a="1"/>
  <c r="L26" i="4" s="1"/>
  <c r="M25" i="4" a="1"/>
  <c r="M25" i="4" s="1"/>
  <c r="N25" i="4" s="1" a="1"/>
  <c r="N25" i="4" s="1"/>
  <c r="M13" i="4" a="1"/>
  <c r="M13" i="4" s="1"/>
  <c r="N13" i="4" s="1" a="1"/>
  <c r="N13" i="4" s="1"/>
  <c r="M45" i="4" a="1"/>
  <c r="M45" i="4" s="1"/>
  <c r="L8" i="4" a="1"/>
  <c r="L8" i="4" s="1"/>
  <c r="M34" i="4" a="1"/>
  <c r="M34" i="4" s="1"/>
  <c r="N34" i="4" s="1" a="1"/>
  <c r="N34" i="4" s="1"/>
  <c r="M36" i="4" a="1"/>
  <c r="M36" i="4" s="1"/>
  <c r="N36" i="4" s="1" a="1"/>
  <c r="N36" i="4" s="1"/>
  <c r="M35" i="4" a="1"/>
  <c r="M35" i="4" s="1"/>
  <c r="N35" i="4" s="1" a="1"/>
  <c r="N35" i="4" s="1"/>
  <c r="M39" i="4" a="1"/>
  <c r="M39" i="4" s="1"/>
  <c r="M41" i="4" a="1"/>
  <c r="M41" i="4" s="1"/>
  <c r="N41" i="4" s="1" a="1"/>
  <c r="N41" i="4" s="1"/>
  <c r="M31" i="4" a="1"/>
  <c r="M31" i="4" s="1"/>
  <c r="N31" i="4" s="1" a="1"/>
  <c r="N31" i="4" s="1"/>
  <c r="N48" i="4" a="1"/>
  <c r="N48" i="4" s="1"/>
  <c r="L50" i="4" a="1"/>
  <c r="L50" i="4" s="1"/>
  <c r="M27" i="4" a="1"/>
  <c r="M27" i="4" s="1"/>
  <c r="M49" i="4" a="1"/>
  <c r="M49" i="4" s="1"/>
  <c r="N49" i="4" s="1" a="1"/>
  <c r="N49" i="4" s="1"/>
  <c r="L14" i="4" a="1"/>
  <c r="L14" i="4" s="1"/>
  <c r="M15" i="4" a="1"/>
  <c r="M15" i="4" s="1"/>
  <c r="M32" i="4" l="1" a="1"/>
  <c r="M32" i="4" s="1"/>
  <c r="N27" i="4" a="1"/>
  <c r="N27" i="4" s="1"/>
  <c r="N32" i="4" s="1" a="1"/>
  <c r="N32" i="4" s="1"/>
  <c r="M26" i="4" a="1"/>
  <c r="M26" i="4" s="1"/>
  <c r="N21" i="4" a="1"/>
  <c r="N21" i="4" s="1"/>
  <c r="N26" i="4" s="1" a="1"/>
  <c r="N26" i="4" s="1"/>
  <c r="M8" i="4" a="1"/>
  <c r="M8" i="4" s="1"/>
  <c r="N3" i="4" a="1"/>
  <c r="N3" i="4" s="1"/>
  <c r="M44" i="4" a="1"/>
  <c r="M44" i="4" s="1"/>
  <c r="N39" i="4" a="1"/>
  <c r="N39" i="4" s="1"/>
  <c r="N44" i="4" s="1" a="1"/>
  <c r="N44" i="4" s="1"/>
  <c r="N14" i="4" a="1"/>
  <c r="N14" i="4" s="1"/>
  <c r="M14" i="4" a="1"/>
  <c r="M14" i="4" s="1"/>
  <c r="N38" i="4" a="1"/>
  <c r="N38" i="4" s="1"/>
  <c r="M50" i="4" a="1"/>
  <c r="M50" i="4" s="1"/>
  <c r="N45" i="4" a="1"/>
  <c r="N45" i="4" s="1"/>
  <c r="N50" i="4" s="1" a="1"/>
  <c r="N50" i="4" s="1"/>
  <c r="M38" i="4" a="1"/>
  <c r="M38" i="4" s="1"/>
  <c r="M20" i="4" a="1"/>
  <c r="M20" i="4" s="1"/>
  <c r="N15" i="4" a="1"/>
  <c r="N15" i="4" s="1"/>
  <c r="N20" i="4" s="1" a="1"/>
  <c r="N20" i="4" s="1"/>
  <c r="N8" i="4" l="1" a="1"/>
  <c r="N8" i="4" s="1"/>
  <c r="B12" i="3" a="1"/>
  <c r="B12" i="3" s="1"/>
  <c r="B14" i="3" l="1" a="1"/>
  <c r="B14" i="3" s="1"/>
  <c r="B13" i="3" a="1"/>
  <c r="B13" i="3" s="1"/>
  <c r="B16" i="3" s="1" a="1"/>
  <c r="B1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<sst xmlns="http://schemas.openxmlformats.org/spreadsheetml/2006/main" count="2150" uniqueCount="470">
  <si>
    <t>Дата</t>
  </si>
  <si>
    <t>Статья</t>
  </si>
  <si>
    <t>Категория</t>
  </si>
  <si>
    <t>Сумма</t>
  </si>
  <si>
    <t>Направление</t>
  </si>
  <si>
    <t>Проект</t>
  </si>
  <si>
    <t>Примечание</t>
  </si>
  <si>
    <t>Кол-во</t>
  </si>
  <si>
    <t>Цена</t>
  </si>
  <si>
    <t>Срок</t>
  </si>
  <si>
    <t>Флаг</t>
  </si>
  <si>
    <t>Доля</t>
  </si>
  <si>
    <t>Вес</t>
  </si>
  <si>
    <t>Код</t>
  </si>
  <si>
    <t>Остаток</t>
  </si>
  <si>
    <t>Сырьё 4</t>
  </si>
  <si>
    <t>Кат-06</t>
  </si>
  <si>
    <t>расход</t>
  </si>
  <si>
    <t>П11</t>
  </si>
  <si>
    <t>'с кавычкой</t>
  </si>
  <si>
    <t>K67369</t>
  </si>
  <si>
    <t>Доход 2</t>
  </si>
  <si>
    <t>Кат-12</t>
  </si>
  <si>
    <t>П05</t>
  </si>
  <si>
    <t>25%</t>
  </si>
  <si>
    <t>K239333</t>
  </si>
  <si>
    <t>Налог 1</t>
  </si>
  <si>
    <t>Кат-15</t>
  </si>
  <si>
    <t>П02</t>
  </si>
  <si>
    <t>K677214</t>
  </si>
  <si>
    <t>Доход 4</t>
  </si>
  <si>
    <t>Кат-03</t>
  </si>
  <si>
    <t>приход</t>
  </si>
  <si>
    <t>П14</t>
  </si>
  <si>
    <t>K977882</t>
  </si>
  <si>
    <t>Налог 3</t>
  </si>
  <si>
    <t>Кат-11</t>
  </si>
  <si>
    <t>K549060</t>
  </si>
  <si>
    <t>Доход 3</t>
  </si>
  <si>
    <t>Кат-14</t>
  </si>
  <si>
    <t>П08</t>
  </si>
  <si>
    <t>он сказал "да"</t>
  </si>
  <si>
    <t>K28350</t>
  </si>
  <si>
    <t>Чай 2</t>
  </si>
  <si>
    <t>Кат-18</t>
  </si>
  <si>
    <t>П12</t>
  </si>
  <si>
    <t>K861756</t>
  </si>
  <si>
    <t>Сырьё 1</t>
  </si>
  <si>
    <t>П15</t>
  </si>
  <si>
    <t>TRUE</t>
  </si>
  <si>
    <t>K307948</t>
  </si>
  <si>
    <t>Сырье 1</t>
  </si>
  <si>
    <t>=1+1</t>
  </si>
  <si>
    <t>K358758</t>
  </si>
  <si>
    <t>Ёлка 3</t>
  </si>
  <si>
    <t>Кат-13</t>
  </si>
  <si>
    <t>K110150</t>
  </si>
  <si>
    <t>Чаи 4</t>
  </si>
  <si>
    <t xml:space="preserve">  пробелы  </t>
  </si>
  <si>
    <t>K134502</t>
  </si>
  <si>
    <t>П03</t>
  </si>
  <si>
    <t>путь\к\файлу</t>
  </si>
  <si>
    <t>K644748</t>
  </si>
  <si>
    <t>Чаи 1</t>
  </si>
  <si>
    <t>Кат-17</t>
  </si>
  <si>
    <t>П09</t>
  </si>
  <si>
    <t>2025-01-01</t>
  </si>
  <si>
    <t>K861061</t>
  </si>
  <si>
    <t>K468277</t>
  </si>
  <si>
    <t>Связь 3</t>
  </si>
  <si>
    <t>Кат-01</t>
  </si>
  <si>
    <t>K479752</t>
  </si>
  <si>
    <t>Доход 1</t>
  </si>
  <si>
    <t>K241962</t>
  </si>
  <si>
    <t>Кат-09</t>
  </si>
  <si>
    <t>K34119</t>
  </si>
  <si>
    <t>Налог 2</t>
  </si>
  <si>
    <t>П10</t>
  </si>
  <si>
    <t>обычный текст</t>
  </si>
  <si>
    <t>K607536</t>
  </si>
  <si>
    <t>Аренда 2</t>
  </si>
  <si>
    <t>Кат-19</t>
  </si>
  <si>
    <t>П07</t>
  </si>
  <si>
    <t>K187445</t>
  </si>
  <si>
    <t>Чай 3</t>
  </si>
  <si>
    <t>Кат-10</t>
  </si>
  <si>
    <t>K306175</t>
  </si>
  <si>
    <t>Кат-16</t>
  </si>
  <si>
    <t>П04</t>
  </si>
  <si>
    <t>K403984</t>
  </si>
  <si>
    <t>Кат-07</t>
  </si>
  <si>
    <t>K346466</t>
  </si>
  <si>
    <t>Аренда 3</t>
  </si>
  <si>
    <t>Кат-04</t>
  </si>
  <si>
    <t>K876377</t>
  </si>
  <si>
    <t>П13</t>
  </si>
  <si>
    <t>K505009</t>
  </si>
  <si>
    <t>Ёлка 1</t>
  </si>
  <si>
    <t>Кат-20</t>
  </si>
  <si>
    <t>K326106</t>
  </si>
  <si>
    <t>Елка 2</t>
  </si>
  <si>
    <t>K642996</t>
  </si>
  <si>
    <t>Связь 4</t>
  </si>
  <si>
    <t>K249472</t>
  </si>
  <si>
    <t>Елка 3</t>
  </si>
  <si>
    <t>П01</t>
  </si>
  <si>
    <t>K922157</t>
  </si>
  <si>
    <t>K359871</t>
  </si>
  <si>
    <t>Связь 1</t>
  </si>
  <si>
    <t>K554589</t>
  </si>
  <si>
    <t>Связь 2</t>
  </si>
  <si>
    <t>K444788</t>
  </si>
  <si>
    <t>K340369</t>
  </si>
  <si>
    <t>K593825</t>
  </si>
  <si>
    <t>K938352</t>
  </si>
  <si>
    <t>K811663</t>
  </si>
  <si>
    <t>K35817</t>
  </si>
  <si>
    <t>Сырьё 2</t>
  </si>
  <si>
    <t>K275953</t>
  </si>
  <si>
    <t>K347378</t>
  </si>
  <si>
    <t>K78757</t>
  </si>
  <si>
    <t>K584645</t>
  </si>
  <si>
    <t>K744947</t>
  </si>
  <si>
    <t>Ёлка 2</t>
  </si>
  <si>
    <t>П06</t>
  </si>
  <si>
    <t>K342103</t>
  </si>
  <si>
    <t>Чай 1</t>
  </si>
  <si>
    <t>Кат-08</t>
  </si>
  <si>
    <t>K903894</t>
  </si>
  <si>
    <t>K651840</t>
  </si>
  <si>
    <t>Кат-05</t>
  </si>
  <si>
    <t>K926381</t>
  </si>
  <si>
    <t>K238579</t>
  </si>
  <si>
    <t>K530841</t>
  </si>
  <si>
    <t>K8253</t>
  </si>
  <si>
    <t>K841819</t>
  </si>
  <si>
    <t>Аренда 1</t>
  </si>
  <si>
    <t>K478436</t>
  </si>
  <si>
    <t>Ёлка 4</t>
  </si>
  <si>
    <t>K466079</t>
  </si>
  <si>
    <t>K999854</t>
  </si>
  <si>
    <t>K773951</t>
  </si>
  <si>
    <t>K952223</t>
  </si>
  <si>
    <t>K812033</t>
  </si>
  <si>
    <t>Аренда 4</t>
  </si>
  <si>
    <t>K994399</t>
  </si>
  <si>
    <t>K534434</t>
  </si>
  <si>
    <t>Налог 4</t>
  </si>
  <si>
    <t>K255986</t>
  </si>
  <si>
    <t>Сырьё 3</t>
  </si>
  <si>
    <t>K817946</t>
  </si>
  <si>
    <t>Чай 4</t>
  </si>
  <si>
    <t>K444302</t>
  </si>
  <si>
    <t>Чаи 3</t>
  </si>
  <si>
    <t>K294860</t>
  </si>
  <si>
    <t>K687253</t>
  </si>
  <si>
    <t>K283354</t>
  </si>
  <si>
    <t>K12661</t>
  </si>
  <si>
    <t>K786041</t>
  </si>
  <si>
    <t>K415248</t>
  </si>
  <si>
    <t>K111455</t>
  </si>
  <si>
    <t>K931674</t>
  </si>
  <si>
    <t>K464229</t>
  </si>
  <si>
    <t>K869398</t>
  </si>
  <si>
    <t>K164715</t>
  </si>
  <si>
    <t>K576719</t>
  </si>
  <si>
    <t>K326614</t>
  </si>
  <si>
    <t>K736613</t>
  </si>
  <si>
    <t>K979065</t>
  </si>
  <si>
    <t>K731810</t>
  </si>
  <si>
    <t>K324732</t>
  </si>
  <si>
    <t>K824244</t>
  </si>
  <si>
    <t>K902290</t>
  </si>
  <si>
    <t>K426345</t>
  </si>
  <si>
    <t>K336437</t>
  </si>
  <si>
    <t>Елка 4</t>
  </si>
  <si>
    <t>K236470</t>
  </si>
  <si>
    <t>K937524</t>
  </si>
  <si>
    <t>K187478</t>
  </si>
  <si>
    <t>K545279</t>
  </si>
  <si>
    <t>K614254</t>
  </si>
  <si>
    <t>K74252</t>
  </si>
  <si>
    <t>K755660</t>
  </si>
  <si>
    <t>K348112</t>
  </si>
  <si>
    <t>K682772</t>
  </si>
  <si>
    <t>K985801</t>
  </si>
  <si>
    <t>K213671</t>
  </si>
  <si>
    <t>K40831</t>
  </si>
  <si>
    <t>K966141</t>
  </si>
  <si>
    <t>Кат-02</t>
  </si>
  <si>
    <t>K548456</t>
  </si>
  <si>
    <t>K159624</t>
  </si>
  <si>
    <t>K880338</t>
  </si>
  <si>
    <t>K952151</t>
  </si>
  <si>
    <t>Сырье 4</t>
  </si>
  <si>
    <t>K580449</t>
  </si>
  <si>
    <t>K708937</t>
  </si>
  <si>
    <t>K606580</t>
  </si>
  <si>
    <t>K99370</t>
  </si>
  <si>
    <t>K603595</t>
  </si>
  <si>
    <t>K105203</t>
  </si>
  <si>
    <t>K983490</t>
  </si>
  <si>
    <t>K145598</t>
  </si>
  <si>
    <t>Сырье 3</t>
  </si>
  <si>
    <t>K493829</t>
  </si>
  <si>
    <t>Елка 1</t>
  </si>
  <si>
    <t>K655802</t>
  </si>
  <si>
    <t>K945887</t>
  </si>
  <si>
    <t>K670011</t>
  </si>
  <si>
    <t>K722529</t>
  </si>
  <si>
    <t>K8317</t>
  </si>
  <si>
    <t>K706967</t>
  </si>
  <si>
    <t>K525045</t>
  </si>
  <si>
    <t>K875962</t>
  </si>
  <si>
    <t>K276561</t>
  </si>
  <si>
    <t>K507924</t>
  </si>
  <si>
    <t>K28046</t>
  </si>
  <si>
    <t>K406190</t>
  </si>
  <si>
    <t>K122198</t>
  </si>
  <si>
    <t>K201401</t>
  </si>
  <si>
    <t>K390614</t>
  </si>
  <si>
    <t>Сырье 2</t>
  </si>
  <si>
    <t>K369190</t>
  </si>
  <si>
    <t>K88094</t>
  </si>
  <si>
    <t>K553041</t>
  </si>
  <si>
    <t>K619998</t>
  </si>
  <si>
    <t>K46414</t>
  </si>
  <si>
    <t>K371937</t>
  </si>
  <si>
    <t>K837171</t>
  </si>
  <si>
    <t>K799946</t>
  </si>
  <si>
    <t>K759256</t>
  </si>
  <si>
    <t>K41864</t>
  </si>
  <si>
    <t>K189492</t>
  </si>
  <si>
    <t>K900034</t>
  </si>
  <si>
    <t>K679592</t>
  </si>
  <si>
    <t>K531654</t>
  </si>
  <si>
    <t>K451677</t>
  </si>
  <si>
    <t>K147431</t>
  </si>
  <si>
    <t>K319178</t>
  </si>
  <si>
    <t>K887299</t>
  </si>
  <si>
    <t>K865744</t>
  </si>
  <si>
    <t>K222611</t>
  </si>
  <si>
    <t>K510732</t>
  </si>
  <si>
    <t>K238389</t>
  </si>
  <si>
    <t>K828880</t>
  </si>
  <si>
    <t>K552774</t>
  </si>
  <si>
    <t>K16813</t>
  </si>
  <si>
    <t>K261972</t>
  </si>
  <si>
    <t>K344486</t>
  </si>
  <si>
    <t>K180860</t>
  </si>
  <si>
    <t>K894911</t>
  </si>
  <si>
    <t>K19794</t>
  </si>
  <si>
    <t>K569538</t>
  </si>
  <si>
    <t>K750130</t>
  </si>
  <si>
    <t>K667884</t>
  </si>
  <si>
    <t>K345429</t>
  </si>
  <si>
    <t>K51593</t>
  </si>
  <si>
    <t>K730882</t>
  </si>
  <si>
    <t>K17302</t>
  </si>
  <si>
    <t>K139615</t>
  </si>
  <si>
    <t>K625162</t>
  </si>
  <si>
    <t>K426514</t>
  </si>
  <si>
    <t>K736811</t>
  </si>
  <si>
    <t>K743069</t>
  </si>
  <si>
    <t>K736510</t>
  </si>
  <si>
    <t>K814343</t>
  </si>
  <si>
    <t>K418877</t>
  </si>
  <si>
    <t>K319602</t>
  </si>
  <si>
    <t>K828832</t>
  </si>
  <si>
    <t>K958120</t>
  </si>
  <si>
    <t>K804461</t>
  </si>
  <si>
    <t>K651557</t>
  </si>
  <si>
    <t>K59883</t>
  </si>
  <si>
    <t>K663001</t>
  </si>
  <si>
    <t>K156060</t>
  </si>
  <si>
    <t>K312302</t>
  </si>
  <si>
    <t>K875191</t>
  </si>
  <si>
    <t>K3570</t>
  </si>
  <si>
    <t>K213547</t>
  </si>
  <si>
    <t>K210058</t>
  </si>
  <si>
    <t>K508278</t>
  </si>
  <si>
    <t>K425569</t>
  </si>
  <si>
    <t>K315640</t>
  </si>
  <si>
    <t>K135106</t>
  </si>
  <si>
    <t>K826576</t>
  </si>
  <si>
    <t>K522080</t>
  </si>
  <si>
    <t>K872944</t>
  </si>
  <si>
    <t>K623034</t>
  </si>
  <si>
    <t>K176406</t>
  </si>
  <si>
    <t>Чаи 2</t>
  </si>
  <si>
    <t>K665506</t>
  </si>
  <si>
    <t>K931664</t>
  </si>
  <si>
    <t>K663158</t>
  </si>
  <si>
    <t>K722460</t>
  </si>
  <si>
    <t>K237878</t>
  </si>
  <si>
    <t>K3219</t>
  </si>
  <si>
    <t>K958749</t>
  </si>
  <si>
    <t>K82751</t>
  </si>
  <si>
    <t>K499455</t>
  </si>
  <si>
    <t>K119371</t>
  </si>
  <si>
    <t>K81186</t>
  </si>
  <si>
    <t>K320567</t>
  </si>
  <si>
    <t>K216661</t>
  </si>
  <si>
    <t>K928818</t>
  </si>
  <si>
    <t>K256543</t>
  </si>
  <si>
    <t>K839296</t>
  </si>
  <si>
    <t>K852856</t>
  </si>
  <si>
    <t>K988929</t>
  </si>
  <si>
    <t>K559938</t>
  </si>
  <si>
    <t>K205399</t>
  </si>
  <si>
    <t>K691064</t>
  </si>
  <si>
    <t>K769859</t>
  </si>
  <si>
    <t>K502164</t>
  </si>
  <si>
    <t>K109852</t>
  </si>
  <si>
    <t>K688753</t>
  </si>
  <si>
    <t>K176979</t>
  </si>
  <si>
    <t>K655708</t>
  </si>
  <si>
    <t>K301254</t>
  </si>
  <si>
    <t>K167531</t>
  </si>
  <si>
    <t>K219586</t>
  </si>
  <si>
    <t>K701955</t>
  </si>
  <si>
    <t>K63745</t>
  </si>
  <si>
    <t>K259868</t>
  </si>
  <si>
    <t>K142092</t>
  </si>
  <si>
    <t>K336606</t>
  </si>
  <si>
    <t>K411206</t>
  </si>
  <si>
    <t>K526070</t>
  </si>
  <si>
    <t>K6182</t>
  </si>
  <si>
    <t>K102896</t>
  </si>
  <si>
    <t>K980247</t>
  </si>
  <si>
    <t>K800952</t>
  </si>
  <si>
    <t>K879309</t>
  </si>
  <si>
    <t>K124711</t>
  </si>
  <si>
    <t>K859855</t>
  </si>
  <si>
    <t>K525682</t>
  </si>
  <si>
    <t>K614</t>
  </si>
  <si>
    <t>K725144</t>
  </si>
  <si>
    <t>K909125</t>
  </si>
  <si>
    <t>K744412</t>
  </si>
  <si>
    <t>K74548</t>
  </si>
  <si>
    <t>K75149</t>
  </si>
  <si>
    <t>K163594</t>
  </si>
  <si>
    <t>K799393</t>
  </si>
  <si>
    <t>K567598</t>
  </si>
  <si>
    <t>K841381</t>
  </si>
  <si>
    <t>K993449</t>
  </si>
  <si>
    <t>K765905</t>
  </si>
  <si>
    <t>K303610</t>
  </si>
  <si>
    <t>K696056</t>
  </si>
  <si>
    <t>K135450</t>
  </si>
  <si>
    <t>K282374</t>
  </si>
  <si>
    <t>K746184</t>
  </si>
  <si>
    <t>K162336</t>
  </si>
  <si>
    <t>K799556</t>
  </si>
  <si>
    <t>K304545</t>
  </si>
  <si>
    <t>K614427</t>
  </si>
  <si>
    <t>K456686</t>
  </si>
  <si>
    <t>K920722</t>
  </si>
  <si>
    <t>K512082</t>
  </si>
  <si>
    <t>K737478</t>
  </si>
  <si>
    <t>K872781</t>
  </si>
  <si>
    <t>K594214</t>
  </si>
  <si>
    <t>K799080</t>
  </si>
  <si>
    <t>K93645</t>
  </si>
  <si>
    <t>K944115</t>
  </si>
  <si>
    <t>K576606</t>
  </si>
  <si>
    <t>K110323</t>
  </si>
  <si>
    <t>K114676</t>
  </si>
  <si>
    <t>K159379</t>
  </si>
  <si>
    <t>K337167</t>
  </si>
  <si>
    <t>K169260</t>
  </si>
  <si>
    <t>K598032</t>
  </si>
  <si>
    <t>K425521</t>
  </si>
  <si>
    <t>K366342</t>
  </si>
  <si>
    <t>K799728</t>
  </si>
  <si>
    <t>K880176</t>
  </si>
  <si>
    <t>K863434</t>
  </si>
  <si>
    <t>K644503</t>
  </si>
  <si>
    <t>K31572</t>
  </si>
  <si>
    <t>K787165</t>
  </si>
  <si>
    <t>K300278</t>
  </si>
  <si>
    <t>K759085</t>
  </si>
  <si>
    <t>K107031</t>
  </si>
  <si>
    <t>K597091</t>
  </si>
  <si>
    <t>K19969</t>
  </si>
  <si>
    <t>K414368</t>
  </si>
  <si>
    <t>K686407</t>
  </si>
  <si>
    <t>K946749</t>
  </si>
  <si>
    <t>K370677</t>
  </si>
  <si>
    <t>K860627</t>
  </si>
  <si>
    <t>K938150</t>
  </si>
  <si>
    <t>K974171</t>
  </si>
  <si>
    <t>K657534</t>
  </si>
  <si>
    <t>K585897</t>
  </si>
  <si>
    <t>K989445</t>
  </si>
  <si>
    <t>K98003</t>
  </si>
  <si>
    <t>K911910</t>
  </si>
  <si>
    <t>K633001</t>
  </si>
  <si>
    <t>K97533</t>
  </si>
  <si>
    <t>K314382</t>
  </si>
  <si>
    <t>K495631</t>
  </si>
  <si>
    <t>K483097</t>
  </si>
  <si>
    <t>K386726</t>
  </si>
  <si>
    <t>K292548</t>
  </si>
  <si>
    <t>K690717</t>
  </si>
  <si>
    <t>K884705</t>
  </si>
  <si>
    <t>K820871</t>
  </si>
  <si>
    <t>K769412</t>
  </si>
  <si>
    <t>K452247</t>
  </si>
  <si>
    <t>K34052</t>
  </si>
  <si>
    <t>K362778</t>
  </si>
  <si>
    <t>K207992</t>
  </si>
  <si>
    <t>K972120</t>
  </si>
  <si>
    <t>K954041</t>
  </si>
  <si>
    <t>K214358</t>
  </si>
  <si>
    <t>K306352</t>
  </si>
  <si>
    <t>K224867</t>
  </si>
  <si>
    <t>K27936</t>
  </si>
  <si>
    <t>K47283</t>
  </si>
  <si>
    <t>K994364</t>
  </si>
  <si>
    <t>K309028</t>
  </si>
  <si>
    <t>K323729</t>
  </si>
  <si>
    <t>K566096</t>
  </si>
  <si>
    <t>K305729</t>
  </si>
  <si>
    <t>K609959</t>
  </si>
  <si>
    <t>K193230</t>
  </si>
  <si>
    <t>K148993</t>
  </si>
  <si>
    <t>K114852</t>
  </si>
  <si>
    <t>K114229</t>
  </si>
  <si>
    <t>K933451</t>
  </si>
  <si>
    <t>K138304</t>
  </si>
  <si>
    <t>K754158</t>
  </si>
  <si>
    <t>K199599</t>
  </si>
  <si>
    <t>K320104</t>
  </si>
  <si>
    <t>K705036</t>
  </si>
  <si>
    <t>K753596</t>
  </si>
  <si>
    <t>K174389</t>
  </si>
  <si>
    <t>K173086</t>
  </si>
  <si>
    <t>K715730</t>
  </si>
  <si>
    <t>K379855</t>
  </si>
  <si>
    <t>K404299</t>
  </si>
  <si>
    <t>Группа</t>
  </si>
  <si>
    <t>Название группы</t>
  </si>
  <si>
    <t>Название</t>
  </si>
  <si>
    <t>Группа «1»</t>
  </si>
  <si>
    <t>Группа «2»</t>
  </si>
  <si>
    <t>Группа «3»</t>
  </si>
  <si>
    <t>Группа «4»</t>
  </si>
  <si>
    <t>Группа «5»</t>
  </si>
  <si>
    <t>Группа «6»</t>
  </si>
  <si>
    <t>Группа «7»</t>
  </si>
  <si>
    <t>Группа «8»</t>
  </si>
  <si>
    <t>Начало</t>
  </si>
  <si>
    <t>Конец</t>
  </si>
  <si>
    <t>Приход</t>
  </si>
  <si>
    <t>Расход</t>
  </si>
  <si>
    <t>Начало DATE</t>
  </si>
  <si>
    <t>Чай*</t>
  </si>
  <si>
    <t>ПоМесяцам</t>
  </si>
  <si>
    <t>Итого группа 1</t>
  </si>
  <si>
    <t>Итого группа 2</t>
  </si>
  <si>
    <t>Итого группа 3</t>
  </si>
  <si>
    <t>Итого группа 4</t>
  </si>
  <si>
    <t>Итого группа 5</t>
  </si>
  <si>
    <t>Итого группа 6</t>
  </si>
  <si>
    <t>Итого группа 7</t>
  </si>
  <si>
    <t>Итого группа 8</t>
  </si>
  <si>
    <t>ПоПроектам</t>
  </si>
  <si>
    <t>ПоКатегориям</t>
  </si>
  <si>
    <t>ПоНаправлениям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</si>
</sst>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45870</v>
      </c>
      <c r="B2" t="s">
        <v>15</v>
      </c>
      <c r="C2" t="s">
        <v>16</v>
      </c>
      <c r="D2">
        <v>390525.48</v>
      </c>
      <c r="E2" t="s">
        <v>17</v>
      </c>
      <c r="F2" t="s">
        <v>18</v>
      </c>
      <c r="G2" t="s">
        <v>19</v>
      </c>
      <c r="H2">
        <v>99</v>
      </c>
      <c r="I2">
        <v>4552.71</v>
      </c>
      <c r="J2">
        <v>45700</v>
      </c>
      <c r="K2" t="b">
        <v>1</v>
      </c>
      <c r="L2">
        <v>0.154</v>
      </c>
      <c r="M2">
        <v>4.8914389545097947</v>
      </c>
      <c r="N2" t="s">
        <v>20</v>
      </c>
      <c r="O2">
        <v>-105380.68</v>
      </c>
    </row>
    <row r="3" spans="1:15" x14ac:dyDescent="0.2">
      <c r="A3">
        <v>45939</v>
      </c>
      <c r="B3" t="s">
        <v>21</v>
      </c>
      <c r="C3" t="s">
        <v>22</v>
      </c>
      <c r="D3">
        <v>-78635.149999999994</v>
      </c>
      <c r="E3" t="s">
        <v>17</v>
      </c>
      <c r="F3" t="s">
        <v>23</v>
      </c>
      <c r="G3" t="s">
        <v>24</v>
      </c>
      <c r="H3">
        <v>65</v>
      </c>
      <c r="I3">
        <v>5460.82</v>
      </c>
      <c r="J3">
        <v>46102</v>
      </c>
      <c r="K3" t="b">
        <v>1</v>
      </c>
      <c r="L3">
        <v>0.77</v>
      </c>
      <c r="M3">
        <v>9.9453400145284832</v>
      </c>
      <c r="N3" t="s">
        <v>25</v>
      </c>
      <c r="O3">
        <v>257001.29</v>
      </c>
    </row>
    <row r="4" spans="1:15" x14ac:dyDescent="0.2">
      <c r="A4">
        <v>45698</v>
      </c>
      <c r="B4" t="s">
        <v>26</v>
      </c>
      <c r="C4" t="s">
        <v>27</v>
      </c>
      <c r="D4">
        <v>24606.32</v>
      </c>
      <c r="E4" t="s">
        <v>17</v>
      </c>
      <c r="F4" t="s">
        <v>28</v>
      </c>
      <c r="G4" t="s">
        <v>24</v>
      </c>
      <c r="H4">
        <v>4</v>
      </c>
      <c r="I4">
        <v>6222.2</v>
      </c>
      <c r="J4">
        <v>46109</v>
      </c>
      <c r="K4" t="b">
        <v>0</v>
      </c>
      <c r="L4">
        <v>0.40200000000000002</v>
      </c>
      <c r="M4">
        <v>3.0237284884788096</v>
      </c>
      <c r="N4" t="s">
        <v>29</v>
      </c>
      <c r="O4">
        <v>452631.44</v>
      </c>
    </row>
    <row r="5" spans="1:15" x14ac:dyDescent="0.2">
      <c r="A5">
        <v>46011</v>
      </c>
      <c r="B5" t="s">
        <v>30</v>
      </c>
      <c r="C5" t="s">
        <v>31</v>
      </c>
      <c r="D5">
        <v>317210.93</v>
      </c>
      <c r="E5" t="s">
        <v>32</v>
      </c>
      <c r="F5" t="s">
        <v>33</v>
      </c>
      <c r="G5" t="s">
        <v>24</v>
      </c>
      <c r="H5">
        <v>88</v>
      </c>
      <c r="I5">
        <v>5100.59</v>
      </c>
      <c r="J5">
        <v>46270</v>
      </c>
      <c r="K5" t="b">
        <v>0</v>
      </c>
      <c r="L5">
        <v>0.94899999999999995</v>
      </c>
      <c r="M5">
        <v>1.3192058261483908</v>
      </c>
      <c r="N5" t="s">
        <v>34</v>
      </c>
      <c r="O5">
        <v>-336987.18</v>
      </c>
    </row>
    <row r="6" spans="1:15" x14ac:dyDescent="0.2">
      <c r="A6">
        <v>45781</v>
      </c>
      <c r="B6" t="s">
        <v>35</v>
      </c>
      <c r="C6" t="s">
        <v>36</v>
      </c>
      <c r="D6">
        <v>62162.46</v>
      </c>
      <c r="E6" t="s">
        <v>17</v>
      </c>
      <c r="F6" t="s">
        <v>28</v>
      </c>
      <c r="H6">
        <v>85</v>
      </c>
      <c r="I6">
        <v>2727.87</v>
      </c>
      <c r="J6">
        <v>45773</v>
      </c>
      <c r="K6" t="b">
        <v>1</v>
      </c>
      <c r="L6">
        <v>0.14399999999999999</v>
      </c>
      <c r="M6">
        <v>6.5457656746730208</v>
      </c>
      <c r="N6" t="s">
        <v>37</v>
      </c>
      <c r="O6">
        <v>-175382.91</v>
      </c>
    </row>
    <row r="7" spans="1:15" x14ac:dyDescent="0.2">
      <c r="A7">
        <v>45692</v>
      </c>
      <c r="B7" t="s">
        <v>38</v>
      </c>
      <c r="C7" t="s">
        <v>39</v>
      </c>
      <c r="D7">
        <v>50413.46</v>
      </c>
      <c r="E7" t="s">
        <v>32</v>
      </c>
      <c r="F7" t="s">
        <v>40</v>
      </c>
      <c r="G7" t="s">
        <v>41</v>
      </c>
      <c r="H7">
        <v>21</v>
      </c>
      <c r="I7">
        <v>7921.98</v>
      </c>
      <c r="J7">
        <v>46018</v>
      </c>
      <c r="K7" t="b">
        <v>0</v>
      </c>
      <c r="L7">
        <v>4.0000000000000001E-3</v>
      </c>
      <c r="M7">
        <v>1.829710581805557</v>
      </c>
      <c r="N7" t="s">
        <v>42</v>
      </c>
      <c r="O7">
        <v>484251.44</v>
      </c>
    </row>
    <row r="8" spans="1:15" x14ac:dyDescent="0.2">
      <c r="A8">
        <v>45768</v>
      </c>
      <c r="B8" t="s">
        <v>43</v>
      </c>
      <c r="C8" t="s">
        <v>44</v>
      </c>
      <c r="D8">
        <v>-53073.73</v>
      </c>
      <c r="E8" t="s">
        <v>17</v>
      </c>
      <c r="F8" t="s">
        <v>45</v>
      </c>
      <c r="G8" t="s">
        <v>24</v>
      </c>
      <c r="H8">
        <v>9</v>
      </c>
      <c r="I8">
        <v>1491.37</v>
      </c>
      <c r="J8">
        <v>45847</v>
      </c>
      <c r="K8" t="b">
        <v>0</v>
      </c>
      <c r="L8">
        <v>0.312</v>
      </c>
      <c r="M8">
        <v>9.091057269833982</v>
      </c>
      <c r="N8" t="s">
        <v>46</v>
      </c>
      <c r="O8">
        <v>132972.16</v>
      </c>
    </row>
    <row r="9" spans="1:15" x14ac:dyDescent="0.2">
      <c r="A9">
        <v>45907</v>
      </c>
      <c r="B9" t="s">
        <v>47</v>
      </c>
      <c r="C9" t="s">
        <v>16</v>
      </c>
      <c r="D9">
        <v>53759.45</v>
      </c>
      <c r="E9" t="s">
        <v>17</v>
      </c>
      <c r="F9" t="s">
        <v>48</v>
      </c>
      <c r="G9" t="s">
        <v>49</v>
      </c>
      <c r="H9">
        <v>32</v>
      </c>
      <c r="I9">
        <v>766.57</v>
      </c>
      <c r="J9">
        <v>45941</v>
      </c>
      <c r="K9" t="b">
        <v>1</v>
      </c>
      <c r="L9">
        <v>0.14799999999999999</v>
      </c>
      <c r="M9">
        <v>8.2118013920262456</v>
      </c>
      <c r="N9" t="s">
        <v>50</v>
      </c>
      <c r="O9">
        <v>392440.7</v>
      </c>
    </row>
    <row r="10" spans="1:15" x14ac:dyDescent="0.2">
      <c r="A10">
        <v>45850</v>
      </c>
      <c r="B10" t="s">
        <v>51</v>
      </c>
      <c r="C10" t="s">
        <v>36</v>
      </c>
      <c r="D10">
        <v>72419.45</v>
      </c>
      <c r="E10" t="s">
        <v>17</v>
      </c>
      <c r="F10" t="s">
        <v>45</v>
      </c>
      <c r="G10" t="s">
        <v>52</v>
      </c>
      <c r="H10">
        <v>20</v>
      </c>
      <c r="I10">
        <v>6317.22</v>
      </c>
      <c r="J10">
        <v>46032</v>
      </c>
      <c r="K10" t="b">
        <v>1</v>
      </c>
      <c r="L10">
        <v>0.872</v>
      </c>
      <c r="M10">
        <v>6.4881416643038392</v>
      </c>
      <c r="N10" t="s">
        <v>53</v>
      </c>
      <c r="O10">
        <v>-145403.93</v>
      </c>
    </row>
    <row r="11" spans="1:15" x14ac:dyDescent="0.2">
      <c r="A11">
        <v>45870</v>
      </c>
      <c r="B11" t="s">
        <v>54</v>
      </c>
      <c r="C11" t="s">
        <v>55</v>
      </c>
      <c r="D11">
        <v>170040.1</v>
      </c>
      <c r="E11" t="s">
        <v>32</v>
      </c>
      <c r="F11" t="s">
        <v>28</v>
      </c>
      <c r="H11">
        <v>14</v>
      </c>
      <c r="I11">
        <v>7105.7</v>
      </c>
      <c r="J11">
        <v>45878</v>
      </c>
      <c r="K11" t="b">
        <v>0</v>
      </c>
      <c r="L11">
        <v>0.92600000000000005</v>
      </c>
      <c r="M11">
        <v>0.72140963049605489</v>
      </c>
      <c r="N11" t="s">
        <v>56</v>
      </c>
      <c r="O11">
        <v>-326665.78999999998</v>
      </c>
    </row>
    <row r="12" spans="1:15" x14ac:dyDescent="0.2">
      <c r="A12">
        <v>45902</v>
      </c>
      <c r="B12" t="s">
        <v>57</v>
      </c>
      <c r="C12" t="s">
        <v>16</v>
      </c>
      <c r="D12">
        <v>89894.04</v>
      </c>
      <c r="E12" t="s">
        <v>32</v>
      </c>
      <c r="F12" t="s">
        <v>48</v>
      </c>
      <c r="G12" t="s">
        <v>58</v>
      </c>
      <c r="H12">
        <v>1</v>
      </c>
      <c r="I12">
        <v>8608.17</v>
      </c>
      <c r="J12">
        <v>45795</v>
      </c>
      <c r="K12" t="b">
        <v>0</v>
      </c>
      <c r="L12">
        <v>0.38500000000000001</v>
      </c>
      <c r="M12">
        <v>7.1257512527517974</v>
      </c>
      <c r="N12" t="s">
        <v>59</v>
      </c>
      <c r="O12">
        <v>-215782.98</v>
      </c>
    </row>
    <row r="13" spans="1:15" x14ac:dyDescent="0.2">
      <c r="A13">
        <v>46009</v>
      </c>
      <c r="B13" t="s">
        <v>26</v>
      </c>
      <c r="C13" t="s">
        <v>55</v>
      </c>
      <c r="D13">
        <v>-78781.56</v>
      </c>
      <c r="E13" t="s">
        <v>32</v>
      </c>
      <c r="F13" t="s">
        <v>60</v>
      </c>
      <c r="G13" t="s">
        <v>61</v>
      </c>
      <c r="H13">
        <v>61</v>
      </c>
      <c r="I13">
        <v>192.13</v>
      </c>
      <c r="J13">
        <v>45669</v>
      </c>
      <c r="K13" t="b">
        <v>0</v>
      </c>
      <c r="L13">
        <v>0.65300000000000002</v>
      </c>
      <c r="M13">
        <v>7.9840452107600868</v>
      </c>
      <c r="N13" t="s">
        <v>62</v>
      </c>
      <c r="O13">
        <v>174135.62</v>
      </c>
    </row>
    <row r="14" spans="1:15" x14ac:dyDescent="0.2">
      <c r="A14">
        <v>45992</v>
      </c>
      <c r="B14" t="s">
        <v>63</v>
      </c>
      <c r="C14" t="s">
        <v>64</v>
      </c>
      <c r="D14">
        <v>359716.92</v>
      </c>
      <c r="E14" t="s">
        <v>17</v>
      </c>
      <c r="F14" t="s">
        <v>65</v>
      </c>
      <c r="G14" t="s">
        <v>66</v>
      </c>
      <c r="H14">
        <v>10</v>
      </c>
      <c r="I14">
        <v>836.13</v>
      </c>
      <c r="J14">
        <v>46143</v>
      </c>
      <c r="K14" t="b">
        <v>0</v>
      </c>
      <c r="L14">
        <v>0.55100000000000005</v>
      </c>
      <c r="M14">
        <v>6.8618169985711575</v>
      </c>
      <c r="N14" t="s">
        <v>67</v>
      </c>
      <c r="O14">
        <v>-3102.43</v>
      </c>
    </row>
    <row r="15" spans="1:15" x14ac:dyDescent="0.2">
      <c r="A15">
        <v>45932</v>
      </c>
      <c r="B15" t="s">
        <v>47</v>
      </c>
      <c r="C15" t="s">
        <v>44</v>
      </c>
      <c r="D15">
        <v>267685.09000000003</v>
      </c>
      <c r="E15" t="s">
        <v>17</v>
      </c>
      <c r="F15" t="s">
        <v>28</v>
      </c>
      <c r="G15" t="s">
        <v>49</v>
      </c>
      <c r="H15">
        <v>70</v>
      </c>
      <c r="I15">
        <v>337.33</v>
      </c>
      <c r="J15">
        <v>46366</v>
      </c>
      <c r="K15" t="b">
        <v>0</v>
      </c>
      <c r="L15">
        <v>0.85</v>
      </c>
      <c r="M15">
        <v>6.2798565300181508</v>
      </c>
      <c r="N15" t="s">
        <v>68</v>
      </c>
      <c r="O15">
        <v>98538.37</v>
      </c>
    </row>
    <row r="16" spans="1:15" x14ac:dyDescent="0.2">
      <c r="A16">
        <v>45814</v>
      </c>
      <c r="B16" t="s">
        <v>69</v>
      </c>
      <c r="C16" t="s">
        <v>70</v>
      </c>
      <c r="D16">
        <v>369197.94</v>
      </c>
      <c r="E16" t="s">
        <v>17</v>
      </c>
      <c r="F16" t="s">
        <v>65</v>
      </c>
      <c r="G16" t="s">
        <v>49</v>
      </c>
      <c r="H16">
        <v>15</v>
      </c>
      <c r="I16">
        <v>9543.86</v>
      </c>
      <c r="J16">
        <v>45671</v>
      </c>
      <c r="K16" t="b">
        <v>1</v>
      </c>
      <c r="L16">
        <v>0.97599999999999998</v>
      </c>
      <c r="M16">
        <v>6.3044936116784811</v>
      </c>
      <c r="N16" t="s">
        <v>71</v>
      </c>
      <c r="O16">
        <v>-497254.49</v>
      </c>
    </row>
    <row r="17" spans="1:15" x14ac:dyDescent="0.2">
      <c r="A17">
        <v>45870</v>
      </c>
      <c r="B17" t="s">
        <v>72</v>
      </c>
      <c r="C17" t="s">
        <v>55</v>
      </c>
      <c r="D17">
        <v>386326.05</v>
      </c>
      <c r="E17" t="s">
        <v>17</v>
      </c>
      <c r="F17" t="s">
        <v>65</v>
      </c>
      <c r="G17" t="s">
        <v>41</v>
      </c>
      <c r="H17">
        <v>40</v>
      </c>
      <c r="I17">
        <v>6149.58</v>
      </c>
      <c r="J17">
        <v>46320</v>
      </c>
      <c r="K17" t="b">
        <v>1</v>
      </c>
      <c r="L17">
        <v>0.75900000000000001</v>
      </c>
      <c r="M17">
        <v>7.1544776274822652</v>
      </c>
      <c r="N17" t="s">
        <v>73</v>
      </c>
      <c r="O17">
        <v>-340589.31</v>
      </c>
    </row>
    <row r="18" spans="1:15" x14ac:dyDescent="0.2">
      <c r="A18">
        <v>45972</v>
      </c>
      <c r="B18" t="s">
        <v>69</v>
      </c>
      <c r="C18" t="s">
        <v>74</v>
      </c>
      <c r="D18">
        <v>153637.47</v>
      </c>
      <c r="E18" t="s">
        <v>32</v>
      </c>
      <c r="F18" t="s">
        <v>45</v>
      </c>
      <c r="G18" t="s">
        <v>61</v>
      </c>
      <c r="H18">
        <v>77</v>
      </c>
      <c r="I18">
        <v>1237.9000000000001</v>
      </c>
      <c r="J18">
        <v>45952</v>
      </c>
      <c r="K18" t="b">
        <v>1</v>
      </c>
      <c r="L18">
        <v>0.31900000000000001</v>
      </c>
      <c r="M18">
        <v>7.4562634108588099</v>
      </c>
      <c r="N18" t="s">
        <v>75</v>
      </c>
      <c r="O18">
        <v>-265488.28999999998</v>
      </c>
    </row>
    <row r="19" spans="1:15" x14ac:dyDescent="0.2">
      <c r="A19">
        <v>45666</v>
      </c>
      <c r="B19" t="s">
        <v>76</v>
      </c>
      <c r="C19" t="s">
        <v>39</v>
      </c>
      <c r="D19">
        <v>58052.639999999999</v>
      </c>
      <c r="E19" t="s">
        <v>32</v>
      </c>
      <c r="F19" t="s">
        <v>77</v>
      </c>
      <c r="G19" t="s">
        <v>78</v>
      </c>
      <c r="H19">
        <v>66</v>
      </c>
      <c r="I19">
        <v>4704.1499999999996</v>
      </c>
      <c r="J19">
        <v>45803</v>
      </c>
      <c r="K19" t="b">
        <v>1</v>
      </c>
      <c r="L19">
        <v>0.91</v>
      </c>
      <c r="M19">
        <v>9.9669642769731581</v>
      </c>
      <c r="N19" t="s">
        <v>79</v>
      </c>
      <c r="O19">
        <v>-302362.17</v>
      </c>
    </row>
    <row r="20" spans="1:15" x14ac:dyDescent="0.2">
      <c r="A20">
        <v>45887</v>
      </c>
      <c r="B20" t="s">
        <v>80</v>
      </c>
      <c r="C20" t="s">
        <v>81</v>
      </c>
      <c r="D20">
        <v>353981.07</v>
      </c>
      <c r="E20" t="s">
        <v>32</v>
      </c>
      <c r="F20" t="s">
        <v>82</v>
      </c>
      <c r="G20" t="s">
        <v>24</v>
      </c>
      <c r="H20">
        <v>1</v>
      </c>
      <c r="I20">
        <v>5034.99</v>
      </c>
      <c r="J20">
        <v>45939</v>
      </c>
      <c r="K20" t="b">
        <v>0</v>
      </c>
      <c r="L20">
        <v>0.90600000000000003</v>
      </c>
      <c r="M20">
        <v>4.2413345444947481</v>
      </c>
      <c r="N20" t="s">
        <v>83</v>
      </c>
      <c r="O20">
        <v>54272.46</v>
      </c>
    </row>
    <row r="21" spans="1:15" x14ac:dyDescent="0.2">
      <c r="A21">
        <v>45849</v>
      </c>
      <c r="B21" t="s">
        <v>84</v>
      </c>
      <c r="C21" t="s">
        <v>85</v>
      </c>
      <c r="D21">
        <v>225608.62</v>
      </c>
      <c r="E21" t="s">
        <v>32</v>
      </c>
      <c r="F21" t="s">
        <v>82</v>
      </c>
      <c r="G21" t="s">
        <v>49</v>
      </c>
      <c r="H21">
        <v>55</v>
      </c>
      <c r="I21">
        <v>374.9</v>
      </c>
      <c r="J21">
        <v>46158</v>
      </c>
      <c r="K21" t="b">
        <v>1</v>
      </c>
      <c r="L21">
        <v>0.13900000000000001</v>
      </c>
      <c r="M21">
        <v>2.7454624022357166</v>
      </c>
      <c r="N21" t="s">
        <v>86</v>
      </c>
      <c r="O21">
        <v>-209049.39</v>
      </c>
    </row>
    <row r="22" spans="1:15" x14ac:dyDescent="0.2">
      <c r="A22">
        <v>45886</v>
      </c>
      <c r="B22" t="s">
        <v>26</v>
      </c>
      <c r="C22" t="s">
        <v>87</v>
      </c>
      <c r="D22">
        <v>94760.89</v>
      </c>
      <c r="E22" t="s">
        <v>17</v>
      </c>
      <c r="F22" t="s">
        <v>88</v>
      </c>
      <c r="G22" t="s">
        <v>19</v>
      </c>
      <c r="H22">
        <v>0</v>
      </c>
      <c r="I22">
        <v>1456.39</v>
      </c>
      <c r="J22">
        <v>45897</v>
      </c>
      <c r="K22" t="b">
        <v>1</v>
      </c>
      <c r="L22">
        <v>0.60799999999999998</v>
      </c>
      <c r="M22">
        <v>5.176724090706557</v>
      </c>
      <c r="N22" t="s">
        <v>89</v>
      </c>
      <c r="O22">
        <v>-108032.77</v>
      </c>
    </row>
    <row r="23" spans="1:15" x14ac:dyDescent="0.2">
      <c r="A23">
        <v>45674</v>
      </c>
      <c r="B23" t="s">
        <v>63</v>
      </c>
      <c r="C23" t="s">
        <v>90</v>
      </c>
      <c r="D23">
        <v>150225.98000000001</v>
      </c>
      <c r="E23" t="s">
        <v>32</v>
      </c>
      <c r="F23" t="s">
        <v>77</v>
      </c>
      <c r="G23" t="s">
        <v>58</v>
      </c>
      <c r="H23">
        <v>91</v>
      </c>
      <c r="I23">
        <v>4846.2</v>
      </c>
      <c r="J23">
        <v>46174</v>
      </c>
      <c r="K23" t="b">
        <v>1</v>
      </c>
      <c r="L23">
        <v>0.92800000000000005</v>
      </c>
      <c r="M23">
        <v>0.49381798133254051</v>
      </c>
      <c r="N23" t="s">
        <v>91</v>
      </c>
      <c r="O23">
        <v>338797.34</v>
      </c>
    </row>
    <row r="24" spans="1:15" x14ac:dyDescent="0.2">
      <c r="A24">
        <v>45973</v>
      </c>
      <c r="B24" t="s">
        <v>92</v>
      </c>
      <c r="C24" t="s">
        <v>93</v>
      </c>
      <c r="D24">
        <v>311123.45</v>
      </c>
      <c r="E24" t="s">
        <v>32</v>
      </c>
      <c r="F24" t="s">
        <v>60</v>
      </c>
      <c r="G24" t="s">
        <v>61</v>
      </c>
      <c r="H24">
        <v>48</v>
      </c>
      <c r="I24">
        <v>5111.68</v>
      </c>
      <c r="J24">
        <v>45765</v>
      </c>
      <c r="K24" t="b">
        <v>0</v>
      </c>
      <c r="L24">
        <v>0.81799999999999995</v>
      </c>
      <c r="M24">
        <v>0.85163501789793372</v>
      </c>
      <c r="N24" t="s">
        <v>94</v>
      </c>
      <c r="O24">
        <v>48110.35</v>
      </c>
    </row>
    <row r="25" spans="1:15" x14ac:dyDescent="0.2">
      <c r="A25">
        <v>45802</v>
      </c>
      <c r="B25" t="s">
        <v>80</v>
      </c>
      <c r="C25" t="s">
        <v>64</v>
      </c>
      <c r="D25">
        <v>75040.710000000006</v>
      </c>
      <c r="E25" t="s">
        <v>17</v>
      </c>
      <c r="F25" t="s">
        <v>95</v>
      </c>
      <c r="G25" t="s">
        <v>24</v>
      </c>
      <c r="H25">
        <v>89</v>
      </c>
      <c r="I25">
        <v>4147.3100000000004</v>
      </c>
      <c r="J25">
        <v>46062</v>
      </c>
      <c r="K25" t="b">
        <v>1</v>
      </c>
      <c r="L25">
        <v>0.69299999999999995</v>
      </c>
      <c r="M25">
        <v>3.6777447094209492</v>
      </c>
      <c r="N25" t="s">
        <v>96</v>
      </c>
      <c r="O25">
        <v>-30344.79</v>
      </c>
    </row>
    <row r="26" spans="1:15" x14ac:dyDescent="0.2">
      <c r="A26">
        <v>45797</v>
      </c>
      <c r="B26" t="s">
        <v>97</v>
      </c>
      <c r="C26" t="s">
        <v>98</v>
      </c>
      <c r="D26">
        <v>390910.21</v>
      </c>
      <c r="E26" t="s">
        <v>32</v>
      </c>
      <c r="F26" t="s">
        <v>28</v>
      </c>
      <c r="G26" t="s">
        <v>66</v>
      </c>
      <c r="H26">
        <v>66</v>
      </c>
      <c r="I26">
        <v>3835.47</v>
      </c>
      <c r="J26">
        <v>46162</v>
      </c>
      <c r="K26" t="b">
        <v>0</v>
      </c>
      <c r="L26">
        <v>0.746</v>
      </c>
      <c r="M26">
        <v>0.97990487236529589</v>
      </c>
      <c r="N26" t="s">
        <v>99</v>
      </c>
      <c r="O26">
        <v>-210349.11</v>
      </c>
    </row>
    <row r="27" spans="1:15" x14ac:dyDescent="0.2">
      <c r="A27">
        <v>45731</v>
      </c>
      <c r="B27" t="s">
        <v>100</v>
      </c>
      <c r="C27" t="s">
        <v>74</v>
      </c>
      <c r="D27">
        <v>-63824.160000000003</v>
      </c>
      <c r="E27" t="s">
        <v>32</v>
      </c>
      <c r="F27" t="s">
        <v>18</v>
      </c>
      <c r="G27" t="s">
        <v>24</v>
      </c>
      <c r="H27">
        <v>4</v>
      </c>
      <c r="I27">
        <v>6554.16</v>
      </c>
      <c r="J27">
        <v>46379</v>
      </c>
      <c r="K27" t="b">
        <v>1</v>
      </c>
      <c r="L27">
        <v>0.48699999999999999</v>
      </c>
      <c r="M27">
        <v>5.8334197849035263</v>
      </c>
      <c r="N27" t="s">
        <v>101</v>
      </c>
      <c r="O27">
        <v>-428794.13</v>
      </c>
    </row>
    <row r="28" spans="1:15" x14ac:dyDescent="0.2">
      <c r="A28">
        <v>45880</v>
      </c>
      <c r="B28" t="s">
        <v>102</v>
      </c>
      <c r="C28" t="s">
        <v>90</v>
      </c>
      <c r="D28">
        <v>275085.8</v>
      </c>
      <c r="E28" t="s">
        <v>17</v>
      </c>
      <c r="F28" t="s">
        <v>33</v>
      </c>
      <c r="G28" t="s">
        <v>58</v>
      </c>
      <c r="H28">
        <v>84</v>
      </c>
      <c r="I28">
        <v>8250.42</v>
      </c>
      <c r="J28">
        <v>45784</v>
      </c>
      <c r="K28" t="b">
        <v>0</v>
      </c>
      <c r="L28">
        <v>0.73599999999999999</v>
      </c>
      <c r="M28">
        <v>0.48352924641221762</v>
      </c>
      <c r="N28" t="s">
        <v>103</v>
      </c>
      <c r="O28">
        <v>338804.24</v>
      </c>
    </row>
    <row r="29" spans="1:15" x14ac:dyDescent="0.2">
      <c r="A29">
        <v>45891</v>
      </c>
      <c r="B29" t="s">
        <v>104</v>
      </c>
      <c r="C29" t="s">
        <v>70</v>
      </c>
      <c r="D29">
        <v>1281473348.3800001</v>
      </c>
      <c r="E29" t="s">
        <v>32</v>
      </c>
      <c r="F29" t="s">
        <v>105</v>
      </c>
      <c r="G29" t="s">
        <v>78</v>
      </c>
      <c r="H29">
        <v>7</v>
      </c>
      <c r="I29">
        <v>8906.24</v>
      </c>
      <c r="J29">
        <v>45779</v>
      </c>
      <c r="K29" t="b">
        <v>0</v>
      </c>
      <c r="L29">
        <v>0.68400000000000005</v>
      </c>
      <c r="M29">
        <v>8.6563913035206497</v>
      </c>
      <c r="N29" t="s">
        <v>106</v>
      </c>
      <c r="O29">
        <v>-427031.58</v>
      </c>
    </row>
    <row r="30" spans="1:15" x14ac:dyDescent="0.2">
      <c r="A30">
        <v>45980</v>
      </c>
      <c r="B30" t="s">
        <v>97</v>
      </c>
      <c r="C30" t="s">
        <v>64</v>
      </c>
      <c r="D30">
        <v>57068.59</v>
      </c>
      <c r="E30" t="s">
        <v>32</v>
      </c>
      <c r="F30" t="s">
        <v>18</v>
      </c>
      <c r="H30">
        <v>29</v>
      </c>
      <c r="I30">
        <v>4044.33</v>
      </c>
      <c r="J30">
        <v>46330</v>
      </c>
      <c r="K30" t="b">
        <v>0</v>
      </c>
      <c r="L30">
        <v>0.09</v>
      </c>
      <c r="M30">
        <v>5.5685139284469187</v>
      </c>
      <c r="N30" t="s">
        <v>107</v>
      </c>
      <c r="O30">
        <v>-335017.2</v>
      </c>
    </row>
    <row r="31" spans="1:15" x14ac:dyDescent="0.2">
      <c r="A31">
        <v>45694</v>
      </c>
      <c r="B31" t="s">
        <v>108</v>
      </c>
      <c r="C31" t="s">
        <v>81</v>
      </c>
      <c r="D31">
        <v>178192.36</v>
      </c>
      <c r="E31" t="s">
        <v>32</v>
      </c>
      <c r="F31" t="s">
        <v>105</v>
      </c>
      <c r="G31" t="s">
        <v>19</v>
      </c>
      <c r="H31">
        <v>20</v>
      </c>
      <c r="I31">
        <v>3442.57</v>
      </c>
      <c r="J31">
        <v>45896</v>
      </c>
      <c r="K31" t="b">
        <v>0</v>
      </c>
      <c r="L31">
        <v>0.23100000000000001</v>
      </c>
      <c r="M31">
        <v>7.8811559244059026</v>
      </c>
      <c r="N31" t="s">
        <v>109</v>
      </c>
      <c r="O31">
        <v>-252598.89</v>
      </c>
    </row>
    <row r="32" spans="1:15" x14ac:dyDescent="0.2">
      <c r="A32">
        <v>45963</v>
      </c>
      <c r="B32" t="s">
        <v>110</v>
      </c>
      <c r="C32" t="s">
        <v>64</v>
      </c>
      <c r="D32">
        <v>-68844.600000000006</v>
      </c>
      <c r="E32" t="s">
        <v>17</v>
      </c>
      <c r="F32" t="s">
        <v>23</v>
      </c>
      <c r="G32" t="s">
        <v>66</v>
      </c>
      <c r="H32">
        <v>44</v>
      </c>
      <c r="I32">
        <v>3839.67</v>
      </c>
      <c r="J32">
        <v>46194</v>
      </c>
      <c r="K32" t="b">
        <v>0</v>
      </c>
      <c r="L32">
        <v>0.71199999999999997</v>
      </c>
      <c r="M32">
        <v>0.58203895343467593</v>
      </c>
      <c r="N32" t="s">
        <v>111</v>
      </c>
      <c r="O32">
        <v>-79740.38</v>
      </c>
    </row>
    <row r="33" spans="1:15" x14ac:dyDescent="0.2">
      <c r="A33">
        <v>45832</v>
      </c>
      <c r="B33" t="s">
        <v>15</v>
      </c>
      <c r="C33" t="s">
        <v>27</v>
      </c>
      <c r="D33">
        <v>6434.18</v>
      </c>
      <c r="E33" t="s">
        <v>17</v>
      </c>
      <c r="F33" t="s">
        <v>60</v>
      </c>
      <c r="G33" t="s">
        <v>58</v>
      </c>
      <c r="H33">
        <v>2</v>
      </c>
      <c r="I33">
        <v>4684.49</v>
      </c>
      <c r="J33">
        <v>45871</v>
      </c>
      <c r="K33" t="b">
        <v>0</v>
      </c>
      <c r="L33">
        <v>0.125</v>
      </c>
      <c r="M33">
        <v>1.2359373713843524</v>
      </c>
      <c r="N33" t="s">
        <v>112</v>
      </c>
      <c r="O33">
        <v>-54374.87</v>
      </c>
    </row>
    <row r="34" spans="1:15" x14ac:dyDescent="0.2">
      <c r="A34">
        <v>45765</v>
      </c>
      <c r="B34" t="s">
        <v>43</v>
      </c>
      <c r="C34" t="s">
        <v>39</v>
      </c>
      <c r="D34">
        <v>-29513.86</v>
      </c>
      <c r="E34" t="s">
        <v>17</v>
      </c>
      <c r="F34" t="s">
        <v>40</v>
      </c>
      <c r="G34" t="s">
        <v>19</v>
      </c>
      <c r="H34">
        <v>99</v>
      </c>
      <c r="I34">
        <v>7570.22</v>
      </c>
      <c r="J34">
        <v>45995</v>
      </c>
      <c r="K34" t="b">
        <v>1</v>
      </c>
      <c r="L34">
        <v>0.53700000000000003</v>
      </c>
      <c r="M34">
        <v>5.6520037399604917</v>
      </c>
      <c r="N34" t="s">
        <v>113</v>
      </c>
      <c r="O34">
        <v>-399106.66</v>
      </c>
    </row>
    <row r="35" spans="1:15" x14ac:dyDescent="0.2">
      <c r="A35">
        <v>45796</v>
      </c>
      <c r="B35" t="s">
        <v>84</v>
      </c>
      <c r="C35" t="s">
        <v>27</v>
      </c>
      <c r="D35">
        <v>72144.070000000007</v>
      </c>
      <c r="E35" t="s">
        <v>17</v>
      </c>
      <c r="F35" t="s">
        <v>77</v>
      </c>
      <c r="G35" t="s">
        <v>58</v>
      </c>
      <c r="H35">
        <v>75</v>
      </c>
      <c r="I35">
        <v>7469.7</v>
      </c>
      <c r="J35">
        <v>45984</v>
      </c>
      <c r="K35" t="b">
        <v>1</v>
      </c>
      <c r="L35">
        <v>0.33300000000000002</v>
      </c>
      <c r="M35">
        <v>8.0419463012367487</v>
      </c>
      <c r="N35" t="s">
        <v>114</v>
      </c>
      <c r="O35">
        <v>412030.36</v>
      </c>
    </row>
    <row r="36" spans="1:15" x14ac:dyDescent="0.2">
      <c r="A36">
        <v>45681</v>
      </c>
      <c r="B36" t="s">
        <v>108</v>
      </c>
      <c r="C36" t="s">
        <v>74</v>
      </c>
      <c r="D36">
        <v>97614.39</v>
      </c>
      <c r="E36" t="s">
        <v>32</v>
      </c>
      <c r="F36" t="s">
        <v>88</v>
      </c>
      <c r="G36" t="s">
        <v>41</v>
      </c>
      <c r="H36">
        <v>97</v>
      </c>
      <c r="I36">
        <v>5474.36</v>
      </c>
      <c r="J36">
        <v>46006</v>
      </c>
      <c r="K36" t="b">
        <v>0</v>
      </c>
      <c r="L36">
        <v>1.6E-2</v>
      </c>
      <c r="M36">
        <v>7.8039017762057483</v>
      </c>
      <c r="N36" t="s">
        <v>115</v>
      </c>
      <c r="O36">
        <v>280714.95</v>
      </c>
    </row>
    <row r="37" spans="1:15" x14ac:dyDescent="0.2">
      <c r="A37">
        <v>46017</v>
      </c>
      <c r="B37" t="s">
        <v>38</v>
      </c>
      <c r="C37" t="s">
        <v>85</v>
      </c>
      <c r="D37">
        <v>-83837.23</v>
      </c>
      <c r="E37" t="s">
        <v>17</v>
      </c>
      <c r="F37" t="s">
        <v>65</v>
      </c>
      <c r="G37" t="s">
        <v>61</v>
      </c>
      <c r="H37">
        <v>17</v>
      </c>
      <c r="I37">
        <v>7465.77</v>
      </c>
      <c r="J37">
        <v>45846</v>
      </c>
      <c r="K37" t="b">
        <v>1</v>
      </c>
      <c r="L37">
        <v>0.38400000000000001</v>
      </c>
      <c r="M37">
        <v>1.0216789343394339</v>
      </c>
      <c r="N37" t="s">
        <v>116</v>
      </c>
      <c r="O37">
        <v>-94126.92</v>
      </c>
    </row>
    <row r="38" spans="1:15" x14ac:dyDescent="0.2">
      <c r="A38">
        <v>45675</v>
      </c>
      <c r="B38" t="s">
        <v>117</v>
      </c>
      <c r="C38" t="s">
        <v>44</v>
      </c>
      <c r="D38">
        <v>48723.82</v>
      </c>
      <c r="E38" t="s">
        <v>17</v>
      </c>
      <c r="F38" t="s">
        <v>48</v>
      </c>
      <c r="G38" t="s">
        <v>66</v>
      </c>
      <c r="H38">
        <v>37</v>
      </c>
      <c r="I38">
        <v>5043.6099999999997</v>
      </c>
      <c r="J38">
        <v>45794</v>
      </c>
      <c r="K38" t="b">
        <v>1</v>
      </c>
      <c r="L38">
        <v>0.496</v>
      </c>
      <c r="M38">
        <v>1.1926084710285068</v>
      </c>
      <c r="N38" t="s">
        <v>118</v>
      </c>
      <c r="O38">
        <v>65603.62</v>
      </c>
    </row>
    <row r="39" spans="1:15" x14ac:dyDescent="0.2">
      <c r="A39">
        <v>45662</v>
      </c>
      <c r="B39" t="s">
        <v>80</v>
      </c>
      <c r="C39" t="s">
        <v>70</v>
      </c>
      <c r="D39">
        <v>204895.21</v>
      </c>
      <c r="E39" t="s">
        <v>17</v>
      </c>
      <c r="F39" t="s">
        <v>105</v>
      </c>
      <c r="G39" t="s">
        <v>52</v>
      </c>
      <c r="H39">
        <v>85</v>
      </c>
      <c r="I39">
        <v>1817.91</v>
      </c>
      <c r="J39">
        <v>45917</v>
      </c>
      <c r="K39" t="b">
        <v>0</v>
      </c>
      <c r="L39">
        <v>0.223</v>
      </c>
      <c r="M39">
        <v>6.8138124141842127</v>
      </c>
      <c r="N39" t="s">
        <v>119</v>
      </c>
      <c r="O39">
        <v>456608.53</v>
      </c>
    </row>
    <row r="40" spans="1:15" x14ac:dyDescent="0.2">
      <c r="A40">
        <v>45937</v>
      </c>
      <c r="B40" t="s">
        <v>43</v>
      </c>
      <c r="C40" t="s">
        <v>39</v>
      </c>
      <c r="D40">
        <v>66279.710000000006</v>
      </c>
      <c r="E40" t="s">
        <v>32</v>
      </c>
      <c r="F40" t="s">
        <v>88</v>
      </c>
      <c r="G40" t="s">
        <v>58</v>
      </c>
      <c r="H40">
        <v>43</v>
      </c>
      <c r="I40">
        <v>3039.5</v>
      </c>
      <c r="J40">
        <v>46274</v>
      </c>
      <c r="K40" t="b">
        <v>0</v>
      </c>
      <c r="L40">
        <v>0.99</v>
      </c>
      <c r="M40">
        <v>6.9203224405646324</v>
      </c>
      <c r="N40" t="s">
        <v>120</v>
      </c>
      <c r="O40">
        <v>158731.17000000001</v>
      </c>
    </row>
    <row r="41" spans="1:15" x14ac:dyDescent="0.2">
      <c r="A41">
        <v>45761</v>
      </c>
      <c r="B41" t="s">
        <v>84</v>
      </c>
      <c r="C41" t="s">
        <v>74</v>
      </c>
      <c r="D41">
        <v>392435.78</v>
      </c>
      <c r="E41" t="s">
        <v>17</v>
      </c>
      <c r="F41" t="s">
        <v>28</v>
      </c>
      <c r="G41" t="s">
        <v>19</v>
      </c>
      <c r="H41">
        <v>80</v>
      </c>
      <c r="I41">
        <v>9538.15</v>
      </c>
      <c r="J41">
        <v>45877</v>
      </c>
      <c r="K41" t="b">
        <v>0</v>
      </c>
      <c r="L41">
        <v>0.128</v>
      </c>
      <c r="M41">
        <v>0.77584809390828013</v>
      </c>
      <c r="N41" t="s">
        <v>121</v>
      </c>
      <c r="O41">
        <v>-380913.54</v>
      </c>
    </row>
    <row r="42" spans="1:15" x14ac:dyDescent="0.2">
      <c r="A42">
        <v>45878</v>
      </c>
      <c r="B42" t="s">
        <v>80</v>
      </c>
      <c r="C42" t="s">
        <v>27</v>
      </c>
      <c r="D42">
        <v>74328.45</v>
      </c>
      <c r="E42" t="s">
        <v>17</v>
      </c>
      <c r="F42" t="s">
        <v>65</v>
      </c>
      <c r="G42" t="s">
        <v>78</v>
      </c>
      <c r="H42">
        <v>99</v>
      </c>
      <c r="I42">
        <v>2614.2199999999998</v>
      </c>
      <c r="J42">
        <v>46161</v>
      </c>
      <c r="K42" t="b">
        <v>1</v>
      </c>
      <c r="L42">
        <v>0.80200000000000005</v>
      </c>
      <c r="M42">
        <v>4.6396291349083185</v>
      </c>
      <c r="N42" t="s">
        <v>122</v>
      </c>
      <c r="O42">
        <v>109001.35</v>
      </c>
    </row>
    <row r="43" spans="1:15" x14ac:dyDescent="0.2">
      <c r="A43">
        <v>45923</v>
      </c>
      <c r="B43" t="s">
        <v>123</v>
      </c>
      <c r="C43" t="s">
        <v>27</v>
      </c>
      <c r="D43">
        <v>70013.850000000006</v>
      </c>
      <c r="E43" t="s">
        <v>17</v>
      </c>
      <c r="F43" t="s">
        <v>124</v>
      </c>
      <c r="H43">
        <v>68</v>
      </c>
      <c r="I43">
        <v>157.13</v>
      </c>
      <c r="J43">
        <v>46377</v>
      </c>
      <c r="K43" t="b">
        <v>1</v>
      </c>
      <c r="L43">
        <v>0.16500000000000001</v>
      </c>
      <c r="M43">
        <v>7.7028911048546433</v>
      </c>
      <c r="N43" t="s">
        <v>125</v>
      </c>
      <c r="O43">
        <v>329128.67</v>
      </c>
    </row>
    <row r="44" spans="1:15" x14ac:dyDescent="0.2">
      <c r="A44">
        <v>45738</v>
      </c>
      <c r="B44" t="s">
        <v>126</v>
      </c>
      <c r="C44" t="s">
        <v>127</v>
      </c>
      <c r="D44">
        <v>239810.47</v>
      </c>
      <c r="E44" t="s">
        <v>32</v>
      </c>
      <c r="F44" t="s">
        <v>82</v>
      </c>
      <c r="G44" t="s">
        <v>78</v>
      </c>
      <c r="H44">
        <v>8</v>
      </c>
      <c r="I44">
        <v>4447.87</v>
      </c>
      <c r="J44">
        <v>45736</v>
      </c>
      <c r="K44" t="b">
        <v>1</v>
      </c>
      <c r="L44">
        <v>0.97599999999999998</v>
      </c>
      <c r="M44">
        <v>1.7178455693647265</v>
      </c>
      <c r="N44" t="s">
        <v>128</v>
      </c>
      <c r="O44">
        <v>146611.26</v>
      </c>
    </row>
    <row r="45" spans="1:15" x14ac:dyDescent="0.2">
      <c r="A45">
        <v>45939</v>
      </c>
      <c r="B45" t="s">
        <v>110</v>
      </c>
      <c r="C45" t="s">
        <v>64</v>
      </c>
      <c r="D45">
        <v>-32180.28</v>
      </c>
      <c r="E45" t="s">
        <v>17</v>
      </c>
      <c r="F45" t="s">
        <v>88</v>
      </c>
      <c r="G45" t="s">
        <v>61</v>
      </c>
      <c r="H45">
        <v>60</v>
      </c>
      <c r="I45">
        <v>3714.7</v>
      </c>
      <c r="J45">
        <v>46196</v>
      </c>
      <c r="K45" t="b">
        <v>0</v>
      </c>
      <c r="L45">
        <v>0.58899999999999997</v>
      </c>
      <c r="M45">
        <v>6.9196207704953849</v>
      </c>
      <c r="N45" t="s">
        <v>129</v>
      </c>
      <c r="O45">
        <v>348187.59</v>
      </c>
    </row>
    <row r="46" spans="1:15" x14ac:dyDescent="0.2">
      <c r="A46">
        <v>45987</v>
      </c>
      <c r="B46" t="s">
        <v>21</v>
      </c>
      <c r="C46" t="s">
        <v>130</v>
      </c>
      <c r="D46">
        <v>236132.35</v>
      </c>
      <c r="E46" t="s">
        <v>32</v>
      </c>
      <c r="F46" t="s">
        <v>95</v>
      </c>
      <c r="G46" t="s">
        <v>49</v>
      </c>
      <c r="H46">
        <v>22</v>
      </c>
      <c r="I46">
        <v>5787.99</v>
      </c>
      <c r="J46">
        <v>45983</v>
      </c>
      <c r="K46" t="b">
        <v>0</v>
      </c>
      <c r="L46">
        <v>0.58799999999999997</v>
      </c>
      <c r="M46">
        <v>2.9031263384968042</v>
      </c>
      <c r="N46" t="s">
        <v>131</v>
      </c>
      <c r="O46">
        <v>-312374.34999999998</v>
      </c>
    </row>
    <row r="47" spans="1:15" x14ac:dyDescent="0.2">
      <c r="A47">
        <v>45872</v>
      </c>
      <c r="B47" t="s">
        <v>43</v>
      </c>
      <c r="C47" t="s">
        <v>27</v>
      </c>
      <c r="D47">
        <v>249984.99</v>
      </c>
      <c r="E47" t="s">
        <v>17</v>
      </c>
      <c r="F47" t="s">
        <v>33</v>
      </c>
      <c r="G47" t="s">
        <v>24</v>
      </c>
      <c r="H47">
        <v>27</v>
      </c>
      <c r="I47">
        <v>3535.79</v>
      </c>
      <c r="J47">
        <v>46253</v>
      </c>
      <c r="K47" t="b">
        <v>1</v>
      </c>
      <c r="L47">
        <v>0.89900000000000002</v>
      </c>
      <c r="M47">
        <v>8.1617062212899327</v>
      </c>
      <c r="N47" t="s">
        <v>132</v>
      </c>
      <c r="O47">
        <v>100565.58</v>
      </c>
    </row>
    <row r="48" spans="1:15" x14ac:dyDescent="0.2">
      <c r="A48">
        <v>45721</v>
      </c>
      <c r="B48" t="s">
        <v>26</v>
      </c>
      <c r="C48" t="s">
        <v>22</v>
      </c>
      <c r="D48">
        <v>-53530.76</v>
      </c>
      <c r="E48" t="s">
        <v>32</v>
      </c>
      <c r="F48" t="s">
        <v>124</v>
      </c>
      <c r="G48" t="s">
        <v>61</v>
      </c>
      <c r="H48">
        <v>88</v>
      </c>
      <c r="I48">
        <v>3197.4</v>
      </c>
      <c r="J48">
        <v>46187</v>
      </c>
      <c r="K48" t="b">
        <v>0</v>
      </c>
      <c r="L48">
        <v>0.41299999999999998</v>
      </c>
      <c r="M48">
        <v>9.0975299454294145</v>
      </c>
      <c r="N48" t="s">
        <v>133</v>
      </c>
      <c r="O48">
        <v>-83509</v>
      </c>
    </row>
    <row r="49" spans="1:15" x14ac:dyDescent="0.2">
      <c r="A49">
        <v>45668</v>
      </c>
      <c r="B49" t="s">
        <v>84</v>
      </c>
      <c r="C49" t="s">
        <v>55</v>
      </c>
      <c r="D49">
        <v>56606.62</v>
      </c>
      <c r="E49" t="s">
        <v>17</v>
      </c>
      <c r="F49" t="s">
        <v>23</v>
      </c>
      <c r="G49" t="s">
        <v>52</v>
      </c>
      <c r="H49">
        <v>70</v>
      </c>
      <c r="I49">
        <v>504.4</v>
      </c>
      <c r="J49">
        <v>45986</v>
      </c>
      <c r="K49" t="b">
        <v>0</v>
      </c>
      <c r="L49">
        <v>0.66100000000000003</v>
      </c>
      <c r="M49">
        <v>9.779485126491636</v>
      </c>
      <c r="N49" t="s">
        <v>134</v>
      </c>
      <c r="O49">
        <v>234730.56</v>
      </c>
    </row>
    <row r="50" spans="1:15" x14ac:dyDescent="0.2">
      <c r="A50">
        <v>45662</v>
      </c>
      <c r="B50" t="s">
        <v>54</v>
      </c>
      <c r="C50" t="s">
        <v>64</v>
      </c>
      <c r="D50">
        <v>14732.38</v>
      </c>
      <c r="E50" t="s">
        <v>32</v>
      </c>
      <c r="F50" t="s">
        <v>48</v>
      </c>
      <c r="G50" t="s">
        <v>49</v>
      </c>
      <c r="H50">
        <v>1</v>
      </c>
      <c r="I50">
        <v>5046.97</v>
      </c>
      <c r="J50">
        <v>46244</v>
      </c>
      <c r="K50" t="b">
        <v>1</v>
      </c>
      <c r="L50">
        <v>0.56499999999999995</v>
      </c>
      <c r="M50">
        <v>8.2413879386149347</v>
      </c>
      <c r="N50" t="s">
        <v>135</v>
      </c>
      <c r="O50">
        <v>-20048.63</v>
      </c>
    </row>
    <row r="51" spans="1:15" x14ac:dyDescent="0.2">
      <c r="A51">
        <v>45694</v>
      </c>
      <c r="B51" t="s">
        <v>136</v>
      </c>
      <c r="C51" t="s">
        <v>36</v>
      </c>
      <c r="D51">
        <v>158877.32999999999</v>
      </c>
      <c r="E51" t="s">
        <v>17</v>
      </c>
      <c r="F51" t="s">
        <v>45</v>
      </c>
      <c r="G51" t="s">
        <v>49</v>
      </c>
      <c r="H51">
        <v>80</v>
      </c>
      <c r="I51">
        <v>3409.95</v>
      </c>
      <c r="J51">
        <v>46153</v>
      </c>
      <c r="K51" t="b">
        <v>0</v>
      </c>
      <c r="L51">
        <v>0.35799999999999998</v>
      </c>
      <c r="M51">
        <v>4.3243377632461488</v>
      </c>
      <c r="N51" t="s">
        <v>137</v>
      </c>
      <c r="O51">
        <v>327745.48</v>
      </c>
    </row>
    <row r="52" spans="1:15" x14ac:dyDescent="0.2">
      <c r="A52">
        <v>45951</v>
      </c>
      <c r="B52" t="s">
        <v>138</v>
      </c>
      <c r="C52" t="s">
        <v>44</v>
      </c>
      <c r="D52">
        <v>52231.74</v>
      </c>
      <c r="E52" t="s">
        <v>17</v>
      </c>
      <c r="F52" t="s">
        <v>28</v>
      </c>
      <c r="G52" t="s">
        <v>52</v>
      </c>
      <c r="H52">
        <v>83</v>
      </c>
      <c r="I52">
        <v>5970.43</v>
      </c>
      <c r="J52">
        <v>46279</v>
      </c>
      <c r="K52" t="b">
        <v>0</v>
      </c>
      <c r="L52">
        <v>0.89400000000000002</v>
      </c>
      <c r="M52">
        <v>3.50095922825858</v>
      </c>
      <c r="N52" t="s">
        <v>139</v>
      </c>
      <c r="O52">
        <v>-312631.34000000003</v>
      </c>
    </row>
    <row r="53" spans="1:15" x14ac:dyDescent="0.2">
      <c r="A53">
        <v>45824</v>
      </c>
      <c r="B53" t="s">
        <v>110</v>
      </c>
      <c r="C53" t="s">
        <v>85</v>
      </c>
      <c r="D53">
        <v>3338.13</v>
      </c>
      <c r="E53" t="s">
        <v>17</v>
      </c>
      <c r="F53" t="s">
        <v>23</v>
      </c>
      <c r="G53" t="s">
        <v>41</v>
      </c>
      <c r="H53">
        <v>66</v>
      </c>
      <c r="I53">
        <v>645.66</v>
      </c>
      <c r="J53">
        <v>46340</v>
      </c>
      <c r="K53" t="b">
        <v>0</v>
      </c>
      <c r="L53">
        <v>4.8000000000000001E-2</v>
      </c>
      <c r="M53">
        <v>3.5452868230640888</v>
      </c>
      <c r="N53" t="s">
        <v>140</v>
      </c>
      <c r="O53">
        <v>327003.09000000003</v>
      </c>
    </row>
    <row r="54" spans="1:15" x14ac:dyDescent="0.2">
      <c r="A54">
        <v>45738</v>
      </c>
      <c r="B54" t="s">
        <v>136</v>
      </c>
      <c r="C54" t="s">
        <v>39</v>
      </c>
      <c r="D54">
        <v>200873.7</v>
      </c>
      <c r="E54" t="s">
        <v>32</v>
      </c>
      <c r="F54" t="s">
        <v>40</v>
      </c>
      <c r="G54" t="s">
        <v>24</v>
      </c>
      <c r="H54">
        <v>24</v>
      </c>
      <c r="I54">
        <v>5264.6</v>
      </c>
      <c r="J54">
        <v>45721</v>
      </c>
      <c r="K54" t="b">
        <v>0</v>
      </c>
      <c r="L54">
        <v>0.13500000000000001</v>
      </c>
      <c r="M54">
        <v>7.8045912180095911</v>
      </c>
      <c r="N54" t="s">
        <v>141</v>
      </c>
      <c r="O54">
        <v>-361441.72</v>
      </c>
    </row>
    <row r="55" spans="1:15" x14ac:dyDescent="0.2">
      <c r="A55">
        <v>45743</v>
      </c>
      <c r="B55" t="s">
        <v>123</v>
      </c>
      <c r="C55" t="s">
        <v>87</v>
      </c>
      <c r="D55">
        <v>273906.27</v>
      </c>
      <c r="E55" t="s">
        <v>32</v>
      </c>
      <c r="F55" t="s">
        <v>65</v>
      </c>
      <c r="G55" t="s">
        <v>19</v>
      </c>
      <c r="H55">
        <v>32</v>
      </c>
      <c r="I55">
        <v>5596.13</v>
      </c>
      <c r="J55">
        <v>46178</v>
      </c>
      <c r="K55" t="b">
        <v>1</v>
      </c>
      <c r="L55">
        <v>0.84099999999999997</v>
      </c>
      <c r="M55">
        <v>5.6483196676708758</v>
      </c>
      <c r="N55" t="s">
        <v>142</v>
      </c>
      <c r="O55">
        <v>324683.31</v>
      </c>
    </row>
    <row r="56" spans="1:15" x14ac:dyDescent="0.2">
      <c r="A56">
        <v>45796</v>
      </c>
      <c r="B56" t="s">
        <v>63</v>
      </c>
      <c r="C56" t="s">
        <v>31</v>
      </c>
      <c r="D56">
        <v>348412.93</v>
      </c>
      <c r="E56" t="s">
        <v>32</v>
      </c>
      <c r="F56" t="s">
        <v>45</v>
      </c>
      <c r="G56" t="s">
        <v>19</v>
      </c>
      <c r="H56">
        <v>99</v>
      </c>
      <c r="I56">
        <v>6208.54</v>
      </c>
      <c r="J56">
        <v>45735</v>
      </c>
      <c r="K56" t="b">
        <v>1</v>
      </c>
      <c r="L56">
        <v>0.81699999999999995</v>
      </c>
      <c r="M56">
        <v>8.9970859419554472</v>
      </c>
      <c r="N56" t="s">
        <v>143</v>
      </c>
      <c r="O56">
        <v>285169.58</v>
      </c>
    </row>
    <row r="57" spans="1:15" x14ac:dyDescent="0.2">
      <c r="A57">
        <v>45981</v>
      </c>
      <c r="B57" t="s">
        <v>144</v>
      </c>
      <c r="C57" t="s">
        <v>85</v>
      </c>
      <c r="D57">
        <v>380221.97</v>
      </c>
      <c r="E57" t="s">
        <v>32</v>
      </c>
      <c r="F57" t="s">
        <v>105</v>
      </c>
      <c r="G57" t="s">
        <v>78</v>
      </c>
      <c r="H57">
        <v>3</v>
      </c>
      <c r="I57">
        <v>7047.42</v>
      </c>
      <c r="J57">
        <v>46316</v>
      </c>
      <c r="K57" t="b">
        <v>1</v>
      </c>
      <c r="L57">
        <v>0.30499999999999999</v>
      </c>
      <c r="M57">
        <v>8.4919543517753482</v>
      </c>
      <c r="N57" t="s">
        <v>145</v>
      </c>
      <c r="O57">
        <v>237428.86</v>
      </c>
    </row>
    <row r="58" spans="1:15" x14ac:dyDescent="0.2">
      <c r="A58">
        <v>45722</v>
      </c>
      <c r="B58" t="s">
        <v>15</v>
      </c>
      <c r="C58" t="s">
        <v>90</v>
      </c>
      <c r="D58">
        <v>-77915.360000000001</v>
      </c>
      <c r="E58" t="s">
        <v>32</v>
      </c>
      <c r="F58" t="s">
        <v>88</v>
      </c>
      <c r="G58" t="s">
        <v>66</v>
      </c>
      <c r="H58">
        <v>14</v>
      </c>
      <c r="I58">
        <v>8281.83</v>
      </c>
      <c r="J58">
        <v>45957</v>
      </c>
      <c r="K58" t="b">
        <v>1</v>
      </c>
      <c r="L58">
        <v>0.76900000000000002</v>
      </c>
      <c r="M58">
        <v>1.5814722189679742</v>
      </c>
      <c r="N58" t="s">
        <v>146</v>
      </c>
      <c r="O58">
        <v>74699.77</v>
      </c>
    </row>
    <row r="59" spans="1:15" x14ac:dyDescent="0.2">
      <c r="A59">
        <v>46001</v>
      </c>
      <c r="B59" t="s">
        <v>147</v>
      </c>
      <c r="C59" t="s">
        <v>85</v>
      </c>
      <c r="D59">
        <v>-23322.9</v>
      </c>
      <c r="E59" t="s">
        <v>32</v>
      </c>
      <c r="F59" t="s">
        <v>48</v>
      </c>
      <c r="G59" t="s">
        <v>41</v>
      </c>
      <c r="H59">
        <v>73</v>
      </c>
      <c r="I59">
        <v>6404.21</v>
      </c>
      <c r="J59">
        <v>46344</v>
      </c>
      <c r="K59" t="b">
        <v>0</v>
      </c>
      <c r="L59">
        <v>0.94099999999999995</v>
      </c>
      <c r="M59">
        <v>9.2515797563828528</v>
      </c>
      <c r="N59" t="s">
        <v>148</v>
      </c>
      <c r="O59">
        <v>-374364.42</v>
      </c>
    </row>
    <row r="60" spans="1:15" x14ac:dyDescent="0.2">
      <c r="A60">
        <v>45716</v>
      </c>
      <c r="B60" t="s">
        <v>149</v>
      </c>
      <c r="C60" t="s">
        <v>22</v>
      </c>
      <c r="D60">
        <v>204939.46</v>
      </c>
      <c r="E60" t="s">
        <v>32</v>
      </c>
      <c r="F60" t="s">
        <v>82</v>
      </c>
      <c r="G60" t="s">
        <v>78</v>
      </c>
      <c r="H60">
        <v>37</v>
      </c>
      <c r="I60">
        <v>6550.61</v>
      </c>
      <c r="J60">
        <v>45764</v>
      </c>
      <c r="K60" t="b">
        <v>0</v>
      </c>
      <c r="L60">
        <v>0.96599999999999997</v>
      </c>
      <c r="M60">
        <v>6.421055446844548</v>
      </c>
      <c r="N60" t="s">
        <v>150</v>
      </c>
      <c r="O60">
        <v>252464.15</v>
      </c>
    </row>
    <row r="61" spans="1:15" x14ac:dyDescent="0.2">
      <c r="A61">
        <v>45873</v>
      </c>
      <c r="B61" t="s">
        <v>151</v>
      </c>
      <c r="C61" t="s">
        <v>70</v>
      </c>
      <c r="D61">
        <v>73506.61</v>
      </c>
      <c r="E61" t="s">
        <v>17</v>
      </c>
      <c r="F61" t="s">
        <v>60</v>
      </c>
      <c r="G61" t="s">
        <v>49</v>
      </c>
      <c r="H61">
        <v>51</v>
      </c>
      <c r="I61">
        <v>6068.6</v>
      </c>
      <c r="J61">
        <v>45918</v>
      </c>
      <c r="K61" t="b">
        <v>1</v>
      </c>
      <c r="L61">
        <v>0.26900000000000002</v>
      </c>
      <c r="M61">
        <v>4.9541382770985365</v>
      </c>
      <c r="N61" t="s">
        <v>152</v>
      </c>
      <c r="O61">
        <v>-247006.05</v>
      </c>
    </row>
    <row r="62" spans="1:15" x14ac:dyDescent="0.2">
      <c r="A62">
        <v>45839</v>
      </c>
      <c r="B62" t="s">
        <v>153</v>
      </c>
      <c r="C62" t="s">
        <v>31</v>
      </c>
      <c r="D62">
        <v>255552.73</v>
      </c>
      <c r="E62" t="s">
        <v>32</v>
      </c>
      <c r="F62" t="s">
        <v>28</v>
      </c>
      <c r="G62" t="s">
        <v>78</v>
      </c>
      <c r="H62">
        <v>79</v>
      </c>
      <c r="I62">
        <v>4414.5200000000004</v>
      </c>
      <c r="J62">
        <v>45971</v>
      </c>
      <c r="K62" t="b">
        <v>0</v>
      </c>
      <c r="L62">
        <v>0.746</v>
      </c>
      <c r="M62">
        <v>0.88464802829548717</v>
      </c>
      <c r="N62" t="s">
        <v>154</v>
      </c>
      <c r="O62">
        <v>-374388.54</v>
      </c>
    </row>
    <row r="63" spans="1:15" x14ac:dyDescent="0.2">
      <c r="A63">
        <v>45789</v>
      </c>
      <c r="B63" t="s">
        <v>80</v>
      </c>
      <c r="C63" t="s">
        <v>130</v>
      </c>
      <c r="D63">
        <v>148233.03</v>
      </c>
      <c r="E63" t="s">
        <v>32</v>
      </c>
      <c r="F63" t="s">
        <v>33</v>
      </c>
      <c r="G63" t="s">
        <v>58</v>
      </c>
      <c r="H63">
        <v>34</v>
      </c>
      <c r="I63">
        <v>9327.31</v>
      </c>
      <c r="J63">
        <v>45834</v>
      </c>
      <c r="K63" t="b">
        <v>1</v>
      </c>
      <c r="L63">
        <v>0.85299999999999998</v>
      </c>
      <c r="M63">
        <v>5.7010986609384418</v>
      </c>
      <c r="N63" t="s">
        <v>155</v>
      </c>
      <c r="O63">
        <v>-266395.93</v>
      </c>
    </row>
    <row r="64" spans="1:15" x14ac:dyDescent="0.2">
      <c r="A64">
        <v>45896</v>
      </c>
      <c r="B64" t="s">
        <v>51</v>
      </c>
      <c r="C64" t="s">
        <v>31</v>
      </c>
      <c r="D64">
        <v>197703.92</v>
      </c>
      <c r="E64" t="s">
        <v>17</v>
      </c>
      <c r="F64" t="s">
        <v>82</v>
      </c>
      <c r="G64" t="s">
        <v>52</v>
      </c>
      <c r="H64">
        <v>74</v>
      </c>
      <c r="I64">
        <v>3695.56</v>
      </c>
      <c r="J64">
        <v>45895</v>
      </c>
      <c r="K64" t="b">
        <v>1</v>
      </c>
      <c r="L64">
        <v>0.76700000000000002</v>
      </c>
      <c r="M64">
        <v>7.5047139194793999</v>
      </c>
      <c r="N64" t="s">
        <v>156</v>
      </c>
      <c r="O64">
        <v>-4017.1</v>
      </c>
    </row>
    <row r="65" spans="1:15" x14ac:dyDescent="0.2">
      <c r="A65">
        <v>45813</v>
      </c>
      <c r="B65" t="s">
        <v>15</v>
      </c>
      <c r="C65" t="s">
        <v>90</v>
      </c>
      <c r="D65">
        <v>144828.35</v>
      </c>
      <c r="E65" t="s">
        <v>17</v>
      </c>
      <c r="F65" t="s">
        <v>124</v>
      </c>
      <c r="G65" t="s">
        <v>41</v>
      </c>
      <c r="H65">
        <v>7</v>
      </c>
      <c r="I65">
        <v>9040.36</v>
      </c>
      <c r="J65">
        <v>46191</v>
      </c>
      <c r="K65" t="b">
        <v>1</v>
      </c>
      <c r="L65">
        <v>9.5000000000000001E-2</v>
      </c>
      <c r="M65">
        <v>6.3381114695221186</v>
      </c>
      <c r="N65" t="s">
        <v>157</v>
      </c>
      <c r="O65">
        <v>267427.09000000003</v>
      </c>
    </row>
    <row r="66" spans="1:15" x14ac:dyDescent="0.2">
      <c r="A66">
        <v>45689</v>
      </c>
      <c r="B66" t="s">
        <v>35</v>
      </c>
      <c r="C66" t="s">
        <v>31</v>
      </c>
      <c r="D66">
        <v>-59194.5</v>
      </c>
      <c r="E66" t="s">
        <v>17</v>
      </c>
      <c r="F66" t="s">
        <v>95</v>
      </c>
      <c r="G66" t="s">
        <v>19</v>
      </c>
      <c r="H66">
        <v>40</v>
      </c>
      <c r="I66">
        <v>7442.27</v>
      </c>
      <c r="J66">
        <v>45802</v>
      </c>
      <c r="K66" t="b">
        <v>0</v>
      </c>
      <c r="L66">
        <v>0.57899999999999996</v>
      </c>
      <c r="M66">
        <v>6.5499407076276839</v>
      </c>
      <c r="N66" t="s">
        <v>158</v>
      </c>
      <c r="O66">
        <v>-93700.21</v>
      </c>
    </row>
    <row r="67" spans="1:15" x14ac:dyDescent="0.2">
      <c r="A67">
        <v>45684</v>
      </c>
      <c r="B67" t="s">
        <v>21</v>
      </c>
      <c r="C67" t="s">
        <v>74</v>
      </c>
      <c r="D67">
        <v>283598.73</v>
      </c>
      <c r="E67" t="s">
        <v>17</v>
      </c>
      <c r="F67" t="s">
        <v>40</v>
      </c>
      <c r="H67">
        <v>30</v>
      </c>
      <c r="I67">
        <v>1002.7</v>
      </c>
      <c r="J67">
        <v>45695</v>
      </c>
      <c r="K67" t="b">
        <v>1</v>
      </c>
      <c r="L67">
        <v>0.877</v>
      </c>
      <c r="M67">
        <v>4.4845547550357878</v>
      </c>
      <c r="N67" t="s">
        <v>159</v>
      </c>
      <c r="O67">
        <v>4621.1499999999996</v>
      </c>
    </row>
    <row r="68" spans="1:15" x14ac:dyDescent="0.2">
      <c r="A68">
        <v>45669</v>
      </c>
      <c r="B68" t="s">
        <v>149</v>
      </c>
      <c r="C68" t="s">
        <v>90</v>
      </c>
      <c r="D68">
        <v>54402.51</v>
      </c>
      <c r="E68" t="s">
        <v>17</v>
      </c>
      <c r="F68" t="s">
        <v>40</v>
      </c>
      <c r="G68" t="s">
        <v>61</v>
      </c>
      <c r="H68">
        <v>52</v>
      </c>
      <c r="I68">
        <v>1542.6</v>
      </c>
      <c r="J68">
        <v>45982</v>
      </c>
      <c r="K68" t="b">
        <v>0</v>
      </c>
      <c r="L68">
        <v>0.76300000000000001</v>
      </c>
      <c r="M68">
        <v>9.8167426395229995</v>
      </c>
      <c r="N68" t="s">
        <v>160</v>
      </c>
      <c r="O68">
        <v>-45200.72</v>
      </c>
    </row>
    <row r="69" spans="1:15" x14ac:dyDescent="0.2">
      <c r="A69">
        <v>45683</v>
      </c>
      <c r="B69" t="s">
        <v>30</v>
      </c>
      <c r="C69" t="s">
        <v>81</v>
      </c>
      <c r="D69">
        <v>-60052.41</v>
      </c>
      <c r="E69" t="s">
        <v>32</v>
      </c>
      <c r="F69" t="s">
        <v>18</v>
      </c>
      <c r="G69" t="s">
        <v>41</v>
      </c>
      <c r="H69">
        <v>37</v>
      </c>
      <c r="I69">
        <v>4971.43</v>
      </c>
      <c r="J69">
        <v>46217</v>
      </c>
      <c r="K69" t="b">
        <v>0</v>
      </c>
      <c r="L69">
        <v>0.64200000000000002</v>
      </c>
      <c r="M69">
        <v>1.186873319093138</v>
      </c>
      <c r="N69" t="s">
        <v>161</v>
      </c>
      <c r="O69">
        <v>215473.67</v>
      </c>
    </row>
    <row r="70" spans="1:15" x14ac:dyDescent="0.2">
      <c r="A70">
        <v>45781</v>
      </c>
      <c r="B70" t="s">
        <v>63</v>
      </c>
      <c r="C70" t="s">
        <v>74</v>
      </c>
      <c r="D70">
        <v>134574.59</v>
      </c>
      <c r="E70" t="s">
        <v>32</v>
      </c>
      <c r="F70" t="s">
        <v>124</v>
      </c>
      <c r="G70" t="s">
        <v>49</v>
      </c>
      <c r="H70">
        <v>40</v>
      </c>
      <c r="I70">
        <v>1961.44</v>
      </c>
      <c r="J70">
        <v>46091</v>
      </c>
      <c r="K70" t="b">
        <v>0</v>
      </c>
      <c r="L70">
        <v>0.94599999999999995</v>
      </c>
      <c r="M70">
        <v>6.6651969705708325</v>
      </c>
      <c r="N70" t="s">
        <v>162</v>
      </c>
      <c r="O70">
        <v>269182.69</v>
      </c>
    </row>
    <row r="71" spans="1:15" x14ac:dyDescent="0.2">
      <c r="A71">
        <v>45804</v>
      </c>
      <c r="B71" t="s">
        <v>21</v>
      </c>
      <c r="C71" t="s">
        <v>74</v>
      </c>
      <c r="D71">
        <v>170120.84</v>
      </c>
      <c r="E71" t="s">
        <v>17</v>
      </c>
      <c r="F71" t="s">
        <v>77</v>
      </c>
      <c r="G71" t="s">
        <v>66</v>
      </c>
      <c r="H71">
        <v>76</v>
      </c>
      <c r="I71">
        <v>6525.1</v>
      </c>
      <c r="J71">
        <v>45887</v>
      </c>
      <c r="K71" t="b">
        <v>1</v>
      </c>
      <c r="L71">
        <v>0.26300000000000001</v>
      </c>
      <c r="M71">
        <v>4.3567641545087099</v>
      </c>
      <c r="N71" t="s">
        <v>163</v>
      </c>
      <c r="O71">
        <v>-439631.59</v>
      </c>
    </row>
    <row r="72" spans="1:15" x14ac:dyDescent="0.2">
      <c r="A72">
        <v>46015</v>
      </c>
      <c r="B72" t="s">
        <v>117</v>
      </c>
      <c r="C72" t="s">
        <v>55</v>
      </c>
      <c r="D72">
        <v>103867.83</v>
      </c>
      <c r="E72" t="s">
        <v>17</v>
      </c>
      <c r="F72" t="s">
        <v>40</v>
      </c>
      <c r="G72" t="s">
        <v>24</v>
      </c>
      <c r="H72">
        <v>49</v>
      </c>
      <c r="I72">
        <v>6958.76</v>
      </c>
      <c r="J72">
        <v>45923</v>
      </c>
      <c r="K72" t="b">
        <v>1</v>
      </c>
      <c r="L72">
        <v>0.81100000000000005</v>
      </c>
      <c r="M72">
        <v>7.8613886376842856</v>
      </c>
      <c r="N72" t="s">
        <v>164</v>
      </c>
      <c r="O72">
        <v>407077.49</v>
      </c>
    </row>
    <row r="73" spans="1:15" x14ac:dyDescent="0.2">
      <c r="A73">
        <v>45768</v>
      </c>
      <c r="B73" t="s">
        <v>15</v>
      </c>
      <c r="C73" t="s">
        <v>64</v>
      </c>
      <c r="D73">
        <v>47294.32</v>
      </c>
      <c r="E73" t="s">
        <v>32</v>
      </c>
      <c r="F73" t="s">
        <v>23</v>
      </c>
      <c r="G73" t="s">
        <v>41</v>
      </c>
      <c r="H73">
        <v>31</v>
      </c>
      <c r="I73">
        <v>4136.03</v>
      </c>
      <c r="J73">
        <v>45842</v>
      </c>
      <c r="K73" t="b">
        <v>1</v>
      </c>
      <c r="L73">
        <v>0.124</v>
      </c>
      <c r="M73">
        <v>2.5393814919516444</v>
      </c>
      <c r="N73" t="s">
        <v>165</v>
      </c>
      <c r="O73">
        <v>402269.18</v>
      </c>
    </row>
    <row r="74" spans="1:15" x14ac:dyDescent="0.2">
      <c r="A74">
        <v>45927</v>
      </c>
      <c r="B74" t="s">
        <v>21</v>
      </c>
      <c r="C74" t="s">
        <v>27</v>
      </c>
      <c r="D74">
        <v>-59420.61</v>
      </c>
      <c r="E74" t="s">
        <v>32</v>
      </c>
      <c r="F74" t="s">
        <v>23</v>
      </c>
      <c r="G74" t="s">
        <v>66</v>
      </c>
      <c r="H74">
        <v>90</v>
      </c>
      <c r="I74">
        <v>8.06</v>
      </c>
      <c r="J74">
        <v>46033</v>
      </c>
      <c r="K74" t="b">
        <v>0</v>
      </c>
      <c r="L74">
        <v>0.63</v>
      </c>
      <c r="M74">
        <v>5.7307973713614047</v>
      </c>
      <c r="N74" t="s">
        <v>166</v>
      </c>
      <c r="O74">
        <v>-463358.13</v>
      </c>
    </row>
    <row r="75" spans="1:15" x14ac:dyDescent="0.2">
      <c r="A75">
        <v>45662</v>
      </c>
      <c r="B75" t="s">
        <v>97</v>
      </c>
      <c r="C75" t="s">
        <v>98</v>
      </c>
      <c r="D75">
        <v>284772.28999999998</v>
      </c>
      <c r="E75" t="s">
        <v>32</v>
      </c>
      <c r="F75" t="s">
        <v>60</v>
      </c>
      <c r="G75" t="s">
        <v>66</v>
      </c>
      <c r="H75">
        <v>37</v>
      </c>
      <c r="I75">
        <v>5776.38</v>
      </c>
      <c r="J75">
        <v>45757</v>
      </c>
      <c r="K75" t="b">
        <v>0</v>
      </c>
      <c r="L75">
        <v>0.45100000000000001</v>
      </c>
      <c r="M75">
        <v>6.6199468518607318</v>
      </c>
      <c r="N75" t="s">
        <v>167</v>
      </c>
      <c r="O75">
        <v>185725.27</v>
      </c>
    </row>
    <row r="76" spans="1:15" x14ac:dyDescent="0.2">
      <c r="A76">
        <v>45795</v>
      </c>
      <c r="B76" t="s">
        <v>147</v>
      </c>
      <c r="C76" t="s">
        <v>87</v>
      </c>
      <c r="D76">
        <v>297671.82</v>
      </c>
      <c r="E76" t="s">
        <v>17</v>
      </c>
      <c r="F76" t="s">
        <v>77</v>
      </c>
      <c r="G76" t="s">
        <v>78</v>
      </c>
      <c r="H76">
        <v>2</v>
      </c>
      <c r="I76">
        <v>883.6</v>
      </c>
      <c r="J76">
        <v>46260</v>
      </c>
      <c r="K76" t="b">
        <v>1</v>
      </c>
      <c r="L76">
        <v>5.1999999999999998E-2</v>
      </c>
      <c r="M76">
        <v>8.583746321965009</v>
      </c>
      <c r="N76" t="s">
        <v>168</v>
      </c>
      <c r="O76">
        <v>463227.74</v>
      </c>
    </row>
    <row r="77" spans="1:15" x14ac:dyDescent="0.2">
      <c r="A77">
        <v>45957</v>
      </c>
      <c r="B77" t="s">
        <v>92</v>
      </c>
      <c r="C77" t="s">
        <v>127</v>
      </c>
      <c r="D77">
        <v>198357.66</v>
      </c>
      <c r="E77" t="s">
        <v>17</v>
      </c>
      <c r="F77" t="s">
        <v>40</v>
      </c>
      <c r="G77" t="s">
        <v>78</v>
      </c>
      <c r="H77">
        <v>64</v>
      </c>
      <c r="I77">
        <v>872.21</v>
      </c>
      <c r="J77">
        <v>46293</v>
      </c>
      <c r="K77" t="b">
        <v>1</v>
      </c>
      <c r="L77">
        <v>0.626</v>
      </c>
      <c r="M77">
        <v>1.7621700000017881</v>
      </c>
      <c r="N77" t="s">
        <v>169</v>
      </c>
      <c r="O77">
        <v>167911.86</v>
      </c>
    </row>
    <row r="78" spans="1:15" x14ac:dyDescent="0.2">
      <c r="A78">
        <v>45914</v>
      </c>
      <c r="B78" t="s">
        <v>72</v>
      </c>
      <c r="C78" t="s">
        <v>90</v>
      </c>
      <c r="D78">
        <v>274207.5</v>
      </c>
      <c r="E78" t="s">
        <v>32</v>
      </c>
      <c r="F78" t="s">
        <v>77</v>
      </c>
      <c r="G78" t="s">
        <v>49</v>
      </c>
      <c r="H78">
        <v>87</v>
      </c>
      <c r="I78">
        <v>2013.33</v>
      </c>
      <c r="J78">
        <v>46135</v>
      </c>
      <c r="K78" t="b">
        <v>1</v>
      </c>
      <c r="L78">
        <v>0.50700000000000001</v>
      </c>
      <c r="M78">
        <v>4.8753089900128543</v>
      </c>
      <c r="N78" t="s">
        <v>170</v>
      </c>
      <c r="O78">
        <v>-340874.63</v>
      </c>
    </row>
    <row r="79" spans="1:15" x14ac:dyDescent="0.2">
      <c r="A79">
        <v>45670</v>
      </c>
      <c r="B79" t="s">
        <v>123</v>
      </c>
      <c r="C79" t="s">
        <v>127</v>
      </c>
      <c r="D79">
        <v>225830.81</v>
      </c>
      <c r="E79" t="s">
        <v>17</v>
      </c>
      <c r="F79" t="s">
        <v>18</v>
      </c>
      <c r="G79" t="s">
        <v>78</v>
      </c>
      <c r="H79">
        <v>55</v>
      </c>
      <c r="I79">
        <v>9213.4500000000007</v>
      </c>
      <c r="J79">
        <v>46276</v>
      </c>
      <c r="K79" t="b">
        <v>0</v>
      </c>
      <c r="L79">
        <v>0.56000000000000005</v>
      </c>
      <c r="M79">
        <v>7.9842500714585185</v>
      </c>
      <c r="N79" t="s">
        <v>171</v>
      </c>
      <c r="O79">
        <v>-345041.86</v>
      </c>
    </row>
    <row r="80" spans="1:15" x14ac:dyDescent="0.2">
      <c r="A80">
        <v>45764</v>
      </c>
      <c r="B80" t="s">
        <v>15</v>
      </c>
      <c r="C80" t="s">
        <v>36</v>
      </c>
      <c r="D80">
        <v>123410.02</v>
      </c>
      <c r="E80" t="s">
        <v>17</v>
      </c>
      <c r="F80" t="s">
        <v>18</v>
      </c>
      <c r="G80" t="s">
        <v>61</v>
      </c>
      <c r="H80">
        <v>26</v>
      </c>
      <c r="I80">
        <v>5010.57</v>
      </c>
      <c r="J80">
        <v>46358</v>
      </c>
      <c r="K80" t="b">
        <v>1</v>
      </c>
      <c r="L80">
        <v>0.35399999999999998</v>
      </c>
      <c r="M80">
        <v>8.059503547847271</v>
      </c>
      <c r="N80" t="s">
        <v>172</v>
      </c>
      <c r="O80">
        <v>-293894.51</v>
      </c>
    </row>
    <row r="81" spans="1:15" x14ac:dyDescent="0.2">
      <c r="A81">
        <v>45714</v>
      </c>
      <c r="B81" t="s">
        <v>123</v>
      </c>
      <c r="C81" t="s">
        <v>36</v>
      </c>
      <c r="D81">
        <v>-52645.57</v>
      </c>
      <c r="E81" t="s">
        <v>17</v>
      </c>
      <c r="F81" t="s">
        <v>23</v>
      </c>
      <c r="G81" t="s">
        <v>78</v>
      </c>
      <c r="H81">
        <v>9</v>
      </c>
      <c r="I81">
        <v>5422.35</v>
      </c>
      <c r="J81">
        <v>45818</v>
      </c>
      <c r="K81" t="b">
        <v>1</v>
      </c>
      <c r="L81">
        <v>0.192</v>
      </c>
      <c r="M81">
        <v>7.5618679262697697</v>
      </c>
      <c r="N81" t="s">
        <v>173</v>
      </c>
      <c r="O81">
        <v>-334418.18</v>
      </c>
    </row>
    <row r="82" spans="1:15" x14ac:dyDescent="0.2">
      <c r="A82">
        <v>45766</v>
      </c>
      <c r="B82" t="s">
        <v>97</v>
      </c>
      <c r="C82" t="s">
        <v>16</v>
      </c>
      <c r="D82">
        <v>239698.95</v>
      </c>
      <c r="E82" t="s">
        <v>32</v>
      </c>
      <c r="F82" t="s">
        <v>95</v>
      </c>
      <c r="G82" t="s">
        <v>41</v>
      </c>
      <c r="H82">
        <v>70</v>
      </c>
      <c r="I82">
        <v>6906.93</v>
      </c>
      <c r="J82">
        <v>45925</v>
      </c>
      <c r="K82" t="b">
        <v>0</v>
      </c>
      <c r="L82">
        <v>0.627</v>
      </c>
      <c r="M82">
        <v>4.8163185431621969</v>
      </c>
      <c r="N82" t="s">
        <v>174</v>
      </c>
      <c r="O82">
        <v>41534.26</v>
      </c>
    </row>
    <row r="83" spans="1:15" x14ac:dyDescent="0.2">
      <c r="A83">
        <v>45675</v>
      </c>
      <c r="B83" t="s">
        <v>175</v>
      </c>
      <c r="C83" t="s">
        <v>39</v>
      </c>
      <c r="D83">
        <v>-53677.74</v>
      </c>
      <c r="E83" t="s">
        <v>32</v>
      </c>
      <c r="F83" t="s">
        <v>45</v>
      </c>
      <c r="G83" t="s">
        <v>52</v>
      </c>
      <c r="H83">
        <v>74</v>
      </c>
      <c r="I83">
        <v>9521.2199999999993</v>
      </c>
      <c r="J83">
        <v>46194</v>
      </c>
      <c r="K83" t="b">
        <v>0</v>
      </c>
      <c r="L83">
        <v>0.66400000000000003</v>
      </c>
      <c r="M83">
        <v>7.4190987437032163</v>
      </c>
      <c r="N83" t="s">
        <v>176</v>
      </c>
      <c r="O83">
        <v>-15969.74</v>
      </c>
    </row>
    <row r="84" spans="1:15" x14ac:dyDescent="0.2">
      <c r="A84">
        <v>45979</v>
      </c>
      <c r="B84" t="s">
        <v>76</v>
      </c>
      <c r="C84" t="s">
        <v>16</v>
      </c>
      <c r="D84">
        <v>28716.73</v>
      </c>
      <c r="E84" t="s">
        <v>32</v>
      </c>
      <c r="F84" t="s">
        <v>95</v>
      </c>
      <c r="H84">
        <v>8</v>
      </c>
      <c r="I84">
        <v>5484.13</v>
      </c>
      <c r="J84">
        <v>46082</v>
      </c>
      <c r="K84" t="b">
        <v>1</v>
      </c>
      <c r="L84">
        <v>0.49299999999999999</v>
      </c>
      <c r="M84">
        <v>3.3626773487776518</v>
      </c>
      <c r="N84" t="s">
        <v>177</v>
      </c>
      <c r="O84">
        <v>-475997.56</v>
      </c>
    </row>
    <row r="85" spans="1:15" x14ac:dyDescent="0.2">
      <c r="A85">
        <v>45967</v>
      </c>
      <c r="B85" t="s">
        <v>69</v>
      </c>
      <c r="C85" t="s">
        <v>130</v>
      </c>
      <c r="D85">
        <v>331731.76</v>
      </c>
      <c r="E85" t="s">
        <v>17</v>
      </c>
      <c r="F85" t="s">
        <v>95</v>
      </c>
      <c r="H85">
        <v>8</v>
      </c>
      <c r="I85">
        <v>5272.44</v>
      </c>
      <c r="J85">
        <v>45699</v>
      </c>
      <c r="K85" t="b">
        <v>0</v>
      </c>
      <c r="L85">
        <v>0.23200000000000001</v>
      </c>
      <c r="M85">
        <v>2.237085688393563</v>
      </c>
      <c r="N85" t="s">
        <v>178</v>
      </c>
      <c r="O85">
        <v>-157972.51999999999</v>
      </c>
    </row>
    <row r="86" spans="1:15" x14ac:dyDescent="0.2">
      <c r="A86">
        <v>46003</v>
      </c>
      <c r="B86" t="s">
        <v>69</v>
      </c>
      <c r="C86" t="s">
        <v>22</v>
      </c>
      <c r="D86">
        <v>159471.5</v>
      </c>
      <c r="E86" t="s">
        <v>32</v>
      </c>
      <c r="F86" t="s">
        <v>65</v>
      </c>
      <c r="G86" t="s">
        <v>66</v>
      </c>
      <c r="H86">
        <v>4</v>
      </c>
      <c r="I86">
        <v>3190.14</v>
      </c>
      <c r="J86">
        <v>45752</v>
      </c>
      <c r="K86" t="b">
        <v>0</v>
      </c>
      <c r="L86">
        <v>0.83099999999999996</v>
      </c>
      <c r="M86">
        <v>1.906192300375551</v>
      </c>
      <c r="N86" t="s">
        <v>179</v>
      </c>
      <c r="O86">
        <v>13636.18</v>
      </c>
    </row>
    <row r="87" spans="1:15" x14ac:dyDescent="0.2">
      <c r="A87">
        <v>46018</v>
      </c>
      <c r="B87" t="s">
        <v>126</v>
      </c>
      <c r="C87" t="s">
        <v>27</v>
      </c>
      <c r="D87">
        <v>206959.82</v>
      </c>
      <c r="E87" t="s">
        <v>17</v>
      </c>
      <c r="F87" t="s">
        <v>77</v>
      </c>
      <c r="G87" t="s">
        <v>58</v>
      </c>
      <c r="H87">
        <v>83</v>
      </c>
      <c r="I87">
        <v>1079.83</v>
      </c>
      <c r="J87">
        <v>46099</v>
      </c>
      <c r="K87" t="b">
        <v>0</v>
      </c>
      <c r="L87">
        <v>0.502</v>
      </c>
      <c r="M87">
        <v>6.4652038319036365</v>
      </c>
      <c r="N87" t="s">
        <v>180</v>
      </c>
      <c r="O87">
        <v>443800.47</v>
      </c>
    </row>
    <row r="88" spans="1:15" x14ac:dyDescent="0.2">
      <c r="A88">
        <v>45666</v>
      </c>
      <c r="B88" t="s">
        <v>47</v>
      </c>
      <c r="C88" t="s">
        <v>74</v>
      </c>
      <c r="D88">
        <v>67299.02</v>
      </c>
      <c r="E88" t="s">
        <v>17</v>
      </c>
      <c r="F88" t="s">
        <v>105</v>
      </c>
      <c r="G88" t="s">
        <v>49</v>
      </c>
      <c r="H88">
        <v>42</v>
      </c>
      <c r="I88">
        <v>4779.3500000000004</v>
      </c>
      <c r="J88">
        <v>45855</v>
      </c>
      <c r="K88" t="b">
        <v>0</v>
      </c>
      <c r="L88">
        <v>1E-3</v>
      </c>
      <c r="M88">
        <v>6.3120271428488195</v>
      </c>
      <c r="N88" t="s">
        <v>181</v>
      </c>
      <c r="O88">
        <v>267908.90999999997</v>
      </c>
    </row>
    <row r="89" spans="1:15" x14ac:dyDescent="0.2">
      <c r="A89">
        <v>46001</v>
      </c>
      <c r="B89" t="s">
        <v>54</v>
      </c>
      <c r="C89" t="s">
        <v>93</v>
      </c>
      <c r="D89">
        <v>-76555.960000000006</v>
      </c>
      <c r="E89" t="s">
        <v>32</v>
      </c>
      <c r="F89" t="s">
        <v>48</v>
      </c>
      <c r="G89" t="s">
        <v>24</v>
      </c>
      <c r="H89">
        <v>63</v>
      </c>
      <c r="I89">
        <v>8441.34</v>
      </c>
      <c r="J89">
        <v>46001</v>
      </c>
      <c r="K89" t="b">
        <v>1</v>
      </c>
      <c r="L89">
        <v>0.309</v>
      </c>
      <c r="M89">
        <v>1.3268098514527082</v>
      </c>
      <c r="N89" t="s">
        <v>182</v>
      </c>
      <c r="O89">
        <v>-477698.13</v>
      </c>
    </row>
    <row r="90" spans="1:15" x14ac:dyDescent="0.2">
      <c r="A90">
        <v>45915</v>
      </c>
      <c r="B90" t="s">
        <v>76</v>
      </c>
      <c r="C90" t="s">
        <v>70</v>
      </c>
      <c r="D90">
        <v>317963.88</v>
      </c>
      <c r="E90" t="s">
        <v>17</v>
      </c>
      <c r="F90" t="s">
        <v>95</v>
      </c>
      <c r="G90" t="s">
        <v>19</v>
      </c>
      <c r="H90">
        <v>52</v>
      </c>
      <c r="I90">
        <v>7713.5</v>
      </c>
      <c r="J90">
        <v>45906</v>
      </c>
      <c r="K90" t="b">
        <v>1</v>
      </c>
      <c r="L90">
        <v>0.38500000000000001</v>
      </c>
      <c r="M90">
        <v>1.5383160626515746</v>
      </c>
      <c r="N90" t="s">
        <v>183</v>
      </c>
      <c r="O90">
        <v>317822.14</v>
      </c>
    </row>
    <row r="91" spans="1:15" x14ac:dyDescent="0.2">
      <c r="A91">
        <v>45881</v>
      </c>
      <c r="B91" t="s">
        <v>76</v>
      </c>
      <c r="C91" t="s">
        <v>64</v>
      </c>
      <c r="D91">
        <v>-13469.76</v>
      </c>
      <c r="E91" t="s">
        <v>32</v>
      </c>
      <c r="F91" t="s">
        <v>48</v>
      </c>
      <c r="G91" t="s">
        <v>52</v>
      </c>
      <c r="H91">
        <v>86</v>
      </c>
      <c r="I91">
        <v>6355.76</v>
      </c>
      <c r="J91">
        <v>45684</v>
      </c>
      <c r="K91" t="b">
        <v>1</v>
      </c>
      <c r="L91">
        <v>0.64600000000000002</v>
      </c>
      <c r="M91">
        <v>7.392427590675652</v>
      </c>
      <c r="N91" t="s">
        <v>184</v>
      </c>
      <c r="O91">
        <v>426828.69</v>
      </c>
    </row>
    <row r="92" spans="1:15" x14ac:dyDescent="0.2">
      <c r="A92">
        <v>45871</v>
      </c>
      <c r="B92" t="s">
        <v>35</v>
      </c>
      <c r="C92" t="s">
        <v>93</v>
      </c>
      <c r="D92">
        <v>295033.37</v>
      </c>
      <c r="E92" t="s">
        <v>32</v>
      </c>
      <c r="F92" t="s">
        <v>28</v>
      </c>
      <c r="G92" t="s">
        <v>24</v>
      </c>
      <c r="H92">
        <v>33</v>
      </c>
      <c r="I92">
        <v>3458.7</v>
      </c>
      <c r="J92">
        <v>45815</v>
      </c>
      <c r="K92" t="b">
        <v>1</v>
      </c>
      <c r="L92">
        <v>0.72299999999999998</v>
      </c>
      <c r="M92">
        <v>7.2110449429601431</v>
      </c>
      <c r="N92" t="s">
        <v>185</v>
      </c>
      <c r="O92">
        <v>58858.71</v>
      </c>
    </row>
    <row r="93" spans="1:15" x14ac:dyDescent="0.2">
      <c r="A93">
        <v>45823</v>
      </c>
      <c r="B93" t="s">
        <v>123</v>
      </c>
      <c r="C93" t="s">
        <v>31</v>
      </c>
      <c r="D93">
        <v>17122.95</v>
      </c>
      <c r="E93" t="s">
        <v>17</v>
      </c>
      <c r="F93" t="s">
        <v>28</v>
      </c>
      <c r="G93" t="s">
        <v>78</v>
      </c>
      <c r="H93">
        <v>76</v>
      </c>
      <c r="I93">
        <v>1108.73</v>
      </c>
      <c r="J93">
        <v>46313</v>
      </c>
      <c r="K93" t="b">
        <v>1</v>
      </c>
      <c r="L93">
        <v>0.65100000000000002</v>
      </c>
      <c r="M93">
        <v>3.020628762897104</v>
      </c>
      <c r="N93" t="s">
        <v>186</v>
      </c>
      <c r="O93">
        <v>-58316.25</v>
      </c>
    </row>
    <row r="94" spans="1:15" x14ac:dyDescent="0.2">
      <c r="A94">
        <v>45971</v>
      </c>
      <c r="B94" t="s">
        <v>100</v>
      </c>
      <c r="C94" t="s">
        <v>130</v>
      </c>
      <c r="D94">
        <v>103673.2</v>
      </c>
      <c r="E94" t="s">
        <v>32</v>
      </c>
      <c r="F94" t="s">
        <v>40</v>
      </c>
      <c r="G94" t="s">
        <v>66</v>
      </c>
      <c r="H94">
        <v>11</v>
      </c>
      <c r="I94">
        <v>9494.4699999999993</v>
      </c>
      <c r="J94">
        <v>46365</v>
      </c>
      <c r="K94" t="b">
        <v>0</v>
      </c>
      <c r="L94">
        <v>0.69299999999999995</v>
      </c>
      <c r="M94">
        <v>7.036911309696734</v>
      </c>
      <c r="N94" t="s">
        <v>187</v>
      </c>
      <c r="O94">
        <v>-20608.580000000002</v>
      </c>
    </row>
    <row r="95" spans="1:15" x14ac:dyDescent="0.2">
      <c r="A95">
        <v>45925</v>
      </c>
      <c r="B95" t="s">
        <v>97</v>
      </c>
      <c r="C95" t="s">
        <v>27</v>
      </c>
      <c r="D95">
        <v>289995.8</v>
      </c>
      <c r="E95" t="s">
        <v>32</v>
      </c>
      <c r="F95" t="s">
        <v>23</v>
      </c>
      <c r="G95" t="s">
        <v>61</v>
      </c>
      <c r="H95">
        <v>56</v>
      </c>
      <c r="I95">
        <v>5200.88</v>
      </c>
      <c r="J95">
        <v>46365</v>
      </c>
      <c r="K95" t="b">
        <v>0</v>
      </c>
      <c r="L95">
        <v>4.2000000000000003E-2</v>
      </c>
      <c r="M95">
        <v>4.3114404543302953</v>
      </c>
      <c r="N95" t="s">
        <v>188</v>
      </c>
      <c r="O95">
        <v>-325588.36</v>
      </c>
    </row>
    <row r="96" spans="1:15" x14ac:dyDescent="0.2">
      <c r="A96">
        <v>45722</v>
      </c>
      <c r="B96" t="s">
        <v>138</v>
      </c>
      <c r="C96" t="s">
        <v>189</v>
      </c>
      <c r="D96">
        <v>237308.9</v>
      </c>
      <c r="E96" t="s">
        <v>32</v>
      </c>
      <c r="F96" t="s">
        <v>95</v>
      </c>
      <c r="G96" t="s">
        <v>58</v>
      </c>
      <c r="H96">
        <v>47</v>
      </c>
      <c r="I96">
        <v>8560.11</v>
      </c>
      <c r="J96">
        <v>46302</v>
      </c>
      <c r="K96" t="b">
        <v>0</v>
      </c>
      <c r="L96">
        <v>2.1999999999999999E-2</v>
      </c>
      <c r="M96">
        <v>7.8074229927733541</v>
      </c>
      <c r="N96" t="s">
        <v>190</v>
      </c>
      <c r="O96">
        <v>-290054.3</v>
      </c>
    </row>
    <row r="97" spans="1:15" x14ac:dyDescent="0.2">
      <c r="A97">
        <v>45682</v>
      </c>
      <c r="B97" t="s">
        <v>47</v>
      </c>
      <c r="C97" t="s">
        <v>36</v>
      </c>
      <c r="D97">
        <v>160679.82999999999</v>
      </c>
      <c r="E97" t="s">
        <v>17</v>
      </c>
      <c r="F97" t="s">
        <v>88</v>
      </c>
      <c r="G97" t="s">
        <v>61</v>
      </c>
      <c r="H97">
        <v>59</v>
      </c>
      <c r="I97">
        <v>5477.29</v>
      </c>
      <c r="J97">
        <v>45759</v>
      </c>
      <c r="K97" t="b">
        <v>1</v>
      </c>
      <c r="L97">
        <v>0.33</v>
      </c>
      <c r="M97">
        <v>4.5608088211156428</v>
      </c>
      <c r="N97" t="s">
        <v>191</v>
      </c>
      <c r="O97">
        <v>84911.95</v>
      </c>
    </row>
    <row r="98" spans="1:15" x14ac:dyDescent="0.2">
      <c r="A98">
        <v>45906</v>
      </c>
      <c r="B98" t="s">
        <v>175</v>
      </c>
      <c r="C98" t="s">
        <v>27</v>
      </c>
      <c r="D98">
        <v>307485.51</v>
      </c>
      <c r="E98" t="s">
        <v>17</v>
      </c>
      <c r="F98" t="s">
        <v>124</v>
      </c>
      <c r="G98" t="s">
        <v>52</v>
      </c>
      <c r="H98">
        <v>87</v>
      </c>
      <c r="I98">
        <v>8600.74</v>
      </c>
      <c r="J98">
        <v>45912</v>
      </c>
      <c r="K98" t="b">
        <v>1</v>
      </c>
      <c r="L98">
        <v>0.86899999999999999</v>
      </c>
      <c r="M98">
        <v>9.3261181097477674</v>
      </c>
      <c r="N98" t="s">
        <v>192</v>
      </c>
      <c r="O98">
        <v>-4585.97</v>
      </c>
    </row>
    <row r="99" spans="1:15" x14ac:dyDescent="0.2">
      <c r="A99">
        <v>45805</v>
      </c>
      <c r="B99" t="s">
        <v>26</v>
      </c>
      <c r="C99" t="s">
        <v>189</v>
      </c>
      <c r="D99">
        <v>111194.88</v>
      </c>
      <c r="E99" t="s">
        <v>17</v>
      </c>
      <c r="F99" t="s">
        <v>95</v>
      </c>
      <c r="G99" t="s">
        <v>66</v>
      </c>
      <c r="H99">
        <v>68</v>
      </c>
      <c r="I99">
        <v>5111.91</v>
      </c>
      <c r="J99">
        <v>45905</v>
      </c>
      <c r="K99" t="b">
        <v>1</v>
      </c>
      <c r="L99">
        <v>0.875</v>
      </c>
      <c r="M99">
        <v>8.6414349172264338</v>
      </c>
      <c r="N99" t="s">
        <v>193</v>
      </c>
      <c r="O99">
        <v>208348.05</v>
      </c>
    </row>
    <row r="100" spans="1:15" x14ac:dyDescent="0.2">
      <c r="A100">
        <v>45662</v>
      </c>
      <c r="B100" t="s">
        <v>194</v>
      </c>
      <c r="C100" t="s">
        <v>189</v>
      </c>
      <c r="D100">
        <v>2514.75</v>
      </c>
      <c r="E100" t="s">
        <v>17</v>
      </c>
      <c r="F100" t="s">
        <v>82</v>
      </c>
      <c r="G100" t="s">
        <v>19</v>
      </c>
      <c r="H100">
        <v>49</v>
      </c>
      <c r="I100">
        <v>3334.4</v>
      </c>
      <c r="J100">
        <v>45676</v>
      </c>
      <c r="K100" t="b">
        <v>0</v>
      </c>
      <c r="L100">
        <v>0.17</v>
      </c>
      <c r="M100">
        <v>7.1696585393510759</v>
      </c>
      <c r="N100" t="s">
        <v>195</v>
      </c>
      <c r="O100">
        <v>-342562.12</v>
      </c>
    </row>
    <row r="101" spans="1:15" x14ac:dyDescent="0.2">
      <c r="A101">
        <v>45669</v>
      </c>
      <c r="B101" t="s">
        <v>72</v>
      </c>
      <c r="C101" t="s">
        <v>27</v>
      </c>
      <c r="D101">
        <v>10010.799999999999</v>
      </c>
      <c r="E101" t="s">
        <v>32</v>
      </c>
      <c r="F101" t="s">
        <v>88</v>
      </c>
      <c r="G101" t="s">
        <v>19</v>
      </c>
      <c r="H101">
        <v>3</v>
      </c>
      <c r="I101">
        <v>2362.7399999999998</v>
      </c>
      <c r="J101">
        <v>46138</v>
      </c>
      <c r="K101" t="b">
        <v>0</v>
      </c>
      <c r="L101">
        <v>0.248</v>
      </c>
      <c r="M101">
        <v>5.9147053398191929</v>
      </c>
      <c r="N101" t="s">
        <v>196</v>
      </c>
      <c r="O101">
        <v>-341645.64</v>
      </c>
    </row>
    <row r="102" spans="1:15" x14ac:dyDescent="0.2">
      <c r="A102">
        <v>45895</v>
      </c>
      <c r="B102" t="s">
        <v>104</v>
      </c>
      <c r="C102" t="s">
        <v>44</v>
      </c>
      <c r="D102">
        <v>43871.56</v>
      </c>
      <c r="E102" t="s">
        <v>32</v>
      </c>
      <c r="F102" t="s">
        <v>40</v>
      </c>
      <c r="G102" t="s">
        <v>52</v>
      </c>
      <c r="H102">
        <v>82</v>
      </c>
      <c r="I102">
        <v>7777.85</v>
      </c>
      <c r="J102">
        <v>46132</v>
      </c>
      <c r="K102" t="b">
        <v>0</v>
      </c>
      <c r="L102">
        <v>0.504</v>
      </c>
      <c r="M102">
        <v>2.2685341956093907</v>
      </c>
      <c r="N102" t="s">
        <v>197</v>
      </c>
      <c r="O102">
        <v>260578.11</v>
      </c>
    </row>
    <row r="103" spans="1:15" x14ac:dyDescent="0.2">
      <c r="A103">
        <v>45677</v>
      </c>
      <c r="B103" t="s">
        <v>38</v>
      </c>
      <c r="C103" t="s">
        <v>36</v>
      </c>
      <c r="D103">
        <v>371061.55</v>
      </c>
      <c r="E103" t="s">
        <v>17</v>
      </c>
      <c r="F103" t="s">
        <v>45</v>
      </c>
      <c r="H103">
        <v>50</v>
      </c>
      <c r="I103">
        <v>8582.92</v>
      </c>
      <c r="J103">
        <v>45735</v>
      </c>
      <c r="K103" t="b">
        <v>1</v>
      </c>
      <c r="L103">
        <v>0.93600000000000005</v>
      </c>
      <c r="M103">
        <v>0.16796065261587501</v>
      </c>
      <c r="N103" t="s">
        <v>198</v>
      </c>
      <c r="O103">
        <v>-287826.12</v>
      </c>
    </row>
    <row r="104" spans="1:15" x14ac:dyDescent="0.2">
      <c r="A104">
        <v>45907</v>
      </c>
      <c r="B104" t="s">
        <v>47</v>
      </c>
      <c r="C104" t="s">
        <v>74</v>
      </c>
      <c r="D104">
        <v>10677.33</v>
      </c>
      <c r="E104" t="s">
        <v>17</v>
      </c>
      <c r="F104" t="s">
        <v>33</v>
      </c>
      <c r="G104" t="s">
        <v>41</v>
      </c>
      <c r="H104">
        <v>55</v>
      </c>
      <c r="I104">
        <v>6760.78</v>
      </c>
      <c r="J104">
        <v>45672</v>
      </c>
      <c r="K104" t="b">
        <v>0</v>
      </c>
      <c r="L104">
        <v>0.28299999999999997</v>
      </c>
      <c r="M104">
        <v>3.6144004948437214</v>
      </c>
      <c r="N104" t="s">
        <v>199</v>
      </c>
      <c r="O104">
        <v>116659.05</v>
      </c>
    </row>
    <row r="105" spans="1:15" x14ac:dyDescent="0.2">
      <c r="A105">
        <v>45720</v>
      </c>
      <c r="B105" t="s">
        <v>43</v>
      </c>
      <c r="C105" t="s">
        <v>70</v>
      </c>
      <c r="D105">
        <v>261512.61</v>
      </c>
      <c r="E105" t="s">
        <v>17</v>
      </c>
      <c r="F105" t="s">
        <v>23</v>
      </c>
      <c r="G105" t="s">
        <v>61</v>
      </c>
      <c r="H105">
        <v>81</v>
      </c>
      <c r="I105">
        <v>735.39</v>
      </c>
      <c r="J105">
        <v>45925</v>
      </c>
      <c r="K105" t="b">
        <v>0</v>
      </c>
      <c r="L105">
        <v>0.443</v>
      </c>
      <c r="M105">
        <v>4.4827354466542602</v>
      </c>
      <c r="N105" t="s">
        <v>200</v>
      </c>
      <c r="O105">
        <v>-327819.61</v>
      </c>
    </row>
    <row r="106" spans="1:15" x14ac:dyDescent="0.2">
      <c r="A106">
        <v>45944</v>
      </c>
      <c r="B106" t="s">
        <v>136</v>
      </c>
      <c r="C106" t="s">
        <v>64</v>
      </c>
      <c r="D106">
        <v>306186.42</v>
      </c>
      <c r="E106" t="s">
        <v>32</v>
      </c>
      <c r="F106" t="s">
        <v>45</v>
      </c>
      <c r="G106" t="s">
        <v>78</v>
      </c>
      <c r="H106">
        <v>10</v>
      </c>
      <c r="I106">
        <v>4054.74</v>
      </c>
      <c r="J106">
        <v>45698</v>
      </c>
      <c r="K106" t="b">
        <v>1</v>
      </c>
      <c r="L106">
        <v>0.622</v>
      </c>
      <c r="M106">
        <v>8.6460881680250168</v>
      </c>
      <c r="N106" t="s">
        <v>201</v>
      </c>
      <c r="O106">
        <v>-255276.7</v>
      </c>
    </row>
    <row r="107" spans="1:15" x14ac:dyDescent="0.2">
      <c r="A107">
        <v>45801</v>
      </c>
      <c r="B107" t="s">
        <v>104</v>
      </c>
      <c r="C107" t="s">
        <v>93</v>
      </c>
      <c r="D107">
        <v>38193.870000000003</v>
      </c>
      <c r="E107" t="s">
        <v>32</v>
      </c>
      <c r="F107" t="s">
        <v>40</v>
      </c>
      <c r="G107" t="s">
        <v>24</v>
      </c>
      <c r="H107">
        <v>81</v>
      </c>
      <c r="I107">
        <v>5276.96</v>
      </c>
      <c r="J107">
        <v>46247</v>
      </c>
      <c r="K107" t="b">
        <v>1</v>
      </c>
      <c r="L107">
        <v>2.5999999999999999E-2</v>
      </c>
      <c r="M107">
        <v>3.7967642396688461</v>
      </c>
      <c r="N107" t="s">
        <v>202</v>
      </c>
      <c r="O107">
        <v>400419.7</v>
      </c>
    </row>
    <row r="108" spans="1:15" x14ac:dyDescent="0.2">
      <c r="A108">
        <v>45815</v>
      </c>
      <c r="B108" t="s">
        <v>203</v>
      </c>
      <c r="C108" t="s">
        <v>130</v>
      </c>
      <c r="D108">
        <v>180154.93</v>
      </c>
      <c r="E108" t="s">
        <v>32</v>
      </c>
      <c r="F108" t="s">
        <v>18</v>
      </c>
      <c r="G108" t="s">
        <v>58</v>
      </c>
      <c r="H108">
        <v>13</v>
      </c>
      <c r="I108">
        <v>9477.75</v>
      </c>
      <c r="J108">
        <v>46158</v>
      </c>
      <c r="K108" t="b">
        <v>1</v>
      </c>
      <c r="L108">
        <v>0.75700000000000001</v>
      </c>
      <c r="M108">
        <v>5.5016736802645028</v>
      </c>
      <c r="N108" t="s">
        <v>204</v>
      </c>
      <c r="O108">
        <v>98527.71</v>
      </c>
    </row>
    <row r="109" spans="1:15" x14ac:dyDescent="0.2">
      <c r="A109">
        <v>45817</v>
      </c>
      <c r="B109" t="s">
        <v>205</v>
      </c>
      <c r="C109" t="s">
        <v>189</v>
      </c>
      <c r="D109">
        <v>230678.07</v>
      </c>
      <c r="E109" t="s">
        <v>17</v>
      </c>
      <c r="F109" t="s">
        <v>28</v>
      </c>
      <c r="G109" t="s">
        <v>78</v>
      </c>
      <c r="H109">
        <v>0</v>
      </c>
      <c r="I109">
        <v>8609.15</v>
      </c>
      <c r="J109">
        <v>45709</v>
      </c>
      <c r="K109" t="b">
        <v>0</v>
      </c>
      <c r="L109">
        <v>0.97499999999999998</v>
      </c>
      <c r="M109">
        <v>8.8114164466969669</v>
      </c>
      <c r="N109" t="s">
        <v>206</v>
      </c>
      <c r="O109">
        <v>-474532.79</v>
      </c>
    </row>
    <row r="110" spans="1:15" x14ac:dyDescent="0.2">
      <c r="A110">
        <v>45689</v>
      </c>
      <c r="B110" t="s">
        <v>15</v>
      </c>
      <c r="C110" t="s">
        <v>36</v>
      </c>
      <c r="D110">
        <v>301703.81</v>
      </c>
      <c r="E110" t="s">
        <v>32</v>
      </c>
      <c r="F110" t="s">
        <v>95</v>
      </c>
      <c r="G110" t="s">
        <v>66</v>
      </c>
      <c r="H110">
        <v>23</v>
      </c>
      <c r="I110">
        <v>1912.43</v>
      </c>
      <c r="J110">
        <v>46131</v>
      </c>
      <c r="K110" t="b">
        <v>0</v>
      </c>
      <c r="L110">
        <v>8.3000000000000004E-2</v>
      </c>
      <c r="M110">
        <v>3.2917931489646435</v>
      </c>
      <c r="N110" t="s">
        <v>207</v>
      </c>
      <c r="O110">
        <v>346552.76</v>
      </c>
    </row>
    <row r="111" spans="1:15" x14ac:dyDescent="0.2">
      <c r="A111">
        <v>45664</v>
      </c>
      <c r="B111" t="s">
        <v>76</v>
      </c>
      <c r="C111" t="s">
        <v>16</v>
      </c>
      <c r="D111">
        <v>38666.81</v>
      </c>
      <c r="E111" t="s">
        <v>32</v>
      </c>
      <c r="F111" t="s">
        <v>33</v>
      </c>
      <c r="H111">
        <v>89</v>
      </c>
      <c r="I111">
        <v>3503.34</v>
      </c>
      <c r="J111">
        <v>45861</v>
      </c>
      <c r="K111" t="b">
        <v>1</v>
      </c>
      <c r="L111">
        <v>0.69499999999999995</v>
      </c>
      <c r="M111">
        <v>9.5486831455491483</v>
      </c>
      <c r="N111" t="s">
        <v>208</v>
      </c>
      <c r="O111">
        <v>490573.63</v>
      </c>
    </row>
    <row r="112" spans="1:15" x14ac:dyDescent="0.2">
      <c r="A112">
        <v>45821</v>
      </c>
      <c r="B112" t="s">
        <v>102</v>
      </c>
      <c r="C112" t="s">
        <v>55</v>
      </c>
      <c r="D112">
        <v>302386.02</v>
      </c>
      <c r="E112" t="s">
        <v>32</v>
      </c>
      <c r="F112" t="s">
        <v>28</v>
      </c>
      <c r="H112">
        <v>49</v>
      </c>
      <c r="I112">
        <v>8786.2199999999993</v>
      </c>
      <c r="J112">
        <v>45857</v>
      </c>
      <c r="K112" t="b">
        <v>0</v>
      </c>
      <c r="L112">
        <v>0.97499999999999998</v>
      </c>
      <c r="M112">
        <v>7.1458436385728419</v>
      </c>
      <c r="N112" t="s">
        <v>209</v>
      </c>
      <c r="O112">
        <v>-61231.59</v>
      </c>
    </row>
    <row r="113" spans="1:15" x14ac:dyDescent="0.2">
      <c r="A113">
        <v>45853</v>
      </c>
      <c r="B113" t="s">
        <v>100</v>
      </c>
      <c r="C113" t="s">
        <v>85</v>
      </c>
      <c r="D113">
        <v>-15627.84</v>
      </c>
      <c r="E113" t="s">
        <v>32</v>
      </c>
      <c r="F113" t="s">
        <v>60</v>
      </c>
      <c r="G113" t="s">
        <v>24</v>
      </c>
      <c r="H113">
        <v>33</v>
      </c>
      <c r="I113">
        <v>5908.61</v>
      </c>
      <c r="J113">
        <v>45728</v>
      </c>
      <c r="K113" t="b">
        <v>1</v>
      </c>
      <c r="L113">
        <v>0.84599999999999997</v>
      </c>
      <c r="M113">
        <v>2.1334978076629341</v>
      </c>
      <c r="N113" t="s">
        <v>210</v>
      </c>
      <c r="O113">
        <v>425133.11</v>
      </c>
    </row>
    <row r="114" spans="1:15" x14ac:dyDescent="0.2">
      <c r="A114">
        <v>45848</v>
      </c>
      <c r="B114" t="s">
        <v>203</v>
      </c>
      <c r="C114" t="s">
        <v>39</v>
      </c>
      <c r="D114">
        <v>167126.5</v>
      </c>
      <c r="E114" t="s">
        <v>32</v>
      </c>
      <c r="F114" t="s">
        <v>105</v>
      </c>
      <c r="H114">
        <v>84</v>
      </c>
      <c r="I114">
        <v>5575.01</v>
      </c>
      <c r="J114">
        <v>45799</v>
      </c>
      <c r="K114" t="b">
        <v>0</v>
      </c>
      <c r="L114">
        <v>0.63900000000000001</v>
      </c>
      <c r="M114">
        <v>1.645346803124994</v>
      </c>
      <c r="N114" t="s">
        <v>211</v>
      </c>
      <c r="O114">
        <v>-258182.7</v>
      </c>
    </row>
    <row r="115" spans="1:15" x14ac:dyDescent="0.2">
      <c r="A115">
        <v>45970</v>
      </c>
      <c r="B115" t="s">
        <v>51</v>
      </c>
      <c r="C115" t="s">
        <v>16</v>
      </c>
      <c r="D115">
        <v>-11327.51</v>
      </c>
      <c r="E115" t="s">
        <v>17</v>
      </c>
      <c r="F115" t="s">
        <v>65</v>
      </c>
      <c r="G115" t="s">
        <v>49</v>
      </c>
      <c r="H115">
        <v>45</v>
      </c>
      <c r="I115">
        <v>6594.94</v>
      </c>
      <c r="J115">
        <v>46117</v>
      </c>
      <c r="K115" t="b">
        <v>0</v>
      </c>
      <c r="L115">
        <v>0.58899999999999997</v>
      </c>
      <c r="M115">
        <v>9.2096757981926203</v>
      </c>
      <c r="N115" t="s">
        <v>212</v>
      </c>
      <c r="O115">
        <v>154915.74</v>
      </c>
    </row>
    <row r="116" spans="1:15" x14ac:dyDescent="0.2">
      <c r="A116">
        <v>45724</v>
      </c>
      <c r="B116" t="s">
        <v>205</v>
      </c>
      <c r="C116" t="s">
        <v>70</v>
      </c>
      <c r="D116">
        <v>131126.71</v>
      </c>
      <c r="E116" t="s">
        <v>32</v>
      </c>
      <c r="F116" t="s">
        <v>28</v>
      </c>
      <c r="G116" t="s">
        <v>49</v>
      </c>
      <c r="H116">
        <v>77</v>
      </c>
      <c r="I116">
        <v>5452.61</v>
      </c>
      <c r="J116">
        <v>46358</v>
      </c>
      <c r="K116" t="b">
        <v>0</v>
      </c>
      <c r="L116">
        <v>0.86799999999999999</v>
      </c>
      <c r="M116">
        <v>9.4610065524466336</v>
      </c>
      <c r="N116" t="s">
        <v>213</v>
      </c>
      <c r="O116">
        <v>449952.56</v>
      </c>
    </row>
    <row r="117" spans="1:15" x14ac:dyDescent="0.2">
      <c r="A117">
        <v>45800</v>
      </c>
      <c r="B117" t="s">
        <v>38</v>
      </c>
      <c r="C117" t="s">
        <v>93</v>
      </c>
      <c r="D117">
        <v>135032.74</v>
      </c>
      <c r="E117" t="s">
        <v>32</v>
      </c>
      <c r="F117" t="s">
        <v>124</v>
      </c>
      <c r="G117" t="s">
        <v>41</v>
      </c>
      <c r="H117">
        <v>65</v>
      </c>
      <c r="I117">
        <v>9774.86</v>
      </c>
      <c r="J117">
        <v>45848</v>
      </c>
      <c r="K117" t="b">
        <v>0</v>
      </c>
      <c r="L117">
        <v>0.624</v>
      </c>
      <c r="M117">
        <v>2.7494062902405858</v>
      </c>
      <c r="N117" t="s">
        <v>214</v>
      </c>
      <c r="O117">
        <v>-149924.63</v>
      </c>
    </row>
    <row r="118" spans="1:15" x14ac:dyDescent="0.2">
      <c r="A118">
        <v>45798</v>
      </c>
      <c r="B118" t="s">
        <v>92</v>
      </c>
      <c r="C118" t="s">
        <v>70</v>
      </c>
      <c r="D118">
        <v>-2930.33</v>
      </c>
      <c r="E118" t="s">
        <v>32</v>
      </c>
      <c r="F118" t="s">
        <v>48</v>
      </c>
      <c r="G118" t="s">
        <v>41</v>
      </c>
      <c r="H118">
        <v>18</v>
      </c>
      <c r="I118">
        <v>4723.63</v>
      </c>
      <c r="J118">
        <v>45992</v>
      </c>
      <c r="K118" t="b">
        <v>0</v>
      </c>
      <c r="L118">
        <v>0.69299999999999995</v>
      </c>
      <c r="M118">
        <v>2.877604675013572</v>
      </c>
      <c r="N118" t="s">
        <v>215</v>
      </c>
      <c r="O118">
        <v>207499.06</v>
      </c>
    </row>
    <row r="119" spans="1:15" x14ac:dyDescent="0.2">
      <c r="A119">
        <v>45812</v>
      </c>
      <c r="B119" t="s">
        <v>138</v>
      </c>
      <c r="C119" t="s">
        <v>127</v>
      </c>
      <c r="D119">
        <v>233111.93</v>
      </c>
      <c r="E119" t="s">
        <v>17</v>
      </c>
      <c r="F119" t="s">
        <v>77</v>
      </c>
      <c r="H119">
        <v>68</v>
      </c>
      <c r="I119">
        <v>3930.49</v>
      </c>
      <c r="J119">
        <v>45845</v>
      </c>
      <c r="K119" t="b">
        <v>0</v>
      </c>
      <c r="L119">
        <v>0.60399999999999998</v>
      </c>
      <c r="M119">
        <v>0.71305681020021439</v>
      </c>
      <c r="N119" t="s">
        <v>216</v>
      </c>
      <c r="O119">
        <v>-479205.34</v>
      </c>
    </row>
    <row r="120" spans="1:15" x14ac:dyDescent="0.2">
      <c r="A120">
        <v>46013</v>
      </c>
      <c r="B120" t="s">
        <v>43</v>
      </c>
      <c r="C120" t="s">
        <v>81</v>
      </c>
      <c r="D120">
        <v>313851.44</v>
      </c>
      <c r="E120" t="s">
        <v>17</v>
      </c>
      <c r="F120" t="s">
        <v>65</v>
      </c>
      <c r="G120" t="s">
        <v>41</v>
      </c>
      <c r="H120">
        <v>21</v>
      </c>
      <c r="I120">
        <v>7083.38</v>
      </c>
      <c r="J120">
        <v>45773</v>
      </c>
      <c r="K120" t="b">
        <v>0</v>
      </c>
      <c r="L120">
        <v>0.57699999999999996</v>
      </c>
      <c r="M120">
        <v>8.7049597594887018</v>
      </c>
      <c r="N120" t="s">
        <v>217</v>
      </c>
      <c r="O120">
        <v>-481225.81</v>
      </c>
    </row>
    <row r="121" spans="1:15" x14ac:dyDescent="0.2">
      <c r="A121">
        <v>45890</v>
      </c>
      <c r="B121" t="s">
        <v>63</v>
      </c>
      <c r="C121" t="s">
        <v>127</v>
      </c>
      <c r="D121">
        <v>-21565.47</v>
      </c>
      <c r="E121" t="s">
        <v>32</v>
      </c>
      <c r="F121" t="s">
        <v>124</v>
      </c>
      <c r="G121" t="s">
        <v>19</v>
      </c>
      <c r="H121">
        <v>68</v>
      </c>
      <c r="I121">
        <v>9961.84</v>
      </c>
      <c r="J121">
        <v>46207</v>
      </c>
      <c r="K121" t="b">
        <v>0</v>
      </c>
      <c r="L121">
        <v>0.85699999999999998</v>
      </c>
      <c r="M121">
        <v>6.3133106613531709</v>
      </c>
      <c r="N121" t="s">
        <v>218</v>
      </c>
      <c r="O121">
        <v>28789.72</v>
      </c>
    </row>
    <row r="122" spans="1:15" x14ac:dyDescent="0.2">
      <c r="A122">
        <v>45887</v>
      </c>
      <c r="B122" t="s">
        <v>26</v>
      </c>
      <c r="C122" t="s">
        <v>127</v>
      </c>
      <c r="D122">
        <v>293045.7</v>
      </c>
      <c r="E122" t="s">
        <v>17</v>
      </c>
      <c r="F122" t="s">
        <v>77</v>
      </c>
      <c r="G122" t="s">
        <v>41</v>
      </c>
      <c r="H122">
        <v>41</v>
      </c>
      <c r="I122">
        <v>9322.77</v>
      </c>
      <c r="J122">
        <v>46185</v>
      </c>
      <c r="K122" t="b">
        <v>0</v>
      </c>
      <c r="L122">
        <v>0.13200000000000001</v>
      </c>
      <c r="M122">
        <v>5.9507592488080263</v>
      </c>
      <c r="N122" t="s">
        <v>219</v>
      </c>
      <c r="O122">
        <v>-377197.73</v>
      </c>
    </row>
    <row r="123" spans="1:15" x14ac:dyDescent="0.2">
      <c r="A123">
        <v>45992</v>
      </c>
      <c r="B123" t="s">
        <v>43</v>
      </c>
      <c r="C123" t="s">
        <v>36</v>
      </c>
      <c r="D123">
        <v>321586.93</v>
      </c>
      <c r="E123" t="s">
        <v>17</v>
      </c>
      <c r="F123" t="s">
        <v>28</v>
      </c>
      <c r="G123" t="s">
        <v>66</v>
      </c>
      <c r="H123">
        <v>99</v>
      </c>
      <c r="I123">
        <v>5094.05</v>
      </c>
      <c r="J123">
        <v>46073</v>
      </c>
      <c r="K123" t="b">
        <v>0</v>
      </c>
      <c r="L123">
        <v>0.22500000000000001</v>
      </c>
      <c r="M123">
        <v>4.3452618364244699</v>
      </c>
      <c r="N123" t="s">
        <v>220</v>
      </c>
      <c r="O123">
        <v>423330.66</v>
      </c>
    </row>
    <row r="124" spans="1:15" x14ac:dyDescent="0.2">
      <c r="A124">
        <v>45815</v>
      </c>
      <c r="B124" t="s">
        <v>221</v>
      </c>
      <c r="C124" t="s">
        <v>90</v>
      </c>
      <c r="D124">
        <v>-57859.49</v>
      </c>
      <c r="E124" t="s">
        <v>32</v>
      </c>
      <c r="F124" t="s">
        <v>82</v>
      </c>
      <c r="G124" t="s">
        <v>52</v>
      </c>
      <c r="H124">
        <v>72</v>
      </c>
      <c r="I124">
        <v>2977.55</v>
      </c>
      <c r="J124">
        <v>45975</v>
      </c>
      <c r="K124" t="b">
        <v>0</v>
      </c>
      <c r="L124">
        <v>0.99199999999999999</v>
      </c>
      <c r="M124">
        <v>3.2139262813143432</v>
      </c>
      <c r="N124" t="s">
        <v>222</v>
      </c>
      <c r="O124">
        <v>478974.7</v>
      </c>
    </row>
    <row r="125" spans="1:15" x14ac:dyDescent="0.2">
      <c r="A125">
        <v>45733</v>
      </c>
      <c r="B125" t="s">
        <v>194</v>
      </c>
      <c r="C125" t="s">
        <v>55</v>
      </c>
      <c r="D125">
        <v>-45470.07</v>
      </c>
      <c r="E125" t="s">
        <v>17</v>
      </c>
      <c r="F125" t="s">
        <v>77</v>
      </c>
      <c r="G125" t="s">
        <v>78</v>
      </c>
      <c r="H125">
        <v>93</v>
      </c>
      <c r="I125">
        <v>2324.89</v>
      </c>
      <c r="J125">
        <v>45737</v>
      </c>
      <c r="K125" t="b">
        <v>1</v>
      </c>
      <c r="L125">
        <v>0.79</v>
      </c>
      <c r="M125">
        <v>4.2420300655066967</v>
      </c>
      <c r="N125" t="s">
        <v>223</v>
      </c>
      <c r="O125">
        <v>-374099.39</v>
      </c>
    </row>
    <row r="126" spans="1:15" x14ac:dyDescent="0.2">
      <c r="A126">
        <v>45815</v>
      </c>
      <c r="B126" t="s">
        <v>205</v>
      </c>
      <c r="C126" t="s">
        <v>70</v>
      </c>
      <c r="D126">
        <v>285461.58</v>
      </c>
      <c r="E126" t="s">
        <v>17</v>
      </c>
      <c r="F126" t="s">
        <v>124</v>
      </c>
      <c r="G126" t="s">
        <v>78</v>
      </c>
      <c r="H126">
        <v>96</v>
      </c>
      <c r="I126">
        <v>6893.53</v>
      </c>
      <c r="J126">
        <v>45769</v>
      </c>
      <c r="K126" t="b">
        <v>1</v>
      </c>
      <c r="L126">
        <v>0.98199999999999998</v>
      </c>
      <c r="M126">
        <v>7.3725017020478845</v>
      </c>
      <c r="N126" t="s">
        <v>224</v>
      </c>
      <c r="O126">
        <v>448219.27</v>
      </c>
    </row>
    <row r="127" spans="1:15" x14ac:dyDescent="0.2">
      <c r="A127">
        <v>45908</v>
      </c>
      <c r="B127" t="s">
        <v>151</v>
      </c>
      <c r="C127" t="s">
        <v>85</v>
      </c>
      <c r="D127">
        <v>-6173.9</v>
      </c>
      <c r="E127" t="s">
        <v>17</v>
      </c>
      <c r="F127" t="s">
        <v>60</v>
      </c>
      <c r="G127" t="s">
        <v>52</v>
      </c>
      <c r="H127">
        <v>57</v>
      </c>
      <c r="I127">
        <v>2052.48</v>
      </c>
      <c r="J127">
        <v>46097</v>
      </c>
      <c r="K127" t="b">
        <v>1</v>
      </c>
      <c r="L127">
        <v>0.32900000000000001</v>
      </c>
      <c r="M127">
        <v>8.4941245033405721</v>
      </c>
      <c r="N127" t="s">
        <v>225</v>
      </c>
      <c r="O127">
        <v>6040.25</v>
      </c>
    </row>
    <row r="128" spans="1:15" x14ac:dyDescent="0.2">
      <c r="A128">
        <v>45924</v>
      </c>
      <c r="B128" t="s">
        <v>54</v>
      </c>
      <c r="C128" t="s">
        <v>127</v>
      </c>
      <c r="D128">
        <v>314911.65999999997</v>
      </c>
      <c r="E128" t="s">
        <v>32</v>
      </c>
      <c r="F128" t="s">
        <v>45</v>
      </c>
      <c r="G128" t="s">
        <v>19</v>
      </c>
      <c r="H128">
        <v>62</v>
      </c>
      <c r="I128">
        <v>6950.73</v>
      </c>
      <c r="J128">
        <v>46317</v>
      </c>
      <c r="K128" t="b">
        <v>0</v>
      </c>
      <c r="L128">
        <v>0.22900000000000001</v>
      </c>
      <c r="M128">
        <v>0.25986968539655209</v>
      </c>
      <c r="N128" t="s">
        <v>226</v>
      </c>
      <c r="O128">
        <v>-188297.66</v>
      </c>
    </row>
    <row r="129" spans="1:15" x14ac:dyDescent="0.2">
      <c r="A129">
        <v>45759</v>
      </c>
      <c r="B129" t="s">
        <v>92</v>
      </c>
      <c r="C129" t="s">
        <v>44</v>
      </c>
      <c r="D129">
        <v>-13209.58</v>
      </c>
      <c r="E129" t="s">
        <v>17</v>
      </c>
      <c r="F129" t="s">
        <v>88</v>
      </c>
      <c r="G129" t="s">
        <v>58</v>
      </c>
      <c r="H129">
        <v>35</v>
      </c>
      <c r="I129">
        <v>3744.55</v>
      </c>
      <c r="J129">
        <v>45813</v>
      </c>
      <c r="K129" t="b">
        <v>1</v>
      </c>
      <c r="L129">
        <v>0.58699999999999997</v>
      </c>
      <c r="M129">
        <v>3.1765923043712974</v>
      </c>
      <c r="N129" t="s">
        <v>227</v>
      </c>
      <c r="O129">
        <v>288491.88</v>
      </c>
    </row>
    <row r="130" spans="1:15" x14ac:dyDescent="0.2">
      <c r="A130">
        <v>45932</v>
      </c>
      <c r="B130" t="s">
        <v>104</v>
      </c>
      <c r="C130" t="s">
        <v>90</v>
      </c>
      <c r="D130">
        <v>-46189.52</v>
      </c>
      <c r="E130" t="s">
        <v>17</v>
      </c>
      <c r="F130" t="s">
        <v>40</v>
      </c>
      <c r="G130" t="s">
        <v>41</v>
      </c>
      <c r="H130">
        <v>72</v>
      </c>
      <c r="I130">
        <v>703.3</v>
      </c>
      <c r="J130">
        <v>45781</v>
      </c>
      <c r="K130" t="b">
        <v>1</v>
      </c>
      <c r="L130">
        <v>0.376</v>
      </c>
      <c r="M130">
        <v>1.006881850771606</v>
      </c>
      <c r="N130" t="s">
        <v>228</v>
      </c>
      <c r="O130">
        <v>-375337.43</v>
      </c>
    </row>
    <row r="131" spans="1:15" x14ac:dyDescent="0.2">
      <c r="A131">
        <v>45743</v>
      </c>
      <c r="B131" t="s">
        <v>144</v>
      </c>
      <c r="C131" t="s">
        <v>98</v>
      </c>
      <c r="D131">
        <v>230468.43</v>
      </c>
      <c r="E131" t="s">
        <v>17</v>
      </c>
      <c r="F131" t="s">
        <v>18</v>
      </c>
      <c r="G131" t="s">
        <v>61</v>
      </c>
      <c r="H131">
        <v>93</v>
      </c>
      <c r="I131">
        <v>6242.3</v>
      </c>
      <c r="J131">
        <v>45963</v>
      </c>
      <c r="K131" t="b">
        <v>0</v>
      </c>
      <c r="L131">
        <v>0.73599999999999999</v>
      </c>
      <c r="M131">
        <v>2.8968447516672313</v>
      </c>
      <c r="N131" t="s">
        <v>229</v>
      </c>
      <c r="O131">
        <v>-162577.49</v>
      </c>
    </row>
    <row r="132" spans="1:15" x14ac:dyDescent="0.2">
      <c r="A132">
        <v>45826</v>
      </c>
      <c r="B132" t="s">
        <v>47</v>
      </c>
      <c r="C132" t="s">
        <v>27</v>
      </c>
      <c r="D132">
        <v>-93662.43</v>
      </c>
      <c r="E132" t="s">
        <v>32</v>
      </c>
      <c r="F132" t="s">
        <v>18</v>
      </c>
      <c r="G132" t="s">
        <v>61</v>
      </c>
      <c r="H132">
        <v>88</v>
      </c>
      <c r="I132">
        <v>5466.48</v>
      </c>
      <c r="J132">
        <v>45819</v>
      </c>
      <c r="K132" t="b">
        <v>1</v>
      </c>
      <c r="L132">
        <v>0.41799999999999998</v>
      </c>
      <c r="M132">
        <v>7.8663127217441797</v>
      </c>
      <c r="N132" t="s">
        <v>230</v>
      </c>
      <c r="O132">
        <v>-337910.9</v>
      </c>
    </row>
    <row r="133" spans="1:15" x14ac:dyDescent="0.2">
      <c r="A133">
        <v>45857</v>
      </c>
      <c r="B133" t="s">
        <v>126</v>
      </c>
      <c r="C133" t="s">
        <v>31</v>
      </c>
      <c r="D133">
        <v>191454.62</v>
      </c>
      <c r="E133" t="s">
        <v>32</v>
      </c>
      <c r="F133" t="s">
        <v>23</v>
      </c>
      <c r="G133" t="s">
        <v>41</v>
      </c>
      <c r="H133">
        <v>66</v>
      </c>
      <c r="I133">
        <v>1967.42</v>
      </c>
      <c r="J133">
        <v>45969</v>
      </c>
      <c r="K133" t="b">
        <v>0</v>
      </c>
      <c r="L133">
        <v>0.86099999999999999</v>
      </c>
      <c r="M133">
        <v>6.4564681798219681</v>
      </c>
      <c r="N133" t="s">
        <v>231</v>
      </c>
      <c r="O133">
        <v>61672.53</v>
      </c>
    </row>
    <row r="134" spans="1:15" x14ac:dyDescent="0.2">
      <c r="A134">
        <v>45940</v>
      </c>
      <c r="B134" t="s">
        <v>54</v>
      </c>
      <c r="C134" t="s">
        <v>93</v>
      </c>
      <c r="D134">
        <v>-63509.63</v>
      </c>
      <c r="E134" t="s">
        <v>17</v>
      </c>
      <c r="F134" t="s">
        <v>45</v>
      </c>
      <c r="H134">
        <v>93</v>
      </c>
      <c r="I134">
        <v>9310.56</v>
      </c>
      <c r="J134">
        <v>46339</v>
      </c>
      <c r="K134" t="b">
        <v>0</v>
      </c>
      <c r="L134">
        <v>0.89</v>
      </c>
      <c r="M134">
        <v>1.7102106055244803</v>
      </c>
      <c r="N134" t="s">
        <v>232</v>
      </c>
      <c r="O134">
        <v>359480.53</v>
      </c>
    </row>
    <row r="135" spans="1:15" x14ac:dyDescent="0.2">
      <c r="A135">
        <v>45752</v>
      </c>
      <c r="B135" t="s">
        <v>136</v>
      </c>
      <c r="C135" t="s">
        <v>64</v>
      </c>
      <c r="D135">
        <v>90275.12</v>
      </c>
      <c r="E135" t="s">
        <v>17</v>
      </c>
      <c r="F135" t="s">
        <v>33</v>
      </c>
      <c r="G135" t="s">
        <v>52</v>
      </c>
      <c r="H135">
        <v>53</v>
      </c>
      <c r="I135">
        <v>7335.41</v>
      </c>
      <c r="J135">
        <v>45933</v>
      </c>
      <c r="K135" t="b">
        <v>1</v>
      </c>
      <c r="L135">
        <v>0.505</v>
      </c>
      <c r="M135">
        <v>2.5565037596970797</v>
      </c>
      <c r="N135" t="s">
        <v>233</v>
      </c>
      <c r="O135">
        <v>386265.31</v>
      </c>
    </row>
    <row r="136" spans="1:15" x14ac:dyDescent="0.2">
      <c r="A136">
        <v>45718</v>
      </c>
      <c r="B136" t="s">
        <v>149</v>
      </c>
      <c r="C136" t="s">
        <v>74</v>
      </c>
      <c r="D136">
        <v>191368.37</v>
      </c>
      <c r="E136" t="s">
        <v>32</v>
      </c>
      <c r="F136" t="s">
        <v>45</v>
      </c>
      <c r="G136" t="s">
        <v>24</v>
      </c>
      <c r="H136">
        <v>56</v>
      </c>
      <c r="I136">
        <v>5246.37</v>
      </c>
      <c r="J136">
        <v>45974</v>
      </c>
      <c r="K136" t="b">
        <v>0</v>
      </c>
      <c r="L136">
        <v>0.44800000000000001</v>
      </c>
      <c r="M136">
        <v>9.1493132384493947</v>
      </c>
      <c r="N136" t="s">
        <v>234</v>
      </c>
      <c r="O136">
        <v>-389420.87</v>
      </c>
    </row>
    <row r="137" spans="1:15" x14ac:dyDescent="0.2">
      <c r="A137">
        <v>45954</v>
      </c>
      <c r="B137" t="s">
        <v>47</v>
      </c>
      <c r="C137" t="s">
        <v>87</v>
      </c>
      <c r="D137">
        <v>207081.28</v>
      </c>
      <c r="E137" t="s">
        <v>17</v>
      </c>
      <c r="F137" t="s">
        <v>23</v>
      </c>
      <c r="G137" t="s">
        <v>52</v>
      </c>
      <c r="H137">
        <v>87</v>
      </c>
      <c r="I137">
        <v>9933.2999999999993</v>
      </c>
      <c r="J137">
        <v>46369</v>
      </c>
      <c r="K137" t="b">
        <v>0</v>
      </c>
      <c r="L137">
        <v>0.57299999999999995</v>
      </c>
      <c r="M137">
        <v>5.8084523072466254</v>
      </c>
      <c r="N137" t="s">
        <v>235</v>
      </c>
      <c r="O137">
        <v>309072.28999999998</v>
      </c>
    </row>
    <row r="138" spans="1:15" x14ac:dyDescent="0.2">
      <c r="A138">
        <v>45791</v>
      </c>
      <c r="B138" t="s">
        <v>108</v>
      </c>
      <c r="C138" t="s">
        <v>55</v>
      </c>
      <c r="D138">
        <v>141542.73000000001</v>
      </c>
      <c r="E138" t="s">
        <v>32</v>
      </c>
      <c r="F138" t="s">
        <v>95</v>
      </c>
      <c r="G138" t="s">
        <v>58</v>
      </c>
      <c r="H138">
        <v>84</v>
      </c>
      <c r="I138">
        <v>2702.45</v>
      </c>
      <c r="J138">
        <v>45782</v>
      </c>
      <c r="K138" t="b">
        <v>0</v>
      </c>
      <c r="L138">
        <v>0.79400000000000004</v>
      </c>
      <c r="M138">
        <v>0.58376371627673507</v>
      </c>
      <c r="N138" t="s">
        <v>236</v>
      </c>
      <c r="O138">
        <v>317174.59000000003</v>
      </c>
    </row>
    <row r="139" spans="1:15" x14ac:dyDescent="0.2">
      <c r="A139">
        <v>45949</v>
      </c>
      <c r="B139" t="s">
        <v>15</v>
      </c>
      <c r="C139" t="s">
        <v>36</v>
      </c>
      <c r="D139">
        <v>124303.1</v>
      </c>
      <c r="E139" t="s">
        <v>32</v>
      </c>
      <c r="F139" t="s">
        <v>105</v>
      </c>
      <c r="G139" t="s">
        <v>19</v>
      </c>
      <c r="H139">
        <v>57</v>
      </c>
      <c r="I139">
        <v>1418.58</v>
      </c>
      <c r="J139">
        <v>46289</v>
      </c>
      <c r="K139" t="b">
        <v>1</v>
      </c>
      <c r="L139">
        <v>0.13700000000000001</v>
      </c>
      <c r="M139">
        <v>2.2329540131613612</v>
      </c>
      <c r="N139" t="s">
        <v>237</v>
      </c>
      <c r="O139">
        <v>-426533.99</v>
      </c>
    </row>
    <row r="140" spans="1:15" x14ac:dyDescent="0.2">
      <c r="A140">
        <v>45802</v>
      </c>
      <c r="B140" t="s">
        <v>102</v>
      </c>
      <c r="C140" t="s">
        <v>70</v>
      </c>
      <c r="D140">
        <v>331308.82</v>
      </c>
      <c r="E140" t="s">
        <v>17</v>
      </c>
      <c r="F140" t="s">
        <v>124</v>
      </c>
      <c r="H140">
        <v>46</v>
      </c>
      <c r="I140">
        <v>8443.9</v>
      </c>
      <c r="J140">
        <v>46064</v>
      </c>
      <c r="K140" t="b">
        <v>0</v>
      </c>
      <c r="L140">
        <v>2E-3</v>
      </c>
      <c r="M140">
        <v>0.32146776095032692</v>
      </c>
      <c r="N140" t="s">
        <v>238</v>
      </c>
      <c r="O140">
        <v>-276921.15000000002</v>
      </c>
    </row>
    <row r="141" spans="1:15" x14ac:dyDescent="0.2">
      <c r="A141">
        <v>45934</v>
      </c>
      <c r="B141" t="s">
        <v>51</v>
      </c>
      <c r="C141" t="s">
        <v>31</v>
      </c>
      <c r="D141">
        <v>266230.23</v>
      </c>
      <c r="E141" t="s">
        <v>32</v>
      </c>
      <c r="F141" t="s">
        <v>105</v>
      </c>
      <c r="G141" t="s">
        <v>78</v>
      </c>
      <c r="H141">
        <v>81</v>
      </c>
      <c r="I141">
        <v>1592.51</v>
      </c>
      <c r="J141">
        <v>46101</v>
      </c>
      <c r="K141" t="b">
        <v>1</v>
      </c>
      <c r="L141">
        <v>7.2999999999999995E-2</v>
      </c>
      <c r="M141">
        <v>6.8982171360403299E-2</v>
      </c>
      <c r="N141" t="s">
        <v>239</v>
      </c>
      <c r="O141">
        <v>-456767.9</v>
      </c>
    </row>
    <row r="142" spans="1:15" x14ac:dyDescent="0.2">
      <c r="A142">
        <v>45972</v>
      </c>
      <c r="B142" t="s">
        <v>194</v>
      </c>
      <c r="C142" t="s">
        <v>90</v>
      </c>
      <c r="D142">
        <v>131675.89000000001</v>
      </c>
      <c r="E142" t="s">
        <v>17</v>
      </c>
      <c r="F142" t="s">
        <v>28</v>
      </c>
      <c r="G142" t="s">
        <v>24</v>
      </c>
      <c r="H142">
        <v>62</v>
      </c>
      <c r="I142">
        <v>9433.98</v>
      </c>
      <c r="J142">
        <v>45879</v>
      </c>
      <c r="K142" t="b">
        <v>0</v>
      </c>
      <c r="L142">
        <v>0.82</v>
      </c>
      <c r="M142">
        <v>7.3156985337845981</v>
      </c>
      <c r="N142" t="s">
        <v>240</v>
      </c>
      <c r="O142">
        <v>-64945.87</v>
      </c>
    </row>
    <row r="143" spans="1:15" x14ac:dyDescent="0.2">
      <c r="A143">
        <v>45907</v>
      </c>
      <c r="B143" t="s">
        <v>38</v>
      </c>
      <c r="C143" t="s">
        <v>74</v>
      </c>
      <c r="D143">
        <v>46015.65</v>
      </c>
      <c r="E143" t="s">
        <v>17</v>
      </c>
      <c r="F143" t="s">
        <v>48</v>
      </c>
      <c r="H143">
        <v>48</v>
      </c>
      <c r="I143">
        <v>3246.99</v>
      </c>
      <c r="J143">
        <v>46132</v>
      </c>
      <c r="K143" t="b">
        <v>1</v>
      </c>
      <c r="L143">
        <v>9.0999999999999998E-2</v>
      </c>
      <c r="M143">
        <v>2.5313713983632624</v>
      </c>
      <c r="N143" t="s">
        <v>241</v>
      </c>
      <c r="O143">
        <v>-112806.25</v>
      </c>
    </row>
    <row r="144" spans="1:15" x14ac:dyDescent="0.2">
      <c r="A144">
        <v>45780</v>
      </c>
      <c r="B144" t="s">
        <v>38</v>
      </c>
      <c r="C144" t="s">
        <v>22</v>
      </c>
      <c r="D144">
        <v>185496.3</v>
      </c>
      <c r="E144" t="s">
        <v>32</v>
      </c>
      <c r="F144" t="s">
        <v>95</v>
      </c>
      <c r="G144" t="s">
        <v>24</v>
      </c>
      <c r="H144">
        <v>73</v>
      </c>
      <c r="I144">
        <v>1072.4100000000001</v>
      </c>
      <c r="J144">
        <v>45971</v>
      </c>
      <c r="K144" t="b">
        <v>0</v>
      </c>
      <c r="L144">
        <v>0.29499999999999998</v>
      </c>
      <c r="M144">
        <v>2.7219681814312935</v>
      </c>
      <c r="N144" t="s">
        <v>242</v>
      </c>
      <c r="O144">
        <v>-232687.65</v>
      </c>
    </row>
    <row r="145" spans="1:15" x14ac:dyDescent="0.2">
      <c r="A145">
        <v>45717</v>
      </c>
      <c r="B145" t="s">
        <v>30</v>
      </c>
      <c r="C145" t="s">
        <v>90</v>
      </c>
      <c r="D145">
        <v>129951.6</v>
      </c>
      <c r="E145" t="s">
        <v>32</v>
      </c>
      <c r="F145" t="s">
        <v>40</v>
      </c>
      <c r="G145" t="s">
        <v>58</v>
      </c>
      <c r="H145">
        <v>56</v>
      </c>
      <c r="I145">
        <v>6382.49</v>
      </c>
      <c r="J145">
        <v>45866</v>
      </c>
      <c r="K145" t="b">
        <v>0</v>
      </c>
      <c r="L145">
        <v>0.3</v>
      </c>
      <c r="M145">
        <v>8.387293997220695</v>
      </c>
      <c r="N145" t="s">
        <v>243</v>
      </c>
      <c r="O145">
        <v>145811.09</v>
      </c>
    </row>
    <row r="146" spans="1:15" x14ac:dyDescent="0.2">
      <c r="A146">
        <v>45982</v>
      </c>
      <c r="B146" t="s">
        <v>30</v>
      </c>
      <c r="C146" t="s">
        <v>90</v>
      </c>
      <c r="D146">
        <v>-99624.98</v>
      </c>
      <c r="E146" t="s">
        <v>17</v>
      </c>
      <c r="F146" t="s">
        <v>33</v>
      </c>
      <c r="G146" t="s">
        <v>24</v>
      </c>
      <c r="H146">
        <v>42</v>
      </c>
      <c r="I146">
        <v>7610.77</v>
      </c>
      <c r="J146">
        <v>45944</v>
      </c>
      <c r="K146" t="b">
        <v>1</v>
      </c>
      <c r="L146">
        <v>0.20799999999999999</v>
      </c>
      <c r="M146">
        <v>7.9537208005785942</v>
      </c>
      <c r="N146" t="s">
        <v>244</v>
      </c>
      <c r="O146">
        <v>-397275.94</v>
      </c>
    </row>
    <row r="147" spans="1:15" x14ac:dyDescent="0.2">
      <c r="A147">
        <v>45760</v>
      </c>
      <c r="B147" t="s">
        <v>221</v>
      </c>
      <c r="C147" t="s">
        <v>98</v>
      </c>
      <c r="D147">
        <v>150781.73000000001</v>
      </c>
      <c r="E147" t="s">
        <v>32</v>
      </c>
      <c r="F147" t="s">
        <v>48</v>
      </c>
      <c r="G147" t="s">
        <v>78</v>
      </c>
      <c r="H147">
        <v>70</v>
      </c>
      <c r="I147">
        <v>5654.34</v>
      </c>
      <c r="J147">
        <v>45748</v>
      </c>
      <c r="K147" t="b">
        <v>1</v>
      </c>
      <c r="L147">
        <v>0.97299999999999998</v>
      </c>
      <c r="M147">
        <v>3.4948046691715717</v>
      </c>
      <c r="N147" t="s">
        <v>245</v>
      </c>
      <c r="O147">
        <v>-448543.12</v>
      </c>
    </row>
    <row r="148" spans="1:15" x14ac:dyDescent="0.2">
      <c r="A148">
        <v>45948</v>
      </c>
      <c r="B148" t="s">
        <v>151</v>
      </c>
      <c r="C148" t="s">
        <v>44</v>
      </c>
      <c r="D148">
        <v>-39945.230000000003</v>
      </c>
      <c r="E148" t="s">
        <v>32</v>
      </c>
      <c r="F148" t="s">
        <v>45</v>
      </c>
      <c r="H148">
        <v>35</v>
      </c>
      <c r="I148">
        <v>5494.51</v>
      </c>
      <c r="J148">
        <v>46155</v>
      </c>
      <c r="K148" t="b">
        <v>1</v>
      </c>
      <c r="L148">
        <v>0.47699999999999998</v>
      </c>
      <c r="M148">
        <v>3.5029214341193438</v>
      </c>
      <c r="N148" t="s">
        <v>246</v>
      </c>
      <c r="O148">
        <v>-173108.12</v>
      </c>
    </row>
    <row r="149" spans="1:15" x14ac:dyDescent="0.2">
      <c r="A149">
        <v>45799</v>
      </c>
      <c r="B149" t="s">
        <v>35</v>
      </c>
      <c r="C149" t="s">
        <v>189</v>
      </c>
      <c r="D149">
        <v>249404.63</v>
      </c>
      <c r="E149" t="s">
        <v>17</v>
      </c>
      <c r="F149" t="s">
        <v>60</v>
      </c>
      <c r="G149" t="s">
        <v>66</v>
      </c>
      <c r="H149">
        <v>81</v>
      </c>
      <c r="I149">
        <v>8862.2000000000007</v>
      </c>
      <c r="J149">
        <v>45853</v>
      </c>
      <c r="K149" t="b">
        <v>0</v>
      </c>
      <c r="L149">
        <v>6.5000000000000002E-2</v>
      </c>
      <c r="M149">
        <v>7.6528443954885006</v>
      </c>
      <c r="N149" t="s">
        <v>247</v>
      </c>
      <c r="O149">
        <v>-249109.22</v>
      </c>
    </row>
    <row r="150" spans="1:15" x14ac:dyDescent="0.2">
      <c r="A150">
        <v>45957</v>
      </c>
      <c r="B150" t="s">
        <v>43</v>
      </c>
      <c r="C150" t="s">
        <v>64</v>
      </c>
      <c r="D150">
        <v>125094.39</v>
      </c>
      <c r="E150" t="s">
        <v>32</v>
      </c>
      <c r="F150" t="s">
        <v>48</v>
      </c>
      <c r="G150" t="s">
        <v>41</v>
      </c>
      <c r="H150">
        <v>55</v>
      </c>
      <c r="I150">
        <v>7815.27</v>
      </c>
      <c r="J150">
        <v>45833</v>
      </c>
      <c r="K150" t="b">
        <v>1</v>
      </c>
      <c r="L150">
        <v>0.94799999999999995</v>
      </c>
      <c r="M150">
        <v>9.6959899528883398</v>
      </c>
      <c r="N150" t="s">
        <v>248</v>
      </c>
      <c r="O150">
        <v>-436846.33</v>
      </c>
    </row>
    <row r="151" spans="1:15" x14ac:dyDescent="0.2">
      <c r="A151">
        <v>45979</v>
      </c>
      <c r="B151" t="s">
        <v>104</v>
      </c>
      <c r="C151" t="s">
        <v>70</v>
      </c>
      <c r="D151">
        <v>272528.21999999997</v>
      </c>
      <c r="E151" t="s">
        <v>32</v>
      </c>
      <c r="F151" t="s">
        <v>60</v>
      </c>
      <c r="H151">
        <v>41</v>
      </c>
      <c r="I151">
        <v>8837.1299999999992</v>
      </c>
      <c r="J151">
        <v>46365</v>
      </c>
      <c r="K151" t="b">
        <v>0</v>
      </c>
      <c r="L151">
        <v>0.56200000000000006</v>
      </c>
      <c r="M151">
        <v>4.6884044050239027</v>
      </c>
      <c r="N151" t="s">
        <v>249</v>
      </c>
      <c r="O151">
        <v>277670.51</v>
      </c>
    </row>
    <row r="152" spans="1:15" x14ac:dyDescent="0.2">
      <c r="A152">
        <v>45805</v>
      </c>
      <c r="B152" t="s">
        <v>72</v>
      </c>
      <c r="C152" t="s">
        <v>31</v>
      </c>
      <c r="D152">
        <v>280790.62</v>
      </c>
      <c r="E152" t="s">
        <v>32</v>
      </c>
      <c r="F152" t="s">
        <v>28</v>
      </c>
      <c r="G152" t="s">
        <v>24</v>
      </c>
      <c r="H152">
        <v>90</v>
      </c>
      <c r="I152">
        <v>7334.26</v>
      </c>
      <c r="J152">
        <v>46271</v>
      </c>
      <c r="K152" t="b">
        <v>1</v>
      </c>
      <c r="L152">
        <v>0.25700000000000001</v>
      </c>
      <c r="M152">
        <v>7.4108067853376269</v>
      </c>
      <c r="N152" t="s">
        <v>250</v>
      </c>
      <c r="O152">
        <v>-422581.96</v>
      </c>
    </row>
    <row r="153" spans="1:15" x14ac:dyDescent="0.2">
      <c r="A153">
        <v>46014</v>
      </c>
      <c r="B153" t="s">
        <v>84</v>
      </c>
      <c r="C153" t="s">
        <v>81</v>
      </c>
      <c r="D153">
        <v>-27939.41</v>
      </c>
      <c r="E153" t="s">
        <v>32</v>
      </c>
      <c r="F153" t="s">
        <v>18</v>
      </c>
      <c r="H153">
        <v>10</v>
      </c>
      <c r="I153">
        <v>3024.93</v>
      </c>
      <c r="J153">
        <v>46181</v>
      </c>
      <c r="K153" t="b">
        <v>0</v>
      </c>
      <c r="L153">
        <v>7.9000000000000001E-2</v>
      </c>
      <c r="M153">
        <v>1.2619153223931789</v>
      </c>
      <c r="N153" t="s">
        <v>251</v>
      </c>
      <c r="O153">
        <v>-211343.13</v>
      </c>
    </row>
    <row r="154" spans="1:15" x14ac:dyDescent="0.2">
      <c r="A154">
        <v>45796</v>
      </c>
      <c r="B154" t="s">
        <v>80</v>
      </c>
      <c r="C154" t="s">
        <v>31</v>
      </c>
      <c r="D154">
        <v>330291.94</v>
      </c>
      <c r="E154" t="s">
        <v>32</v>
      </c>
      <c r="F154" t="s">
        <v>33</v>
      </c>
      <c r="G154" t="s">
        <v>78</v>
      </c>
      <c r="H154">
        <v>36</v>
      </c>
      <c r="I154">
        <v>4332.8</v>
      </c>
      <c r="J154">
        <v>45667</v>
      </c>
      <c r="K154" t="b">
        <v>0</v>
      </c>
      <c r="L154">
        <v>0.86599999999999999</v>
      </c>
      <c r="M154">
        <v>8.5418197233229876</v>
      </c>
      <c r="N154" t="s">
        <v>252</v>
      </c>
      <c r="O154">
        <v>-493579.05</v>
      </c>
    </row>
    <row r="155" spans="1:15" x14ac:dyDescent="0.2">
      <c r="A155">
        <v>45821</v>
      </c>
      <c r="B155" t="s">
        <v>108</v>
      </c>
      <c r="C155" t="s">
        <v>64</v>
      </c>
      <c r="D155">
        <v>290338.51</v>
      </c>
      <c r="E155" t="s">
        <v>17</v>
      </c>
      <c r="F155" t="s">
        <v>88</v>
      </c>
      <c r="G155" t="s">
        <v>58</v>
      </c>
      <c r="H155">
        <v>66</v>
      </c>
      <c r="I155">
        <v>3642.78</v>
      </c>
      <c r="J155">
        <v>46200</v>
      </c>
      <c r="K155" t="b">
        <v>0</v>
      </c>
      <c r="L155">
        <v>0.66200000000000003</v>
      </c>
      <c r="M155">
        <v>4.0488469460979104</v>
      </c>
      <c r="N155" t="s">
        <v>253</v>
      </c>
      <c r="O155">
        <v>-197240.05</v>
      </c>
    </row>
    <row r="156" spans="1:15" x14ac:dyDescent="0.2">
      <c r="A156">
        <v>45893</v>
      </c>
      <c r="B156" t="s">
        <v>110</v>
      </c>
      <c r="C156" t="s">
        <v>44</v>
      </c>
      <c r="D156">
        <v>369105.58</v>
      </c>
      <c r="E156" t="s">
        <v>32</v>
      </c>
      <c r="F156" t="s">
        <v>23</v>
      </c>
      <c r="G156" t="s">
        <v>61</v>
      </c>
      <c r="H156">
        <v>51</v>
      </c>
      <c r="I156">
        <v>9818.81</v>
      </c>
      <c r="J156">
        <v>46176</v>
      </c>
      <c r="K156" t="b">
        <v>0</v>
      </c>
      <c r="L156">
        <v>0.79700000000000004</v>
      </c>
      <c r="M156">
        <v>6.0333918104879558</v>
      </c>
      <c r="N156" t="s">
        <v>254</v>
      </c>
      <c r="O156">
        <v>67065.22</v>
      </c>
    </row>
    <row r="157" spans="1:15" x14ac:dyDescent="0.2">
      <c r="A157">
        <v>45813</v>
      </c>
      <c r="B157" t="s">
        <v>149</v>
      </c>
      <c r="C157" t="s">
        <v>64</v>
      </c>
      <c r="D157">
        <v>389019.34</v>
      </c>
      <c r="E157" t="s">
        <v>17</v>
      </c>
      <c r="F157" t="s">
        <v>65</v>
      </c>
      <c r="G157" t="s">
        <v>41</v>
      </c>
      <c r="H157">
        <v>67</v>
      </c>
      <c r="I157">
        <v>7129.15</v>
      </c>
      <c r="J157">
        <v>45958</v>
      </c>
      <c r="K157" t="b">
        <v>0</v>
      </c>
      <c r="L157">
        <v>0.45</v>
      </c>
      <c r="M157">
        <v>7.1381002920679748</v>
      </c>
      <c r="N157" t="s">
        <v>255</v>
      </c>
      <c r="O157">
        <v>-429355.91</v>
      </c>
    </row>
    <row r="158" spans="1:15" x14ac:dyDescent="0.2">
      <c r="A158">
        <v>45822</v>
      </c>
      <c r="B158" t="s">
        <v>54</v>
      </c>
      <c r="C158" t="s">
        <v>31</v>
      </c>
      <c r="D158">
        <v>185018.89</v>
      </c>
      <c r="E158" t="s">
        <v>17</v>
      </c>
      <c r="F158" t="s">
        <v>105</v>
      </c>
      <c r="G158" t="s">
        <v>58</v>
      </c>
      <c r="H158">
        <v>36</v>
      </c>
      <c r="I158">
        <v>2154.7399999999998</v>
      </c>
      <c r="J158">
        <v>46092</v>
      </c>
      <c r="K158" t="b">
        <v>0</v>
      </c>
      <c r="L158">
        <v>0.29899999999999999</v>
      </c>
      <c r="M158">
        <v>6.34177504805848</v>
      </c>
      <c r="N158" t="s">
        <v>256</v>
      </c>
      <c r="O158">
        <v>38915.56</v>
      </c>
    </row>
    <row r="159" spans="1:15" x14ac:dyDescent="0.2">
      <c r="A159">
        <v>45989</v>
      </c>
      <c r="B159" t="s">
        <v>54</v>
      </c>
      <c r="C159" t="s">
        <v>39</v>
      </c>
      <c r="D159">
        <v>-58420.79</v>
      </c>
      <c r="E159" t="s">
        <v>17</v>
      </c>
      <c r="F159" t="s">
        <v>88</v>
      </c>
      <c r="G159" t="s">
        <v>41</v>
      </c>
      <c r="H159">
        <v>34</v>
      </c>
      <c r="I159">
        <v>4802.79</v>
      </c>
      <c r="J159">
        <v>46069</v>
      </c>
      <c r="K159" t="b">
        <v>0</v>
      </c>
      <c r="L159">
        <v>0.81899999999999995</v>
      </c>
      <c r="M159">
        <v>6.2924261228181422</v>
      </c>
      <c r="N159" t="s">
        <v>257</v>
      </c>
      <c r="O159">
        <v>420820.61</v>
      </c>
    </row>
    <row r="160" spans="1:15" x14ac:dyDescent="0.2">
      <c r="A160">
        <v>45955</v>
      </c>
      <c r="B160" t="s">
        <v>38</v>
      </c>
      <c r="C160" t="s">
        <v>81</v>
      </c>
      <c r="D160">
        <v>88918.33</v>
      </c>
      <c r="E160" t="s">
        <v>32</v>
      </c>
      <c r="F160" t="s">
        <v>48</v>
      </c>
      <c r="G160" t="s">
        <v>58</v>
      </c>
      <c r="H160">
        <v>83</v>
      </c>
      <c r="I160">
        <v>1424.48</v>
      </c>
      <c r="J160">
        <v>46030</v>
      </c>
      <c r="K160" t="b">
        <v>1</v>
      </c>
      <c r="L160">
        <v>0.72499999999999998</v>
      </c>
      <c r="M160">
        <v>1.6844957391731441</v>
      </c>
      <c r="N160" t="s">
        <v>258</v>
      </c>
      <c r="O160">
        <v>-348698.23</v>
      </c>
    </row>
    <row r="161" spans="1:15" x14ac:dyDescent="0.2">
      <c r="A161">
        <v>45708</v>
      </c>
      <c r="B161" t="s">
        <v>117</v>
      </c>
      <c r="C161" t="s">
        <v>98</v>
      </c>
      <c r="D161">
        <v>29317.87</v>
      </c>
      <c r="E161" t="s">
        <v>32</v>
      </c>
      <c r="F161" t="s">
        <v>77</v>
      </c>
      <c r="G161" t="s">
        <v>58</v>
      </c>
      <c r="H161">
        <v>76</v>
      </c>
      <c r="I161">
        <v>4471.13</v>
      </c>
      <c r="J161">
        <v>45696</v>
      </c>
      <c r="K161" t="b">
        <v>0</v>
      </c>
      <c r="L161">
        <v>0.34599999999999997</v>
      </c>
      <c r="M161">
        <v>3.0552642326802015</v>
      </c>
      <c r="N161" t="s">
        <v>259</v>
      </c>
      <c r="O161">
        <v>-49424.49</v>
      </c>
    </row>
    <row r="162" spans="1:15" x14ac:dyDescent="0.2">
      <c r="A162">
        <v>45945</v>
      </c>
      <c r="B162" t="s">
        <v>153</v>
      </c>
      <c r="C162" t="s">
        <v>74</v>
      </c>
      <c r="D162">
        <v>-67401.539999999994</v>
      </c>
      <c r="E162" t="s">
        <v>32</v>
      </c>
      <c r="F162" t="s">
        <v>18</v>
      </c>
      <c r="G162" t="s">
        <v>49</v>
      </c>
      <c r="H162">
        <v>3</v>
      </c>
      <c r="I162">
        <v>3079.01</v>
      </c>
      <c r="J162">
        <v>45681</v>
      </c>
      <c r="K162" t="b">
        <v>1</v>
      </c>
      <c r="L162">
        <v>0.16300000000000001</v>
      </c>
      <c r="M162">
        <v>7.5375511799938977</v>
      </c>
      <c r="N162" t="s">
        <v>260</v>
      </c>
      <c r="O162">
        <v>30826.73</v>
      </c>
    </row>
    <row r="163" spans="1:15" x14ac:dyDescent="0.2">
      <c r="A163">
        <v>45842</v>
      </c>
      <c r="B163" t="s">
        <v>38</v>
      </c>
      <c r="C163" t="s">
        <v>127</v>
      </c>
      <c r="D163">
        <v>376362.79</v>
      </c>
      <c r="E163" t="s">
        <v>17</v>
      </c>
      <c r="F163" t="s">
        <v>28</v>
      </c>
      <c r="G163" t="s">
        <v>61</v>
      </c>
      <c r="H163">
        <v>48</v>
      </c>
      <c r="I163">
        <v>804.4</v>
      </c>
      <c r="J163">
        <v>45981</v>
      </c>
      <c r="K163" t="b">
        <v>1</v>
      </c>
      <c r="L163">
        <v>0.86699999999999999</v>
      </c>
      <c r="M163">
        <v>5.0274353078566492</v>
      </c>
      <c r="N163" t="s">
        <v>261</v>
      </c>
      <c r="O163">
        <v>190268.51</v>
      </c>
    </row>
    <row r="164" spans="1:15" x14ac:dyDescent="0.2">
      <c r="A164">
        <v>45855</v>
      </c>
      <c r="B164" t="s">
        <v>38</v>
      </c>
      <c r="C164" t="s">
        <v>74</v>
      </c>
      <c r="D164">
        <v>-10345.15</v>
      </c>
      <c r="E164" t="s">
        <v>17</v>
      </c>
      <c r="F164" t="s">
        <v>82</v>
      </c>
      <c r="G164" t="s">
        <v>24</v>
      </c>
      <c r="H164">
        <v>29</v>
      </c>
      <c r="I164">
        <v>1407.3</v>
      </c>
      <c r="J164">
        <v>45862</v>
      </c>
      <c r="K164" t="b">
        <v>1</v>
      </c>
      <c r="L164">
        <v>0.26</v>
      </c>
      <c r="M164">
        <v>1.8306463095359504</v>
      </c>
      <c r="N164" t="s">
        <v>262</v>
      </c>
      <c r="O164">
        <v>-175366.01</v>
      </c>
    </row>
    <row r="165" spans="1:15" x14ac:dyDescent="0.2">
      <c r="A165">
        <v>45740</v>
      </c>
      <c r="B165" t="s">
        <v>175</v>
      </c>
      <c r="C165" t="s">
        <v>70</v>
      </c>
      <c r="D165">
        <v>-12007.38</v>
      </c>
      <c r="E165" t="s">
        <v>17</v>
      </c>
      <c r="F165" t="s">
        <v>18</v>
      </c>
      <c r="G165" t="s">
        <v>66</v>
      </c>
      <c r="H165">
        <v>67</v>
      </c>
      <c r="I165">
        <v>928.99</v>
      </c>
      <c r="J165">
        <v>46221</v>
      </c>
      <c r="K165" t="b">
        <v>0</v>
      </c>
      <c r="L165">
        <v>0.79900000000000004</v>
      </c>
      <c r="M165">
        <v>0.45806505950167775</v>
      </c>
      <c r="N165" t="s">
        <v>263</v>
      </c>
      <c r="O165">
        <v>303329.07</v>
      </c>
    </row>
    <row r="166" spans="1:15" x14ac:dyDescent="0.2">
      <c r="A166">
        <v>45797</v>
      </c>
      <c r="B166" t="s">
        <v>54</v>
      </c>
      <c r="C166" t="s">
        <v>36</v>
      </c>
      <c r="D166">
        <v>303817.45</v>
      </c>
      <c r="E166" t="s">
        <v>17</v>
      </c>
      <c r="F166" t="s">
        <v>95</v>
      </c>
      <c r="G166" t="s">
        <v>78</v>
      </c>
      <c r="H166">
        <v>9</v>
      </c>
      <c r="I166">
        <v>6983.23</v>
      </c>
      <c r="J166">
        <v>45916</v>
      </c>
      <c r="K166" t="b">
        <v>1</v>
      </c>
      <c r="L166">
        <v>0.58199999999999996</v>
      </c>
      <c r="M166">
        <v>2.277325892355293</v>
      </c>
      <c r="N166" t="s">
        <v>264</v>
      </c>
      <c r="O166">
        <v>154015.19</v>
      </c>
    </row>
    <row r="167" spans="1:15" x14ac:dyDescent="0.2">
      <c r="A167">
        <v>45709</v>
      </c>
      <c r="B167" t="s">
        <v>205</v>
      </c>
      <c r="C167" t="s">
        <v>31</v>
      </c>
      <c r="D167">
        <v>-69574.179999999993</v>
      </c>
      <c r="E167" t="s">
        <v>32</v>
      </c>
      <c r="F167" t="s">
        <v>105</v>
      </c>
      <c r="G167" t="s">
        <v>78</v>
      </c>
      <c r="H167">
        <v>94</v>
      </c>
      <c r="I167">
        <v>5897.49</v>
      </c>
      <c r="J167">
        <v>45871</v>
      </c>
      <c r="K167" t="b">
        <v>0</v>
      </c>
      <c r="L167">
        <v>0.14000000000000001</v>
      </c>
      <c r="M167">
        <v>9.5344231161288917</v>
      </c>
      <c r="N167" t="s">
        <v>265</v>
      </c>
      <c r="O167">
        <v>64912.43</v>
      </c>
    </row>
    <row r="168" spans="1:15" x14ac:dyDescent="0.2">
      <c r="A168">
        <v>45826</v>
      </c>
      <c r="B168" t="s">
        <v>100</v>
      </c>
      <c r="C168" t="s">
        <v>64</v>
      </c>
      <c r="D168">
        <v>358273.26</v>
      </c>
      <c r="E168" t="s">
        <v>32</v>
      </c>
      <c r="F168" t="s">
        <v>18</v>
      </c>
      <c r="G168" t="s">
        <v>24</v>
      </c>
      <c r="H168">
        <v>54</v>
      </c>
      <c r="I168">
        <v>7311.86</v>
      </c>
      <c r="J168">
        <v>45801</v>
      </c>
      <c r="K168" t="b">
        <v>1</v>
      </c>
      <c r="L168">
        <v>0.91100000000000003</v>
      </c>
      <c r="M168">
        <v>4.6008091722615063</v>
      </c>
      <c r="N168" t="s">
        <v>266</v>
      </c>
      <c r="O168">
        <v>-338273.51</v>
      </c>
    </row>
    <row r="169" spans="1:15" x14ac:dyDescent="0.2">
      <c r="A169">
        <v>45725</v>
      </c>
      <c r="B169" t="s">
        <v>72</v>
      </c>
      <c r="C169" t="s">
        <v>16</v>
      </c>
      <c r="D169">
        <v>242812.16</v>
      </c>
      <c r="E169" t="s">
        <v>17</v>
      </c>
      <c r="F169" t="s">
        <v>105</v>
      </c>
      <c r="G169" t="s">
        <v>24</v>
      </c>
      <c r="H169">
        <v>11</v>
      </c>
      <c r="I169">
        <v>5863.69</v>
      </c>
      <c r="J169">
        <v>46010</v>
      </c>
      <c r="K169" t="b">
        <v>0</v>
      </c>
      <c r="L169">
        <v>0.70499999999999996</v>
      </c>
      <c r="M169">
        <v>9.5023332932032645</v>
      </c>
      <c r="N169" t="s">
        <v>267</v>
      </c>
      <c r="O169">
        <v>301713.90000000002</v>
      </c>
    </row>
    <row r="170" spans="1:15" x14ac:dyDescent="0.2">
      <c r="A170">
        <v>45813</v>
      </c>
      <c r="B170" t="s">
        <v>63</v>
      </c>
      <c r="C170" t="s">
        <v>16</v>
      </c>
      <c r="D170">
        <v>-6678.65</v>
      </c>
      <c r="E170" t="s">
        <v>17</v>
      </c>
      <c r="F170" t="s">
        <v>40</v>
      </c>
      <c r="G170" t="s">
        <v>52</v>
      </c>
      <c r="H170">
        <v>24</v>
      </c>
      <c r="I170">
        <v>5969.48</v>
      </c>
      <c r="J170">
        <v>46056</v>
      </c>
      <c r="K170" t="b">
        <v>0</v>
      </c>
      <c r="L170">
        <v>0.47699999999999998</v>
      </c>
      <c r="M170">
        <v>6.115923582110554</v>
      </c>
      <c r="N170" t="s">
        <v>268</v>
      </c>
      <c r="O170">
        <v>-445597.17</v>
      </c>
    </row>
    <row r="171" spans="1:15" x14ac:dyDescent="0.2">
      <c r="A171">
        <v>46017</v>
      </c>
      <c r="B171" t="s">
        <v>38</v>
      </c>
      <c r="C171" t="s">
        <v>36</v>
      </c>
      <c r="D171">
        <v>-16705.86</v>
      </c>
      <c r="E171" t="s">
        <v>17</v>
      </c>
      <c r="F171" t="s">
        <v>18</v>
      </c>
      <c r="H171">
        <v>84</v>
      </c>
      <c r="I171">
        <v>2799.03</v>
      </c>
      <c r="J171">
        <v>46034</v>
      </c>
      <c r="K171" t="b">
        <v>1</v>
      </c>
      <c r="L171">
        <v>0.625</v>
      </c>
      <c r="M171">
        <v>9.0391877107322216</v>
      </c>
      <c r="N171" t="s">
        <v>269</v>
      </c>
      <c r="O171">
        <v>422685.31</v>
      </c>
    </row>
    <row r="172" spans="1:15" x14ac:dyDescent="0.2">
      <c r="A172">
        <v>45985</v>
      </c>
      <c r="B172" t="s">
        <v>100</v>
      </c>
      <c r="C172" t="s">
        <v>85</v>
      </c>
      <c r="D172">
        <v>-73731.83</v>
      </c>
      <c r="E172" t="s">
        <v>17</v>
      </c>
      <c r="F172" t="s">
        <v>33</v>
      </c>
      <c r="G172" t="s">
        <v>58</v>
      </c>
      <c r="H172">
        <v>76</v>
      </c>
      <c r="I172">
        <v>188.35</v>
      </c>
      <c r="J172">
        <v>46219</v>
      </c>
      <c r="K172" t="b">
        <v>0</v>
      </c>
      <c r="L172">
        <v>0.41899999999999998</v>
      </c>
      <c r="M172">
        <v>5.1914847712032497</v>
      </c>
      <c r="N172" t="s">
        <v>270</v>
      </c>
      <c r="O172">
        <v>371263.36</v>
      </c>
    </row>
    <row r="173" spans="1:15" x14ac:dyDescent="0.2">
      <c r="A173">
        <v>46006</v>
      </c>
      <c r="B173" t="s">
        <v>63</v>
      </c>
      <c r="C173" t="s">
        <v>127</v>
      </c>
      <c r="D173">
        <v>66218.559999999998</v>
      </c>
      <c r="E173" t="s">
        <v>17</v>
      </c>
      <c r="F173" t="s">
        <v>95</v>
      </c>
      <c r="G173" t="s">
        <v>24</v>
      </c>
      <c r="H173">
        <v>54</v>
      </c>
      <c r="I173">
        <v>9144.24</v>
      </c>
      <c r="J173">
        <v>46152</v>
      </c>
      <c r="K173" t="b">
        <v>1</v>
      </c>
      <c r="L173">
        <v>0.873</v>
      </c>
      <c r="M173">
        <v>5.768679166212678</v>
      </c>
      <c r="N173" t="s">
        <v>271</v>
      </c>
      <c r="O173">
        <v>-303013.73</v>
      </c>
    </row>
    <row r="174" spans="1:15" x14ac:dyDescent="0.2">
      <c r="A174">
        <v>45793</v>
      </c>
      <c r="B174" t="s">
        <v>15</v>
      </c>
      <c r="C174" t="s">
        <v>98</v>
      </c>
      <c r="D174">
        <v>247002.34</v>
      </c>
      <c r="E174" t="s">
        <v>17</v>
      </c>
      <c r="F174" t="s">
        <v>60</v>
      </c>
      <c r="G174" t="s">
        <v>66</v>
      </c>
      <c r="H174">
        <v>84</v>
      </c>
      <c r="I174">
        <v>4571.3999999999996</v>
      </c>
      <c r="J174">
        <v>45938</v>
      </c>
      <c r="K174" t="b">
        <v>0</v>
      </c>
      <c r="L174">
        <v>0.52300000000000002</v>
      </c>
      <c r="M174">
        <v>2.2806647256948054</v>
      </c>
      <c r="N174" t="s">
        <v>272</v>
      </c>
      <c r="O174">
        <v>-231190.6</v>
      </c>
    </row>
    <row r="175" spans="1:15" x14ac:dyDescent="0.2">
      <c r="A175">
        <v>45883</v>
      </c>
      <c r="B175" t="s">
        <v>123</v>
      </c>
      <c r="C175" t="s">
        <v>85</v>
      </c>
      <c r="D175">
        <v>-28948.52</v>
      </c>
      <c r="E175" t="s">
        <v>32</v>
      </c>
      <c r="F175" t="s">
        <v>124</v>
      </c>
      <c r="G175" t="s">
        <v>58</v>
      </c>
      <c r="H175">
        <v>16</v>
      </c>
      <c r="I175">
        <v>3370.54</v>
      </c>
      <c r="J175">
        <v>46007</v>
      </c>
      <c r="K175" t="b">
        <v>1</v>
      </c>
      <c r="L175">
        <v>0.16300000000000001</v>
      </c>
      <c r="M175">
        <v>9.9447268852964044</v>
      </c>
      <c r="N175" t="s">
        <v>273</v>
      </c>
      <c r="O175">
        <v>-278951.37</v>
      </c>
    </row>
    <row r="176" spans="1:15" x14ac:dyDescent="0.2">
      <c r="A176">
        <v>45717</v>
      </c>
      <c r="B176" t="s">
        <v>51</v>
      </c>
      <c r="C176" t="s">
        <v>64</v>
      </c>
      <c r="D176">
        <v>-7891.15</v>
      </c>
      <c r="E176" t="s">
        <v>17</v>
      </c>
      <c r="F176" t="s">
        <v>40</v>
      </c>
      <c r="H176">
        <v>92</v>
      </c>
      <c r="I176">
        <v>9858.91</v>
      </c>
      <c r="J176">
        <v>46214</v>
      </c>
      <c r="K176" t="b">
        <v>1</v>
      </c>
      <c r="L176">
        <v>0.21299999999999999</v>
      </c>
      <c r="M176">
        <v>3.8146394630894065</v>
      </c>
      <c r="N176" t="s">
        <v>274</v>
      </c>
      <c r="O176">
        <v>-298551.34999999998</v>
      </c>
    </row>
    <row r="177" spans="1:15" x14ac:dyDescent="0.2">
      <c r="A177">
        <v>45691</v>
      </c>
      <c r="B177" t="s">
        <v>30</v>
      </c>
      <c r="C177" t="s">
        <v>74</v>
      </c>
      <c r="D177">
        <v>-22998.85</v>
      </c>
      <c r="E177" t="s">
        <v>17</v>
      </c>
      <c r="F177" t="s">
        <v>18</v>
      </c>
      <c r="G177" t="s">
        <v>24</v>
      </c>
      <c r="H177">
        <v>64</v>
      </c>
      <c r="I177">
        <v>5551.38</v>
      </c>
      <c r="J177">
        <v>45779</v>
      </c>
      <c r="K177" t="b">
        <v>1</v>
      </c>
      <c r="L177">
        <v>0.628</v>
      </c>
      <c r="M177">
        <v>1.4743511960841715</v>
      </c>
      <c r="N177" t="s">
        <v>275</v>
      </c>
      <c r="O177">
        <v>-268689.53999999998</v>
      </c>
    </row>
    <row r="178" spans="1:15" x14ac:dyDescent="0.2">
      <c r="A178">
        <v>45684</v>
      </c>
      <c r="B178" t="s">
        <v>80</v>
      </c>
      <c r="C178" t="s">
        <v>31</v>
      </c>
      <c r="D178">
        <v>-11794.58</v>
      </c>
      <c r="E178" t="s">
        <v>32</v>
      </c>
      <c r="F178" t="s">
        <v>124</v>
      </c>
      <c r="G178" t="s">
        <v>41</v>
      </c>
      <c r="H178">
        <v>9</v>
      </c>
      <c r="I178">
        <v>6455.7</v>
      </c>
      <c r="J178">
        <v>46096</v>
      </c>
      <c r="K178" t="b">
        <v>1</v>
      </c>
      <c r="L178">
        <v>0.65700000000000003</v>
      </c>
      <c r="M178">
        <v>3.0295964260585606</v>
      </c>
      <c r="N178" t="s">
        <v>276</v>
      </c>
      <c r="O178">
        <v>25659.25</v>
      </c>
    </row>
    <row r="179" spans="1:15" x14ac:dyDescent="0.2">
      <c r="A179">
        <v>45926</v>
      </c>
      <c r="B179" t="s">
        <v>149</v>
      </c>
      <c r="C179" t="s">
        <v>64</v>
      </c>
      <c r="D179">
        <v>-25793.02</v>
      </c>
      <c r="E179" t="s">
        <v>17</v>
      </c>
      <c r="F179" t="s">
        <v>45</v>
      </c>
      <c r="G179" t="s">
        <v>41</v>
      </c>
      <c r="H179">
        <v>56</v>
      </c>
      <c r="I179">
        <v>4530.78</v>
      </c>
      <c r="J179">
        <v>46313</v>
      </c>
      <c r="K179" t="b">
        <v>1</v>
      </c>
      <c r="L179">
        <v>0.443</v>
      </c>
      <c r="M179">
        <v>8.5568122239783406</v>
      </c>
      <c r="N179" t="s">
        <v>277</v>
      </c>
      <c r="O179">
        <v>-248004.51</v>
      </c>
    </row>
    <row r="180" spans="1:15" x14ac:dyDescent="0.2">
      <c r="A180">
        <v>45668</v>
      </c>
      <c r="B180" t="s">
        <v>54</v>
      </c>
      <c r="C180" t="s">
        <v>87</v>
      </c>
      <c r="D180">
        <v>365103.84</v>
      </c>
      <c r="E180" t="s">
        <v>17</v>
      </c>
      <c r="F180" t="s">
        <v>45</v>
      </c>
      <c r="G180" t="s">
        <v>58</v>
      </c>
      <c r="H180">
        <v>30</v>
      </c>
      <c r="I180">
        <v>9191.16</v>
      </c>
      <c r="J180">
        <v>45780</v>
      </c>
      <c r="K180" t="b">
        <v>0</v>
      </c>
      <c r="L180">
        <v>0.97799999999999998</v>
      </c>
      <c r="M180">
        <v>5.5167763493955135E-2</v>
      </c>
      <c r="N180" t="s">
        <v>278</v>
      </c>
      <c r="O180">
        <v>34038.660000000003</v>
      </c>
    </row>
    <row r="181" spans="1:15" x14ac:dyDescent="0.2">
      <c r="A181">
        <v>45970</v>
      </c>
      <c r="B181" t="s">
        <v>205</v>
      </c>
      <c r="C181" t="s">
        <v>127</v>
      </c>
      <c r="D181">
        <v>-65372.3</v>
      </c>
      <c r="E181" t="s">
        <v>17</v>
      </c>
      <c r="F181" t="s">
        <v>82</v>
      </c>
      <c r="G181" t="s">
        <v>66</v>
      </c>
      <c r="H181">
        <v>58</v>
      </c>
      <c r="I181">
        <v>6398.2</v>
      </c>
      <c r="J181">
        <v>46117</v>
      </c>
      <c r="K181" t="b">
        <v>1</v>
      </c>
      <c r="L181">
        <v>0.65900000000000003</v>
      </c>
      <c r="M181">
        <v>7.8506387071684003</v>
      </c>
      <c r="N181" t="s">
        <v>279</v>
      </c>
      <c r="O181">
        <v>332432.59000000003</v>
      </c>
    </row>
    <row r="182" spans="1:15" x14ac:dyDescent="0.2">
      <c r="A182">
        <v>45791</v>
      </c>
      <c r="B182" t="s">
        <v>205</v>
      </c>
      <c r="C182" t="s">
        <v>16</v>
      </c>
      <c r="D182">
        <v>147133.95000000001</v>
      </c>
      <c r="E182" t="s">
        <v>17</v>
      </c>
      <c r="F182" t="s">
        <v>88</v>
      </c>
      <c r="G182" t="s">
        <v>19</v>
      </c>
      <c r="H182">
        <v>9</v>
      </c>
      <c r="I182">
        <v>7086.02</v>
      </c>
      <c r="J182">
        <v>45739</v>
      </c>
      <c r="K182" t="b">
        <v>1</v>
      </c>
      <c r="L182">
        <v>9.6000000000000002E-2</v>
      </c>
      <c r="M182">
        <v>2.6092014112509787</v>
      </c>
      <c r="N182" t="s">
        <v>280</v>
      </c>
      <c r="O182">
        <v>6605.79</v>
      </c>
    </row>
    <row r="183" spans="1:15" x14ac:dyDescent="0.2">
      <c r="A183">
        <v>45744</v>
      </c>
      <c r="B183" t="s">
        <v>144</v>
      </c>
      <c r="C183" t="s">
        <v>22</v>
      </c>
      <c r="D183">
        <v>151237.54</v>
      </c>
      <c r="E183" t="s">
        <v>32</v>
      </c>
      <c r="F183" t="s">
        <v>28</v>
      </c>
      <c r="G183" t="s">
        <v>78</v>
      </c>
      <c r="H183">
        <v>21</v>
      </c>
      <c r="I183">
        <v>8244.61</v>
      </c>
      <c r="J183">
        <v>45883</v>
      </c>
      <c r="K183" t="b">
        <v>1</v>
      </c>
      <c r="L183">
        <v>0.92700000000000005</v>
      </c>
      <c r="M183">
        <v>6.8496673158369958</v>
      </c>
      <c r="N183" t="s">
        <v>281</v>
      </c>
      <c r="O183">
        <v>319395.57</v>
      </c>
    </row>
    <row r="184" spans="1:15" x14ac:dyDescent="0.2">
      <c r="A184">
        <v>45733</v>
      </c>
      <c r="B184" t="s">
        <v>38</v>
      </c>
      <c r="C184" t="s">
        <v>93</v>
      </c>
      <c r="D184">
        <v>319198.55</v>
      </c>
      <c r="E184" t="s">
        <v>32</v>
      </c>
      <c r="F184" t="s">
        <v>82</v>
      </c>
      <c r="H184">
        <v>41</v>
      </c>
      <c r="I184">
        <v>115.33</v>
      </c>
      <c r="J184">
        <v>45874</v>
      </c>
      <c r="K184" t="b">
        <v>0</v>
      </c>
      <c r="L184">
        <v>0.52900000000000003</v>
      </c>
      <c r="M184">
        <v>0.44407556764781475</v>
      </c>
      <c r="N184" t="s">
        <v>282</v>
      </c>
      <c r="O184">
        <v>352230.85</v>
      </c>
    </row>
    <row r="185" spans="1:15" x14ac:dyDescent="0.2">
      <c r="A185">
        <v>45692</v>
      </c>
      <c r="B185" t="s">
        <v>205</v>
      </c>
      <c r="C185" t="s">
        <v>98</v>
      </c>
      <c r="D185">
        <v>181268.69</v>
      </c>
      <c r="E185" t="s">
        <v>32</v>
      </c>
      <c r="F185" t="s">
        <v>95</v>
      </c>
      <c r="G185" t="s">
        <v>61</v>
      </c>
      <c r="H185">
        <v>39</v>
      </c>
      <c r="I185">
        <v>459.56</v>
      </c>
      <c r="J185">
        <v>46252</v>
      </c>
      <c r="K185" t="b">
        <v>1</v>
      </c>
      <c r="L185">
        <v>0.72099999999999997</v>
      </c>
      <c r="M185">
        <v>5.1771926926448941</v>
      </c>
      <c r="N185" t="s">
        <v>283</v>
      </c>
      <c r="O185">
        <v>264911.27</v>
      </c>
    </row>
    <row r="186" spans="1:15" x14ac:dyDescent="0.2">
      <c r="A186">
        <v>45779</v>
      </c>
      <c r="B186" t="s">
        <v>153</v>
      </c>
      <c r="C186" t="s">
        <v>36</v>
      </c>
      <c r="D186">
        <v>283986.55</v>
      </c>
      <c r="E186" t="s">
        <v>32</v>
      </c>
      <c r="F186" t="s">
        <v>105</v>
      </c>
      <c r="G186" t="s">
        <v>41</v>
      </c>
      <c r="H186">
        <v>30</v>
      </c>
      <c r="I186">
        <v>75.38</v>
      </c>
      <c r="J186">
        <v>46330</v>
      </c>
      <c r="K186" t="b">
        <v>0</v>
      </c>
      <c r="L186">
        <v>0.85099999999999998</v>
      </c>
      <c r="M186">
        <v>6.0937135317362845</v>
      </c>
      <c r="N186" t="s">
        <v>284</v>
      </c>
      <c r="O186">
        <v>-477479.52</v>
      </c>
    </row>
    <row r="187" spans="1:15" x14ac:dyDescent="0.2">
      <c r="A187">
        <v>45945</v>
      </c>
      <c r="B187" t="s">
        <v>110</v>
      </c>
      <c r="C187" t="s">
        <v>189</v>
      </c>
      <c r="D187">
        <v>-50072.52</v>
      </c>
      <c r="E187" t="s">
        <v>32</v>
      </c>
      <c r="F187" t="s">
        <v>33</v>
      </c>
      <c r="G187" t="s">
        <v>52</v>
      </c>
      <c r="H187">
        <v>1</v>
      </c>
      <c r="I187">
        <v>3299.76</v>
      </c>
      <c r="J187">
        <v>45938</v>
      </c>
      <c r="K187" t="b">
        <v>0</v>
      </c>
      <c r="L187">
        <v>0.999</v>
      </c>
      <c r="M187">
        <v>8.1040751677937806</v>
      </c>
      <c r="N187" t="s">
        <v>285</v>
      </c>
      <c r="O187">
        <v>294214.61</v>
      </c>
    </row>
    <row r="188" spans="1:15" x14ac:dyDescent="0.2">
      <c r="A188">
        <v>45673</v>
      </c>
      <c r="B188" t="s">
        <v>76</v>
      </c>
      <c r="C188" t="s">
        <v>27</v>
      </c>
      <c r="D188">
        <v>263181.07</v>
      </c>
      <c r="E188" t="s">
        <v>17</v>
      </c>
      <c r="F188" t="s">
        <v>40</v>
      </c>
      <c r="G188" t="s">
        <v>49</v>
      </c>
      <c r="H188">
        <v>42</v>
      </c>
      <c r="I188">
        <v>3379.44</v>
      </c>
      <c r="J188">
        <v>45683</v>
      </c>
      <c r="K188" t="b">
        <v>1</v>
      </c>
      <c r="L188">
        <v>0.36399999999999999</v>
      </c>
      <c r="M188">
        <v>0.99779283860698342</v>
      </c>
      <c r="N188" t="s">
        <v>286</v>
      </c>
      <c r="O188">
        <v>-223396.87</v>
      </c>
    </row>
    <row r="189" spans="1:15" x14ac:dyDescent="0.2">
      <c r="A189">
        <v>45748</v>
      </c>
      <c r="B189" t="s">
        <v>126</v>
      </c>
      <c r="C189" t="s">
        <v>127</v>
      </c>
      <c r="D189">
        <v>-77680.2</v>
      </c>
      <c r="E189" t="s">
        <v>17</v>
      </c>
      <c r="F189" t="s">
        <v>95</v>
      </c>
      <c r="G189" t="s">
        <v>49</v>
      </c>
      <c r="H189">
        <v>87</v>
      </c>
      <c r="I189">
        <v>9510.49</v>
      </c>
      <c r="J189">
        <v>46238</v>
      </c>
      <c r="K189" t="b">
        <v>1</v>
      </c>
      <c r="L189">
        <v>0.17499999999999999</v>
      </c>
      <c r="M189">
        <v>4.0630393056198955</v>
      </c>
      <c r="N189" t="s">
        <v>287</v>
      </c>
      <c r="O189">
        <v>261342.77</v>
      </c>
    </row>
    <row r="190" spans="1:15" x14ac:dyDescent="0.2">
      <c r="A190">
        <v>45848</v>
      </c>
      <c r="B190" t="s">
        <v>30</v>
      </c>
      <c r="C190" t="s">
        <v>36</v>
      </c>
      <c r="D190">
        <v>129563.59</v>
      </c>
      <c r="E190" t="s">
        <v>32</v>
      </c>
      <c r="F190" t="s">
        <v>88</v>
      </c>
      <c r="G190" t="s">
        <v>78</v>
      </c>
      <c r="H190">
        <v>85</v>
      </c>
      <c r="I190">
        <v>1781.99</v>
      </c>
      <c r="J190">
        <v>46070</v>
      </c>
      <c r="K190" t="b">
        <v>0</v>
      </c>
      <c r="L190">
        <v>0.435</v>
      </c>
      <c r="M190">
        <v>6.1832336382940412</v>
      </c>
      <c r="N190" t="s">
        <v>288</v>
      </c>
      <c r="O190">
        <v>466342.55</v>
      </c>
    </row>
    <row r="191" spans="1:15" x14ac:dyDescent="0.2">
      <c r="A191">
        <v>45992</v>
      </c>
      <c r="B191" t="s">
        <v>289</v>
      </c>
      <c r="C191" t="s">
        <v>189</v>
      </c>
      <c r="D191">
        <v>73165.31</v>
      </c>
      <c r="E191" t="s">
        <v>17</v>
      </c>
      <c r="F191" t="s">
        <v>60</v>
      </c>
      <c r="G191" t="s">
        <v>58</v>
      </c>
      <c r="H191">
        <v>10</v>
      </c>
      <c r="I191">
        <v>1033.73</v>
      </c>
      <c r="J191">
        <v>45710</v>
      </c>
      <c r="K191" t="b">
        <v>1</v>
      </c>
      <c r="L191">
        <v>0.89300000000000002</v>
      </c>
      <c r="M191">
        <v>2.0659113326109946</v>
      </c>
      <c r="N191" t="s">
        <v>290</v>
      </c>
      <c r="O191">
        <v>-114397.38</v>
      </c>
    </row>
    <row r="192" spans="1:15" x14ac:dyDescent="0.2">
      <c r="A192">
        <v>45830</v>
      </c>
      <c r="B192" t="s">
        <v>97</v>
      </c>
      <c r="C192" t="s">
        <v>98</v>
      </c>
      <c r="D192">
        <v>90528.26</v>
      </c>
      <c r="E192" t="s">
        <v>32</v>
      </c>
      <c r="F192" t="s">
        <v>95</v>
      </c>
      <c r="G192" t="s">
        <v>49</v>
      </c>
      <c r="H192">
        <v>64</v>
      </c>
      <c r="I192">
        <v>489.23</v>
      </c>
      <c r="J192">
        <v>46003</v>
      </c>
      <c r="K192" t="b">
        <v>1</v>
      </c>
      <c r="L192">
        <v>0.89700000000000002</v>
      </c>
      <c r="M192">
        <v>2.4675224372185767</v>
      </c>
      <c r="N192" t="s">
        <v>291</v>
      </c>
      <c r="O192">
        <v>-274913.58</v>
      </c>
    </row>
    <row r="193" spans="1:15" x14ac:dyDescent="0.2">
      <c r="A193">
        <v>45743</v>
      </c>
      <c r="B193" t="s">
        <v>110</v>
      </c>
      <c r="C193" t="s">
        <v>44</v>
      </c>
      <c r="D193">
        <v>302502.65999999997</v>
      </c>
      <c r="E193" t="s">
        <v>32</v>
      </c>
      <c r="F193" t="s">
        <v>48</v>
      </c>
      <c r="G193" t="s">
        <v>61</v>
      </c>
      <c r="H193">
        <v>28</v>
      </c>
      <c r="I193">
        <v>2304.34</v>
      </c>
      <c r="J193">
        <v>46190</v>
      </c>
      <c r="K193" t="b">
        <v>1</v>
      </c>
      <c r="L193">
        <v>0.94699999999999995</v>
      </c>
      <c r="M193">
        <v>4.8771198140457273</v>
      </c>
      <c r="N193" t="s">
        <v>292</v>
      </c>
      <c r="O193">
        <v>340216.35</v>
      </c>
    </row>
    <row r="194" spans="1:15" x14ac:dyDescent="0.2">
      <c r="A194">
        <v>45831</v>
      </c>
      <c r="B194" t="s">
        <v>175</v>
      </c>
      <c r="C194" t="s">
        <v>16</v>
      </c>
      <c r="D194">
        <v>295997.21000000002</v>
      </c>
      <c r="E194" t="s">
        <v>32</v>
      </c>
      <c r="F194" t="s">
        <v>28</v>
      </c>
      <c r="G194" t="s">
        <v>61</v>
      </c>
      <c r="H194">
        <v>22</v>
      </c>
      <c r="I194">
        <v>5774.68</v>
      </c>
      <c r="J194">
        <v>45909</v>
      </c>
      <c r="K194" t="b">
        <v>1</v>
      </c>
      <c r="L194">
        <v>0.52200000000000002</v>
      </c>
      <c r="M194">
        <v>1.7367641371674836</v>
      </c>
      <c r="N194" t="s">
        <v>293</v>
      </c>
      <c r="O194">
        <v>-211850.4</v>
      </c>
    </row>
    <row r="195" spans="1:15" x14ac:dyDescent="0.2">
      <c r="A195">
        <v>45953</v>
      </c>
      <c r="B195" t="s">
        <v>104</v>
      </c>
      <c r="C195" t="s">
        <v>127</v>
      </c>
      <c r="D195">
        <v>96889.02</v>
      </c>
      <c r="E195" t="s">
        <v>32</v>
      </c>
      <c r="F195" t="s">
        <v>60</v>
      </c>
      <c r="G195" t="s">
        <v>41</v>
      </c>
      <c r="H195">
        <v>12</v>
      </c>
      <c r="I195">
        <v>3822.18</v>
      </c>
      <c r="J195">
        <v>46292</v>
      </c>
      <c r="K195" t="b">
        <v>1</v>
      </c>
      <c r="L195">
        <v>0.32400000000000001</v>
      </c>
      <c r="M195">
        <v>4.5119704166427255</v>
      </c>
      <c r="N195" t="s">
        <v>294</v>
      </c>
      <c r="O195">
        <v>415769.8</v>
      </c>
    </row>
    <row r="196" spans="1:15" x14ac:dyDescent="0.2">
      <c r="A196">
        <v>46009</v>
      </c>
      <c r="B196" t="s">
        <v>108</v>
      </c>
      <c r="C196" t="s">
        <v>70</v>
      </c>
      <c r="D196">
        <v>78369.710000000006</v>
      </c>
      <c r="E196" t="s">
        <v>17</v>
      </c>
      <c r="F196" t="s">
        <v>60</v>
      </c>
      <c r="H196">
        <v>14</v>
      </c>
      <c r="I196">
        <v>716.99</v>
      </c>
      <c r="J196">
        <v>45880</v>
      </c>
      <c r="K196" t="b">
        <v>0</v>
      </c>
      <c r="L196">
        <v>0.71899999999999997</v>
      </c>
      <c r="M196">
        <v>0.86303324205800891</v>
      </c>
      <c r="N196" t="s">
        <v>295</v>
      </c>
      <c r="O196">
        <v>126357.69</v>
      </c>
    </row>
    <row r="197" spans="1:15" x14ac:dyDescent="0.2">
      <c r="A197">
        <v>45818</v>
      </c>
      <c r="B197" t="s">
        <v>92</v>
      </c>
      <c r="C197" t="s">
        <v>189</v>
      </c>
      <c r="D197">
        <v>376896.25</v>
      </c>
      <c r="E197" t="s">
        <v>32</v>
      </c>
      <c r="F197" t="s">
        <v>23</v>
      </c>
      <c r="G197" t="s">
        <v>58</v>
      </c>
      <c r="H197">
        <v>77</v>
      </c>
      <c r="I197">
        <v>324</v>
      </c>
      <c r="J197">
        <v>46151</v>
      </c>
      <c r="K197" t="b">
        <v>1</v>
      </c>
      <c r="L197">
        <v>0.73199999999999998</v>
      </c>
      <c r="M197">
        <v>4.2196762096136808</v>
      </c>
      <c r="N197" t="s">
        <v>296</v>
      </c>
      <c r="O197">
        <v>-348603.75</v>
      </c>
    </row>
    <row r="198" spans="1:15" x14ac:dyDescent="0.2">
      <c r="A198">
        <v>45707</v>
      </c>
      <c r="B198" t="s">
        <v>97</v>
      </c>
      <c r="C198" t="s">
        <v>22</v>
      </c>
      <c r="D198">
        <v>253587.77</v>
      </c>
      <c r="E198" t="s">
        <v>32</v>
      </c>
      <c r="F198" t="s">
        <v>60</v>
      </c>
      <c r="G198" t="s">
        <v>49</v>
      </c>
      <c r="H198">
        <v>80</v>
      </c>
      <c r="I198">
        <v>1401.11</v>
      </c>
      <c r="J198">
        <v>45736</v>
      </c>
      <c r="K198" t="b">
        <v>1</v>
      </c>
      <c r="L198">
        <v>0.54300000000000004</v>
      </c>
      <c r="M198">
        <v>3.7983286730013788</v>
      </c>
      <c r="N198" t="s">
        <v>297</v>
      </c>
      <c r="O198">
        <v>-216318.74</v>
      </c>
    </row>
    <row r="199" spans="1:15" x14ac:dyDescent="0.2">
      <c r="A199">
        <v>45973</v>
      </c>
      <c r="B199" t="s">
        <v>72</v>
      </c>
      <c r="C199" t="s">
        <v>93</v>
      </c>
      <c r="D199">
        <v>147137.49</v>
      </c>
      <c r="E199" t="s">
        <v>17</v>
      </c>
      <c r="F199" t="s">
        <v>60</v>
      </c>
      <c r="G199" t="s">
        <v>24</v>
      </c>
      <c r="H199">
        <v>91</v>
      </c>
      <c r="I199">
        <v>8508.49</v>
      </c>
      <c r="J199">
        <v>45841</v>
      </c>
      <c r="K199" t="b">
        <v>1</v>
      </c>
      <c r="L199">
        <v>0.15</v>
      </c>
      <c r="M199">
        <v>4.6338045294396579</v>
      </c>
      <c r="N199" t="s">
        <v>298</v>
      </c>
      <c r="O199">
        <v>283254.53999999998</v>
      </c>
    </row>
    <row r="200" spans="1:15" x14ac:dyDescent="0.2">
      <c r="A200">
        <v>45816</v>
      </c>
      <c r="B200" t="s">
        <v>47</v>
      </c>
      <c r="C200" t="s">
        <v>93</v>
      </c>
      <c r="D200">
        <v>-9363.4500000000007</v>
      </c>
      <c r="E200" t="s">
        <v>17</v>
      </c>
      <c r="F200" t="s">
        <v>28</v>
      </c>
      <c r="G200" t="s">
        <v>49</v>
      </c>
      <c r="H200">
        <v>55</v>
      </c>
      <c r="I200">
        <v>3500.64</v>
      </c>
      <c r="J200">
        <v>46095</v>
      </c>
      <c r="K200" t="b">
        <v>0</v>
      </c>
      <c r="L200">
        <v>0.53600000000000003</v>
      </c>
      <c r="M200">
        <v>7.5242105918005109</v>
      </c>
      <c r="N200" t="s">
        <v>299</v>
      </c>
      <c r="O200">
        <v>45482.45</v>
      </c>
    </row>
    <row r="201" spans="1:15" x14ac:dyDescent="0.2">
      <c r="A201">
        <v>45756</v>
      </c>
      <c r="B201" t="s">
        <v>84</v>
      </c>
      <c r="C201" t="s">
        <v>44</v>
      </c>
      <c r="D201">
        <v>49573.68</v>
      </c>
      <c r="E201" t="s">
        <v>17</v>
      </c>
      <c r="F201" t="s">
        <v>45</v>
      </c>
      <c r="G201" t="s">
        <v>66</v>
      </c>
      <c r="H201">
        <v>11</v>
      </c>
      <c r="I201">
        <v>5573.92</v>
      </c>
      <c r="J201">
        <v>45911</v>
      </c>
      <c r="K201" t="b">
        <v>0</v>
      </c>
      <c r="L201">
        <v>0.50700000000000001</v>
      </c>
      <c r="M201">
        <v>5.930911498144269</v>
      </c>
      <c r="N201" t="s">
        <v>300</v>
      </c>
      <c r="O201">
        <v>-472836.7</v>
      </c>
    </row>
    <row r="202" spans="1:15" x14ac:dyDescent="0.2">
      <c r="A202">
        <v>45857</v>
      </c>
      <c r="B202" t="s">
        <v>126</v>
      </c>
      <c r="C202" t="s">
        <v>93</v>
      </c>
      <c r="D202">
        <v>303298.19</v>
      </c>
      <c r="E202" t="s">
        <v>32</v>
      </c>
      <c r="F202" t="s">
        <v>124</v>
      </c>
      <c r="G202" t="s">
        <v>19</v>
      </c>
      <c r="H202">
        <v>33</v>
      </c>
      <c r="I202">
        <v>4971.12</v>
      </c>
      <c r="J202">
        <v>46175</v>
      </c>
      <c r="K202" t="b">
        <v>1</v>
      </c>
      <c r="L202">
        <v>0.72499999999999998</v>
      </c>
      <c r="M202">
        <v>0.74565231567248702</v>
      </c>
      <c r="N202" t="s">
        <v>301</v>
      </c>
      <c r="O202">
        <v>-208370.81</v>
      </c>
    </row>
    <row r="203" spans="1:15" x14ac:dyDescent="0.2">
      <c r="A203">
        <v>45943</v>
      </c>
      <c r="B203" t="s">
        <v>92</v>
      </c>
      <c r="C203" t="s">
        <v>39</v>
      </c>
      <c r="D203">
        <v>338590.63</v>
      </c>
      <c r="E203" t="s">
        <v>17</v>
      </c>
      <c r="F203" t="s">
        <v>95</v>
      </c>
      <c r="G203" t="s">
        <v>66</v>
      </c>
      <c r="H203">
        <v>0</v>
      </c>
      <c r="I203">
        <v>9249</v>
      </c>
      <c r="J203">
        <v>46261</v>
      </c>
      <c r="K203" t="b">
        <v>0</v>
      </c>
      <c r="L203">
        <v>0.29499999999999998</v>
      </c>
      <c r="M203">
        <v>3.7389139994047582</v>
      </c>
      <c r="N203" t="s">
        <v>302</v>
      </c>
      <c r="O203">
        <v>448052.39</v>
      </c>
    </row>
    <row r="204" spans="1:15" x14ac:dyDescent="0.2">
      <c r="A204">
        <v>45841</v>
      </c>
      <c r="B204" t="s">
        <v>144</v>
      </c>
      <c r="C204" t="s">
        <v>74</v>
      </c>
      <c r="D204">
        <v>46530.92</v>
      </c>
      <c r="E204" t="s">
        <v>17</v>
      </c>
      <c r="F204" t="s">
        <v>45</v>
      </c>
      <c r="G204" t="s">
        <v>49</v>
      </c>
      <c r="H204">
        <v>7</v>
      </c>
      <c r="I204">
        <v>6677.65</v>
      </c>
      <c r="J204">
        <v>46242</v>
      </c>
      <c r="K204" t="b">
        <v>0</v>
      </c>
      <c r="L204">
        <v>0.18</v>
      </c>
      <c r="M204">
        <v>7.0242823893204331</v>
      </c>
      <c r="N204" t="s">
        <v>303</v>
      </c>
      <c r="O204">
        <v>162732.1</v>
      </c>
    </row>
    <row r="205" spans="1:15" x14ac:dyDescent="0.2">
      <c r="A205">
        <v>45846</v>
      </c>
      <c r="B205" t="s">
        <v>38</v>
      </c>
      <c r="C205" t="s">
        <v>44</v>
      </c>
      <c r="D205">
        <v>218908.48</v>
      </c>
      <c r="E205" t="s">
        <v>32</v>
      </c>
      <c r="F205" t="s">
        <v>23</v>
      </c>
      <c r="G205" t="s">
        <v>78</v>
      </c>
      <c r="H205">
        <v>72</v>
      </c>
      <c r="I205">
        <v>4313.3599999999997</v>
      </c>
      <c r="J205">
        <v>46289</v>
      </c>
      <c r="K205" t="b">
        <v>0</v>
      </c>
      <c r="L205">
        <v>0.56999999999999995</v>
      </c>
      <c r="M205">
        <v>9.0234727063216269</v>
      </c>
      <c r="N205" t="s">
        <v>304</v>
      </c>
      <c r="O205">
        <v>-468223.02</v>
      </c>
    </row>
    <row r="206" spans="1:15" x14ac:dyDescent="0.2">
      <c r="A206">
        <v>45968</v>
      </c>
      <c r="B206" t="s">
        <v>147</v>
      </c>
      <c r="C206" t="s">
        <v>130</v>
      </c>
      <c r="D206">
        <v>167868.39</v>
      </c>
      <c r="E206" t="s">
        <v>32</v>
      </c>
      <c r="F206" t="s">
        <v>77</v>
      </c>
      <c r="G206" t="s">
        <v>58</v>
      </c>
      <c r="H206">
        <v>99</v>
      </c>
      <c r="I206">
        <v>9242.43</v>
      </c>
      <c r="J206">
        <v>45885</v>
      </c>
      <c r="K206" t="b">
        <v>1</v>
      </c>
      <c r="L206">
        <v>0.754</v>
      </c>
      <c r="M206">
        <v>6.7011874401941895</v>
      </c>
      <c r="N206" t="s">
        <v>305</v>
      </c>
      <c r="O206">
        <v>-366306.5</v>
      </c>
    </row>
    <row r="207" spans="1:15" x14ac:dyDescent="0.2">
      <c r="A207">
        <v>45921</v>
      </c>
      <c r="B207" t="s">
        <v>84</v>
      </c>
      <c r="C207" t="s">
        <v>87</v>
      </c>
      <c r="D207">
        <v>355280.64000000001</v>
      </c>
      <c r="E207" t="s">
        <v>17</v>
      </c>
      <c r="F207" t="s">
        <v>77</v>
      </c>
      <c r="H207">
        <v>70</v>
      </c>
      <c r="I207">
        <v>8110.33</v>
      </c>
      <c r="J207">
        <v>46062</v>
      </c>
      <c r="K207" t="b">
        <v>0</v>
      </c>
      <c r="L207">
        <v>0.63100000000000001</v>
      </c>
      <c r="M207">
        <v>9.4639640557579696</v>
      </c>
      <c r="N207" t="s">
        <v>306</v>
      </c>
      <c r="O207">
        <v>25083.49</v>
      </c>
    </row>
    <row r="208" spans="1:15" x14ac:dyDescent="0.2">
      <c r="A208">
        <v>46000</v>
      </c>
      <c r="B208" t="s">
        <v>84</v>
      </c>
      <c r="C208" t="s">
        <v>64</v>
      </c>
      <c r="D208">
        <v>326199.48</v>
      </c>
      <c r="E208" t="s">
        <v>32</v>
      </c>
      <c r="F208" t="s">
        <v>124</v>
      </c>
      <c r="G208" t="s">
        <v>49</v>
      </c>
      <c r="H208">
        <v>29</v>
      </c>
      <c r="I208">
        <v>6915.32</v>
      </c>
      <c r="J208">
        <v>46228</v>
      </c>
      <c r="K208" t="b">
        <v>1</v>
      </c>
      <c r="L208">
        <v>0.999</v>
      </c>
      <c r="M208">
        <v>7.4834817461669445</v>
      </c>
      <c r="N208" t="s">
        <v>307</v>
      </c>
      <c r="O208">
        <v>-217602.67</v>
      </c>
    </row>
    <row r="209" spans="1:15" x14ac:dyDescent="0.2">
      <c r="A209">
        <v>45787</v>
      </c>
      <c r="B209" t="s">
        <v>35</v>
      </c>
      <c r="C209" t="s">
        <v>93</v>
      </c>
      <c r="D209">
        <v>61518.89</v>
      </c>
      <c r="E209" t="s">
        <v>17</v>
      </c>
      <c r="F209" t="s">
        <v>33</v>
      </c>
      <c r="G209" t="s">
        <v>78</v>
      </c>
      <c r="H209">
        <v>91</v>
      </c>
      <c r="I209">
        <v>8525.42</v>
      </c>
      <c r="J209">
        <v>45958</v>
      </c>
      <c r="K209" t="b">
        <v>0</v>
      </c>
      <c r="L209">
        <v>0.79700000000000004</v>
      </c>
      <c r="M209">
        <v>9.6085199527442455</v>
      </c>
      <c r="N209" t="s">
        <v>308</v>
      </c>
      <c r="O209">
        <v>-4063.91</v>
      </c>
    </row>
    <row r="210" spans="1:15" x14ac:dyDescent="0.2">
      <c r="A210">
        <v>45730</v>
      </c>
      <c r="B210" t="s">
        <v>205</v>
      </c>
      <c r="C210" t="s">
        <v>36</v>
      </c>
      <c r="D210">
        <v>207813.19</v>
      </c>
      <c r="E210" t="s">
        <v>17</v>
      </c>
      <c r="F210" t="s">
        <v>82</v>
      </c>
      <c r="H210">
        <v>17</v>
      </c>
      <c r="I210">
        <v>1511.24</v>
      </c>
      <c r="J210">
        <v>45794</v>
      </c>
      <c r="K210" t="b">
        <v>0</v>
      </c>
      <c r="L210">
        <v>0.78600000000000003</v>
      </c>
      <c r="M210">
        <v>1.4155528019182384</v>
      </c>
      <c r="N210" t="s">
        <v>309</v>
      </c>
      <c r="O210">
        <v>-365933.15</v>
      </c>
    </row>
    <row r="211" spans="1:15" x14ac:dyDescent="0.2">
      <c r="A211">
        <v>45875</v>
      </c>
      <c r="B211" t="s">
        <v>54</v>
      </c>
      <c r="C211" t="s">
        <v>90</v>
      </c>
      <c r="D211">
        <v>344795.87</v>
      </c>
      <c r="E211" t="s">
        <v>17</v>
      </c>
      <c r="F211" t="s">
        <v>48</v>
      </c>
      <c r="H211">
        <v>38</v>
      </c>
      <c r="I211">
        <v>942.93</v>
      </c>
      <c r="J211">
        <v>45956</v>
      </c>
      <c r="K211" t="b">
        <v>1</v>
      </c>
      <c r="L211">
        <v>0.104</v>
      </c>
      <c r="M211">
        <v>6.5036978200078011</v>
      </c>
      <c r="N211" t="s">
        <v>310</v>
      </c>
      <c r="O211">
        <v>62240.41</v>
      </c>
    </row>
    <row r="212" spans="1:15" x14ac:dyDescent="0.2">
      <c r="A212">
        <v>45709</v>
      </c>
      <c r="B212" t="s">
        <v>194</v>
      </c>
      <c r="C212" t="s">
        <v>87</v>
      </c>
      <c r="D212">
        <v>62537.84</v>
      </c>
      <c r="E212" t="s">
        <v>17</v>
      </c>
      <c r="F212" t="s">
        <v>105</v>
      </c>
      <c r="G212" t="s">
        <v>78</v>
      </c>
      <c r="H212">
        <v>77</v>
      </c>
      <c r="I212">
        <v>9240.65</v>
      </c>
      <c r="J212">
        <v>46275</v>
      </c>
      <c r="K212" t="b">
        <v>1</v>
      </c>
      <c r="L212">
        <v>0.55200000000000005</v>
      </c>
      <c r="M212">
        <v>8.1256665475666523</v>
      </c>
      <c r="N212" t="s">
        <v>311</v>
      </c>
      <c r="O212">
        <v>-151494.29</v>
      </c>
    </row>
    <row r="213" spans="1:15" x14ac:dyDescent="0.2">
      <c r="A213">
        <v>45786</v>
      </c>
      <c r="B213" t="s">
        <v>35</v>
      </c>
      <c r="C213" t="s">
        <v>36</v>
      </c>
      <c r="D213">
        <v>-92919.57</v>
      </c>
      <c r="E213" t="s">
        <v>17</v>
      </c>
      <c r="F213" t="s">
        <v>65</v>
      </c>
      <c r="G213" t="s">
        <v>52</v>
      </c>
      <c r="H213">
        <v>33</v>
      </c>
      <c r="I213">
        <v>2922.59</v>
      </c>
      <c r="J213">
        <v>45958</v>
      </c>
      <c r="K213" t="b">
        <v>0</v>
      </c>
      <c r="L213">
        <v>0.82099999999999995</v>
      </c>
      <c r="M213">
        <v>8.4975719940848649</v>
      </c>
      <c r="N213" t="s">
        <v>312</v>
      </c>
      <c r="O213">
        <v>144709.48000000001</v>
      </c>
    </row>
    <row r="214" spans="1:15" x14ac:dyDescent="0.2">
      <c r="A214">
        <v>45680</v>
      </c>
      <c r="B214" t="s">
        <v>149</v>
      </c>
      <c r="C214" t="s">
        <v>70</v>
      </c>
      <c r="D214">
        <v>300116.08</v>
      </c>
      <c r="E214" t="s">
        <v>17</v>
      </c>
      <c r="F214" t="s">
        <v>45</v>
      </c>
      <c r="G214" t="s">
        <v>78</v>
      </c>
      <c r="H214">
        <v>60</v>
      </c>
      <c r="I214">
        <v>4685.59</v>
      </c>
      <c r="J214">
        <v>45770</v>
      </c>
      <c r="K214" t="b">
        <v>0</v>
      </c>
      <c r="L214">
        <v>0.77500000000000002</v>
      </c>
      <c r="M214">
        <v>5.2111612423323095</v>
      </c>
      <c r="N214" t="s">
        <v>313</v>
      </c>
      <c r="O214">
        <v>-27230.400000000001</v>
      </c>
    </row>
    <row r="215" spans="1:15" x14ac:dyDescent="0.2">
      <c r="A215">
        <v>45842</v>
      </c>
      <c r="B215" t="s">
        <v>108</v>
      </c>
      <c r="C215" t="s">
        <v>39</v>
      </c>
      <c r="D215">
        <v>169829.64</v>
      </c>
      <c r="E215" t="s">
        <v>32</v>
      </c>
      <c r="F215" t="s">
        <v>124</v>
      </c>
      <c r="G215" t="s">
        <v>61</v>
      </c>
      <c r="H215">
        <v>67</v>
      </c>
      <c r="I215">
        <v>7059.5</v>
      </c>
      <c r="J215">
        <v>45780</v>
      </c>
      <c r="K215" t="b">
        <v>1</v>
      </c>
      <c r="L215">
        <v>0.94699999999999995</v>
      </c>
      <c r="M215">
        <v>5.4585878690704703</v>
      </c>
      <c r="N215" t="s">
        <v>314</v>
      </c>
      <c r="O215">
        <v>11749.49</v>
      </c>
    </row>
    <row r="216" spans="1:15" x14ac:dyDescent="0.2">
      <c r="A216">
        <v>45835</v>
      </c>
      <c r="B216" t="s">
        <v>194</v>
      </c>
      <c r="C216" t="s">
        <v>130</v>
      </c>
      <c r="D216">
        <v>178646.95</v>
      </c>
      <c r="E216" t="s">
        <v>17</v>
      </c>
      <c r="F216" t="s">
        <v>45</v>
      </c>
      <c r="G216" t="s">
        <v>52</v>
      </c>
      <c r="H216">
        <v>1</v>
      </c>
      <c r="I216">
        <v>6306.78</v>
      </c>
      <c r="J216">
        <v>45905</v>
      </c>
      <c r="K216" t="b">
        <v>1</v>
      </c>
      <c r="L216">
        <v>0.17599999999999999</v>
      </c>
      <c r="M216">
        <v>7.4362235749140382</v>
      </c>
      <c r="N216" t="s">
        <v>315</v>
      </c>
      <c r="O216">
        <v>198021.89</v>
      </c>
    </row>
    <row r="217" spans="1:15" x14ac:dyDescent="0.2">
      <c r="A217">
        <v>45791</v>
      </c>
      <c r="B217" t="s">
        <v>69</v>
      </c>
      <c r="C217" t="s">
        <v>85</v>
      </c>
      <c r="D217">
        <v>93549.25</v>
      </c>
      <c r="E217" t="s">
        <v>17</v>
      </c>
      <c r="F217" t="s">
        <v>77</v>
      </c>
      <c r="G217" t="s">
        <v>49</v>
      </c>
      <c r="H217">
        <v>37</v>
      </c>
      <c r="I217">
        <v>4259.12</v>
      </c>
      <c r="J217">
        <v>46085</v>
      </c>
      <c r="K217" t="b">
        <v>0</v>
      </c>
      <c r="L217">
        <v>7.4999999999999997E-2</v>
      </c>
      <c r="M217">
        <v>4.7605979209765792</v>
      </c>
      <c r="N217" t="s">
        <v>316</v>
      </c>
      <c r="O217">
        <v>-92627.76</v>
      </c>
    </row>
    <row r="218" spans="1:15" x14ac:dyDescent="0.2">
      <c r="A218">
        <v>45955</v>
      </c>
      <c r="B218" t="s">
        <v>35</v>
      </c>
      <c r="C218" t="s">
        <v>85</v>
      </c>
      <c r="D218">
        <v>176443.88</v>
      </c>
      <c r="E218" t="s">
        <v>17</v>
      </c>
      <c r="F218" t="s">
        <v>65</v>
      </c>
      <c r="G218" t="s">
        <v>19</v>
      </c>
      <c r="H218">
        <v>43</v>
      </c>
      <c r="I218">
        <v>4991.32</v>
      </c>
      <c r="J218">
        <v>46027</v>
      </c>
      <c r="K218" t="b">
        <v>1</v>
      </c>
      <c r="L218">
        <v>0.81799999999999995</v>
      </c>
      <c r="M218">
        <v>7.029231886845082</v>
      </c>
      <c r="N218" t="s">
        <v>317</v>
      </c>
      <c r="O218">
        <v>361500.56</v>
      </c>
    </row>
    <row r="219" spans="1:15" x14ac:dyDescent="0.2">
      <c r="A219">
        <v>45916</v>
      </c>
      <c r="B219" t="s">
        <v>175</v>
      </c>
      <c r="C219" t="s">
        <v>31</v>
      </c>
      <c r="D219">
        <v>47400.89</v>
      </c>
      <c r="E219" t="s">
        <v>17</v>
      </c>
      <c r="F219" t="s">
        <v>77</v>
      </c>
      <c r="H219">
        <v>56</v>
      </c>
      <c r="I219">
        <v>9858.84</v>
      </c>
      <c r="J219">
        <v>46223</v>
      </c>
      <c r="K219" t="b">
        <v>0</v>
      </c>
      <c r="L219">
        <v>0.745</v>
      </c>
      <c r="M219">
        <v>1.0640639462508261</v>
      </c>
      <c r="N219" t="s">
        <v>318</v>
      </c>
      <c r="O219">
        <v>-280001.36</v>
      </c>
    </row>
    <row r="220" spans="1:15" x14ac:dyDescent="0.2">
      <c r="A220">
        <v>45954</v>
      </c>
      <c r="B220" t="s">
        <v>38</v>
      </c>
      <c r="C220" t="s">
        <v>81</v>
      </c>
      <c r="D220">
        <v>245538.09</v>
      </c>
      <c r="E220" t="s">
        <v>17</v>
      </c>
      <c r="F220" t="s">
        <v>40</v>
      </c>
      <c r="G220" t="s">
        <v>41</v>
      </c>
      <c r="H220">
        <v>94</v>
      </c>
      <c r="I220">
        <v>6714.15</v>
      </c>
      <c r="J220">
        <v>46035</v>
      </c>
      <c r="K220" t="b">
        <v>0</v>
      </c>
      <c r="L220">
        <v>0.749</v>
      </c>
      <c r="M220">
        <v>8.307470555882901</v>
      </c>
      <c r="N220" t="s">
        <v>319</v>
      </c>
      <c r="O220">
        <v>311665.63</v>
      </c>
    </row>
    <row r="221" spans="1:15" x14ac:dyDescent="0.2">
      <c r="A221">
        <v>45907</v>
      </c>
      <c r="B221" t="s">
        <v>123</v>
      </c>
      <c r="C221" t="s">
        <v>90</v>
      </c>
      <c r="D221">
        <v>267894.61</v>
      </c>
      <c r="E221" t="s">
        <v>32</v>
      </c>
      <c r="F221" t="s">
        <v>60</v>
      </c>
      <c r="G221" t="s">
        <v>78</v>
      </c>
      <c r="H221">
        <v>5</v>
      </c>
      <c r="I221">
        <v>595.29999999999995</v>
      </c>
      <c r="J221">
        <v>46240</v>
      </c>
      <c r="K221" t="b">
        <v>0</v>
      </c>
      <c r="L221">
        <v>0.58799999999999997</v>
      </c>
      <c r="M221">
        <v>4.2937960126437247</v>
      </c>
      <c r="N221" t="s">
        <v>320</v>
      </c>
      <c r="O221">
        <v>358544.88</v>
      </c>
    </row>
    <row r="222" spans="1:15" x14ac:dyDescent="0.2">
      <c r="A222">
        <v>46000</v>
      </c>
      <c r="B222" t="s">
        <v>221</v>
      </c>
      <c r="C222" t="s">
        <v>27</v>
      </c>
      <c r="D222">
        <v>-34400.870000000003</v>
      </c>
      <c r="E222" t="s">
        <v>17</v>
      </c>
      <c r="F222" t="s">
        <v>88</v>
      </c>
      <c r="H222">
        <v>65</v>
      </c>
      <c r="I222">
        <v>3955.37</v>
      </c>
      <c r="J222">
        <v>46224</v>
      </c>
      <c r="K222" t="b">
        <v>1</v>
      </c>
      <c r="L222">
        <v>0.23300000000000001</v>
      </c>
      <c r="M222">
        <v>9.8364632180891931</v>
      </c>
      <c r="N222" t="s">
        <v>321</v>
      </c>
      <c r="O222">
        <v>-98529.67</v>
      </c>
    </row>
    <row r="223" spans="1:15" x14ac:dyDescent="0.2">
      <c r="A223">
        <v>45771</v>
      </c>
      <c r="B223" t="s">
        <v>15</v>
      </c>
      <c r="C223" t="s">
        <v>130</v>
      </c>
      <c r="D223">
        <v>385103.67</v>
      </c>
      <c r="E223" t="s">
        <v>17</v>
      </c>
      <c r="F223" t="s">
        <v>48</v>
      </c>
      <c r="H223">
        <v>4</v>
      </c>
      <c r="I223">
        <v>3015.43</v>
      </c>
      <c r="J223">
        <v>45953</v>
      </c>
      <c r="K223" t="b">
        <v>0</v>
      </c>
      <c r="L223">
        <v>0.55200000000000005</v>
      </c>
      <c r="M223">
        <v>2.7988942735828459</v>
      </c>
      <c r="N223" t="s">
        <v>322</v>
      </c>
      <c r="O223">
        <v>-82455.929999999993</v>
      </c>
    </row>
    <row r="224" spans="1:15" x14ac:dyDescent="0.2">
      <c r="A224">
        <v>45846</v>
      </c>
      <c r="B224" t="s">
        <v>151</v>
      </c>
      <c r="C224" t="s">
        <v>36</v>
      </c>
      <c r="D224">
        <v>206502.25</v>
      </c>
      <c r="E224" t="s">
        <v>17</v>
      </c>
      <c r="F224" t="s">
        <v>65</v>
      </c>
      <c r="G224" t="s">
        <v>41</v>
      </c>
      <c r="H224">
        <v>39</v>
      </c>
      <c r="I224">
        <v>7832.18</v>
      </c>
      <c r="J224">
        <v>46279</v>
      </c>
      <c r="K224" t="b">
        <v>0</v>
      </c>
      <c r="L224">
        <v>0.32800000000000001</v>
      </c>
      <c r="M224">
        <v>9.6617421507835388</v>
      </c>
      <c r="N224" t="s">
        <v>323</v>
      </c>
      <c r="O224">
        <v>-350346.33</v>
      </c>
    </row>
    <row r="225" spans="1:15" x14ac:dyDescent="0.2">
      <c r="A225">
        <v>45706</v>
      </c>
      <c r="B225" t="s">
        <v>57</v>
      </c>
      <c r="C225" t="s">
        <v>85</v>
      </c>
      <c r="D225">
        <v>-94596.21</v>
      </c>
      <c r="E225" t="s">
        <v>17</v>
      </c>
      <c r="F225" t="s">
        <v>65</v>
      </c>
      <c r="G225" t="s">
        <v>66</v>
      </c>
      <c r="H225">
        <v>52</v>
      </c>
      <c r="I225">
        <v>2530.36</v>
      </c>
      <c r="J225">
        <v>45767</v>
      </c>
      <c r="K225" t="b">
        <v>1</v>
      </c>
      <c r="L225">
        <v>0.98899999999999999</v>
      </c>
      <c r="M225">
        <v>3.5933403228409588</v>
      </c>
      <c r="N225" t="s">
        <v>324</v>
      </c>
      <c r="O225">
        <v>-316087.55</v>
      </c>
    </row>
    <row r="226" spans="1:15" x14ac:dyDescent="0.2">
      <c r="A226">
        <v>45710</v>
      </c>
      <c r="B226" t="s">
        <v>102</v>
      </c>
      <c r="C226" t="s">
        <v>44</v>
      </c>
      <c r="D226">
        <v>263411.21999999997</v>
      </c>
      <c r="E226" t="s">
        <v>17</v>
      </c>
      <c r="F226" t="s">
        <v>28</v>
      </c>
      <c r="G226" t="s">
        <v>58</v>
      </c>
      <c r="H226">
        <v>23</v>
      </c>
      <c r="I226">
        <v>6400.25</v>
      </c>
      <c r="J226">
        <v>46107</v>
      </c>
      <c r="K226" t="b">
        <v>0</v>
      </c>
      <c r="L226">
        <v>0.4</v>
      </c>
      <c r="M226">
        <v>6.1489337286911905</v>
      </c>
      <c r="N226" t="s">
        <v>325</v>
      </c>
      <c r="O226">
        <v>28701.11</v>
      </c>
    </row>
    <row r="227" spans="1:15" x14ac:dyDescent="0.2">
      <c r="A227">
        <v>45858</v>
      </c>
      <c r="B227" t="s">
        <v>117</v>
      </c>
      <c r="C227" t="s">
        <v>127</v>
      </c>
      <c r="D227">
        <v>332928.46999999997</v>
      </c>
      <c r="E227" t="s">
        <v>32</v>
      </c>
      <c r="F227" t="s">
        <v>18</v>
      </c>
      <c r="G227" t="s">
        <v>61</v>
      </c>
      <c r="H227">
        <v>95</v>
      </c>
      <c r="I227">
        <v>1095.49</v>
      </c>
      <c r="J227">
        <v>45916</v>
      </c>
      <c r="K227" t="b">
        <v>1</v>
      </c>
      <c r="L227">
        <v>0.92</v>
      </c>
      <c r="M227">
        <v>9.8567082895897329</v>
      </c>
      <c r="N227" t="s">
        <v>326</v>
      </c>
      <c r="O227">
        <v>-474991.05</v>
      </c>
    </row>
    <row r="228" spans="1:15" x14ac:dyDescent="0.2">
      <c r="A228">
        <v>45728</v>
      </c>
      <c r="B228" t="s">
        <v>38</v>
      </c>
      <c r="C228" t="s">
        <v>93</v>
      </c>
      <c r="D228">
        <v>68072.02</v>
      </c>
      <c r="E228" t="s">
        <v>32</v>
      </c>
      <c r="F228" t="s">
        <v>18</v>
      </c>
      <c r="G228" t="s">
        <v>66</v>
      </c>
      <c r="H228">
        <v>55</v>
      </c>
      <c r="I228">
        <v>6487.29</v>
      </c>
      <c r="J228">
        <v>46329</v>
      </c>
      <c r="K228" t="b">
        <v>1</v>
      </c>
      <c r="L228">
        <v>0.871</v>
      </c>
      <c r="M228">
        <v>6.629612110555172</v>
      </c>
      <c r="N228" t="s">
        <v>327</v>
      </c>
      <c r="O228">
        <v>489134.5</v>
      </c>
    </row>
    <row r="229" spans="1:15" x14ac:dyDescent="0.2">
      <c r="A229">
        <v>45711</v>
      </c>
      <c r="B229" t="s">
        <v>136</v>
      </c>
      <c r="C229" t="s">
        <v>81</v>
      </c>
      <c r="D229">
        <v>-41466.28</v>
      </c>
      <c r="E229" t="s">
        <v>17</v>
      </c>
      <c r="F229" t="s">
        <v>95</v>
      </c>
      <c r="G229" t="s">
        <v>58</v>
      </c>
      <c r="H229">
        <v>20</v>
      </c>
      <c r="I229">
        <v>3112.15</v>
      </c>
      <c r="J229">
        <v>46140</v>
      </c>
      <c r="K229" t="b">
        <v>0</v>
      </c>
      <c r="L229">
        <v>0.42</v>
      </c>
      <c r="M229">
        <v>6.1349750612862408</v>
      </c>
      <c r="N229" t="s">
        <v>328</v>
      </c>
      <c r="O229">
        <v>-466365.58</v>
      </c>
    </row>
    <row r="230" spans="1:15" x14ac:dyDescent="0.2">
      <c r="A230">
        <v>46010</v>
      </c>
      <c r="B230" t="s">
        <v>153</v>
      </c>
      <c r="C230" t="s">
        <v>36</v>
      </c>
      <c r="D230">
        <v>346144.14</v>
      </c>
      <c r="E230" t="s">
        <v>17</v>
      </c>
      <c r="F230" t="s">
        <v>124</v>
      </c>
      <c r="G230" t="s">
        <v>66</v>
      </c>
      <c r="H230">
        <v>37</v>
      </c>
      <c r="I230">
        <v>7715.96</v>
      </c>
      <c r="J230">
        <v>46214</v>
      </c>
      <c r="K230" t="b">
        <v>1</v>
      </c>
      <c r="L230">
        <v>0.65700000000000003</v>
      </c>
      <c r="M230">
        <v>1.2136477767489851</v>
      </c>
      <c r="N230" t="s">
        <v>329</v>
      </c>
      <c r="O230">
        <v>-48087.51</v>
      </c>
    </row>
    <row r="231" spans="1:15" x14ac:dyDescent="0.2">
      <c r="A231">
        <v>45825</v>
      </c>
      <c r="B231" t="s">
        <v>26</v>
      </c>
      <c r="C231" t="s">
        <v>93</v>
      </c>
      <c r="D231">
        <v>222390.05</v>
      </c>
      <c r="E231" t="s">
        <v>32</v>
      </c>
      <c r="F231" t="s">
        <v>48</v>
      </c>
      <c r="G231" t="s">
        <v>41</v>
      </c>
      <c r="H231">
        <v>16</v>
      </c>
      <c r="I231">
        <v>2221.3000000000002</v>
      </c>
      <c r="J231">
        <v>45752</v>
      </c>
      <c r="K231" t="b">
        <v>0</v>
      </c>
      <c r="L231">
        <v>0.45700000000000002</v>
      </c>
      <c r="M231">
        <v>6.2876581400632858</v>
      </c>
      <c r="N231" t="s">
        <v>330</v>
      </c>
      <c r="O231">
        <v>-492615.13</v>
      </c>
    </row>
    <row r="232" spans="1:15" x14ac:dyDescent="0.2">
      <c r="A232">
        <v>45884</v>
      </c>
      <c r="B232" t="s">
        <v>47</v>
      </c>
      <c r="C232" t="s">
        <v>98</v>
      </c>
      <c r="D232">
        <v>-23136.59</v>
      </c>
      <c r="E232" t="s">
        <v>32</v>
      </c>
      <c r="F232" t="s">
        <v>124</v>
      </c>
      <c r="G232" t="s">
        <v>66</v>
      </c>
      <c r="H232">
        <v>5</v>
      </c>
      <c r="I232">
        <v>2997.08</v>
      </c>
      <c r="J232">
        <v>46257</v>
      </c>
      <c r="K232" t="b">
        <v>1</v>
      </c>
      <c r="L232">
        <v>0.70799999999999996</v>
      </c>
      <c r="M232">
        <v>3.1602983851917088</v>
      </c>
      <c r="N232" t="s">
        <v>331</v>
      </c>
      <c r="O232">
        <v>444954.49</v>
      </c>
    </row>
    <row r="233" spans="1:15" x14ac:dyDescent="0.2">
      <c r="A233">
        <v>45998</v>
      </c>
      <c r="B233" t="s">
        <v>35</v>
      </c>
      <c r="C233" t="s">
        <v>98</v>
      </c>
      <c r="D233">
        <v>325797.92</v>
      </c>
      <c r="E233" t="s">
        <v>32</v>
      </c>
      <c r="F233" t="s">
        <v>33</v>
      </c>
      <c r="G233" t="s">
        <v>41</v>
      </c>
      <c r="H233">
        <v>57</v>
      </c>
      <c r="I233">
        <v>7723.89</v>
      </c>
      <c r="J233">
        <v>46032</v>
      </c>
      <c r="K233" t="b">
        <v>0</v>
      </c>
      <c r="L233">
        <v>0.30499999999999999</v>
      </c>
      <c r="M233">
        <v>9.8235278693027794</v>
      </c>
      <c r="N233" t="s">
        <v>332</v>
      </c>
      <c r="O233">
        <v>-374153.86</v>
      </c>
    </row>
    <row r="234" spans="1:15" x14ac:dyDescent="0.2">
      <c r="A234">
        <v>45844</v>
      </c>
      <c r="B234" t="s">
        <v>108</v>
      </c>
      <c r="C234" t="s">
        <v>22</v>
      </c>
      <c r="D234">
        <v>3404.16</v>
      </c>
      <c r="E234" t="s">
        <v>32</v>
      </c>
      <c r="F234" t="s">
        <v>65</v>
      </c>
      <c r="G234" t="s">
        <v>24</v>
      </c>
      <c r="H234">
        <v>55</v>
      </c>
      <c r="I234">
        <v>4646.34</v>
      </c>
      <c r="J234">
        <v>46155</v>
      </c>
      <c r="K234" t="b">
        <v>0</v>
      </c>
      <c r="L234">
        <v>9.5000000000000001E-2</v>
      </c>
      <c r="M234">
        <v>6.770352607127279</v>
      </c>
      <c r="N234" t="s">
        <v>333</v>
      </c>
      <c r="O234">
        <v>-334014.46000000002</v>
      </c>
    </row>
    <row r="235" spans="1:15" x14ac:dyDescent="0.2">
      <c r="A235">
        <v>45915</v>
      </c>
      <c r="B235" t="s">
        <v>72</v>
      </c>
      <c r="C235" t="s">
        <v>93</v>
      </c>
      <c r="D235">
        <v>13305.2</v>
      </c>
      <c r="E235" t="s">
        <v>32</v>
      </c>
      <c r="F235" t="s">
        <v>77</v>
      </c>
      <c r="G235" t="s">
        <v>61</v>
      </c>
      <c r="H235">
        <v>61</v>
      </c>
      <c r="I235">
        <v>2048.17</v>
      </c>
      <c r="J235">
        <v>45941</v>
      </c>
      <c r="K235" t="b">
        <v>1</v>
      </c>
      <c r="L235">
        <v>0.27900000000000003</v>
      </c>
      <c r="M235">
        <v>4.1894152946770191</v>
      </c>
      <c r="N235" t="s">
        <v>334</v>
      </c>
      <c r="O235">
        <v>-427768.91</v>
      </c>
    </row>
    <row r="236" spans="1:15" x14ac:dyDescent="0.2">
      <c r="A236">
        <v>45865</v>
      </c>
      <c r="B236" t="s">
        <v>72</v>
      </c>
      <c r="C236" t="s">
        <v>64</v>
      </c>
      <c r="D236">
        <v>217989.18</v>
      </c>
      <c r="E236" t="s">
        <v>32</v>
      </c>
      <c r="F236" t="s">
        <v>95</v>
      </c>
      <c r="G236" t="s">
        <v>49</v>
      </c>
      <c r="H236">
        <v>62</v>
      </c>
      <c r="I236">
        <v>3632.05</v>
      </c>
      <c r="J236">
        <v>45945</v>
      </c>
      <c r="K236" t="b">
        <v>0</v>
      </c>
      <c r="L236">
        <v>0.56000000000000005</v>
      </c>
      <c r="M236">
        <v>6.9043519790284336</v>
      </c>
      <c r="N236" t="s">
        <v>335</v>
      </c>
      <c r="O236">
        <v>324672.7</v>
      </c>
    </row>
    <row r="237" spans="1:15" x14ac:dyDescent="0.2">
      <c r="A237">
        <v>45864</v>
      </c>
      <c r="B237" t="s">
        <v>138</v>
      </c>
      <c r="C237" t="s">
        <v>90</v>
      </c>
      <c r="D237">
        <v>-95339.57</v>
      </c>
      <c r="E237" t="s">
        <v>32</v>
      </c>
      <c r="F237" t="s">
        <v>33</v>
      </c>
      <c r="G237" t="s">
        <v>24</v>
      </c>
      <c r="H237">
        <v>68</v>
      </c>
      <c r="I237">
        <v>3035.32</v>
      </c>
      <c r="J237">
        <v>46040</v>
      </c>
      <c r="K237" t="b">
        <v>1</v>
      </c>
      <c r="L237">
        <v>0.57399999999999995</v>
      </c>
      <c r="M237">
        <v>9.6463763923384249</v>
      </c>
      <c r="N237" t="s">
        <v>336</v>
      </c>
      <c r="O237">
        <v>288691.20000000001</v>
      </c>
    </row>
    <row r="238" spans="1:15" x14ac:dyDescent="0.2">
      <c r="A238">
        <v>46000</v>
      </c>
      <c r="B238" t="s">
        <v>63</v>
      </c>
      <c r="C238" t="s">
        <v>189</v>
      </c>
      <c r="D238">
        <v>-96224.34</v>
      </c>
      <c r="E238" t="s">
        <v>32</v>
      </c>
      <c r="F238" t="s">
        <v>95</v>
      </c>
      <c r="G238" t="s">
        <v>66</v>
      </c>
      <c r="H238">
        <v>50</v>
      </c>
      <c r="I238">
        <v>5853.32</v>
      </c>
      <c r="J238">
        <v>45809</v>
      </c>
      <c r="K238" t="b">
        <v>0</v>
      </c>
      <c r="L238">
        <v>0.111</v>
      </c>
      <c r="M238">
        <v>4.4584962399676442</v>
      </c>
      <c r="N238" t="s">
        <v>337</v>
      </c>
      <c r="O238">
        <v>241612.25</v>
      </c>
    </row>
    <row r="239" spans="1:15" x14ac:dyDescent="0.2">
      <c r="A239">
        <v>46004</v>
      </c>
      <c r="B239" t="s">
        <v>147</v>
      </c>
      <c r="C239" t="s">
        <v>16</v>
      </c>
      <c r="D239">
        <v>116477.62</v>
      </c>
      <c r="E239" t="s">
        <v>32</v>
      </c>
      <c r="F239" t="s">
        <v>18</v>
      </c>
      <c r="G239" t="s">
        <v>52</v>
      </c>
      <c r="H239">
        <v>80</v>
      </c>
      <c r="I239">
        <v>6211.46</v>
      </c>
      <c r="J239">
        <v>45849</v>
      </c>
      <c r="K239" t="b">
        <v>1</v>
      </c>
      <c r="L239">
        <v>0.123</v>
      </c>
      <c r="M239">
        <v>6.1684406804852188</v>
      </c>
      <c r="N239" t="s">
        <v>338</v>
      </c>
      <c r="O239">
        <v>162053.22</v>
      </c>
    </row>
    <row r="240" spans="1:15" x14ac:dyDescent="0.2">
      <c r="A240">
        <v>45760</v>
      </c>
      <c r="B240" t="s">
        <v>92</v>
      </c>
      <c r="C240" t="s">
        <v>130</v>
      </c>
      <c r="D240">
        <v>387119</v>
      </c>
      <c r="E240" t="s">
        <v>17</v>
      </c>
      <c r="F240" t="s">
        <v>124</v>
      </c>
      <c r="G240" t="s">
        <v>19</v>
      </c>
      <c r="H240">
        <v>94</v>
      </c>
      <c r="I240">
        <v>1160.9100000000001</v>
      </c>
      <c r="J240">
        <v>46299</v>
      </c>
      <c r="K240" t="b">
        <v>1</v>
      </c>
      <c r="L240">
        <v>0.40300000000000002</v>
      </c>
      <c r="M240">
        <v>3.2413484109565616</v>
      </c>
      <c r="N240" t="s">
        <v>339</v>
      </c>
      <c r="O240">
        <v>236331.02</v>
      </c>
    </row>
    <row r="241" spans="1:15" x14ac:dyDescent="0.2">
      <c r="A241">
        <v>45879</v>
      </c>
      <c r="B241" t="s">
        <v>63</v>
      </c>
      <c r="C241" t="s">
        <v>39</v>
      </c>
      <c r="D241">
        <v>296293.01</v>
      </c>
      <c r="E241" t="s">
        <v>17</v>
      </c>
      <c r="F241" t="s">
        <v>124</v>
      </c>
      <c r="G241" t="s">
        <v>78</v>
      </c>
      <c r="H241">
        <v>23</v>
      </c>
      <c r="I241">
        <v>7581.18</v>
      </c>
      <c r="J241">
        <v>46030</v>
      </c>
      <c r="K241" t="b">
        <v>1</v>
      </c>
      <c r="L241">
        <v>0.68600000000000005</v>
      </c>
      <c r="M241">
        <v>5.1640607696026564</v>
      </c>
      <c r="N241" t="s">
        <v>340</v>
      </c>
      <c r="O241">
        <v>193805.13</v>
      </c>
    </row>
    <row r="242" spans="1:15" x14ac:dyDescent="0.2">
      <c r="A242">
        <v>45935</v>
      </c>
      <c r="B242" t="s">
        <v>126</v>
      </c>
      <c r="C242" t="s">
        <v>16</v>
      </c>
      <c r="D242">
        <v>383996.88</v>
      </c>
      <c r="E242" t="s">
        <v>17</v>
      </c>
      <c r="F242" t="s">
        <v>18</v>
      </c>
      <c r="G242" t="s">
        <v>49</v>
      </c>
      <c r="H242">
        <v>68</v>
      </c>
      <c r="I242">
        <v>6374.5</v>
      </c>
      <c r="J242">
        <v>46175</v>
      </c>
      <c r="K242" t="b">
        <v>0</v>
      </c>
      <c r="L242">
        <v>0.82099999999999995</v>
      </c>
      <c r="M242">
        <v>2.0430521643720567</v>
      </c>
      <c r="N242" t="s">
        <v>341</v>
      </c>
      <c r="O242">
        <v>-380987.63</v>
      </c>
    </row>
    <row r="243" spans="1:15" x14ac:dyDescent="0.2">
      <c r="A243">
        <v>45944</v>
      </c>
      <c r="B243" t="s">
        <v>63</v>
      </c>
      <c r="C243" t="s">
        <v>70</v>
      </c>
      <c r="D243">
        <v>-21827.39</v>
      </c>
      <c r="E243" t="s">
        <v>17</v>
      </c>
      <c r="F243" t="s">
        <v>28</v>
      </c>
      <c r="G243" t="s">
        <v>24</v>
      </c>
      <c r="H243">
        <v>65</v>
      </c>
      <c r="I243">
        <v>1715.81</v>
      </c>
      <c r="J243">
        <v>45744</v>
      </c>
      <c r="K243" t="b">
        <v>0</v>
      </c>
      <c r="L243">
        <v>0.376</v>
      </c>
      <c r="M243">
        <v>2.0931327808648348</v>
      </c>
      <c r="N243" t="s">
        <v>342</v>
      </c>
      <c r="O243">
        <v>333010.17</v>
      </c>
    </row>
    <row r="244" spans="1:15" x14ac:dyDescent="0.2">
      <c r="A244">
        <v>45820</v>
      </c>
      <c r="B244" t="s">
        <v>203</v>
      </c>
      <c r="C244" t="s">
        <v>90</v>
      </c>
      <c r="D244">
        <v>360890.89</v>
      </c>
      <c r="E244" t="s">
        <v>17</v>
      </c>
      <c r="F244" t="s">
        <v>77</v>
      </c>
      <c r="G244" t="s">
        <v>66</v>
      </c>
      <c r="H244">
        <v>86</v>
      </c>
      <c r="I244">
        <v>8475.25</v>
      </c>
      <c r="J244">
        <v>45759</v>
      </c>
      <c r="K244" t="b">
        <v>0</v>
      </c>
      <c r="L244">
        <v>0.90800000000000003</v>
      </c>
      <c r="M244">
        <v>3.0288132536225021</v>
      </c>
      <c r="N244" t="s">
        <v>343</v>
      </c>
      <c r="O244">
        <v>-8240.23</v>
      </c>
    </row>
    <row r="245" spans="1:15" x14ac:dyDescent="0.2">
      <c r="A245">
        <v>45883</v>
      </c>
      <c r="B245" t="s">
        <v>30</v>
      </c>
      <c r="C245" t="s">
        <v>22</v>
      </c>
      <c r="D245">
        <v>179183.33</v>
      </c>
      <c r="E245" t="s">
        <v>17</v>
      </c>
      <c r="F245" t="s">
        <v>105</v>
      </c>
      <c r="G245" t="s">
        <v>58</v>
      </c>
      <c r="H245">
        <v>25</v>
      </c>
      <c r="I245">
        <v>7424.87</v>
      </c>
      <c r="J245">
        <v>46010</v>
      </c>
      <c r="K245" t="b">
        <v>0</v>
      </c>
      <c r="L245">
        <v>0.217</v>
      </c>
      <c r="M245">
        <v>5.746746133081615</v>
      </c>
      <c r="N245" t="s">
        <v>344</v>
      </c>
      <c r="O245">
        <v>-2400.9</v>
      </c>
    </row>
    <row r="246" spans="1:15" x14ac:dyDescent="0.2">
      <c r="A246">
        <v>46005</v>
      </c>
      <c r="B246" t="s">
        <v>136</v>
      </c>
      <c r="C246" t="s">
        <v>27</v>
      </c>
      <c r="D246">
        <v>354795.36</v>
      </c>
      <c r="E246" t="s">
        <v>32</v>
      </c>
      <c r="F246" t="s">
        <v>124</v>
      </c>
      <c r="G246" t="s">
        <v>24</v>
      </c>
      <c r="H246">
        <v>65</v>
      </c>
      <c r="I246">
        <v>5169.1899999999996</v>
      </c>
      <c r="J246">
        <v>46143</v>
      </c>
      <c r="K246" t="b">
        <v>1</v>
      </c>
      <c r="L246">
        <v>0.91</v>
      </c>
      <c r="M246">
        <v>2.4382454692386091</v>
      </c>
      <c r="N246" t="s">
        <v>345</v>
      </c>
      <c r="O246">
        <v>390319</v>
      </c>
    </row>
    <row r="247" spans="1:15" x14ac:dyDescent="0.2">
      <c r="A247">
        <v>45810</v>
      </c>
      <c r="B247" t="s">
        <v>15</v>
      </c>
      <c r="C247" t="s">
        <v>36</v>
      </c>
      <c r="D247">
        <v>181334.39</v>
      </c>
      <c r="E247" t="s">
        <v>32</v>
      </c>
      <c r="F247" t="s">
        <v>28</v>
      </c>
      <c r="G247" t="s">
        <v>52</v>
      </c>
      <c r="H247">
        <v>27</v>
      </c>
      <c r="I247">
        <v>8981.32</v>
      </c>
      <c r="J247">
        <v>45865</v>
      </c>
      <c r="K247" t="b">
        <v>0</v>
      </c>
      <c r="L247">
        <v>0.50600000000000001</v>
      </c>
      <c r="M247">
        <v>7.5066547282040119</v>
      </c>
      <c r="N247" t="s">
        <v>346</v>
      </c>
      <c r="O247">
        <v>-250841.51</v>
      </c>
    </row>
    <row r="248" spans="1:15" x14ac:dyDescent="0.2">
      <c r="A248">
        <v>45926</v>
      </c>
      <c r="B248" t="s">
        <v>136</v>
      </c>
      <c r="C248" t="s">
        <v>74</v>
      </c>
      <c r="D248">
        <v>81223.360000000001</v>
      </c>
      <c r="E248" t="s">
        <v>32</v>
      </c>
      <c r="F248" t="s">
        <v>65</v>
      </c>
      <c r="G248" t="s">
        <v>19</v>
      </c>
      <c r="H248">
        <v>65</v>
      </c>
      <c r="I248">
        <v>3686.62</v>
      </c>
      <c r="J248">
        <v>46186</v>
      </c>
      <c r="K248" t="b">
        <v>1</v>
      </c>
      <c r="L248">
        <v>0.91800000000000004</v>
      </c>
      <c r="M248">
        <v>3.9263398922048509</v>
      </c>
      <c r="N248" t="s">
        <v>347</v>
      </c>
      <c r="O248">
        <v>289252.71000000002</v>
      </c>
    </row>
    <row r="249" spans="1:15" x14ac:dyDescent="0.2">
      <c r="A249">
        <v>45677</v>
      </c>
      <c r="B249" t="s">
        <v>126</v>
      </c>
      <c r="C249" t="s">
        <v>44</v>
      </c>
      <c r="D249">
        <v>-73607.44</v>
      </c>
      <c r="E249" t="s">
        <v>32</v>
      </c>
      <c r="F249" t="s">
        <v>40</v>
      </c>
      <c r="G249" t="s">
        <v>19</v>
      </c>
      <c r="H249">
        <v>1</v>
      </c>
      <c r="I249">
        <v>6171.71</v>
      </c>
      <c r="J249">
        <v>45723</v>
      </c>
      <c r="K249" t="b">
        <v>1</v>
      </c>
      <c r="L249">
        <v>0.29599999999999999</v>
      </c>
      <c r="M249">
        <v>4.9441118934191763</v>
      </c>
      <c r="N249" t="s">
        <v>348</v>
      </c>
      <c r="O249">
        <v>-105432.75</v>
      </c>
    </row>
    <row r="250" spans="1:15" x14ac:dyDescent="0.2">
      <c r="A250">
        <v>45874</v>
      </c>
      <c r="B250" t="s">
        <v>100</v>
      </c>
      <c r="C250" t="s">
        <v>81</v>
      </c>
      <c r="D250">
        <v>365776.07</v>
      </c>
      <c r="E250" t="s">
        <v>17</v>
      </c>
      <c r="F250" t="s">
        <v>18</v>
      </c>
      <c r="G250" t="s">
        <v>61</v>
      </c>
      <c r="H250">
        <v>19</v>
      </c>
      <c r="I250">
        <v>7485.4</v>
      </c>
      <c r="J250">
        <v>45820</v>
      </c>
      <c r="K250" t="b">
        <v>0</v>
      </c>
      <c r="L250">
        <v>0.01</v>
      </c>
      <c r="M250">
        <v>9.9202894489280879</v>
      </c>
      <c r="N250" t="s">
        <v>349</v>
      </c>
      <c r="O250">
        <v>158998.93</v>
      </c>
    </row>
    <row r="251" spans="1:15" x14ac:dyDescent="0.2">
      <c r="A251">
        <v>46019</v>
      </c>
      <c r="B251" t="s">
        <v>102</v>
      </c>
      <c r="C251" t="s">
        <v>81</v>
      </c>
      <c r="D251">
        <v>206710.29</v>
      </c>
      <c r="E251" t="s">
        <v>17</v>
      </c>
      <c r="F251" t="s">
        <v>105</v>
      </c>
      <c r="G251" t="s">
        <v>58</v>
      </c>
      <c r="H251">
        <v>86</v>
      </c>
      <c r="I251">
        <v>209.43</v>
      </c>
      <c r="J251">
        <v>45902</v>
      </c>
      <c r="K251" t="b">
        <v>0</v>
      </c>
      <c r="L251">
        <v>0.34300000000000003</v>
      </c>
      <c r="M251">
        <v>2.9987254529260099</v>
      </c>
      <c r="N251" t="s">
        <v>350</v>
      </c>
      <c r="O251">
        <v>150906.22</v>
      </c>
    </row>
    <row r="252" spans="1:15" x14ac:dyDescent="0.2">
      <c r="A252">
        <v>45889</v>
      </c>
      <c r="B252" t="s">
        <v>15</v>
      </c>
      <c r="C252" t="s">
        <v>16</v>
      </c>
      <c r="D252">
        <v>132167.10999999999</v>
      </c>
      <c r="E252" t="s">
        <v>32</v>
      </c>
      <c r="F252" t="s">
        <v>18</v>
      </c>
      <c r="H252">
        <v>25</v>
      </c>
      <c r="I252">
        <v>3401.25</v>
      </c>
      <c r="J252">
        <v>45853</v>
      </c>
      <c r="K252" t="b">
        <v>0</v>
      </c>
      <c r="L252">
        <v>0.44500000000000001</v>
      </c>
      <c r="M252">
        <v>1.9896523468196392</v>
      </c>
      <c r="N252" t="s">
        <v>351</v>
      </c>
      <c r="O252">
        <v>-380476.86</v>
      </c>
    </row>
    <row r="253" spans="1:15" x14ac:dyDescent="0.2">
      <c r="A253">
        <v>45886</v>
      </c>
      <c r="B253" t="s">
        <v>63</v>
      </c>
      <c r="C253" t="s">
        <v>87</v>
      </c>
      <c r="D253">
        <v>-74492.320000000007</v>
      </c>
      <c r="E253" t="s">
        <v>32</v>
      </c>
      <c r="F253" t="s">
        <v>77</v>
      </c>
      <c r="G253" t="s">
        <v>58</v>
      </c>
      <c r="H253">
        <v>38</v>
      </c>
      <c r="I253">
        <v>3026.32</v>
      </c>
      <c r="J253">
        <v>45987</v>
      </c>
      <c r="K253" t="b">
        <v>1</v>
      </c>
      <c r="L253">
        <v>0.48299999999999998</v>
      </c>
      <c r="M253">
        <v>9.3191550113260746</v>
      </c>
      <c r="N253" t="s">
        <v>352</v>
      </c>
      <c r="O253">
        <v>66238.69</v>
      </c>
    </row>
    <row r="254" spans="1:15" x14ac:dyDescent="0.2">
      <c r="A254">
        <v>45792</v>
      </c>
      <c r="B254" t="s">
        <v>21</v>
      </c>
      <c r="C254" t="s">
        <v>98</v>
      </c>
      <c r="D254">
        <v>151123.75</v>
      </c>
      <c r="E254" t="s">
        <v>17</v>
      </c>
      <c r="F254" t="s">
        <v>33</v>
      </c>
      <c r="G254" t="s">
        <v>49</v>
      </c>
      <c r="H254">
        <v>37</v>
      </c>
      <c r="I254">
        <v>6422.49</v>
      </c>
      <c r="J254">
        <v>46103</v>
      </c>
      <c r="K254" t="b">
        <v>0</v>
      </c>
      <c r="L254">
        <v>1.6E-2</v>
      </c>
      <c r="M254">
        <v>9.2445096466690302</v>
      </c>
      <c r="N254" t="s">
        <v>353</v>
      </c>
      <c r="O254">
        <v>235795.47</v>
      </c>
    </row>
    <row r="255" spans="1:15" x14ac:dyDescent="0.2">
      <c r="A255">
        <v>45993</v>
      </c>
      <c r="B255" t="s">
        <v>35</v>
      </c>
      <c r="C255" t="s">
        <v>127</v>
      </c>
      <c r="D255">
        <v>-84644.3</v>
      </c>
      <c r="E255" t="s">
        <v>32</v>
      </c>
      <c r="F255" t="s">
        <v>77</v>
      </c>
      <c r="G255" t="s">
        <v>61</v>
      </c>
      <c r="H255">
        <v>26</v>
      </c>
      <c r="I255">
        <v>7566.81</v>
      </c>
      <c r="J255">
        <v>46336</v>
      </c>
      <c r="K255" t="b">
        <v>1</v>
      </c>
      <c r="L255">
        <v>0.80700000000000005</v>
      </c>
      <c r="M255">
        <v>4.9263606336899102</v>
      </c>
      <c r="N255" t="s">
        <v>354</v>
      </c>
      <c r="O255">
        <v>254293.11</v>
      </c>
    </row>
    <row r="256" spans="1:15" x14ac:dyDescent="0.2">
      <c r="A256">
        <v>45901</v>
      </c>
      <c r="B256" t="s">
        <v>72</v>
      </c>
      <c r="C256" t="s">
        <v>74</v>
      </c>
      <c r="D256">
        <v>174097.34</v>
      </c>
      <c r="E256" t="s">
        <v>32</v>
      </c>
      <c r="F256" t="s">
        <v>77</v>
      </c>
      <c r="G256" t="s">
        <v>66</v>
      </c>
      <c r="H256">
        <v>4</v>
      </c>
      <c r="I256">
        <v>4695.29</v>
      </c>
      <c r="J256">
        <v>45751</v>
      </c>
      <c r="K256" t="b">
        <v>1</v>
      </c>
      <c r="L256">
        <v>0.47099999999999997</v>
      </c>
      <c r="M256">
        <v>0.31255714129656553</v>
      </c>
      <c r="N256" t="s">
        <v>355</v>
      </c>
      <c r="O256">
        <v>-371372.85</v>
      </c>
    </row>
    <row r="257" spans="1:15" x14ac:dyDescent="0.2">
      <c r="A257">
        <v>45902</v>
      </c>
      <c r="B257" t="s">
        <v>117</v>
      </c>
      <c r="C257" t="s">
        <v>22</v>
      </c>
      <c r="D257">
        <v>-72558.61</v>
      </c>
      <c r="E257" t="s">
        <v>17</v>
      </c>
      <c r="F257" t="s">
        <v>95</v>
      </c>
      <c r="G257" t="s">
        <v>41</v>
      </c>
      <c r="H257">
        <v>4</v>
      </c>
      <c r="I257">
        <v>1602.13</v>
      </c>
      <c r="J257">
        <v>45941</v>
      </c>
      <c r="K257" t="b">
        <v>0</v>
      </c>
      <c r="L257">
        <v>0.29399999999999998</v>
      </c>
      <c r="M257">
        <v>1.0470644058659673</v>
      </c>
      <c r="N257" t="s">
        <v>356</v>
      </c>
      <c r="O257">
        <v>137925.09</v>
      </c>
    </row>
    <row r="258" spans="1:15" x14ac:dyDescent="0.2">
      <c r="A258">
        <v>45720</v>
      </c>
      <c r="B258" t="s">
        <v>80</v>
      </c>
      <c r="C258" t="s">
        <v>93</v>
      </c>
      <c r="D258">
        <v>324159.59999999998</v>
      </c>
      <c r="E258" t="s">
        <v>17</v>
      </c>
      <c r="F258" t="s">
        <v>95</v>
      </c>
      <c r="G258" t="s">
        <v>61</v>
      </c>
      <c r="H258">
        <v>80</v>
      </c>
      <c r="I258">
        <v>4976.92</v>
      </c>
      <c r="J258">
        <v>45969</v>
      </c>
      <c r="K258" t="b">
        <v>1</v>
      </c>
      <c r="L258">
        <v>0.84</v>
      </c>
      <c r="M258">
        <v>6.3036739476956427</v>
      </c>
      <c r="N258" t="s">
        <v>357</v>
      </c>
      <c r="O258">
        <v>-381869.1</v>
      </c>
    </row>
    <row r="259" spans="1:15" x14ac:dyDescent="0.2">
      <c r="A259">
        <v>45800</v>
      </c>
      <c r="B259" t="s">
        <v>138</v>
      </c>
      <c r="C259" t="s">
        <v>90</v>
      </c>
      <c r="D259">
        <v>68375.149999999994</v>
      </c>
      <c r="E259" t="s">
        <v>32</v>
      </c>
      <c r="F259" t="s">
        <v>23</v>
      </c>
      <c r="G259" t="s">
        <v>49</v>
      </c>
      <c r="H259">
        <v>61</v>
      </c>
      <c r="I259">
        <v>9415.83</v>
      </c>
      <c r="J259">
        <v>46305</v>
      </c>
      <c r="K259" t="b">
        <v>0</v>
      </c>
      <c r="L259">
        <v>0.98599999999999999</v>
      </c>
      <c r="M259">
        <v>8.1002067564986646</v>
      </c>
      <c r="N259" t="s">
        <v>358</v>
      </c>
      <c r="O259">
        <v>-400835.05</v>
      </c>
    </row>
    <row r="260" spans="1:15" x14ac:dyDescent="0.2">
      <c r="A260">
        <v>45879</v>
      </c>
      <c r="B260" t="s">
        <v>47</v>
      </c>
      <c r="C260" t="s">
        <v>31</v>
      </c>
      <c r="D260">
        <v>-19432.349999999999</v>
      </c>
      <c r="E260" t="s">
        <v>32</v>
      </c>
      <c r="F260" t="s">
        <v>28</v>
      </c>
      <c r="G260" t="s">
        <v>24</v>
      </c>
      <c r="H260">
        <v>99</v>
      </c>
      <c r="I260">
        <v>810.02</v>
      </c>
      <c r="J260">
        <v>45924</v>
      </c>
      <c r="K260" t="b">
        <v>0</v>
      </c>
      <c r="L260">
        <v>0.91600000000000004</v>
      </c>
      <c r="M260">
        <v>0.78529796563088894</v>
      </c>
      <c r="N260" t="s">
        <v>359</v>
      </c>
      <c r="O260">
        <v>453294.62</v>
      </c>
    </row>
    <row r="261" spans="1:15" x14ac:dyDescent="0.2">
      <c r="A261">
        <v>45832</v>
      </c>
      <c r="B261" t="s">
        <v>149</v>
      </c>
      <c r="C261" t="s">
        <v>90</v>
      </c>
      <c r="D261">
        <v>255766.36</v>
      </c>
      <c r="E261" t="s">
        <v>32</v>
      </c>
      <c r="F261" t="s">
        <v>88</v>
      </c>
      <c r="G261" t="s">
        <v>58</v>
      </c>
      <c r="H261">
        <v>77</v>
      </c>
      <c r="I261">
        <v>7194.17</v>
      </c>
      <c r="J261">
        <v>46339</v>
      </c>
      <c r="K261" t="b">
        <v>0</v>
      </c>
      <c r="L261">
        <v>2.9000000000000001E-2</v>
      </c>
      <c r="M261">
        <v>1.7883352376520634</v>
      </c>
      <c r="N261" t="s">
        <v>360</v>
      </c>
      <c r="O261">
        <v>452258.03</v>
      </c>
    </row>
    <row r="262" spans="1:15" x14ac:dyDescent="0.2">
      <c r="A262">
        <v>45932</v>
      </c>
      <c r="B262" t="s">
        <v>147</v>
      </c>
      <c r="C262" t="s">
        <v>85</v>
      </c>
      <c r="D262">
        <v>49937.77</v>
      </c>
      <c r="E262" t="s">
        <v>17</v>
      </c>
      <c r="F262" t="s">
        <v>88</v>
      </c>
      <c r="G262" t="s">
        <v>58</v>
      </c>
      <c r="H262">
        <v>50</v>
      </c>
      <c r="I262">
        <v>2805.88</v>
      </c>
      <c r="J262">
        <v>46039</v>
      </c>
      <c r="K262" t="b">
        <v>1</v>
      </c>
      <c r="L262">
        <v>0.49</v>
      </c>
      <c r="M262">
        <v>0.97661930602043867</v>
      </c>
      <c r="N262" t="s">
        <v>361</v>
      </c>
      <c r="O262">
        <v>112387.86</v>
      </c>
    </row>
    <row r="263" spans="1:15" x14ac:dyDescent="0.2">
      <c r="A263">
        <v>45957</v>
      </c>
      <c r="B263" t="s">
        <v>26</v>
      </c>
      <c r="C263" t="s">
        <v>31</v>
      </c>
      <c r="D263">
        <v>81797.95</v>
      </c>
      <c r="E263" t="s">
        <v>32</v>
      </c>
      <c r="F263" t="s">
        <v>124</v>
      </c>
      <c r="G263" t="s">
        <v>52</v>
      </c>
      <c r="H263">
        <v>72</v>
      </c>
      <c r="I263">
        <v>2134.91</v>
      </c>
      <c r="J263">
        <v>45671</v>
      </c>
      <c r="K263" t="b">
        <v>1</v>
      </c>
      <c r="L263">
        <v>0.247</v>
      </c>
      <c r="M263">
        <v>6.4535963069647551</v>
      </c>
      <c r="N263" t="s">
        <v>362</v>
      </c>
      <c r="O263">
        <v>200330.29</v>
      </c>
    </row>
    <row r="264" spans="1:15" x14ac:dyDescent="0.2">
      <c r="A264">
        <v>45980</v>
      </c>
      <c r="B264" t="s">
        <v>63</v>
      </c>
      <c r="C264" t="s">
        <v>81</v>
      </c>
      <c r="D264">
        <v>313114.56</v>
      </c>
      <c r="E264" t="s">
        <v>17</v>
      </c>
      <c r="F264" t="s">
        <v>33</v>
      </c>
      <c r="G264" t="s">
        <v>66</v>
      </c>
      <c r="H264">
        <v>74</v>
      </c>
      <c r="I264">
        <v>1221.3900000000001</v>
      </c>
      <c r="J264">
        <v>45956</v>
      </c>
      <c r="K264" t="b">
        <v>0</v>
      </c>
      <c r="L264">
        <v>0.59799999999999998</v>
      </c>
      <c r="M264">
        <v>7.4293276178650558</v>
      </c>
      <c r="N264" t="s">
        <v>363</v>
      </c>
      <c r="O264">
        <v>80740.97</v>
      </c>
    </row>
    <row r="265" spans="1:15" x14ac:dyDescent="0.2">
      <c r="A265">
        <v>45723</v>
      </c>
      <c r="B265" t="s">
        <v>30</v>
      </c>
      <c r="C265" t="s">
        <v>44</v>
      </c>
      <c r="D265">
        <v>36015.599999999999</v>
      </c>
      <c r="E265" t="s">
        <v>32</v>
      </c>
      <c r="F265" t="s">
        <v>33</v>
      </c>
      <c r="G265" t="s">
        <v>49</v>
      </c>
      <c r="H265">
        <v>86</v>
      </c>
      <c r="I265">
        <v>6463.49</v>
      </c>
      <c r="J265">
        <v>45716</v>
      </c>
      <c r="K265" t="b">
        <v>1</v>
      </c>
      <c r="L265">
        <v>0.17100000000000001</v>
      </c>
      <c r="M265">
        <v>5.4640444437973201</v>
      </c>
      <c r="N265" t="s">
        <v>364</v>
      </c>
      <c r="O265">
        <v>142858.15</v>
      </c>
    </row>
    <row r="266" spans="1:15" x14ac:dyDescent="0.2">
      <c r="A266">
        <v>46000</v>
      </c>
      <c r="B266" t="s">
        <v>63</v>
      </c>
      <c r="C266" t="s">
        <v>44</v>
      </c>
      <c r="D266">
        <v>338839.89</v>
      </c>
      <c r="E266" t="s">
        <v>17</v>
      </c>
      <c r="F266" t="s">
        <v>124</v>
      </c>
      <c r="G266" t="s">
        <v>24</v>
      </c>
      <c r="H266">
        <v>62</v>
      </c>
      <c r="I266">
        <v>2818.78</v>
      </c>
      <c r="J266">
        <v>45660</v>
      </c>
      <c r="K266" t="b">
        <v>0</v>
      </c>
      <c r="L266">
        <v>0.42099999999999999</v>
      </c>
      <c r="M266">
        <v>0.54802876198664308</v>
      </c>
      <c r="N266" t="s">
        <v>365</v>
      </c>
      <c r="O266">
        <v>299311.73</v>
      </c>
    </row>
    <row r="267" spans="1:15" x14ac:dyDescent="0.2">
      <c r="A267">
        <v>45983</v>
      </c>
      <c r="B267" t="s">
        <v>43</v>
      </c>
      <c r="C267" t="s">
        <v>36</v>
      </c>
      <c r="D267">
        <v>269758.03000000003</v>
      </c>
      <c r="E267" t="s">
        <v>17</v>
      </c>
      <c r="F267" t="s">
        <v>18</v>
      </c>
      <c r="H267">
        <v>55</v>
      </c>
      <c r="I267">
        <v>8870.75</v>
      </c>
      <c r="J267">
        <v>46262</v>
      </c>
      <c r="K267" t="b">
        <v>0</v>
      </c>
      <c r="L267">
        <v>0.185</v>
      </c>
      <c r="M267">
        <v>6.8701153877191246</v>
      </c>
      <c r="N267" t="s">
        <v>366</v>
      </c>
      <c r="O267">
        <v>20105.34</v>
      </c>
    </row>
    <row r="268" spans="1:15" x14ac:dyDescent="0.2">
      <c r="A268">
        <v>45830</v>
      </c>
      <c r="B268" t="s">
        <v>80</v>
      </c>
      <c r="C268" t="s">
        <v>64</v>
      </c>
      <c r="D268">
        <v>94850.14</v>
      </c>
      <c r="E268" t="s">
        <v>17</v>
      </c>
      <c r="F268" t="s">
        <v>65</v>
      </c>
      <c r="G268" t="s">
        <v>41</v>
      </c>
      <c r="H268">
        <v>87</v>
      </c>
      <c r="I268">
        <v>9768.9699999999993</v>
      </c>
      <c r="J268">
        <v>46258</v>
      </c>
      <c r="K268" t="b">
        <v>1</v>
      </c>
      <c r="L268">
        <v>0.28499999999999998</v>
      </c>
      <c r="M268">
        <v>5.5499686114490032</v>
      </c>
      <c r="N268" t="s">
        <v>367</v>
      </c>
      <c r="O268">
        <v>-85497.3</v>
      </c>
    </row>
    <row r="269" spans="1:15" x14ac:dyDescent="0.2">
      <c r="A269">
        <v>45885</v>
      </c>
      <c r="B269" t="s">
        <v>151</v>
      </c>
      <c r="C269" t="s">
        <v>16</v>
      </c>
      <c r="D269">
        <v>339125.22</v>
      </c>
      <c r="E269" t="s">
        <v>17</v>
      </c>
      <c r="F269" t="s">
        <v>23</v>
      </c>
      <c r="G269" t="s">
        <v>24</v>
      </c>
      <c r="H269">
        <v>18</v>
      </c>
      <c r="I269">
        <v>3659.51</v>
      </c>
      <c r="J269">
        <v>46092</v>
      </c>
      <c r="K269" t="b">
        <v>0</v>
      </c>
      <c r="L269">
        <v>0.48699999999999999</v>
      </c>
      <c r="M269">
        <v>9.1558116977103055</v>
      </c>
      <c r="N269" t="s">
        <v>368</v>
      </c>
      <c r="O269">
        <v>60060.88</v>
      </c>
    </row>
    <row r="270" spans="1:15" x14ac:dyDescent="0.2">
      <c r="A270">
        <v>45864</v>
      </c>
      <c r="B270" t="s">
        <v>43</v>
      </c>
      <c r="C270" t="s">
        <v>44</v>
      </c>
      <c r="D270">
        <v>222008.01</v>
      </c>
      <c r="E270" t="s">
        <v>32</v>
      </c>
      <c r="F270" t="s">
        <v>95</v>
      </c>
      <c r="G270" t="s">
        <v>49</v>
      </c>
      <c r="H270">
        <v>61</v>
      </c>
      <c r="I270">
        <v>8544.34</v>
      </c>
      <c r="J270">
        <v>46271</v>
      </c>
      <c r="K270" t="b">
        <v>0</v>
      </c>
      <c r="L270">
        <v>0.04</v>
      </c>
      <c r="M270">
        <v>6.5720528131350875</v>
      </c>
      <c r="N270" t="s">
        <v>369</v>
      </c>
      <c r="O270">
        <v>370801.93</v>
      </c>
    </row>
    <row r="271" spans="1:15" x14ac:dyDescent="0.2">
      <c r="A271">
        <v>45951</v>
      </c>
      <c r="B271" t="s">
        <v>57</v>
      </c>
      <c r="C271" t="s">
        <v>22</v>
      </c>
      <c r="D271">
        <v>381208.28</v>
      </c>
      <c r="E271" t="s">
        <v>17</v>
      </c>
      <c r="F271" t="s">
        <v>65</v>
      </c>
      <c r="G271" t="s">
        <v>41</v>
      </c>
      <c r="H271">
        <v>79</v>
      </c>
      <c r="I271">
        <v>8932.5499999999993</v>
      </c>
      <c r="J271">
        <v>46161</v>
      </c>
      <c r="K271" t="b">
        <v>0</v>
      </c>
      <c r="L271">
        <v>0.54300000000000004</v>
      </c>
      <c r="M271">
        <v>8.6921895458362997</v>
      </c>
      <c r="N271" t="s">
        <v>370</v>
      </c>
      <c r="O271">
        <v>-409534.3</v>
      </c>
    </row>
    <row r="272" spans="1:15" x14ac:dyDescent="0.2">
      <c r="A272">
        <v>45833</v>
      </c>
      <c r="B272" t="s">
        <v>47</v>
      </c>
      <c r="C272" t="s">
        <v>81</v>
      </c>
      <c r="D272">
        <v>-79197.37</v>
      </c>
      <c r="E272" t="s">
        <v>17</v>
      </c>
      <c r="F272" t="s">
        <v>105</v>
      </c>
      <c r="G272" t="s">
        <v>49</v>
      </c>
      <c r="H272">
        <v>88</v>
      </c>
      <c r="I272">
        <v>165.34</v>
      </c>
      <c r="J272">
        <v>45732</v>
      </c>
      <c r="K272" t="b">
        <v>0</v>
      </c>
      <c r="L272">
        <v>0.38900000000000001</v>
      </c>
      <c r="M272">
        <v>7.3524464550428092</v>
      </c>
      <c r="N272" t="s">
        <v>371</v>
      </c>
      <c r="O272">
        <v>398116.18</v>
      </c>
    </row>
    <row r="273" spans="1:15" x14ac:dyDescent="0.2">
      <c r="A273">
        <v>45875</v>
      </c>
      <c r="B273" t="s">
        <v>69</v>
      </c>
      <c r="C273" t="s">
        <v>81</v>
      </c>
      <c r="D273">
        <v>369453.23</v>
      </c>
      <c r="E273" t="s">
        <v>32</v>
      </c>
      <c r="F273" t="s">
        <v>28</v>
      </c>
      <c r="G273" t="s">
        <v>19</v>
      </c>
      <c r="H273">
        <v>75</v>
      </c>
      <c r="I273">
        <v>4848.84</v>
      </c>
      <c r="J273">
        <v>46331</v>
      </c>
      <c r="K273" t="b">
        <v>0</v>
      </c>
      <c r="L273">
        <v>0.93100000000000005</v>
      </c>
      <c r="M273">
        <v>6.3924513524398208</v>
      </c>
      <c r="N273" t="s">
        <v>372</v>
      </c>
      <c r="O273">
        <v>99975.54</v>
      </c>
    </row>
    <row r="274" spans="1:15" x14ac:dyDescent="0.2">
      <c r="A274">
        <v>46014</v>
      </c>
      <c r="B274" t="s">
        <v>51</v>
      </c>
      <c r="C274" t="s">
        <v>189</v>
      </c>
      <c r="D274">
        <v>-31559.73</v>
      </c>
      <c r="E274" t="s">
        <v>17</v>
      </c>
      <c r="F274" t="s">
        <v>28</v>
      </c>
      <c r="G274" t="s">
        <v>52</v>
      </c>
      <c r="H274">
        <v>25</v>
      </c>
      <c r="I274">
        <v>949.05</v>
      </c>
      <c r="J274">
        <v>46181</v>
      </c>
      <c r="K274" t="b">
        <v>1</v>
      </c>
      <c r="L274">
        <v>0.27300000000000002</v>
      </c>
      <c r="M274">
        <v>9.7636669292114675</v>
      </c>
      <c r="N274" t="s">
        <v>373</v>
      </c>
      <c r="O274">
        <v>483842.65</v>
      </c>
    </row>
    <row r="275" spans="1:15" x14ac:dyDescent="0.2">
      <c r="A275">
        <v>45794</v>
      </c>
      <c r="B275" t="s">
        <v>149</v>
      </c>
      <c r="C275" t="s">
        <v>36</v>
      </c>
      <c r="D275">
        <v>287101.89</v>
      </c>
      <c r="E275" t="s">
        <v>17</v>
      </c>
      <c r="F275" t="s">
        <v>33</v>
      </c>
      <c r="G275" t="s">
        <v>52</v>
      </c>
      <c r="H275">
        <v>87</v>
      </c>
      <c r="I275">
        <v>7349.77</v>
      </c>
      <c r="J275">
        <v>46028</v>
      </c>
      <c r="K275" t="b">
        <v>0</v>
      </c>
      <c r="L275">
        <v>0.58299999999999996</v>
      </c>
      <c r="M275">
        <v>8.4358116704970598</v>
      </c>
      <c r="N275" t="s">
        <v>374</v>
      </c>
      <c r="O275">
        <v>54837.25</v>
      </c>
    </row>
    <row r="276" spans="1:15" x14ac:dyDescent="0.2">
      <c r="A276">
        <v>45920</v>
      </c>
      <c r="B276" t="s">
        <v>203</v>
      </c>
      <c r="C276" t="s">
        <v>90</v>
      </c>
      <c r="D276">
        <v>-25269.040000000001</v>
      </c>
      <c r="E276" t="s">
        <v>17</v>
      </c>
      <c r="F276" t="s">
        <v>45</v>
      </c>
      <c r="G276" t="s">
        <v>78</v>
      </c>
      <c r="H276">
        <v>21</v>
      </c>
      <c r="I276">
        <v>5192.3</v>
      </c>
      <c r="J276">
        <v>46298</v>
      </c>
      <c r="K276" t="b">
        <v>0</v>
      </c>
      <c r="L276">
        <v>0.35099999999999998</v>
      </c>
      <c r="M276">
        <v>2.3686192301101983</v>
      </c>
      <c r="N276" t="s">
        <v>375</v>
      </c>
      <c r="O276">
        <v>205416.18</v>
      </c>
    </row>
    <row r="277" spans="1:15" x14ac:dyDescent="0.2">
      <c r="A277">
        <v>45669</v>
      </c>
      <c r="B277" t="s">
        <v>102</v>
      </c>
      <c r="C277" t="s">
        <v>93</v>
      </c>
      <c r="D277">
        <v>12844.7</v>
      </c>
      <c r="E277" t="s">
        <v>32</v>
      </c>
      <c r="F277" t="s">
        <v>33</v>
      </c>
      <c r="G277" t="s">
        <v>61</v>
      </c>
      <c r="H277">
        <v>99</v>
      </c>
      <c r="I277">
        <v>6839.23</v>
      </c>
      <c r="J277">
        <v>46250</v>
      </c>
      <c r="K277" t="b">
        <v>1</v>
      </c>
      <c r="L277">
        <v>0.747</v>
      </c>
      <c r="M277">
        <v>7.3907221388071775</v>
      </c>
      <c r="N277" t="s">
        <v>376</v>
      </c>
      <c r="O277">
        <v>223548.96</v>
      </c>
    </row>
    <row r="278" spans="1:15" x14ac:dyDescent="0.2">
      <c r="A278">
        <v>45993</v>
      </c>
      <c r="B278" t="s">
        <v>47</v>
      </c>
      <c r="C278" t="s">
        <v>39</v>
      </c>
      <c r="D278">
        <v>326886.84999999998</v>
      </c>
      <c r="E278" t="s">
        <v>17</v>
      </c>
      <c r="F278" t="s">
        <v>60</v>
      </c>
      <c r="G278" t="s">
        <v>78</v>
      </c>
      <c r="H278">
        <v>99</v>
      </c>
      <c r="I278">
        <v>8018.07</v>
      </c>
      <c r="J278">
        <v>45825</v>
      </c>
      <c r="K278" t="b">
        <v>0</v>
      </c>
      <c r="L278">
        <v>0.92900000000000005</v>
      </c>
      <c r="M278">
        <v>7.8557274001650512</v>
      </c>
      <c r="N278" t="s">
        <v>377</v>
      </c>
      <c r="O278">
        <v>353988.87</v>
      </c>
    </row>
    <row r="279" spans="1:15" x14ac:dyDescent="0.2">
      <c r="A279">
        <v>45694</v>
      </c>
      <c r="B279" t="s">
        <v>144</v>
      </c>
      <c r="C279" t="s">
        <v>98</v>
      </c>
      <c r="D279">
        <v>8341.1299999999992</v>
      </c>
      <c r="E279" t="s">
        <v>17</v>
      </c>
      <c r="F279" t="s">
        <v>40</v>
      </c>
      <c r="H279">
        <v>31</v>
      </c>
      <c r="I279">
        <v>4102.63</v>
      </c>
      <c r="J279">
        <v>45822</v>
      </c>
      <c r="K279" t="b">
        <v>0</v>
      </c>
      <c r="L279">
        <v>0.32200000000000001</v>
      </c>
      <c r="M279">
        <v>3.5893431631848216</v>
      </c>
      <c r="N279" t="s">
        <v>378</v>
      </c>
      <c r="O279">
        <v>-158109.4</v>
      </c>
    </row>
    <row r="280" spans="1:15" x14ac:dyDescent="0.2">
      <c r="A280">
        <v>45734</v>
      </c>
      <c r="B280" t="s">
        <v>194</v>
      </c>
      <c r="C280" t="s">
        <v>36</v>
      </c>
      <c r="D280">
        <v>199150.01</v>
      </c>
      <c r="E280" t="s">
        <v>17</v>
      </c>
      <c r="F280" t="s">
        <v>60</v>
      </c>
      <c r="G280" t="s">
        <v>19</v>
      </c>
      <c r="H280">
        <v>6</v>
      </c>
      <c r="I280">
        <v>1288.17</v>
      </c>
      <c r="J280">
        <v>46212</v>
      </c>
      <c r="K280" t="b">
        <v>0</v>
      </c>
      <c r="L280">
        <v>0.24299999999999999</v>
      </c>
      <c r="M280">
        <v>6.6756465402431786</v>
      </c>
      <c r="N280" t="s">
        <v>379</v>
      </c>
      <c r="O280">
        <v>-38665.300000000003</v>
      </c>
    </row>
    <row r="281" spans="1:15" x14ac:dyDescent="0.2">
      <c r="A281">
        <v>45832</v>
      </c>
      <c r="B281" t="s">
        <v>205</v>
      </c>
      <c r="C281" t="s">
        <v>130</v>
      </c>
      <c r="D281">
        <v>-23248.9</v>
      </c>
      <c r="E281" t="s">
        <v>32</v>
      </c>
      <c r="F281" t="s">
        <v>95</v>
      </c>
      <c r="G281" t="s">
        <v>24</v>
      </c>
      <c r="H281">
        <v>57</v>
      </c>
      <c r="I281">
        <v>8956.4500000000007</v>
      </c>
      <c r="J281">
        <v>46120</v>
      </c>
      <c r="K281" t="b">
        <v>0</v>
      </c>
      <c r="L281">
        <v>0.58399999999999996</v>
      </c>
      <c r="M281">
        <v>2.4586314219050109</v>
      </c>
      <c r="N281" t="s">
        <v>380</v>
      </c>
      <c r="O281">
        <v>-437357.77</v>
      </c>
    </row>
    <row r="282" spans="1:15" x14ac:dyDescent="0.2">
      <c r="A282">
        <v>45866</v>
      </c>
      <c r="B282" t="s">
        <v>76</v>
      </c>
      <c r="C282" t="s">
        <v>16</v>
      </c>
      <c r="D282">
        <v>146159.26</v>
      </c>
      <c r="E282" t="s">
        <v>17</v>
      </c>
      <c r="F282" t="s">
        <v>23</v>
      </c>
      <c r="H282">
        <v>48</v>
      </c>
      <c r="I282">
        <v>6080.55</v>
      </c>
      <c r="J282">
        <v>46200</v>
      </c>
      <c r="K282" t="b">
        <v>0</v>
      </c>
      <c r="L282">
        <v>0.23499999999999999</v>
      </c>
      <c r="M282">
        <v>3.7606840673834085</v>
      </c>
      <c r="N282" t="s">
        <v>381</v>
      </c>
      <c r="O282">
        <v>-14811.21</v>
      </c>
    </row>
    <row r="283" spans="1:15" x14ac:dyDescent="0.2">
      <c r="A283">
        <v>45949</v>
      </c>
      <c r="B283" t="s">
        <v>92</v>
      </c>
      <c r="C283" t="s">
        <v>36</v>
      </c>
      <c r="D283">
        <v>295232.11</v>
      </c>
      <c r="E283" t="s">
        <v>17</v>
      </c>
      <c r="F283" t="s">
        <v>88</v>
      </c>
      <c r="G283" t="s">
        <v>41</v>
      </c>
      <c r="H283">
        <v>68</v>
      </c>
      <c r="I283">
        <v>8293.41</v>
      </c>
      <c r="J283">
        <v>46246</v>
      </c>
      <c r="K283" t="b">
        <v>1</v>
      </c>
      <c r="L283">
        <v>7.1999999999999995E-2</v>
      </c>
      <c r="M283">
        <v>3.5042921942658722</v>
      </c>
      <c r="N283" t="s">
        <v>382</v>
      </c>
      <c r="O283">
        <v>351626.6</v>
      </c>
    </row>
    <row r="284" spans="1:15" x14ac:dyDescent="0.2">
      <c r="A284">
        <v>45804</v>
      </c>
      <c r="B284" t="s">
        <v>80</v>
      </c>
      <c r="C284" t="s">
        <v>27</v>
      </c>
      <c r="D284">
        <v>118667.62</v>
      </c>
      <c r="E284" t="s">
        <v>17</v>
      </c>
      <c r="F284" t="s">
        <v>28</v>
      </c>
      <c r="G284" t="s">
        <v>19</v>
      </c>
      <c r="H284">
        <v>10</v>
      </c>
      <c r="I284">
        <v>63.78</v>
      </c>
      <c r="J284">
        <v>46344</v>
      </c>
      <c r="K284" t="b">
        <v>0</v>
      </c>
      <c r="L284">
        <v>0.63600000000000001</v>
      </c>
      <c r="M284">
        <v>7.0772309391759336</v>
      </c>
      <c r="N284" t="s">
        <v>383</v>
      </c>
      <c r="O284">
        <v>210996.51</v>
      </c>
    </row>
    <row r="285" spans="1:15" x14ac:dyDescent="0.2">
      <c r="A285">
        <v>45743</v>
      </c>
      <c r="B285" t="s">
        <v>84</v>
      </c>
      <c r="C285" t="s">
        <v>127</v>
      </c>
      <c r="D285">
        <v>270595.84000000003</v>
      </c>
      <c r="E285" t="s">
        <v>17</v>
      </c>
      <c r="F285" t="s">
        <v>18</v>
      </c>
      <c r="H285">
        <v>14</v>
      </c>
      <c r="I285">
        <v>5609.92</v>
      </c>
      <c r="J285">
        <v>46297</v>
      </c>
      <c r="K285" t="b">
        <v>0</v>
      </c>
      <c r="L285">
        <v>0.20599999999999999</v>
      </c>
      <c r="M285">
        <v>8.33224922651425</v>
      </c>
      <c r="N285" t="s">
        <v>384</v>
      </c>
      <c r="O285">
        <v>-151520.92000000001</v>
      </c>
    </row>
    <row r="286" spans="1:15" x14ac:dyDescent="0.2">
      <c r="A286">
        <v>45885</v>
      </c>
      <c r="B286" t="s">
        <v>43</v>
      </c>
      <c r="C286" t="s">
        <v>31</v>
      </c>
      <c r="D286">
        <v>202067.27</v>
      </c>
      <c r="E286" t="s">
        <v>17</v>
      </c>
      <c r="F286" t="s">
        <v>18</v>
      </c>
      <c r="G286" t="s">
        <v>61</v>
      </c>
      <c r="H286">
        <v>58</v>
      </c>
      <c r="I286">
        <v>1124.23</v>
      </c>
      <c r="J286">
        <v>46130</v>
      </c>
      <c r="K286" t="b">
        <v>0</v>
      </c>
      <c r="L286">
        <v>0.19500000000000001</v>
      </c>
      <c r="M286">
        <v>2.4212832935154438</v>
      </c>
      <c r="N286" t="s">
        <v>385</v>
      </c>
      <c r="O286">
        <v>328176.28000000003</v>
      </c>
    </row>
    <row r="287" spans="1:15" x14ac:dyDescent="0.2">
      <c r="A287">
        <v>45866</v>
      </c>
      <c r="B287" t="s">
        <v>221</v>
      </c>
      <c r="C287" t="s">
        <v>44</v>
      </c>
      <c r="D287">
        <v>-61034.63</v>
      </c>
      <c r="E287" t="s">
        <v>32</v>
      </c>
      <c r="F287" t="s">
        <v>105</v>
      </c>
      <c r="G287" t="s">
        <v>41</v>
      </c>
      <c r="H287">
        <v>7</v>
      </c>
      <c r="I287">
        <v>6030.2</v>
      </c>
      <c r="J287">
        <v>45683</v>
      </c>
      <c r="K287" t="b">
        <v>0</v>
      </c>
      <c r="L287">
        <v>0.68</v>
      </c>
      <c r="M287">
        <v>0.42187662562355399</v>
      </c>
      <c r="N287" t="s">
        <v>386</v>
      </c>
      <c r="O287">
        <v>-312088.46000000002</v>
      </c>
    </row>
    <row r="288" spans="1:15" x14ac:dyDescent="0.2">
      <c r="A288">
        <v>45910</v>
      </c>
      <c r="B288" t="s">
        <v>51</v>
      </c>
      <c r="C288" t="s">
        <v>189</v>
      </c>
      <c r="D288">
        <v>14801.85</v>
      </c>
      <c r="E288" t="s">
        <v>17</v>
      </c>
      <c r="F288" t="s">
        <v>82</v>
      </c>
      <c r="G288" t="s">
        <v>24</v>
      </c>
      <c r="H288">
        <v>13</v>
      </c>
      <c r="I288">
        <v>537.20000000000005</v>
      </c>
      <c r="J288">
        <v>46349</v>
      </c>
      <c r="K288" t="b">
        <v>0</v>
      </c>
      <c r="L288">
        <v>0.14799999999999999</v>
      </c>
      <c r="M288">
        <v>0.83100029500201344</v>
      </c>
      <c r="N288" t="s">
        <v>387</v>
      </c>
      <c r="O288">
        <v>-326167.90000000002</v>
      </c>
    </row>
    <row r="289" spans="1:15" x14ac:dyDescent="0.2">
      <c r="A289">
        <v>45911</v>
      </c>
      <c r="B289" t="s">
        <v>43</v>
      </c>
      <c r="C289" t="s">
        <v>130</v>
      </c>
      <c r="D289">
        <v>100501.07</v>
      </c>
      <c r="E289" t="s">
        <v>32</v>
      </c>
      <c r="F289" t="s">
        <v>60</v>
      </c>
      <c r="G289" t="s">
        <v>58</v>
      </c>
      <c r="H289">
        <v>38</v>
      </c>
      <c r="I289">
        <v>75.44</v>
      </c>
      <c r="J289">
        <v>45933</v>
      </c>
      <c r="K289" t="b">
        <v>1</v>
      </c>
      <c r="L289">
        <v>0.97399999999999998</v>
      </c>
      <c r="M289">
        <v>4.2635513003915548</v>
      </c>
      <c r="N289" t="s">
        <v>388</v>
      </c>
      <c r="O289">
        <v>-106250.05</v>
      </c>
    </row>
    <row r="290" spans="1:15" x14ac:dyDescent="0.2">
      <c r="A290">
        <v>45676</v>
      </c>
      <c r="B290" t="s">
        <v>144</v>
      </c>
      <c r="C290" t="s">
        <v>22</v>
      </c>
      <c r="D290">
        <v>244646</v>
      </c>
      <c r="E290" t="s">
        <v>32</v>
      </c>
      <c r="F290" t="s">
        <v>65</v>
      </c>
      <c r="G290" t="s">
        <v>49</v>
      </c>
      <c r="H290">
        <v>9</v>
      </c>
      <c r="I290">
        <v>7178.08</v>
      </c>
      <c r="J290">
        <v>45934</v>
      </c>
      <c r="K290" t="b">
        <v>0</v>
      </c>
      <c r="L290">
        <v>0.53300000000000003</v>
      </c>
      <c r="M290">
        <v>2.5576241873204708</v>
      </c>
      <c r="N290" t="s">
        <v>389</v>
      </c>
      <c r="O290">
        <v>103853.42</v>
      </c>
    </row>
    <row r="291" spans="1:15" x14ac:dyDescent="0.2">
      <c r="A291">
        <v>45825</v>
      </c>
      <c r="B291" t="s">
        <v>175</v>
      </c>
      <c r="C291" t="s">
        <v>36</v>
      </c>
      <c r="D291">
        <v>306597.05</v>
      </c>
      <c r="E291" t="s">
        <v>17</v>
      </c>
      <c r="F291" t="s">
        <v>45</v>
      </c>
      <c r="G291" t="s">
        <v>78</v>
      </c>
      <c r="H291">
        <v>29</v>
      </c>
      <c r="I291">
        <v>471.77</v>
      </c>
      <c r="J291">
        <v>46159</v>
      </c>
      <c r="K291" t="b">
        <v>0</v>
      </c>
      <c r="L291">
        <v>0.13600000000000001</v>
      </c>
      <c r="M291">
        <v>7.8203759808093309</v>
      </c>
      <c r="N291" t="s">
        <v>390</v>
      </c>
      <c r="O291">
        <v>266162.46999999997</v>
      </c>
    </row>
    <row r="292" spans="1:15" x14ac:dyDescent="0.2">
      <c r="A292">
        <v>45802</v>
      </c>
      <c r="B292" t="s">
        <v>26</v>
      </c>
      <c r="C292" t="s">
        <v>22</v>
      </c>
      <c r="D292">
        <v>-64864.23</v>
      </c>
      <c r="E292" t="s">
        <v>17</v>
      </c>
      <c r="F292" t="s">
        <v>33</v>
      </c>
      <c r="G292" t="s">
        <v>52</v>
      </c>
      <c r="H292">
        <v>49</v>
      </c>
      <c r="I292">
        <v>567.03</v>
      </c>
      <c r="J292">
        <v>45802</v>
      </c>
      <c r="K292" t="b">
        <v>1</v>
      </c>
      <c r="L292">
        <v>0.24299999999999999</v>
      </c>
      <c r="M292">
        <v>1.1058207135647535</v>
      </c>
      <c r="N292" t="s">
        <v>391</v>
      </c>
      <c r="O292">
        <v>254232.72</v>
      </c>
    </row>
    <row r="293" spans="1:15" x14ac:dyDescent="0.2">
      <c r="A293">
        <v>45665</v>
      </c>
      <c r="B293" t="s">
        <v>47</v>
      </c>
      <c r="C293" t="s">
        <v>55</v>
      </c>
      <c r="D293">
        <v>128341.97</v>
      </c>
      <c r="E293" t="s">
        <v>32</v>
      </c>
      <c r="F293" t="s">
        <v>45</v>
      </c>
      <c r="G293" t="s">
        <v>78</v>
      </c>
      <c r="H293">
        <v>75</v>
      </c>
      <c r="I293">
        <v>4877</v>
      </c>
      <c r="J293">
        <v>46361</v>
      </c>
      <c r="K293" t="b">
        <v>1</v>
      </c>
      <c r="L293">
        <v>0.499</v>
      </c>
      <c r="M293">
        <v>6.2245402950793505</v>
      </c>
      <c r="N293" t="s">
        <v>392</v>
      </c>
      <c r="O293">
        <v>-84443.9</v>
      </c>
    </row>
    <row r="294" spans="1:15" x14ac:dyDescent="0.2">
      <c r="A294">
        <v>45903</v>
      </c>
      <c r="B294" t="s">
        <v>84</v>
      </c>
      <c r="C294" t="s">
        <v>70</v>
      </c>
      <c r="D294">
        <v>-39388.800000000003</v>
      </c>
      <c r="E294" t="s">
        <v>32</v>
      </c>
      <c r="F294" t="s">
        <v>65</v>
      </c>
      <c r="G294" t="s">
        <v>58</v>
      </c>
      <c r="H294">
        <v>58</v>
      </c>
      <c r="I294">
        <v>8899.7800000000007</v>
      </c>
      <c r="J294">
        <v>46157</v>
      </c>
      <c r="K294" t="b">
        <v>1</v>
      </c>
      <c r="L294">
        <v>2.7E-2</v>
      </c>
      <c r="M294">
        <v>3.5758867883123457</v>
      </c>
      <c r="N294" t="s">
        <v>393</v>
      </c>
      <c r="O294">
        <v>467871.38</v>
      </c>
    </row>
    <row r="295" spans="1:15" x14ac:dyDescent="0.2">
      <c r="A295">
        <v>45767</v>
      </c>
      <c r="B295" t="s">
        <v>57</v>
      </c>
      <c r="C295" t="s">
        <v>127</v>
      </c>
      <c r="D295">
        <v>-43783.02</v>
      </c>
      <c r="E295" t="s">
        <v>17</v>
      </c>
      <c r="F295" t="s">
        <v>88</v>
      </c>
      <c r="G295" t="s">
        <v>49</v>
      </c>
      <c r="H295">
        <v>42</v>
      </c>
      <c r="I295">
        <v>493.21</v>
      </c>
      <c r="J295">
        <v>46291</v>
      </c>
      <c r="K295" t="b">
        <v>0</v>
      </c>
      <c r="L295">
        <v>0.28199999999999997</v>
      </c>
      <c r="M295">
        <v>0.13413552893325686</v>
      </c>
      <c r="N295" t="s">
        <v>394</v>
      </c>
      <c r="O295">
        <v>229158.88</v>
      </c>
    </row>
    <row r="296" spans="1:15" x14ac:dyDescent="0.2">
      <c r="A296">
        <v>45710</v>
      </c>
      <c r="B296" t="s">
        <v>57</v>
      </c>
      <c r="C296" t="s">
        <v>93</v>
      </c>
      <c r="D296">
        <v>12049.53</v>
      </c>
      <c r="E296" t="s">
        <v>32</v>
      </c>
      <c r="F296" t="s">
        <v>23</v>
      </c>
      <c r="G296" t="s">
        <v>61</v>
      </c>
      <c r="H296">
        <v>40</v>
      </c>
      <c r="I296">
        <v>1849.8</v>
      </c>
      <c r="J296">
        <v>46197</v>
      </c>
      <c r="K296" t="b">
        <v>0</v>
      </c>
      <c r="L296">
        <v>0.248</v>
      </c>
      <c r="M296">
        <v>9.8753542476333678</v>
      </c>
      <c r="N296" t="s">
        <v>395</v>
      </c>
      <c r="O296">
        <v>-81047</v>
      </c>
    </row>
    <row r="297" spans="1:15" x14ac:dyDescent="0.2">
      <c r="A297">
        <v>45732</v>
      </c>
      <c r="B297" t="s">
        <v>205</v>
      </c>
      <c r="C297" t="s">
        <v>93</v>
      </c>
      <c r="D297">
        <v>295683.49</v>
      </c>
      <c r="E297" t="s">
        <v>32</v>
      </c>
      <c r="F297" t="s">
        <v>23</v>
      </c>
      <c r="G297" t="s">
        <v>66</v>
      </c>
      <c r="H297">
        <v>56</v>
      </c>
      <c r="I297">
        <v>5399.28</v>
      </c>
      <c r="J297">
        <v>46079</v>
      </c>
      <c r="K297" t="b">
        <v>0</v>
      </c>
      <c r="L297">
        <v>4.2000000000000003E-2</v>
      </c>
      <c r="M297">
        <v>5.889008033555001</v>
      </c>
      <c r="N297" t="s">
        <v>396</v>
      </c>
      <c r="O297">
        <v>-260586.3</v>
      </c>
    </row>
    <row r="298" spans="1:15" x14ac:dyDescent="0.2">
      <c r="A298">
        <v>45677</v>
      </c>
      <c r="B298" t="s">
        <v>126</v>
      </c>
      <c r="C298" t="s">
        <v>70</v>
      </c>
      <c r="D298">
        <v>275047.94</v>
      </c>
      <c r="E298" t="s">
        <v>17</v>
      </c>
      <c r="F298" t="s">
        <v>28</v>
      </c>
      <c r="G298" t="s">
        <v>78</v>
      </c>
      <c r="H298">
        <v>41</v>
      </c>
      <c r="I298">
        <v>3248.11</v>
      </c>
      <c r="J298">
        <v>46157</v>
      </c>
      <c r="K298" t="b">
        <v>0</v>
      </c>
      <c r="L298">
        <v>0.3</v>
      </c>
      <c r="M298">
        <v>9.119045187253505</v>
      </c>
      <c r="N298" t="s">
        <v>397</v>
      </c>
      <c r="O298">
        <v>-406677.39</v>
      </c>
    </row>
    <row r="299" spans="1:15" x14ac:dyDescent="0.2">
      <c r="A299">
        <v>45726</v>
      </c>
      <c r="B299" t="s">
        <v>117</v>
      </c>
      <c r="C299" t="s">
        <v>22</v>
      </c>
      <c r="D299">
        <v>152209.67000000001</v>
      </c>
      <c r="E299" t="s">
        <v>32</v>
      </c>
      <c r="F299" t="s">
        <v>105</v>
      </c>
      <c r="G299" t="s">
        <v>24</v>
      </c>
      <c r="H299">
        <v>74</v>
      </c>
      <c r="I299">
        <v>6893.69</v>
      </c>
      <c r="J299">
        <v>45721</v>
      </c>
      <c r="K299" t="b">
        <v>0</v>
      </c>
      <c r="L299">
        <v>0.52200000000000002</v>
      </c>
      <c r="M299">
        <v>2.7915982436388731</v>
      </c>
      <c r="N299" t="s">
        <v>398</v>
      </c>
      <c r="O299">
        <v>205579.81</v>
      </c>
    </row>
    <row r="300" spans="1:15" x14ac:dyDescent="0.2">
      <c r="A300">
        <v>45965</v>
      </c>
      <c r="B300" t="s">
        <v>76</v>
      </c>
      <c r="C300" t="s">
        <v>87</v>
      </c>
      <c r="D300">
        <v>356303.21</v>
      </c>
      <c r="E300" t="s">
        <v>17</v>
      </c>
      <c r="F300" t="s">
        <v>23</v>
      </c>
      <c r="G300" t="s">
        <v>66</v>
      </c>
      <c r="H300">
        <v>27</v>
      </c>
      <c r="I300">
        <v>683.83</v>
      </c>
      <c r="J300">
        <v>45812</v>
      </c>
      <c r="K300" t="b">
        <v>1</v>
      </c>
      <c r="L300">
        <v>0.35499999999999998</v>
      </c>
      <c r="M300">
        <v>3.6226702900603414</v>
      </c>
      <c r="N300" t="s">
        <v>399</v>
      </c>
      <c r="O300">
        <v>-216410.86</v>
      </c>
    </row>
    <row r="301" spans="1:15" x14ac:dyDescent="0.2">
      <c r="A301">
        <v>45753</v>
      </c>
      <c r="B301" t="s">
        <v>69</v>
      </c>
      <c r="C301" t="s">
        <v>70</v>
      </c>
      <c r="D301">
        <v>190699</v>
      </c>
      <c r="E301" t="s">
        <v>17</v>
      </c>
      <c r="F301" t="s">
        <v>60</v>
      </c>
      <c r="G301" t="s">
        <v>41</v>
      </c>
      <c r="H301">
        <v>31</v>
      </c>
      <c r="I301">
        <v>9940.89</v>
      </c>
      <c r="J301">
        <v>45795</v>
      </c>
      <c r="K301" t="b">
        <v>0</v>
      </c>
      <c r="L301">
        <v>0.83299999999999996</v>
      </c>
      <c r="M301">
        <v>7.8938694368116558</v>
      </c>
      <c r="N301" t="s">
        <v>400</v>
      </c>
      <c r="O301">
        <v>347252.93</v>
      </c>
    </row>
    <row r="302" spans="1:15" x14ac:dyDescent="0.2">
      <c r="A302">
        <v>45876</v>
      </c>
      <c r="B302" t="s">
        <v>69</v>
      </c>
      <c r="C302" t="s">
        <v>27</v>
      </c>
      <c r="D302">
        <v>24029.74</v>
      </c>
      <c r="E302" t="s">
        <v>17</v>
      </c>
      <c r="F302" t="s">
        <v>48</v>
      </c>
      <c r="H302">
        <v>22</v>
      </c>
      <c r="I302">
        <v>2539.6999999999998</v>
      </c>
      <c r="J302">
        <v>46332</v>
      </c>
      <c r="K302" t="b">
        <v>1</v>
      </c>
      <c r="L302">
        <v>0.86399999999999999</v>
      </c>
      <c r="M302">
        <v>7.6638227887451649</v>
      </c>
      <c r="N302" t="s">
        <v>401</v>
      </c>
      <c r="O302">
        <v>-41104.230000000003</v>
      </c>
    </row>
    <row r="303" spans="1:15" x14ac:dyDescent="0.2">
      <c r="A303">
        <v>45906</v>
      </c>
      <c r="B303" t="s">
        <v>30</v>
      </c>
      <c r="C303" t="s">
        <v>39</v>
      </c>
      <c r="D303">
        <v>285593.17</v>
      </c>
      <c r="E303" t="s">
        <v>17</v>
      </c>
      <c r="F303" t="s">
        <v>28</v>
      </c>
      <c r="G303" t="s">
        <v>19</v>
      </c>
      <c r="H303">
        <v>6</v>
      </c>
      <c r="I303">
        <v>2465.75</v>
      </c>
      <c r="J303">
        <v>45797</v>
      </c>
      <c r="K303" t="b">
        <v>1</v>
      </c>
      <c r="L303">
        <v>0.94699999999999995</v>
      </c>
      <c r="M303">
        <v>1.5400863368995488</v>
      </c>
      <c r="N303" t="s">
        <v>402</v>
      </c>
      <c r="O303">
        <v>-448332.46</v>
      </c>
    </row>
    <row r="304" spans="1:15" x14ac:dyDescent="0.2">
      <c r="A304">
        <v>45809</v>
      </c>
      <c r="B304" t="s">
        <v>108</v>
      </c>
      <c r="C304" t="s">
        <v>70</v>
      </c>
      <c r="D304">
        <v>221278.21</v>
      </c>
      <c r="E304" t="s">
        <v>17</v>
      </c>
      <c r="F304" t="s">
        <v>33</v>
      </c>
      <c r="H304">
        <v>0</v>
      </c>
      <c r="I304">
        <v>9265.25</v>
      </c>
      <c r="J304">
        <v>45781</v>
      </c>
      <c r="K304" t="b">
        <v>1</v>
      </c>
      <c r="L304">
        <v>0.45</v>
      </c>
      <c r="M304">
        <v>9.6021755551919341</v>
      </c>
      <c r="N304" t="s">
        <v>403</v>
      </c>
      <c r="O304">
        <v>74137.45</v>
      </c>
    </row>
    <row r="305" spans="1:15" x14ac:dyDescent="0.2">
      <c r="A305">
        <v>45679</v>
      </c>
      <c r="B305" t="s">
        <v>221</v>
      </c>
      <c r="C305" t="s">
        <v>44</v>
      </c>
      <c r="D305">
        <v>-68476</v>
      </c>
      <c r="E305" t="s">
        <v>32</v>
      </c>
      <c r="F305" t="s">
        <v>65</v>
      </c>
      <c r="G305" t="s">
        <v>19</v>
      </c>
      <c r="H305">
        <v>71</v>
      </c>
      <c r="I305">
        <v>3809.23</v>
      </c>
      <c r="J305">
        <v>46230</v>
      </c>
      <c r="K305" t="b">
        <v>1</v>
      </c>
      <c r="L305">
        <v>0.13600000000000001</v>
      </c>
      <c r="M305">
        <v>7.9650630499236286</v>
      </c>
      <c r="N305" t="s">
        <v>404</v>
      </c>
      <c r="O305">
        <v>148386.67000000001</v>
      </c>
    </row>
    <row r="306" spans="1:15" x14ac:dyDescent="0.2">
      <c r="A306">
        <v>45810</v>
      </c>
      <c r="B306" t="s">
        <v>117</v>
      </c>
      <c r="C306" t="s">
        <v>87</v>
      </c>
      <c r="D306">
        <v>380500718.94999999</v>
      </c>
      <c r="E306" t="s">
        <v>32</v>
      </c>
      <c r="F306" t="s">
        <v>40</v>
      </c>
      <c r="G306" t="s">
        <v>61</v>
      </c>
      <c r="H306">
        <v>32</v>
      </c>
      <c r="I306">
        <v>8042.78</v>
      </c>
      <c r="J306">
        <v>45801</v>
      </c>
      <c r="K306" t="b">
        <v>1</v>
      </c>
      <c r="L306">
        <v>0.2</v>
      </c>
      <c r="M306">
        <v>3.4876546962186694</v>
      </c>
      <c r="N306" t="s">
        <v>405</v>
      </c>
      <c r="O306">
        <v>135127.85</v>
      </c>
    </row>
    <row r="307" spans="1:15" x14ac:dyDescent="0.2">
      <c r="A307">
        <v>45966</v>
      </c>
      <c r="B307" t="s">
        <v>97</v>
      </c>
      <c r="C307" t="s">
        <v>93</v>
      </c>
      <c r="D307">
        <v>87697.93</v>
      </c>
      <c r="E307" t="s">
        <v>32</v>
      </c>
      <c r="F307" t="s">
        <v>82</v>
      </c>
      <c r="G307" t="s">
        <v>66</v>
      </c>
      <c r="H307">
        <v>33</v>
      </c>
      <c r="I307">
        <v>2093.7800000000002</v>
      </c>
      <c r="J307">
        <v>45789</v>
      </c>
      <c r="K307" t="b">
        <v>1</v>
      </c>
      <c r="L307">
        <v>0.19600000000000001</v>
      </c>
      <c r="M307">
        <v>4.8274943861179054</v>
      </c>
      <c r="N307" t="s">
        <v>406</v>
      </c>
      <c r="O307">
        <v>272513.64</v>
      </c>
    </row>
    <row r="308" spans="1:15" x14ac:dyDescent="0.2">
      <c r="A308">
        <v>45855</v>
      </c>
      <c r="B308" t="s">
        <v>30</v>
      </c>
      <c r="C308" t="s">
        <v>36</v>
      </c>
      <c r="D308">
        <v>-98414.49</v>
      </c>
      <c r="E308" t="s">
        <v>32</v>
      </c>
      <c r="F308" t="s">
        <v>124</v>
      </c>
      <c r="G308" t="s">
        <v>49</v>
      </c>
      <c r="H308">
        <v>18</v>
      </c>
      <c r="I308">
        <v>9328.6</v>
      </c>
      <c r="J308">
        <v>45685</v>
      </c>
      <c r="K308" t="b">
        <v>0</v>
      </c>
      <c r="L308">
        <v>0.624</v>
      </c>
      <c r="M308">
        <v>9.6994088427163661</v>
      </c>
      <c r="N308" t="s">
        <v>407</v>
      </c>
      <c r="O308">
        <v>-330718.88</v>
      </c>
    </row>
    <row r="309" spans="1:15" x14ac:dyDescent="0.2">
      <c r="A309">
        <v>45925</v>
      </c>
      <c r="B309" t="s">
        <v>151</v>
      </c>
      <c r="C309" t="s">
        <v>16</v>
      </c>
      <c r="D309">
        <v>-44181.64</v>
      </c>
      <c r="E309" t="s">
        <v>32</v>
      </c>
      <c r="F309" t="s">
        <v>65</v>
      </c>
      <c r="G309" t="s">
        <v>66</v>
      </c>
      <c r="H309">
        <v>23</v>
      </c>
      <c r="I309">
        <v>9217.67</v>
      </c>
      <c r="J309">
        <v>46165</v>
      </c>
      <c r="K309" t="b">
        <v>0</v>
      </c>
      <c r="L309">
        <v>0.54700000000000004</v>
      </c>
      <c r="M309">
        <v>4.9529552250169218</v>
      </c>
      <c r="N309" t="s">
        <v>408</v>
      </c>
      <c r="O309">
        <v>292311.78000000003</v>
      </c>
    </row>
    <row r="310" spans="1:15" x14ac:dyDescent="0.2">
      <c r="A310">
        <v>45761</v>
      </c>
      <c r="B310" t="s">
        <v>47</v>
      </c>
      <c r="C310" t="s">
        <v>64</v>
      </c>
      <c r="D310">
        <v>339107.89</v>
      </c>
      <c r="E310" t="s">
        <v>17</v>
      </c>
      <c r="F310" t="s">
        <v>65</v>
      </c>
      <c r="G310" t="s">
        <v>58</v>
      </c>
      <c r="H310">
        <v>84</v>
      </c>
      <c r="I310">
        <v>5615.8</v>
      </c>
      <c r="J310">
        <v>45983</v>
      </c>
      <c r="K310" t="b">
        <v>0</v>
      </c>
      <c r="L310">
        <v>0.192</v>
      </c>
      <c r="M310">
        <v>5.3214591229334474</v>
      </c>
      <c r="N310" t="s">
        <v>409</v>
      </c>
      <c r="O310">
        <v>77712</v>
      </c>
    </row>
    <row r="311" spans="1:15" x14ac:dyDescent="0.2">
      <c r="A311">
        <v>45728</v>
      </c>
      <c r="B311" t="s">
        <v>84</v>
      </c>
      <c r="C311" t="s">
        <v>93</v>
      </c>
      <c r="D311">
        <v>-5034.2299999999996</v>
      </c>
      <c r="E311" t="s">
        <v>32</v>
      </c>
      <c r="F311" t="s">
        <v>88</v>
      </c>
      <c r="G311" t="s">
        <v>19</v>
      </c>
      <c r="H311">
        <v>75</v>
      </c>
      <c r="I311">
        <v>6202.4</v>
      </c>
      <c r="J311">
        <v>45692</v>
      </c>
      <c r="K311" t="b">
        <v>0</v>
      </c>
      <c r="L311">
        <v>0.97499999999999998</v>
      </c>
      <c r="M311">
        <v>8.6408029776066542</v>
      </c>
      <c r="N311" t="s">
        <v>410</v>
      </c>
      <c r="O311">
        <v>39135.160000000003</v>
      </c>
    </row>
    <row r="312" spans="1:15" x14ac:dyDescent="0.2">
      <c r="A312">
        <v>45760</v>
      </c>
      <c r="B312" t="s">
        <v>57</v>
      </c>
      <c r="C312" t="s">
        <v>64</v>
      </c>
      <c r="D312">
        <v>41880.120000000003</v>
      </c>
      <c r="E312" t="s">
        <v>32</v>
      </c>
      <c r="F312" t="s">
        <v>60</v>
      </c>
      <c r="G312" t="s">
        <v>52</v>
      </c>
      <c r="H312">
        <v>64</v>
      </c>
      <c r="I312">
        <v>8651.2000000000007</v>
      </c>
      <c r="J312">
        <v>46201</v>
      </c>
      <c r="K312" t="b">
        <v>0</v>
      </c>
      <c r="L312">
        <v>0.379</v>
      </c>
      <c r="M312">
        <v>0.7286351197399199</v>
      </c>
      <c r="N312" t="s">
        <v>411</v>
      </c>
      <c r="O312">
        <v>-149961.31</v>
      </c>
    </row>
    <row r="313" spans="1:15" x14ac:dyDescent="0.2">
      <c r="A313">
        <v>45908</v>
      </c>
      <c r="B313" t="s">
        <v>205</v>
      </c>
      <c r="C313" t="s">
        <v>98</v>
      </c>
      <c r="D313">
        <v>278219.62</v>
      </c>
      <c r="E313" t="s">
        <v>32</v>
      </c>
      <c r="F313" t="s">
        <v>60</v>
      </c>
      <c r="G313" t="s">
        <v>19</v>
      </c>
      <c r="H313">
        <v>84</v>
      </c>
      <c r="I313">
        <v>5615.3</v>
      </c>
      <c r="J313">
        <v>45731</v>
      </c>
      <c r="K313" t="b">
        <v>1</v>
      </c>
      <c r="L313">
        <v>0.41</v>
      </c>
      <c r="M313">
        <v>7.5037267385050654</v>
      </c>
      <c r="N313" t="s">
        <v>412</v>
      </c>
      <c r="O313">
        <v>284697.95</v>
      </c>
    </row>
    <row r="314" spans="1:15" x14ac:dyDescent="0.2">
      <c r="A314">
        <v>45740</v>
      </c>
      <c r="B314" t="s">
        <v>205</v>
      </c>
      <c r="C314" t="s">
        <v>93</v>
      </c>
      <c r="D314">
        <v>-73227.259999999995</v>
      </c>
      <c r="E314" t="s">
        <v>17</v>
      </c>
      <c r="F314" t="s">
        <v>23</v>
      </c>
      <c r="G314" t="s">
        <v>52</v>
      </c>
      <c r="H314">
        <v>79</v>
      </c>
      <c r="I314">
        <v>3399.97</v>
      </c>
      <c r="J314">
        <v>45860</v>
      </c>
      <c r="K314" t="b">
        <v>0</v>
      </c>
      <c r="L314">
        <v>0.87</v>
      </c>
      <c r="M314">
        <v>7.8469050209969282</v>
      </c>
      <c r="N314" t="s">
        <v>413</v>
      </c>
      <c r="O314">
        <v>292927.48</v>
      </c>
    </row>
    <row r="315" spans="1:15" x14ac:dyDescent="0.2">
      <c r="A315">
        <v>45784</v>
      </c>
      <c r="B315" t="s">
        <v>110</v>
      </c>
      <c r="C315" t="s">
        <v>36</v>
      </c>
      <c r="D315">
        <v>17079.28</v>
      </c>
      <c r="E315" t="s">
        <v>17</v>
      </c>
      <c r="F315" t="s">
        <v>124</v>
      </c>
      <c r="G315" t="s">
        <v>19</v>
      </c>
      <c r="H315">
        <v>87</v>
      </c>
      <c r="I315">
        <v>2763.58</v>
      </c>
      <c r="J315">
        <v>46289</v>
      </c>
      <c r="K315" t="b">
        <v>0</v>
      </c>
      <c r="L315">
        <v>0.42</v>
      </c>
      <c r="M315">
        <v>0.41926297591999173</v>
      </c>
      <c r="N315" t="s">
        <v>414</v>
      </c>
      <c r="O315">
        <v>199083.51</v>
      </c>
    </row>
    <row r="316" spans="1:15" x14ac:dyDescent="0.2">
      <c r="A316">
        <v>45809</v>
      </c>
      <c r="B316" t="s">
        <v>153</v>
      </c>
      <c r="C316" t="s">
        <v>189</v>
      </c>
      <c r="D316">
        <v>315607.12</v>
      </c>
      <c r="E316" t="s">
        <v>17</v>
      </c>
      <c r="F316" t="s">
        <v>40</v>
      </c>
      <c r="G316" t="s">
        <v>58</v>
      </c>
      <c r="H316">
        <v>8</v>
      </c>
      <c r="I316">
        <v>1347.66</v>
      </c>
      <c r="J316">
        <v>46148</v>
      </c>
      <c r="K316" t="b">
        <v>0</v>
      </c>
      <c r="L316">
        <v>0.86399999999999999</v>
      </c>
      <c r="M316">
        <v>6.2413218757137656</v>
      </c>
      <c r="N316" t="s">
        <v>415</v>
      </c>
      <c r="O316">
        <v>561.51</v>
      </c>
    </row>
    <row r="317" spans="1:15" x14ac:dyDescent="0.2">
      <c r="A317">
        <v>45685</v>
      </c>
      <c r="B317" t="s">
        <v>69</v>
      </c>
      <c r="C317" t="s">
        <v>189</v>
      </c>
      <c r="D317">
        <v>27521.77</v>
      </c>
      <c r="E317" t="s">
        <v>17</v>
      </c>
      <c r="F317" t="s">
        <v>18</v>
      </c>
      <c r="G317" t="s">
        <v>49</v>
      </c>
      <c r="H317">
        <v>10</v>
      </c>
      <c r="I317">
        <v>6052.03</v>
      </c>
      <c r="J317">
        <v>45944</v>
      </c>
      <c r="K317" t="b">
        <v>0</v>
      </c>
      <c r="L317">
        <v>0.47599999999999998</v>
      </c>
      <c r="M317">
        <v>2.8348583122715354</v>
      </c>
      <c r="N317" t="s">
        <v>416</v>
      </c>
      <c r="O317">
        <v>-28907.759999999998</v>
      </c>
    </row>
    <row r="318" spans="1:15" x14ac:dyDescent="0.2">
      <c r="A318">
        <v>45977</v>
      </c>
      <c r="B318" t="s">
        <v>289</v>
      </c>
      <c r="C318" t="s">
        <v>90</v>
      </c>
      <c r="D318">
        <v>261256.09</v>
      </c>
      <c r="E318" t="s">
        <v>17</v>
      </c>
      <c r="F318" t="s">
        <v>40</v>
      </c>
      <c r="G318" t="s">
        <v>52</v>
      </c>
      <c r="H318">
        <v>35</v>
      </c>
      <c r="I318">
        <v>9659.1299999999992</v>
      </c>
      <c r="J318">
        <v>45770</v>
      </c>
      <c r="K318" t="b">
        <v>1</v>
      </c>
      <c r="L318">
        <v>0.76300000000000001</v>
      </c>
      <c r="M318">
        <v>9.1673561162315309</v>
      </c>
      <c r="N318" t="s">
        <v>417</v>
      </c>
      <c r="O318">
        <v>394018.04</v>
      </c>
    </row>
    <row r="319" spans="1:15" x14ac:dyDescent="0.2">
      <c r="A319">
        <v>46001</v>
      </c>
      <c r="B319" t="s">
        <v>54</v>
      </c>
      <c r="C319" t="s">
        <v>127</v>
      </c>
      <c r="D319">
        <v>164087.92000000001</v>
      </c>
      <c r="E319" t="s">
        <v>17</v>
      </c>
      <c r="F319" t="s">
        <v>60</v>
      </c>
      <c r="G319" t="s">
        <v>66</v>
      </c>
      <c r="H319">
        <v>14</v>
      </c>
      <c r="I319">
        <v>5547.27</v>
      </c>
      <c r="J319">
        <v>46331</v>
      </c>
      <c r="K319" t="b">
        <v>1</v>
      </c>
      <c r="L319">
        <v>0.98799999999999999</v>
      </c>
      <c r="M319">
        <v>1.0533040622249246</v>
      </c>
      <c r="N319" t="s">
        <v>418</v>
      </c>
      <c r="O319">
        <v>396151.56</v>
      </c>
    </row>
    <row r="320" spans="1:15" x14ac:dyDescent="0.2">
      <c r="A320">
        <v>45833</v>
      </c>
      <c r="B320" t="s">
        <v>108</v>
      </c>
      <c r="C320" t="s">
        <v>189</v>
      </c>
      <c r="D320">
        <v>103573.35</v>
      </c>
      <c r="E320" t="s">
        <v>32</v>
      </c>
      <c r="F320" t="s">
        <v>88</v>
      </c>
      <c r="G320" t="s">
        <v>49</v>
      </c>
      <c r="H320">
        <v>96</v>
      </c>
      <c r="I320">
        <v>7848.75</v>
      </c>
      <c r="J320">
        <v>45878</v>
      </c>
      <c r="K320" t="b">
        <v>1</v>
      </c>
      <c r="L320">
        <v>0.23599999999999999</v>
      </c>
      <c r="M320">
        <v>4.0812662523239851</v>
      </c>
      <c r="N320" t="s">
        <v>419</v>
      </c>
      <c r="O320">
        <v>218881.7</v>
      </c>
    </row>
    <row r="321" spans="1:15" x14ac:dyDescent="0.2">
      <c r="A321">
        <v>45862</v>
      </c>
      <c r="B321" t="s">
        <v>51</v>
      </c>
      <c r="C321" t="s">
        <v>81</v>
      </c>
      <c r="D321">
        <v>-27727.31</v>
      </c>
      <c r="E321" t="s">
        <v>17</v>
      </c>
      <c r="F321" t="s">
        <v>33</v>
      </c>
      <c r="G321" t="s">
        <v>78</v>
      </c>
      <c r="H321">
        <v>82</v>
      </c>
      <c r="I321">
        <v>9997.1200000000008</v>
      </c>
      <c r="J321">
        <v>45963</v>
      </c>
      <c r="K321" t="b">
        <v>1</v>
      </c>
      <c r="L321">
        <v>0.88800000000000001</v>
      </c>
      <c r="M321">
        <v>3.3835910260677338</v>
      </c>
      <c r="N321" t="s">
        <v>420</v>
      </c>
      <c r="O321">
        <v>-298069.06</v>
      </c>
    </row>
    <row r="322" spans="1:15" x14ac:dyDescent="0.2">
      <c r="A322">
        <v>45853</v>
      </c>
      <c r="B322" t="s">
        <v>69</v>
      </c>
      <c r="C322" t="s">
        <v>85</v>
      </c>
      <c r="D322">
        <v>132793.60999999999</v>
      </c>
      <c r="E322" t="s">
        <v>32</v>
      </c>
      <c r="F322" t="s">
        <v>124</v>
      </c>
      <c r="G322" t="s">
        <v>24</v>
      </c>
      <c r="H322">
        <v>98</v>
      </c>
      <c r="I322">
        <v>8075.76</v>
      </c>
      <c r="J322">
        <v>46045</v>
      </c>
      <c r="K322" t="b">
        <v>1</v>
      </c>
      <c r="L322">
        <v>0.32900000000000001</v>
      </c>
      <c r="M322">
        <v>8.8497266243211925</v>
      </c>
      <c r="N322" t="s">
        <v>421</v>
      </c>
      <c r="O322">
        <v>-54018.09</v>
      </c>
    </row>
    <row r="323" spans="1:15" x14ac:dyDescent="0.2">
      <c r="A323">
        <v>45728</v>
      </c>
      <c r="B323" t="s">
        <v>126</v>
      </c>
      <c r="C323" t="s">
        <v>85</v>
      </c>
      <c r="D323">
        <v>219230.07</v>
      </c>
      <c r="E323" t="s">
        <v>32</v>
      </c>
      <c r="F323" t="s">
        <v>60</v>
      </c>
      <c r="G323" t="s">
        <v>58</v>
      </c>
      <c r="H323">
        <v>99</v>
      </c>
      <c r="I323">
        <v>8676.3700000000008</v>
      </c>
      <c r="J323">
        <v>46070</v>
      </c>
      <c r="K323" t="b">
        <v>1</v>
      </c>
      <c r="L323">
        <v>0.29099999999999998</v>
      </c>
      <c r="M323">
        <v>0.84943753434345126</v>
      </c>
      <c r="N323" t="s">
        <v>422</v>
      </c>
      <c r="O323">
        <v>174736.68</v>
      </c>
    </row>
    <row r="324" spans="1:15" x14ac:dyDescent="0.2">
      <c r="A324">
        <v>45831</v>
      </c>
      <c r="B324" t="s">
        <v>221</v>
      </c>
      <c r="C324" t="s">
        <v>127</v>
      </c>
      <c r="D324">
        <v>160170.28</v>
      </c>
      <c r="E324" t="s">
        <v>17</v>
      </c>
      <c r="F324" t="s">
        <v>45</v>
      </c>
      <c r="G324" t="s">
        <v>24</v>
      </c>
      <c r="H324">
        <v>58</v>
      </c>
      <c r="I324">
        <v>2825.39</v>
      </c>
      <c r="J324">
        <v>45972</v>
      </c>
      <c r="K324" t="b">
        <v>1</v>
      </c>
      <c r="L324">
        <v>0.88900000000000001</v>
      </c>
      <c r="M324">
        <v>5.0401980988681316E-2</v>
      </c>
      <c r="N324" t="s">
        <v>423</v>
      </c>
      <c r="O324">
        <v>75710.42</v>
      </c>
    </row>
    <row r="325" spans="1:15" x14ac:dyDescent="0.2">
      <c r="A325">
        <v>45764</v>
      </c>
      <c r="B325" t="s">
        <v>117</v>
      </c>
      <c r="C325" t="s">
        <v>44</v>
      </c>
      <c r="D325">
        <v>292678.59999999998</v>
      </c>
      <c r="E325" t="s">
        <v>17</v>
      </c>
      <c r="F325" t="s">
        <v>28</v>
      </c>
      <c r="G325" t="s">
        <v>49</v>
      </c>
      <c r="H325">
        <v>84</v>
      </c>
      <c r="I325">
        <v>3645.6</v>
      </c>
      <c r="J325">
        <v>45752</v>
      </c>
      <c r="K325" t="b">
        <v>0</v>
      </c>
      <c r="L325">
        <v>0.45800000000000002</v>
      </c>
      <c r="M325">
        <v>3.8234695396386087</v>
      </c>
      <c r="N325" t="s">
        <v>424</v>
      </c>
      <c r="O325">
        <v>-200916.47</v>
      </c>
    </row>
    <row r="326" spans="1:15" x14ac:dyDescent="0.2">
      <c r="A326">
        <v>45962</v>
      </c>
      <c r="B326" t="s">
        <v>47</v>
      </c>
      <c r="C326" t="s">
        <v>55</v>
      </c>
      <c r="D326">
        <v>124279.01</v>
      </c>
      <c r="E326" t="s">
        <v>32</v>
      </c>
      <c r="F326" t="s">
        <v>124</v>
      </c>
      <c r="G326" t="s">
        <v>52</v>
      </c>
      <c r="H326">
        <v>30</v>
      </c>
      <c r="I326">
        <v>9886.5300000000007</v>
      </c>
      <c r="J326">
        <v>45749</v>
      </c>
      <c r="K326" t="b">
        <v>0</v>
      </c>
      <c r="L326">
        <v>0.57899999999999996</v>
      </c>
      <c r="M326">
        <v>7.8536646673455834</v>
      </c>
      <c r="N326" t="s">
        <v>425</v>
      </c>
      <c r="O326">
        <v>252771.42</v>
      </c>
    </row>
    <row r="327" spans="1:15" x14ac:dyDescent="0.2">
      <c r="A327">
        <v>45767</v>
      </c>
      <c r="B327" t="s">
        <v>104</v>
      </c>
      <c r="C327" t="s">
        <v>31</v>
      </c>
      <c r="D327">
        <v>138812.72</v>
      </c>
      <c r="E327" t="s">
        <v>17</v>
      </c>
      <c r="F327" t="s">
        <v>28</v>
      </c>
      <c r="G327" t="s">
        <v>24</v>
      </c>
      <c r="H327">
        <v>62</v>
      </c>
      <c r="I327">
        <v>659.17</v>
      </c>
      <c r="J327">
        <v>46290</v>
      </c>
      <c r="K327" t="b">
        <v>0</v>
      </c>
      <c r="L327">
        <v>0.63500000000000001</v>
      </c>
      <c r="M327">
        <v>4.4609637977555394</v>
      </c>
      <c r="N327" t="s">
        <v>426</v>
      </c>
      <c r="O327">
        <v>-487319.82</v>
      </c>
    </row>
    <row r="328" spans="1:15" x14ac:dyDescent="0.2">
      <c r="A328">
        <v>45795</v>
      </c>
      <c r="B328" t="s">
        <v>221</v>
      </c>
      <c r="C328" t="s">
        <v>31</v>
      </c>
      <c r="D328">
        <v>-42207.32</v>
      </c>
      <c r="E328" t="s">
        <v>32</v>
      </c>
      <c r="F328" t="s">
        <v>23</v>
      </c>
      <c r="G328" t="s">
        <v>49</v>
      </c>
      <c r="H328">
        <v>30</v>
      </c>
      <c r="I328">
        <v>6171.78</v>
      </c>
      <c r="J328">
        <v>46146</v>
      </c>
      <c r="K328" t="b">
        <v>0</v>
      </c>
      <c r="L328">
        <v>2.4E-2</v>
      </c>
      <c r="M328">
        <v>8.8047617324627936</v>
      </c>
      <c r="N328" t="s">
        <v>427</v>
      </c>
      <c r="O328">
        <v>418477.35</v>
      </c>
    </row>
    <row r="329" spans="1:15" x14ac:dyDescent="0.2">
      <c r="A329">
        <v>45824</v>
      </c>
      <c r="B329" t="s">
        <v>57</v>
      </c>
      <c r="C329" t="s">
        <v>31</v>
      </c>
      <c r="D329">
        <v>-7931.29</v>
      </c>
      <c r="E329" t="s">
        <v>17</v>
      </c>
      <c r="F329" t="s">
        <v>28</v>
      </c>
      <c r="G329" t="s">
        <v>78</v>
      </c>
      <c r="H329">
        <v>41</v>
      </c>
      <c r="I329">
        <v>6552.88</v>
      </c>
      <c r="J329">
        <v>45839</v>
      </c>
      <c r="K329" t="b">
        <v>1</v>
      </c>
      <c r="L329">
        <v>0.97199999999999998</v>
      </c>
      <c r="M329">
        <v>5.7822068128734827</v>
      </c>
      <c r="N329" t="s">
        <v>428</v>
      </c>
      <c r="O329">
        <v>-258852.06</v>
      </c>
    </row>
    <row r="330" spans="1:15" x14ac:dyDescent="0.2">
      <c r="A330">
        <v>45780</v>
      </c>
      <c r="B330" t="s">
        <v>54</v>
      </c>
      <c r="C330" t="s">
        <v>16</v>
      </c>
      <c r="D330">
        <v>1881411234.8399999</v>
      </c>
      <c r="E330" t="s">
        <v>17</v>
      </c>
      <c r="F330" t="s">
        <v>65</v>
      </c>
      <c r="H330">
        <v>14</v>
      </c>
      <c r="I330">
        <v>7604.44</v>
      </c>
      <c r="J330">
        <v>46074</v>
      </c>
      <c r="K330" t="b">
        <v>1</v>
      </c>
      <c r="L330">
        <v>0.27700000000000002</v>
      </c>
      <c r="M330">
        <v>6.4103273116052151</v>
      </c>
      <c r="N330" t="s">
        <v>429</v>
      </c>
      <c r="O330">
        <v>319855.57</v>
      </c>
    </row>
    <row r="331" spans="1:15" x14ac:dyDescent="0.2">
      <c r="A331">
        <v>46012</v>
      </c>
      <c r="B331" t="s">
        <v>151</v>
      </c>
      <c r="C331" t="s">
        <v>127</v>
      </c>
      <c r="D331">
        <v>286133.45</v>
      </c>
      <c r="E331" t="s">
        <v>17</v>
      </c>
      <c r="F331" t="s">
        <v>124</v>
      </c>
      <c r="G331" t="s">
        <v>61</v>
      </c>
      <c r="H331">
        <v>69</v>
      </c>
      <c r="I331">
        <v>792.54</v>
      </c>
      <c r="J331">
        <v>45788</v>
      </c>
      <c r="K331" t="b">
        <v>1</v>
      </c>
      <c r="L331">
        <v>0.58399999999999996</v>
      </c>
      <c r="M331">
        <v>3.5838624113239348</v>
      </c>
      <c r="N331" t="s">
        <v>430</v>
      </c>
      <c r="O331">
        <v>146801.59</v>
      </c>
    </row>
    <row r="332" spans="1:15" x14ac:dyDescent="0.2">
      <c r="A332">
        <v>45703</v>
      </c>
      <c r="B332" t="s">
        <v>97</v>
      </c>
      <c r="C332" t="s">
        <v>130</v>
      </c>
      <c r="D332">
        <v>222968.2</v>
      </c>
      <c r="E332" t="s">
        <v>17</v>
      </c>
      <c r="F332" t="s">
        <v>124</v>
      </c>
      <c r="G332" t="s">
        <v>78</v>
      </c>
      <c r="H332">
        <v>40</v>
      </c>
      <c r="I332">
        <v>4777.72</v>
      </c>
      <c r="J332">
        <v>46169</v>
      </c>
      <c r="K332" t="b">
        <v>0</v>
      </c>
      <c r="L332">
        <v>0.4</v>
      </c>
      <c r="M332">
        <v>8.7782010925002396</v>
      </c>
      <c r="N332" t="s">
        <v>431</v>
      </c>
      <c r="O332">
        <v>-85596.87</v>
      </c>
    </row>
    <row r="333" spans="1:15" x14ac:dyDescent="0.2">
      <c r="A333">
        <v>45870</v>
      </c>
      <c r="B333" t="s">
        <v>136</v>
      </c>
      <c r="C333" t="s">
        <v>16</v>
      </c>
      <c r="D333">
        <v>345306.23</v>
      </c>
      <c r="E333" t="s">
        <v>17</v>
      </c>
      <c r="F333" t="s">
        <v>105</v>
      </c>
      <c r="G333" t="s">
        <v>41</v>
      </c>
      <c r="H333">
        <v>41</v>
      </c>
      <c r="I333">
        <v>0.81</v>
      </c>
      <c r="J333">
        <v>45767</v>
      </c>
      <c r="K333" t="b">
        <v>0</v>
      </c>
      <c r="L333">
        <v>0.69099999999999995</v>
      </c>
      <c r="M333">
        <v>8.0589252011850476</v>
      </c>
      <c r="N333" t="s">
        <v>432</v>
      </c>
      <c r="O333">
        <v>53674.66</v>
      </c>
    </row>
    <row r="334" spans="1:15" x14ac:dyDescent="0.2">
      <c r="A334">
        <v>45724</v>
      </c>
      <c r="B334" t="s">
        <v>221</v>
      </c>
      <c r="C334" t="s">
        <v>81</v>
      </c>
      <c r="D334">
        <v>221595.45</v>
      </c>
      <c r="E334" t="s">
        <v>32</v>
      </c>
      <c r="F334" t="s">
        <v>45</v>
      </c>
      <c r="G334" t="s">
        <v>19</v>
      </c>
      <c r="H334">
        <v>56</v>
      </c>
      <c r="I334">
        <v>1318.31</v>
      </c>
      <c r="J334">
        <v>45829</v>
      </c>
      <c r="K334" t="b">
        <v>0</v>
      </c>
      <c r="L334">
        <v>0.35099999999999998</v>
      </c>
      <c r="M334">
        <v>4.9874716927297413</v>
      </c>
      <c r="N334" t="s">
        <v>433</v>
      </c>
      <c r="O334">
        <v>140120.75</v>
      </c>
    </row>
    <row r="335" spans="1:15" x14ac:dyDescent="0.2">
      <c r="A335">
        <v>45831</v>
      </c>
      <c r="B335" t="s">
        <v>97</v>
      </c>
      <c r="C335" t="s">
        <v>36</v>
      </c>
      <c r="D335">
        <v>22033.51</v>
      </c>
      <c r="E335" t="s">
        <v>17</v>
      </c>
      <c r="F335" t="s">
        <v>48</v>
      </c>
      <c r="G335" t="s">
        <v>66</v>
      </c>
      <c r="H335">
        <v>86</v>
      </c>
      <c r="I335">
        <v>3735.99</v>
      </c>
      <c r="J335">
        <v>46029</v>
      </c>
      <c r="K335" t="b">
        <v>1</v>
      </c>
      <c r="L335">
        <v>0.84599999999999997</v>
      </c>
      <c r="M335">
        <v>8.6742097930982709</v>
      </c>
      <c r="N335" t="s">
        <v>434</v>
      </c>
      <c r="O335">
        <v>73064.800000000003</v>
      </c>
    </row>
    <row r="336" spans="1:15" x14ac:dyDescent="0.2">
      <c r="A336">
        <v>45755</v>
      </c>
      <c r="B336" t="s">
        <v>84</v>
      </c>
      <c r="C336" t="s">
        <v>55</v>
      </c>
      <c r="D336">
        <v>-6603.37</v>
      </c>
      <c r="E336" t="s">
        <v>17</v>
      </c>
      <c r="F336" t="s">
        <v>88</v>
      </c>
      <c r="H336">
        <v>19</v>
      </c>
      <c r="I336">
        <v>5093.0200000000004</v>
      </c>
      <c r="J336">
        <v>46017</v>
      </c>
      <c r="K336" t="b">
        <v>0</v>
      </c>
      <c r="L336">
        <v>0.8</v>
      </c>
      <c r="M336">
        <v>3.7798708886839449</v>
      </c>
      <c r="N336" t="s">
        <v>435</v>
      </c>
      <c r="O336">
        <v>-143888.69</v>
      </c>
    </row>
    <row r="337" spans="1:15" x14ac:dyDescent="0.2">
      <c r="A337">
        <v>45890</v>
      </c>
      <c r="B337" t="s">
        <v>76</v>
      </c>
      <c r="C337" t="s">
        <v>74</v>
      </c>
      <c r="D337">
        <v>-63273.16</v>
      </c>
      <c r="E337" t="s">
        <v>17</v>
      </c>
      <c r="F337" t="s">
        <v>88</v>
      </c>
      <c r="G337" t="s">
        <v>58</v>
      </c>
      <c r="H337">
        <v>42</v>
      </c>
      <c r="I337">
        <v>6500.39</v>
      </c>
      <c r="J337">
        <v>46248</v>
      </c>
      <c r="K337" t="b">
        <v>0</v>
      </c>
      <c r="L337">
        <v>0.374</v>
      </c>
      <c r="M337">
        <v>6.7931435327045619</v>
      </c>
      <c r="N337" t="s">
        <v>436</v>
      </c>
      <c r="O337">
        <v>-393123.18</v>
      </c>
    </row>
    <row r="338" spans="1:15" x14ac:dyDescent="0.2">
      <c r="A338">
        <v>45721</v>
      </c>
      <c r="B338" t="s">
        <v>126</v>
      </c>
      <c r="C338" t="s">
        <v>31</v>
      </c>
      <c r="D338">
        <v>215657.72</v>
      </c>
      <c r="E338" t="s">
        <v>32</v>
      </c>
      <c r="F338" t="s">
        <v>82</v>
      </c>
      <c r="G338" t="s">
        <v>24</v>
      </c>
      <c r="H338">
        <v>86</v>
      </c>
      <c r="I338">
        <v>2857.79</v>
      </c>
      <c r="J338">
        <v>45888</v>
      </c>
      <c r="K338" t="b">
        <v>1</v>
      </c>
      <c r="L338">
        <v>0.23</v>
      </c>
      <c r="M338">
        <v>1.1047457042150199</v>
      </c>
      <c r="N338" t="s">
        <v>437</v>
      </c>
      <c r="O338">
        <v>187053.47</v>
      </c>
    </row>
    <row r="339" spans="1:15" x14ac:dyDescent="0.2">
      <c r="A339">
        <v>45767</v>
      </c>
      <c r="B339" t="s">
        <v>38</v>
      </c>
      <c r="C339" t="s">
        <v>93</v>
      </c>
      <c r="D339">
        <v>-19894.29</v>
      </c>
      <c r="E339" t="s">
        <v>17</v>
      </c>
      <c r="F339" t="s">
        <v>28</v>
      </c>
      <c r="G339" t="s">
        <v>41</v>
      </c>
      <c r="H339">
        <v>6</v>
      </c>
      <c r="I339">
        <v>191.67</v>
      </c>
      <c r="J339">
        <v>46080</v>
      </c>
      <c r="K339" t="b">
        <v>1</v>
      </c>
      <c r="L339">
        <v>0.23799999999999999</v>
      </c>
      <c r="M339">
        <v>4.5498099573887885</v>
      </c>
      <c r="N339" t="s">
        <v>438</v>
      </c>
      <c r="O339">
        <v>22979.49</v>
      </c>
    </row>
    <row r="340" spans="1:15" x14ac:dyDescent="0.2">
      <c r="A340">
        <v>46002</v>
      </c>
      <c r="B340" t="s">
        <v>147</v>
      </c>
      <c r="C340" t="s">
        <v>27</v>
      </c>
      <c r="D340">
        <v>354152.44</v>
      </c>
      <c r="E340" t="s">
        <v>17</v>
      </c>
      <c r="F340" t="s">
        <v>45</v>
      </c>
      <c r="G340" t="s">
        <v>61</v>
      </c>
      <c r="H340">
        <v>52</v>
      </c>
      <c r="I340">
        <v>9244.57</v>
      </c>
      <c r="J340">
        <v>46377</v>
      </c>
      <c r="K340" t="b">
        <v>0</v>
      </c>
      <c r="L340">
        <v>0.46100000000000002</v>
      </c>
      <c r="M340">
        <v>1.6072471090592444</v>
      </c>
      <c r="N340" t="s">
        <v>439</v>
      </c>
      <c r="O340">
        <v>-413191.03</v>
      </c>
    </row>
    <row r="341" spans="1:15" x14ac:dyDescent="0.2">
      <c r="A341">
        <v>45750</v>
      </c>
      <c r="B341" t="s">
        <v>175</v>
      </c>
      <c r="C341" t="s">
        <v>22</v>
      </c>
      <c r="D341">
        <v>-95356.54</v>
      </c>
      <c r="E341" t="s">
        <v>17</v>
      </c>
      <c r="F341" t="s">
        <v>95</v>
      </c>
      <c r="G341" t="s">
        <v>66</v>
      </c>
      <c r="H341">
        <v>44</v>
      </c>
      <c r="I341">
        <v>7853.32</v>
      </c>
      <c r="J341">
        <v>46135</v>
      </c>
      <c r="K341" t="b">
        <v>1</v>
      </c>
      <c r="L341">
        <v>0.70199999999999996</v>
      </c>
      <c r="M341">
        <v>9.6275519230403006</v>
      </c>
      <c r="N341" t="s">
        <v>440</v>
      </c>
      <c r="O341">
        <v>449160.48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</v>
      </c>
      <c r="B1" t="s">
        <v>441</v>
      </c>
      <c r="C1" t="s">
        <v>442</v>
      </c>
      <c r="E1" t="s">
        <v>441</v>
      </c>
      <c r="F1" t="s">
        <v>443</v>
      </c>
    </row>
    <row r="2" spans="1:6" x14ac:dyDescent="0.2">
      <c r="A2" t="s">
        <v>126</v>
      </c>
      <c r="B2">
        <v>1</v>
      </c>
      <c r="C2" t="str" cm="1">
        <f t="array" ref="C2">_xlfn.XLOOKUP(B2,$E$2:$E$9,$F$2:$F$9,"нет")</f>
        <v>Группа «1»</v>
      </c>
      <c r="E2">
        <v>1</v>
      </c>
      <c r="F2" t="s">
        <v>444</v>
      </c>
    </row>
    <row r="3" spans="1:6" x14ac:dyDescent="0.2">
      <c r="A3" t="s">
        <v>63</v>
      </c>
      <c r="B3">
        <v>1</v>
      </c>
      <c r="C3" t="str" cm="1">
        <f t="array" ref="C3">_xlfn.XLOOKUP(B3,$E$2:$E$9,$F$2:$F$9,"нет")</f>
        <v>Группа «1»</v>
      </c>
      <c r="E3">
        <v>2</v>
      </c>
      <c r="F3" t="s">
        <v>445</v>
      </c>
    </row>
    <row r="4" spans="1:6" x14ac:dyDescent="0.2">
      <c r="A4" t="s">
        <v>97</v>
      </c>
      <c r="B4">
        <v>1</v>
      </c>
      <c r="C4" t="str" cm="1">
        <f t="array" ref="C4">_xlfn.XLOOKUP(B4,$E$2:$E$9,$F$2:$F$9,"нет")</f>
        <v>Группа «1»</v>
      </c>
      <c r="E4">
        <v>3</v>
      </c>
      <c r="F4" t="s">
        <v>446</v>
      </c>
    </row>
    <row r="5" spans="1:6" x14ac:dyDescent="0.2">
      <c r="A5" t="s">
        <v>205</v>
      </c>
      <c r="B5">
        <v>1</v>
      </c>
      <c r="C5" t="str" cm="1">
        <f t="array" ref="C5">_xlfn.XLOOKUP(B5,$E$2:$E$9,$F$2:$F$9,"нет")</f>
        <v>Группа «1»</v>
      </c>
      <c r="E5">
        <v>4</v>
      </c>
      <c r="F5" t="s">
        <v>447</v>
      </c>
    </row>
    <row r="6" spans="1:6" x14ac:dyDescent="0.2">
      <c r="A6" t="s">
        <v>136</v>
      </c>
      <c r="B6">
        <v>1</v>
      </c>
      <c r="C6" t="str" cm="1">
        <f t="array" ref="C6">_xlfn.XLOOKUP(B6,$E$2:$E$9,$F$2:$F$9,"нет")</f>
        <v>Группа «1»</v>
      </c>
      <c r="E6">
        <v>5</v>
      </c>
      <c r="F6" t="s">
        <v>448</v>
      </c>
    </row>
    <row r="7" spans="1:6" x14ac:dyDescent="0.2">
      <c r="A7" t="s">
        <v>108</v>
      </c>
      <c r="B7">
        <v>2</v>
      </c>
      <c r="C7" t="str" cm="1">
        <f t="array" ref="C7">_xlfn.XLOOKUP(B7,$E$2:$E$9,$F$2:$F$9,"нет")</f>
        <v>Группа «2»</v>
      </c>
      <c r="E7">
        <v>6</v>
      </c>
      <c r="F7" t="s">
        <v>449</v>
      </c>
    </row>
    <row r="8" spans="1:6" x14ac:dyDescent="0.2">
      <c r="A8" t="s">
        <v>26</v>
      </c>
      <c r="B8">
        <v>2</v>
      </c>
      <c r="C8" t="str" cm="1">
        <f t="array" ref="C8">_xlfn.XLOOKUP(B8,$E$2:$E$9,$F$2:$F$9,"нет")</f>
        <v>Группа «2»</v>
      </c>
      <c r="E8">
        <v>7</v>
      </c>
      <c r="F8" t="s">
        <v>450</v>
      </c>
    </row>
    <row r="9" spans="1:6" x14ac:dyDescent="0.2">
      <c r="A9" t="s">
        <v>72</v>
      </c>
      <c r="B9">
        <v>2</v>
      </c>
      <c r="C9" t="str" cm="1">
        <f t="array" ref="C9">_xlfn.XLOOKUP(B9,$E$2:$E$9,$F$2:$F$9,"нет")</f>
        <v>Группа «2»</v>
      </c>
      <c r="E9">
        <v>8</v>
      </c>
      <c r="F9" t="s">
        <v>451</v>
      </c>
    </row>
    <row r="10" spans="1:6" x14ac:dyDescent="0.2">
      <c r="A10" t="s">
        <v>47</v>
      </c>
      <c r="B10">
        <v>2</v>
      </c>
      <c r="C10" t="str" cm="1">
        <f t="array" ref="C10">_xlfn.XLOOKUP(B10,$E$2:$E$9,$F$2:$F$9,"нет")</f>
        <v>Группа «2»</v>
      </c>
    </row>
    <row r="11" spans="1:6" x14ac:dyDescent="0.2">
      <c r="A11" t="s">
        <v>51</v>
      </c>
      <c r="B11">
        <v>2</v>
      </c>
      <c r="C11" t="str" cm="1">
        <f t="array" ref="C11">_xlfn.XLOOKUP(B11,$E$2:$E$9,$F$2:$F$9,"нет")</f>
        <v>Группа «2»</v>
      </c>
    </row>
    <row r="12" spans="1:6" x14ac:dyDescent="0.2">
      <c r="A12" t="s">
        <v>43</v>
      </c>
      <c r="B12">
        <v>3</v>
      </c>
      <c r="C12" t="str" cm="1">
        <f t="array" ref="C12">_xlfn.XLOOKUP(B12,$E$2:$E$9,$F$2:$F$9,"нет")</f>
        <v>Группа «3»</v>
      </c>
    </row>
    <row r="13" spans="1:6" x14ac:dyDescent="0.2">
      <c r="A13" t="s">
        <v>289</v>
      </c>
      <c r="B13">
        <v>3</v>
      </c>
      <c r="C13" t="str" cm="1">
        <f t="array" ref="C13">_xlfn.XLOOKUP(B13,$E$2:$E$9,$F$2:$F$9,"нет")</f>
        <v>Группа «3»</v>
      </c>
    </row>
    <row r="14" spans="1:6" x14ac:dyDescent="0.2">
      <c r="A14" t="s">
        <v>123</v>
      </c>
      <c r="B14">
        <v>3</v>
      </c>
      <c r="C14" t="str" cm="1">
        <f t="array" ref="C14">_xlfn.XLOOKUP(B14,$E$2:$E$9,$F$2:$F$9,"нет")</f>
        <v>Группа «3»</v>
      </c>
    </row>
    <row r="15" spans="1:6" x14ac:dyDescent="0.2">
      <c r="A15" t="s">
        <v>100</v>
      </c>
      <c r="B15">
        <v>3</v>
      </c>
      <c r="C15" t="str" cm="1">
        <f t="array" ref="C15">_xlfn.XLOOKUP(B15,$E$2:$E$9,$F$2:$F$9,"нет")</f>
        <v>Группа «3»</v>
      </c>
    </row>
    <row r="16" spans="1:6" x14ac:dyDescent="0.2">
      <c r="A16" t="s">
        <v>80</v>
      </c>
      <c r="B16">
        <v>3</v>
      </c>
      <c r="C16" t="str" cm="1">
        <f t="array" ref="C16">_xlfn.XLOOKUP(B16,$E$2:$E$9,$F$2:$F$9,"нет")</f>
        <v>Группа «3»</v>
      </c>
    </row>
    <row r="17" spans="1:3" x14ac:dyDescent="0.2">
      <c r="A17" t="s">
        <v>110</v>
      </c>
      <c r="B17">
        <v>4</v>
      </c>
      <c r="C17" t="str" cm="1">
        <f t="array" ref="C17">_xlfn.XLOOKUP(B17,$E$2:$E$9,$F$2:$F$9,"нет")</f>
        <v>Группа «4»</v>
      </c>
    </row>
    <row r="18" spans="1:3" x14ac:dyDescent="0.2">
      <c r="A18" t="s">
        <v>76</v>
      </c>
      <c r="B18">
        <v>4</v>
      </c>
      <c r="C18" t="str" cm="1">
        <f t="array" ref="C18">_xlfn.XLOOKUP(B18,$E$2:$E$9,$F$2:$F$9,"нет")</f>
        <v>Группа «4»</v>
      </c>
    </row>
    <row r="19" spans="1:3" x14ac:dyDescent="0.2">
      <c r="A19" t="s">
        <v>21</v>
      </c>
      <c r="B19">
        <v>4</v>
      </c>
      <c r="C19" t="str" cm="1">
        <f t="array" ref="C19">_xlfn.XLOOKUP(B19,$E$2:$E$9,$F$2:$F$9,"нет")</f>
        <v>Группа «4»</v>
      </c>
    </row>
    <row r="20" spans="1:3" x14ac:dyDescent="0.2">
      <c r="A20" t="s">
        <v>117</v>
      </c>
      <c r="B20">
        <v>4</v>
      </c>
      <c r="C20" t="str" cm="1">
        <f t="array" ref="C20">_xlfn.XLOOKUP(B20,$E$2:$E$9,$F$2:$F$9,"нет")</f>
        <v>Группа «4»</v>
      </c>
    </row>
    <row r="21" spans="1:3" x14ac:dyDescent="0.2">
      <c r="A21" t="s">
        <v>221</v>
      </c>
      <c r="B21">
        <v>4</v>
      </c>
      <c r="C21" t="str" cm="1">
        <f t="array" ref="C21">_xlfn.XLOOKUP(B21,$E$2:$E$9,$F$2:$F$9,"нет")</f>
        <v>Группа «4»</v>
      </c>
    </row>
    <row r="22" spans="1:3" x14ac:dyDescent="0.2">
      <c r="A22" t="s">
        <v>84</v>
      </c>
      <c r="B22">
        <v>5</v>
      </c>
      <c r="C22" t="str" cm="1">
        <f t="array" ref="C22">_xlfn.XLOOKUP(B22,$E$2:$E$9,$F$2:$F$9,"нет")</f>
        <v>Группа «5»</v>
      </c>
    </row>
    <row r="23" spans="1:3" x14ac:dyDescent="0.2">
      <c r="A23" t="s">
        <v>153</v>
      </c>
      <c r="B23">
        <v>5</v>
      </c>
      <c r="C23" t="str" cm="1">
        <f t="array" ref="C23">_xlfn.XLOOKUP(B23,$E$2:$E$9,$F$2:$F$9,"нет")</f>
        <v>Группа «5»</v>
      </c>
    </row>
    <row r="24" spans="1:3" x14ac:dyDescent="0.2">
      <c r="A24" t="s">
        <v>54</v>
      </c>
      <c r="B24">
        <v>5</v>
      </c>
      <c r="C24" t="str" cm="1">
        <f t="array" ref="C24">_xlfn.XLOOKUP(B24,$E$2:$E$9,$F$2:$F$9,"нет")</f>
        <v>Группа «5»</v>
      </c>
    </row>
    <row r="25" spans="1:3" x14ac:dyDescent="0.2">
      <c r="A25" t="s">
        <v>104</v>
      </c>
      <c r="B25">
        <v>5</v>
      </c>
      <c r="C25" t="str" cm="1">
        <f t="array" ref="C25">_xlfn.XLOOKUP(B25,$E$2:$E$9,$F$2:$F$9,"нет")</f>
        <v>Группа «5»</v>
      </c>
    </row>
    <row r="26" spans="1:3" x14ac:dyDescent="0.2">
      <c r="A26" t="s">
        <v>92</v>
      </c>
      <c r="B26">
        <v>5</v>
      </c>
      <c r="C26" t="str" cm="1">
        <f t="array" ref="C26">_xlfn.XLOOKUP(B26,$E$2:$E$9,$F$2:$F$9,"нет")</f>
        <v>Группа «5»</v>
      </c>
    </row>
    <row r="27" spans="1:3" x14ac:dyDescent="0.2">
      <c r="A27" t="s">
        <v>69</v>
      </c>
      <c r="B27">
        <v>6</v>
      </c>
      <c r="C27" t="str" cm="1">
        <f t="array" ref="C27">_xlfn.XLOOKUP(B27,$E$2:$E$9,$F$2:$F$9,"нет")</f>
        <v>Группа «6»</v>
      </c>
    </row>
    <row r="28" spans="1:3" x14ac:dyDescent="0.2">
      <c r="A28" t="s">
        <v>35</v>
      </c>
      <c r="B28">
        <v>6</v>
      </c>
      <c r="C28" t="str" cm="1">
        <f t="array" ref="C28">_xlfn.XLOOKUP(B28,$E$2:$E$9,$F$2:$F$9,"нет")</f>
        <v>Группа «6»</v>
      </c>
    </row>
    <row r="29" spans="1:3" x14ac:dyDescent="0.2">
      <c r="A29" t="s">
        <v>38</v>
      </c>
      <c r="B29">
        <v>6</v>
      </c>
      <c r="C29" t="str" cm="1">
        <f t="array" ref="C29">_xlfn.XLOOKUP(B29,$E$2:$E$9,$F$2:$F$9,"нет")</f>
        <v>Группа «6»</v>
      </c>
    </row>
    <row r="30" spans="1:3" x14ac:dyDescent="0.2">
      <c r="A30" t="s">
        <v>149</v>
      </c>
      <c r="B30">
        <v>6</v>
      </c>
      <c r="C30" t="str" cm="1">
        <f t="array" ref="C30">_xlfn.XLOOKUP(B30,$E$2:$E$9,$F$2:$F$9,"нет")</f>
        <v>Группа «6»</v>
      </c>
    </row>
    <row r="31" spans="1:3" x14ac:dyDescent="0.2">
      <c r="A31" t="s">
        <v>203</v>
      </c>
      <c r="B31">
        <v>6</v>
      </c>
      <c r="C31" t="str" cm="1">
        <f t="array" ref="C31">_xlfn.XLOOKUP(B31,$E$2:$E$9,$F$2:$F$9,"нет")</f>
        <v>Группа «6»</v>
      </c>
    </row>
    <row r="32" spans="1:3" x14ac:dyDescent="0.2">
      <c r="A32" t="s">
        <v>151</v>
      </c>
      <c r="B32">
        <v>7</v>
      </c>
      <c r="C32" t="str" cm="1">
        <f t="array" ref="C32">_xlfn.XLOOKUP(B32,$E$2:$E$9,$F$2:$F$9,"нет")</f>
        <v>Группа «7»</v>
      </c>
    </row>
    <row r="33" spans="1:3" x14ac:dyDescent="0.2">
      <c r="A33" t="s">
        <v>57</v>
      </c>
      <c r="B33">
        <v>7</v>
      </c>
      <c r="C33" t="str" cm="1">
        <f t="array" ref="C33">_xlfn.XLOOKUP(B33,$E$2:$E$9,$F$2:$F$9,"нет")</f>
        <v>Группа «7»</v>
      </c>
    </row>
    <row r="34" spans="1:3" x14ac:dyDescent="0.2">
      <c r="A34" t="s">
        <v>138</v>
      </c>
      <c r="B34">
        <v>7</v>
      </c>
      <c r="C34" t="str" cm="1">
        <f t="array" ref="C34">_xlfn.XLOOKUP(B34,$E$2:$E$9,$F$2:$F$9,"нет")</f>
        <v>Группа «7»</v>
      </c>
    </row>
    <row r="35" spans="1:3" x14ac:dyDescent="0.2">
      <c r="A35" t="s">
        <v>175</v>
      </c>
      <c r="B35">
        <v>7</v>
      </c>
      <c r="C35" t="str" cm="1">
        <f t="array" ref="C35">_xlfn.XLOOKUP(B35,$E$2:$E$9,$F$2:$F$9,"нет")</f>
        <v>Группа «7»</v>
      </c>
    </row>
    <row r="36" spans="1:3" x14ac:dyDescent="0.2">
      <c r="A36" t="s">
        <v>144</v>
      </c>
      <c r="B36">
        <v>7</v>
      </c>
      <c r="C36" t="str" cm="1">
        <f t="array" ref="C36">_xlfn.XLOOKUP(B36,$E$2:$E$9,$F$2:$F$9,"нет")</f>
        <v>Группа «7»</v>
      </c>
    </row>
    <row r="37" spans="1:3" x14ac:dyDescent="0.2">
      <c r="A37" t="s">
        <v>102</v>
      </c>
      <c r="B37">
        <v>8</v>
      </c>
      <c r="C37" t="str" cm="1">
        <f t="array" ref="C37">_xlfn.XLOOKUP(B37,$E$2:$E$9,$F$2:$F$9,"нет")</f>
        <v>Группа «8»</v>
      </c>
    </row>
    <row r="38" spans="1:3" x14ac:dyDescent="0.2">
      <c r="A38" t="s">
        <v>147</v>
      </c>
      <c r="B38">
        <v>8</v>
      </c>
      <c r="C38" t="str" cm="1">
        <f t="array" ref="C38">_xlfn.XLOOKUP(B38,$E$2:$E$9,$F$2:$F$9,"нет")</f>
        <v>Группа «8»</v>
      </c>
    </row>
    <row r="39" spans="1:3" x14ac:dyDescent="0.2">
      <c r="A39" t="s">
        <v>30</v>
      </c>
      <c r="B39">
        <v>8</v>
      </c>
      <c r="C39" t="str" cm="1">
        <f t="array" ref="C39">_xlfn.XLOOKUP(B39,$E$2:$E$9,$F$2:$F$9,"нет")</f>
        <v>Группа «8»</v>
      </c>
    </row>
    <row r="40" spans="1:3" x14ac:dyDescent="0.2">
      <c r="A40" t="s">
        <v>15</v>
      </c>
      <c r="B40">
        <v>8</v>
      </c>
      <c r="C40" t="str" cm="1">
        <f t="array" ref="C40">_xlfn.XLOOKUP(B40,$E$2:$E$9,$F$2:$F$9,"нет")</f>
        <v>Группа «8»</v>
      </c>
    </row>
    <row r="41" spans="1:3" x14ac:dyDescent="0.2">
      <c r="A41" t="s">
        <v>194</v>
      </c>
      <c r="B41">
        <v>8</v>
      </c>
      <c r="C41" t="str" cm="1">
        <f t="array" ref="C41">_xlfn.XLOOKUP(B41,$E$2:$E$9,$F$2:$F$9,"нет")</f>
        <v>Группа «8»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452</v>
      </c>
      <c r="B1">
        <v>45658</v>
      </c>
    </row>
    <row r="2" spans="1:2" x14ac:dyDescent="0.2">
      <c r="A2" t="s">
        <v>453</v>
      </c>
      <c r="B2" cm="1">
        <f t="array" ref="B2">EOMONTH(B1,11)</f>
        <v>46022</v>
      </c>
    </row>
    <row r="3" spans="1:2" x14ac:dyDescent="0.2">
      <c r="A3" t="s">
        <v>454</v>
      </c>
      <c r="B3" t="s">
        <v>32</v>
      </c>
    </row>
    <row r="4" spans="1:2" x14ac:dyDescent="0.2">
      <c r="A4" t="s">
        <v>455</v>
      </c>
      <c r="B4" t="s">
        <v>17</v>
      </c>
    </row>
    <row r="5" spans="1:2" x14ac:dyDescent="0.2">
      <c r="A5" t="s">
        <v>456</v>
      </c>
      <c r="B5" cm="1">
        <f t="array" ref="B5">DATE(2025,1,1)</f>
        <v>45658</v>
      </c>
    </row>
    <row r="10" spans="1:2" x14ac:dyDescent="0.2">
      <c r="A10" t="s">
        <v>457</v>
      </c>
      <c r="B10" cm="1">
        <f t="array" ref="B10">COUNTIFS(Данные!$B:$B,"Чай*")</f>
        <v>41</v>
      </c>
    </row>
    <row r="11" spans="1:2" x14ac:dyDescent="0.2">
      <c r="B11" cm="1">
        <f t="array" ref="B11">COUNTIFS(Данные!$B:$B,A10,Данные!$E:$E,B3)</f>
        <v>17</v>
      </c>
    </row>
    <row r="12" spans="1:2" x14ac:dyDescent="0.2">
      <c r="B12" cm="1">
        <f t="array" ref="B12">IFERROR(ПоМесяцам!N3/ПоМесяцам!N4,0)</f>
        <v>1.0546061504573692</v>
      </c>
    </row>
    <row r="13" spans="1:2" x14ac:dyDescent="0.2">
      <c r="B13" cm="1">
        <f t="array" ref="B13">ROUND(B12,2)</f>
        <v>1.05</v>
      </c>
    </row>
    <row r="14" spans="1:2" x14ac:dyDescent="0.2">
      <c r="B14" t="str" cm="1">
        <f t="array" ref="B14">IF(B12&gt;1,"больше","не больше")</f>
        <v>больше</v>
      </c>
    </row>
    <row r="15" spans="1:2" x14ac:dyDescent="0.2">
      <c r="B15" t="str" cm="1">
        <f t="array" ref="B15">TEXT(B1,"YYYY-MM-DD")</f>
        <v>2025-01-01</v>
      </c>
    </row>
    <row r="16" spans="1:2" x14ac:dyDescent="0.2">
      <c r="B16" t="str" cm="1">
        <f t="array" ref="B16">TEXT(B13,"0.00")</f>
        <v>1.05</v>
      </c>
    </row>
    <row r="17" spans="2:2" x14ac:dyDescent="0.2">
      <c r="B17" cm="1">
        <f t="array" ref="B17">IFERROR(1/(B3="нет"),-1)</f>
        <v>-1</v>
      </c>
    </row>
    <row r="18" spans="2:2" x14ac:dyDescent="0.2">
      <c r="B18" cm="1">
        <f t="array" ref="B18">SUMIFS(Данные!$D:$D,Данные!$B:$B,"Чаи*")</f>
        <v>3633640.12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458</v>
      </c>
      <c r="B1" cm="1">
        <f t="array" ref="B1">Параметры!B1</f>
        <v>45658</v>
      </c>
      <c r="C1" cm="1">
        <f t="array" ref="C1">EOMONTH(B1,0)+1</f>
        <v>45689</v>
      </c>
      <c r="D1" cm="1">
        <f t="array" ref="D1">EOMONTH(C1,0)+1</f>
        <v>45717</v>
      </c>
      <c r="E1" cm="1">
        <f t="array" ref="E1">EOMONTH(D1,0)+1</f>
        <v>45748</v>
      </c>
      <c r="F1" cm="1">
        <f t="array" ref="F1">EOMONTH(E1,0)+1</f>
        <v>45778</v>
      </c>
      <c r="G1" cm="1">
        <f t="array" ref="G1">EOMONTH(F1,0)+1</f>
        <v>45809</v>
      </c>
      <c r="H1" cm="1">
        <f t="array" ref="H1">EOMONTH(G1,0)+1</f>
        <v>45839</v>
      </c>
      <c r="I1" cm="1">
        <f t="array" ref="I1">EOMONTH(H1,0)+1</f>
        <v>45870</v>
      </c>
      <c r="J1" cm="1">
        <f t="array" ref="J1">EOMONTH(I1,0)+1</f>
        <v>45901</v>
      </c>
      <c r="K1" cm="1">
        <f t="array" ref="K1">EOMONTH(J1,0)+1</f>
        <v>45931</v>
      </c>
      <c r="L1" cm="1">
        <f t="array" ref="L1">EOMONTH(K1,0)+1</f>
        <v>45962</v>
      </c>
      <c r="M1" cm="1">
        <f t="array" ref="M1">EOMONTH(L1,0)+1</f>
        <v>45992</v>
      </c>
    </row>
    <row r="2" spans="1:14" x14ac:dyDescent="0.2">
      <c r="B2" cm="1">
        <f t="array" ref="B2">EOMONTH(B1,0)</f>
        <v>45688</v>
      </c>
      <c r="C2" cm="1">
        <f t="array" ref="C2">EOMONTH(C1,0)</f>
        <v>45716</v>
      </c>
      <c r="D2" cm="1">
        <f t="array" ref="D2">EOMONTH(D1,0)</f>
        <v>45747</v>
      </c>
      <c r="E2" cm="1">
        <f t="array" ref="E2">EOMONTH(E1,0)</f>
        <v>45777</v>
      </c>
      <c r="F2" cm="1">
        <f t="array" ref="F2">EOMONTH(F1,0)</f>
        <v>45808</v>
      </c>
      <c r="G2" cm="1">
        <f t="array" ref="G2">EOMONTH(G1,0)</f>
        <v>45838</v>
      </c>
      <c r="H2" cm="1">
        <f t="array" ref="H2">EOMONTH(H1,0)</f>
        <v>45869</v>
      </c>
      <c r="I2" cm="1">
        <f t="array" ref="I2">EOMONTH(I1,0)</f>
        <v>45900</v>
      </c>
      <c r="J2" cm="1">
        <f t="array" ref="J2">EOMONTH(J1,0)</f>
        <v>45930</v>
      </c>
      <c r="K2" cm="1">
        <f t="array" ref="K2">EOMONTH(K1,0)</f>
        <v>45961</v>
      </c>
      <c r="L2" cm="1">
        <f t="array" ref="L2">EOMONTH(L1,0)</f>
        <v>45991</v>
      </c>
      <c r="M2" cm="1">
        <f t="array" ref="M2">EOMONTH(M1,0)</f>
        <v>46022</v>
      </c>
    </row>
    <row r="3" spans="1:14" x14ac:dyDescent="0.2">
      <c r="A3" t="str" cm="1">
        <f t="array" ref="A3">Статьи!A2</f>
        <v>Чай 1</v>
      </c>
      <c r="B3" cm="1">
        <f t="array" ref="B3">SUMIFS(Данные!$D:$D,Данные!$B:$B,$A3,Данные!$A:$A,"&gt;="&amp;B$1,Данные!$A:$A,"&lt;="&amp;B$2)</f>
        <v>201440.5</v>
      </c>
      <c r="C3" cm="1">
        <f t="array" ref="C3">SUMIFS(Данные!$D:$D,Данные!$B:$B,$A3,Данные!$A:$A,"&gt;="&amp;C$1,Данные!$A:$A,"&lt;="&amp;C$2)</f>
        <v>0</v>
      </c>
      <c r="D3" cm="1">
        <f t="array" ref="D3">SUMIFS(Данные!$D:$D,Данные!$B:$B,$A3,Данные!$A:$A,"&gt;="&amp;D$1,Данные!$A:$A,"&lt;="&amp;D$2)</f>
        <v>674698.26</v>
      </c>
      <c r="E3" cm="1">
        <f t="array" ref="E3">SUMIFS(Данные!$D:$D,Данные!$B:$B,$A3,Данные!$A:$A,"&gt;="&amp;E$1,Данные!$A:$A,"&lt;="&amp;E$2)</f>
        <v>-77680.2</v>
      </c>
      <c r="F3" cm="1">
        <f t="array" ref="F3">SUMIFS(Данные!$D:$D,Данные!$B:$B,$A3,Данные!$A:$A,"&gt;="&amp;F$1,Данные!$A:$A,"&lt;="&amp;F$2)</f>
        <v>0</v>
      </c>
      <c r="G3" cm="1">
        <f t="array" ref="G3">SUMIFS(Данные!$D:$D,Данные!$B:$B,$A3,Данные!$A:$A,"&gt;="&amp;G$1,Данные!$A:$A,"&lt;="&amp;G$2)</f>
        <v>0</v>
      </c>
      <c r="H3" cm="1">
        <f t="array" ref="H3">SUMIFS(Данные!$D:$D,Данные!$B:$B,$A3,Данные!$A:$A,"&gt;="&amp;H$1,Данные!$A:$A,"&lt;="&amp;H$2)</f>
        <v>494752.81</v>
      </c>
      <c r="I3" cm="1">
        <f t="array" ref="I3">SUMIFS(Данные!$D:$D,Данные!$B:$B,$A3,Данные!$A:$A,"&gt;="&amp;I$1,Данные!$A:$A,"&lt;="&amp;I$2)</f>
        <v>0</v>
      </c>
      <c r="J3" cm="1">
        <f t="array" ref="J3">SUMIFS(Данные!$D:$D,Данные!$B:$B,$A3,Данные!$A:$A,"&gt;="&amp;J$1,Данные!$A:$A,"&lt;="&amp;J$2)</f>
        <v>0</v>
      </c>
      <c r="K3" cm="1">
        <f t="array" ref="K3">SUMIFS(Данные!$D:$D,Данные!$B:$B,$A3,Данные!$A:$A,"&gt;="&amp;K$1,Данные!$A:$A,"&lt;="&amp;K$2)</f>
        <v>383996.88</v>
      </c>
      <c r="L3" cm="1">
        <f t="array" ref="L3">SUMIFS(Данные!$D:$D,Данные!$B:$B,$A3,Данные!$A:$A,"&gt;="&amp;L$1,Данные!$A:$A,"&lt;="&amp;L$2)</f>
        <v>0</v>
      </c>
      <c r="M3" cm="1">
        <f t="array" ref="M3">SUMIFS(Данные!$D:$D,Данные!$B:$B,$A3,Данные!$A:$A,"&gt;="&amp;M$1,Данные!$A:$A,"&lt;="&amp;M$2)</f>
        <v>206959.82</v>
      </c>
      <c r="N3" cm="1">
        <f t="array" ref="N3">SUM(B3:M3)</f>
        <v>1884168.07</v>
      </c>
    </row>
    <row r="4" spans="1:14" x14ac:dyDescent="0.2">
      <c r="A4" t="str" cm="1">
        <f t="array" ref="A4">Статьи!A3</f>
        <v>Чаи 1</v>
      </c>
      <c r="B4" cm="1">
        <f t="array" ref="B4">SUMIFS(Данные!$D:$D,Данные!$B:$B,$A4,Данные!$A:$A,"&gt;="&amp;B$1,Данные!$A:$A,"&lt;="&amp;B$2)</f>
        <v>150225.98000000001</v>
      </c>
      <c r="C4" cm="1">
        <f t="array" ref="C4">SUMIFS(Данные!$D:$D,Данные!$B:$B,$A4,Данные!$A:$A,"&gt;="&amp;C$1,Данные!$A:$A,"&lt;="&amp;C$2)</f>
        <v>0</v>
      </c>
      <c r="D4" cm="1">
        <f t="array" ref="D4">SUMIFS(Данные!$D:$D,Данные!$B:$B,$A4,Данные!$A:$A,"&gt;="&amp;D$1,Данные!$A:$A,"&lt;="&amp;D$2)</f>
        <v>0</v>
      </c>
      <c r="E4" cm="1">
        <f t="array" ref="E4">SUMIFS(Данные!$D:$D,Данные!$B:$B,$A4,Данные!$A:$A,"&gt;="&amp;E$1,Данные!$A:$A,"&lt;="&amp;E$2)</f>
        <v>0</v>
      </c>
      <c r="F4" cm="1">
        <f t="array" ref="F4">SUMIFS(Данные!$D:$D,Данные!$B:$B,$A4,Данные!$A:$A,"&gt;="&amp;F$1,Данные!$A:$A,"&lt;="&amp;F$2)</f>
        <v>482987.52000000002</v>
      </c>
      <c r="G4" cm="1">
        <f t="array" ref="G4">SUMIFS(Данные!$D:$D,Данные!$B:$B,$A4,Данные!$A:$A,"&gt;="&amp;G$1,Данные!$A:$A,"&lt;="&amp;G$2)</f>
        <v>-6678.65</v>
      </c>
      <c r="H4" cm="1">
        <f t="array" ref="H4">SUMIFS(Данные!$D:$D,Данные!$B:$B,$A4,Данные!$A:$A,"&gt;="&amp;H$1,Данные!$A:$A,"&lt;="&amp;H$2)</f>
        <v>0</v>
      </c>
      <c r="I4" cm="1">
        <f t="array" ref="I4">SUMIFS(Данные!$D:$D,Данные!$B:$B,$A4,Данные!$A:$A,"&gt;="&amp;I$1,Данные!$A:$A,"&lt;="&amp;I$2)</f>
        <v>200235.22000000003</v>
      </c>
      <c r="J4" cm="1">
        <f t="array" ref="J4">SUMIFS(Данные!$D:$D,Данные!$B:$B,$A4,Данные!$A:$A,"&gt;="&amp;J$1,Данные!$A:$A,"&lt;="&amp;J$2)</f>
        <v>0</v>
      </c>
      <c r="K4" cm="1">
        <f t="array" ref="K4">SUMIFS(Данные!$D:$D,Данные!$B:$B,$A4,Данные!$A:$A,"&gt;="&amp;K$1,Данные!$A:$A,"&lt;="&amp;K$2)</f>
        <v>-21827.39</v>
      </c>
      <c r="L4" cm="1">
        <f t="array" ref="L4">SUMIFS(Данные!$D:$D,Данные!$B:$B,$A4,Данные!$A:$A,"&gt;="&amp;L$1,Данные!$A:$A,"&lt;="&amp;L$2)</f>
        <v>313114.56</v>
      </c>
      <c r="M4" cm="1">
        <f t="array" ref="M4">SUMIFS(Данные!$D:$D,Данные!$B:$B,$A4,Данные!$A:$A,"&gt;="&amp;M$1,Данные!$A:$A,"&lt;="&amp;M$2)</f>
        <v>668551.03</v>
      </c>
      <c r="N4" cm="1">
        <f t="array" ref="N4">SUM(B4:M4)</f>
        <v>1786608.27</v>
      </c>
    </row>
    <row r="5" spans="1:14" x14ac:dyDescent="0.2">
      <c r="A5" t="str" cm="1">
        <f t="array" ref="A5">Статьи!A4</f>
        <v>Ёлка 1</v>
      </c>
      <c r="B5" cm="1">
        <f t="array" ref="B5">SUMIFS(Данные!$D:$D,Данные!$B:$B,$A5,Данные!$A:$A,"&gt;="&amp;B$1,Данные!$A:$A,"&lt;="&amp;B$2)</f>
        <v>284772.28999999998</v>
      </c>
      <c r="C5" cm="1">
        <f t="array" ref="C5">SUMIFS(Данные!$D:$D,Данные!$B:$B,$A5,Данные!$A:$A,"&gt;="&amp;C$1,Данные!$A:$A,"&lt;="&amp;C$2)</f>
        <v>476555.97</v>
      </c>
      <c r="D5" cm="1">
        <f t="array" ref="D5">SUMIFS(Данные!$D:$D,Данные!$B:$B,$A5,Данные!$A:$A,"&gt;="&amp;D$1,Данные!$A:$A,"&lt;="&amp;D$2)</f>
        <v>0</v>
      </c>
      <c r="E5" cm="1">
        <f t="array" ref="E5">SUMIFS(Данные!$D:$D,Данные!$B:$B,$A5,Данные!$A:$A,"&gt;="&amp;E$1,Данные!$A:$A,"&lt;="&amp;E$2)</f>
        <v>239698.95</v>
      </c>
      <c r="F5" cm="1">
        <f t="array" ref="F5">SUMIFS(Данные!$D:$D,Данные!$B:$B,$A5,Данные!$A:$A,"&gt;="&amp;F$1,Данные!$A:$A,"&lt;="&amp;F$2)</f>
        <v>390910.21</v>
      </c>
      <c r="G5" cm="1">
        <f t="array" ref="G5">SUMIFS(Данные!$D:$D,Данные!$B:$B,$A5,Данные!$A:$A,"&gt;="&amp;G$1,Данные!$A:$A,"&lt;="&amp;G$2)</f>
        <v>112561.76999999999</v>
      </c>
      <c r="H5" cm="1">
        <f t="array" ref="H5">SUMIFS(Данные!$D:$D,Данные!$B:$B,$A5,Данные!$A:$A,"&gt;="&amp;H$1,Данные!$A:$A,"&lt;="&amp;H$2)</f>
        <v>0</v>
      </c>
      <c r="I5" cm="1">
        <f t="array" ref="I5">SUMIFS(Данные!$D:$D,Данные!$B:$B,$A5,Данные!$A:$A,"&gt;="&amp;I$1,Данные!$A:$A,"&lt;="&amp;I$2)</f>
        <v>0</v>
      </c>
      <c r="J5" cm="1">
        <f t="array" ref="J5">SUMIFS(Данные!$D:$D,Данные!$B:$B,$A5,Данные!$A:$A,"&gt;="&amp;J$1,Данные!$A:$A,"&lt;="&amp;J$2)</f>
        <v>289995.8</v>
      </c>
      <c r="K5" cm="1">
        <f t="array" ref="K5">SUMIFS(Данные!$D:$D,Данные!$B:$B,$A5,Данные!$A:$A,"&gt;="&amp;K$1,Данные!$A:$A,"&lt;="&amp;K$2)</f>
        <v>0</v>
      </c>
      <c r="L5" cm="1">
        <f t="array" ref="L5">SUMIFS(Данные!$D:$D,Данные!$B:$B,$A5,Данные!$A:$A,"&gt;="&amp;L$1,Данные!$A:$A,"&lt;="&amp;L$2)</f>
        <v>144766.51999999999</v>
      </c>
      <c r="M5" cm="1">
        <f t="array" ref="M5">SUMIFS(Данные!$D:$D,Данные!$B:$B,$A5,Данные!$A:$A,"&gt;="&amp;M$1,Данные!$A:$A,"&lt;="&amp;M$2)</f>
        <v>0</v>
      </c>
      <c r="N5" cm="1">
        <f t="array" ref="N5">SUM(B5:M5)</f>
        <v>1939261.51</v>
      </c>
    </row>
    <row r="6" spans="1:14" x14ac:dyDescent="0.2">
      <c r="A6" t="str" cm="1">
        <f t="array" ref="A6">Статьи!A5</f>
        <v>Елка 1</v>
      </c>
      <c r="B6" cm="1">
        <f t="array" ref="B6">SUMIFS(Данные!$D:$D,Данные!$B:$B,$A6,Данные!$A:$A,"&gt;="&amp;B$1,Данные!$A:$A,"&lt;="&amp;B$2)</f>
        <v>0</v>
      </c>
      <c r="C6" cm="1">
        <f t="array" ref="C6">SUMIFS(Данные!$D:$D,Данные!$B:$B,$A6,Данные!$A:$A,"&gt;="&amp;C$1,Данные!$A:$A,"&lt;="&amp;C$2)</f>
        <v>111694.51000000001</v>
      </c>
      <c r="D6" cm="1">
        <f t="array" ref="D6">SUMIFS(Данные!$D:$D,Данные!$B:$B,$A6,Данные!$A:$A,"&gt;="&amp;D$1,Данные!$A:$A,"&lt;="&amp;D$2)</f>
        <v>561396.13</v>
      </c>
      <c r="E6" cm="1">
        <f t="array" ref="E6">SUMIFS(Данные!$D:$D,Данные!$B:$B,$A6,Данные!$A:$A,"&gt;="&amp;E$1,Данные!$A:$A,"&lt;="&amp;E$2)</f>
        <v>0</v>
      </c>
      <c r="F6" cm="1">
        <f t="array" ref="F6">SUMIFS(Данные!$D:$D,Данные!$B:$B,$A6,Данные!$A:$A,"&gt;="&amp;F$1,Данные!$A:$A,"&lt;="&amp;F$2)</f>
        <v>147133.95000000001</v>
      </c>
      <c r="G6" cm="1">
        <f t="array" ref="G6">SUMIFS(Данные!$D:$D,Данные!$B:$B,$A6,Данные!$A:$A,"&gt;="&amp;G$1,Данные!$A:$A,"&lt;="&amp;G$2)</f>
        <v>492890.75</v>
      </c>
      <c r="H6" cm="1">
        <f t="array" ref="H6">SUMIFS(Данные!$D:$D,Данные!$B:$B,$A6,Данные!$A:$A,"&gt;="&amp;H$1,Данные!$A:$A,"&lt;="&amp;H$2)</f>
        <v>0</v>
      </c>
      <c r="I6" cm="1">
        <f t="array" ref="I6">SUMIFS(Данные!$D:$D,Данные!$B:$B,$A6,Данные!$A:$A,"&gt;="&amp;I$1,Данные!$A:$A,"&lt;="&amp;I$2)</f>
        <v>0</v>
      </c>
      <c r="J6" cm="1">
        <f t="array" ref="J6">SUMIFS(Данные!$D:$D,Данные!$B:$B,$A6,Данные!$A:$A,"&gt;="&amp;J$1,Данные!$A:$A,"&lt;="&amp;J$2)</f>
        <v>278219.62</v>
      </c>
      <c r="K6" cm="1">
        <f t="array" ref="K6">SUMIFS(Данные!$D:$D,Данные!$B:$B,$A6,Данные!$A:$A,"&gt;="&amp;K$1,Данные!$A:$A,"&lt;="&amp;K$2)</f>
        <v>0</v>
      </c>
      <c r="L6" cm="1">
        <f t="array" ref="L6">SUMIFS(Данные!$D:$D,Данные!$B:$B,$A6,Данные!$A:$A,"&gt;="&amp;L$1,Данные!$A:$A,"&lt;="&amp;L$2)</f>
        <v>-65372.3</v>
      </c>
      <c r="M6" cm="1">
        <f t="array" ref="M6">SUMIFS(Данные!$D:$D,Данные!$B:$B,$A6,Данные!$A:$A,"&gt;="&amp;M$1,Данные!$A:$A,"&lt;="&amp;M$2)</f>
        <v>0</v>
      </c>
      <c r="N6" cm="1">
        <f t="array" ref="N6">SUM(B6:M6)</f>
        <v>1525962.66</v>
      </c>
    </row>
    <row r="7" spans="1:14" x14ac:dyDescent="0.2">
      <c r="A7" t="str" cm="1">
        <f t="array" ref="A7">Статьи!A6</f>
        <v>Аренда 1</v>
      </c>
      <c r="B7" cm="1">
        <f t="array" ref="B7">SUMIFS(Данные!$D:$D,Данные!$B:$B,$A7,Данные!$A:$A,"&gt;="&amp;B$1,Данные!$A:$A,"&lt;="&amp;B$2)</f>
        <v>0</v>
      </c>
      <c r="C7" cm="1">
        <f t="array" ref="C7">SUMIFS(Данные!$D:$D,Данные!$B:$B,$A7,Данные!$A:$A,"&gt;="&amp;C$1,Данные!$A:$A,"&lt;="&amp;C$2)</f>
        <v>117411.04999999999</v>
      </c>
      <c r="D7" cm="1">
        <f t="array" ref="D7">SUMIFS(Данные!$D:$D,Данные!$B:$B,$A7,Данные!$A:$A,"&gt;="&amp;D$1,Данные!$A:$A,"&lt;="&amp;D$2)</f>
        <v>200873.7</v>
      </c>
      <c r="E7" cm="1">
        <f t="array" ref="E7">SUMIFS(Данные!$D:$D,Данные!$B:$B,$A7,Данные!$A:$A,"&gt;="&amp;E$1,Данные!$A:$A,"&lt;="&amp;E$2)</f>
        <v>90275.12</v>
      </c>
      <c r="F7" cm="1">
        <f t="array" ref="F7">SUMIFS(Данные!$D:$D,Данные!$B:$B,$A7,Данные!$A:$A,"&gt;="&amp;F$1,Данные!$A:$A,"&lt;="&amp;F$2)</f>
        <v>0</v>
      </c>
      <c r="G7" cm="1">
        <f t="array" ref="G7">SUMIFS(Данные!$D:$D,Данные!$B:$B,$A7,Данные!$A:$A,"&gt;="&amp;G$1,Данные!$A:$A,"&lt;="&amp;G$2)</f>
        <v>0</v>
      </c>
      <c r="H7" cm="1">
        <f t="array" ref="H7">SUMIFS(Данные!$D:$D,Данные!$B:$B,$A7,Данные!$A:$A,"&gt;="&amp;H$1,Данные!$A:$A,"&lt;="&amp;H$2)</f>
        <v>0</v>
      </c>
      <c r="I7" cm="1">
        <f t="array" ref="I7">SUMIFS(Данные!$D:$D,Данные!$B:$B,$A7,Данные!$A:$A,"&gt;="&amp;I$1,Данные!$A:$A,"&lt;="&amp;I$2)</f>
        <v>345306.23</v>
      </c>
      <c r="J7" cm="1">
        <f t="array" ref="J7">SUMIFS(Данные!$D:$D,Данные!$B:$B,$A7,Данные!$A:$A,"&gt;="&amp;J$1,Данные!$A:$A,"&lt;="&amp;J$2)</f>
        <v>81223.360000000001</v>
      </c>
      <c r="K7" cm="1">
        <f t="array" ref="K7">SUMIFS(Данные!$D:$D,Данные!$B:$B,$A7,Данные!$A:$A,"&gt;="&amp;K$1,Данные!$A:$A,"&lt;="&amp;K$2)</f>
        <v>306186.42</v>
      </c>
      <c r="L7" cm="1">
        <f t="array" ref="L7">SUMIFS(Данные!$D:$D,Данные!$B:$B,$A7,Данные!$A:$A,"&gt;="&amp;L$1,Данные!$A:$A,"&lt;="&amp;L$2)</f>
        <v>0</v>
      </c>
      <c r="M7" cm="1">
        <f t="array" ref="M7">SUMIFS(Данные!$D:$D,Данные!$B:$B,$A7,Данные!$A:$A,"&gt;="&amp;M$1,Данные!$A:$A,"&lt;="&amp;M$2)</f>
        <v>354795.36</v>
      </c>
      <c r="N7" cm="1">
        <f t="array" ref="N7">SUM(B7:M7)</f>
        <v>1496071.2399999998</v>
      </c>
    </row>
    <row r="8" spans="1:14" x14ac:dyDescent="0.2">
      <c r="A8" t="s">
        <v>459</v>
      </c>
      <c r="B8" cm="1">
        <f t="array" ref="B8">SUM(B3:B7)</f>
        <v>636438.77</v>
      </c>
      <c r="C8" cm="1">
        <f t="array" ref="C8">SUM(C3:C7)</f>
        <v>705661.53</v>
      </c>
      <c r="D8" cm="1">
        <f t="array" ref="D8">SUM(D3:D7)</f>
        <v>1436968.09</v>
      </c>
      <c r="E8" cm="1">
        <f t="array" ref="E8">SUM(E3:E7)</f>
        <v>252293.87</v>
      </c>
      <c r="F8" cm="1">
        <f t="array" ref="F8">SUM(F3:F7)</f>
        <v>1021031.6799999999</v>
      </c>
      <c r="G8" cm="1">
        <f t="array" ref="G8">SUM(G3:G7)</f>
        <v>598773.87</v>
      </c>
      <c r="H8" cm="1">
        <f t="array" ref="H8">SUM(H3:H7)</f>
        <v>494752.81</v>
      </c>
      <c r="I8" cm="1">
        <f t="array" ref="I8">SUM(I3:I7)</f>
        <v>545541.44999999995</v>
      </c>
      <c r="J8" cm="1">
        <f t="array" ref="J8">SUM(J3:J7)</f>
        <v>649438.77999999991</v>
      </c>
      <c r="K8" cm="1">
        <f t="array" ref="K8">SUM(K3:K7)</f>
        <v>668355.90999999992</v>
      </c>
      <c r="L8" cm="1">
        <f t="array" ref="L8">SUM(L3:L7)</f>
        <v>392508.77999999997</v>
      </c>
      <c r="M8" cm="1">
        <f t="array" ref="M8">SUM(M3:M7)</f>
        <v>1230306.21</v>
      </c>
      <c r="N8" cm="1">
        <f t="array" ref="N8">SUM(N3:N7)</f>
        <v>8632071.75</v>
      </c>
    </row>
    <row r="9" spans="1:14" x14ac:dyDescent="0.2">
      <c r="A9" t="str" cm="1">
        <f t="array" ref="A9">Статьи!A7</f>
        <v>Связь 1</v>
      </c>
      <c r="B9" cm="1">
        <f t="array" ref="B9">SUMIFS(Данные!$D:$D,Данные!$B:$B,$A9,Данные!$A:$A,"&gt;="&amp;B$1,Данные!$A:$A,"&lt;="&amp;B$2)</f>
        <v>97614.39</v>
      </c>
      <c r="C9" cm="1">
        <f t="array" ref="C9">SUMIFS(Данные!$D:$D,Данные!$B:$B,$A9,Данные!$A:$A,"&gt;="&amp;C$1,Данные!$A:$A,"&lt;="&amp;C$2)</f>
        <v>178192.36</v>
      </c>
      <c r="D9" cm="1">
        <f t="array" ref="D9">SUMIFS(Данные!$D:$D,Данные!$B:$B,$A9,Данные!$A:$A,"&gt;="&amp;D$1,Данные!$A:$A,"&lt;="&amp;D$2)</f>
        <v>0</v>
      </c>
      <c r="E9" cm="1">
        <f t="array" ref="E9">SUMIFS(Данные!$D:$D,Данные!$B:$B,$A9,Данные!$A:$A,"&gt;="&amp;E$1,Данные!$A:$A,"&lt;="&amp;E$2)</f>
        <v>0</v>
      </c>
      <c r="F9" cm="1">
        <f t="array" ref="F9">SUMIFS(Данные!$D:$D,Данные!$B:$B,$A9,Данные!$A:$A,"&gt;="&amp;F$1,Данные!$A:$A,"&lt;="&amp;F$2)</f>
        <v>141542.73000000001</v>
      </c>
      <c r="G9" cm="1">
        <f t="array" ref="G9">SUMIFS(Данные!$D:$D,Данные!$B:$B,$A9,Данные!$A:$A,"&gt;="&amp;G$1,Данные!$A:$A,"&lt;="&amp;G$2)</f>
        <v>615190.06999999995</v>
      </c>
      <c r="H9" cm="1">
        <f t="array" ref="H9">SUMIFS(Данные!$D:$D,Данные!$B:$B,$A9,Данные!$A:$A,"&gt;="&amp;H$1,Данные!$A:$A,"&lt;="&amp;H$2)</f>
        <v>173233.80000000002</v>
      </c>
      <c r="I9" cm="1">
        <f t="array" ref="I9">SUMIFS(Данные!$D:$D,Данные!$B:$B,$A9,Данные!$A:$A,"&gt;="&amp;I$1,Данные!$A:$A,"&lt;="&amp;I$2)</f>
        <v>0</v>
      </c>
      <c r="J9" cm="1">
        <f t="array" ref="J9">SUMIFS(Данные!$D:$D,Данные!$B:$B,$A9,Данные!$A:$A,"&gt;="&amp;J$1,Данные!$A:$A,"&lt;="&amp;J$2)</f>
        <v>0</v>
      </c>
      <c r="K9" cm="1">
        <f t="array" ref="K9">SUMIFS(Данные!$D:$D,Данные!$B:$B,$A9,Данные!$A:$A,"&gt;="&amp;K$1,Данные!$A:$A,"&lt;="&amp;K$2)</f>
        <v>0</v>
      </c>
      <c r="L9" cm="1">
        <f t="array" ref="L9">SUMIFS(Данные!$D:$D,Данные!$B:$B,$A9,Данные!$A:$A,"&gt;="&amp;L$1,Данные!$A:$A,"&lt;="&amp;L$2)</f>
        <v>0</v>
      </c>
      <c r="M9" cm="1">
        <f t="array" ref="M9">SUMIFS(Данные!$D:$D,Данные!$B:$B,$A9,Данные!$A:$A,"&gt;="&amp;M$1,Данные!$A:$A,"&lt;="&amp;M$2)</f>
        <v>78369.710000000006</v>
      </c>
      <c r="N9" cm="1">
        <f t="array" ref="N9">SUM(B9:M9)</f>
        <v>1284143.0599999998</v>
      </c>
    </row>
    <row r="10" spans="1:14" x14ac:dyDescent="0.2">
      <c r="A10" t="str" cm="1">
        <f t="array" ref="A10">Статьи!A8</f>
        <v>Налог 1</v>
      </c>
      <c r="B10" cm="1">
        <f t="array" ref="B10">SUMIFS(Данные!$D:$D,Данные!$B:$B,$A10,Данные!$A:$A,"&gt;="&amp;B$1,Данные!$A:$A,"&lt;="&amp;B$2)</f>
        <v>0</v>
      </c>
      <c r="C10" cm="1">
        <f t="array" ref="C10">SUMIFS(Данные!$D:$D,Данные!$B:$B,$A10,Данные!$A:$A,"&gt;="&amp;C$1,Данные!$A:$A,"&lt;="&amp;C$2)</f>
        <v>24606.32</v>
      </c>
      <c r="D10" cm="1">
        <f t="array" ref="D10">SUMIFS(Данные!$D:$D,Данные!$B:$B,$A10,Данные!$A:$A,"&gt;="&amp;D$1,Данные!$A:$A,"&lt;="&amp;D$2)</f>
        <v>-53530.76</v>
      </c>
      <c r="E10" cm="1">
        <f t="array" ref="E10">SUMIFS(Данные!$D:$D,Данные!$B:$B,$A10,Данные!$A:$A,"&gt;="&amp;E$1,Данные!$A:$A,"&lt;="&amp;E$2)</f>
        <v>0</v>
      </c>
      <c r="F10" cm="1">
        <f t="array" ref="F10">SUMIFS(Данные!$D:$D,Данные!$B:$B,$A10,Данные!$A:$A,"&gt;="&amp;F$1,Данные!$A:$A,"&lt;="&amp;F$2)</f>
        <v>46330.65</v>
      </c>
      <c r="G10" cm="1">
        <f t="array" ref="G10">SUMIFS(Данные!$D:$D,Данные!$B:$B,$A10,Данные!$A:$A,"&gt;="&amp;G$1,Данные!$A:$A,"&lt;="&amp;G$2)</f>
        <v>222390.05</v>
      </c>
      <c r="H10" cm="1">
        <f t="array" ref="H10">SUMIFS(Данные!$D:$D,Данные!$B:$B,$A10,Данные!$A:$A,"&gt;="&amp;H$1,Данные!$A:$A,"&lt;="&amp;H$2)</f>
        <v>0</v>
      </c>
      <c r="I10" cm="1">
        <f t="array" ref="I10">SUMIFS(Данные!$D:$D,Данные!$B:$B,$A10,Данные!$A:$A,"&gt;="&amp;I$1,Данные!$A:$A,"&lt;="&amp;I$2)</f>
        <v>387806.59</v>
      </c>
      <c r="J10" cm="1">
        <f t="array" ref="J10">SUMIFS(Данные!$D:$D,Данные!$B:$B,$A10,Данные!$A:$A,"&gt;="&amp;J$1,Данные!$A:$A,"&lt;="&amp;J$2)</f>
        <v>0</v>
      </c>
      <c r="K10" cm="1">
        <f t="array" ref="K10">SUMIFS(Данные!$D:$D,Данные!$B:$B,$A10,Данные!$A:$A,"&gt;="&amp;K$1,Данные!$A:$A,"&lt;="&amp;K$2)</f>
        <v>81797.95</v>
      </c>
      <c r="L10" cm="1">
        <f t="array" ref="L10">SUMIFS(Данные!$D:$D,Данные!$B:$B,$A10,Данные!$A:$A,"&gt;="&amp;L$1,Данные!$A:$A,"&lt;="&amp;L$2)</f>
        <v>0</v>
      </c>
      <c r="M10" cm="1">
        <f t="array" ref="M10">SUMIFS(Данные!$D:$D,Данные!$B:$B,$A10,Данные!$A:$A,"&gt;="&amp;M$1,Данные!$A:$A,"&lt;="&amp;M$2)</f>
        <v>-78781.56</v>
      </c>
      <c r="N10" cm="1">
        <f t="array" ref="N10">SUM(B10:M10)</f>
        <v>630619.24</v>
      </c>
    </row>
    <row r="11" spans="1:14" x14ac:dyDescent="0.2">
      <c r="A11" t="str" cm="1">
        <f t="array" ref="A11">Статьи!A9</f>
        <v>Доход 1</v>
      </c>
      <c r="B11" cm="1">
        <f t="array" ref="B11">SUMIFS(Данные!$D:$D,Данные!$B:$B,$A11,Данные!$A:$A,"&gt;="&amp;B$1,Данные!$A:$A,"&lt;="&amp;B$2)</f>
        <v>10010.799999999999</v>
      </c>
      <c r="C11" cm="1">
        <f t="array" ref="C11">SUMIFS(Данные!$D:$D,Данные!$B:$B,$A11,Данные!$A:$A,"&gt;="&amp;C$1,Данные!$A:$A,"&lt;="&amp;C$2)</f>
        <v>0</v>
      </c>
      <c r="D11" cm="1">
        <f t="array" ref="D11">SUMIFS(Данные!$D:$D,Данные!$B:$B,$A11,Данные!$A:$A,"&gt;="&amp;D$1,Данные!$A:$A,"&lt;="&amp;D$2)</f>
        <v>242812.16</v>
      </c>
      <c r="E11" cm="1">
        <f t="array" ref="E11">SUMIFS(Данные!$D:$D,Данные!$B:$B,$A11,Данные!$A:$A,"&gt;="&amp;E$1,Данные!$A:$A,"&lt;="&amp;E$2)</f>
        <v>0</v>
      </c>
      <c r="F11" cm="1">
        <f t="array" ref="F11">SUMIFS(Данные!$D:$D,Данные!$B:$B,$A11,Данные!$A:$A,"&gt;="&amp;F$1,Данные!$A:$A,"&lt;="&amp;F$2)</f>
        <v>280790.62</v>
      </c>
      <c r="G11" cm="1">
        <f t="array" ref="G11">SUMIFS(Данные!$D:$D,Данные!$B:$B,$A11,Данные!$A:$A,"&gt;="&amp;G$1,Данные!$A:$A,"&lt;="&amp;G$2)</f>
        <v>0</v>
      </c>
      <c r="H11" cm="1">
        <f t="array" ref="H11">SUMIFS(Данные!$D:$D,Данные!$B:$B,$A11,Данные!$A:$A,"&gt;="&amp;H$1,Данные!$A:$A,"&lt;="&amp;H$2)</f>
        <v>217989.18</v>
      </c>
      <c r="I11" cm="1">
        <f t="array" ref="I11">SUMIFS(Данные!$D:$D,Данные!$B:$B,$A11,Данные!$A:$A,"&gt;="&amp;I$1,Данные!$A:$A,"&lt;="&amp;I$2)</f>
        <v>386326.05</v>
      </c>
      <c r="J11" cm="1">
        <f t="array" ref="J11">SUMIFS(Данные!$D:$D,Данные!$B:$B,$A11,Данные!$A:$A,"&gt;="&amp;J$1,Данные!$A:$A,"&lt;="&amp;J$2)</f>
        <v>461610.04000000004</v>
      </c>
      <c r="K11" cm="1">
        <f t="array" ref="K11">SUMIFS(Данные!$D:$D,Данные!$B:$B,$A11,Данные!$A:$A,"&gt;="&amp;K$1,Данные!$A:$A,"&lt;="&amp;K$2)</f>
        <v>0</v>
      </c>
      <c r="L11" cm="1">
        <f t="array" ref="L11">SUMIFS(Данные!$D:$D,Данные!$B:$B,$A11,Данные!$A:$A,"&gt;="&amp;L$1,Данные!$A:$A,"&lt;="&amp;L$2)</f>
        <v>147137.49</v>
      </c>
      <c r="M11" cm="1">
        <f t="array" ref="M11">SUMIFS(Данные!$D:$D,Данные!$B:$B,$A11,Данные!$A:$A,"&gt;="&amp;M$1,Данные!$A:$A,"&lt;="&amp;M$2)</f>
        <v>0</v>
      </c>
      <c r="N11" cm="1">
        <f t="array" ref="N11">SUM(B11:M11)</f>
        <v>1746676.34</v>
      </c>
    </row>
    <row r="12" spans="1:14" x14ac:dyDescent="0.2">
      <c r="A12" t="str" cm="1">
        <f t="array" ref="A12">Статьи!A10</f>
        <v>Сырьё 1</v>
      </c>
      <c r="B12" cm="1">
        <f t="array" ref="B12">SUMIFS(Данные!$D:$D,Данные!$B:$B,$A12,Данные!$A:$A,"&gt;="&amp;B$1,Данные!$A:$A,"&lt;="&amp;B$2)</f>
        <v>356320.81999999995</v>
      </c>
      <c r="C12" cm="1">
        <f t="array" ref="C12">SUMIFS(Данные!$D:$D,Данные!$B:$B,$A12,Данные!$A:$A,"&gt;="&amp;C$1,Данные!$A:$A,"&lt;="&amp;C$2)</f>
        <v>0</v>
      </c>
      <c r="D12" cm="1">
        <f t="array" ref="D12">SUMIFS(Данные!$D:$D,Данные!$B:$B,$A12,Данные!$A:$A,"&gt;="&amp;D$1,Данные!$A:$A,"&lt;="&amp;D$2)</f>
        <v>0</v>
      </c>
      <c r="E12" cm="1">
        <f t="array" ref="E12">SUMIFS(Данные!$D:$D,Данные!$B:$B,$A12,Данные!$A:$A,"&gt;="&amp;E$1,Данные!$A:$A,"&lt;="&amp;E$2)</f>
        <v>339107.89</v>
      </c>
      <c r="F12" cm="1">
        <f t="array" ref="F12">SUMIFS(Данные!$D:$D,Данные!$B:$B,$A12,Данные!$A:$A,"&gt;="&amp;F$1,Данные!$A:$A,"&lt;="&amp;F$2)</f>
        <v>0</v>
      </c>
      <c r="G12" cm="1">
        <f t="array" ref="G12">SUMIFS(Данные!$D:$D,Данные!$B:$B,$A12,Данные!$A:$A,"&gt;="&amp;G$1,Данные!$A:$A,"&lt;="&amp;G$2)</f>
        <v>-182223.25</v>
      </c>
      <c r="H12" cm="1">
        <f t="array" ref="H12">SUMIFS(Данные!$D:$D,Данные!$B:$B,$A12,Данные!$A:$A,"&gt;="&amp;H$1,Данные!$A:$A,"&lt;="&amp;H$2)</f>
        <v>0</v>
      </c>
      <c r="I12" cm="1">
        <f t="array" ref="I12">SUMIFS(Данные!$D:$D,Данные!$B:$B,$A12,Данные!$A:$A,"&gt;="&amp;I$1,Данные!$A:$A,"&lt;="&amp;I$2)</f>
        <v>-42568.94</v>
      </c>
      <c r="J12" cm="1">
        <f t="array" ref="J12">SUMIFS(Данные!$D:$D,Данные!$B:$B,$A12,Данные!$A:$A,"&gt;="&amp;J$1,Данные!$A:$A,"&lt;="&amp;J$2)</f>
        <v>64436.78</v>
      </c>
      <c r="K12" cm="1">
        <f t="array" ref="K12">SUMIFS(Данные!$D:$D,Данные!$B:$B,$A12,Данные!$A:$A,"&gt;="&amp;K$1,Данные!$A:$A,"&lt;="&amp;K$2)</f>
        <v>474766.37</v>
      </c>
      <c r="L12" cm="1">
        <f t="array" ref="L12">SUMIFS(Данные!$D:$D,Данные!$B:$B,$A12,Данные!$A:$A,"&gt;="&amp;L$1,Данные!$A:$A,"&lt;="&amp;L$2)</f>
        <v>124279.01</v>
      </c>
      <c r="M12" cm="1">
        <f t="array" ref="M12">SUMIFS(Данные!$D:$D,Данные!$B:$B,$A12,Данные!$A:$A,"&gt;="&amp;M$1,Данные!$A:$A,"&lt;="&amp;M$2)</f>
        <v>326886.84999999998</v>
      </c>
      <c r="N12" cm="1">
        <f t="array" ref="N12">SUM(B12:M12)</f>
        <v>1461005.5299999998</v>
      </c>
    </row>
    <row r="13" spans="1:14" x14ac:dyDescent="0.2">
      <c r="A13" t="str" cm="1">
        <f t="array" ref="A13">Статьи!A11</f>
        <v>Сырье 1</v>
      </c>
      <c r="B13" cm="1">
        <f t="array" ref="B13">SUMIFS(Данные!$D:$D,Данные!$B:$B,$A13,Данные!$A:$A,"&gt;="&amp;B$1,Данные!$A:$A,"&lt;="&amp;B$2)</f>
        <v>0</v>
      </c>
      <c r="C13" cm="1">
        <f t="array" ref="C13">SUMIFS(Данные!$D:$D,Данные!$B:$B,$A13,Данные!$A:$A,"&gt;="&amp;C$1,Данные!$A:$A,"&lt;="&amp;C$2)</f>
        <v>0</v>
      </c>
      <c r="D13" cm="1">
        <f t="array" ref="D13">SUMIFS(Данные!$D:$D,Данные!$B:$B,$A13,Данные!$A:$A,"&gt;="&amp;D$1,Данные!$A:$A,"&lt;="&amp;D$2)</f>
        <v>-7891.15</v>
      </c>
      <c r="E13" cm="1">
        <f t="array" ref="E13">SUMIFS(Данные!$D:$D,Данные!$B:$B,$A13,Данные!$A:$A,"&gt;="&amp;E$1,Данные!$A:$A,"&lt;="&amp;E$2)</f>
        <v>0</v>
      </c>
      <c r="F13" cm="1">
        <f t="array" ref="F13">SUMIFS(Данные!$D:$D,Данные!$B:$B,$A13,Данные!$A:$A,"&gt;="&amp;F$1,Данные!$A:$A,"&lt;="&amp;F$2)</f>
        <v>0</v>
      </c>
      <c r="G13" cm="1">
        <f t="array" ref="G13">SUMIFS(Данные!$D:$D,Данные!$B:$B,$A13,Данные!$A:$A,"&gt;="&amp;G$1,Данные!$A:$A,"&lt;="&amp;G$2)</f>
        <v>0</v>
      </c>
      <c r="H13" cm="1">
        <f t="array" ref="H13">SUMIFS(Данные!$D:$D,Данные!$B:$B,$A13,Данные!$A:$A,"&gt;="&amp;H$1,Данные!$A:$A,"&lt;="&amp;H$2)</f>
        <v>44692.14</v>
      </c>
      <c r="I13" cm="1">
        <f t="array" ref="I13">SUMIFS(Данные!$D:$D,Данные!$B:$B,$A13,Данные!$A:$A,"&gt;="&amp;I$1,Данные!$A:$A,"&lt;="&amp;I$2)</f>
        <v>197703.92</v>
      </c>
      <c r="J13" cm="1">
        <f t="array" ref="J13">SUMIFS(Данные!$D:$D,Данные!$B:$B,$A13,Данные!$A:$A,"&gt;="&amp;J$1,Данные!$A:$A,"&lt;="&amp;J$2)</f>
        <v>14801.85</v>
      </c>
      <c r="K13" cm="1">
        <f t="array" ref="K13">SUMIFS(Данные!$D:$D,Данные!$B:$B,$A13,Данные!$A:$A,"&gt;="&amp;K$1,Данные!$A:$A,"&lt;="&amp;K$2)</f>
        <v>266230.23</v>
      </c>
      <c r="L13" cm="1">
        <f t="array" ref="L13">SUMIFS(Данные!$D:$D,Данные!$B:$B,$A13,Данные!$A:$A,"&gt;="&amp;L$1,Данные!$A:$A,"&lt;="&amp;L$2)</f>
        <v>-11327.51</v>
      </c>
      <c r="M13" cm="1">
        <f t="array" ref="M13">SUMIFS(Данные!$D:$D,Данные!$B:$B,$A13,Данные!$A:$A,"&gt;="&amp;M$1,Данные!$A:$A,"&lt;="&amp;M$2)</f>
        <v>-31559.73</v>
      </c>
      <c r="N13" cm="1">
        <f t="array" ref="N13">SUM(B13:M13)</f>
        <v>472649.75</v>
      </c>
    </row>
    <row r="14" spans="1:14" x14ac:dyDescent="0.2">
      <c r="A14" t="s">
        <v>460</v>
      </c>
      <c r="B14" cm="1">
        <f t="array" ref="B14">SUM(B9:B13)</f>
        <v>463946.00999999995</v>
      </c>
      <c r="C14" cm="1">
        <f t="array" ref="C14">SUM(C9:C13)</f>
        <v>202798.68</v>
      </c>
      <c r="D14" cm="1">
        <f t="array" ref="D14">SUM(D9:D13)</f>
        <v>181390.25</v>
      </c>
      <c r="E14" cm="1">
        <f t="array" ref="E14">SUM(E9:E13)</f>
        <v>339107.89</v>
      </c>
      <c r="F14" cm="1">
        <f t="array" ref="F14">SUM(F9:F13)</f>
        <v>468664</v>
      </c>
      <c r="G14" cm="1">
        <f t="array" ref="G14">SUM(G9:G13)</f>
        <v>655356.86999999988</v>
      </c>
      <c r="H14" cm="1">
        <f t="array" ref="H14">SUM(H9:H13)</f>
        <v>435915.12</v>
      </c>
      <c r="I14" cm="1">
        <f t="array" ref="I14">SUM(I9:I13)</f>
        <v>929267.62</v>
      </c>
      <c r="J14" cm="1">
        <f t="array" ref="J14">SUM(J9:J13)</f>
        <v>540848.67000000004</v>
      </c>
      <c r="K14" cm="1">
        <f t="array" ref="K14">SUM(K9:K13)</f>
        <v>822794.54999999993</v>
      </c>
      <c r="L14" cm="1">
        <f t="array" ref="L14">SUM(L9:L13)</f>
        <v>260088.99</v>
      </c>
      <c r="M14" cm="1">
        <f t="array" ref="M14">SUM(M9:M13)</f>
        <v>294915.27</v>
      </c>
      <c r="N14" cm="1">
        <f t="array" ref="N14">SUM(N9:N13)</f>
        <v>5595093.9199999999</v>
      </c>
    </row>
    <row r="15" spans="1:14" x14ac:dyDescent="0.2">
      <c r="A15" t="str" cm="1">
        <f t="array" ref="A15">Статьи!A12</f>
        <v>Чай 2</v>
      </c>
      <c r="B15" cm="1">
        <f t="array" ref="B15">SUMIFS(Данные!$D:$D,Данные!$B:$B,$A15,Данные!$A:$A,"&gt;="&amp;B$1,Данные!$A:$A,"&lt;="&amp;B$2)</f>
        <v>0</v>
      </c>
      <c r="C15" cm="1">
        <f t="array" ref="C15">SUMIFS(Данные!$D:$D,Данные!$B:$B,$A15,Данные!$A:$A,"&gt;="&amp;C$1,Данные!$A:$A,"&lt;="&amp;C$2)</f>
        <v>0</v>
      </c>
      <c r="D15" cm="1">
        <f t="array" ref="D15">SUMIFS(Данные!$D:$D,Данные!$B:$B,$A15,Данные!$A:$A,"&gt;="&amp;D$1,Данные!$A:$A,"&lt;="&amp;D$2)</f>
        <v>261512.61</v>
      </c>
      <c r="E15" cm="1">
        <f t="array" ref="E15">SUMIFS(Данные!$D:$D,Данные!$B:$B,$A15,Данные!$A:$A,"&gt;="&amp;E$1,Данные!$A:$A,"&lt;="&amp;E$2)</f>
        <v>-82587.59</v>
      </c>
      <c r="F15" cm="1">
        <f t="array" ref="F15">SUMIFS(Данные!$D:$D,Данные!$B:$B,$A15,Данные!$A:$A,"&gt;="&amp;F$1,Данные!$A:$A,"&lt;="&amp;F$2)</f>
        <v>0</v>
      </c>
      <c r="G15" cm="1">
        <f t="array" ref="G15">SUMIFS(Данные!$D:$D,Данные!$B:$B,$A15,Данные!$A:$A,"&gt;="&amp;G$1,Данные!$A:$A,"&lt;="&amp;G$2)</f>
        <v>0</v>
      </c>
      <c r="H15" cm="1">
        <f t="array" ref="H15">SUMIFS(Данные!$D:$D,Данные!$B:$B,$A15,Данные!$A:$A,"&gt;="&amp;H$1,Данные!$A:$A,"&lt;="&amp;H$2)</f>
        <v>222008.01</v>
      </c>
      <c r="I15" cm="1">
        <f t="array" ref="I15">SUMIFS(Данные!$D:$D,Данные!$B:$B,$A15,Данные!$A:$A,"&gt;="&amp;I$1,Данные!$A:$A,"&lt;="&amp;I$2)</f>
        <v>452052.26</v>
      </c>
      <c r="J15" cm="1">
        <f t="array" ref="J15">SUMIFS(Данные!$D:$D,Данные!$B:$B,$A15,Данные!$A:$A,"&gt;="&amp;J$1,Данные!$A:$A,"&lt;="&amp;J$2)</f>
        <v>100501.07</v>
      </c>
      <c r="K15" cm="1">
        <f t="array" ref="K15">SUMIFS(Данные!$D:$D,Данные!$B:$B,$A15,Данные!$A:$A,"&gt;="&amp;K$1,Данные!$A:$A,"&lt;="&amp;K$2)</f>
        <v>191374.1</v>
      </c>
      <c r="L15" cm="1">
        <f t="array" ref="L15">SUMIFS(Данные!$D:$D,Данные!$B:$B,$A15,Данные!$A:$A,"&gt;="&amp;L$1,Данные!$A:$A,"&lt;="&amp;L$2)</f>
        <v>269758.03000000003</v>
      </c>
      <c r="M15" cm="1">
        <f t="array" ref="M15">SUMIFS(Данные!$D:$D,Данные!$B:$B,$A15,Данные!$A:$A,"&gt;="&amp;M$1,Данные!$A:$A,"&lt;="&amp;M$2)</f>
        <v>635438.37</v>
      </c>
      <c r="N15" cm="1">
        <f t="array" ref="N15">SUM(B15:M15)</f>
        <v>2050056.8600000003</v>
      </c>
    </row>
    <row r="16" spans="1:14" x14ac:dyDescent="0.2">
      <c r="A16" t="str" cm="1">
        <f t="array" ref="A16">Статьи!A13</f>
        <v>Чаи 2</v>
      </c>
      <c r="B16" cm="1">
        <f t="array" ref="B16">SUMIFS(Данные!$D:$D,Данные!$B:$B,$A16,Данные!$A:$A,"&gt;="&amp;B$1,Данные!$A:$A,"&lt;="&amp;B$2)</f>
        <v>0</v>
      </c>
      <c r="C16" cm="1">
        <f t="array" ref="C16">SUMIFS(Данные!$D:$D,Данные!$B:$B,$A16,Данные!$A:$A,"&gt;="&amp;C$1,Данные!$A:$A,"&lt;="&amp;C$2)</f>
        <v>0</v>
      </c>
      <c r="D16" cm="1">
        <f t="array" ref="D16">SUMIFS(Данные!$D:$D,Данные!$B:$B,$A16,Данные!$A:$A,"&gt;="&amp;D$1,Данные!$A:$A,"&lt;="&amp;D$2)</f>
        <v>0</v>
      </c>
      <c r="E16" cm="1">
        <f t="array" ref="E16">SUMIFS(Данные!$D:$D,Данные!$B:$B,$A16,Данные!$A:$A,"&gt;="&amp;E$1,Данные!$A:$A,"&lt;="&amp;E$2)</f>
        <v>0</v>
      </c>
      <c r="F16" cm="1">
        <f t="array" ref="F16">SUMIFS(Данные!$D:$D,Данные!$B:$B,$A16,Данные!$A:$A,"&gt;="&amp;F$1,Данные!$A:$A,"&lt;="&amp;F$2)</f>
        <v>0</v>
      </c>
      <c r="G16" cm="1">
        <f t="array" ref="G16">SUMIFS(Данные!$D:$D,Данные!$B:$B,$A16,Данные!$A:$A,"&gt;="&amp;G$1,Данные!$A:$A,"&lt;="&amp;G$2)</f>
        <v>0</v>
      </c>
      <c r="H16" cm="1">
        <f t="array" ref="H16">SUMIFS(Данные!$D:$D,Данные!$B:$B,$A16,Данные!$A:$A,"&gt;="&amp;H$1,Данные!$A:$A,"&lt;="&amp;H$2)</f>
        <v>0</v>
      </c>
      <c r="I16" cm="1">
        <f t="array" ref="I16">SUMIFS(Данные!$D:$D,Данные!$B:$B,$A16,Данные!$A:$A,"&gt;="&amp;I$1,Данные!$A:$A,"&lt;="&amp;I$2)</f>
        <v>0</v>
      </c>
      <c r="J16" cm="1">
        <f t="array" ref="J16">SUMIFS(Данные!$D:$D,Данные!$B:$B,$A16,Данные!$A:$A,"&gt;="&amp;J$1,Данные!$A:$A,"&lt;="&amp;J$2)</f>
        <v>0</v>
      </c>
      <c r="K16" cm="1">
        <f t="array" ref="K16">SUMIFS(Данные!$D:$D,Данные!$B:$B,$A16,Данные!$A:$A,"&gt;="&amp;K$1,Данные!$A:$A,"&lt;="&amp;K$2)</f>
        <v>0</v>
      </c>
      <c r="L16" cm="1">
        <f t="array" ref="L16">SUMIFS(Данные!$D:$D,Данные!$B:$B,$A16,Данные!$A:$A,"&gt;="&amp;L$1,Данные!$A:$A,"&lt;="&amp;L$2)</f>
        <v>261256.09</v>
      </c>
      <c r="M16" cm="1">
        <f t="array" ref="M16">SUMIFS(Данные!$D:$D,Данные!$B:$B,$A16,Данные!$A:$A,"&gt;="&amp;M$1,Данные!$A:$A,"&lt;="&amp;M$2)</f>
        <v>73165.31</v>
      </c>
      <c r="N16" cm="1">
        <f t="array" ref="N16">SUM(B16:M16)</f>
        <v>334421.40000000002</v>
      </c>
    </row>
    <row r="17" spans="1:14" x14ac:dyDescent="0.2">
      <c r="A17" t="str" cm="1">
        <f t="array" ref="A17">Статьи!A14</f>
        <v>Ёлка 2</v>
      </c>
      <c r="B17" cm="1">
        <f t="array" ref="B17">SUMIFS(Данные!$D:$D,Данные!$B:$B,$A17,Данные!$A:$A,"&gt;="&amp;B$1,Данные!$A:$A,"&lt;="&amp;B$2)</f>
        <v>225830.81</v>
      </c>
      <c r="C17" cm="1">
        <f t="array" ref="C17">SUMIFS(Данные!$D:$D,Данные!$B:$B,$A17,Данные!$A:$A,"&gt;="&amp;C$1,Данные!$A:$A,"&lt;="&amp;C$2)</f>
        <v>-52645.57</v>
      </c>
      <c r="D17" cm="1">
        <f t="array" ref="D17">SUMIFS(Данные!$D:$D,Данные!$B:$B,$A17,Данные!$A:$A,"&gt;="&amp;D$1,Данные!$A:$A,"&lt;="&amp;D$2)</f>
        <v>273906.27</v>
      </c>
      <c r="E17" cm="1">
        <f t="array" ref="E17">SUMIFS(Данные!$D:$D,Данные!$B:$B,$A17,Данные!$A:$A,"&gt;="&amp;E$1,Данные!$A:$A,"&lt;="&amp;E$2)</f>
        <v>0</v>
      </c>
      <c r="F17" cm="1">
        <f t="array" ref="F17">SUMIFS(Данные!$D:$D,Данные!$B:$B,$A17,Данные!$A:$A,"&gt;="&amp;F$1,Данные!$A:$A,"&lt;="&amp;F$2)</f>
        <v>0</v>
      </c>
      <c r="G17" cm="1">
        <f t="array" ref="G17">SUMIFS(Данные!$D:$D,Данные!$B:$B,$A17,Данные!$A:$A,"&gt;="&amp;G$1,Данные!$A:$A,"&lt;="&amp;G$2)</f>
        <v>17122.95</v>
      </c>
      <c r="H17" cm="1">
        <f t="array" ref="H17">SUMIFS(Данные!$D:$D,Данные!$B:$B,$A17,Данные!$A:$A,"&gt;="&amp;H$1,Данные!$A:$A,"&lt;="&amp;H$2)</f>
        <v>0</v>
      </c>
      <c r="I17" cm="1">
        <f t="array" ref="I17">SUMIFS(Данные!$D:$D,Данные!$B:$B,$A17,Данные!$A:$A,"&gt;="&amp;I$1,Данные!$A:$A,"&lt;="&amp;I$2)</f>
        <v>-28948.52</v>
      </c>
      <c r="J17" cm="1">
        <f t="array" ref="J17">SUMIFS(Данные!$D:$D,Данные!$B:$B,$A17,Данные!$A:$A,"&gt;="&amp;J$1,Данные!$A:$A,"&lt;="&amp;J$2)</f>
        <v>337908.45999999996</v>
      </c>
      <c r="K17" cm="1">
        <f t="array" ref="K17">SUMIFS(Данные!$D:$D,Данные!$B:$B,$A17,Данные!$A:$A,"&gt;="&amp;K$1,Данные!$A:$A,"&lt;="&amp;K$2)</f>
        <v>0</v>
      </c>
      <c r="L17" cm="1">
        <f t="array" ref="L17">SUMIFS(Данные!$D:$D,Данные!$B:$B,$A17,Данные!$A:$A,"&gt;="&amp;L$1,Данные!$A:$A,"&lt;="&amp;L$2)</f>
        <v>0</v>
      </c>
      <c r="M17" cm="1">
        <f t="array" ref="M17">SUMIFS(Данные!$D:$D,Данные!$B:$B,$A17,Данные!$A:$A,"&gt;="&amp;M$1,Данные!$A:$A,"&lt;="&amp;M$2)</f>
        <v>0</v>
      </c>
      <c r="N17" cm="1">
        <f t="array" ref="N17">SUM(B17:M17)</f>
        <v>773174.39999999991</v>
      </c>
    </row>
    <row r="18" spans="1:14" x14ac:dyDescent="0.2">
      <c r="A18" t="str" cm="1">
        <f t="array" ref="A18">Статьи!A15</f>
        <v>Елка 2</v>
      </c>
      <c r="B18" cm="1">
        <f t="array" ref="B18">SUMIFS(Данные!$D:$D,Данные!$B:$B,$A18,Данные!$A:$A,"&gt;="&amp;B$1,Данные!$A:$A,"&lt;="&amp;B$2)</f>
        <v>0</v>
      </c>
      <c r="C18" cm="1">
        <f t="array" ref="C18">SUMIFS(Данные!$D:$D,Данные!$B:$B,$A18,Данные!$A:$A,"&gt;="&amp;C$1,Данные!$A:$A,"&lt;="&amp;C$2)</f>
        <v>0</v>
      </c>
      <c r="D18" cm="1">
        <f t="array" ref="D18">SUMIFS(Данные!$D:$D,Данные!$B:$B,$A18,Данные!$A:$A,"&gt;="&amp;D$1,Данные!$A:$A,"&lt;="&amp;D$2)</f>
        <v>-63824.160000000003</v>
      </c>
      <c r="E18" cm="1">
        <f t="array" ref="E18">SUMIFS(Данные!$D:$D,Данные!$B:$B,$A18,Данные!$A:$A,"&gt;="&amp;E$1,Данные!$A:$A,"&lt;="&amp;E$2)</f>
        <v>0</v>
      </c>
      <c r="F18" cm="1">
        <f t="array" ref="F18">SUMIFS(Данные!$D:$D,Данные!$B:$B,$A18,Данные!$A:$A,"&gt;="&amp;F$1,Данные!$A:$A,"&lt;="&amp;F$2)</f>
        <v>0</v>
      </c>
      <c r="G18" cm="1">
        <f t="array" ref="G18">SUMIFS(Данные!$D:$D,Данные!$B:$B,$A18,Данные!$A:$A,"&gt;="&amp;G$1,Данные!$A:$A,"&lt;="&amp;G$2)</f>
        <v>358273.26</v>
      </c>
      <c r="H18" cm="1">
        <f t="array" ref="H18">SUMIFS(Данные!$D:$D,Данные!$B:$B,$A18,Данные!$A:$A,"&gt;="&amp;H$1,Данные!$A:$A,"&lt;="&amp;H$2)</f>
        <v>-15627.84</v>
      </c>
      <c r="I18" cm="1">
        <f t="array" ref="I18">SUMIFS(Данные!$D:$D,Данные!$B:$B,$A18,Данные!$A:$A,"&gt;="&amp;I$1,Данные!$A:$A,"&lt;="&amp;I$2)</f>
        <v>365776.07</v>
      </c>
      <c r="J18" cm="1">
        <f t="array" ref="J18">SUMIFS(Данные!$D:$D,Данные!$B:$B,$A18,Данные!$A:$A,"&gt;="&amp;J$1,Данные!$A:$A,"&lt;="&amp;J$2)</f>
        <v>0</v>
      </c>
      <c r="K18" cm="1">
        <f t="array" ref="K18">SUMIFS(Данные!$D:$D,Данные!$B:$B,$A18,Данные!$A:$A,"&gt;="&amp;K$1,Данные!$A:$A,"&lt;="&amp;K$2)</f>
        <v>0</v>
      </c>
      <c r="L18" cm="1">
        <f t="array" ref="L18">SUMIFS(Данные!$D:$D,Данные!$B:$B,$A18,Данные!$A:$A,"&gt;="&amp;L$1,Данные!$A:$A,"&lt;="&amp;L$2)</f>
        <v>29941.369999999995</v>
      </c>
      <c r="M18" cm="1">
        <f t="array" ref="M18">SUMIFS(Данные!$D:$D,Данные!$B:$B,$A18,Данные!$A:$A,"&gt;="&amp;M$1,Данные!$A:$A,"&lt;="&amp;M$2)</f>
        <v>0</v>
      </c>
      <c r="N18" cm="1">
        <f t="array" ref="N18">SUM(B18:M18)</f>
        <v>674538.7</v>
      </c>
    </row>
    <row r="19" spans="1:14" x14ac:dyDescent="0.2">
      <c r="A19" t="str" cm="1">
        <f t="array" ref="A19">Статьи!A16</f>
        <v>Аренда 2</v>
      </c>
      <c r="B19" cm="1">
        <f t="array" ref="B19">SUMIFS(Данные!$D:$D,Данные!$B:$B,$A19,Данные!$A:$A,"&gt;="&amp;B$1,Данные!$A:$A,"&lt;="&amp;B$2)</f>
        <v>193100.63</v>
      </c>
      <c r="C19" cm="1">
        <f t="array" ref="C19">SUMIFS(Данные!$D:$D,Данные!$B:$B,$A19,Данные!$A:$A,"&gt;="&amp;C$1,Данные!$A:$A,"&lt;="&amp;C$2)</f>
        <v>0</v>
      </c>
      <c r="D19" cm="1">
        <f t="array" ref="D19">SUMIFS(Данные!$D:$D,Данные!$B:$B,$A19,Данные!$A:$A,"&gt;="&amp;D$1,Данные!$A:$A,"&lt;="&amp;D$2)</f>
        <v>324159.59999999998</v>
      </c>
      <c r="E19" cm="1">
        <f t="array" ref="E19">SUMIFS(Данные!$D:$D,Данные!$B:$B,$A19,Данные!$A:$A,"&gt;="&amp;E$1,Данные!$A:$A,"&lt;="&amp;E$2)</f>
        <v>0</v>
      </c>
      <c r="F19" cm="1">
        <f t="array" ref="F19">SUMIFS(Данные!$D:$D,Данные!$B:$B,$A19,Данные!$A:$A,"&gt;="&amp;F$1,Данные!$A:$A,"&lt;="&amp;F$2)</f>
        <v>672233.29999999993</v>
      </c>
      <c r="G19" cm="1">
        <f t="array" ref="G19">SUMIFS(Данные!$D:$D,Данные!$B:$B,$A19,Данные!$A:$A,"&gt;="&amp;G$1,Данные!$A:$A,"&lt;="&amp;G$2)</f>
        <v>94850.14</v>
      </c>
      <c r="H19" cm="1">
        <f t="array" ref="H19">SUMIFS(Данные!$D:$D,Данные!$B:$B,$A19,Данные!$A:$A,"&gt;="&amp;H$1,Данные!$A:$A,"&lt;="&amp;H$2)</f>
        <v>0</v>
      </c>
      <c r="I19" cm="1">
        <f t="array" ref="I19">SUMIFS(Данные!$D:$D,Данные!$B:$B,$A19,Данные!$A:$A,"&gt;="&amp;I$1,Данные!$A:$A,"&lt;="&amp;I$2)</f>
        <v>428309.52</v>
      </c>
      <c r="J19" cm="1">
        <f t="array" ref="J19">SUMIFS(Данные!$D:$D,Данные!$B:$B,$A19,Данные!$A:$A,"&gt;="&amp;J$1,Данные!$A:$A,"&lt;="&amp;J$2)</f>
        <v>0</v>
      </c>
      <c r="K19" cm="1">
        <f t="array" ref="K19">SUMIFS(Данные!$D:$D,Данные!$B:$B,$A19,Данные!$A:$A,"&gt;="&amp;K$1,Данные!$A:$A,"&lt;="&amp;K$2)</f>
        <v>0</v>
      </c>
      <c r="L19" cm="1">
        <f t="array" ref="L19">SUMIFS(Данные!$D:$D,Данные!$B:$B,$A19,Данные!$A:$A,"&gt;="&amp;L$1,Данные!$A:$A,"&lt;="&amp;L$2)</f>
        <v>0</v>
      </c>
      <c r="M19" cm="1">
        <f t="array" ref="M19">SUMIFS(Данные!$D:$D,Данные!$B:$B,$A19,Данные!$A:$A,"&gt;="&amp;M$1,Данные!$A:$A,"&lt;="&amp;M$2)</f>
        <v>0</v>
      </c>
      <c r="N19" cm="1">
        <f t="array" ref="N19">SUM(B19:M19)</f>
        <v>1712653.1899999997</v>
      </c>
    </row>
    <row r="20" spans="1:14" x14ac:dyDescent="0.2">
      <c r="A20" t="s">
        <v>461</v>
      </c>
      <c r="B20" cm="1">
        <f t="array" ref="B20">SUM(B15:B19)</f>
        <v>418931.44</v>
      </c>
      <c r="C20" cm="1">
        <f t="array" ref="C20">SUM(C15:C19)</f>
        <v>-52645.57</v>
      </c>
      <c r="D20" cm="1">
        <f t="array" ref="D20">SUM(D15:D19)</f>
        <v>795754.32</v>
      </c>
      <c r="E20" cm="1">
        <f t="array" ref="E20">SUM(E15:E19)</f>
        <v>-82587.59</v>
      </c>
      <c r="F20" cm="1">
        <f t="array" ref="F20">SUM(F15:F19)</f>
        <v>672233.29999999993</v>
      </c>
      <c r="G20" cm="1">
        <f t="array" ref="G20">SUM(G15:G19)</f>
        <v>470246.35000000003</v>
      </c>
      <c r="H20" cm="1">
        <f t="array" ref="H20">SUM(H15:H19)</f>
        <v>206380.17</v>
      </c>
      <c r="I20" cm="1">
        <f t="array" ref="I20">SUM(I15:I19)</f>
        <v>1217189.33</v>
      </c>
      <c r="J20" cm="1">
        <f t="array" ref="J20">SUM(J15:J19)</f>
        <v>438409.52999999997</v>
      </c>
      <c r="K20" cm="1">
        <f t="array" ref="K20">SUM(K15:K19)</f>
        <v>191374.1</v>
      </c>
      <c r="L20" cm="1">
        <f t="array" ref="L20">SUM(L15:L19)</f>
        <v>560955.49</v>
      </c>
      <c r="M20" cm="1">
        <f t="array" ref="M20">SUM(M15:M19)</f>
        <v>708603.67999999993</v>
      </c>
      <c r="N20" cm="1">
        <f t="array" ref="N20">SUM(N15:N19)</f>
        <v>5544844.5499999998</v>
      </c>
    </row>
    <row r="21" spans="1:14" x14ac:dyDescent="0.2">
      <c r="A21" t="str" cm="1">
        <f t="array" ref="A21">Статьи!A17</f>
        <v>Связь 2</v>
      </c>
      <c r="B21" cm="1">
        <f t="array" ref="B21">SUMIFS(Данные!$D:$D,Данные!$B:$B,$A21,Данные!$A:$A,"&gt;="&amp;B$1,Данные!$A:$A,"&lt;="&amp;B$2)</f>
        <v>0</v>
      </c>
      <c r="C21" cm="1">
        <f t="array" ref="C21">SUMIFS(Данные!$D:$D,Данные!$B:$B,$A21,Данные!$A:$A,"&gt;="&amp;C$1,Данные!$A:$A,"&lt;="&amp;C$2)</f>
        <v>0</v>
      </c>
      <c r="D21" cm="1">
        <f t="array" ref="D21">SUMIFS(Данные!$D:$D,Данные!$B:$B,$A21,Данные!$A:$A,"&gt;="&amp;D$1,Данные!$A:$A,"&lt;="&amp;D$2)</f>
        <v>302502.65999999997</v>
      </c>
      <c r="E21" cm="1">
        <f t="array" ref="E21">SUMIFS(Данные!$D:$D,Данные!$B:$B,$A21,Данные!$A:$A,"&gt;="&amp;E$1,Данные!$A:$A,"&lt;="&amp;E$2)</f>
        <v>0</v>
      </c>
      <c r="F21" cm="1">
        <f t="array" ref="F21">SUMIFS(Данные!$D:$D,Данные!$B:$B,$A21,Данные!$A:$A,"&gt;="&amp;F$1,Данные!$A:$A,"&lt;="&amp;F$2)</f>
        <v>17079.28</v>
      </c>
      <c r="G21" cm="1">
        <f t="array" ref="G21">SUMIFS(Данные!$D:$D,Данные!$B:$B,$A21,Данные!$A:$A,"&gt;="&amp;G$1,Данные!$A:$A,"&lt;="&amp;G$2)</f>
        <v>3338.13</v>
      </c>
      <c r="H21" cm="1">
        <f t="array" ref="H21">SUMIFS(Данные!$D:$D,Данные!$B:$B,$A21,Данные!$A:$A,"&gt;="&amp;H$1,Данные!$A:$A,"&lt;="&amp;H$2)</f>
        <v>0</v>
      </c>
      <c r="I21" cm="1">
        <f t="array" ref="I21">SUMIFS(Данные!$D:$D,Данные!$B:$B,$A21,Данные!$A:$A,"&gt;="&amp;I$1,Данные!$A:$A,"&lt;="&amp;I$2)</f>
        <v>369105.58</v>
      </c>
      <c r="J21" cm="1">
        <f t="array" ref="J21">SUMIFS(Данные!$D:$D,Данные!$B:$B,$A21,Данные!$A:$A,"&gt;="&amp;J$1,Данные!$A:$A,"&lt;="&amp;J$2)</f>
        <v>0</v>
      </c>
      <c r="K21" cm="1">
        <f t="array" ref="K21">SUMIFS(Данные!$D:$D,Данные!$B:$B,$A21,Данные!$A:$A,"&gt;="&amp;K$1,Данные!$A:$A,"&lt;="&amp;K$2)</f>
        <v>-82252.799999999988</v>
      </c>
      <c r="L21" cm="1">
        <f t="array" ref="L21">SUMIFS(Данные!$D:$D,Данные!$B:$B,$A21,Данные!$A:$A,"&gt;="&amp;L$1,Данные!$A:$A,"&lt;="&amp;L$2)</f>
        <v>-68844.600000000006</v>
      </c>
      <c r="M21" cm="1">
        <f t="array" ref="M21">SUMIFS(Данные!$D:$D,Данные!$B:$B,$A21,Данные!$A:$A,"&gt;="&amp;M$1,Данные!$A:$A,"&lt;="&amp;M$2)</f>
        <v>0</v>
      </c>
      <c r="N21" cm="1">
        <f t="array" ref="N21">SUM(B21:M21)</f>
        <v>540928.24999999988</v>
      </c>
    </row>
    <row r="22" spans="1:14" x14ac:dyDescent="0.2">
      <c r="A22" t="str" cm="1">
        <f t="array" ref="A22">Статьи!A18</f>
        <v>Налог 2</v>
      </c>
      <c r="B22" cm="1">
        <f t="array" ref="B22">SUMIFS(Данные!$D:$D,Данные!$B:$B,$A22,Данные!$A:$A,"&gt;="&amp;B$1,Данные!$A:$A,"&lt;="&amp;B$2)</f>
        <v>359900.52</v>
      </c>
      <c r="C22" cm="1">
        <f t="array" ref="C22">SUMIFS(Данные!$D:$D,Данные!$B:$B,$A22,Данные!$A:$A,"&gt;="&amp;C$1,Данные!$A:$A,"&lt;="&amp;C$2)</f>
        <v>0</v>
      </c>
      <c r="D22" cm="1">
        <f t="array" ref="D22">SUMIFS(Данные!$D:$D,Данные!$B:$B,$A22,Данные!$A:$A,"&gt;="&amp;D$1,Данные!$A:$A,"&lt;="&amp;D$2)</f>
        <v>0</v>
      </c>
      <c r="E22" cm="1">
        <f t="array" ref="E22">SUMIFS(Данные!$D:$D,Данные!$B:$B,$A22,Данные!$A:$A,"&gt;="&amp;E$1,Данные!$A:$A,"&lt;="&amp;E$2)</f>
        <v>0</v>
      </c>
      <c r="F22" cm="1">
        <f t="array" ref="F22">SUMIFS(Данные!$D:$D,Данные!$B:$B,$A22,Данные!$A:$A,"&gt;="&amp;F$1,Данные!$A:$A,"&lt;="&amp;F$2)</f>
        <v>0</v>
      </c>
      <c r="G22" cm="1">
        <f t="array" ref="G22">SUMIFS(Данные!$D:$D,Данные!$B:$B,$A22,Данные!$A:$A,"&gt;="&amp;G$1,Данные!$A:$A,"&lt;="&amp;G$2)</f>
        <v>0</v>
      </c>
      <c r="H22" cm="1">
        <f t="array" ref="H22">SUMIFS(Данные!$D:$D,Данные!$B:$B,$A22,Данные!$A:$A,"&gt;="&amp;H$1,Данные!$A:$A,"&lt;="&amp;H$2)</f>
        <v>146159.26</v>
      </c>
      <c r="I22" cm="1">
        <f t="array" ref="I22">SUMIFS(Данные!$D:$D,Данные!$B:$B,$A22,Данные!$A:$A,"&gt;="&amp;I$1,Данные!$A:$A,"&lt;="&amp;I$2)</f>
        <v>-76742.92</v>
      </c>
      <c r="J22" cm="1">
        <f t="array" ref="J22">SUMIFS(Данные!$D:$D,Данные!$B:$B,$A22,Данные!$A:$A,"&gt;="&amp;J$1,Данные!$A:$A,"&lt;="&amp;J$2)</f>
        <v>317963.88</v>
      </c>
      <c r="K22" cm="1">
        <f t="array" ref="K22">SUMIFS(Данные!$D:$D,Данные!$B:$B,$A22,Данные!$A:$A,"&gt;="&amp;K$1,Данные!$A:$A,"&lt;="&amp;K$2)</f>
        <v>0</v>
      </c>
      <c r="L22" cm="1">
        <f t="array" ref="L22">SUMIFS(Данные!$D:$D,Данные!$B:$B,$A22,Данные!$A:$A,"&gt;="&amp;L$1,Данные!$A:$A,"&lt;="&amp;L$2)</f>
        <v>385019.94</v>
      </c>
      <c r="M22" cm="1">
        <f t="array" ref="M22">SUMIFS(Данные!$D:$D,Данные!$B:$B,$A22,Данные!$A:$A,"&gt;="&amp;M$1,Данные!$A:$A,"&lt;="&amp;M$2)</f>
        <v>0</v>
      </c>
      <c r="N22" cm="1">
        <f t="array" ref="N22">SUM(B22:M22)</f>
        <v>1132300.68</v>
      </c>
    </row>
    <row r="23" spans="1:14" x14ac:dyDescent="0.2">
      <c r="A23" t="str" cm="1">
        <f t="array" ref="A23">Статьи!A19</f>
        <v>Доход 2</v>
      </c>
      <c r="B23" cm="1">
        <f t="array" ref="B23">SUMIFS(Данные!$D:$D,Данные!$B:$B,$A23,Данные!$A:$A,"&gt;="&amp;B$1,Данные!$A:$A,"&lt;="&amp;B$2)</f>
        <v>283598.73</v>
      </c>
      <c r="C23" cm="1">
        <f t="array" ref="C23">SUMIFS(Данные!$D:$D,Данные!$B:$B,$A23,Данные!$A:$A,"&gt;="&amp;C$1,Данные!$A:$A,"&lt;="&amp;C$2)</f>
        <v>0</v>
      </c>
      <c r="D23" cm="1">
        <f t="array" ref="D23">SUMIFS(Данные!$D:$D,Данные!$B:$B,$A23,Данные!$A:$A,"&gt;="&amp;D$1,Данные!$A:$A,"&lt;="&amp;D$2)</f>
        <v>0</v>
      </c>
      <c r="E23" cm="1">
        <f t="array" ref="E23">SUMIFS(Данные!$D:$D,Данные!$B:$B,$A23,Данные!$A:$A,"&gt;="&amp;E$1,Данные!$A:$A,"&lt;="&amp;E$2)</f>
        <v>0</v>
      </c>
      <c r="F23" cm="1">
        <f t="array" ref="F23">SUMIFS(Данные!$D:$D,Данные!$B:$B,$A23,Данные!$A:$A,"&gt;="&amp;F$1,Данные!$A:$A,"&lt;="&amp;F$2)</f>
        <v>321244.58999999997</v>
      </c>
      <c r="G23" cm="1">
        <f t="array" ref="G23">SUMIFS(Данные!$D:$D,Данные!$B:$B,$A23,Данные!$A:$A,"&gt;="&amp;G$1,Данные!$A:$A,"&lt;="&amp;G$2)</f>
        <v>0</v>
      </c>
      <c r="H23" cm="1">
        <f t="array" ref="H23">SUMIFS(Данные!$D:$D,Данные!$B:$B,$A23,Данные!$A:$A,"&gt;="&amp;H$1,Данные!$A:$A,"&lt;="&amp;H$2)</f>
        <v>0</v>
      </c>
      <c r="I23" cm="1">
        <f t="array" ref="I23">SUMIFS(Данные!$D:$D,Данные!$B:$B,$A23,Данные!$A:$A,"&gt;="&amp;I$1,Данные!$A:$A,"&lt;="&amp;I$2)</f>
        <v>0</v>
      </c>
      <c r="J23" cm="1">
        <f t="array" ref="J23">SUMIFS(Данные!$D:$D,Данные!$B:$B,$A23,Данные!$A:$A,"&gt;="&amp;J$1,Данные!$A:$A,"&lt;="&amp;J$2)</f>
        <v>-59420.61</v>
      </c>
      <c r="K23" cm="1">
        <f t="array" ref="K23">SUMIFS(Данные!$D:$D,Данные!$B:$B,$A23,Данные!$A:$A,"&gt;="&amp;K$1,Данные!$A:$A,"&lt;="&amp;K$2)</f>
        <v>-78635.149999999994</v>
      </c>
      <c r="L23" cm="1">
        <f t="array" ref="L23">SUMIFS(Данные!$D:$D,Данные!$B:$B,$A23,Данные!$A:$A,"&gt;="&amp;L$1,Данные!$A:$A,"&lt;="&amp;L$2)</f>
        <v>236132.35</v>
      </c>
      <c r="M23" cm="1">
        <f t="array" ref="M23">SUMIFS(Данные!$D:$D,Данные!$B:$B,$A23,Данные!$A:$A,"&gt;="&amp;M$1,Данные!$A:$A,"&lt;="&amp;M$2)</f>
        <v>0</v>
      </c>
      <c r="N23" cm="1">
        <f t="array" ref="N23">SUM(B23:M23)</f>
        <v>702919.90999999992</v>
      </c>
    </row>
    <row r="24" spans="1:14" x14ac:dyDescent="0.2">
      <c r="A24" t="str" cm="1">
        <f t="array" ref="A24">Статьи!A20</f>
        <v>Сырьё 2</v>
      </c>
      <c r="B24" cm="1">
        <f t="array" ref="B24">SUMIFS(Данные!$D:$D,Данные!$B:$B,$A24,Данные!$A:$A,"&gt;="&amp;B$1,Данные!$A:$A,"&lt;="&amp;B$2)</f>
        <v>48723.82</v>
      </c>
      <c r="C24" cm="1">
        <f t="array" ref="C24">SUMIFS(Данные!$D:$D,Данные!$B:$B,$A24,Данные!$A:$A,"&gt;="&amp;C$1,Данные!$A:$A,"&lt;="&amp;C$2)</f>
        <v>29317.87</v>
      </c>
      <c r="D24" cm="1">
        <f t="array" ref="D24">SUMIFS(Данные!$D:$D,Данные!$B:$B,$A24,Данные!$A:$A,"&gt;="&amp;D$1,Данные!$A:$A,"&lt;="&amp;D$2)</f>
        <v>152209.67000000001</v>
      </c>
      <c r="E24" cm="1">
        <f t="array" ref="E24">SUMIFS(Данные!$D:$D,Данные!$B:$B,$A24,Данные!$A:$A,"&gt;="&amp;E$1,Данные!$A:$A,"&lt;="&amp;E$2)</f>
        <v>292678.59999999998</v>
      </c>
      <c r="F24" cm="1">
        <f t="array" ref="F24">SUMIFS(Данные!$D:$D,Данные!$B:$B,$A24,Данные!$A:$A,"&gt;="&amp;F$1,Данные!$A:$A,"&lt;="&amp;F$2)</f>
        <v>0</v>
      </c>
      <c r="G24" cm="1">
        <f t="array" ref="G24">SUMIFS(Данные!$D:$D,Данные!$B:$B,$A24,Данные!$A:$A,"&gt;="&amp;G$1,Данные!$A:$A,"&lt;="&amp;G$2)</f>
        <v>380500718.94999999</v>
      </c>
      <c r="H24" cm="1">
        <f t="array" ref="H24">SUMIFS(Данные!$D:$D,Данные!$B:$B,$A24,Данные!$A:$A,"&gt;="&amp;H$1,Данные!$A:$A,"&lt;="&amp;H$2)</f>
        <v>332928.46999999997</v>
      </c>
      <c r="I24" cm="1">
        <f t="array" ref="I24">SUMIFS(Данные!$D:$D,Данные!$B:$B,$A24,Данные!$A:$A,"&gt;="&amp;I$1,Данные!$A:$A,"&lt;="&amp;I$2)</f>
        <v>0</v>
      </c>
      <c r="J24" cm="1">
        <f t="array" ref="J24">SUMIFS(Данные!$D:$D,Данные!$B:$B,$A24,Данные!$A:$A,"&gt;="&amp;J$1,Данные!$A:$A,"&lt;="&amp;J$2)</f>
        <v>-72558.61</v>
      </c>
      <c r="K24" cm="1">
        <f t="array" ref="K24">SUMIFS(Данные!$D:$D,Данные!$B:$B,$A24,Данные!$A:$A,"&gt;="&amp;K$1,Данные!$A:$A,"&lt;="&amp;K$2)</f>
        <v>0</v>
      </c>
      <c r="L24" cm="1">
        <f t="array" ref="L24">SUMIFS(Данные!$D:$D,Данные!$B:$B,$A24,Данные!$A:$A,"&gt;="&amp;L$1,Данные!$A:$A,"&lt;="&amp;L$2)</f>
        <v>0</v>
      </c>
      <c r="M24" cm="1">
        <f t="array" ref="M24">SUMIFS(Данные!$D:$D,Данные!$B:$B,$A24,Данные!$A:$A,"&gt;="&amp;M$1,Данные!$A:$A,"&lt;="&amp;M$2)</f>
        <v>103867.83</v>
      </c>
      <c r="N24" cm="1">
        <f t="array" ref="N24">SUM(B24:M24)</f>
        <v>381387886.59999996</v>
      </c>
    </row>
    <row r="25" spans="1:14" x14ac:dyDescent="0.2">
      <c r="A25" t="str" cm="1">
        <f t="array" ref="A25">Статьи!A21</f>
        <v>Сырье 2</v>
      </c>
      <c r="B25" cm="1">
        <f t="array" ref="B25">SUMIFS(Данные!$D:$D,Данные!$B:$B,$A25,Данные!$A:$A,"&gt;="&amp;B$1,Данные!$A:$A,"&lt;="&amp;B$2)</f>
        <v>-68476</v>
      </c>
      <c r="C25" cm="1">
        <f t="array" ref="C25">SUMIFS(Данные!$D:$D,Данные!$B:$B,$A25,Данные!$A:$A,"&gt;="&amp;C$1,Данные!$A:$A,"&lt;="&amp;C$2)</f>
        <v>0</v>
      </c>
      <c r="D25" cm="1">
        <f t="array" ref="D25">SUMIFS(Данные!$D:$D,Данные!$B:$B,$A25,Данные!$A:$A,"&gt;="&amp;D$1,Данные!$A:$A,"&lt;="&amp;D$2)</f>
        <v>221595.45</v>
      </c>
      <c r="E25" cm="1">
        <f t="array" ref="E25">SUMIFS(Данные!$D:$D,Данные!$B:$B,$A25,Данные!$A:$A,"&gt;="&amp;E$1,Данные!$A:$A,"&lt;="&amp;E$2)</f>
        <v>150781.73000000001</v>
      </c>
      <c r="F25" cm="1">
        <f t="array" ref="F25">SUMIFS(Данные!$D:$D,Данные!$B:$B,$A25,Данные!$A:$A,"&gt;="&amp;F$1,Данные!$A:$A,"&lt;="&amp;F$2)</f>
        <v>-42207.32</v>
      </c>
      <c r="G25" cm="1">
        <f t="array" ref="G25">SUMIFS(Данные!$D:$D,Данные!$B:$B,$A25,Данные!$A:$A,"&gt;="&amp;G$1,Данные!$A:$A,"&lt;="&amp;G$2)</f>
        <v>102310.79000000001</v>
      </c>
      <c r="H25" cm="1">
        <f t="array" ref="H25">SUMIFS(Данные!$D:$D,Данные!$B:$B,$A25,Данные!$A:$A,"&gt;="&amp;H$1,Данные!$A:$A,"&lt;="&amp;H$2)</f>
        <v>-61034.63</v>
      </c>
      <c r="I25" cm="1">
        <f t="array" ref="I25">SUMIFS(Данные!$D:$D,Данные!$B:$B,$A25,Данные!$A:$A,"&gt;="&amp;I$1,Данные!$A:$A,"&lt;="&amp;I$2)</f>
        <v>0</v>
      </c>
      <c r="J25" cm="1">
        <f t="array" ref="J25">SUMIFS(Данные!$D:$D,Данные!$B:$B,$A25,Данные!$A:$A,"&gt;="&amp;J$1,Данные!$A:$A,"&lt;="&amp;J$2)</f>
        <v>0</v>
      </c>
      <c r="K25" cm="1">
        <f t="array" ref="K25">SUMIFS(Данные!$D:$D,Данные!$B:$B,$A25,Данные!$A:$A,"&gt;="&amp;K$1,Данные!$A:$A,"&lt;="&amp;K$2)</f>
        <v>0</v>
      </c>
      <c r="L25" cm="1">
        <f t="array" ref="L25">SUMIFS(Данные!$D:$D,Данные!$B:$B,$A25,Данные!$A:$A,"&gt;="&amp;L$1,Данные!$A:$A,"&lt;="&amp;L$2)</f>
        <v>0</v>
      </c>
      <c r="M25" cm="1">
        <f t="array" ref="M25">SUMIFS(Данные!$D:$D,Данные!$B:$B,$A25,Данные!$A:$A,"&gt;="&amp;M$1,Данные!$A:$A,"&lt;="&amp;M$2)</f>
        <v>-34400.870000000003</v>
      </c>
      <c r="N25" cm="1">
        <f t="array" ref="N25">SUM(B25:M25)</f>
        <v>268569.15000000002</v>
      </c>
    </row>
    <row r="26" spans="1:14" x14ac:dyDescent="0.2">
      <c r="A26" t="s">
        <v>462</v>
      </c>
      <c r="B26" cm="1">
        <f t="array" ref="B26">SUM(B21:B25)</f>
        <v>623747.06999999995</v>
      </c>
      <c r="C26" cm="1">
        <f t="array" ref="C26">SUM(C21:C25)</f>
        <v>29317.87</v>
      </c>
      <c r="D26" cm="1">
        <f t="array" ref="D26">SUM(D21:D25)</f>
        <v>676307.78</v>
      </c>
      <c r="E26" cm="1">
        <f t="array" ref="E26">SUM(E21:E25)</f>
        <v>443460.32999999996</v>
      </c>
      <c r="F26" cm="1">
        <f t="array" ref="F26">SUM(F21:F25)</f>
        <v>296116.55</v>
      </c>
      <c r="G26" cm="1">
        <f t="array" ref="G26">SUM(G21:G25)</f>
        <v>380606367.87</v>
      </c>
      <c r="H26" cm="1">
        <f t="array" ref="H26">SUM(H21:H25)</f>
        <v>418053.1</v>
      </c>
      <c r="I26" cm="1">
        <f t="array" ref="I26">SUM(I21:I25)</f>
        <v>292362.66000000003</v>
      </c>
      <c r="J26" cm="1">
        <f t="array" ref="J26">SUM(J21:J25)</f>
        <v>185984.66000000003</v>
      </c>
      <c r="K26" cm="1">
        <f t="array" ref="K26">SUM(K21:K25)</f>
        <v>-160887.94999999998</v>
      </c>
      <c r="L26" cm="1">
        <f t="array" ref="L26">SUM(L21:L25)</f>
        <v>552307.68999999994</v>
      </c>
      <c r="M26" cm="1">
        <f t="array" ref="M26">SUM(M21:M25)</f>
        <v>69466.959999999992</v>
      </c>
      <c r="N26" cm="1">
        <f t="array" ref="N26">SUM(N21:N25)</f>
        <v>384032604.58999991</v>
      </c>
    </row>
    <row r="27" spans="1:14" x14ac:dyDescent="0.2">
      <c r="A27" t="str" cm="1">
        <f t="array" ref="A27">Статьи!A22</f>
        <v>Чай 3</v>
      </c>
      <c r="B27" cm="1">
        <f t="array" ref="B27">SUMIFS(Данные!$D:$D,Данные!$B:$B,$A27,Данные!$A:$A,"&gt;="&amp;B$1,Данные!$A:$A,"&lt;="&amp;B$2)</f>
        <v>56606.62</v>
      </c>
      <c r="C27" cm="1">
        <f t="array" ref="C27">SUMIFS(Данные!$D:$D,Данные!$B:$B,$A27,Данные!$A:$A,"&gt;="&amp;C$1,Данные!$A:$A,"&lt;="&amp;C$2)</f>
        <v>0</v>
      </c>
      <c r="D27" cm="1">
        <f t="array" ref="D27">SUMIFS(Данные!$D:$D,Данные!$B:$B,$A27,Данные!$A:$A,"&gt;="&amp;D$1,Данные!$A:$A,"&lt;="&amp;D$2)</f>
        <v>265561.61000000004</v>
      </c>
      <c r="E27" cm="1">
        <f t="array" ref="E27">SUMIFS(Данные!$D:$D,Данные!$B:$B,$A27,Данные!$A:$A,"&gt;="&amp;E$1,Данные!$A:$A,"&lt;="&amp;E$2)</f>
        <v>435406.09</v>
      </c>
      <c r="F27" cm="1">
        <f t="array" ref="F27">SUMIFS(Данные!$D:$D,Данные!$B:$B,$A27,Данные!$A:$A,"&gt;="&amp;F$1,Данные!$A:$A,"&lt;="&amp;F$2)</f>
        <v>72144.070000000007</v>
      </c>
      <c r="G27" cm="1">
        <f t="array" ref="G27">SUMIFS(Данные!$D:$D,Данные!$B:$B,$A27,Данные!$A:$A,"&gt;="&amp;G$1,Данные!$A:$A,"&lt;="&amp;G$2)</f>
        <v>0</v>
      </c>
      <c r="H27" cm="1">
        <f t="array" ref="H27">SUMIFS(Данные!$D:$D,Данные!$B:$B,$A27,Данные!$A:$A,"&gt;="&amp;H$1,Данные!$A:$A,"&lt;="&amp;H$2)</f>
        <v>225608.62</v>
      </c>
      <c r="I27" cm="1">
        <f t="array" ref="I27">SUMIFS(Данные!$D:$D,Данные!$B:$B,$A27,Данные!$A:$A,"&gt;="&amp;I$1,Данные!$A:$A,"&lt;="&amp;I$2)</f>
        <v>0</v>
      </c>
      <c r="J27" cm="1">
        <f t="array" ref="J27">SUMIFS(Данные!$D:$D,Данные!$B:$B,$A27,Данные!$A:$A,"&gt;="&amp;J$1,Данные!$A:$A,"&lt;="&amp;J$2)</f>
        <v>315891.84000000003</v>
      </c>
      <c r="K27" cm="1">
        <f t="array" ref="K27">SUMIFS(Данные!$D:$D,Данные!$B:$B,$A27,Данные!$A:$A,"&gt;="&amp;K$1,Данные!$A:$A,"&lt;="&amp;K$2)</f>
        <v>0</v>
      </c>
      <c r="L27" cm="1">
        <f t="array" ref="L27">SUMIFS(Данные!$D:$D,Данные!$B:$B,$A27,Данные!$A:$A,"&gt;="&amp;L$1,Данные!$A:$A,"&lt;="&amp;L$2)</f>
        <v>0</v>
      </c>
      <c r="M27" cm="1">
        <f t="array" ref="M27">SUMIFS(Данные!$D:$D,Данные!$B:$B,$A27,Данные!$A:$A,"&gt;="&amp;M$1,Данные!$A:$A,"&lt;="&amp;M$2)</f>
        <v>298260.07</v>
      </c>
      <c r="N27" cm="1">
        <f t="array" ref="N27">SUM(B27:M27)</f>
        <v>1669478.9200000004</v>
      </c>
    </row>
    <row r="28" spans="1:14" x14ac:dyDescent="0.2">
      <c r="A28" t="str" cm="1">
        <f t="array" ref="A28">Статьи!A23</f>
        <v>Чаи 3</v>
      </c>
      <c r="B28" cm="1">
        <f t="array" ref="B28">SUMIFS(Данные!$D:$D,Данные!$B:$B,$A28,Данные!$A:$A,"&gt;="&amp;B$1,Данные!$A:$A,"&lt;="&amp;B$2)</f>
        <v>0</v>
      </c>
      <c r="C28" cm="1">
        <f t="array" ref="C28">SUMIFS(Данные!$D:$D,Данные!$B:$B,$A28,Данные!$A:$A,"&gt;="&amp;C$1,Данные!$A:$A,"&lt;="&amp;C$2)</f>
        <v>0</v>
      </c>
      <c r="D28" cm="1">
        <f t="array" ref="D28">SUMIFS(Данные!$D:$D,Данные!$B:$B,$A28,Данные!$A:$A,"&gt;="&amp;D$1,Данные!$A:$A,"&lt;="&amp;D$2)</f>
        <v>0</v>
      </c>
      <c r="E28" cm="1">
        <f t="array" ref="E28">SUMIFS(Данные!$D:$D,Данные!$B:$B,$A28,Данные!$A:$A,"&gt;="&amp;E$1,Данные!$A:$A,"&lt;="&amp;E$2)</f>
        <v>0</v>
      </c>
      <c r="F28" cm="1">
        <f t="array" ref="F28">SUMIFS(Данные!$D:$D,Данные!$B:$B,$A28,Данные!$A:$A,"&gt;="&amp;F$1,Данные!$A:$A,"&lt;="&amp;F$2)</f>
        <v>283986.55</v>
      </c>
      <c r="G28" cm="1">
        <f t="array" ref="G28">SUMIFS(Данные!$D:$D,Данные!$B:$B,$A28,Данные!$A:$A,"&gt;="&amp;G$1,Данные!$A:$A,"&lt;="&amp;G$2)</f>
        <v>315607.12</v>
      </c>
      <c r="H28" cm="1">
        <f t="array" ref="H28">SUMIFS(Данные!$D:$D,Данные!$B:$B,$A28,Данные!$A:$A,"&gt;="&amp;H$1,Данные!$A:$A,"&lt;="&amp;H$2)</f>
        <v>255552.73</v>
      </c>
      <c r="I28" cm="1">
        <f t="array" ref="I28">SUMIFS(Данные!$D:$D,Данные!$B:$B,$A28,Данные!$A:$A,"&gt;="&amp;I$1,Данные!$A:$A,"&lt;="&amp;I$2)</f>
        <v>0</v>
      </c>
      <c r="J28" cm="1">
        <f t="array" ref="J28">SUMIFS(Данные!$D:$D,Данные!$B:$B,$A28,Данные!$A:$A,"&gt;="&amp;J$1,Данные!$A:$A,"&lt;="&amp;J$2)</f>
        <v>0</v>
      </c>
      <c r="K28" cm="1">
        <f t="array" ref="K28">SUMIFS(Данные!$D:$D,Данные!$B:$B,$A28,Данные!$A:$A,"&gt;="&amp;K$1,Данные!$A:$A,"&lt;="&amp;K$2)</f>
        <v>-67401.539999999994</v>
      </c>
      <c r="L28" cm="1">
        <f t="array" ref="L28">SUMIFS(Данные!$D:$D,Данные!$B:$B,$A28,Данные!$A:$A,"&gt;="&amp;L$1,Данные!$A:$A,"&lt;="&amp;L$2)</f>
        <v>0</v>
      </c>
      <c r="M28" cm="1">
        <f t="array" ref="M28">SUMIFS(Данные!$D:$D,Данные!$B:$B,$A28,Данные!$A:$A,"&gt;="&amp;M$1,Данные!$A:$A,"&lt;="&amp;M$2)</f>
        <v>346144.14</v>
      </c>
      <c r="N28" cm="1">
        <f t="array" ref="N28">SUM(B28:M28)</f>
        <v>1133889</v>
      </c>
    </row>
    <row r="29" spans="1:14" x14ac:dyDescent="0.2">
      <c r="A29" t="str" cm="1">
        <f t="array" ref="A29">Статьи!A24</f>
        <v>Ёлка 3</v>
      </c>
      <c r="B29" cm="1">
        <f t="array" ref="B29">SUMIFS(Данные!$D:$D,Данные!$B:$B,$A29,Данные!$A:$A,"&gt;="&amp;B$1,Данные!$A:$A,"&lt;="&amp;B$2)</f>
        <v>379836.22000000003</v>
      </c>
      <c r="C29" cm="1">
        <f t="array" ref="C29">SUMIFS(Данные!$D:$D,Данные!$B:$B,$A29,Данные!$A:$A,"&gt;="&amp;C$1,Данные!$A:$A,"&lt;="&amp;C$2)</f>
        <v>0</v>
      </c>
      <c r="D29" cm="1">
        <f t="array" ref="D29">SUMIFS(Данные!$D:$D,Данные!$B:$B,$A29,Данные!$A:$A,"&gt;="&amp;D$1,Данные!$A:$A,"&lt;="&amp;D$2)</f>
        <v>0</v>
      </c>
      <c r="E29" cm="1">
        <f t="array" ref="E29">SUMIFS(Данные!$D:$D,Данные!$B:$B,$A29,Данные!$A:$A,"&gt;="&amp;E$1,Данные!$A:$A,"&lt;="&amp;E$2)</f>
        <v>0</v>
      </c>
      <c r="F29" cm="1">
        <f t="array" ref="F29">SUMIFS(Данные!$D:$D,Данные!$B:$B,$A29,Данные!$A:$A,"&gt;="&amp;F$1,Данные!$A:$A,"&lt;="&amp;F$2)</f>
        <v>1881715052.29</v>
      </c>
      <c r="G29" cm="1">
        <f t="array" ref="G29">SUMIFS(Данные!$D:$D,Данные!$B:$B,$A29,Данные!$A:$A,"&gt;="&amp;G$1,Данные!$A:$A,"&lt;="&amp;G$2)</f>
        <v>185018.89</v>
      </c>
      <c r="H29" cm="1">
        <f t="array" ref="H29">SUMIFS(Данные!$D:$D,Данные!$B:$B,$A29,Данные!$A:$A,"&gt;="&amp;H$1,Данные!$A:$A,"&lt;="&amp;H$2)</f>
        <v>0</v>
      </c>
      <c r="I29" cm="1">
        <f t="array" ref="I29">SUMIFS(Данные!$D:$D,Данные!$B:$B,$A29,Данные!$A:$A,"&gt;="&amp;I$1,Данные!$A:$A,"&lt;="&amp;I$2)</f>
        <v>514835.97</v>
      </c>
      <c r="J29" cm="1">
        <f t="array" ref="J29">SUMIFS(Данные!$D:$D,Данные!$B:$B,$A29,Данные!$A:$A,"&gt;="&amp;J$1,Данные!$A:$A,"&lt;="&amp;J$2)</f>
        <v>314911.65999999997</v>
      </c>
      <c r="K29" cm="1">
        <f t="array" ref="K29">SUMIFS(Данные!$D:$D,Данные!$B:$B,$A29,Данные!$A:$A,"&gt;="&amp;K$1,Данные!$A:$A,"&lt;="&amp;K$2)</f>
        <v>-63509.63</v>
      </c>
      <c r="L29" cm="1">
        <f t="array" ref="L29">SUMIFS(Данные!$D:$D,Данные!$B:$B,$A29,Данные!$A:$A,"&gt;="&amp;L$1,Данные!$A:$A,"&lt;="&amp;L$2)</f>
        <v>-58420.79</v>
      </c>
      <c r="M29" cm="1">
        <f t="array" ref="M29">SUMIFS(Данные!$D:$D,Данные!$B:$B,$A29,Данные!$A:$A,"&gt;="&amp;M$1,Данные!$A:$A,"&lt;="&amp;M$2)</f>
        <v>87531.96</v>
      </c>
      <c r="N29" cm="1">
        <f t="array" ref="N29">SUM(B29:M29)</f>
        <v>1883075256.5700002</v>
      </c>
    </row>
    <row r="30" spans="1:14" x14ac:dyDescent="0.2">
      <c r="A30" t="str" cm="1">
        <f t="array" ref="A30">Статьи!A25</f>
        <v>Елка 3</v>
      </c>
      <c r="B30" cm="1">
        <f t="array" ref="B30">SUMIFS(Данные!$D:$D,Данные!$B:$B,$A30,Данные!$A:$A,"&gt;="&amp;B$1,Данные!$A:$A,"&lt;="&amp;B$2)</f>
        <v>0</v>
      </c>
      <c r="C30" cm="1">
        <f t="array" ref="C30">SUMIFS(Данные!$D:$D,Данные!$B:$B,$A30,Данные!$A:$A,"&gt;="&amp;C$1,Данные!$A:$A,"&lt;="&amp;C$2)</f>
        <v>0</v>
      </c>
      <c r="D30" cm="1">
        <f t="array" ref="D30">SUMIFS(Данные!$D:$D,Данные!$B:$B,$A30,Данные!$A:$A,"&gt;="&amp;D$1,Данные!$A:$A,"&lt;="&amp;D$2)</f>
        <v>0</v>
      </c>
      <c r="E30" cm="1">
        <f t="array" ref="E30">SUMIFS(Данные!$D:$D,Данные!$B:$B,$A30,Данные!$A:$A,"&gt;="&amp;E$1,Данные!$A:$A,"&lt;="&amp;E$2)</f>
        <v>138812.72</v>
      </c>
      <c r="F30" cm="1">
        <f t="array" ref="F30">SUMIFS(Данные!$D:$D,Данные!$B:$B,$A30,Данные!$A:$A,"&gt;="&amp;F$1,Данные!$A:$A,"&lt;="&amp;F$2)</f>
        <v>38193.870000000003</v>
      </c>
      <c r="G30" cm="1">
        <f t="array" ref="G30">SUMIFS(Данные!$D:$D,Данные!$B:$B,$A30,Данные!$A:$A,"&gt;="&amp;G$1,Данные!$A:$A,"&lt;="&amp;G$2)</f>
        <v>0</v>
      </c>
      <c r="H30" cm="1">
        <f t="array" ref="H30">SUMIFS(Данные!$D:$D,Данные!$B:$B,$A30,Данные!$A:$A,"&gt;="&amp;H$1,Данные!$A:$A,"&lt;="&amp;H$2)</f>
        <v>0</v>
      </c>
      <c r="I30" cm="1">
        <f t="array" ref="I30">SUMIFS(Данные!$D:$D,Данные!$B:$B,$A30,Данные!$A:$A,"&gt;="&amp;I$1,Данные!$A:$A,"&lt;="&amp;I$2)</f>
        <v>1281517219.9400001</v>
      </c>
      <c r="J30" cm="1">
        <f t="array" ref="J30">SUMIFS(Данные!$D:$D,Данные!$B:$B,$A30,Данные!$A:$A,"&gt;="&amp;J$1,Данные!$A:$A,"&lt;="&amp;J$2)</f>
        <v>0</v>
      </c>
      <c r="K30" cm="1">
        <f t="array" ref="K30">SUMIFS(Данные!$D:$D,Данные!$B:$B,$A30,Данные!$A:$A,"&gt;="&amp;K$1,Данные!$A:$A,"&lt;="&amp;K$2)</f>
        <v>50699.500000000007</v>
      </c>
      <c r="L30" cm="1">
        <f t="array" ref="L30">SUMIFS(Данные!$D:$D,Данные!$B:$B,$A30,Данные!$A:$A,"&gt;="&amp;L$1,Данные!$A:$A,"&lt;="&amp;L$2)</f>
        <v>272528.21999999997</v>
      </c>
      <c r="M30" cm="1">
        <f t="array" ref="M30">SUMIFS(Данные!$D:$D,Данные!$B:$B,$A30,Данные!$A:$A,"&gt;="&amp;M$1,Данные!$A:$A,"&lt;="&amp;M$2)</f>
        <v>0</v>
      </c>
      <c r="N30" cm="1">
        <f t="array" ref="N30">SUM(B30:M30)</f>
        <v>1282017454.25</v>
      </c>
    </row>
    <row r="31" spans="1:14" x14ac:dyDescent="0.2">
      <c r="A31" t="str" cm="1">
        <f t="array" ref="A31">Статьи!A26</f>
        <v>Аренда 3</v>
      </c>
      <c r="B31" cm="1">
        <f t="array" ref="B31">SUMIFS(Данные!$D:$D,Данные!$B:$B,$A31,Данные!$A:$A,"&gt;="&amp;B$1,Данные!$A:$A,"&lt;="&amp;B$2)</f>
        <v>0</v>
      </c>
      <c r="C31" cm="1">
        <f t="array" ref="C31">SUMIFS(Данные!$D:$D,Данные!$B:$B,$A31,Данные!$A:$A,"&gt;="&amp;C$1,Данные!$A:$A,"&lt;="&amp;C$2)</f>
        <v>0</v>
      </c>
      <c r="D31" cm="1">
        <f t="array" ref="D31">SUMIFS(Данные!$D:$D,Данные!$B:$B,$A31,Данные!$A:$A,"&gt;="&amp;D$1,Данные!$A:$A,"&lt;="&amp;D$2)</f>
        <v>0</v>
      </c>
      <c r="E31" cm="1">
        <f t="array" ref="E31">SUMIFS(Данные!$D:$D,Данные!$B:$B,$A31,Данные!$A:$A,"&gt;="&amp;E$1,Данные!$A:$A,"&lt;="&amp;E$2)</f>
        <v>373909.42</v>
      </c>
      <c r="F31" cm="1">
        <f t="array" ref="F31">SUMIFS(Данные!$D:$D,Данные!$B:$B,$A31,Данные!$A:$A,"&gt;="&amp;F$1,Данные!$A:$A,"&lt;="&amp;F$2)</f>
        <v>-2930.33</v>
      </c>
      <c r="G31" cm="1">
        <f t="array" ref="G31">SUMIFS(Данные!$D:$D,Данные!$B:$B,$A31,Данные!$A:$A,"&gt;="&amp;G$1,Данные!$A:$A,"&lt;="&amp;G$2)</f>
        <v>376896.25</v>
      </c>
      <c r="H31" cm="1">
        <f t="array" ref="H31">SUMIFS(Данные!$D:$D,Данные!$B:$B,$A31,Данные!$A:$A,"&gt;="&amp;H$1,Данные!$A:$A,"&lt;="&amp;H$2)</f>
        <v>0</v>
      </c>
      <c r="I31" cm="1">
        <f t="array" ref="I31">SUMIFS(Данные!$D:$D,Данные!$B:$B,$A31,Данные!$A:$A,"&gt;="&amp;I$1,Данные!$A:$A,"&lt;="&amp;I$2)</f>
        <v>0</v>
      </c>
      <c r="J31" cm="1">
        <f t="array" ref="J31">SUMIFS(Данные!$D:$D,Данные!$B:$B,$A31,Данные!$A:$A,"&gt;="&amp;J$1,Данные!$A:$A,"&lt;="&amp;J$2)</f>
        <v>0</v>
      </c>
      <c r="K31" cm="1">
        <f t="array" ref="K31">SUMIFS(Данные!$D:$D,Данные!$B:$B,$A31,Данные!$A:$A,"&gt;="&amp;K$1,Данные!$A:$A,"&lt;="&amp;K$2)</f>
        <v>832180.4</v>
      </c>
      <c r="L31" cm="1">
        <f t="array" ref="L31">SUMIFS(Данные!$D:$D,Данные!$B:$B,$A31,Данные!$A:$A,"&gt;="&amp;L$1,Данные!$A:$A,"&lt;="&amp;L$2)</f>
        <v>311123.45</v>
      </c>
      <c r="M31" cm="1">
        <f t="array" ref="M31">SUMIFS(Данные!$D:$D,Данные!$B:$B,$A31,Данные!$A:$A,"&gt;="&amp;M$1,Данные!$A:$A,"&lt;="&amp;M$2)</f>
        <v>0</v>
      </c>
      <c r="N31" cm="1">
        <f t="array" ref="N31">SUM(B31:M31)</f>
        <v>1891179.19</v>
      </c>
    </row>
    <row r="32" spans="1:14" x14ac:dyDescent="0.2">
      <c r="A32" t="s">
        <v>463</v>
      </c>
      <c r="B32" cm="1">
        <f t="array" ref="B32">SUM(B27:B31)</f>
        <v>436442.84</v>
      </c>
      <c r="C32" cm="1">
        <f t="array" ref="C32">SUM(C27:C31)</f>
        <v>0</v>
      </c>
      <c r="D32" cm="1">
        <f t="array" ref="D32">SUM(D27:D31)</f>
        <v>265561.61000000004</v>
      </c>
      <c r="E32" cm="1">
        <f t="array" ref="E32">SUM(E27:E31)</f>
        <v>948128.23</v>
      </c>
      <c r="F32" cm="1">
        <f t="array" ref="F32">SUM(F27:F31)</f>
        <v>1882106446.4499998</v>
      </c>
      <c r="G32" cm="1">
        <f t="array" ref="G32">SUM(G27:G31)</f>
        <v>877522.26</v>
      </c>
      <c r="H32" cm="1">
        <f t="array" ref="H32">SUM(H27:H31)</f>
        <v>481161.35</v>
      </c>
      <c r="I32" cm="1">
        <f t="array" ref="I32">SUM(I27:I31)</f>
        <v>1282032055.9100001</v>
      </c>
      <c r="J32" cm="1">
        <f t="array" ref="J32">SUM(J27:J31)</f>
        <v>630803.5</v>
      </c>
      <c r="K32" cm="1">
        <f t="array" ref="K32">SUM(K27:K31)</f>
        <v>751968.73</v>
      </c>
      <c r="L32" cm="1">
        <f t="array" ref="L32">SUM(L27:L31)</f>
        <v>525230.88</v>
      </c>
      <c r="M32" cm="1">
        <f t="array" ref="M32">SUM(M27:M31)</f>
        <v>731936.16999999993</v>
      </c>
      <c r="N32" cm="1">
        <f t="array" ref="N32">SUM(N27:N31)</f>
        <v>3169787257.9300003</v>
      </c>
    </row>
    <row r="33" spans="1:14" x14ac:dyDescent="0.2">
      <c r="A33" t="str" cm="1">
        <f t="array" ref="A33">Статьи!A27</f>
        <v>Связь 3</v>
      </c>
      <c r="B33" cm="1">
        <f t="array" ref="B33">SUMIFS(Данные!$D:$D,Данные!$B:$B,$A33,Данные!$A:$A,"&gt;="&amp;B$1,Данные!$A:$A,"&lt;="&amp;B$2)</f>
        <v>27521.77</v>
      </c>
      <c r="C33" cm="1">
        <f t="array" ref="C33">SUMIFS(Данные!$D:$D,Данные!$B:$B,$A33,Данные!$A:$A,"&gt;="&amp;C$1,Данные!$A:$A,"&lt;="&amp;C$2)</f>
        <v>0</v>
      </c>
      <c r="D33" cm="1">
        <f t="array" ref="D33">SUMIFS(Данные!$D:$D,Данные!$B:$B,$A33,Данные!$A:$A,"&gt;="&amp;D$1,Данные!$A:$A,"&lt;="&amp;D$2)</f>
        <v>0</v>
      </c>
      <c r="E33" cm="1">
        <f t="array" ref="E33">SUMIFS(Данные!$D:$D,Данные!$B:$B,$A33,Данные!$A:$A,"&gt;="&amp;E$1,Данные!$A:$A,"&lt;="&amp;E$2)</f>
        <v>190699</v>
      </c>
      <c r="F33" cm="1">
        <f t="array" ref="F33">SUMIFS(Данные!$D:$D,Данные!$B:$B,$A33,Данные!$A:$A,"&gt;="&amp;F$1,Данные!$A:$A,"&lt;="&amp;F$2)</f>
        <v>93549.25</v>
      </c>
      <c r="G33" cm="1">
        <f t="array" ref="G33">SUMIFS(Данные!$D:$D,Данные!$B:$B,$A33,Данные!$A:$A,"&gt;="&amp;G$1,Данные!$A:$A,"&lt;="&amp;G$2)</f>
        <v>369197.94</v>
      </c>
      <c r="H33" cm="1">
        <f t="array" ref="H33">SUMIFS(Данные!$D:$D,Данные!$B:$B,$A33,Данные!$A:$A,"&gt;="&amp;H$1,Данные!$A:$A,"&lt;="&amp;H$2)</f>
        <v>132793.60999999999</v>
      </c>
      <c r="I33" cm="1">
        <f t="array" ref="I33">SUMIFS(Данные!$D:$D,Данные!$B:$B,$A33,Данные!$A:$A,"&gt;="&amp;I$1,Данные!$A:$A,"&lt;="&amp;I$2)</f>
        <v>393482.97</v>
      </c>
      <c r="J33" cm="1">
        <f t="array" ref="J33">SUMIFS(Данные!$D:$D,Данные!$B:$B,$A33,Данные!$A:$A,"&gt;="&amp;J$1,Данные!$A:$A,"&lt;="&amp;J$2)</f>
        <v>0</v>
      </c>
      <c r="K33" cm="1">
        <f t="array" ref="K33">SUMIFS(Данные!$D:$D,Данные!$B:$B,$A33,Данные!$A:$A,"&gt;="&amp;K$1,Данные!$A:$A,"&lt;="&amp;K$2)</f>
        <v>0</v>
      </c>
      <c r="L33" cm="1">
        <f t="array" ref="L33">SUMIFS(Данные!$D:$D,Данные!$B:$B,$A33,Данные!$A:$A,"&gt;="&amp;L$1,Данные!$A:$A,"&lt;="&amp;L$2)</f>
        <v>485369.23</v>
      </c>
      <c r="M33" cm="1">
        <f t="array" ref="M33">SUMIFS(Данные!$D:$D,Данные!$B:$B,$A33,Данные!$A:$A,"&gt;="&amp;M$1,Данные!$A:$A,"&lt;="&amp;M$2)</f>
        <v>159471.5</v>
      </c>
      <c r="N33" cm="1">
        <f t="array" ref="N33">SUM(B33:M33)</f>
        <v>1852085.27</v>
      </c>
    </row>
    <row r="34" spans="1:14" x14ac:dyDescent="0.2">
      <c r="A34" t="str" cm="1">
        <f t="array" ref="A34">Статьи!A28</f>
        <v>Налог 3</v>
      </c>
      <c r="B34" cm="1">
        <f t="array" ref="B34">SUMIFS(Данные!$D:$D,Данные!$B:$B,$A34,Данные!$A:$A,"&gt;="&amp;B$1,Данные!$A:$A,"&lt;="&amp;B$2)</f>
        <v>0</v>
      </c>
      <c r="C34" cm="1">
        <f t="array" ref="C34">SUMIFS(Данные!$D:$D,Данные!$B:$B,$A34,Данные!$A:$A,"&gt;="&amp;C$1,Данные!$A:$A,"&lt;="&amp;C$2)</f>
        <v>-59194.5</v>
      </c>
      <c r="D34" cm="1">
        <f t="array" ref="D34">SUMIFS(Данные!$D:$D,Данные!$B:$B,$A34,Данные!$A:$A,"&gt;="&amp;D$1,Данные!$A:$A,"&lt;="&amp;D$2)</f>
        <v>0</v>
      </c>
      <c r="E34" cm="1">
        <f t="array" ref="E34">SUMIFS(Данные!$D:$D,Данные!$B:$B,$A34,Данные!$A:$A,"&gt;="&amp;E$1,Данные!$A:$A,"&lt;="&amp;E$2)</f>
        <v>0</v>
      </c>
      <c r="F34" cm="1">
        <f t="array" ref="F34">SUMIFS(Данные!$D:$D,Данные!$B:$B,$A34,Данные!$A:$A,"&gt;="&amp;F$1,Данные!$A:$A,"&lt;="&amp;F$2)</f>
        <v>280166.41000000003</v>
      </c>
      <c r="G34" cm="1">
        <f t="array" ref="G34">SUMIFS(Данные!$D:$D,Данные!$B:$B,$A34,Данные!$A:$A,"&gt;="&amp;G$1,Данные!$A:$A,"&lt;="&amp;G$2)</f>
        <v>0</v>
      </c>
      <c r="H34" cm="1">
        <f t="array" ref="H34">SUMIFS(Данные!$D:$D,Данные!$B:$B,$A34,Данные!$A:$A,"&gt;="&amp;H$1,Данные!$A:$A,"&lt;="&amp;H$2)</f>
        <v>0</v>
      </c>
      <c r="I34" cm="1">
        <f t="array" ref="I34">SUMIFS(Данные!$D:$D,Данные!$B:$B,$A34,Данные!$A:$A,"&gt;="&amp;I$1,Данные!$A:$A,"&lt;="&amp;I$2)</f>
        <v>295033.37</v>
      </c>
      <c r="J34" cm="1">
        <f t="array" ref="J34">SUMIFS(Данные!$D:$D,Данные!$B:$B,$A34,Данные!$A:$A,"&gt;="&amp;J$1,Данные!$A:$A,"&lt;="&amp;J$2)</f>
        <v>0</v>
      </c>
      <c r="K34" cm="1">
        <f t="array" ref="K34">SUMIFS(Данные!$D:$D,Данные!$B:$B,$A34,Данные!$A:$A,"&gt;="&amp;K$1,Данные!$A:$A,"&lt;="&amp;K$2)</f>
        <v>176443.88</v>
      </c>
      <c r="L34" cm="1">
        <f t="array" ref="L34">SUMIFS(Данные!$D:$D,Данные!$B:$B,$A34,Данные!$A:$A,"&gt;="&amp;L$1,Данные!$A:$A,"&lt;="&amp;L$2)</f>
        <v>0</v>
      </c>
      <c r="M34" cm="1">
        <f t="array" ref="M34">SUMIFS(Данные!$D:$D,Данные!$B:$B,$A34,Данные!$A:$A,"&gt;="&amp;M$1,Данные!$A:$A,"&lt;="&amp;M$2)</f>
        <v>241153.62</v>
      </c>
      <c r="N34" cm="1">
        <f t="array" ref="N34">SUM(B34:M34)</f>
        <v>933602.78</v>
      </c>
    </row>
    <row r="35" spans="1:14" x14ac:dyDescent="0.2">
      <c r="A35" t="str" cm="1">
        <f t="array" ref="A35">Статьи!A29</f>
        <v>Доход 3</v>
      </c>
      <c r="B35" cm="1">
        <f t="array" ref="B35">SUMIFS(Данные!$D:$D,Данные!$B:$B,$A35,Данные!$A:$A,"&gt;="&amp;B$1,Данные!$A:$A,"&lt;="&amp;B$2)</f>
        <v>371061.55</v>
      </c>
      <c r="C35" cm="1">
        <f t="array" ref="C35">SUMIFS(Данные!$D:$D,Данные!$B:$B,$A35,Данные!$A:$A,"&gt;="&amp;C$1,Данные!$A:$A,"&lt;="&amp;C$2)</f>
        <v>50413.46</v>
      </c>
      <c r="D35" cm="1">
        <f t="array" ref="D35">SUMIFS(Данные!$D:$D,Данные!$B:$B,$A35,Данные!$A:$A,"&gt;="&amp;D$1,Данные!$A:$A,"&lt;="&amp;D$2)</f>
        <v>387270.57</v>
      </c>
      <c r="E35" cm="1">
        <f t="array" ref="E35">SUMIFS(Данные!$D:$D,Данные!$B:$B,$A35,Данные!$A:$A,"&gt;="&amp;E$1,Данные!$A:$A,"&lt;="&amp;E$2)</f>
        <v>-19894.29</v>
      </c>
      <c r="F35" cm="1">
        <f t="array" ref="F35">SUMIFS(Данные!$D:$D,Данные!$B:$B,$A35,Данные!$A:$A,"&gt;="&amp;F$1,Данные!$A:$A,"&lt;="&amp;F$2)</f>
        <v>320529.03999999998</v>
      </c>
      <c r="G35" cm="1">
        <f t="array" ref="G35">SUMIFS(Данные!$D:$D,Данные!$B:$B,$A35,Данные!$A:$A,"&gt;="&amp;G$1,Данные!$A:$A,"&lt;="&amp;G$2)</f>
        <v>0</v>
      </c>
      <c r="H35" cm="1">
        <f t="array" ref="H35">SUMIFS(Данные!$D:$D,Данные!$B:$B,$A35,Данные!$A:$A,"&gt;="&amp;H$1,Данные!$A:$A,"&lt;="&amp;H$2)</f>
        <v>584926.12</v>
      </c>
      <c r="I35" cm="1">
        <f t="array" ref="I35">SUMIFS(Данные!$D:$D,Данные!$B:$B,$A35,Данные!$A:$A,"&gt;="&amp;I$1,Данные!$A:$A,"&lt;="&amp;I$2)</f>
        <v>0</v>
      </c>
      <c r="J35" cm="1">
        <f t="array" ref="J35">SUMIFS(Данные!$D:$D,Данные!$B:$B,$A35,Данные!$A:$A,"&gt;="&amp;J$1,Данные!$A:$A,"&lt;="&amp;J$2)</f>
        <v>46015.65</v>
      </c>
      <c r="K35" cm="1">
        <f t="array" ref="K35">SUMIFS(Данные!$D:$D,Данные!$B:$B,$A35,Данные!$A:$A,"&gt;="&amp;K$1,Данные!$A:$A,"&lt;="&amp;K$2)</f>
        <v>334456.42</v>
      </c>
      <c r="L35" cm="1">
        <f t="array" ref="L35">SUMIFS(Данные!$D:$D,Данные!$B:$B,$A35,Данные!$A:$A,"&gt;="&amp;L$1,Данные!$A:$A,"&lt;="&amp;L$2)</f>
        <v>0</v>
      </c>
      <c r="M35" cm="1">
        <f t="array" ref="M35">SUMIFS(Данные!$D:$D,Данные!$B:$B,$A35,Данные!$A:$A,"&gt;="&amp;M$1,Данные!$A:$A,"&lt;="&amp;M$2)</f>
        <v>-100543.09</v>
      </c>
      <c r="N35" cm="1">
        <f t="array" ref="N35">SUM(B35:M35)</f>
        <v>1974235.43</v>
      </c>
    </row>
    <row r="36" spans="1:14" x14ac:dyDescent="0.2">
      <c r="A36" t="str" cm="1">
        <f t="array" ref="A36">Статьи!A30</f>
        <v>Сырьё 3</v>
      </c>
      <c r="B36" cm="1">
        <f t="array" ref="B36">SUMIFS(Данные!$D:$D,Данные!$B:$B,$A36,Данные!$A:$A,"&gt;="&amp;B$1,Данные!$A:$A,"&lt;="&amp;B$2)</f>
        <v>354518.59</v>
      </c>
      <c r="C36" cm="1">
        <f t="array" ref="C36">SUMIFS(Данные!$D:$D,Данные!$B:$B,$A36,Данные!$A:$A,"&gt;="&amp;C$1,Данные!$A:$A,"&lt;="&amp;C$2)</f>
        <v>204939.46</v>
      </c>
      <c r="D36" cm="1">
        <f t="array" ref="D36">SUMIFS(Данные!$D:$D,Данные!$B:$B,$A36,Данные!$A:$A,"&gt;="&amp;D$1,Данные!$A:$A,"&lt;="&amp;D$2)</f>
        <v>191368.37</v>
      </c>
      <c r="E36" cm="1">
        <f t="array" ref="E36">SUMIFS(Данные!$D:$D,Данные!$B:$B,$A36,Данные!$A:$A,"&gt;="&amp;E$1,Данные!$A:$A,"&lt;="&amp;E$2)</f>
        <v>0</v>
      </c>
      <c r="F36" cm="1">
        <f t="array" ref="F36">SUMIFS(Данные!$D:$D,Данные!$B:$B,$A36,Данные!$A:$A,"&gt;="&amp;F$1,Данные!$A:$A,"&lt;="&amp;F$2)</f>
        <v>287101.89</v>
      </c>
      <c r="G36" cm="1">
        <f t="array" ref="G36">SUMIFS(Данные!$D:$D,Данные!$B:$B,$A36,Данные!$A:$A,"&gt;="&amp;G$1,Данные!$A:$A,"&lt;="&amp;G$2)</f>
        <v>644785.69999999995</v>
      </c>
      <c r="H36" cm="1">
        <f t="array" ref="H36">SUMIFS(Данные!$D:$D,Данные!$B:$B,$A36,Данные!$A:$A,"&gt;="&amp;H$1,Данные!$A:$A,"&lt;="&amp;H$2)</f>
        <v>0</v>
      </c>
      <c r="I36" cm="1">
        <f t="array" ref="I36">SUMIFS(Данные!$D:$D,Данные!$B:$B,$A36,Данные!$A:$A,"&gt;="&amp;I$1,Данные!$A:$A,"&lt;="&amp;I$2)</f>
        <v>0</v>
      </c>
      <c r="J36" cm="1">
        <f t="array" ref="J36">SUMIFS(Данные!$D:$D,Данные!$B:$B,$A36,Данные!$A:$A,"&gt;="&amp;J$1,Данные!$A:$A,"&lt;="&amp;J$2)</f>
        <v>-25793.02</v>
      </c>
      <c r="K36" cm="1">
        <f t="array" ref="K36">SUMIFS(Данные!$D:$D,Данные!$B:$B,$A36,Данные!$A:$A,"&gt;="&amp;K$1,Данные!$A:$A,"&lt;="&amp;K$2)</f>
        <v>0</v>
      </c>
      <c r="L36" cm="1">
        <f t="array" ref="L36">SUMIFS(Данные!$D:$D,Данные!$B:$B,$A36,Данные!$A:$A,"&gt;="&amp;L$1,Данные!$A:$A,"&lt;="&amp;L$2)</f>
        <v>0</v>
      </c>
      <c r="M36" cm="1">
        <f t="array" ref="M36">SUMIFS(Данные!$D:$D,Данные!$B:$B,$A36,Данные!$A:$A,"&gt;="&amp;M$1,Данные!$A:$A,"&lt;="&amp;M$2)</f>
        <v>0</v>
      </c>
      <c r="N36" cm="1">
        <f t="array" ref="N36">SUM(B36:M36)</f>
        <v>1656920.99</v>
      </c>
    </row>
    <row r="37" spans="1:14" x14ac:dyDescent="0.2">
      <c r="A37" t="str" cm="1">
        <f t="array" ref="A37">Статьи!A31</f>
        <v>Сырье 3</v>
      </c>
      <c r="B37" cm="1">
        <f t="array" ref="B37">SUMIFS(Данные!$D:$D,Данные!$B:$B,$A37,Данные!$A:$A,"&gt;="&amp;B$1,Данные!$A:$A,"&lt;="&amp;B$2)</f>
        <v>0</v>
      </c>
      <c r="C37" cm="1">
        <f t="array" ref="C37">SUMIFS(Данные!$D:$D,Данные!$B:$B,$A37,Данные!$A:$A,"&gt;="&amp;C$1,Данные!$A:$A,"&lt;="&amp;C$2)</f>
        <v>0</v>
      </c>
      <c r="D37" cm="1">
        <f t="array" ref="D37">SUMIFS(Данные!$D:$D,Данные!$B:$B,$A37,Данные!$A:$A,"&gt;="&amp;D$1,Данные!$A:$A,"&lt;="&amp;D$2)</f>
        <v>0</v>
      </c>
      <c r="E37" cm="1">
        <f t="array" ref="E37">SUMIFS(Данные!$D:$D,Данные!$B:$B,$A37,Данные!$A:$A,"&gt;="&amp;E$1,Данные!$A:$A,"&lt;="&amp;E$2)</f>
        <v>0</v>
      </c>
      <c r="F37" cm="1">
        <f t="array" ref="F37">SUMIFS(Данные!$D:$D,Данные!$B:$B,$A37,Данные!$A:$A,"&gt;="&amp;F$1,Данные!$A:$A,"&lt;="&amp;F$2)</f>
        <v>0</v>
      </c>
      <c r="G37" cm="1">
        <f t="array" ref="G37">SUMIFS(Данные!$D:$D,Данные!$B:$B,$A37,Данные!$A:$A,"&gt;="&amp;G$1,Данные!$A:$A,"&lt;="&amp;G$2)</f>
        <v>541045.82000000007</v>
      </c>
      <c r="H37" cm="1">
        <f t="array" ref="H37">SUMIFS(Данные!$D:$D,Данные!$B:$B,$A37,Данные!$A:$A,"&gt;="&amp;H$1,Данные!$A:$A,"&lt;="&amp;H$2)</f>
        <v>167126.5</v>
      </c>
      <c r="I37" cm="1">
        <f t="array" ref="I37">SUMIFS(Данные!$D:$D,Данные!$B:$B,$A37,Данные!$A:$A,"&gt;="&amp;I$1,Данные!$A:$A,"&lt;="&amp;I$2)</f>
        <v>0</v>
      </c>
      <c r="J37" cm="1">
        <f t="array" ref="J37">SUMIFS(Данные!$D:$D,Данные!$B:$B,$A37,Данные!$A:$A,"&gt;="&amp;J$1,Данные!$A:$A,"&lt;="&amp;J$2)</f>
        <v>-25269.040000000001</v>
      </c>
      <c r="K37" cm="1">
        <f t="array" ref="K37">SUMIFS(Данные!$D:$D,Данные!$B:$B,$A37,Данные!$A:$A,"&gt;="&amp;K$1,Данные!$A:$A,"&lt;="&amp;K$2)</f>
        <v>0</v>
      </c>
      <c r="L37" cm="1">
        <f t="array" ref="L37">SUMIFS(Данные!$D:$D,Данные!$B:$B,$A37,Данные!$A:$A,"&gt;="&amp;L$1,Данные!$A:$A,"&lt;="&amp;L$2)</f>
        <v>0</v>
      </c>
      <c r="M37" cm="1">
        <f t="array" ref="M37">SUMIFS(Данные!$D:$D,Данные!$B:$B,$A37,Данные!$A:$A,"&gt;="&amp;M$1,Данные!$A:$A,"&lt;="&amp;M$2)</f>
        <v>0</v>
      </c>
      <c r="N37" cm="1">
        <f t="array" ref="N37">SUM(B37:M37)</f>
        <v>682903.28</v>
      </c>
    </row>
    <row r="38" spans="1:14" x14ac:dyDescent="0.2">
      <c r="A38" t="s">
        <v>464</v>
      </c>
      <c r="B38" cm="1">
        <f t="array" ref="B38">SUM(B33:B37)</f>
        <v>753101.91</v>
      </c>
      <c r="C38" cm="1">
        <f t="array" ref="C38">SUM(C33:C37)</f>
        <v>196158.41999999998</v>
      </c>
      <c r="D38" cm="1">
        <f t="array" ref="D38">SUM(D33:D37)</f>
        <v>578638.93999999994</v>
      </c>
      <c r="E38" cm="1">
        <f t="array" ref="E38">SUM(E33:E37)</f>
        <v>170804.71</v>
      </c>
      <c r="F38" cm="1">
        <f t="array" ref="F38">SUM(F33:F37)</f>
        <v>981346.59</v>
      </c>
      <c r="G38" cm="1">
        <f t="array" ref="G38">SUM(G33:G37)</f>
        <v>1555029.46</v>
      </c>
      <c r="H38" cm="1">
        <f t="array" ref="H38">SUM(H33:H37)</f>
        <v>884846.23</v>
      </c>
      <c r="I38" cm="1">
        <f t="array" ref="I38">SUM(I33:I37)</f>
        <v>688516.34</v>
      </c>
      <c r="J38" cm="1">
        <f t="array" ref="J38">SUM(J33:J37)</f>
        <v>-5046.41</v>
      </c>
      <c r="K38" cm="1">
        <f t="array" ref="K38">SUM(K33:K37)</f>
        <v>510900.3</v>
      </c>
      <c r="L38" cm="1">
        <f t="array" ref="L38">SUM(L33:L37)</f>
        <v>485369.23</v>
      </c>
      <c r="M38" cm="1">
        <f t="array" ref="M38">SUM(M33:M37)</f>
        <v>300082.03000000003</v>
      </c>
      <c r="N38" cm="1">
        <f t="array" ref="N38">SUM(N33:N37)</f>
        <v>7099747.75</v>
      </c>
    </row>
    <row r="39" spans="1:14" x14ac:dyDescent="0.2">
      <c r="A39" t="str" cm="1">
        <f t="array" ref="A39">Статьи!A32</f>
        <v>Чай 4</v>
      </c>
      <c r="B39" cm="1">
        <f t="array" ref="B39">SUMIFS(Данные!$D:$D,Данные!$B:$B,$A39,Данные!$A:$A,"&gt;="&amp;B$1,Данные!$A:$A,"&lt;="&amp;B$2)</f>
        <v>0</v>
      </c>
      <c r="C39" cm="1">
        <f t="array" ref="C39">SUMIFS(Данные!$D:$D,Данные!$B:$B,$A39,Данные!$A:$A,"&gt;="&amp;C$1,Данные!$A:$A,"&lt;="&amp;C$2)</f>
        <v>0</v>
      </c>
      <c r="D39" cm="1">
        <f t="array" ref="D39">SUMIFS(Данные!$D:$D,Данные!$B:$B,$A39,Данные!$A:$A,"&gt;="&amp;D$1,Данные!$A:$A,"&lt;="&amp;D$2)</f>
        <v>0</v>
      </c>
      <c r="E39" cm="1">
        <f t="array" ref="E39">SUMIFS(Данные!$D:$D,Данные!$B:$B,$A39,Данные!$A:$A,"&gt;="&amp;E$1,Данные!$A:$A,"&lt;="&amp;E$2)</f>
        <v>0</v>
      </c>
      <c r="F39" cm="1">
        <f t="array" ref="F39">SUMIFS(Данные!$D:$D,Данные!$B:$B,$A39,Данные!$A:$A,"&gt;="&amp;F$1,Данные!$A:$A,"&lt;="&amp;F$2)</f>
        <v>0</v>
      </c>
      <c r="G39" cm="1">
        <f t="array" ref="G39">SUMIFS(Данные!$D:$D,Данные!$B:$B,$A39,Данные!$A:$A,"&gt;="&amp;G$1,Данные!$A:$A,"&lt;="&amp;G$2)</f>
        <v>0</v>
      </c>
      <c r="H39" cm="1">
        <f t="array" ref="H39">SUMIFS(Данные!$D:$D,Данные!$B:$B,$A39,Данные!$A:$A,"&gt;="&amp;H$1,Данные!$A:$A,"&lt;="&amp;H$2)</f>
        <v>206502.25</v>
      </c>
      <c r="I39" cm="1">
        <f t="array" ref="I39">SUMIFS(Данные!$D:$D,Данные!$B:$B,$A39,Данные!$A:$A,"&gt;="&amp;I$1,Данные!$A:$A,"&lt;="&amp;I$2)</f>
        <v>412631.82999999996</v>
      </c>
      <c r="J39" cm="1">
        <f t="array" ref="J39">SUMIFS(Данные!$D:$D,Данные!$B:$B,$A39,Данные!$A:$A,"&gt;="&amp;J$1,Данные!$A:$A,"&lt;="&amp;J$2)</f>
        <v>-50355.54</v>
      </c>
      <c r="K39" cm="1">
        <f t="array" ref="K39">SUMIFS(Данные!$D:$D,Данные!$B:$B,$A39,Данные!$A:$A,"&gt;="&amp;K$1,Данные!$A:$A,"&lt;="&amp;K$2)</f>
        <v>-39945.230000000003</v>
      </c>
      <c r="L39" cm="1">
        <f t="array" ref="L39">SUMIFS(Данные!$D:$D,Данные!$B:$B,$A39,Данные!$A:$A,"&gt;="&amp;L$1,Данные!$A:$A,"&lt;="&amp;L$2)</f>
        <v>0</v>
      </c>
      <c r="M39" cm="1">
        <f t="array" ref="M39">SUMIFS(Данные!$D:$D,Данные!$B:$B,$A39,Данные!$A:$A,"&gt;="&amp;M$1,Данные!$A:$A,"&lt;="&amp;M$2)</f>
        <v>286133.45</v>
      </c>
      <c r="N39" cm="1">
        <f t="array" ref="N39">SUM(B39:M39)</f>
        <v>814966.76</v>
      </c>
    </row>
    <row r="40" spans="1:14" x14ac:dyDescent="0.2">
      <c r="A40" t="str" cm="1">
        <f t="array" ref="A40">Статьи!A33</f>
        <v>Чаи 4</v>
      </c>
      <c r="B40" cm="1">
        <f t="array" ref="B40">SUMIFS(Данные!$D:$D,Данные!$B:$B,$A40,Данные!$A:$A,"&gt;="&amp;B$1,Данные!$A:$A,"&lt;="&amp;B$2)</f>
        <v>0</v>
      </c>
      <c r="C40" cm="1">
        <f t="array" ref="C40">SUMIFS(Данные!$D:$D,Данные!$B:$B,$A40,Данные!$A:$A,"&gt;="&amp;C$1,Данные!$A:$A,"&lt;="&amp;C$2)</f>
        <v>-82546.680000000008</v>
      </c>
      <c r="D40" cm="1">
        <f t="array" ref="D40">SUMIFS(Данные!$D:$D,Данные!$B:$B,$A40,Данные!$A:$A,"&gt;="&amp;D$1,Данные!$A:$A,"&lt;="&amp;D$2)</f>
        <v>0</v>
      </c>
      <c r="E40" cm="1">
        <f t="array" ref="E40">SUMIFS(Данные!$D:$D,Данные!$B:$B,$A40,Данные!$A:$A,"&gt;="&amp;E$1,Данные!$A:$A,"&lt;="&amp;E$2)</f>
        <v>-1902.8999999999942</v>
      </c>
      <c r="F40" cm="1">
        <f t="array" ref="F40">SUMIFS(Данные!$D:$D,Данные!$B:$B,$A40,Данные!$A:$A,"&gt;="&amp;F$1,Данные!$A:$A,"&lt;="&amp;F$2)</f>
        <v>0</v>
      </c>
      <c r="G40" cm="1">
        <f t="array" ref="G40">SUMIFS(Данные!$D:$D,Данные!$B:$B,$A40,Данные!$A:$A,"&gt;="&amp;G$1,Данные!$A:$A,"&lt;="&amp;G$2)</f>
        <v>-7931.29</v>
      </c>
      <c r="H40" cm="1">
        <f t="array" ref="H40">SUMIFS(Данные!$D:$D,Данные!$B:$B,$A40,Данные!$A:$A,"&gt;="&amp;H$1,Данные!$A:$A,"&lt;="&amp;H$2)</f>
        <v>0</v>
      </c>
      <c r="I40" cm="1">
        <f t="array" ref="I40">SUMIFS(Данные!$D:$D,Данные!$B:$B,$A40,Данные!$A:$A,"&gt;="&amp;I$1,Данные!$A:$A,"&lt;="&amp;I$2)</f>
        <v>0</v>
      </c>
      <c r="J40" cm="1">
        <f t="array" ref="J40">SUMIFS(Данные!$D:$D,Данные!$B:$B,$A40,Данные!$A:$A,"&gt;="&amp;J$1,Данные!$A:$A,"&lt;="&amp;J$2)</f>
        <v>89894.04</v>
      </c>
      <c r="K40" cm="1">
        <f t="array" ref="K40">SUMIFS(Данные!$D:$D,Данные!$B:$B,$A40,Данные!$A:$A,"&gt;="&amp;K$1,Данные!$A:$A,"&lt;="&amp;K$2)</f>
        <v>381208.28</v>
      </c>
      <c r="L40" cm="1">
        <f t="array" ref="L40">SUMIFS(Данные!$D:$D,Данные!$B:$B,$A40,Данные!$A:$A,"&gt;="&amp;L$1,Данные!$A:$A,"&lt;="&amp;L$2)</f>
        <v>0</v>
      </c>
      <c r="M40" cm="1">
        <f t="array" ref="M40">SUMIFS(Данные!$D:$D,Данные!$B:$B,$A40,Данные!$A:$A,"&gt;="&amp;M$1,Данные!$A:$A,"&lt;="&amp;M$2)</f>
        <v>0</v>
      </c>
      <c r="N40" cm="1">
        <f t="array" ref="N40">SUM(B40:M40)</f>
        <v>378721.45</v>
      </c>
    </row>
    <row r="41" spans="1:14" x14ac:dyDescent="0.2">
      <c r="A41" t="str" cm="1">
        <f t="array" ref="A41">Статьи!A34</f>
        <v>Ёлка 4</v>
      </c>
      <c r="B41" cm="1">
        <f t="array" ref="B41">SUMIFS(Данные!$D:$D,Данные!$B:$B,$A41,Данные!$A:$A,"&gt;="&amp;B$1,Данные!$A:$A,"&lt;="&amp;B$2)</f>
        <v>0</v>
      </c>
      <c r="C41" cm="1">
        <f t="array" ref="C41">SUMIFS(Данные!$D:$D,Данные!$B:$B,$A41,Данные!$A:$A,"&gt;="&amp;C$1,Данные!$A:$A,"&lt;="&amp;C$2)</f>
        <v>0</v>
      </c>
      <c r="D41" cm="1">
        <f t="array" ref="D41">SUMIFS(Данные!$D:$D,Данные!$B:$B,$A41,Данные!$A:$A,"&gt;="&amp;D$1,Данные!$A:$A,"&lt;="&amp;D$2)</f>
        <v>237308.9</v>
      </c>
      <c r="E41" cm="1">
        <f t="array" ref="E41">SUMIFS(Данные!$D:$D,Данные!$B:$B,$A41,Данные!$A:$A,"&gt;="&amp;E$1,Данные!$A:$A,"&lt;="&amp;E$2)</f>
        <v>0</v>
      </c>
      <c r="F41" cm="1">
        <f t="array" ref="F41">SUMIFS(Данные!$D:$D,Данные!$B:$B,$A41,Данные!$A:$A,"&gt;="&amp;F$1,Данные!$A:$A,"&lt;="&amp;F$2)</f>
        <v>68375.149999999994</v>
      </c>
      <c r="G41" cm="1">
        <f t="array" ref="G41">SUMIFS(Данные!$D:$D,Данные!$B:$B,$A41,Данные!$A:$A,"&gt;="&amp;G$1,Данные!$A:$A,"&lt;="&amp;G$2)</f>
        <v>233111.93</v>
      </c>
      <c r="H41" cm="1">
        <f t="array" ref="H41">SUMIFS(Данные!$D:$D,Данные!$B:$B,$A41,Данные!$A:$A,"&gt;="&amp;H$1,Данные!$A:$A,"&lt;="&amp;H$2)</f>
        <v>-95339.57</v>
      </c>
      <c r="I41" cm="1">
        <f t="array" ref="I41">SUMIFS(Данные!$D:$D,Данные!$B:$B,$A41,Данные!$A:$A,"&gt;="&amp;I$1,Данные!$A:$A,"&lt;="&amp;I$2)</f>
        <v>0</v>
      </c>
      <c r="J41" cm="1">
        <f t="array" ref="J41">SUMIFS(Данные!$D:$D,Данные!$B:$B,$A41,Данные!$A:$A,"&gt;="&amp;J$1,Данные!$A:$A,"&lt;="&amp;J$2)</f>
        <v>0</v>
      </c>
      <c r="K41" cm="1">
        <f t="array" ref="K41">SUMIFS(Данные!$D:$D,Данные!$B:$B,$A41,Данные!$A:$A,"&gt;="&amp;K$1,Данные!$A:$A,"&lt;="&amp;K$2)</f>
        <v>52231.74</v>
      </c>
      <c r="L41" cm="1">
        <f t="array" ref="L41">SUMIFS(Данные!$D:$D,Данные!$B:$B,$A41,Данные!$A:$A,"&gt;="&amp;L$1,Данные!$A:$A,"&lt;="&amp;L$2)</f>
        <v>0</v>
      </c>
      <c r="M41" cm="1">
        <f t="array" ref="M41">SUMIFS(Данные!$D:$D,Данные!$B:$B,$A41,Данные!$A:$A,"&gt;="&amp;M$1,Данные!$A:$A,"&lt;="&amp;M$2)</f>
        <v>0</v>
      </c>
      <c r="N41" cm="1">
        <f t="array" ref="N41">SUM(B41:M41)</f>
        <v>495688.14999999997</v>
      </c>
    </row>
    <row r="42" spans="1:14" x14ac:dyDescent="0.2">
      <c r="A42" t="str" cm="1">
        <f t="array" ref="A42">Статьи!A35</f>
        <v>Елка 4</v>
      </c>
      <c r="B42" cm="1">
        <f t="array" ref="B42">SUMIFS(Данные!$D:$D,Данные!$B:$B,$A42,Данные!$A:$A,"&gt;="&amp;B$1,Данные!$A:$A,"&lt;="&amp;B$2)</f>
        <v>-53677.74</v>
      </c>
      <c r="C42" cm="1">
        <f t="array" ref="C42">SUMIFS(Данные!$D:$D,Данные!$B:$B,$A42,Данные!$A:$A,"&gt;="&amp;C$1,Данные!$A:$A,"&lt;="&amp;C$2)</f>
        <v>0</v>
      </c>
      <c r="D42" cm="1">
        <f t="array" ref="D42">SUMIFS(Данные!$D:$D,Данные!$B:$B,$A42,Данные!$A:$A,"&gt;="&amp;D$1,Данные!$A:$A,"&lt;="&amp;D$2)</f>
        <v>-12007.38</v>
      </c>
      <c r="E42" cm="1">
        <f t="array" ref="E42">SUMIFS(Данные!$D:$D,Данные!$B:$B,$A42,Данные!$A:$A,"&gt;="&amp;E$1,Данные!$A:$A,"&lt;="&amp;E$2)</f>
        <v>-95356.54</v>
      </c>
      <c r="F42" cm="1">
        <f t="array" ref="F42">SUMIFS(Данные!$D:$D,Данные!$B:$B,$A42,Данные!$A:$A,"&gt;="&amp;F$1,Данные!$A:$A,"&lt;="&amp;F$2)</f>
        <v>0</v>
      </c>
      <c r="G42" cm="1">
        <f t="array" ref="G42">SUMIFS(Данные!$D:$D,Данные!$B:$B,$A42,Данные!$A:$A,"&gt;="&amp;G$1,Данные!$A:$A,"&lt;="&amp;G$2)</f>
        <v>602594.26</v>
      </c>
      <c r="H42" cm="1">
        <f t="array" ref="H42">SUMIFS(Данные!$D:$D,Данные!$B:$B,$A42,Данные!$A:$A,"&gt;="&amp;H$1,Данные!$A:$A,"&lt;="&amp;H$2)</f>
        <v>0</v>
      </c>
      <c r="I42" cm="1">
        <f t="array" ref="I42">SUMIFS(Данные!$D:$D,Данные!$B:$B,$A42,Данные!$A:$A,"&gt;="&amp;I$1,Данные!$A:$A,"&lt;="&amp;I$2)</f>
        <v>0</v>
      </c>
      <c r="J42" cm="1">
        <f t="array" ref="J42">SUMIFS(Данные!$D:$D,Данные!$B:$B,$A42,Данные!$A:$A,"&gt;="&amp;J$1,Данные!$A:$A,"&lt;="&amp;J$2)</f>
        <v>354886.40000000002</v>
      </c>
      <c r="K42" cm="1">
        <f t="array" ref="K42">SUMIFS(Данные!$D:$D,Данные!$B:$B,$A42,Данные!$A:$A,"&gt;="&amp;K$1,Данные!$A:$A,"&lt;="&amp;K$2)</f>
        <v>0</v>
      </c>
      <c r="L42" cm="1">
        <f t="array" ref="L42">SUMIFS(Данные!$D:$D,Данные!$B:$B,$A42,Данные!$A:$A,"&gt;="&amp;L$1,Данные!$A:$A,"&lt;="&amp;L$2)</f>
        <v>0</v>
      </c>
      <c r="M42" cm="1">
        <f t="array" ref="M42">SUMIFS(Данные!$D:$D,Данные!$B:$B,$A42,Данные!$A:$A,"&gt;="&amp;M$1,Данные!$A:$A,"&lt;="&amp;M$2)</f>
        <v>0</v>
      </c>
      <c r="N42" cm="1">
        <f t="array" ref="N42">SUM(B42:M42)</f>
        <v>796439</v>
      </c>
    </row>
    <row r="43" spans="1:14" x14ac:dyDescent="0.2">
      <c r="A43" t="str" cm="1">
        <f t="array" ref="A43">Статьи!A36</f>
        <v>Аренда 4</v>
      </c>
      <c r="B43" cm="1">
        <f t="array" ref="B43">SUMIFS(Данные!$D:$D,Данные!$B:$B,$A43,Данные!$A:$A,"&gt;="&amp;B$1,Данные!$A:$A,"&lt;="&amp;B$2)</f>
        <v>244646</v>
      </c>
      <c r="C43" cm="1">
        <f t="array" ref="C43">SUMIFS(Данные!$D:$D,Данные!$B:$B,$A43,Данные!$A:$A,"&gt;="&amp;C$1,Данные!$A:$A,"&lt;="&amp;C$2)</f>
        <v>8341.1299999999992</v>
      </c>
      <c r="D43" cm="1">
        <f t="array" ref="D43">SUMIFS(Данные!$D:$D,Данные!$B:$B,$A43,Данные!$A:$A,"&gt;="&amp;D$1,Данные!$A:$A,"&lt;="&amp;D$2)</f>
        <v>381705.97</v>
      </c>
      <c r="E43" cm="1">
        <f t="array" ref="E43">SUMIFS(Данные!$D:$D,Данные!$B:$B,$A43,Данные!$A:$A,"&gt;="&amp;E$1,Данные!$A:$A,"&lt;="&amp;E$2)</f>
        <v>0</v>
      </c>
      <c r="F43" cm="1">
        <f t="array" ref="F43">SUMIFS(Данные!$D:$D,Данные!$B:$B,$A43,Данные!$A:$A,"&gt;="&amp;F$1,Данные!$A:$A,"&lt;="&amp;F$2)</f>
        <v>0</v>
      </c>
      <c r="G43" cm="1">
        <f t="array" ref="G43">SUMIFS(Данные!$D:$D,Данные!$B:$B,$A43,Данные!$A:$A,"&gt;="&amp;G$1,Данные!$A:$A,"&lt;="&amp;G$2)</f>
        <v>0</v>
      </c>
      <c r="H43" cm="1">
        <f t="array" ref="H43">SUMIFS(Данные!$D:$D,Данные!$B:$B,$A43,Данные!$A:$A,"&gt;="&amp;H$1,Данные!$A:$A,"&lt;="&amp;H$2)</f>
        <v>46530.92</v>
      </c>
      <c r="I43" cm="1">
        <f t="array" ref="I43">SUMIFS(Данные!$D:$D,Данные!$B:$B,$A43,Данные!$A:$A,"&gt;="&amp;I$1,Данные!$A:$A,"&lt;="&amp;I$2)</f>
        <v>0</v>
      </c>
      <c r="J43" cm="1">
        <f t="array" ref="J43">SUMIFS(Данные!$D:$D,Данные!$B:$B,$A43,Данные!$A:$A,"&gt;="&amp;J$1,Данные!$A:$A,"&lt;="&amp;J$2)</f>
        <v>0</v>
      </c>
      <c r="K43" cm="1">
        <f t="array" ref="K43">SUMIFS(Данные!$D:$D,Данные!$B:$B,$A43,Данные!$A:$A,"&gt;="&amp;K$1,Данные!$A:$A,"&lt;="&amp;K$2)</f>
        <v>0</v>
      </c>
      <c r="L43" cm="1">
        <f t="array" ref="L43">SUMIFS(Данные!$D:$D,Данные!$B:$B,$A43,Данные!$A:$A,"&gt;="&amp;L$1,Данные!$A:$A,"&lt;="&amp;L$2)</f>
        <v>380221.97</v>
      </c>
      <c r="M43" cm="1">
        <f t="array" ref="M43">SUMIFS(Данные!$D:$D,Данные!$B:$B,$A43,Данные!$A:$A,"&gt;="&amp;M$1,Данные!$A:$A,"&lt;="&amp;M$2)</f>
        <v>0</v>
      </c>
      <c r="N43" cm="1">
        <f t="array" ref="N43">SUM(B43:M43)</f>
        <v>1061445.99</v>
      </c>
    </row>
    <row r="44" spans="1:14" x14ac:dyDescent="0.2">
      <c r="A44" t="s">
        <v>465</v>
      </c>
      <c r="B44" cm="1">
        <f t="array" ref="B44">SUM(B39:B43)</f>
        <v>190968.26</v>
      </c>
      <c r="C44" cm="1">
        <f t="array" ref="C44">SUM(C39:C43)</f>
        <v>-74205.55</v>
      </c>
      <c r="D44" cm="1">
        <f t="array" ref="D44">SUM(D39:D43)</f>
        <v>607007.49</v>
      </c>
      <c r="E44" cm="1">
        <f t="array" ref="E44">SUM(E39:E43)</f>
        <v>-97259.439999999988</v>
      </c>
      <c r="F44" cm="1">
        <f t="array" ref="F44">SUM(F39:F43)</f>
        <v>68375.149999999994</v>
      </c>
      <c r="G44" cm="1">
        <f t="array" ref="G44">SUM(G39:G43)</f>
        <v>827774.9</v>
      </c>
      <c r="H44" cm="1">
        <f t="array" ref="H44">SUM(H39:H43)</f>
        <v>157693.59999999998</v>
      </c>
      <c r="I44" cm="1">
        <f t="array" ref="I44">SUM(I39:I43)</f>
        <v>412631.82999999996</v>
      </c>
      <c r="J44" cm="1">
        <f t="array" ref="J44">SUM(J39:J43)</f>
        <v>394424.9</v>
      </c>
      <c r="K44" cm="1">
        <f t="array" ref="K44">SUM(K39:K43)</f>
        <v>393494.79000000004</v>
      </c>
      <c r="L44" cm="1">
        <f t="array" ref="L44">SUM(L39:L43)</f>
        <v>380221.97</v>
      </c>
      <c r="M44" cm="1">
        <f t="array" ref="M44">SUM(M39:M43)</f>
        <v>286133.45</v>
      </c>
      <c r="N44" cm="1">
        <f t="array" ref="N44">SUM(N39:N43)</f>
        <v>3547261.3499999996</v>
      </c>
    </row>
    <row r="45" spans="1:14" x14ac:dyDescent="0.2">
      <c r="A45" t="str" cm="1">
        <f t="array" ref="A45">Статьи!A37</f>
        <v>Связь 4</v>
      </c>
      <c r="B45" cm="1">
        <f t="array" ref="B45">SUMIFS(Данные!$D:$D,Данные!$B:$B,$A45,Данные!$A:$A,"&gt;="&amp;B$1,Данные!$A:$A,"&lt;="&amp;B$2)</f>
        <v>12844.7</v>
      </c>
      <c r="C45" cm="1">
        <f t="array" ref="C45">SUMIFS(Данные!$D:$D,Данные!$B:$B,$A45,Данные!$A:$A,"&gt;="&amp;C$1,Данные!$A:$A,"&lt;="&amp;C$2)</f>
        <v>263411.21999999997</v>
      </c>
      <c r="D45" cm="1">
        <f t="array" ref="D45">SUMIFS(Данные!$D:$D,Данные!$B:$B,$A45,Данные!$A:$A,"&gt;="&amp;D$1,Данные!$A:$A,"&lt;="&amp;D$2)</f>
        <v>0</v>
      </c>
      <c r="E45" cm="1">
        <f t="array" ref="E45">SUMIFS(Данные!$D:$D,Данные!$B:$B,$A45,Данные!$A:$A,"&gt;="&amp;E$1,Данные!$A:$A,"&lt;="&amp;E$2)</f>
        <v>0</v>
      </c>
      <c r="F45" cm="1">
        <f t="array" ref="F45">SUMIFS(Данные!$D:$D,Данные!$B:$B,$A45,Данные!$A:$A,"&gt;="&amp;F$1,Данные!$A:$A,"&lt;="&amp;F$2)</f>
        <v>331308.82</v>
      </c>
      <c r="G45" cm="1">
        <f t="array" ref="G45">SUMIFS(Данные!$D:$D,Данные!$B:$B,$A45,Данные!$A:$A,"&gt;="&amp;G$1,Данные!$A:$A,"&lt;="&amp;G$2)</f>
        <v>302386.02</v>
      </c>
      <c r="H45" cm="1">
        <f t="array" ref="H45">SUMIFS(Данные!$D:$D,Данные!$B:$B,$A45,Данные!$A:$A,"&gt;="&amp;H$1,Данные!$A:$A,"&lt;="&amp;H$2)</f>
        <v>0</v>
      </c>
      <c r="I45" cm="1">
        <f t="array" ref="I45">SUMIFS(Данные!$D:$D,Данные!$B:$B,$A45,Данные!$A:$A,"&gt;="&amp;I$1,Данные!$A:$A,"&lt;="&amp;I$2)</f>
        <v>275085.8</v>
      </c>
      <c r="J45" cm="1">
        <f t="array" ref="J45">SUMIFS(Данные!$D:$D,Данные!$B:$B,$A45,Данные!$A:$A,"&gt;="&amp;J$1,Данные!$A:$A,"&lt;="&amp;J$2)</f>
        <v>0</v>
      </c>
      <c r="K45" cm="1">
        <f t="array" ref="K45">SUMIFS(Данные!$D:$D,Данные!$B:$B,$A45,Данные!$A:$A,"&gt;="&amp;K$1,Данные!$A:$A,"&lt;="&amp;K$2)</f>
        <v>0</v>
      </c>
      <c r="L45" cm="1">
        <f t="array" ref="L45">SUMIFS(Данные!$D:$D,Данные!$B:$B,$A45,Данные!$A:$A,"&gt;="&amp;L$1,Данные!$A:$A,"&lt;="&amp;L$2)</f>
        <v>0</v>
      </c>
      <c r="M45" cm="1">
        <f t="array" ref="M45">SUMIFS(Данные!$D:$D,Данные!$B:$B,$A45,Данные!$A:$A,"&gt;="&amp;M$1,Данные!$A:$A,"&lt;="&amp;M$2)</f>
        <v>206710.29</v>
      </c>
      <c r="N45" cm="1">
        <f t="array" ref="N45">SUM(B45:M45)</f>
        <v>1391746.85</v>
      </c>
    </row>
    <row r="46" spans="1:14" x14ac:dyDescent="0.2">
      <c r="A46" t="str" cm="1">
        <f t="array" ref="A46">Статьи!A38</f>
        <v>Налог 4</v>
      </c>
      <c r="B46" cm="1">
        <f t="array" ref="B46">SUMIFS(Данные!$D:$D,Данные!$B:$B,$A46,Данные!$A:$A,"&gt;="&amp;B$1,Данные!$A:$A,"&lt;="&amp;B$2)</f>
        <v>0</v>
      </c>
      <c r="C46" cm="1">
        <f t="array" ref="C46">SUMIFS(Данные!$D:$D,Данные!$B:$B,$A46,Данные!$A:$A,"&gt;="&amp;C$1,Данные!$A:$A,"&lt;="&amp;C$2)</f>
        <v>0</v>
      </c>
      <c r="D46" cm="1">
        <f t="array" ref="D46">SUMIFS(Данные!$D:$D,Данные!$B:$B,$A46,Данные!$A:$A,"&gt;="&amp;D$1,Данные!$A:$A,"&lt;="&amp;D$2)</f>
        <v>0</v>
      </c>
      <c r="E46" cm="1">
        <f t="array" ref="E46">SUMIFS(Данные!$D:$D,Данные!$B:$B,$A46,Данные!$A:$A,"&gt;="&amp;E$1,Данные!$A:$A,"&lt;="&amp;E$2)</f>
        <v>0</v>
      </c>
      <c r="F46" cm="1">
        <f t="array" ref="F46">SUMIFS(Данные!$D:$D,Данные!$B:$B,$A46,Данные!$A:$A,"&gt;="&amp;F$1,Данные!$A:$A,"&lt;="&amp;F$2)</f>
        <v>297671.82</v>
      </c>
      <c r="G46" cm="1">
        <f t="array" ref="G46">SUMIFS(Данные!$D:$D,Данные!$B:$B,$A46,Данные!$A:$A,"&gt;="&amp;G$1,Данные!$A:$A,"&lt;="&amp;G$2)</f>
        <v>0</v>
      </c>
      <c r="H46" cm="1">
        <f t="array" ref="H46">SUMIFS(Данные!$D:$D,Данные!$B:$B,$A46,Данные!$A:$A,"&gt;="&amp;H$1,Данные!$A:$A,"&lt;="&amp;H$2)</f>
        <v>0</v>
      </c>
      <c r="I46" cm="1">
        <f t="array" ref="I46">SUMIFS(Данные!$D:$D,Данные!$B:$B,$A46,Данные!$A:$A,"&gt;="&amp;I$1,Данные!$A:$A,"&lt;="&amp;I$2)</f>
        <v>0</v>
      </c>
      <c r="J46" cm="1">
        <f t="array" ref="J46">SUMIFS(Данные!$D:$D,Данные!$B:$B,$A46,Данные!$A:$A,"&gt;="&amp;J$1,Данные!$A:$A,"&lt;="&amp;J$2)</f>
        <v>0</v>
      </c>
      <c r="K46" cm="1">
        <f t="array" ref="K46">SUMIFS(Данные!$D:$D,Данные!$B:$B,$A46,Данные!$A:$A,"&gt;="&amp;K$1,Данные!$A:$A,"&lt;="&amp;K$2)</f>
        <v>49937.77</v>
      </c>
      <c r="L46" cm="1">
        <f t="array" ref="L46">SUMIFS(Данные!$D:$D,Данные!$B:$B,$A46,Данные!$A:$A,"&gt;="&amp;L$1,Данные!$A:$A,"&lt;="&amp;L$2)</f>
        <v>167868.39</v>
      </c>
      <c r="M46" cm="1">
        <f t="array" ref="M46">SUMIFS(Данные!$D:$D,Данные!$B:$B,$A46,Данные!$A:$A,"&gt;="&amp;M$1,Данные!$A:$A,"&lt;="&amp;M$2)</f>
        <v>447307.16000000003</v>
      </c>
      <c r="N46" cm="1">
        <f t="array" ref="N46">SUM(B46:M46)</f>
        <v>962785.14000000013</v>
      </c>
    </row>
    <row r="47" spans="1:14" x14ac:dyDescent="0.2">
      <c r="A47" t="str" cm="1">
        <f t="array" ref="A47">Статьи!A39</f>
        <v>Доход 4</v>
      </c>
      <c r="B47" cm="1">
        <f t="array" ref="B47">SUMIFS(Данные!$D:$D,Данные!$B:$B,$A47,Данные!$A:$A,"&gt;="&amp;B$1,Данные!$A:$A,"&lt;="&amp;B$2)</f>
        <v>-60052.41</v>
      </c>
      <c r="C47" cm="1">
        <f t="array" ref="C47">SUMIFS(Данные!$D:$D,Данные!$B:$B,$A47,Данные!$A:$A,"&gt;="&amp;C$1,Данные!$A:$A,"&lt;="&amp;C$2)</f>
        <v>-22998.85</v>
      </c>
      <c r="D47" cm="1">
        <f t="array" ref="D47">SUMIFS(Данные!$D:$D,Данные!$B:$B,$A47,Данные!$A:$A,"&gt;="&amp;D$1,Данные!$A:$A,"&lt;="&amp;D$2)</f>
        <v>165967.20000000001</v>
      </c>
      <c r="E47" cm="1">
        <f t="array" ref="E47">SUMIFS(Данные!$D:$D,Данные!$B:$B,$A47,Данные!$A:$A,"&gt;="&amp;E$1,Данные!$A:$A,"&lt;="&amp;E$2)</f>
        <v>0</v>
      </c>
      <c r="F47" cm="1">
        <f t="array" ref="F47">SUMIFS(Данные!$D:$D,Данные!$B:$B,$A47,Данные!$A:$A,"&gt;="&amp;F$1,Данные!$A:$A,"&lt;="&amp;F$2)</f>
        <v>0</v>
      </c>
      <c r="G47" cm="1">
        <f t="array" ref="G47">SUMIFS(Данные!$D:$D,Данные!$B:$B,$A47,Данные!$A:$A,"&gt;="&amp;G$1,Данные!$A:$A,"&lt;="&amp;G$2)</f>
        <v>0</v>
      </c>
      <c r="H47" cm="1">
        <f t="array" ref="H47">SUMIFS(Данные!$D:$D,Данные!$B:$B,$A47,Данные!$A:$A,"&gt;="&amp;H$1,Данные!$A:$A,"&lt;="&amp;H$2)</f>
        <v>31149.099999999991</v>
      </c>
      <c r="I47" cm="1">
        <f t="array" ref="I47">SUMIFS(Данные!$D:$D,Данные!$B:$B,$A47,Данные!$A:$A,"&gt;="&amp;I$1,Данные!$A:$A,"&lt;="&amp;I$2)</f>
        <v>179183.33</v>
      </c>
      <c r="J47" cm="1">
        <f t="array" ref="J47">SUMIFS(Данные!$D:$D,Данные!$B:$B,$A47,Данные!$A:$A,"&gt;="&amp;J$1,Данные!$A:$A,"&lt;="&amp;J$2)</f>
        <v>285593.17</v>
      </c>
      <c r="K47" cm="1">
        <f t="array" ref="K47">SUMIFS(Данные!$D:$D,Данные!$B:$B,$A47,Данные!$A:$A,"&gt;="&amp;K$1,Данные!$A:$A,"&lt;="&amp;K$2)</f>
        <v>0</v>
      </c>
      <c r="L47" cm="1">
        <f t="array" ref="L47">SUMIFS(Данные!$D:$D,Данные!$B:$B,$A47,Данные!$A:$A,"&gt;="&amp;L$1,Данные!$A:$A,"&lt;="&amp;L$2)</f>
        <v>-99624.98</v>
      </c>
      <c r="M47" cm="1">
        <f t="array" ref="M47">SUMIFS(Данные!$D:$D,Данные!$B:$B,$A47,Данные!$A:$A,"&gt;="&amp;M$1,Данные!$A:$A,"&lt;="&amp;M$2)</f>
        <v>317210.93</v>
      </c>
      <c r="N47" cm="1">
        <f t="array" ref="N47">SUM(B47:M47)</f>
        <v>796427.49</v>
      </c>
    </row>
    <row r="48" spans="1:14" x14ac:dyDescent="0.2">
      <c r="A48" t="str" cm="1">
        <f t="array" ref="A48">Статьи!A40</f>
        <v>Сырьё 4</v>
      </c>
      <c r="B48" cm="1">
        <f t="array" ref="B48">SUMIFS(Данные!$D:$D,Данные!$B:$B,$A48,Данные!$A:$A,"&gt;="&amp;B$1,Данные!$A:$A,"&lt;="&amp;B$2)</f>
        <v>0</v>
      </c>
      <c r="C48" cm="1">
        <f t="array" ref="C48">SUMIFS(Данные!$D:$D,Данные!$B:$B,$A48,Данные!$A:$A,"&gt;="&amp;C$1,Данные!$A:$A,"&lt;="&amp;C$2)</f>
        <v>301703.81</v>
      </c>
      <c r="D48" cm="1">
        <f t="array" ref="D48">SUMIFS(Данные!$D:$D,Данные!$B:$B,$A48,Данные!$A:$A,"&gt;="&amp;D$1,Данные!$A:$A,"&lt;="&amp;D$2)</f>
        <v>-77915.360000000001</v>
      </c>
      <c r="E48" cm="1">
        <f t="array" ref="E48">SUMIFS(Данные!$D:$D,Данные!$B:$B,$A48,Данные!$A:$A,"&gt;="&amp;E$1,Данные!$A:$A,"&lt;="&amp;E$2)</f>
        <v>555808.01</v>
      </c>
      <c r="F48" cm="1">
        <f t="array" ref="F48">SUMIFS(Данные!$D:$D,Данные!$B:$B,$A48,Данные!$A:$A,"&gt;="&amp;F$1,Данные!$A:$A,"&lt;="&amp;F$2)</f>
        <v>247002.34</v>
      </c>
      <c r="G48" cm="1">
        <f t="array" ref="G48">SUMIFS(Данные!$D:$D,Данные!$B:$B,$A48,Данные!$A:$A,"&gt;="&amp;G$1,Данные!$A:$A,"&lt;="&amp;G$2)</f>
        <v>332596.92000000004</v>
      </c>
      <c r="H48" cm="1">
        <f t="array" ref="H48">SUMIFS(Данные!$D:$D,Данные!$B:$B,$A48,Данные!$A:$A,"&gt;="&amp;H$1,Данные!$A:$A,"&lt;="&amp;H$2)</f>
        <v>0</v>
      </c>
      <c r="I48" cm="1">
        <f t="array" ref="I48">SUMIFS(Данные!$D:$D,Данные!$B:$B,$A48,Данные!$A:$A,"&gt;="&amp;I$1,Данные!$A:$A,"&lt;="&amp;I$2)</f>
        <v>522692.58999999997</v>
      </c>
      <c r="J48" cm="1">
        <f t="array" ref="J48">SUMIFS(Данные!$D:$D,Данные!$B:$B,$A48,Данные!$A:$A,"&gt;="&amp;J$1,Данные!$A:$A,"&lt;="&amp;J$2)</f>
        <v>0</v>
      </c>
      <c r="K48" cm="1">
        <f t="array" ref="K48">SUMIFS(Данные!$D:$D,Данные!$B:$B,$A48,Данные!$A:$A,"&gt;="&amp;K$1,Данные!$A:$A,"&lt;="&amp;K$2)</f>
        <v>124303.1</v>
      </c>
      <c r="L48" cm="1">
        <f t="array" ref="L48">SUMIFS(Данные!$D:$D,Данные!$B:$B,$A48,Данные!$A:$A,"&gt;="&amp;L$1,Данные!$A:$A,"&lt;="&amp;L$2)</f>
        <v>0</v>
      </c>
      <c r="M48" cm="1">
        <f t="array" ref="M48">SUMIFS(Данные!$D:$D,Данные!$B:$B,$A48,Данные!$A:$A,"&gt;="&amp;M$1,Данные!$A:$A,"&lt;="&amp;M$2)</f>
        <v>0</v>
      </c>
      <c r="N48" cm="1">
        <f t="array" ref="N48">SUM(B48:M48)</f>
        <v>2006191.4100000001</v>
      </c>
    </row>
    <row r="49" spans="1:14" x14ac:dyDescent="0.2">
      <c r="A49" t="str" cm="1">
        <f t="array" ref="A49">Статьи!A41</f>
        <v>Сырье 4</v>
      </c>
      <c r="B49" cm="1">
        <f t="array" ref="B49">SUMIFS(Данные!$D:$D,Данные!$B:$B,$A49,Данные!$A:$A,"&gt;="&amp;B$1,Данные!$A:$A,"&lt;="&amp;B$2)</f>
        <v>2514.75</v>
      </c>
      <c r="C49" cm="1">
        <f t="array" ref="C49">SUMIFS(Данные!$D:$D,Данные!$B:$B,$A49,Данные!$A:$A,"&gt;="&amp;C$1,Данные!$A:$A,"&lt;="&amp;C$2)</f>
        <v>62537.84</v>
      </c>
      <c r="D49" cm="1">
        <f t="array" ref="D49">SUMIFS(Данные!$D:$D,Данные!$B:$B,$A49,Данные!$A:$A,"&gt;="&amp;D$1,Данные!$A:$A,"&lt;="&amp;D$2)</f>
        <v>153679.94</v>
      </c>
      <c r="E49" cm="1">
        <f t="array" ref="E49">SUMIFS(Данные!$D:$D,Данные!$B:$B,$A49,Данные!$A:$A,"&gt;="&amp;E$1,Данные!$A:$A,"&lt;="&amp;E$2)</f>
        <v>0</v>
      </c>
      <c r="F49" cm="1">
        <f t="array" ref="F49">SUMIFS(Данные!$D:$D,Данные!$B:$B,$A49,Данные!$A:$A,"&gt;="&amp;F$1,Данные!$A:$A,"&lt;="&amp;F$2)</f>
        <v>0</v>
      </c>
      <c r="G49" cm="1">
        <f t="array" ref="G49">SUMIFS(Данные!$D:$D,Данные!$B:$B,$A49,Данные!$A:$A,"&gt;="&amp;G$1,Данные!$A:$A,"&lt;="&amp;G$2)</f>
        <v>178646.95</v>
      </c>
      <c r="H49" cm="1">
        <f t="array" ref="H49">SUMIFS(Данные!$D:$D,Данные!$B:$B,$A49,Данные!$A:$A,"&gt;="&amp;H$1,Данные!$A:$A,"&lt;="&amp;H$2)</f>
        <v>0</v>
      </c>
      <c r="I49" cm="1">
        <f t="array" ref="I49">SUMIFS(Данные!$D:$D,Данные!$B:$B,$A49,Данные!$A:$A,"&gt;="&amp;I$1,Данные!$A:$A,"&lt;="&amp;I$2)</f>
        <v>0</v>
      </c>
      <c r="J49" cm="1">
        <f t="array" ref="J49">SUMIFS(Данные!$D:$D,Данные!$B:$B,$A49,Данные!$A:$A,"&gt;="&amp;J$1,Данные!$A:$A,"&lt;="&amp;J$2)</f>
        <v>0</v>
      </c>
      <c r="K49" cm="1">
        <f t="array" ref="K49">SUMIFS(Данные!$D:$D,Данные!$B:$B,$A49,Данные!$A:$A,"&gt;="&amp;K$1,Данные!$A:$A,"&lt;="&amp;K$2)</f>
        <v>0</v>
      </c>
      <c r="L49" cm="1">
        <f t="array" ref="L49">SUMIFS(Данные!$D:$D,Данные!$B:$B,$A49,Данные!$A:$A,"&gt;="&amp;L$1,Данные!$A:$A,"&lt;="&amp;L$2)</f>
        <v>131675.89000000001</v>
      </c>
      <c r="M49" cm="1">
        <f t="array" ref="M49">SUMIFS(Данные!$D:$D,Данные!$B:$B,$A49,Данные!$A:$A,"&gt;="&amp;M$1,Данные!$A:$A,"&lt;="&amp;M$2)</f>
        <v>0</v>
      </c>
      <c r="N49" cm="1">
        <f t="array" ref="N49">SUM(B49:M49)</f>
        <v>529055.37</v>
      </c>
    </row>
    <row r="50" spans="1:14" x14ac:dyDescent="0.2">
      <c r="A50" t="s">
        <v>466</v>
      </c>
      <c r="B50" cm="1">
        <f t="array" ref="B50">SUM(B45:B49)</f>
        <v>-44692.960000000006</v>
      </c>
      <c r="C50" cm="1">
        <f t="array" ref="C50">SUM(C45:C49)</f>
        <v>604654.0199999999</v>
      </c>
      <c r="D50" cm="1">
        <f t="array" ref="D50">SUM(D45:D49)</f>
        <v>241731.78000000003</v>
      </c>
      <c r="E50" cm="1">
        <f t="array" ref="E50">SUM(E45:E49)</f>
        <v>555808.01</v>
      </c>
      <c r="F50" cm="1">
        <f t="array" ref="F50">SUM(F45:F49)</f>
        <v>875982.98</v>
      </c>
      <c r="G50" cm="1">
        <f t="array" ref="G50">SUM(G45:G49)</f>
        <v>813629.89000000013</v>
      </c>
      <c r="H50" cm="1">
        <f t="array" ref="H50">SUM(H45:H49)</f>
        <v>31149.099999999991</v>
      </c>
      <c r="I50" cm="1">
        <f t="array" ref="I50">SUM(I45:I49)</f>
        <v>976961.72</v>
      </c>
      <c r="J50" cm="1">
        <f t="array" ref="J50">SUM(J45:J49)</f>
        <v>285593.17</v>
      </c>
      <c r="K50" cm="1">
        <f t="array" ref="K50">SUM(K45:K49)</f>
        <v>174240.87</v>
      </c>
      <c r="L50" cm="1">
        <f t="array" ref="L50">SUM(L45:L49)</f>
        <v>199919.30000000005</v>
      </c>
      <c r="M50" cm="1">
        <f t="array" ref="M50">SUM(M45:M49)</f>
        <v>971228.38000000012</v>
      </c>
      <c r="N50" cm="1">
        <f t="array" ref="N50">SUM(N45:N49)</f>
        <v>5686206.2600000007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9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467</v>
      </c>
      <c r="B1" t="s">
        <v>105</v>
      </c>
      <c r="C1" t="s">
        <v>28</v>
      </c>
      <c r="D1" t="s">
        <v>60</v>
      </c>
      <c r="E1" t="s">
        <v>88</v>
      </c>
      <c r="F1" t="s">
        <v>23</v>
      </c>
      <c r="G1" t="s">
        <v>124</v>
      </c>
      <c r="H1" t="s">
        <v>82</v>
      </c>
      <c r="I1" t="s">
        <v>40</v>
      </c>
      <c r="J1" t="s">
        <v>65</v>
      </c>
      <c r="K1" t="s">
        <v>77</v>
      </c>
      <c r="L1" t="s">
        <v>18</v>
      </c>
      <c r="M1" t="s">
        <v>45</v>
      </c>
      <c r="N1" t="s">
        <v>95</v>
      </c>
      <c r="O1" t="s">
        <v>33</v>
      </c>
      <c r="P1" t="s">
        <v>48</v>
      </c>
    </row>
    <row r="2" spans="1:17" x14ac:dyDescent="0.2">
      <c r="A2" t="str" cm="1">
        <f t="array" ref="A2">Статьи!A2</f>
        <v>Чай 1</v>
      </c>
      <c r="B2" cm="1">
        <f t="array" ref="B2">SUMIFS(Данные!$D$2:$D$341,Данные!$B$2:$B$341,$A2,Данные!$F$2:$F$341,B$1,Данные!$A$2:$A$341,"&gt;="&amp;Параметры!$B$1,Данные!$A$2:$A$341,"&lt;="&amp;Параметры!$B$2,Данные!$E$2:$E$341,Параметры!$B$4)</f>
        <v>0</v>
      </c>
      <c r="C2" cm="1">
        <f t="array" ref="C2">SUMIFS(Данные!$D$2:$D$341,Данные!$B$2:$B$341,$A2,Данные!$F$2:$F$341,C$1,Данные!$A$2:$A$341,"&gt;="&amp;Параметры!$B$1,Данные!$A$2:$A$341,"&lt;="&amp;Параметры!$B$2,Данные!$E$2:$E$341,Параметры!$B$4)</f>
        <v>275047.94</v>
      </c>
      <c r="D2" cm="1">
        <f t="array" ref="D2">SUMIFS(Данные!$D$2:$D$341,Данные!$B$2:$B$341,$A2,Данные!$F$2:$F$341,D$1,Данные!$A$2:$A$341,"&gt;="&amp;Параметры!$B$1,Данные!$A$2:$A$341,"&lt;="&amp;Параметры!$B$2,Данные!$E$2:$E$341,Параметры!$B$4)</f>
        <v>0</v>
      </c>
      <c r="E2" cm="1">
        <f t="array" ref="E2">SUMIFS(Данные!$D$2:$D$341,Данные!$B$2:$B$341,$A2,Данные!$F$2:$F$341,E$1,Данные!$A$2:$A$341,"&gt;="&amp;Параметры!$B$1,Данные!$A$2:$A$341,"&lt;="&amp;Параметры!$B$2,Данные!$E$2:$E$341,Параметры!$B$4)</f>
        <v>0</v>
      </c>
      <c r="F2" cm="1">
        <f t="array" ref="F2">SUMIFS(Данные!$D$2:$D$341,Данные!$B$2:$B$341,$A2,Данные!$F$2:$F$341,F$1,Данные!$A$2:$A$341,"&gt;="&amp;Параметры!$B$1,Данные!$A$2:$A$341,"&lt;="&amp;Параметры!$B$2,Данные!$E$2:$E$341,Параметры!$B$4)</f>
        <v>0</v>
      </c>
      <c r="G2" cm="1">
        <f t="array" ref="G2">SUMIFS(Данные!$D$2:$D$341,Данные!$B$2:$B$341,$A2,Данные!$F$2:$F$341,G$1,Данные!$A$2:$A$341,"&gt;="&amp;Параметры!$B$1,Данные!$A$2:$A$341,"&lt;="&amp;Параметры!$B$2,Данные!$E$2:$E$341,Параметры!$B$4)</f>
        <v>0</v>
      </c>
      <c r="H2" cm="1">
        <f t="array" ref="H2">SUMIFS(Данные!$D$2:$D$341,Данные!$B$2:$B$341,$A2,Данные!$F$2:$F$341,H$1,Данные!$A$2:$A$341,"&gt;="&amp;Параметры!$B$1,Данные!$A$2:$A$341,"&lt;="&amp;Параметры!$B$2,Данные!$E$2:$E$341,Параметры!$B$4)</f>
        <v>0</v>
      </c>
      <c r="I2" cm="1">
        <f t="array" ref="I2">SUMIFS(Данные!$D$2:$D$341,Данные!$B$2:$B$341,$A2,Данные!$F$2:$F$341,I$1,Данные!$A$2:$A$341,"&gt;="&amp;Параметры!$B$1,Данные!$A$2:$A$341,"&lt;="&amp;Параметры!$B$2,Данные!$E$2:$E$341,Параметры!$B$4)</f>
        <v>0</v>
      </c>
      <c r="J2" cm="1">
        <f t="array" ref="J2">SUMIFS(Данные!$D$2:$D$341,Данные!$B$2:$B$341,$A2,Данные!$F$2:$F$341,J$1,Данные!$A$2:$A$341,"&gt;="&amp;Параметры!$B$1,Данные!$A$2:$A$341,"&lt;="&amp;Параметры!$B$2,Данные!$E$2:$E$341,Параметры!$B$4)</f>
        <v>0</v>
      </c>
      <c r="K2" cm="1">
        <f t="array" ref="K2">SUMIFS(Данные!$D$2:$D$341,Данные!$B$2:$B$341,$A2,Данные!$F$2:$F$341,K$1,Данные!$A$2:$A$341,"&gt;="&amp;Параметры!$B$1,Данные!$A$2:$A$341,"&lt;="&amp;Параметры!$B$2,Данные!$E$2:$E$341,Параметры!$B$4)</f>
        <v>206959.82</v>
      </c>
      <c r="L2" cm="1">
        <f t="array" ref="L2">SUMIFS(Данные!$D$2:$D$341,Данные!$B$2:$B$341,$A2,Данные!$F$2:$F$341,L$1,Данные!$A$2:$A$341,"&gt;="&amp;Параметры!$B$1,Данные!$A$2:$A$341,"&lt;="&amp;Параметры!$B$2,Данные!$E$2:$E$341,Параметры!$B$4)</f>
        <v>383996.88</v>
      </c>
      <c r="M2" cm="1">
        <f t="array" ref="M2">SUMIFS(Данные!$D$2:$D$341,Данные!$B$2:$B$341,$A2,Данные!$F$2:$F$341,M$1,Данные!$A$2:$A$341,"&gt;="&amp;Параметры!$B$1,Данные!$A$2:$A$341,"&lt;="&amp;Параметры!$B$2,Данные!$E$2:$E$341,Параметры!$B$4)</f>
        <v>0</v>
      </c>
      <c r="N2" cm="1">
        <f t="array" ref="N2">SUMIFS(Данные!$D$2:$D$341,Данные!$B$2:$B$341,$A2,Данные!$F$2:$F$341,N$1,Данные!$A$2:$A$341,"&gt;="&amp;Параметры!$B$1,Данные!$A$2:$A$341,"&lt;="&amp;Параметры!$B$2,Данные!$E$2:$E$341,Параметры!$B$4)</f>
        <v>-77680.2</v>
      </c>
      <c r="O2" cm="1">
        <f t="array" ref="O2">SUMIFS(Данные!$D$2:$D$341,Данные!$B$2:$B$341,$A2,Данные!$F$2:$F$341,O$1,Данные!$A$2:$A$341,"&gt;="&amp;Параметры!$B$1,Данные!$A$2:$A$341,"&lt;="&amp;Параметры!$B$2,Данные!$E$2:$E$341,Параметры!$B$4)</f>
        <v>0</v>
      </c>
      <c r="P2" cm="1">
        <f t="array" ref="P2">SUMIFS(Данные!$D$2:$D$341,Данные!$B$2:$B$341,$A2,Данные!$F$2:$F$341,P$1,Данные!$A$2:$A$341,"&gt;="&amp;Параметры!$B$1,Данные!$A$2:$A$341,"&lt;="&amp;Параметры!$B$2,Данные!$E$2:$E$341,Параметры!$B$4)</f>
        <v>0</v>
      </c>
      <c r="Q2" cm="1">
        <f t="array" ref="Q2">SUM(B2:P2)</f>
        <v>788324.44000000006</v>
      </c>
    </row>
    <row r="3" spans="1:17" x14ac:dyDescent="0.2">
      <c r="A3" t="str" cm="1">
        <f t="array" ref="A3">Статьи!A3</f>
        <v>Чаи 1</v>
      </c>
      <c r="B3" cm="1">
        <f t="array" ref="B3">SUMIFS(Данные!$D$2:$D$341,Данные!$B$2:$B$341,$A3,Данные!$F$2:$F$341,B$1,Данные!$A$2:$A$341,"&gt;="&amp;Параметры!$B$1,Данные!$A$2:$A$341,"&lt;="&amp;Параметры!$B$2,Данные!$E$2:$E$341,Параметры!$B$4)</f>
        <v>0</v>
      </c>
      <c r="C3" cm="1">
        <f t="array" ref="C3">SUMIFS(Данные!$D$2:$D$341,Данные!$B$2:$B$341,$A3,Данные!$F$2:$F$341,C$1,Данные!$A$2:$A$341,"&gt;="&amp;Параметры!$B$1,Данные!$A$2:$A$341,"&lt;="&amp;Параметры!$B$2,Данные!$E$2:$E$341,Параметры!$B$4)</f>
        <v>-21827.39</v>
      </c>
      <c r="D3" cm="1">
        <f t="array" ref="D3">SUMIFS(Данные!$D$2:$D$341,Данные!$B$2:$B$341,$A3,Данные!$F$2:$F$341,D$1,Данные!$A$2:$A$341,"&gt;="&amp;Параметры!$B$1,Данные!$A$2:$A$341,"&lt;="&amp;Параметры!$B$2,Данные!$E$2:$E$341,Параметры!$B$4)</f>
        <v>0</v>
      </c>
      <c r="E3" cm="1">
        <f t="array" ref="E3">SUMIFS(Данные!$D$2:$D$341,Данные!$B$2:$B$341,$A3,Данные!$F$2:$F$341,E$1,Данные!$A$2:$A$341,"&gt;="&amp;Параметры!$B$1,Данные!$A$2:$A$341,"&lt;="&amp;Параметры!$B$2,Данные!$E$2:$E$341,Параметры!$B$4)</f>
        <v>0</v>
      </c>
      <c r="F3" cm="1">
        <f t="array" ref="F3">SUMIFS(Данные!$D$2:$D$341,Данные!$B$2:$B$341,$A3,Данные!$F$2:$F$341,F$1,Данные!$A$2:$A$341,"&gt;="&amp;Параметры!$B$1,Данные!$A$2:$A$341,"&lt;="&amp;Параметры!$B$2,Данные!$E$2:$E$341,Параметры!$B$4)</f>
        <v>0</v>
      </c>
      <c r="G3" cm="1">
        <f t="array" ref="G3">SUMIFS(Данные!$D$2:$D$341,Данные!$B$2:$B$341,$A3,Данные!$F$2:$F$341,G$1,Данные!$A$2:$A$341,"&gt;="&amp;Параметры!$B$1,Данные!$A$2:$A$341,"&lt;="&amp;Параметры!$B$2,Данные!$E$2:$E$341,Параметры!$B$4)</f>
        <v>635132.9</v>
      </c>
      <c r="H3" cm="1">
        <f t="array" ref="H3">SUMIFS(Данные!$D$2:$D$341,Данные!$B$2:$B$341,$A3,Данные!$F$2:$F$341,H$1,Данные!$A$2:$A$341,"&gt;="&amp;Параметры!$B$1,Данные!$A$2:$A$341,"&lt;="&amp;Параметры!$B$2,Данные!$E$2:$E$341,Параметры!$B$4)</f>
        <v>0</v>
      </c>
      <c r="I3" cm="1">
        <f t="array" ref="I3">SUMIFS(Данные!$D$2:$D$341,Данные!$B$2:$B$341,$A3,Данные!$F$2:$F$341,I$1,Данные!$A$2:$A$341,"&gt;="&amp;Параметры!$B$1,Данные!$A$2:$A$341,"&lt;="&amp;Параметры!$B$2,Данные!$E$2:$E$341,Параметры!$B$4)</f>
        <v>-6678.65</v>
      </c>
      <c r="J3" cm="1">
        <f t="array" ref="J3">SUMIFS(Данные!$D$2:$D$341,Данные!$B$2:$B$341,$A3,Данные!$F$2:$F$341,J$1,Данные!$A$2:$A$341,"&gt;="&amp;Параметры!$B$1,Данные!$A$2:$A$341,"&lt;="&amp;Параметры!$B$2,Данные!$E$2:$E$341,Параметры!$B$4)</f>
        <v>359716.92</v>
      </c>
      <c r="K3" cm="1">
        <f t="array" ref="K3">SUMIFS(Данные!$D$2:$D$341,Данные!$B$2:$B$341,$A3,Данные!$F$2:$F$341,K$1,Данные!$A$2:$A$341,"&gt;="&amp;Параметры!$B$1,Данные!$A$2:$A$341,"&lt;="&amp;Параметры!$B$2,Данные!$E$2:$E$341,Параметры!$B$4)</f>
        <v>0</v>
      </c>
      <c r="L3" cm="1">
        <f t="array" ref="L3">SUMIFS(Данные!$D$2:$D$341,Данные!$B$2:$B$341,$A3,Данные!$F$2:$F$341,L$1,Данные!$A$2:$A$341,"&gt;="&amp;Параметры!$B$1,Данные!$A$2:$A$341,"&lt;="&amp;Параметры!$B$2,Данные!$E$2:$E$341,Параметры!$B$4)</f>
        <v>0</v>
      </c>
      <c r="M3" cm="1">
        <f t="array" ref="M3">SUMIFS(Данные!$D$2:$D$341,Данные!$B$2:$B$341,$A3,Данные!$F$2:$F$341,M$1,Данные!$A$2:$A$341,"&gt;="&amp;Параметры!$B$1,Данные!$A$2:$A$341,"&lt;="&amp;Параметры!$B$2,Данные!$E$2:$E$341,Параметры!$B$4)</f>
        <v>0</v>
      </c>
      <c r="N3" cm="1">
        <f t="array" ref="N3">SUMIFS(Данные!$D$2:$D$341,Данные!$B$2:$B$341,$A3,Данные!$F$2:$F$341,N$1,Данные!$A$2:$A$341,"&gt;="&amp;Параметры!$B$1,Данные!$A$2:$A$341,"&lt;="&amp;Параметры!$B$2,Данные!$E$2:$E$341,Параметры!$B$4)</f>
        <v>66218.559999999998</v>
      </c>
      <c r="O3" cm="1">
        <f t="array" ref="O3">SUMIFS(Данные!$D$2:$D$341,Данные!$B$2:$B$341,$A3,Данные!$F$2:$F$341,O$1,Данные!$A$2:$A$341,"&gt;="&amp;Параметры!$B$1,Данные!$A$2:$A$341,"&lt;="&amp;Параметры!$B$2,Данные!$E$2:$E$341,Параметры!$B$4)</f>
        <v>313114.56</v>
      </c>
      <c r="P3" cm="1">
        <f t="array" ref="P3">SUMIFS(Данные!$D$2:$D$341,Данные!$B$2:$B$341,$A3,Данные!$F$2:$F$341,P$1,Данные!$A$2:$A$341,"&gt;="&amp;Параметры!$B$1,Данные!$A$2:$A$341,"&lt;="&amp;Параметры!$B$2,Данные!$E$2:$E$341,Параметры!$B$4)</f>
        <v>0</v>
      </c>
      <c r="Q3" cm="1">
        <f t="array" ref="Q3">SUM(B3:P3)</f>
        <v>1345676.9000000001</v>
      </c>
    </row>
    <row r="4" spans="1:17" x14ac:dyDescent="0.2">
      <c r="A4" t="str" cm="1">
        <f t="array" ref="A4">Статьи!A4</f>
        <v>Ёлка 1</v>
      </c>
      <c r="B4" cm="1">
        <f t="array" ref="B4">SUMIFS(Данные!$D$2:$D$341,Данные!$B$2:$B$341,$A4,Данные!$F$2:$F$341,B$1,Данные!$A$2:$A$341,"&gt;="&amp;Параметры!$B$1,Данные!$A$2:$A$341,"&lt;="&amp;Параметры!$B$2,Данные!$E$2:$E$341,Параметры!$B$4)</f>
        <v>0</v>
      </c>
      <c r="C4" cm="1">
        <f t="array" ref="C4">SUMIFS(Данные!$D$2:$D$341,Данные!$B$2:$B$341,$A4,Данные!$F$2:$F$341,C$1,Данные!$A$2:$A$341,"&gt;="&amp;Параметры!$B$1,Данные!$A$2:$A$341,"&lt;="&amp;Параметры!$B$2,Данные!$E$2:$E$341,Параметры!$B$4)</f>
        <v>0</v>
      </c>
      <c r="D4" cm="1">
        <f t="array" ref="D4">SUMIFS(Данные!$D$2:$D$341,Данные!$B$2:$B$341,$A4,Данные!$F$2:$F$341,D$1,Данные!$A$2:$A$341,"&gt;="&amp;Параметры!$B$1,Данные!$A$2:$A$341,"&lt;="&amp;Параметры!$B$2,Данные!$E$2:$E$341,Параметры!$B$4)</f>
        <v>0</v>
      </c>
      <c r="E4" cm="1">
        <f t="array" ref="E4">SUMIFS(Данные!$D$2:$D$341,Данные!$B$2:$B$341,$A4,Данные!$F$2:$F$341,E$1,Данные!$A$2:$A$341,"&gt;="&amp;Параметры!$B$1,Данные!$A$2:$A$341,"&lt;="&amp;Параметры!$B$2,Данные!$E$2:$E$341,Параметры!$B$4)</f>
        <v>0</v>
      </c>
      <c r="F4" cm="1">
        <f t="array" ref="F4">SUMIFS(Данные!$D$2:$D$341,Данные!$B$2:$B$341,$A4,Данные!$F$2:$F$341,F$1,Данные!$A$2:$A$341,"&gt;="&amp;Параметры!$B$1,Данные!$A$2:$A$341,"&lt;="&amp;Параметры!$B$2,Данные!$E$2:$E$341,Параметры!$B$4)</f>
        <v>0</v>
      </c>
      <c r="G4" cm="1">
        <f t="array" ref="G4">SUMIFS(Данные!$D$2:$D$341,Данные!$B$2:$B$341,$A4,Данные!$F$2:$F$341,G$1,Данные!$A$2:$A$341,"&gt;="&amp;Параметры!$B$1,Данные!$A$2:$A$341,"&lt;="&amp;Параметры!$B$2,Данные!$E$2:$E$341,Параметры!$B$4)</f>
        <v>222968.2</v>
      </c>
      <c r="H4" cm="1">
        <f t="array" ref="H4">SUMIFS(Данные!$D$2:$D$341,Данные!$B$2:$B$341,$A4,Данные!$F$2:$F$341,H$1,Данные!$A$2:$A$341,"&gt;="&amp;Параметры!$B$1,Данные!$A$2:$A$341,"&lt;="&amp;Параметры!$B$2,Данные!$E$2:$E$341,Параметры!$B$4)</f>
        <v>0</v>
      </c>
      <c r="I4" cm="1">
        <f t="array" ref="I4">SUMIFS(Данные!$D$2:$D$341,Данные!$B$2:$B$341,$A4,Данные!$F$2:$F$341,I$1,Данные!$A$2:$A$341,"&gt;="&amp;Параметры!$B$1,Данные!$A$2:$A$341,"&lt;="&amp;Параметры!$B$2,Данные!$E$2:$E$341,Параметры!$B$4)</f>
        <v>0</v>
      </c>
      <c r="J4" cm="1">
        <f t="array" ref="J4">SUMIFS(Данные!$D$2:$D$341,Данные!$B$2:$B$341,$A4,Данные!$F$2:$F$341,J$1,Данные!$A$2:$A$341,"&gt;="&amp;Параметры!$B$1,Данные!$A$2:$A$341,"&lt;="&amp;Параметры!$B$2,Данные!$E$2:$E$341,Параметры!$B$4)</f>
        <v>0</v>
      </c>
      <c r="K4" cm="1">
        <f t="array" ref="K4">SUMIFS(Данные!$D$2:$D$341,Данные!$B$2:$B$341,$A4,Данные!$F$2:$F$341,K$1,Данные!$A$2:$A$341,"&gt;="&amp;Параметры!$B$1,Данные!$A$2:$A$341,"&lt;="&amp;Параметры!$B$2,Данные!$E$2:$E$341,Параметры!$B$4)</f>
        <v>0</v>
      </c>
      <c r="L4" cm="1">
        <f t="array" ref="L4">SUMIFS(Данные!$D$2:$D$341,Данные!$B$2:$B$341,$A4,Данные!$F$2:$F$341,L$1,Данные!$A$2:$A$341,"&gt;="&amp;Параметры!$B$1,Данные!$A$2:$A$341,"&lt;="&amp;Параметры!$B$2,Данные!$E$2:$E$341,Параметры!$B$4)</f>
        <v>0</v>
      </c>
      <c r="M4" cm="1">
        <f t="array" ref="M4">SUMIFS(Данные!$D$2:$D$341,Данные!$B$2:$B$341,$A4,Данные!$F$2:$F$341,M$1,Данные!$A$2:$A$341,"&gt;="&amp;Параметры!$B$1,Данные!$A$2:$A$341,"&lt;="&amp;Параметры!$B$2,Данные!$E$2:$E$341,Параметры!$B$4)</f>
        <v>0</v>
      </c>
      <c r="N4" cm="1">
        <f t="array" ref="N4">SUMIFS(Данные!$D$2:$D$341,Данные!$B$2:$B$341,$A4,Данные!$F$2:$F$341,N$1,Данные!$A$2:$A$341,"&gt;="&amp;Параметры!$B$1,Данные!$A$2:$A$341,"&lt;="&amp;Параметры!$B$2,Данные!$E$2:$E$341,Параметры!$B$4)</f>
        <v>0</v>
      </c>
      <c r="O4" cm="1">
        <f t="array" ref="O4">SUMIFS(Данные!$D$2:$D$341,Данные!$B$2:$B$341,$A4,Данные!$F$2:$F$341,O$1,Данные!$A$2:$A$341,"&gt;="&amp;Параметры!$B$1,Данные!$A$2:$A$341,"&lt;="&amp;Параметры!$B$2,Данные!$E$2:$E$341,Параметры!$B$4)</f>
        <v>0</v>
      </c>
      <c r="P4" cm="1">
        <f t="array" ref="P4">SUMIFS(Данные!$D$2:$D$341,Данные!$B$2:$B$341,$A4,Данные!$F$2:$F$341,P$1,Данные!$A$2:$A$341,"&gt;="&amp;Параметры!$B$1,Данные!$A$2:$A$341,"&lt;="&amp;Параметры!$B$2,Данные!$E$2:$E$341,Параметры!$B$4)</f>
        <v>22033.51</v>
      </c>
      <c r="Q4" cm="1">
        <f t="array" ref="Q4">SUM(B4:P4)</f>
        <v>245001.71000000002</v>
      </c>
    </row>
    <row r="5" spans="1:17" x14ac:dyDescent="0.2">
      <c r="A5" t="str" cm="1">
        <f t="array" ref="A5">Статьи!A5</f>
        <v>Елка 1</v>
      </c>
      <c r="B5" cm="1">
        <f t="array" ref="B5">SUMIFS(Данные!$D$2:$D$341,Данные!$B$2:$B$341,$A5,Данные!$F$2:$F$341,B$1,Данные!$A$2:$A$341,"&gt;="&amp;Параметры!$B$1,Данные!$A$2:$A$341,"&lt;="&amp;Параметры!$B$2,Данные!$E$2:$E$341,Параметры!$B$4)</f>
        <v>0</v>
      </c>
      <c r="C5" cm="1">
        <f t="array" ref="C5">SUMIFS(Данные!$D$2:$D$341,Данные!$B$2:$B$341,$A5,Данные!$F$2:$F$341,C$1,Данные!$A$2:$A$341,"&gt;="&amp;Параметры!$B$1,Данные!$A$2:$A$341,"&lt;="&amp;Параметры!$B$2,Данные!$E$2:$E$341,Параметры!$B$4)</f>
        <v>230678.07</v>
      </c>
      <c r="D5" cm="1">
        <f t="array" ref="D5">SUMIFS(Данные!$D$2:$D$341,Данные!$B$2:$B$341,$A5,Данные!$F$2:$F$341,D$1,Данные!$A$2:$A$341,"&gt;="&amp;Параметры!$B$1,Данные!$A$2:$A$341,"&lt;="&amp;Параметры!$B$2,Данные!$E$2:$E$341,Параметры!$B$4)</f>
        <v>0</v>
      </c>
      <c r="E5" cm="1">
        <f t="array" ref="E5">SUMIFS(Данные!$D$2:$D$341,Данные!$B$2:$B$341,$A5,Данные!$F$2:$F$341,E$1,Данные!$A$2:$A$341,"&gt;="&amp;Параметры!$B$1,Данные!$A$2:$A$341,"&lt;="&amp;Параметры!$B$2,Данные!$E$2:$E$341,Параметры!$B$4)</f>
        <v>147133.95000000001</v>
      </c>
      <c r="F5" cm="1">
        <f t="array" ref="F5">SUMIFS(Данные!$D$2:$D$341,Данные!$B$2:$B$341,$A5,Данные!$F$2:$F$341,F$1,Данные!$A$2:$A$341,"&gt;="&amp;Параметры!$B$1,Данные!$A$2:$A$341,"&lt;="&amp;Параметры!$B$2,Данные!$E$2:$E$341,Параметры!$B$4)</f>
        <v>-73227.259999999995</v>
      </c>
      <c r="G5" cm="1">
        <f t="array" ref="G5">SUMIFS(Данные!$D$2:$D$341,Данные!$B$2:$B$341,$A5,Данные!$F$2:$F$341,G$1,Данные!$A$2:$A$341,"&gt;="&amp;Параметры!$B$1,Данные!$A$2:$A$341,"&lt;="&amp;Параметры!$B$2,Данные!$E$2:$E$341,Параметры!$B$4)</f>
        <v>285461.58</v>
      </c>
      <c r="H5" cm="1">
        <f t="array" ref="H5">SUMIFS(Данные!$D$2:$D$341,Данные!$B$2:$B$341,$A5,Данные!$F$2:$F$341,H$1,Данные!$A$2:$A$341,"&gt;="&amp;Параметры!$B$1,Данные!$A$2:$A$341,"&lt;="&amp;Параметры!$B$2,Данные!$E$2:$E$341,Параметры!$B$4)</f>
        <v>142440.89000000001</v>
      </c>
      <c r="I5" cm="1">
        <f t="array" ref="I5">SUMIFS(Данные!$D$2:$D$341,Данные!$B$2:$B$341,$A5,Данные!$F$2:$F$341,I$1,Данные!$A$2:$A$341,"&gt;="&amp;Параметры!$B$1,Данные!$A$2:$A$341,"&lt;="&amp;Параметры!$B$2,Данные!$E$2:$E$341,Параметры!$B$4)</f>
        <v>0</v>
      </c>
      <c r="J5" cm="1">
        <f t="array" ref="J5">SUMIFS(Данные!$D$2:$D$341,Данные!$B$2:$B$341,$A5,Данные!$F$2:$F$341,J$1,Данные!$A$2:$A$341,"&gt;="&amp;Параметры!$B$1,Данные!$A$2:$A$341,"&lt;="&amp;Параметры!$B$2,Данные!$E$2:$E$341,Параметры!$B$4)</f>
        <v>0</v>
      </c>
      <c r="K5" cm="1">
        <f t="array" ref="K5">SUMIFS(Данные!$D$2:$D$341,Данные!$B$2:$B$341,$A5,Данные!$F$2:$F$341,K$1,Данные!$A$2:$A$341,"&gt;="&amp;Параметры!$B$1,Данные!$A$2:$A$341,"&lt;="&amp;Параметры!$B$2,Данные!$E$2:$E$341,Параметры!$B$4)</f>
        <v>0</v>
      </c>
      <c r="L5" cm="1">
        <f t="array" ref="L5">SUMIFS(Данные!$D$2:$D$341,Данные!$B$2:$B$341,$A5,Данные!$F$2:$F$341,L$1,Данные!$A$2:$A$341,"&gt;="&amp;Параметры!$B$1,Данные!$A$2:$A$341,"&lt;="&amp;Параметры!$B$2,Данные!$E$2:$E$341,Параметры!$B$4)</f>
        <v>0</v>
      </c>
      <c r="M5" cm="1">
        <f t="array" ref="M5">SUMIFS(Данные!$D$2:$D$341,Данные!$B$2:$B$341,$A5,Данные!$F$2:$F$341,M$1,Данные!$A$2:$A$341,"&gt;="&amp;Параметры!$B$1,Данные!$A$2:$A$341,"&lt;="&amp;Параметры!$B$2,Данные!$E$2:$E$341,Параметры!$B$4)</f>
        <v>0</v>
      </c>
      <c r="N5" cm="1">
        <f t="array" ref="N5">SUMIFS(Данные!$D$2:$D$341,Данные!$B$2:$B$341,$A5,Данные!$F$2:$F$341,N$1,Данные!$A$2:$A$341,"&gt;="&amp;Параметры!$B$1,Данные!$A$2:$A$341,"&lt;="&amp;Параметры!$B$2,Данные!$E$2:$E$341,Параметры!$B$4)</f>
        <v>0</v>
      </c>
      <c r="O5" cm="1">
        <f t="array" ref="O5">SUMIFS(Данные!$D$2:$D$341,Данные!$B$2:$B$341,$A5,Данные!$F$2:$F$341,O$1,Данные!$A$2:$A$341,"&gt;="&amp;Параметры!$B$1,Данные!$A$2:$A$341,"&lt;="&amp;Параметры!$B$2,Данные!$E$2:$E$341,Параметры!$B$4)</f>
        <v>0</v>
      </c>
      <c r="P5" cm="1">
        <f t="array" ref="P5">SUMIFS(Данные!$D$2:$D$341,Данные!$B$2:$B$341,$A5,Данные!$F$2:$F$341,P$1,Данные!$A$2:$A$341,"&gt;="&amp;Параметры!$B$1,Данные!$A$2:$A$341,"&lt;="&amp;Параметры!$B$2,Данные!$E$2:$E$341,Параметры!$B$4)</f>
        <v>0</v>
      </c>
      <c r="Q5" cm="1">
        <f t="array" ref="Q5">SUM(B5:P5)</f>
        <v>732487.2300000001</v>
      </c>
    </row>
    <row r="6" spans="1:17" x14ac:dyDescent="0.2">
      <c r="A6" t="str" cm="1">
        <f t="array" ref="A6">Статьи!A6</f>
        <v>Аренда 1</v>
      </c>
      <c r="B6" cm="1">
        <f t="array" ref="B6">SUMIFS(Данные!$D$2:$D$341,Данные!$B$2:$B$341,$A6,Данные!$F$2:$F$341,B$1,Данные!$A$2:$A$341,"&gt;="&amp;Параметры!$B$1,Данные!$A$2:$A$341,"&lt;="&amp;Параметры!$B$2,Данные!$E$2:$E$341,Параметры!$B$4)</f>
        <v>345306.23</v>
      </c>
      <c r="C6" cm="1">
        <f t="array" ref="C6">SUMIFS(Данные!$D$2:$D$341,Данные!$B$2:$B$341,$A6,Данные!$F$2:$F$341,C$1,Данные!$A$2:$A$341,"&gt;="&amp;Параметры!$B$1,Данные!$A$2:$A$341,"&lt;="&amp;Параметры!$B$2,Данные!$E$2:$E$341,Параметры!$B$4)</f>
        <v>0</v>
      </c>
      <c r="D6" cm="1">
        <f t="array" ref="D6">SUMIFS(Данные!$D$2:$D$341,Данные!$B$2:$B$341,$A6,Данные!$F$2:$F$341,D$1,Данные!$A$2:$A$341,"&gt;="&amp;Параметры!$B$1,Данные!$A$2:$A$341,"&lt;="&amp;Параметры!$B$2,Данные!$E$2:$E$341,Параметры!$B$4)</f>
        <v>0</v>
      </c>
      <c r="E6" cm="1">
        <f t="array" ref="E6">SUMIFS(Данные!$D$2:$D$341,Данные!$B$2:$B$341,$A6,Данные!$F$2:$F$341,E$1,Данные!$A$2:$A$341,"&gt;="&amp;Параметры!$B$1,Данные!$A$2:$A$341,"&lt;="&amp;Параметры!$B$2,Данные!$E$2:$E$341,Параметры!$B$4)</f>
        <v>0</v>
      </c>
      <c r="F6" cm="1">
        <f t="array" ref="F6">SUMIFS(Данные!$D$2:$D$341,Данные!$B$2:$B$341,$A6,Данные!$F$2:$F$341,F$1,Данные!$A$2:$A$341,"&gt;="&amp;Параметры!$B$1,Данные!$A$2:$A$341,"&lt;="&amp;Параметры!$B$2,Данные!$E$2:$E$341,Параметры!$B$4)</f>
        <v>0</v>
      </c>
      <c r="G6" cm="1">
        <f t="array" ref="G6">SUMIFS(Данные!$D$2:$D$341,Данные!$B$2:$B$341,$A6,Данные!$F$2:$F$341,G$1,Данные!$A$2:$A$341,"&gt;="&amp;Параметры!$B$1,Данные!$A$2:$A$341,"&lt;="&amp;Параметры!$B$2,Данные!$E$2:$E$341,Параметры!$B$4)</f>
        <v>0</v>
      </c>
      <c r="H6" cm="1">
        <f t="array" ref="H6">SUMIFS(Данные!$D$2:$D$341,Данные!$B$2:$B$341,$A6,Данные!$F$2:$F$341,H$1,Данные!$A$2:$A$341,"&gt;="&amp;Параметры!$B$1,Данные!$A$2:$A$341,"&lt;="&amp;Параметры!$B$2,Данные!$E$2:$E$341,Параметры!$B$4)</f>
        <v>0</v>
      </c>
      <c r="I6" cm="1">
        <f t="array" ref="I6">SUMIFS(Данные!$D$2:$D$341,Данные!$B$2:$B$341,$A6,Данные!$F$2:$F$341,I$1,Данные!$A$2:$A$341,"&gt;="&amp;Параметры!$B$1,Данные!$A$2:$A$341,"&lt;="&amp;Параметры!$B$2,Данные!$E$2:$E$341,Параметры!$B$4)</f>
        <v>0</v>
      </c>
      <c r="J6" cm="1">
        <f t="array" ref="J6">SUMIFS(Данные!$D$2:$D$341,Данные!$B$2:$B$341,$A6,Данные!$F$2:$F$341,J$1,Данные!$A$2:$A$341,"&gt;="&amp;Параметры!$B$1,Данные!$A$2:$A$341,"&lt;="&amp;Параметры!$B$2,Данные!$E$2:$E$341,Параметры!$B$4)</f>
        <v>0</v>
      </c>
      <c r="K6" cm="1">
        <f t="array" ref="K6">SUMIFS(Данные!$D$2:$D$341,Данные!$B$2:$B$341,$A6,Данные!$F$2:$F$341,K$1,Данные!$A$2:$A$341,"&gt;="&amp;Параметры!$B$1,Данные!$A$2:$A$341,"&lt;="&amp;Параметры!$B$2,Данные!$E$2:$E$341,Параметры!$B$4)</f>
        <v>0</v>
      </c>
      <c r="L6" cm="1">
        <f t="array" ref="L6">SUMIFS(Данные!$D$2:$D$341,Данные!$B$2:$B$341,$A6,Данные!$F$2:$F$341,L$1,Данные!$A$2:$A$341,"&gt;="&amp;Параметры!$B$1,Данные!$A$2:$A$341,"&lt;="&amp;Параметры!$B$2,Данные!$E$2:$E$341,Параметры!$B$4)</f>
        <v>0</v>
      </c>
      <c r="M6" cm="1">
        <f t="array" ref="M6">SUMIFS(Данные!$D$2:$D$341,Данные!$B$2:$B$341,$A6,Данные!$F$2:$F$341,M$1,Данные!$A$2:$A$341,"&gt;="&amp;Параметры!$B$1,Данные!$A$2:$A$341,"&lt;="&amp;Параметры!$B$2,Данные!$E$2:$E$341,Параметры!$B$4)</f>
        <v>158877.32999999999</v>
      </c>
      <c r="N6" cm="1">
        <f t="array" ref="N6">SUMIFS(Данные!$D$2:$D$341,Данные!$B$2:$B$341,$A6,Данные!$F$2:$F$341,N$1,Данные!$A$2:$A$341,"&gt;="&amp;Параметры!$B$1,Данные!$A$2:$A$341,"&lt;="&amp;Параметры!$B$2,Данные!$E$2:$E$341,Параметры!$B$4)</f>
        <v>-41466.28</v>
      </c>
      <c r="O6" cm="1">
        <f t="array" ref="O6">SUMIFS(Данные!$D$2:$D$341,Данные!$B$2:$B$341,$A6,Данные!$F$2:$F$341,O$1,Данные!$A$2:$A$341,"&gt;="&amp;Параметры!$B$1,Данные!$A$2:$A$341,"&lt;="&amp;Параметры!$B$2,Данные!$E$2:$E$341,Параметры!$B$4)</f>
        <v>90275.12</v>
      </c>
      <c r="P6" cm="1">
        <f t="array" ref="P6">SUMIFS(Данные!$D$2:$D$341,Данные!$B$2:$B$341,$A6,Данные!$F$2:$F$341,P$1,Данные!$A$2:$A$341,"&gt;="&amp;Параметры!$B$1,Данные!$A$2:$A$341,"&lt;="&amp;Параметры!$B$2,Данные!$E$2:$E$341,Параметры!$B$4)</f>
        <v>0</v>
      </c>
      <c r="Q6" cm="1">
        <f t="array" ref="Q6">SUM(B6:P6)</f>
        <v>552992.39999999991</v>
      </c>
    </row>
    <row r="7" spans="1:17" x14ac:dyDescent="0.2">
      <c r="A7" t="s">
        <v>459</v>
      </c>
      <c r="B7" cm="1">
        <f t="array" ref="B7">SUM(B2:B6)</f>
        <v>345306.23</v>
      </c>
      <c r="C7" cm="1">
        <f t="array" ref="C7">SUM(C2:C6)</f>
        <v>483898.62</v>
      </c>
      <c r="D7" cm="1">
        <f t="array" ref="D7">SUM(D2:D6)</f>
        <v>0</v>
      </c>
      <c r="E7" cm="1">
        <f t="array" ref="E7">SUM(E2:E6)</f>
        <v>147133.95000000001</v>
      </c>
      <c r="F7" cm="1">
        <f t="array" ref="F7">SUM(F2:F6)</f>
        <v>-73227.259999999995</v>
      </c>
      <c r="G7" cm="1">
        <f t="array" ref="G7">SUM(G2:G6)</f>
        <v>1143562.6800000002</v>
      </c>
      <c r="H7" cm="1">
        <f t="array" ref="H7">SUM(H2:H6)</f>
        <v>142440.89000000001</v>
      </c>
      <c r="I7" cm="1">
        <f t="array" ref="I7">SUM(I2:I6)</f>
        <v>-6678.65</v>
      </c>
      <c r="J7" cm="1">
        <f t="array" ref="J7">SUM(J2:J6)</f>
        <v>359716.92</v>
      </c>
      <c r="K7" cm="1">
        <f t="array" ref="K7">SUM(K2:K6)</f>
        <v>206959.82</v>
      </c>
      <c r="L7" cm="1">
        <f t="array" ref="L7">SUM(L2:L6)</f>
        <v>383996.88</v>
      </c>
      <c r="M7" cm="1">
        <f t="array" ref="M7">SUM(M2:M6)</f>
        <v>158877.32999999999</v>
      </c>
      <c r="N7" cm="1">
        <f t="array" ref="N7">SUM(N2:N6)</f>
        <v>-52927.92</v>
      </c>
      <c r="O7" cm="1">
        <f t="array" ref="O7">SUM(O2:O6)</f>
        <v>403389.68</v>
      </c>
      <c r="P7" cm="1">
        <f t="array" ref="P7">SUM(P2:P6)</f>
        <v>22033.51</v>
      </c>
      <c r="Q7" cm="1">
        <f t="array" ref="Q7">SUM(Q2:Q6)</f>
        <v>3664482.68</v>
      </c>
    </row>
    <row r="8" spans="1:17" x14ac:dyDescent="0.2">
      <c r="A8" t="str" cm="1">
        <f t="array" ref="A8">Статьи!A7</f>
        <v>Связь 1</v>
      </c>
      <c r="B8" cm="1">
        <f t="array" ref="B8">SUMIFS(Данные!$D$2:$D$341,Данные!$B$2:$B$341,$A8,Данные!$F$2:$F$341,B$1,Данные!$A$2:$A$341,"&gt;="&amp;Параметры!$B$1,Данные!$A$2:$A$341,"&lt;="&amp;Параметры!$B$2,Данные!$E$2:$E$341,Параметры!$B$4)</f>
        <v>0</v>
      </c>
      <c r="C8" cm="1">
        <f t="array" ref="C8">SUMIFS(Данные!$D$2:$D$341,Данные!$B$2:$B$341,$A8,Данные!$F$2:$F$341,C$1,Данные!$A$2:$A$341,"&gt;="&amp;Параметры!$B$1,Данные!$A$2:$A$341,"&lt;="&amp;Параметры!$B$2,Данные!$E$2:$E$341,Параметры!$B$4)</f>
        <v>0</v>
      </c>
      <c r="D8" cm="1">
        <f t="array" ref="D8">SUMIFS(Данные!$D$2:$D$341,Данные!$B$2:$B$341,$A8,Данные!$F$2:$F$341,D$1,Данные!$A$2:$A$341,"&gt;="&amp;Параметры!$B$1,Данные!$A$2:$A$341,"&lt;="&amp;Параметры!$B$2,Данные!$E$2:$E$341,Параметры!$B$4)</f>
        <v>78369.710000000006</v>
      </c>
      <c r="E8" cm="1">
        <f t="array" ref="E8">SUMIFS(Данные!$D$2:$D$341,Данные!$B$2:$B$341,$A8,Данные!$F$2:$F$341,E$1,Данные!$A$2:$A$341,"&gt;="&amp;Параметры!$B$1,Данные!$A$2:$A$341,"&lt;="&amp;Параметры!$B$2,Данные!$E$2:$E$341,Параметры!$B$4)</f>
        <v>290338.51</v>
      </c>
      <c r="F8" cm="1">
        <f t="array" ref="F8">SUMIFS(Данные!$D$2:$D$341,Данные!$B$2:$B$341,$A8,Данные!$F$2:$F$341,F$1,Данные!$A$2:$A$341,"&gt;="&amp;Параметры!$B$1,Данные!$A$2:$A$341,"&lt;="&amp;Параметры!$B$2,Данные!$E$2:$E$341,Параметры!$B$4)</f>
        <v>0</v>
      </c>
      <c r="G8" cm="1">
        <f t="array" ref="G8">SUMIFS(Данные!$D$2:$D$341,Данные!$B$2:$B$341,$A8,Данные!$F$2:$F$341,G$1,Данные!$A$2:$A$341,"&gt;="&amp;Параметры!$B$1,Данные!$A$2:$A$341,"&lt;="&amp;Параметры!$B$2,Данные!$E$2:$E$341,Параметры!$B$4)</f>
        <v>0</v>
      </c>
      <c r="H8" cm="1">
        <f t="array" ref="H8">SUMIFS(Данные!$D$2:$D$341,Данные!$B$2:$B$341,$A8,Данные!$F$2:$F$341,H$1,Данные!$A$2:$A$341,"&gt;="&amp;Параметры!$B$1,Данные!$A$2:$A$341,"&lt;="&amp;Параметры!$B$2,Данные!$E$2:$E$341,Параметры!$B$4)</f>
        <v>0</v>
      </c>
      <c r="I8" cm="1">
        <f t="array" ref="I8">SUMIFS(Данные!$D$2:$D$341,Данные!$B$2:$B$341,$A8,Данные!$F$2:$F$341,I$1,Данные!$A$2:$A$341,"&gt;="&amp;Параметры!$B$1,Данные!$A$2:$A$341,"&lt;="&amp;Параметры!$B$2,Данные!$E$2:$E$341,Параметры!$B$4)</f>
        <v>0</v>
      </c>
      <c r="J8" cm="1">
        <f t="array" ref="J8">SUMIFS(Данные!$D$2:$D$341,Данные!$B$2:$B$341,$A8,Данные!$F$2:$F$341,J$1,Данные!$A$2:$A$341,"&gt;="&amp;Параметры!$B$1,Данные!$A$2:$A$341,"&lt;="&amp;Параметры!$B$2,Данные!$E$2:$E$341,Параметры!$B$4)</f>
        <v>0</v>
      </c>
      <c r="K8" cm="1">
        <f t="array" ref="K8">SUMIFS(Данные!$D$2:$D$341,Данные!$B$2:$B$341,$A8,Данные!$F$2:$F$341,K$1,Данные!$A$2:$A$341,"&gt;="&amp;Параметры!$B$1,Данные!$A$2:$A$341,"&lt;="&amp;Параметры!$B$2,Данные!$E$2:$E$341,Параметры!$B$4)</f>
        <v>0</v>
      </c>
      <c r="L8" cm="1">
        <f t="array" ref="L8">SUMIFS(Данные!$D$2:$D$341,Данные!$B$2:$B$341,$A8,Данные!$F$2:$F$341,L$1,Данные!$A$2:$A$341,"&gt;="&amp;Параметры!$B$1,Данные!$A$2:$A$341,"&lt;="&amp;Параметры!$B$2,Данные!$E$2:$E$341,Параметры!$B$4)</f>
        <v>0</v>
      </c>
      <c r="M8" cm="1">
        <f t="array" ref="M8">SUMIFS(Данные!$D$2:$D$341,Данные!$B$2:$B$341,$A8,Данные!$F$2:$F$341,M$1,Данные!$A$2:$A$341,"&gt;="&amp;Параметры!$B$1,Данные!$A$2:$A$341,"&lt;="&amp;Параметры!$B$2,Данные!$E$2:$E$341,Параметры!$B$4)</f>
        <v>0</v>
      </c>
      <c r="N8" cm="1">
        <f t="array" ref="N8">SUMIFS(Данные!$D$2:$D$341,Данные!$B$2:$B$341,$A8,Данные!$F$2:$F$341,N$1,Данные!$A$2:$A$341,"&gt;="&amp;Параметры!$B$1,Данные!$A$2:$A$341,"&lt;="&amp;Параметры!$B$2,Данные!$E$2:$E$341,Параметры!$B$4)</f>
        <v>0</v>
      </c>
      <c r="O8" cm="1">
        <f t="array" ref="O8">SUMIFS(Данные!$D$2:$D$341,Данные!$B$2:$B$341,$A8,Данные!$F$2:$F$341,O$1,Данные!$A$2:$A$341,"&gt;="&amp;Параметры!$B$1,Данные!$A$2:$A$341,"&lt;="&amp;Параметры!$B$2,Данные!$E$2:$E$341,Параметры!$B$4)</f>
        <v>221278.21</v>
      </c>
      <c r="P8" cm="1">
        <f t="array" ref="P8">SUMIFS(Данные!$D$2:$D$341,Данные!$B$2:$B$341,$A8,Данные!$F$2:$F$341,P$1,Данные!$A$2:$A$341,"&gt;="&amp;Параметры!$B$1,Данные!$A$2:$A$341,"&lt;="&amp;Параметры!$B$2,Данные!$E$2:$E$341,Параметры!$B$4)</f>
        <v>0</v>
      </c>
      <c r="Q8" cm="1">
        <f t="array" ref="Q8">SUM(B8:P8)</f>
        <v>589986.43000000005</v>
      </c>
    </row>
    <row r="9" spans="1:17" x14ac:dyDescent="0.2">
      <c r="A9" t="str" cm="1">
        <f t="array" ref="A9">Статьи!A8</f>
        <v>Налог 1</v>
      </c>
      <c r="B9" cm="1">
        <f t="array" ref="B9">SUMIFS(Данные!$D$2:$D$341,Данные!$B$2:$B$341,$A9,Данные!$F$2:$F$341,B$1,Данные!$A$2:$A$341,"&gt;="&amp;Параметры!$B$1,Данные!$A$2:$A$341,"&lt;="&amp;Параметры!$B$2,Данные!$E$2:$E$341,Параметры!$B$4)</f>
        <v>0</v>
      </c>
      <c r="C9" cm="1">
        <f t="array" ref="C9">SUMIFS(Данные!$D$2:$D$341,Данные!$B$2:$B$341,$A9,Данные!$F$2:$F$341,C$1,Данные!$A$2:$A$341,"&gt;="&amp;Параметры!$B$1,Данные!$A$2:$A$341,"&lt;="&amp;Параметры!$B$2,Данные!$E$2:$E$341,Параметры!$B$4)</f>
        <v>24606.32</v>
      </c>
      <c r="D9" cm="1">
        <f t="array" ref="D9">SUMIFS(Данные!$D$2:$D$341,Данные!$B$2:$B$341,$A9,Данные!$F$2:$F$341,D$1,Данные!$A$2:$A$341,"&gt;="&amp;Параметры!$B$1,Данные!$A$2:$A$341,"&lt;="&amp;Параметры!$B$2,Данные!$E$2:$E$341,Параметры!$B$4)</f>
        <v>0</v>
      </c>
      <c r="E9" cm="1">
        <f t="array" ref="E9">SUMIFS(Данные!$D$2:$D$341,Данные!$B$2:$B$341,$A9,Данные!$F$2:$F$341,E$1,Данные!$A$2:$A$341,"&gt;="&amp;Параметры!$B$1,Данные!$A$2:$A$341,"&lt;="&amp;Параметры!$B$2,Данные!$E$2:$E$341,Параметры!$B$4)</f>
        <v>94760.89</v>
      </c>
      <c r="F9" cm="1">
        <f t="array" ref="F9">SUMIFS(Данные!$D$2:$D$341,Данные!$B$2:$B$341,$A9,Данные!$F$2:$F$341,F$1,Данные!$A$2:$A$341,"&gt;="&amp;Параметры!$B$1,Данные!$A$2:$A$341,"&lt;="&amp;Параметры!$B$2,Данные!$E$2:$E$341,Параметры!$B$4)</f>
        <v>0</v>
      </c>
      <c r="G9" cm="1">
        <f t="array" ref="G9">SUMIFS(Данные!$D$2:$D$341,Данные!$B$2:$B$341,$A9,Данные!$F$2:$F$341,G$1,Данные!$A$2:$A$341,"&gt;="&amp;Параметры!$B$1,Данные!$A$2:$A$341,"&lt;="&amp;Параметры!$B$2,Данные!$E$2:$E$341,Параметры!$B$4)</f>
        <v>0</v>
      </c>
      <c r="H9" cm="1">
        <f t="array" ref="H9">SUMIFS(Данные!$D$2:$D$341,Данные!$B$2:$B$341,$A9,Данные!$F$2:$F$341,H$1,Данные!$A$2:$A$341,"&gt;="&amp;Параметры!$B$1,Данные!$A$2:$A$341,"&lt;="&amp;Параметры!$B$2,Данные!$E$2:$E$341,Параметры!$B$4)</f>
        <v>0</v>
      </c>
      <c r="I9" cm="1">
        <f t="array" ref="I9">SUMIFS(Данные!$D$2:$D$341,Данные!$B$2:$B$341,$A9,Данные!$F$2:$F$341,I$1,Данные!$A$2:$A$341,"&gt;="&amp;Параметры!$B$1,Данные!$A$2:$A$341,"&lt;="&amp;Параметры!$B$2,Данные!$E$2:$E$341,Параметры!$B$4)</f>
        <v>0</v>
      </c>
      <c r="J9" cm="1">
        <f t="array" ref="J9">SUMIFS(Данные!$D$2:$D$341,Данные!$B$2:$B$341,$A9,Данные!$F$2:$F$341,J$1,Данные!$A$2:$A$341,"&gt;="&amp;Параметры!$B$1,Данные!$A$2:$A$341,"&lt;="&amp;Параметры!$B$2,Данные!$E$2:$E$341,Параметры!$B$4)</f>
        <v>0</v>
      </c>
      <c r="K9" cm="1">
        <f t="array" ref="K9">SUMIFS(Данные!$D$2:$D$341,Данные!$B$2:$B$341,$A9,Данные!$F$2:$F$341,K$1,Данные!$A$2:$A$341,"&gt;="&amp;Параметры!$B$1,Данные!$A$2:$A$341,"&lt;="&amp;Параметры!$B$2,Данные!$E$2:$E$341,Параметры!$B$4)</f>
        <v>293045.7</v>
      </c>
      <c r="L9" cm="1">
        <f t="array" ref="L9">SUMIFS(Данные!$D$2:$D$341,Данные!$B$2:$B$341,$A9,Данные!$F$2:$F$341,L$1,Данные!$A$2:$A$341,"&gt;="&amp;Параметры!$B$1,Данные!$A$2:$A$341,"&lt;="&amp;Параметры!$B$2,Данные!$E$2:$E$341,Параметры!$B$4)</f>
        <v>0</v>
      </c>
      <c r="M9" cm="1">
        <f t="array" ref="M9">SUMIFS(Данные!$D$2:$D$341,Данные!$B$2:$B$341,$A9,Данные!$F$2:$F$341,M$1,Данные!$A$2:$A$341,"&gt;="&amp;Параметры!$B$1,Данные!$A$2:$A$341,"&lt;="&amp;Параметры!$B$2,Данные!$E$2:$E$341,Параметры!$B$4)</f>
        <v>0</v>
      </c>
      <c r="N9" cm="1">
        <f t="array" ref="N9">SUMIFS(Данные!$D$2:$D$341,Данные!$B$2:$B$341,$A9,Данные!$F$2:$F$341,N$1,Данные!$A$2:$A$341,"&gt;="&amp;Параметры!$B$1,Данные!$A$2:$A$341,"&lt;="&amp;Параметры!$B$2,Данные!$E$2:$E$341,Параметры!$B$4)</f>
        <v>111194.88</v>
      </c>
      <c r="O9" cm="1">
        <f t="array" ref="O9">SUMIFS(Данные!$D$2:$D$341,Данные!$B$2:$B$341,$A9,Данные!$F$2:$F$341,O$1,Данные!$A$2:$A$341,"&gt;="&amp;Параметры!$B$1,Данные!$A$2:$A$341,"&lt;="&amp;Параметры!$B$2,Данные!$E$2:$E$341,Параметры!$B$4)</f>
        <v>-64864.23</v>
      </c>
      <c r="P9" cm="1">
        <f t="array" ref="P9">SUMIFS(Данные!$D$2:$D$341,Данные!$B$2:$B$341,$A9,Данные!$F$2:$F$341,P$1,Данные!$A$2:$A$341,"&gt;="&amp;Параметры!$B$1,Данные!$A$2:$A$341,"&lt;="&amp;Параметры!$B$2,Данные!$E$2:$E$341,Параметры!$B$4)</f>
        <v>0</v>
      </c>
      <c r="Q9" cm="1">
        <f t="array" ref="Q9">SUM(B9:P9)</f>
        <v>458743.56000000006</v>
      </c>
    </row>
    <row r="10" spans="1:17" x14ac:dyDescent="0.2">
      <c r="A10" t="str" cm="1">
        <f t="array" ref="A10">Статьи!A9</f>
        <v>Доход 1</v>
      </c>
      <c r="B10" cm="1">
        <f t="array" ref="B10">SUMIFS(Данные!$D$2:$D$341,Данные!$B$2:$B$341,$A10,Данные!$F$2:$F$341,B$1,Данные!$A$2:$A$341,"&gt;="&amp;Параметры!$B$1,Данные!$A$2:$A$341,"&lt;="&amp;Параметры!$B$2,Данные!$E$2:$E$341,Параметры!$B$4)</f>
        <v>242812.16</v>
      </c>
      <c r="C10" cm="1">
        <f t="array" ref="C10">SUMIFS(Данные!$D$2:$D$341,Данные!$B$2:$B$341,$A10,Данные!$F$2:$F$341,C$1,Данные!$A$2:$A$341,"&gt;="&amp;Параметры!$B$1,Данные!$A$2:$A$341,"&lt;="&amp;Параметры!$B$2,Данные!$E$2:$E$341,Параметры!$B$4)</f>
        <v>0</v>
      </c>
      <c r="D10" cm="1">
        <f t="array" ref="D10">SUMIFS(Данные!$D$2:$D$341,Данные!$B$2:$B$341,$A10,Данные!$F$2:$F$341,D$1,Данные!$A$2:$A$341,"&gt;="&amp;Параметры!$B$1,Данные!$A$2:$A$341,"&lt;="&amp;Параметры!$B$2,Данные!$E$2:$E$341,Параметры!$B$4)</f>
        <v>147137.49</v>
      </c>
      <c r="E10" cm="1">
        <f t="array" ref="E10">SUMIFS(Данные!$D$2:$D$341,Данные!$B$2:$B$341,$A10,Данные!$F$2:$F$341,E$1,Данные!$A$2:$A$341,"&gt;="&amp;Параметры!$B$1,Данные!$A$2:$A$341,"&lt;="&amp;Параметры!$B$2,Данные!$E$2:$E$341,Параметры!$B$4)</f>
        <v>0</v>
      </c>
      <c r="F10" cm="1">
        <f t="array" ref="F10">SUMIFS(Данные!$D$2:$D$341,Данные!$B$2:$B$341,$A10,Данные!$F$2:$F$341,F$1,Данные!$A$2:$A$341,"&gt;="&amp;Параметры!$B$1,Данные!$A$2:$A$341,"&lt;="&amp;Параметры!$B$2,Данные!$E$2:$E$341,Параметры!$B$4)</f>
        <v>0</v>
      </c>
      <c r="G10" cm="1">
        <f t="array" ref="G10">SUMIFS(Данные!$D$2:$D$341,Данные!$B$2:$B$341,$A10,Данные!$F$2:$F$341,G$1,Данные!$A$2:$A$341,"&gt;="&amp;Параметры!$B$1,Данные!$A$2:$A$341,"&lt;="&amp;Параметры!$B$2,Данные!$E$2:$E$341,Параметры!$B$4)</f>
        <v>0</v>
      </c>
      <c r="H10" cm="1">
        <f t="array" ref="H10">SUMIFS(Данные!$D$2:$D$341,Данные!$B$2:$B$341,$A10,Данные!$F$2:$F$341,H$1,Данные!$A$2:$A$341,"&gt;="&amp;Параметры!$B$1,Данные!$A$2:$A$341,"&lt;="&amp;Параметры!$B$2,Данные!$E$2:$E$341,Параметры!$B$4)</f>
        <v>0</v>
      </c>
      <c r="I10" cm="1">
        <f t="array" ref="I10">SUMIFS(Данные!$D$2:$D$341,Данные!$B$2:$B$341,$A10,Данные!$F$2:$F$341,I$1,Данные!$A$2:$A$341,"&gt;="&amp;Параметры!$B$1,Данные!$A$2:$A$341,"&lt;="&amp;Параметры!$B$2,Данные!$E$2:$E$341,Параметры!$B$4)</f>
        <v>0</v>
      </c>
      <c r="J10" cm="1">
        <f t="array" ref="J10">SUMIFS(Данные!$D$2:$D$341,Данные!$B$2:$B$341,$A10,Данные!$F$2:$F$341,J$1,Данные!$A$2:$A$341,"&gt;="&amp;Параметры!$B$1,Данные!$A$2:$A$341,"&lt;="&amp;Параметры!$B$2,Данные!$E$2:$E$341,Параметры!$B$4)</f>
        <v>386326.05</v>
      </c>
      <c r="K10" cm="1">
        <f t="array" ref="K10">SUMIFS(Данные!$D$2:$D$341,Данные!$B$2:$B$341,$A10,Данные!$F$2:$F$341,K$1,Данные!$A$2:$A$341,"&gt;="&amp;Параметры!$B$1,Данные!$A$2:$A$341,"&lt;="&amp;Параметры!$B$2,Данные!$E$2:$E$341,Параметры!$B$4)</f>
        <v>0</v>
      </c>
      <c r="L10" cm="1">
        <f t="array" ref="L10">SUMIFS(Данные!$D$2:$D$341,Данные!$B$2:$B$341,$A10,Данные!$F$2:$F$341,L$1,Данные!$A$2:$A$341,"&gt;="&amp;Параметры!$B$1,Данные!$A$2:$A$341,"&lt;="&amp;Параметры!$B$2,Данные!$E$2:$E$341,Параметры!$B$4)</f>
        <v>0</v>
      </c>
      <c r="M10" cm="1">
        <f t="array" ref="M10">SUMIFS(Данные!$D$2:$D$341,Данные!$B$2:$B$341,$A10,Данные!$F$2:$F$341,M$1,Данные!$A$2:$A$341,"&gt;="&amp;Параметры!$B$1,Данные!$A$2:$A$341,"&lt;="&amp;Параметры!$B$2,Данные!$E$2:$E$341,Параметры!$B$4)</f>
        <v>0</v>
      </c>
      <c r="N10" cm="1">
        <f t="array" ref="N10">SUMIFS(Данные!$D$2:$D$341,Данные!$B$2:$B$341,$A10,Данные!$F$2:$F$341,N$1,Данные!$A$2:$A$341,"&gt;="&amp;Параметры!$B$1,Данные!$A$2:$A$341,"&lt;="&amp;Параметры!$B$2,Данные!$E$2:$E$341,Параметры!$B$4)</f>
        <v>0</v>
      </c>
      <c r="O10" cm="1">
        <f t="array" ref="O10">SUMIFS(Данные!$D$2:$D$341,Данные!$B$2:$B$341,$A10,Данные!$F$2:$F$341,O$1,Данные!$A$2:$A$341,"&gt;="&amp;Параметры!$B$1,Данные!$A$2:$A$341,"&lt;="&amp;Параметры!$B$2,Данные!$E$2:$E$341,Параметры!$B$4)</f>
        <v>0</v>
      </c>
      <c r="P10" cm="1">
        <f t="array" ref="P10">SUMIFS(Данные!$D$2:$D$341,Данные!$B$2:$B$341,$A10,Данные!$F$2:$F$341,P$1,Данные!$A$2:$A$341,"&gt;="&amp;Параметры!$B$1,Данные!$A$2:$A$341,"&lt;="&amp;Параметры!$B$2,Данные!$E$2:$E$341,Параметры!$B$4)</f>
        <v>0</v>
      </c>
      <c r="Q10" cm="1">
        <f t="array" ref="Q10">SUM(B10:P10)</f>
        <v>776275.7</v>
      </c>
    </row>
    <row r="11" spans="1:17" x14ac:dyDescent="0.2">
      <c r="A11" t="str" cm="1">
        <f t="array" ref="A11">Статьи!A10</f>
        <v>Сырьё 1</v>
      </c>
      <c r="B11" cm="1">
        <f t="array" ref="B11">SUMIFS(Данные!$D$2:$D$341,Данные!$B$2:$B$341,$A11,Данные!$F$2:$F$341,B$1,Данные!$A$2:$A$341,"&gt;="&amp;Параметры!$B$1,Данные!$A$2:$A$341,"&lt;="&amp;Параметры!$B$2,Данные!$E$2:$E$341,Параметры!$B$4)</f>
        <v>-11898.349999999991</v>
      </c>
      <c r="C11" cm="1">
        <f t="array" ref="C11">SUMIFS(Данные!$D$2:$D$341,Данные!$B$2:$B$341,$A11,Данные!$F$2:$F$341,C$1,Данные!$A$2:$A$341,"&gt;="&amp;Параметры!$B$1,Данные!$A$2:$A$341,"&lt;="&amp;Параметры!$B$2,Данные!$E$2:$E$341,Параметры!$B$4)</f>
        <v>258321.64</v>
      </c>
      <c r="D11" cm="1">
        <f t="array" ref="D11">SUMIFS(Данные!$D$2:$D$341,Данные!$B$2:$B$341,$A11,Данные!$F$2:$F$341,D$1,Данные!$A$2:$A$341,"&gt;="&amp;Параметры!$B$1,Данные!$A$2:$A$341,"&lt;="&amp;Параметры!$B$2,Данные!$E$2:$E$341,Параметры!$B$4)</f>
        <v>326886.84999999998</v>
      </c>
      <c r="E11" cm="1">
        <f t="array" ref="E11">SUMIFS(Данные!$D$2:$D$341,Данные!$B$2:$B$341,$A11,Данные!$F$2:$F$341,E$1,Данные!$A$2:$A$341,"&gt;="&amp;Параметры!$B$1,Данные!$A$2:$A$341,"&lt;="&amp;Параметры!$B$2,Данные!$E$2:$E$341,Параметры!$B$4)</f>
        <v>160679.82999999999</v>
      </c>
      <c r="F11" cm="1">
        <f t="array" ref="F11">SUMIFS(Данные!$D$2:$D$341,Данные!$B$2:$B$341,$A11,Данные!$F$2:$F$341,F$1,Данные!$A$2:$A$341,"&gt;="&amp;Параметры!$B$1,Данные!$A$2:$A$341,"&lt;="&amp;Параметры!$B$2,Данные!$E$2:$E$341,Параметры!$B$4)</f>
        <v>207081.28</v>
      </c>
      <c r="G11" cm="1">
        <f t="array" ref="G11">SUMIFS(Данные!$D$2:$D$341,Данные!$B$2:$B$341,$A11,Данные!$F$2:$F$341,G$1,Данные!$A$2:$A$341,"&gt;="&amp;Параметры!$B$1,Данные!$A$2:$A$341,"&lt;="&amp;Параметры!$B$2,Данные!$E$2:$E$341,Параметры!$B$4)</f>
        <v>0</v>
      </c>
      <c r="H11" cm="1">
        <f t="array" ref="H11">SUMIFS(Данные!$D$2:$D$341,Данные!$B$2:$B$341,$A11,Данные!$F$2:$F$341,H$1,Данные!$A$2:$A$341,"&gt;="&amp;Параметры!$B$1,Данные!$A$2:$A$341,"&lt;="&amp;Параметры!$B$2,Данные!$E$2:$E$341,Параметры!$B$4)</f>
        <v>0</v>
      </c>
      <c r="I11" cm="1">
        <f t="array" ref="I11">SUMIFS(Данные!$D$2:$D$341,Данные!$B$2:$B$341,$A11,Данные!$F$2:$F$341,I$1,Данные!$A$2:$A$341,"&gt;="&amp;Параметры!$B$1,Данные!$A$2:$A$341,"&lt;="&amp;Параметры!$B$2,Данные!$E$2:$E$341,Параметры!$B$4)</f>
        <v>0</v>
      </c>
      <c r="J11" cm="1">
        <f t="array" ref="J11">SUMIFS(Данные!$D$2:$D$341,Данные!$B$2:$B$341,$A11,Данные!$F$2:$F$341,J$1,Данные!$A$2:$A$341,"&gt;="&amp;Параметры!$B$1,Данные!$A$2:$A$341,"&lt;="&amp;Параметры!$B$2,Данные!$E$2:$E$341,Параметры!$B$4)</f>
        <v>339107.89</v>
      </c>
      <c r="K11" cm="1">
        <f t="array" ref="K11">SUMIFS(Данные!$D$2:$D$341,Данные!$B$2:$B$341,$A11,Данные!$F$2:$F$341,K$1,Данные!$A$2:$A$341,"&gt;="&amp;Параметры!$B$1,Данные!$A$2:$A$341,"&lt;="&amp;Параметры!$B$2,Данные!$E$2:$E$341,Параметры!$B$4)</f>
        <v>0</v>
      </c>
      <c r="L11" cm="1">
        <f t="array" ref="L11">SUMIFS(Данные!$D$2:$D$341,Данные!$B$2:$B$341,$A11,Данные!$F$2:$F$341,L$1,Данные!$A$2:$A$341,"&gt;="&amp;Параметры!$B$1,Данные!$A$2:$A$341,"&lt;="&amp;Параметры!$B$2,Данные!$E$2:$E$341,Параметры!$B$4)</f>
        <v>0</v>
      </c>
      <c r="M11" cm="1">
        <f t="array" ref="M11">SUMIFS(Данные!$D$2:$D$341,Данные!$B$2:$B$341,$A11,Данные!$F$2:$F$341,M$1,Данные!$A$2:$A$341,"&gt;="&amp;Параметры!$B$1,Данные!$A$2:$A$341,"&lt;="&amp;Параметры!$B$2,Данные!$E$2:$E$341,Параметры!$B$4)</f>
        <v>0</v>
      </c>
      <c r="N11" cm="1">
        <f t="array" ref="N11">SUMIFS(Данные!$D$2:$D$341,Данные!$B$2:$B$341,$A11,Данные!$F$2:$F$341,N$1,Данные!$A$2:$A$341,"&gt;="&amp;Параметры!$B$1,Данные!$A$2:$A$341,"&lt;="&amp;Параметры!$B$2,Данные!$E$2:$E$341,Параметры!$B$4)</f>
        <v>0</v>
      </c>
      <c r="O11" cm="1">
        <f t="array" ref="O11">SUMIFS(Данные!$D$2:$D$341,Данные!$B$2:$B$341,$A11,Данные!$F$2:$F$341,O$1,Данные!$A$2:$A$341,"&gt;="&amp;Параметры!$B$1,Данные!$A$2:$A$341,"&lt;="&amp;Параметры!$B$2,Данные!$E$2:$E$341,Параметры!$B$4)</f>
        <v>10677.33</v>
      </c>
      <c r="P11" cm="1">
        <f t="array" ref="P11">SUMIFS(Данные!$D$2:$D$341,Данные!$B$2:$B$341,$A11,Данные!$F$2:$F$341,P$1,Данные!$A$2:$A$341,"&gt;="&amp;Параметры!$B$1,Данные!$A$2:$A$341,"&lt;="&amp;Параметры!$B$2,Данные!$E$2:$E$341,Параметры!$B$4)</f>
        <v>53759.45</v>
      </c>
      <c r="Q11" cm="1">
        <f t="array" ref="Q11">SUM(B11:P11)</f>
        <v>1344615.9200000002</v>
      </c>
    </row>
    <row r="12" spans="1:17" x14ac:dyDescent="0.2">
      <c r="A12" t="str" cm="1">
        <f t="array" ref="A12">Статьи!A11</f>
        <v>Сырье 1</v>
      </c>
      <c r="B12" cm="1">
        <f t="array" ref="B12">SUMIFS(Данные!$D$2:$D$341,Данные!$B$2:$B$341,$A12,Данные!$F$2:$F$341,B$1,Данные!$A$2:$A$341,"&gt;="&amp;Параметры!$B$1,Данные!$A$2:$A$341,"&lt;="&amp;Параметры!$B$2,Данные!$E$2:$E$341,Параметры!$B$4)</f>
        <v>0</v>
      </c>
      <c r="C12" cm="1">
        <f t="array" ref="C12">SUMIFS(Данные!$D$2:$D$341,Данные!$B$2:$B$341,$A12,Данные!$F$2:$F$341,C$1,Данные!$A$2:$A$341,"&gt;="&amp;Параметры!$B$1,Данные!$A$2:$A$341,"&lt;="&amp;Параметры!$B$2,Данные!$E$2:$E$341,Параметры!$B$4)</f>
        <v>-31559.73</v>
      </c>
      <c r="D12" cm="1">
        <f t="array" ref="D12">SUMIFS(Данные!$D$2:$D$341,Данные!$B$2:$B$341,$A12,Данные!$F$2:$F$341,D$1,Данные!$A$2:$A$341,"&gt;="&amp;Параметры!$B$1,Данные!$A$2:$A$341,"&lt;="&amp;Параметры!$B$2,Данные!$E$2:$E$341,Параметры!$B$4)</f>
        <v>0</v>
      </c>
      <c r="E12" cm="1">
        <f t="array" ref="E12">SUMIFS(Данные!$D$2:$D$341,Данные!$B$2:$B$341,$A12,Данные!$F$2:$F$341,E$1,Данные!$A$2:$A$341,"&gt;="&amp;Параметры!$B$1,Данные!$A$2:$A$341,"&lt;="&amp;Параметры!$B$2,Данные!$E$2:$E$341,Параметры!$B$4)</f>
        <v>0</v>
      </c>
      <c r="F12" cm="1">
        <f t="array" ref="F12">SUMIFS(Данные!$D$2:$D$341,Данные!$B$2:$B$341,$A12,Данные!$F$2:$F$341,F$1,Данные!$A$2:$A$341,"&gt;="&amp;Параметры!$B$1,Данные!$A$2:$A$341,"&lt;="&amp;Параметры!$B$2,Данные!$E$2:$E$341,Параметры!$B$4)</f>
        <v>0</v>
      </c>
      <c r="G12" cm="1">
        <f t="array" ref="G12">SUMIFS(Данные!$D$2:$D$341,Данные!$B$2:$B$341,$A12,Данные!$F$2:$F$341,G$1,Данные!$A$2:$A$341,"&gt;="&amp;Параметры!$B$1,Данные!$A$2:$A$341,"&lt;="&amp;Параметры!$B$2,Данные!$E$2:$E$341,Параметры!$B$4)</f>
        <v>0</v>
      </c>
      <c r="H12" cm="1">
        <f t="array" ref="H12">SUMIFS(Данные!$D$2:$D$341,Данные!$B$2:$B$341,$A12,Данные!$F$2:$F$341,H$1,Данные!$A$2:$A$341,"&gt;="&amp;Параметры!$B$1,Данные!$A$2:$A$341,"&lt;="&amp;Параметры!$B$2,Данные!$E$2:$E$341,Параметры!$B$4)</f>
        <v>212505.77000000002</v>
      </c>
      <c r="I12" cm="1">
        <f t="array" ref="I12">SUMIFS(Данные!$D$2:$D$341,Данные!$B$2:$B$341,$A12,Данные!$F$2:$F$341,I$1,Данные!$A$2:$A$341,"&gt;="&amp;Параметры!$B$1,Данные!$A$2:$A$341,"&lt;="&amp;Параметры!$B$2,Данные!$E$2:$E$341,Параметры!$B$4)</f>
        <v>-7891.15</v>
      </c>
      <c r="J12" cm="1">
        <f t="array" ref="J12">SUMIFS(Данные!$D$2:$D$341,Данные!$B$2:$B$341,$A12,Данные!$F$2:$F$341,J$1,Данные!$A$2:$A$341,"&gt;="&amp;Параметры!$B$1,Данные!$A$2:$A$341,"&lt;="&amp;Параметры!$B$2,Данные!$E$2:$E$341,Параметры!$B$4)</f>
        <v>-11327.51</v>
      </c>
      <c r="K12" cm="1">
        <f t="array" ref="K12">SUMIFS(Данные!$D$2:$D$341,Данные!$B$2:$B$341,$A12,Данные!$F$2:$F$341,K$1,Данные!$A$2:$A$341,"&gt;="&amp;Параметры!$B$1,Данные!$A$2:$A$341,"&lt;="&amp;Параметры!$B$2,Данные!$E$2:$E$341,Параметры!$B$4)</f>
        <v>0</v>
      </c>
      <c r="L12" cm="1">
        <f t="array" ref="L12">SUMIFS(Данные!$D$2:$D$341,Данные!$B$2:$B$341,$A12,Данные!$F$2:$F$341,L$1,Данные!$A$2:$A$341,"&gt;="&amp;Параметры!$B$1,Данные!$A$2:$A$341,"&lt;="&amp;Параметры!$B$2,Данные!$E$2:$E$341,Параметры!$B$4)</f>
        <v>0</v>
      </c>
      <c r="M12" cm="1">
        <f t="array" ref="M12">SUMIFS(Данные!$D$2:$D$341,Данные!$B$2:$B$341,$A12,Данные!$F$2:$F$341,M$1,Данные!$A$2:$A$341,"&gt;="&amp;Параметры!$B$1,Данные!$A$2:$A$341,"&lt;="&amp;Параметры!$B$2,Данные!$E$2:$E$341,Параметры!$B$4)</f>
        <v>72419.45</v>
      </c>
      <c r="N12" cm="1">
        <f t="array" ref="N12">SUMIFS(Данные!$D$2:$D$341,Данные!$B$2:$B$341,$A12,Данные!$F$2:$F$341,N$1,Данные!$A$2:$A$341,"&gt;="&amp;Параметры!$B$1,Данные!$A$2:$A$341,"&lt;="&amp;Параметры!$B$2,Данные!$E$2:$E$341,Параметры!$B$4)</f>
        <v>0</v>
      </c>
      <c r="O12" cm="1">
        <f t="array" ref="O12">SUMIFS(Данные!$D$2:$D$341,Данные!$B$2:$B$341,$A12,Данные!$F$2:$F$341,O$1,Данные!$A$2:$A$341,"&gt;="&amp;Параметры!$B$1,Данные!$A$2:$A$341,"&lt;="&amp;Параметры!$B$2,Данные!$E$2:$E$341,Параметры!$B$4)</f>
        <v>-27727.31</v>
      </c>
      <c r="P12" cm="1">
        <f t="array" ref="P12">SUMIFS(Данные!$D$2:$D$341,Данные!$B$2:$B$341,$A12,Данные!$F$2:$F$341,P$1,Данные!$A$2:$A$341,"&gt;="&amp;Параметры!$B$1,Данные!$A$2:$A$341,"&lt;="&amp;Параметры!$B$2,Данные!$E$2:$E$341,Параметры!$B$4)</f>
        <v>0</v>
      </c>
      <c r="Q12" cm="1">
        <f t="array" ref="Q12">SUM(B12:P12)</f>
        <v>206419.52000000002</v>
      </c>
    </row>
    <row r="13" spans="1:17" x14ac:dyDescent="0.2">
      <c r="A13" t="s">
        <v>460</v>
      </c>
      <c r="B13" cm="1">
        <f t="array" ref="B13">SUM(B8:B12)</f>
        <v>230913.81</v>
      </c>
      <c r="C13" cm="1">
        <f t="array" ref="C13">SUM(C8:C12)</f>
        <v>251368.23</v>
      </c>
      <c r="D13" cm="1">
        <f t="array" ref="D13">SUM(D8:D12)</f>
        <v>552394.05000000005</v>
      </c>
      <c r="E13" cm="1">
        <f t="array" ref="E13">SUM(E8:E12)</f>
        <v>545779.23</v>
      </c>
      <c r="F13" cm="1">
        <f t="array" ref="F13">SUM(F8:F12)</f>
        <v>207081.28</v>
      </c>
      <c r="G13" cm="1">
        <f t="array" ref="G13">SUM(G8:G12)</f>
        <v>0</v>
      </c>
      <c r="H13" cm="1">
        <f t="array" ref="H13">SUM(H8:H12)</f>
        <v>212505.77000000002</v>
      </c>
      <c r="I13" cm="1">
        <f t="array" ref="I13">SUM(I8:I12)</f>
        <v>-7891.15</v>
      </c>
      <c r="J13" cm="1">
        <f t="array" ref="J13">SUM(J8:J12)</f>
        <v>714106.42999999993</v>
      </c>
      <c r="K13" cm="1">
        <f t="array" ref="K13">SUM(K8:K12)</f>
        <v>293045.7</v>
      </c>
      <c r="L13" cm="1">
        <f t="array" ref="L13">SUM(L8:L12)</f>
        <v>0</v>
      </c>
      <c r="M13" cm="1">
        <f t="array" ref="M13">SUM(M8:M12)</f>
        <v>72419.45</v>
      </c>
      <c r="N13" cm="1">
        <f t="array" ref="N13">SUM(N8:N12)</f>
        <v>111194.88</v>
      </c>
      <c r="O13" cm="1">
        <f t="array" ref="O13">SUM(O8:O12)</f>
        <v>139363.99999999997</v>
      </c>
      <c r="P13" cm="1">
        <f t="array" ref="P13">SUM(P8:P12)</f>
        <v>53759.45</v>
      </c>
      <c r="Q13" cm="1">
        <f t="array" ref="Q13">SUM(Q8:Q12)</f>
        <v>3376041.1300000004</v>
      </c>
    </row>
    <row r="14" spans="1:17" x14ac:dyDescent="0.2">
      <c r="A14" t="str" cm="1">
        <f t="array" ref="A14">Статьи!A12</f>
        <v>Чай 2</v>
      </c>
      <c r="B14" cm="1">
        <f t="array" ref="B14">SUMIFS(Данные!$D$2:$D$341,Данные!$B$2:$B$341,$A14,Данные!$F$2:$F$341,B$1,Данные!$A$2:$A$341,"&gt;="&amp;Параметры!$B$1,Данные!$A$2:$A$341,"&lt;="&amp;Параметры!$B$2,Данные!$E$2:$E$341,Параметры!$B$4)</f>
        <v>0</v>
      </c>
      <c r="C14" cm="1">
        <f t="array" ref="C14">SUMIFS(Данные!$D$2:$D$341,Данные!$B$2:$B$341,$A14,Данные!$F$2:$F$341,C$1,Данные!$A$2:$A$341,"&gt;="&amp;Параметры!$B$1,Данные!$A$2:$A$341,"&lt;="&amp;Параметры!$B$2,Данные!$E$2:$E$341,Параметры!$B$4)</f>
        <v>321586.93</v>
      </c>
      <c r="D14" cm="1">
        <f t="array" ref="D14">SUMIFS(Данные!$D$2:$D$341,Данные!$B$2:$B$341,$A14,Данные!$F$2:$F$341,D$1,Данные!$A$2:$A$341,"&gt;="&amp;Параметры!$B$1,Данные!$A$2:$A$341,"&lt;="&amp;Параметры!$B$2,Данные!$E$2:$E$341,Параметры!$B$4)</f>
        <v>0</v>
      </c>
      <c r="E14" cm="1">
        <f t="array" ref="E14">SUMIFS(Данные!$D$2:$D$341,Данные!$B$2:$B$341,$A14,Данные!$F$2:$F$341,E$1,Данные!$A$2:$A$341,"&gt;="&amp;Параметры!$B$1,Данные!$A$2:$A$341,"&lt;="&amp;Параметры!$B$2,Данные!$E$2:$E$341,Параметры!$B$4)</f>
        <v>0</v>
      </c>
      <c r="F14" cm="1">
        <f t="array" ref="F14">SUMIFS(Данные!$D$2:$D$341,Данные!$B$2:$B$341,$A14,Данные!$F$2:$F$341,F$1,Данные!$A$2:$A$341,"&gt;="&amp;Параметры!$B$1,Данные!$A$2:$A$341,"&lt;="&amp;Параметры!$B$2,Данные!$E$2:$E$341,Параметры!$B$4)</f>
        <v>261512.61</v>
      </c>
      <c r="G14" cm="1">
        <f t="array" ref="G14">SUMIFS(Данные!$D$2:$D$341,Данные!$B$2:$B$341,$A14,Данные!$F$2:$F$341,G$1,Данные!$A$2:$A$341,"&gt;="&amp;Параметры!$B$1,Данные!$A$2:$A$341,"&lt;="&amp;Параметры!$B$2,Данные!$E$2:$E$341,Параметры!$B$4)</f>
        <v>0</v>
      </c>
      <c r="H14" cm="1">
        <f t="array" ref="H14">SUMIFS(Данные!$D$2:$D$341,Данные!$B$2:$B$341,$A14,Данные!$F$2:$F$341,H$1,Данные!$A$2:$A$341,"&gt;="&amp;Параметры!$B$1,Данные!$A$2:$A$341,"&lt;="&amp;Параметры!$B$2,Данные!$E$2:$E$341,Параметры!$B$4)</f>
        <v>0</v>
      </c>
      <c r="I14" cm="1">
        <f t="array" ref="I14">SUMIFS(Данные!$D$2:$D$341,Данные!$B$2:$B$341,$A14,Данные!$F$2:$F$341,I$1,Данные!$A$2:$A$341,"&gt;="&amp;Параметры!$B$1,Данные!$A$2:$A$341,"&lt;="&amp;Параметры!$B$2,Данные!$E$2:$E$341,Параметры!$B$4)</f>
        <v>-29513.86</v>
      </c>
      <c r="J14" cm="1">
        <f t="array" ref="J14">SUMIFS(Данные!$D$2:$D$341,Данные!$B$2:$B$341,$A14,Данные!$F$2:$F$341,J$1,Данные!$A$2:$A$341,"&gt;="&amp;Параметры!$B$1,Данные!$A$2:$A$341,"&lt;="&amp;Параметры!$B$2,Данные!$E$2:$E$341,Параметры!$B$4)</f>
        <v>313851.44</v>
      </c>
      <c r="K14" cm="1">
        <f t="array" ref="K14">SUMIFS(Данные!$D$2:$D$341,Данные!$B$2:$B$341,$A14,Данные!$F$2:$F$341,K$1,Данные!$A$2:$A$341,"&gt;="&amp;Параметры!$B$1,Данные!$A$2:$A$341,"&lt;="&amp;Параметры!$B$2,Данные!$E$2:$E$341,Параметры!$B$4)</f>
        <v>0</v>
      </c>
      <c r="L14" cm="1">
        <f t="array" ref="L14">SUMIFS(Данные!$D$2:$D$341,Данные!$B$2:$B$341,$A14,Данные!$F$2:$F$341,L$1,Данные!$A$2:$A$341,"&gt;="&amp;Параметры!$B$1,Данные!$A$2:$A$341,"&lt;="&amp;Параметры!$B$2,Данные!$E$2:$E$341,Параметры!$B$4)</f>
        <v>471825.30000000005</v>
      </c>
      <c r="M14" cm="1">
        <f t="array" ref="M14">SUMIFS(Данные!$D$2:$D$341,Данные!$B$2:$B$341,$A14,Данные!$F$2:$F$341,M$1,Данные!$A$2:$A$341,"&gt;="&amp;Параметры!$B$1,Данные!$A$2:$A$341,"&lt;="&amp;Параметры!$B$2,Данные!$E$2:$E$341,Параметры!$B$4)</f>
        <v>-53073.73</v>
      </c>
      <c r="N14" cm="1">
        <f t="array" ref="N14">SUMIFS(Данные!$D$2:$D$341,Данные!$B$2:$B$341,$A14,Данные!$F$2:$F$341,N$1,Данные!$A$2:$A$341,"&gt;="&amp;Параметры!$B$1,Данные!$A$2:$A$341,"&lt;="&amp;Параметры!$B$2,Данные!$E$2:$E$341,Параметры!$B$4)</f>
        <v>0</v>
      </c>
      <c r="O14" cm="1">
        <f t="array" ref="O14">SUMIFS(Данные!$D$2:$D$341,Данные!$B$2:$B$341,$A14,Данные!$F$2:$F$341,O$1,Данные!$A$2:$A$341,"&gt;="&amp;Параметры!$B$1,Данные!$A$2:$A$341,"&lt;="&amp;Параметры!$B$2,Данные!$E$2:$E$341,Параметры!$B$4)</f>
        <v>249984.99</v>
      </c>
      <c r="P14" cm="1">
        <f t="array" ref="P14">SUMIFS(Данные!$D$2:$D$341,Данные!$B$2:$B$341,$A14,Данные!$F$2:$F$341,P$1,Данные!$A$2:$A$341,"&gt;="&amp;Параметры!$B$1,Данные!$A$2:$A$341,"&lt;="&amp;Параметры!$B$2,Данные!$E$2:$E$341,Параметры!$B$4)</f>
        <v>0</v>
      </c>
      <c r="Q14" cm="1">
        <f t="array" ref="Q14">SUM(B14:P14)</f>
        <v>1536173.6800000002</v>
      </c>
    </row>
    <row r="15" spans="1:17" x14ac:dyDescent="0.2">
      <c r="A15" t="str" cm="1">
        <f t="array" ref="A15">Статьи!A13</f>
        <v>Чаи 2</v>
      </c>
      <c r="B15" cm="1">
        <f t="array" ref="B15">SUMIFS(Данные!$D$2:$D$341,Данные!$B$2:$B$341,$A15,Данные!$F$2:$F$341,B$1,Данные!$A$2:$A$341,"&gt;="&amp;Параметры!$B$1,Данные!$A$2:$A$341,"&lt;="&amp;Параметры!$B$2,Данные!$E$2:$E$341,Параметры!$B$4)</f>
        <v>0</v>
      </c>
      <c r="C15" cm="1">
        <f t="array" ref="C15">SUMIFS(Данные!$D$2:$D$341,Данные!$B$2:$B$341,$A15,Данные!$F$2:$F$341,C$1,Данные!$A$2:$A$341,"&gt;="&amp;Параметры!$B$1,Данные!$A$2:$A$341,"&lt;="&amp;Параметры!$B$2,Данные!$E$2:$E$341,Параметры!$B$4)</f>
        <v>0</v>
      </c>
      <c r="D15" cm="1">
        <f t="array" ref="D15">SUMIFS(Данные!$D$2:$D$341,Данные!$B$2:$B$341,$A15,Данные!$F$2:$F$341,D$1,Данные!$A$2:$A$341,"&gt;="&amp;Параметры!$B$1,Данные!$A$2:$A$341,"&lt;="&amp;Параметры!$B$2,Данные!$E$2:$E$341,Параметры!$B$4)</f>
        <v>73165.31</v>
      </c>
      <c r="E15" cm="1">
        <f t="array" ref="E15">SUMIFS(Данные!$D$2:$D$341,Данные!$B$2:$B$341,$A15,Данные!$F$2:$F$341,E$1,Данные!$A$2:$A$341,"&gt;="&amp;Параметры!$B$1,Данные!$A$2:$A$341,"&lt;="&amp;Параметры!$B$2,Данные!$E$2:$E$341,Параметры!$B$4)</f>
        <v>0</v>
      </c>
      <c r="F15" cm="1">
        <f t="array" ref="F15">SUMIFS(Данные!$D$2:$D$341,Данные!$B$2:$B$341,$A15,Данные!$F$2:$F$341,F$1,Данные!$A$2:$A$341,"&gt;="&amp;Параметры!$B$1,Данные!$A$2:$A$341,"&lt;="&amp;Параметры!$B$2,Данные!$E$2:$E$341,Параметры!$B$4)</f>
        <v>0</v>
      </c>
      <c r="G15" cm="1">
        <f t="array" ref="G15">SUMIFS(Данные!$D$2:$D$341,Данные!$B$2:$B$341,$A15,Данные!$F$2:$F$341,G$1,Данные!$A$2:$A$341,"&gt;="&amp;Параметры!$B$1,Данные!$A$2:$A$341,"&lt;="&amp;Параметры!$B$2,Данные!$E$2:$E$341,Параметры!$B$4)</f>
        <v>0</v>
      </c>
      <c r="H15" cm="1">
        <f t="array" ref="H15">SUMIFS(Данные!$D$2:$D$341,Данные!$B$2:$B$341,$A15,Данные!$F$2:$F$341,H$1,Данные!$A$2:$A$341,"&gt;="&amp;Параметры!$B$1,Данные!$A$2:$A$341,"&lt;="&amp;Параметры!$B$2,Данные!$E$2:$E$341,Параметры!$B$4)</f>
        <v>0</v>
      </c>
      <c r="I15" cm="1">
        <f t="array" ref="I15">SUMIFS(Данные!$D$2:$D$341,Данные!$B$2:$B$341,$A15,Данные!$F$2:$F$341,I$1,Данные!$A$2:$A$341,"&gt;="&amp;Параметры!$B$1,Данные!$A$2:$A$341,"&lt;="&amp;Параметры!$B$2,Данные!$E$2:$E$341,Параметры!$B$4)</f>
        <v>261256.09</v>
      </c>
      <c r="J15" cm="1">
        <f t="array" ref="J15">SUMIFS(Данные!$D$2:$D$341,Данные!$B$2:$B$341,$A15,Данные!$F$2:$F$341,J$1,Данные!$A$2:$A$341,"&gt;="&amp;Параметры!$B$1,Данные!$A$2:$A$341,"&lt;="&amp;Параметры!$B$2,Данные!$E$2:$E$341,Параметры!$B$4)</f>
        <v>0</v>
      </c>
      <c r="K15" cm="1">
        <f t="array" ref="K15">SUMIFS(Данные!$D$2:$D$341,Данные!$B$2:$B$341,$A15,Данные!$F$2:$F$341,K$1,Данные!$A$2:$A$341,"&gt;="&amp;Параметры!$B$1,Данные!$A$2:$A$341,"&lt;="&amp;Параметры!$B$2,Данные!$E$2:$E$341,Параметры!$B$4)</f>
        <v>0</v>
      </c>
      <c r="L15" cm="1">
        <f t="array" ref="L15">SUMIFS(Данные!$D$2:$D$341,Данные!$B$2:$B$341,$A15,Данные!$F$2:$F$341,L$1,Данные!$A$2:$A$341,"&gt;="&amp;Параметры!$B$1,Данные!$A$2:$A$341,"&lt;="&amp;Параметры!$B$2,Данные!$E$2:$E$341,Параметры!$B$4)</f>
        <v>0</v>
      </c>
      <c r="M15" cm="1">
        <f t="array" ref="M15">SUMIFS(Данные!$D$2:$D$341,Данные!$B$2:$B$341,$A15,Данные!$F$2:$F$341,M$1,Данные!$A$2:$A$341,"&gt;="&amp;Параметры!$B$1,Данные!$A$2:$A$341,"&lt;="&amp;Параметры!$B$2,Данные!$E$2:$E$341,Параметры!$B$4)</f>
        <v>0</v>
      </c>
      <c r="N15" cm="1">
        <f t="array" ref="N15">SUMIFS(Данные!$D$2:$D$341,Данные!$B$2:$B$341,$A15,Данные!$F$2:$F$341,N$1,Данные!$A$2:$A$341,"&gt;="&amp;Параметры!$B$1,Данные!$A$2:$A$341,"&lt;="&amp;Параметры!$B$2,Данные!$E$2:$E$341,Параметры!$B$4)</f>
        <v>0</v>
      </c>
      <c r="O15" cm="1">
        <f t="array" ref="O15">SUMIFS(Данные!$D$2:$D$341,Данные!$B$2:$B$341,$A15,Данные!$F$2:$F$341,O$1,Данные!$A$2:$A$341,"&gt;="&amp;Параметры!$B$1,Данные!$A$2:$A$341,"&lt;="&amp;Параметры!$B$2,Данные!$E$2:$E$341,Параметры!$B$4)</f>
        <v>0</v>
      </c>
      <c r="P15" cm="1">
        <f t="array" ref="P15">SUMIFS(Данные!$D$2:$D$341,Данные!$B$2:$B$341,$A15,Данные!$F$2:$F$341,P$1,Данные!$A$2:$A$341,"&gt;="&amp;Параметры!$B$1,Данные!$A$2:$A$341,"&lt;="&amp;Параметры!$B$2,Данные!$E$2:$E$341,Параметры!$B$4)</f>
        <v>0</v>
      </c>
      <c r="Q15" cm="1">
        <f t="array" ref="Q15">SUM(B15:P15)</f>
        <v>334421.40000000002</v>
      </c>
    </row>
    <row r="16" spans="1:17" x14ac:dyDescent="0.2">
      <c r="A16" t="str" cm="1">
        <f t="array" ref="A16">Статьи!A14</f>
        <v>Ёлка 2</v>
      </c>
      <c r="B16" cm="1">
        <f t="array" ref="B16">SUMIFS(Данные!$D$2:$D$341,Данные!$B$2:$B$341,$A16,Данные!$F$2:$F$341,B$1,Данные!$A$2:$A$341,"&gt;="&amp;Параметры!$B$1,Данные!$A$2:$A$341,"&lt;="&amp;Параметры!$B$2,Данные!$E$2:$E$341,Параметры!$B$4)</f>
        <v>0</v>
      </c>
      <c r="C16" cm="1">
        <f t="array" ref="C16">SUMIFS(Данные!$D$2:$D$341,Данные!$B$2:$B$341,$A16,Данные!$F$2:$F$341,C$1,Данные!$A$2:$A$341,"&gt;="&amp;Параметры!$B$1,Данные!$A$2:$A$341,"&lt;="&amp;Параметры!$B$2,Данные!$E$2:$E$341,Параметры!$B$4)</f>
        <v>17122.95</v>
      </c>
      <c r="D16" cm="1">
        <f t="array" ref="D16">SUMIFS(Данные!$D$2:$D$341,Данные!$B$2:$B$341,$A16,Данные!$F$2:$F$341,D$1,Данные!$A$2:$A$341,"&gt;="&amp;Параметры!$B$1,Данные!$A$2:$A$341,"&lt;="&amp;Параметры!$B$2,Данные!$E$2:$E$341,Параметры!$B$4)</f>
        <v>0</v>
      </c>
      <c r="E16" cm="1">
        <f t="array" ref="E16">SUMIFS(Данные!$D$2:$D$341,Данные!$B$2:$B$341,$A16,Данные!$F$2:$F$341,E$1,Данные!$A$2:$A$341,"&gt;="&amp;Параметры!$B$1,Данные!$A$2:$A$341,"&lt;="&amp;Параметры!$B$2,Данные!$E$2:$E$341,Параметры!$B$4)</f>
        <v>0</v>
      </c>
      <c r="F16" cm="1">
        <f t="array" ref="F16">SUMIFS(Данные!$D$2:$D$341,Данные!$B$2:$B$341,$A16,Данные!$F$2:$F$341,F$1,Данные!$A$2:$A$341,"&gt;="&amp;Параметры!$B$1,Данные!$A$2:$A$341,"&lt;="&amp;Параметры!$B$2,Данные!$E$2:$E$341,Параметры!$B$4)</f>
        <v>-52645.57</v>
      </c>
      <c r="G16" cm="1">
        <f t="array" ref="G16">SUMIFS(Данные!$D$2:$D$341,Данные!$B$2:$B$341,$A16,Данные!$F$2:$F$341,G$1,Данные!$A$2:$A$341,"&gt;="&amp;Параметры!$B$1,Данные!$A$2:$A$341,"&lt;="&amp;Параметры!$B$2,Данные!$E$2:$E$341,Параметры!$B$4)</f>
        <v>70013.850000000006</v>
      </c>
      <c r="H16" cm="1">
        <f t="array" ref="H16">SUMIFS(Данные!$D$2:$D$341,Данные!$B$2:$B$341,$A16,Данные!$F$2:$F$341,H$1,Данные!$A$2:$A$341,"&gt;="&amp;Параметры!$B$1,Данные!$A$2:$A$341,"&lt;="&amp;Параметры!$B$2,Данные!$E$2:$E$341,Параметры!$B$4)</f>
        <v>0</v>
      </c>
      <c r="I16" cm="1">
        <f t="array" ref="I16">SUMIFS(Данные!$D$2:$D$341,Данные!$B$2:$B$341,$A16,Данные!$F$2:$F$341,I$1,Данные!$A$2:$A$341,"&gt;="&amp;Параметры!$B$1,Данные!$A$2:$A$341,"&lt;="&amp;Параметры!$B$2,Данные!$E$2:$E$341,Параметры!$B$4)</f>
        <v>0</v>
      </c>
      <c r="J16" cm="1">
        <f t="array" ref="J16">SUMIFS(Данные!$D$2:$D$341,Данные!$B$2:$B$341,$A16,Данные!$F$2:$F$341,J$1,Данные!$A$2:$A$341,"&gt;="&amp;Параметры!$B$1,Данные!$A$2:$A$341,"&lt;="&amp;Параметры!$B$2,Данные!$E$2:$E$341,Параметры!$B$4)</f>
        <v>0</v>
      </c>
      <c r="K16" cm="1">
        <f t="array" ref="K16">SUMIFS(Данные!$D$2:$D$341,Данные!$B$2:$B$341,$A16,Данные!$F$2:$F$341,K$1,Данные!$A$2:$A$341,"&gt;="&amp;Параметры!$B$1,Данные!$A$2:$A$341,"&lt;="&amp;Параметры!$B$2,Данные!$E$2:$E$341,Параметры!$B$4)</f>
        <v>0</v>
      </c>
      <c r="L16" cm="1">
        <f t="array" ref="L16">SUMIFS(Данные!$D$2:$D$341,Данные!$B$2:$B$341,$A16,Данные!$F$2:$F$341,L$1,Данные!$A$2:$A$341,"&gt;="&amp;Параметры!$B$1,Данные!$A$2:$A$341,"&lt;="&amp;Параметры!$B$2,Данные!$E$2:$E$341,Параметры!$B$4)</f>
        <v>225830.81</v>
      </c>
      <c r="M16" cm="1">
        <f t="array" ref="M16">SUMIFS(Данные!$D$2:$D$341,Данные!$B$2:$B$341,$A16,Данные!$F$2:$F$341,M$1,Данные!$A$2:$A$341,"&gt;="&amp;Параметры!$B$1,Данные!$A$2:$A$341,"&lt;="&amp;Параметры!$B$2,Данные!$E$2:$E$341,Параметры!$B$4)</f>
        <v>0</v>
      </c>
      <c r="N16" cm="1">
        <f t="array" ref="N16">SUMIFS(Данные!$D$2:$D$341,Данные!$B$2:$B$341,$A16,Данные!$F$2:$F$341,N$1,Данные!$A$2:$A$341,"&gt;="&amp;Параметры!$B$1,Данные!$A$2:$A$341,"&lt;="&amp;Параметры!$B$2,Данные!$E$2:$E$341,Параметры!$B$4)</f>
        <v>0</v>
      </c>
      <c r="O16" cm="1">
        <f t="array" ref="O16">SUMIFS(Данные!$D$2:$D$341,Данные!$B$2:$B$341,$A16,Данные!$F$2:$F$341,O$1,Данные!$A$2:$A$341,"&gt;="&amp;Параметры!$B$1,Данные!$A$2:$A$341,"&lt;="&amp;Параметры!$B$2,Данные!$E$2:$E$341,Параметры!$B$4)</f>
        <v>0</v>
      </c>
      <c r="P16" cm="1">
        <f t="array" ref="P16">SUMIFS(Данные!$D$2:$D$341,Данные!$B$2:$B$341,$A16,Данные!$F$2:$F$341,P$1,Данные!$A$2:$A$341,"&gt;="&amp;Параметры!$B$1,Данные!$A$2:$A$341,"&lt;="&amp;Параметры!$B$2,Данные!$E$2:$E$341,Параметры!$B$4)</f>
        <v>0</v>
      </c>
      <c r="Q16" cm="1">
        <f t="array" ref="Q16">SUM(B16:P16)</f>
        <v>260322.04</v>
      </c>
    </row>
    <row r="17" spans="1:17" x14ac:dyDescent="0.2">
      <c r="A17" t="str" cm="1">
        <f t="array" ref="A17">Статьи!A15</f>
        <v>Елка 2</v>
      </c>
      <c r="B17" cm="1">
        <f t="array" ref="B17">SUMIFS(Данные!$D$2:$D$341,Данные!$B$2:$B$341,$A17,Данные!$F$2:$F$341,B$1,Данные!$A$2:$A$341,"&gt;="&amp;Параметры!$B$1,Данные!$A$2:$A$341,"&lt;="&amp;Параметры!$B$2,Данные!$E$2:$E$341,Параметры!$B$4)</f>
        <v>0</v>
      </c>
      <c r="C17" cm="1">
        <f t="array" ref="C17">SUMIFS(Данные!$D$2:$D$341,Данные!$B$2:$B$341,$A17,Данные!$F$2:$F$341,C$1,Данные!$A$2:$A$341,"&gt;="&amp;Параметры!$B$1,Данные!$A$2:$A$341,"&lt;="&amp;Параметры!$B$2,Данные!$E$2:$E$341,Параметры!$B$4)</f>
        <v>0</v>
      </c>
      <c r="D17" cm="1">
        <f t="array" ref="D17">SUMIFS(Данные!$D$2:$D$341,Данные!$B$2:$B$341,$A17,Данные!$F$2:$F$341,D$1,Данные!$A$2:$A$341,"&gt;="&amp;Параметры!$B$1,Данные!$A$2:$A$341,"&lt;="&amp;Параметры!$B$2,Данные!$E$2:$E$341,Параметры!$B$4)</f>
        <v>0</v>
      </c>
      <c r="E17" cm="1">
        <f t="array" ref="E17">SUMIFS(Данные!$D$2:$D$341,Данные!$B$2:$B$341,$A17,Данные!$F$2:$F$341,E$1,Данные!$A$2:$A$341,"&gt;="&amp;Параметры!$B$1,Данные!$A$2:$A$341,"&lt;="&amp;Параметры!$B$2,Данные!$E$2:$E$341,Параметры!$B$4)</f>
        <v>0</v>
      </c>
      <c r="F17" cm="1">
        <f t="array" ref="F17">SUMIFS(Данные!$D$2:$D$341,Данные!$B$2:$B$341,$A17,Данные!$F$2:$F$341,F$1,Данные!$A$2:$A$341,"&gt;="&amp;Параметры!$B$1,Данные!$A$2:$A$341,"&lt;="&amp;Параметры!$B$2,Данные!$E$2:$E$341,Параметры!$B$4)</f>
        <v>0</v>
      </c>
      <c r="G17" cm="1">
        <f t="array" ref="G17">SUMIFS(Данные!$D$2:$D$341,Данные!$B$2:$B$341,$A17,Данные!$F$2:$F$341,G$1,Данные!$A$2:$A$341,"&gt;="&amp;Параметры!$B$1,Данные!$A$2:$A$341,"&lt;="&amp;Параметры!$B$2,Данные!$E$2:$E$341,Параметры!$B$4)</f>
        <v>0</v>
      </c>
      <c r="H17" cm="1">
        <f t="array" ref="H17">SUMIFS(Данные!$D$2:$D$341,Данные!$B$2:$B$341,$A17,Данные!$F$2:$F$341,H$1,Данные!$A$2:$A$341,"&gt;="&amp;Параметры!$B$1,Данные!$A$2:$A$341,"&lt;="&amp;Параметры!$B$2,Данные!$E$2:$E$341,Параметры!$B$4)</f>
        <v>0</v>
      </c>
      <c r="I17" cm="1">
        <f t="array" ref="I17">SUMIFS(Данные!$D$2:$D$341,Данные!$B$2:$B$341,$A17,Данные!$F$2:$F$341,I$1,Данные!$A$2:$A$341,"&gt;="&amp;Параметры!$B$1,Данные!$A$2:$A$341,"&lt;="&amp;Параметры!$B$2,Данные!$E$2:$E$341,Параметры!$B$4)</f>
        <v>0</v>
      </c>
      <c r="J17" cm="1">
        <f t="array" ref="J17">SUMIFS(Данные!$D$2:$D$341,Данные!$B$2:$B$341,$A17,Данные!$F$2:$F$341,J$1,Данные!$A$2:$A$341,"&gt;="&amp;Параметры!$B$1,Данные!$A$2:$A$341,"&lt;="&amp;Параметры!$B$2,Данные!$E$2:$E$341,Параметры!$B$4)</f>
        <v>0</v>
      </c>
      <c r="K17" cm="1">
        <f t="array" ref="K17">SUMIFS(Данные!$D$2:$D$341,Данные!$B$2:$B$341,$A17,Данные!$F$2:$F$341,K$1,Данные!$A$2:$A$341,"&gt;="&amp;Параметры!$B$1,Данные!$A$2:$A$341,"&lt;="&amp;Параметры!$B$2,Данные!$E$2:$E$341,Параметры!$B$4)</f>
        <v>0</v>
      </c>
      <c r="L17" cm="1">
        <f t="array" ref="L17">SUMIFS(Данные!$D$2:$D$341,Данные!$B$2:$B$341,$A17,Данные!$F$2:$F$341,L$1,Данные!$A$2:$A$341,"&gt;="&amp;Параметры!$B$1,Данные!$A$2:$A$341,"&lt;="&amp;Параметры!$B$2,Данные!$E$2:$E$341,Параметры!$B$4)</f>
        <v>365776.07</v>
      </c>
      <c r="M17" cm="1">
        <f t="array" ref="M17">SUMIFS(Данные!$D$2:$D$341,Данные!$B$2:$B$341,$A17,Данные!$F$2:$F$341,M$1,Данные!$A$2:$A$341,"&gt;="&amp;Параметры!$B$1,Данные!$A$2:$A$341,"&lt;="&amp;Параметры!$B$2,Данные!$E$2:$E$341,Параметры!$B$4)</f>
        <v>0</v>
      </c>
      <c r="N17" cm="1">
        <f t="array" ref="N17">SUMIFS(Данные!$D$2:$D$341,Данные!$B$2:$B$341,$A17,Данные!$F$2:$F$341,N$1,Данные!$A$2:$A$341,"&gt;="&amp;Параметры!$B$1,Данные!$A$2:$A$341,"&lt;="&amp;Параметры!$B$2,Данные!$E$2:$E$341,Параметры!$B$4)</f>
        <v>0</v>
      </c>
      <c r="O17" cm="1">
        <f t="array" ref="O17">SUMIFS(Данные!$D$2:$D$341,Данные!$B$2:$B$341,$A17,Данные!$F$2:$F$341,O$1,Данные!$A$2:$A$341,"&gt;="&amp;Параметры!$B$1,Данные!$A$2:$A$341,"&lt;="&amp;Параметры!$B$2,Данные!$E$2:$E$341,Параметры!$B$4)</f>
        <v>-73731.83</v>
      </c>
      <c r="P17" cm="1">
        <f t="array" ref="P17">SUMIFS(Данные!$D$2:$D$341,Данные!$B$2:$B$341,$A17,Данные!$F$2:$F$341,P$1,Данные!$A$2:$A$341,"&gt;="&amp;Параметры!$B$1,Данные!$A$2:$A$341,"&lt;="&amp;Параметры!$B$2,Данные!$E$2:$E$341,Параметры!$B$4)</f>
        <v>0</v>
      </c>
      <c r="Q17" cm="1">
        <f t="array" ref="Q17">SUM(B17:P17)</f>
        <v>292044.24</v>
      </c>
    </row>
    <row r="18" spans="1:17" x14ac:dyDescent="0.2">
      <c r="A18" t="str" cm="1">
        <f t="array" ref="A18">Статьи!A16</f>
        <v>Аренда 2</v>
      </c>
      <c r="B18" cm="1">
        <f t="array" ref="B18">SUMIFS(Данные!$D$2:$D$341,Данные!$B$2:$B$341,$A18,Данные!$F$2:$F$341,B$1,Данные!$A$2:$A$341,"&gt;="&amp;Параметры!$B$1,Данные!$A$2:$A$341,"&lt;="&amp;Параметры!$B$2,Данные!$E$2:$E$341,Параметры!$B$4)</f>
        <v>204895.21</v>
      </c>
      <c r="C18" cm="1">
        <f t="array" ref="C18">SUMIFS(Данные!$D$2:$D$341,Данные!$B$2:$B$341,$A18,Данные!$F$2:$F$341,C$1,Данные!$A$2:$A$341,"&gt;="&amp;Параметры!$B$1,Данные!$A$2:$A$341,"&lt;="&amp;Параметры!$B$2,Данные!$E$2:$E$341,Параметры!$B$4)</f>
        <v>118667.62</v>
      </c>
      <c r="D18" cm="1">
        <f t="array" ref="D18">SUMIFS(Данные!$D$2:$D$341,Данные!$B$2:$B$341,$A18,Данные!$F$2:$F$341,D$1,Данные!$A$2:$A$341,"&gt;="&amp;Параметры!$B$1,Данные!$A$2:$A$341,"&lt;="&amp;Параметры!$B$2,Данные!$E$2:$E$341,Параметры!$B$4)</f>
        <v>0</v>
      </c>
      <c r="E18" cm="1">
        <f t="array" ref="E18">SUMIFS(Данные!$D$2:$D$341,Данные!$B$2:$B$341,$A18,Данные!$F$2:$F$341,E$1,Данные!$A$2:$A$341,"&gt;="&amp;Параметры!$B$1,Данные!$A$2:$A$341,"&lt;="&amp;Параметры!$B$2,Данные!$E$2:$E$341,Параметры!$B$4)</f>
        <v>0</v>
      </c>
      <c r="F18" cm="1">
        <f t="array" ref="F18">SUMIFS(Данные!$D$2:$D$341,Данные!$B$2:$B$341,$A18,Данные!$F$2:$F$341,F$1,Данные!$A$2:$A$341,"&gt;="&amp;Параметры!$B$1,Данные!$A$2:$A$341,"&lt;="&amp;Параметры!$B$2,Данные!$E$2:$E$341,Параметры!$B$4)</f>
        <v>0</v>
      </c>
      <c r="G18" cm="1">
        <f t="array" ref="G18">SUMIFS(Данные!$D$2:$D$341,Данные!$B$2:$B$341,$A18,Данные!$F$2:$F$341,G$1,Данные!$A$2:$A$341,"&gt;="&amp;Параметры!$B$1,Данные!$A$2:$A$341,"&lt;="&amp;Параметры!$B$2,Данные!$E$2:$E$341,Параметры!$B$4)</f>
        <v>0</v>
      </c>
      <c r="H18" cm="1">
        <f t="array" ref="H18">SUMIFS(Данные!$D$2:$D$341,Данные!$B$2:$B$341,$A18,Данные!$F$2:$F$341,H$1,Данные!$A$2:$A$341,"&gt;="&amp;Параметры!$B$1,Данные!$A$2:$A$341,"&lt;="&amp;Параметры!$B$2,Данные!$E$2:$E$341,Параметры!$B$4)</f>
        <v>0</v>
      </c>
      <c r="I18" cm="1">
        <f t="array" ref="I18">SUMIFS(Данные!$D$2:$D$341,Данные!$B$2:$B$341,$A18,Данные!$F$2:$F$341,I$1,Данные!$A$2:$A$341,"&gt;="&amp;Параметры!$B$1,Данные!$A$2:$A$341,"&lt;="&amp;Параметры!$B$2,Данные!$E$2:$E$341,Параметры!$B$4)</f>
        <v>0</v>
      </c>
      <c r="J18" cm="1">
        <f t="array" ref="J18">SUMIFS(Данные!$D$2:$D$341,Данные!$B$2:$B$341,$A18,Данные!$F$2:$F$341,J$1,Данные!$A$2:$A$341,"&gt;="&amp;Параметры!$B$1,Данные!$A$2:$A$341,"&lt;="&amp;Параметры!$B$2,Данные!$E$2:$E$341,Параметры!$B$4)</f>
        <v>169178.59</v>
      </c>
      <c r="K18" cm="1">
        <f t="array" ref="K18">SUMIFS(Данные!$D$2:$D$341,Данные!$B$2:$B$341,$A18,Данные!$F$2:$F$341,K$1,Данные!$A$2:$A$341,"&gt;="&amp;Параметры!$B$1,Данные!$A$2:$A$341,"&lt;="&amp;Параметры!$B$2,Данные!$E$2:$E$341,Параметры!$B$4)</f>
        <v>0</v>
      </c>
      <c r="L18" cm="1">
        <f t="array" ref="L18">SUMIFS(Данные!$D$2:$D$341,Данные!$B$2:$B$341,$A18,Данные!$F$2:$F$341,L$1,Данные!$A$2:$A$341,"&gt;="&amp;Параметры!$B$1,Данные!$A$2:$A$341,"&lt;="&amp;Параметры!$B$2,Данные!$E$2:$E$341,Параметры!$B$4)</f>
        <v>0</v>
      </c>
      <c r="M18" cm="1">
        <f t="array" ref="M18">SUMIFS(Данные!$D$2:$D$341,Данные!$B$2:$B$341,$A18,Данные!$F$2:$F$341,M$1,Данные!$A$2:$A$341,"&gt;="&amp;Параметры!$B$1,Данные!$A$2:$A$341,"&lt;="&amp;Параметры!$B$2,Данные!$E$2:$E$341,Параметры!$B$4)</f>
        <v>0</v>
      </c>
      <c r="N18" cm="1">
        <f t="array" ref="N18">SUMIFS(Данные!$D$2:$D$341,Данные!$B$2:$B$341,$A18,Данные!$F$2:$F$341,N$1,Данные!$A$2:$A$341,"&gt;="&amp;Параметры!$B$1,Данные!$A$2:$A$341,"&lt;="&amp;Параметры!$B$2,Данные!$E$2:$E$341,Параметры!$B$4)</f>
        <v>399200.31</v>
      </c>
      <c r="O18" cm="1">
        <f t="array" ref="O18">SUMIFS(Данные!$D$2:$D$341,Данные!$B$2:$B$341,$A18,Данные!$F$2:$F$341,O$1,Данные!$A$2:$A$341,"&gt;="&amp;Параметры!$B$1,Данные!$A$2:$A$341,"&lt;="&amp;Параметры!$B$2,Данные!$E$2:$E$341,Параметры!$B$4)</f>
        <v>0</v>
      </c>
      <c r="P18" cm="1">
        <f t="array" ref="P18">SUMIFS(Данные!$D$2:$D$341,Данные!$B$2:$B$341,$A18,Данные!$F$2:$F$341,P$1,Данные!$A$2:$A$341,"&gt;="&amp;Параметры!$B$1,Данные!$A$2:$A$341,"&lt;="&amp;Параметры!$B$2,Данные!$E$2:$E$341,Параметры!$B$4)</f>
        <v>0</v>
      </c>
      <c r="Q18" cm="1">
        <f t="array" ref="Q18">SUM(B18:P18)</f>
        <v>891941.73</v>
      </c>
    </row>
    <row r="19" spans="1:17" x14ac:dyDescent="0.2">
      <c r="A19" t="s">
        <v>461</v>
      </c>
      <c r="B19" cm="1">
        <f t="array" ref="B19">SUM(B14:B18)</f>
        <v>204895.21</v>
      </c>
      <c r="C19" cm="1">
        <f t="array" ref="C19">SUM(C14:C18)</f>
        <v>457377.5</v>
      </c>
      <c r="D19" cm="1">
        <f t="array" ref="D19">SUM(D14:D18)</f>
        <v>73165.31</v>
      </c>
      <c r="E19" cm="1">
        <f t="array" ref="E19">SUM(E14:E18)</f>
        <v>0</v>
      </c>
      <c r="F19" cm="1">
        <f t="array" ref="F19">SUM(F14:F18)</f>
        <v>208867.03999999998</v>
      </c>
      <c r="G19" cm="1">
        <f t="array" ref="G19">SUM(G14:G18)</f>
        <v>70013.850000000006</v>
      </c>
      <c r="H19" cm="1">
        <f t="array" ref="H19">SUM(H14:H18)</f>
        <v>0</v>
      </c>
      <c r="I19" cm="1">
        <f t="array" ref="I19">SUM(I14:I18)</f>
        <v>231742.22999999998</v>
      </c>
      <c r="J19" cm="1">
        <f t="array" ref="J19">SUM(J14:J18)</f>
        <v>483030.03</v>
      </c>
      <c r="K19" cm="1">
        <f t="array" ref="K19">SUM(K14:K18)</f>
        <v>0</v>
      </c>
      <c r="L19" cm="1">
        <f t="array" ref="L19">SUM(L14:L18)</f>
        <v>1063432.1800000002</v>
      </c>
      <c r="M19" cm="1">
        <f t="array" ref="M19">SUM(M14:M18)</f>
        <v>-53073.73</v>
      </c>
      <c r="N19" cm="1">
        <f t="array" ref="N19">SUM(N14:N18)</f>
        <v>399200.31</v>
      </c>
      <c r="O19" cm="1">
        <f t="array" ref="O19">SUM(O14:O18)</f>
        <v>176253.15999999997</v>
      </c>
      <c r="P19" cm="1">
        <f t="array" ref="P19">SUM(P14:P18)</f>
        <v>0</v>
      </c>
      <c r="Q19" cm="1">
        <f t="array" ref="Q19">SUM(Q14:Q18)</f>
        <v>3314903.0900000003</v>
      </c>
    </row>
    <row r="20" spans="1:17" x14ac:dyDescent="0.2">
      <c r="A20" t="str" cm="1">
        <f t="array" ref="A20">Статьи!A17</f>
        <v>Связь 2</v>
      </c>
      <c r="B20" cm="1">
        <f t="array" ref="B20">SUMIFS(Данные!$D$2:$D$341,Данные!$B$2:$B$341,$A20,Данные!$F$2:$F$341,B$1,Данные!$A$2:$A$341,"&gt;="&amp;Параметры!$B$1,Данные!$A$2:$A$341,"&lt;="&amp;Параметры!$B$2,Данные!$E$2:$E$341,Параметры!$B$4)</f>
        <v>0</v>
      </c>
      <c r="C20" cm="1">
        <f t="array" ref="C20">SUMIFS(Данные!$D$2:$D$341,Данные!$B$2:$B$341,$A20,Данные!$F$2:$F$341,C$1,Данные!$A$2:$A$341,"&gt;="&amp;Параметры!$B$1,Данные!$A$2:$A$341,"&lt;="&amp;Параметры!$B$2,Данные!$E$2:$E$341,Параметры!$B$4)</f>
        <v>0</v>
      </c>
      <c r="D20" cm="1">
        <f t="array" ref="D20">SUMIFS(Данные!$D$2:$D$341,Данные!$B$2:$B$341,$A20,Данные!$F$2:$F$341,D$1,Данные!$A$2:$A$341,"&gt;="&amp;Параметры!$B$1,Данные!$A$2:$A$341,"&lt;="&amp;Параметры!$B$2,Данные!$E$2:$E$341,Параметры!$B$4)</f>
        <v>0</v>
      </c>
      <c r="E20" cm="1">
        <f t="array" ref="E20">SUMIFS(Данные!$D$2:$D$341,Данные!$B$2:$B$341,$A20,Данные!$F$2:$F$341,E$1,Данные!$A$2:$A$341,"&gt;="&amp;Параметры!$B$1,Данные!$A$2:$A$341,"&lt;="&amp;Параметры!$B$2,Данные!$E$2:$E$341,Параметры!$B$4)</f>
        <v>-32180.28</v>
      </c>
      <c r="F20" cm="1">
        <f t="array" ref="F20">SUMIFS(Данные!$D$2:$D$341,Данные!$B$2:$B$341,$A20,Данные!$F$2:$F$341,F$1,Данные!$A$2:$A$341,"&gt;="&amp;Параметры!$B$1,Данные!$A$2:$A$341,"&lt;="&amp;Параметры!$B$2,Данные!$E$2:$E$341,Параметры!$B$4)</f>
        <v>-65506.470000000008</v>
      </c>
      <c r="G20" cm="1">
        <f t="array" ref="G20">SUMIFS(Данные!$D$2:$D$341,Данные!$B$2:$B$341,$A20,Данные!$F$2:$F$341,G$1,Данные!$A$2:$A$341,"&gt;="&amp;Параметры!$B$1,Данные!$A$2:$A$341,"&lt;="&amp;Параметры!$B$2,Данные!$E$2:$E$341,Параметры!$B$4)</f>
        <v>17079.28</v>
      </c>
      <c r="H20" cm="1">
        <f t="array" ref="H20">SUMIFS(Данные!$D$2:$D$341,Данные!$B$2:$B$341,$A20,Данные!$F$2:$F$341,H$1,Данные!$A$2:$A$341,"&gt;="&amp;Параметры!$B$1,Данные!$A$2:$A$341,"&lt;="&amp;Параметры!$B$2,Данные!$E$2:$E$341,Параметры!$B$4)</f>
        <v>0</v>
      </c>
      <c r="I20" cm="1">
        <f t="array" ref="I20">SUMIFS(Данные!$D$2:$D$341,Данные!$B$2:$B$341,$A20,Данные!$F$2:$F$341,I$1,Данные!$A$2:$A$341,"&gt;="&amp;Параметры!$B$1,Данные!$A$2:$A$341,"&lt;="&amp;Параметры!$B$2,Данные!$E$2:$E$341,Параметры!$B$4)</f>
        <v>0</v>
      </c>
      <c r="J20" cm="1">
        <f t="array" ref="J20">SUMIFS(Данные!$D$2:$D$341,Данные!$B$2:$B$341,$A20,Данные!$F$2:$F$341,J$1,Данные!$A$2:$A$341,"&gt;="&amp;Параметры!$B$1,Данные!$A$2:$A$341,"&lt;="&amp;Параметры!$B$2,Данные!$E$2:$E$341,Параметры!$B$4)</f>
        <v>0</v>
      </c>
      <c r="K20" cm="1">
        <f t="array" ref="K20">SUMIFS(Данные!$D$2:$D$341,Данные!$B$2:$B$341,$A20,Данные!$F$2:$F$341,K$1,Данные!$A$2:$A$341,"&gt;="&amp;Параметры!$B$1,Данные!$A$2:$A$341,"&lt;="&amp;Параметры!$B$2,Данные!$E$2:$E$341,Параметры!$B$4)</f>
        <v>0</v>
      </c>
      <c r="L20" cm="1">
        <f t="array" ref="L20">SUMIFS(Данные!$D$2:$D$341,Данные!$B$2:$B$341,$A20,Данные!$F$2:$F$341,L$1,Данные!$A$2:$A$341,"&gt;="&amp;Параметры!$B$1,Данные!$A$2:$A$341,"&lt;="&amp;Параметры!$B$2,Данные!$E$2:$E$341,Параметры!$B$4)</f>
        <v>0</v>
      </c>
      <c r="M20" cm="1">
        <f t="array" ref="M20">SUMIFS(Данные!$D$2:$D$341,Данные!$B$2:$B$341,$A20,Данные!$F$2:$F$341,M$1,Данные!$A$2:$A$341,"&gt;="&amp;Параметры!$B$1,Данные!$A$2:$A$341,"&lt;="&amp;Параметры!$B$2,Данные!$E$2:$E$341,Параметры!$B$4)</f>
        <v>0</v>
      </c>
      <c r="N20" cm="1">
        <f t="array" ref="N20">SUMIFS(Данные!$D$2:$D$341,Данные!$B$2:$B$341,$A20,Данные!$F$2:$F$341,N$1,Данные!$A$2:$A$341,"&gt;="&amp;Параметры!$B$1,Данные!$A$2:$A$341,"&lt;="&amp;Параметры!$B$2,Данные!$E$2:$E$341,Параметры!$B$4)</f>
        <v>0</v>
      </c>
      <c r="O20" cm="1">
        <f t="array" ref="O20">SUMIFS(Данные!$D$2:$D$341,Данные!$B$2:$B$341,$A20,Данные!$F$2:$F$341,O$1,Данные!$A$2:$A$341,"&gt;="&amp;Параметры!$B$1,Данные!$A$2:$A$341,"&lt;="&amp;Параметры!$B$2,Данные!$E$2:$E$341,Параметры!$B$4)</f>
        <v>0</v>
      </c>
      <c r="P20" cm="1">
        <f t="array" ref="P20">SUMIFS(Данные!$D$2:$D$341,Данные!$B$2:$B$341,$A20,Данные!$F$2:$F$341,P$1,Данные!$A$2:$A$341,"&gt;="&amp;Параметры!$B$1,Данные!$A$2:$A$341,"&lt;="&amp;Параметры!$B$2,Данные!$E$2:$E$341,Параметры!$B$4)</f>
        <v>0</v>
      </c>
      <c r="Q20" cm="1">
        <f t="array" ref="Q20">SUM(B20:P20)</f>
        <v>-80607.47</v>
      </c>
    </row>
    <row r="21" spans="1:17" x14ac:dyDescent="0.2">
      <c r="A21" t="str" cm="1">
        <f t="array" ref="A21">Статьи!A18</f>
        <v>Налог 2</v>
      </c>
      <c r="B21" cm="1">
        <f t="array" ref="B21">SUMIFS(Данные!$D$2:$D$341,Данные!$B$2:$B$341,$A21,Данные!$F$2:$F$341,B$1,Данные!$A$2:$A$341,"&gt;="&amp;Параметры!$B$1,Данные!$A$2:$A$341,"&lt;="&amp;Параметры!$B$2,Данные!$E$2:$E$341,Параметры!$B$4)</f>
        <v>0</v>
      </c>
      <c r="C21" cm="1">
        <f t="array" ref="C21">SUMIFS(Данные!$D$2:$D$341,Данные!$B$2:$B$341,$A21,Данные!$F$2:$F$341,C$1,Данные!$A$2:$A$341,"&gt;="&amp;Параметры!$B$1,Данные!$A$2:$A$341,"&lt;="&amp;Параметры!$B$2,Данные!$E$2:$E$341,Параметры!$B$4)</f>
        <v>0</v>
      </c>
      <c r="D21" cm="1">
        <f t="array" ref="D21">SUMIFS(Данные!$D$2:$D$341,Данные!$B$2:$B$341,$A21,Данные!$F$2:$F$341,D$1,Данные!$A$2:$A$341,"&gt;="&amp;Параметры!$B$1,Данные!$A$2:$A$341,"&lt;="&amp;Параметры!$B$2,Данные!$E$2:$E$341,Параметры!$B$4)</f>
        <v>0</v>
      </c>
      <c r="E21" cm="1">
        <f t="array" ref="E21">SUMIFS(Данные!$D$2:$D$341,Данные!$B$2:$B$341,$A21,Данные!$F$2:$F$341,E$1,Данные!$A$2:$A$341,"&gt;="&amp;Параметры!$B$1,Данные!$A$2:$A$341,"&lt;="&amp;Параметры!$B$2,Данные!$E$2:$E$341,Параметры!$B$4)</f>
        <v>-63273.16</v>
      </c>
      <c r="F21" cm="1">
        <f t="array" ref="F21">SUMIFS(Данные!$D$2:$D$341,Данные!$B$2:$B$341,$A21,Данные!$F$2:$F$341,F$1,Данные!$A$2:$A$341,"&gt;="&amp;Параметры!$B$1,Данные!$A$2:$A$341,"&lt;="&amp;Параметры!$B$2,Данные!$E$2:$E$341,Параметры!$B$4)</f>
        <v>502462.47000000003</v>
      </c>
      <c r="G21" cm="1">
        <f t="array" ref="G21">SUMIFS(Данные!$D$2:$D$341,Данные!$B$2:$B$341,$A21,Данные!$F$2:$F$341,G$1,Данные!$A$2:$A$341,"&gt;="&amp;Параметры!$B$1,Данные!$A$2:$A$341,"&lt;="&amp;Параметры!$B$2,Данные!$E$2:$E$341,Параметры!$B$4)</f>
        <v>0</v>
      </c>
      <c r="H21" cm="1">
        <f t="array" ref="H21">SUMIFS(Данные!$D$2:$D$341,Данные!$B$2:$B$341,$A21,Данные!$F$2:$F$341,H$1,Данные!$A$2:$A$341,"&gt;="&amp;Параметры!$B$1,Данные!$A$2:$A$341,"&lt;="&amp;Параметры!$B$2,Данные!$E$2:$E$341,Параметры!$B$4)</f>
        <v>0</v>
      </c>
      <c r="I21" cm="1">
        <f t="array" ref="I21">SUMIFS(Данные!$D$2:$D$341,Данные!$B$2:$B$341,$A21,Данные!$F$2:$F$341,I$1,Данные!$A$2:$A$341,"&gt;="&amp;Параметры!$B$1,Данные!$A$2:$A$341,"&lt;="&amp;Параметры!$B$2,Данные!$E$2:$E$341,Параметры!$B$4)</f>
        <v>263181.07</v>
      </c>
      <c r="J21" cm="1">
        <f t="array" ref="J21">SUMIFS(Данные!$D$2:$D$341,Данные!$B$2:$B$341,$A21,Данные!$F$2:$F$341,J$1,Данные!$A$2:$A$341,"&gt;="&amp;Параметры!$B$1,Данные!$A$2:$A$341,"&lt;="&amp;Параметры!$B$2,Данные!$E$2:$E$341,Параметры!$B$4)</f>
        <v>0</v>
      </c>
      <c r="K21" cm="1">
        <f t="array" ref="K21">SUMIFS(Данные!$D$2:$D$341,Данные!$B$2:$B$341,$A21,Данные!$F$2:$F$341,K$1,Данные!$A$2:$A$341,"&gt;="&amp;Параметры!$B$1,Данные!$A$2:$A$341,"&lt;="&amp;Параметры!$B$2,Данные!$E$2:$E$341,Параметры!$B$4)</f>
        <v>0</v>
      </c>
      <c r="L21" cm="1">
        <f t="array" ref="L21">SUMIFS(Данные!$D$2:$D$341,Данные!$B$2:$B$341,$A21,Данные!$F$2:$F$341,L$1,Данные!$A$2:$A$341,"&gt;="&amp;Параметры!$B$1,Данные!$A$2:$A$341,"&lt;="&amp;Параметры!$B$2,Данные!$E$2:$E$341,Параметры!$B$4)</f>
        <v>0</v>
      </c>
      <c r="M21" cm="1">
        <f t="array" ref="M21">SUMIFS(Данные!$D$2:$D$341,Данные!$B$2:$B$341,$A21,Данные!$F$2:$F$341,M$1,Данные!$A$2:$A$341,"&gt;="&amp;Параметры!$B$1,Данные!$A$2:$A$341,"&lt;="&amp;Параметры!$B$2,Данные!$E$2:$E$341,Параметры!$B$4)</f>
        <v>0</v>
      </c>
      <c r="N21" cm="1">
        <f t="array" ref="N21">SUMIFS(Данные!$D$2:$D$341,Данные!$B$2:$B$341,$A21,Данные!$F$2:$F$341,N$1,Данные!$A$2:$A$341,"&gt;="&amp;Параметры!$B$1,Данные!$A$2:$A$341,"&lt;="&amp;Параметры!$B$2,Данные!$E$2:$E$341,Параметры!$B$4)</f>
        <v>317963.88</v>
      </c>
      <c r="O21" cm="1">
        <f t="array" ref="O21">SUMIFS(Данные!$D$2:$D$341,Данные!$B$2:$B$341,$A21,Данные!$F$2:$F$341,O$1,Данные!$A$2:$A$341,"&gt;="&amp;Параметры!$B$1,Данные!$A$2:$A$341,"&lt;="&amp;Параметры!$B$2,Данные!$E$2:$E$341,Параметры!$B$4)</f>
        <v>0</v>
      </c>
      <c r="P21" cm="1">
        <f t="array" ref="P21">SUMIFS(Данные!$D$2:$D$341,Данные!$B$2:$B$341,$A21,Данные!$F$2:$F$341,P$1,Данные!$A$2:$A$341,"&gt;="&amp;Параметры!$B$1,Данные!$A$2:$A$341,"&lt;="&amp;Параметры!$B$2,Данные!$E$2:$E$341,Параметры!$B$4)</f>
        <v>0</v>
      </c>
      <c r="Q21" cm="1">
        <f t="array" ref="Q21">SUM(B21:P21)</f>
        <v>1020334.2600000001</v>
      </c>
    </row>
    <row r="22" spans="1:17" x14ac:dyDescent="0.2">
      <c r="A22" t="str" cm="1">
        <f t="array" ref="A22">Статьи!A19</f>
        <v>Доход 2</v>
      </c>
      <c r="B22" cm="1">
        <f t="array" ref="B22">SUMIFS(Данные!$D$2:$D$341,Данные!$B$2:$B$341,$A22,Данные!$F$2:$F$341,B$1,Данные!$A$2:$A$341,"&gt;="&amp;Параметры!$B$1,Данные!$A$2:$A$341,"&lt;="&amp;Параметры!$B$2,Данные!$E$2:$E$341,Параметры!$B$4)</f>
        <v>0</v>
      </c>
      <c r="C22" cm="1">
        <f t="array" ref="C22">SUMIFS(Данные!$D$2:$D$341,Данные!$B$2:$B$341,$A22,Данные!$F$2:$F$341,C$1,Данные!$A$2:$A$341,"&gt;="&amp;Параметры!$B$1,Данные!$A$2:$A$341,"&lt;="&amp;Параметры!$B$2,Данные!$E$2:$E$341,Параметры!$B$4)</f>
        <v>0</v>
      </c>
      <c r="D22" cm="1">
        <f t="array" ref="D22">SUMIFS(Данные!$D$2:$D$341,Данные!$B$2:$B$341,$A22,Данные!$F$2:$F$341,D$1,Данные!$A$2:$A$341,"&gt;="&amp;Параметры!$B$1,Данные!$A$2:$A$341,"&lt;="&amp;Параметры!$B$2,Данные!$E$2:$E$341,Параметры!$B$4)</f>
        <v>0</v>
      </c>
      <c r="E22" cm="1">
        <f t="array" ref="E22">SUMIFS(Данные!$D$2:$D$341,Данные!$B$2:$B$341,$A22,Данные!$F$2:$F$341,E$1,Данные!$A$2:$A$341,"&gt;="&amp;Параметры!$B$1,Данные!$A$2:$A$341,"&lt;="&amp;Параметры!$B$2,Данные!$E$2:$E$341,Параметры!$B$4)</f>
        <v>0</v>
      </c>
      <c r="F22" cm="1">
        <f t="array" ref="F22">SUMIFS(Данные!$D$2:$D$341,Данные!$B$2:$B$341,$A22,Данные!$F$2:$F$341,F$1,Данные!$A$2:$A$341,"&gt;="&amp;Параметры!$B$1,Данные!$A$2:$A$341,"&lt;="&amp;Параметры!$B$2,Данные!$E$2:$E$341,Параметры!$B$4)</f>
        <v>-78635.149999999994</v>
      </c>
      <c r="G22" cm="1">
        <f t="array" ref="G22">SUMIFS(Данные!$D$2:$D$341,Данные!$B$2:$B$341,$A22,Данные!$F$2:$F$341,G$1,Данные!$A$2:$A$341,"&gt;="&amp;Параметры!$B$1,Данные!$A$2:$A$341,"&lt;="&amp;Параметры!$B$2,Данные!$E$2:$E$341,Параметры!$B$4)</f>
        <v>0</v>
      </c>
      <c r="H22" cm="1">
        <f t="array" ref="H22">SUMIFS(Данные!$D$2:$D$341,Данные!$B$2:$B$341,$A22,Данные!$F$2:$F$341,H$1,Данные!$A$2:$A$341,"&gt;="&amp;Параметры!$B$1,Данные!$A$2:$A$341,"&lt;="&amp;Параметры!$B$2,Данные!$E$2:$E$341,Параметры!$B$4)</f>
        <v>0</v>
      </c>
      <c r="I22" cm="1">
        <f t="array" ref="I22">SUMIFS(Данные!$D$2:$D$341,Данные!$B$2:$B$341,$A22,Данные!$F$2:$F$341,I$1,Данные!$A$2:$A$341,"&gt;="&amp;Параметры!$B$1,Данные!$A$2:$A$341,"&lt;="&amp;Параметры!$B$2,Данные!$E$2:$E$341,Параметры!$B$4)</f>
        <v>283598.73</v>
      </c>
      <c r="J22" cm="1">
        <f t="array" ref="J22">SUMIFS(Данные!$D$2:$D$341,Данные!$B$2:$B$341,$A22,Данные!$F$2:$F$341,J$1,Данные!$A$2:$A$341,"&gt;="&amp;Параметры!$B$1,Данные!$A$2:$A$341,"&lt;="&amp;Параметры!$B$2,Данные!$E$2:$E$341,Параметры!$B$4)</f>
        <v>0</v>
      </c>
      <c r="K22" cm="1">
        <f t="array" ref="K22">SUMIFS(Данные!$D$2:$D$341,Данные!$B$2:$B$341,$A22,Данные!$F$2:$F$341,K$1,Данные!$A$2:$A$341,"&gt;="&amp;Параметры!$B$1,Данные!$A$2:$A$341,"&lt;="&amp;Параметры!$B$2,Данные!$E$2:$E$341,Параметры!$B$4)</f>
        <v>170120.84</v>
      </c>
      <c r="L22" cm="1">
        <f t="array" ref="L22">SUMIFS(Данные!$D$2:$D$341,Данные!$B$2:$B$341,$A22,Данные!$F$2:$F$341,L$1,Данные!$A$2:$A$341,"&gt;="&amp;Параметры!$B$1,Данные!$A$2:$A$341,"&lt;="&amp;Параметры!$B$2,Данные!$E$2:$E$341,Параметры!$B$4)</f>
        <v>0</v>
      </c>
      <c r="M22" cm="1">
        <f t="array" ref="M22">SUMIFS(Данные!$D$2:$D$341,Данные!$B$2:$B$341,$A22,Данные!$F$2:$F$341,M$1,Данные!$A$2:$A$341,"&gt;="&amp;Параметры!$B$1,Данные!$A$2:$A$341,"&lt;="&amp;Параметры!$B$2,Данные!$E$2:$E$341,Параметры!$B$4)</f>
        <v>0</v>
      </c>
      <c r="N22" cm="1">
        <f t="array" ref="N22">SUMIFS(Данные!$D$2:$D$341,Данные!$B$2:$B$341,$A22,Данные!$F$2:$F$341,N$1,Данные!$A$2:$A$341,"&gt;="&amp;Параметры!$B$1,Данные!$A$2:$A$341,"&lt;="&amp;Параметры!$B$2,Данные!$E$2:$E$341,Параметры!$B$4)</f>
        <v>0</v>
      </c>
      <c r="O22" cm="1">
        <f t="array" ref="O22">SUMIFS(Данные!$D$2:$D$341,Данные!$B$2:$B$341,$A22,Данные!$F$2:$F$341,O$1,Данные!$A$2:$A$341,"&gt;="&amp;Параметры!$B$1,Данные!$A$2:$A$341,"&lt;="&amp;Параметры!$B$2,Данные!$E$2:$E$341,Параметры!$B$4)</f>
        <v>151123.75</v>
      </c>
      <c r="P22" cm="1">
        <f t="array" ref="P22">SUMIFS(Данные!$D$2:$D$341,Данные!$B$2:$B$341,$A22,Данные!$F$2:$F$341,P$1,Данные!$A$2:$A$341,"&gt;="&amp;Параметры!$B$1,Данные!$A$2:$A$341,"&lt;="&amp;Параметры!$B$2,Данные!$E$2:$E$341,Параметры!$B$4)</f>
        <v>0</v>
      </c>
      <c r="Q22" cm="1">
        <f t="array" ref="Q22">SUM(B22:P22)</f>
        <v>526208.16999999993</v>
      </c>
    </row>
    <row r="23" spans="1:17" x14ac:dyDescent="0.2">
      <c r="A23" t="str" cm="1">
        <f t="array" ref="A23">Статьи!A20</f>
        <v>Сырьё 2</v>
      </c>
      <c r="B23" cm="1">
        <f t="array" ref="B23">SUMIFS(Данные!$D$2:$D$341,Данные!$B$2:$B$341,$A23,Данные!$F$2:$F$341,B$1,Данные!$A$2:$A$341,"&gt;="&amp;Параметры!$B$1,Данные!$A$2:$A$341,"&lt;="&amp;Параметры!$B$2,Данные!$E$2:$E$341,Параметры!$B$4)</f>
        <v>0</v>
      </c>
      <c r="C23" cm="1">
        <f t="array" ref="C23">SUMIFS(Данные!$D$2:$D$341,Данные!$B$2:$B$341,$A23,Данные!$F$2:$F$341,C$1,Данные!$A$2:$A$341,"&gt;="&amp;Параметры!$B$1,Данные!$A$2:$A$341,"&lt;="&amp;Параметры!$B$2,Данные!$E$2:$E$341,Параметры!$B$4)</f>
        <v>292678.59999999998</v>
      </c>
      <c r="D23" cm="1">
        <f t="array" ref="D23">SUMIFS(Данные!$D$2:$D$341,Данные!$B$2:$B$341,$A23,Данные!$F$2:$F$341,D$1,Данные!$A$2:$A$341,"&gt;="&amp;Параметры!$B$1,Данные!$A$2:$A$341,"&lt;="&amp;Параметры!$B$2,Данные!$E$2:$E$341,Параметры!$B$4)</f>
        <v>0</v>
      </c>
      <c r="E23" cm="1">
        <f t="array" ref="E23">SUMIFS(Данные!$D$2:$D$341,Данные!$B$2:$B$341,$A23,Данные!$F$2:$F$341,E$1,Данные!$A$2:$A$341,"&gt;="&amp;Параметры!$B$1,Данные!$A$2:$A$341,"&lt;="&amp;Параметры!$B$2,Данные!$E$2:$E$341,Параметры!$B$4)</f>
        <v>0</v>
      </c>
      <c r="F23" cm="1">
        <f t="array" ref="F23">SUMIFS(Данные!$D$2:$D$341,Данные!$B$2:$B$341,$A23,Данные!$F$2:$F$341,F$1,Данные!$A$2:$A$341,"&gt;="&amp;Параметры!$B$1,Данные!$A$2:$A$341,"&lt;="&amp;Параметры!$B$2,Данные!$E$2:$E$341,Параметры!$B$4)</f>
        <v>0</v>
      </c>
      <c r="G23" cm="1">
        <f t="array" ref="G23">SUMIFS(Данные!$D$2:$D$341,Данные!$B$2:$B$341,$A23,Данные!$F$2:$F$341,G$1,Данные!$A$2:$A$341,"&gt;="&amp;Параметры!$B$1,Данные!$A$2:$A$341,"&lt;="&amp;Параметры!$B$2,Данные!$E$2:$E$341,Параметры!$B$4)</f>
        <v>0</v>
      </c>
      <c r="H23" cm="1">
        <f t="array" ref="H23">SUMIFS(Данные!$D$2:$D$341,Данные!$B$2:$B$341,$A23,Данные!$F$2:$F$341,H$1,Данные!$A$2:$A$341,"&gt;="&amp;Параметры!$B$1,Данные!$A$2:$A$341,"&lt;="&amp;Параметры!$B$2,Данные!$E$2:$E$341,Параметры!$B$4)</f>
        <v>0</v>
      </c>
      <c r="I23" cm="1">
        <f t="array" ref="I23">SUMIFS(Данные!$D$2:$D$341,Данные!$B$2:$B$341,$A23,Данные!$F$2:$F$341,I$1,Данные!$A$2:$A$341,"&gt;="&amp;Параметры!$B$1,Данные!$A$2:$A$341,"&lt;="&amp;Параметры!$B$2,Данные!$E$2:$E$341,Параметры!$B$4)</f>
        <v>103867.83</v>
      </c>
      <c r="J23" cm="1">
        <f t="array" ref="J23">SUMIFS(Данные!$D$2:$D$341,Данные!$B$2:$B$341,$A23,Данные!$F$2:$F$341,J$1,Данные!$A$2:$A$341,"&gt;="&amp;Параметры!$B$1,Данные!$A$2:$A$341,"&lt;="&amp;Параметры!$B$2,Данные!$E$2:$E$341,Параметры!$B$4)</f>
        <v>0</v>
      </c>
      <c r="K23" cm="1">
        <f t="array" ref="K23">SUMIFS(Данные!$D$2:$D$341,Данные!$B$2:$B$341,$A23,Данные!$F$2:$F$341,K$1,Данные!$A$2:$A$341,"&gt;="&amp;Параметры!$B$1,Данные!$A$2:$A$341,"&lt;="&amp;Параметры!$B$2,Данные!$E$2:$E$341,Параметры!$B$4)</f>
        <v>0</v>
      </c>
      <c r="L23" cm="1">
        <f t="array" ref="L23">SUMIFS(Данные!$D$2:$D$341,Данные!$B$2:$B$341,$A23,Данные!$F$2:$F$341,L$1,Данные!$A$2:$A$341,"&gt;="&amp;Параметры!$B$1,Данные!$A$2:$A$341,"&lt;="&amp;Параметры!$B$2,Данные!$E$2:$E$341,Параметры!$B$4)</f>
        <v>0</v>
      </c>
      <c r="M23" cm="1">
        <f t="array" ref="M23">SUMIFS(Данные!$D$2:$D$341,Данные!$B$2:$B$341,$A23,Данные!$F$2:$F$341,M$1,Данные!$A$2:$A$341,"&gt;="&amp;Параметры!$B$1,Данные!$A$2:$A$341,"&lt;="&amp;Параметры!$B$2,Данные!$E$2:$E$341,Параметры!$B$4)</f>
        <v>0</v>
      </c>
      <c r="N23" cm="1">
        <f t="array" ref="N23">SUMIFS(Данные!$D$2:$D$341,Данные!$B$2:$B$341,$A23,Данные!$F$2:$F$341,N$1,Данные!$A$2:$A$341,"&gt;="&amp;Параметры!$B$1,Данные!$A$2:$A$341,"&lt;="&amp;Параметры!$B$2,Данные!$E$2:$E$341,Параметры!$B$4)</f>
        <v>-72558.61</v>
      </c>
      <c r="O23" cm="1">
        <f t="array" ref="O23">SUMIFS(Данные!$D$2:$D$341,Данные!$B$2:$B$341,$A23,Данные!$F$2:$F$341,O$1,Данные!$A$2:$A$341,"&gt;="&amp;Параметры!$B$1,Данные!$A$2:$A$341,"&lt;="&amp;Параметры!$B$2,Данные!$E$2:$E$341,Параметры!$B$4)</f>
        <v>0</v>
      </c>
      <c r="P23" cm="1">
        <f t="array" ref="P23">SUMIFS(Данные!$D$2:$D$341,Данные!$B$2:$B$341,$A23,Данные!$F$2:$F$341,P$1,Данные!$A$2:$A$341,"&gt;="&amp;Параметры!$B$1,Данные!$A$2:$A$341,"&lt;="&amp;Параметры!$B$2,Данные!$E$2:$E$341,Параметры!$B$4)</f>
        <v>48723.82</v>
      </c>
      <c r="Q23" cm="1">
        <f t="array" ref="Q23">SUM(B23:P23)</f>
        <v>372711.64</v>
      </c>
    </row>
    <row r="24" spans="1:17" x14ac:dyDescent="0.2">
      <c r="A24" t="str" cm="1">
        <f t="array" ref="A24">Статьи!A21</f>
        <v>Сырье 2</v>
      </c>
      <c r="B24" cm="1">
        <f t="array" ref="B24">SUMIFS(Данные!$D$2:$D$341,Данные!$B$2:$B$341,$A24,Данные!$F$2:$F$341,B$1,Данные!$A$2:$A$341,"&gt;="&amp;Параметры!$B$1,Данные!$A$2:$A$341,"&lt;="&amp;Параметры!$B$2,Данные!$E$2:$E$341,Параметры!$B$4)</f>
        <v>0</v>
      </c>
      <c r="C24" cm="1">
        <f t="array" ref="C24">SUMIFS(Данные!$D$2:$D$341,Данные!$B$2:$B$341,$A24,Данные!$F$2:$F$341,C$1,Данные!$A$2:$A$341,"&gt;="&amp;Параметры!$B$1,Данные!$A$2:$A$341,"&lt;="&amp;Параметры!$B$2,Данные!$E$2:$E$341,Параметры!$B$4)</f>
        <v>0</v>
      </c>
      <c r="D24" cm="1">
        <f t="array" ref="D24">SUMIFS(Данные!$D$2:$D$341,Данные!$B$2:$B$341,$A24,Данные!$F$2:$F$341,D$1,Данные!$A$2:$A$341,"&gt;="&amp;Параметры!$B$1,Данные!$A$2:$A$341,"&lt;="&amp;Параметры!$B$2,Данные!$E$2:$E$341,Параметры!$B$4)</f>
        <v>0</v>
      </c>
      <c r="E24" cm="1">
        <f t="array" ref="E24">SUMIFS(Данные!$D$2:$D$341,Данные!$B$2:$B$341,$A24,Данные!$F$2:$F$341,E$1,Данные!$A$2:$A$341,"&gt;="&amp;Параметры!$B$1,Данные!$A$2:$A$341,"&lt;="&amp;Параметры!$B$2,Данные!$E$2:$E$341,Параметры!$B$4)</f>
        <v>-34400.870000000003</v>
      </c>
      <c r="F24" cm="1">
        <f t="array" ref="F24">SUMIFS(Данные!$D$2:$D$341,Данные!$B$2:$B$341,$A24,Данные!$F$2:$F$341,F$1,Данные!$A$2:$A$341,"&gt;="&amp;Параметры!$B$1,Данные!$A$2:$A$341,"&lt;="&amp;Параметры!$B$2,Данные!$E$2:$E$341,Параметры!$B$4)</f>
        <v>0</v>
      </c>
      <c r="G24" cm="1">
        <f t="array" ref="G24">SUMIFS(Данные!$D$2:$D$341,Данные!$B$2:$B$341,$A24,Данные!$F$2:$F$341,G$1,Данные!$A$2:$A$341,"&gt;="&amp;Параметры!$B$1,Данные!$A$2:$A$341,"&lt;="&amp;Параметры!$B$2,Данные!$E$2:$E$341,Параметры!$B$4)</f>
        <v>0</v>
      </c>
      <c r="H24" cm="1">
        <f t="array" ref="H24">SUMIFS(Данные!$D$2:$D$341,Данные!$B$2:$B$341,$A24,Данные!$F$2:$F$341,H$1,Данные!$A$2:$A$341,"&gt;="&amp;Параметры!$B$1,Данные!$A$2:$A$341,"&lt;="&amp;Параметры!$B$2,Данные!$E$2:$E$341,Параметры!$B$4)</f>
        <v>0</v>
      </c>
      <c r="I24" cm="1">
        <f t="array" ref="I24">SUMIFS(Данные!$D$2:$D$341,Данные!$B$2:$B$341,$A24,Данные!$F$2:$F$341,I$1,Данные!$A$2:$A$341,"&gt;="&amp;Параметры!$B$1,Данные!$A$2:$A$341,"&lt;="&amp;Параметры!$B$2,Данные!$E$2:$E$341,Параметры!$B$4)</f>
        <v>0</v>
      </c>
      <c r="J24" cm="1">
        <f t="array" ref="J24">SUMIFS(Данные!$D$2:$D$341,Данные!$B$2:$B$341,$A24,Данные!$F$2:$F$341,J$1,Данные!$A$2:$A$341,"&gt;="&amp;Параметры!$B$1,Данные!$A$2:$A$341,"&lt;="&amp;Параметры!$B$2,Данные!$E$2:$E$341,Параметры!$B$4)</f>
        <v>0</v>
      </c>
      <c r="K24" cm="1">
        <f t="array" ref="K24">SUMIFS(Данные!$D$2:$D$341,Данные!$B$2:$B$341,$A24,Данные!$F$2:$F$341,K$1,Данные!$A$2:$A$341,"&gt;="&amp;Параметры!$B$1,Данные!$A$2:$A$341,"&lt;="&amp;Параметры!$B$2,Данные!$E$2:$E$341,Параметры!$B$4)</f>
        <v>0</v>
      </c>
      <c r="L24" cm="1">
        <f t="array" ref="L24">SUMIFS(Данные!$D$2:$D$341,Данные!$B$2:$B$341,$A24,Данные!$F$2:$F$341,L$1,Данные!$A$2:$A$341,"&gt;="&amp;Параметры!$B$1,Данные!$A$2:$A$341,"&lt;="&amp;Параметры!$B$2,Данные!$E$2:$E$341,Параметры!$B$4)</f>
        <v>0</v>
      </c>
      <c r="M24" cm="1">
        <f t="array" ref="M24">SUMIFS(Данные!$D$2:$D$341,Данные!$B$2:$B$341,$A24,Данные!$F$2:$F$341,M$1,Данные!$A$2:$A$341,"&gt;="&amp;Параметры!$B$1,Данные!$A$2:$A$341,"&lt;="&amp;Параметры!$B$2,Данные!$E$2:$E$341,Параметры!$B$4)</f>
        <v>160170.28</v>
      </c>
      <c r="N24" cm="1">
        <f t="array" ref="N24">SUMIFS(Данные!$D$2:$D$341,Данные!$B$2:$B$341,$A24,Данные!$F$2:$F$341,N$1,Данные!$A$2:$A$341,"&gt;="&amp;Параметры!$B$1,Данные!$A$2:$A$341,"&lt;="&amp;Параметры!$B$2,Данные!$E$2:$E$341,Параметры!$B$4)</f>
        <v>0</v>
      </c>
      <c r="O24" cm="1">
        <f t="array" ref="O24">SUMIFS(Данные!$D$2:$D$341,Данные!$B$2:$B$341,$A24,Данные!$F$2:$F$341,O$1,Данные!$A$2:$A$341,"&gt;="&amp;Параметры!$B$1,Данные!$A$2:$A$341,"&lt;="&amp;Параметры!$B$2,Данные!$E$2:$E$341,Параметры!$B$4)</f>
        <v>0</v>
      </c>
      <c r="P24" cm="1">
        <f t="array" ref="P24">SUMIFS(Данные!$D$2:$D$341,Данные!$B$2:$B$341,$A24,Данные!$F$2:$F$341,P$1,Данные!$A$2:$A$341,"&gt;="&amp;Параметры!$B$1,Данные!$A$2:$A$341,"&lt;="&amp;Параметры!$B$2,Данные!$E$2:$E$341,Параметры!$B$4)</f>
        <v>0</v>
      </c>
      <c r="Q24" cm="1">
        <f t="array" ref="Q24">SUM(B24:P24)</f>
        <v>125769.41</v>
      </c>
    </row>
    <row r="25" spans="1:17" x14ac:dyDescent="0.2">
      <c r="A25" t="s">
        <v>462</v>
      </c>
      <c r="B25" cm="1">
        <f t="array" ref="B25">SUM(B20:B24)</f>
        <v>0</v>
      </c>
      <c r="C25" cm="1">
        <f t="array" ref="C25">SUM(C20:C24)</f>
        <v>292678.59999999998</v>
      </c>
      <c r="D25" cm="1">
        <f t="array" ref="D25">SUM(D20:D24)</f>
        <v>0</v>
      </c>
      <c r="E25" cm="1">
        <f t="array" ref="E25">SUM(E20:E24)</f>
        <v>-129854.31</v>
      </c>
      <c r="F25" cm="1">
        <f t="array" ref="F25">SUM(F20:F24)</f>
        <v>358320.85</v>
      </c>
      <c r="G25" cm="1">
        <f t="array" ref="G25">SUM(G20:G24)</f>
        <v>17079.28</v>
      </c>
      <c r="H25" cm="1">
        <f t="array" ref="H25">SUM(H20:H24)</f>
        <v>0</v>
      </c>
      <c r="I25" cm="1">
        <f t="array" ref="I25">SUM(I20:I24)</f>
        <v>650647.63</v>
      </c>
      <c r="J25" cm="1">
        <f t="array" ref="J25">SUM(J20:J24)</f>
        <v>0</v>
      </c>
      <c r="K25" cm="1">
        <f t="array" ref="K25">SUM(K20:K24)</f>
        <v>170120.84</v>
      </c>
      <c r="L25" cm="1">
        <f t="array" ref="L25">SUM(L20:L24)</f>
        <v>0</v>
      </c>
      <c r="M25" cm="1">
        <f t="array" ref="M25">SUM(M20:M24)</f>
        <v>160170.28</v>
      </c>
      <c r="N25" cm="1">
        <f t="array" ref="N25">SUM(N20:N24)</f>
        <v>245405.27000000002</v>
      </c>
      <c r="O25" cm="1">
        <f t="array" ref="O25">SUM(O20:O24)</f>
        <v>151123.75</v>
      </c>
      <c r="P25" cm="1">
        <f t="array" ref="P25">SUM(P20:P24)</f>
        <v>48723.82</v>
      </c>
      <c r="Q25" cm="1">
        <f t="array" ref="Q25">SUM(Q20:Q24)</f>
        <v>1964416.01</v>
      </c>
    </row>
    <row r="26" spans="1:17" x14ac:dyDescent="0.2">
      <c r="A26" t="str" cm="1">
        <f t="array" ref="A26">Статьи!A22</f>
        <v>Чай 3</v>
      </c>
      <c r="B26" cm="1">
        <f t="array" ref="B26">SUMIFS(Данные!$D$2:$D$341,Данные!$B$2:$B$341,$A26,Данные!$F$2:$F$341,B$1,Данные!$A$2:$A$341,"&gt;="&amp;Параметры!$B$1,Данные!$A$2:$A$341,"&lt;="&amp;Параметры!$B$2,Данные!$E$2:$E$341,Параметры!$B$4)</f>
        <v>0</v>
      </c>
      <c r="C26" cm="1">
        <f t="array" ref="C26">SUMIFS(Данные!$D$2:$D$341,Данные!$B$2:$B$341,$A26,Данные!$F$2:$F$341,C$1,Данные!$A$2:$A$341,"&gt;="&amp;Параметры!$B$1,Данные!$A$2:$A$341,"&lt;="&amp;Параметры!$B$2,Данные!$E$2:$E$341,Параметры!$B$4)</f>
        <v>392435.78</v>
      </c>
      <c r="D26" cm="1">
        <f t="array" ref="D26">SUMIFS(Данные!$D$2:$D$341,Данные!$B$2:$B$341,$A26,Данные!$F$2:$F$341,D$1,Данные!$A$2:$A$341,"&gt;="&amp;Параметры!$B$1,Данные!$A$2:$A$341,"&lt;="&amp;Параметры!$B$2,Данные!$E$2:$E$341,Параметры!$B$4)</f>
        <v>0</v>
      </c>
      <c r="E26" cm="1">
        <f t="array" ref="E26">SUMIFS(Данные!$D$2:$D$341,Данные!$B$2:$B$341,$A26,Данные!$F$2:$F$341,E$1,Данные!$A$2:$A$341,"&gt;="&amp;Параметры!$B$1,Данные!$A$2:$A$341,"&lt;="&amp;Параметры!$B$2,Данные!$E$2:$E$341,Параметры!$B$4)</f>
        <v>-6603.37</v>
      </c>
      <c r="F26" cm="1">
        <f t="array" ref="F26">SUMIFS(Данные!$D$2:$D$341,Данные!$B$2:$B$341,$A26,Данные!$F$2:$F$341,F$1,Данные!$A$2:$A$341,"&gt;="&amp;Параметры!$B$1,Данные!$A$2:$A$341,"&lt;="&amp;Параметры!$B$2,Данные!$E$2:$E$341,Параметры!$B$4)</f>
        <v>56606.62</v>
      </c>
      <c r="G26" cm="1">
        <f t="array" ref="G26">SUMIFS(Данные!$D$2:$D$341,Данные!$B$2:$B$341,$A26,Данные!$F$2:$F$341,G$1,Данные!$A$2:$A$341,"&gt;="&amp;Параметры!$B$1,Данные!$A$2:$A$341,"&lt;="&amp;Параметры!$B$2,Данные!$E$2:$E$341,Параметры!$B$4)</f>
        <v>0</v>
      </c>
      <c r="H26" cm="1">
        <f t="array" ref="H26">SUMIFS(Данные!$D$2:$D$341,Данные!$B$2:$B$341,$A26,Данные!$F$2:$F$341,H$1,Данные!$A$2:$A$341,"&gt;="&amp;Параметры!$B$1,Данные!$A$2:$A$341,"&lt;="&amp;Параметры!$B$2,Данные!$E$2:$E$341,Параметры!$B$4)</f>
        <v>0</v>
      </c>
      <c r="I26" cm="1">
        <f t="array" ref="I26">SUMIFS(Данные!$D$2:$D$341,Данные!$B$2:$B$341,$A26,Данные!$F$2:$F$341,I$1,Данные!$A$2:$A$341,"&gt;="&amp;Параметры!$B$1,Данные!$A$2:$A$341,"&lt;="&amp;Параметры!$B$2,Данные!$E$2:$E$341,Параметры!$B$4)</f>
        <v>0</v>
      </c>
      <c r="J26" cm="1">
        <f t="array" ref="J26">SUMIFS(Данные!$D$2:$D$341,Данные!$B$2:$B$341,$A26,Данные!$F$2:$F$341,J$1,Данные!$A$2:$A$341,"&gt;="&amp;Параметры!$B$1,Данные!$A$2:$A$341,"&lt;="&amp;Параметры!$B$2,Данные!$E$2:$E$341,Параметры!$B$4)</f>
        <v>0</v>
      </c>
      <c r="K26" cm="1">
        <f t="array" ref="K26">SUMIFS(Данные!$D$2:$D$341,Данные!$B$2:$B$341,$A26,Данные!$F$2:$F$341,K$1,Данные!$A$2:$A$341,"&gt;="&amp;Параметры!$B$1,Данные!$A$2:$A$341,"&lt;="&amp;Параметры!$B$2,Данные!$E$2:$E$341,Параметры!$B$4)</f>
        <v>427424.71</v>
      </c>
      <c r="L26" cm="1">
        <f t="array" ref="L26">SUMIFS(Данные!$D$2:$D$341,Данные!$B$2:$B$341,$A26,Данные!$F$2:$F$341,L$1,Данные!$A$2:$A$341,"&gt;="&amp;Параметры!$B$1,Данные!$A$2:$A$341,"&lt;="&amp;Параметры!$B$2,Данные!$E$2:$E$341,Параметры!$B$4)</f>
        <v>270595.84000000003</v>
      </c>
      <c r="M26" cm="1">
        <f t="array" ref="M26">SUMIFS(Данные!$D$2:$D$341,Данные!$B$2:$B$341,$A26,Данные!$F$2:$F$341,M$1,Данные!$A$2:$A$341,"&gt;="&amp;Параметры!$B$1,Данные!$A$2:$A$341,"&lt;="&amp;Параметры!$B$2,Данные!$E$2:$E$341,Параметры!$B$4)</f>
        <v>49573.68</v>
      </c>
      <c r="N26" cm="1">
        <f t="array" ref="N26">SUMIFS(Данные!$D$2:$D$341,Данные!$B$2:$B$341,$A26,Данные!$F$2:$F$341,N$1,Данные!$A$2:$A$341,"&gt;="&amp;Параметры!$B$1,Данные!$A$2:$A$341,"&lt;="&amp;Параметры!$B$2,Данные!$E$2:$E$341,Параметры!$B$4)</f>
        <v>0</v>
      </c>
      <c r="O26" cm="1">
        <f t="array" ref="O26">SUMIFS(Данные!$D$2:$D$341,Данные!$B$2:$B$341,$A26,Данные!$F$2:$F$341,O$1,Данные!$A$2:$A$341,"&gt;="&amp;Параметры!$B$1,Данные!$A$2:$A$341,"&lt;="&amp;Параметры!$B$2,Данные!$E$2:$E$341,Параметры!$B$4)</f>
        <v>0</v>
      </c>
      <c r="P26" cm="1">
        <f t="array" ref="P26">SUMIFS(Данные!$D$2:$D$341,Данные!$B$2:$B$341,$A26,Данные!$F$2:$F$341,P$1,Данные!$A$2:$A$341,"&gt;="&amp;Параметры!$B$1,Данные!$A$2:$A$341,"&lt;="&amp;Параметры!$B$2,Данные!$E$2:$E$341,Параметры!$B$4)</f>
        <v>0</v>
      </c>
      <c r="Q26" cm="1">
        <f t="array" ref="Q26">SUM(B26:P26)</f>
        <v>1190033.26</v>
      </c>
    </row>
    <row r="27" spans="1:17" x14ac:dyDescent="0.2">
      <c r="A27" t="str" cm="1">
        <f t="array" ref="A27">Статьи!A23</f>
        <v>Чаи 3</v>
      </c>
      <c r="B27" cm="1">
        <f t="array" ref="B27">SUMIFS(Данные!$D$2:$D$341,Данные!$B$2:$B$341,$A27,Данные!$F$2:$F$341,B$1,Данные!$A$2:$A$341,"&gt;="&amp;Параметры!$B$1,Данные!$A$2:$A$341,"&lt;="&amp;Параметры!$B$2,Данные!$E$2:$E$341,Параметры!$B$4)</f>
        <v>0</v>
      </c>
      <c r="C27" cm="1">
        <f t="array" ref="C27">SUMIFS(Данные!$D$2:$D$341,Данные!$B$2:$B$341,$A27,Данные!$F$2:$F$341,C$1,Данные!$A$2:$A$341,"&gt;="&amp;Параметры!$B$1,Данные!$A$2:$A$341,"&lt;="&amp;Параметры!$B$2,Данные!$E$2:$E$341,Параметры!$B$4)</f>
        <v>0</v>
      </c>
      <c r="D27" cm="1">
        <f t="array" ref="D27">SUMIFS(Данные!$D$2:$D$341,Данные!$B$2:$B$341,$A27,Данные!$F$2:$F$341,D$1,Данные!$A$2:$A$341,"&gt;="&amp;Параметры!$B$1,Данные!$A$2:$A$341,"&lt;="&amp;Параметры!$B$2,Данные!$E$2:$E$341,Параметры!$B$4)</f>
        <v>0</v>
      </c>
      <c r="E27" cm="1">
        <f t="array" ref="E27">SUMIFS(Данные!$D$2:$D$341,Данные!$B$2:$B$341,$A27,Данные!$F$2:$F$341,E$1,Данные!$A$2:$A$341,"&gt;="&amp;Параметры!$B$1,Данные!$A$2:$A$341,"&lt;="&amp;Параметры!$B$2,Данные!$E$2:$E$341,Параметры!$B$4)</f>
        <v>0</v>
      </c>
      <c r="F27" cm="1">
        <f t="array" ref="F27">SUMIFS(Данные!$D$2:$D$341,Данные!$B$2:$B$341,$A27,Данные!$F$2:$F$341,F$1,Данные!$A$2:$A$341,"&gt;="&amp;Параметры!$B$1,Данные!$A$2:$A$341,"&lt;="&amp;Параметры!$B$2,Данные!$E$2:$E$341,Параметры!$B$4)</f>
        <v>0</v>
      </c>
      <c r="G27" cm="1">
        <f t="array" ref="G27">SUMIFS(Данные!$D$2:$D$341,Данные!$B$2:$B$341,$A27,Данные!$F$2:$F$341,G$1,Данные!$A$2:$A$341,"&gt;="&amp;Параметры!$B$1,Данные!$A$2:$A$341,"&lt;="&amp;Параметры!$B$2,Данные!$E$2:$E$341,Параметры!$B$4)</f>
        <v>346144.14</v>
      </c>
      <c r="H27" cm="1">
        <f t="array" ref="H27">SUMIFS(Данные!$D$2:$D$341,Данные!$B$2:$B$341,$A27,Данные!$F$2:$F$341,H$1,Данные!$A$2:$A$341,"&gt;="&amp;Параметры!$B$1,Данные!$A$2:$A$341,"&lt;="&amp;Параметры!$B$2,Данные!$E$2:$E$341,Параметры!$B$4)</f>
        <v>0</v>
      </c>
      <c r="I27" cm="1">
        <f t="array" ref="I27">SUMIFS(Данные!$D$2:$D$341,Данные!$B$2:$B$341,$A27,Данные!$F$2:$F$341,I$1,Данные!$A$2:$A$341,"&gt;="&amp;Параметры!$B$1,Данные!$A$2:$A$341,"&lt;="&amp;Параметры!$B$2,Данные!$E$2:$E$341,Параметры!$B$4)</f>
        <v>315607.12</v>
      </c>
      <c r="J27" cm="1">
        <f t="array" ref="J27">SUMIFS(Данные!$D$2:$D$341,Данные!$B$2:$B$341,$A27,Данные!$F$2:$F$341,J$1,Данные!$A$2:$A$341,"&gt;="&amp;Параметры!$B$1,Данные!$A$2:$A$341,"&lt;="&amp;Параметры!$B$2,Данные!$E$2:$E$341,Параметры!$B$4)</f>
        <v>0</v>
      </c>
      <c r="K27" cm="1">
        <f t="array" ref="K27">SUMIFS(Данные!$D$2:$D$341,Данные!$B$2:$B$341,$A27,Данные!$F$2:$F$341,K$1,Данные!$A$2:$A$341,"&gt;="&amp;Параметры!$B$1,Данные!$A$2:$A$341,"&lt;="&amp;Параметры!$B$2,Данные!$E$2:$E$341,Параметры!$B$4)</f>
        <v>0</v>
      </c>
      <c r="L27" cm="1">
        <f t="array" ref="L27">SUMIFS(Данные!$D$2:$D$341,Данные!$B$2:$B$341,$A27,Данные!$F$2:$F$341,L$1,Данные!$A$2:$A$341,"&gt;="&amp;Параметры!$B$1,Данные!$A$2:$A$341,"&lt;="&amp;Параметры!$B$2,Данные!$E$2:$E$341,Параметры!$B$4)</f>
        <v>0</v>
      </c>
      <c r="M27" cm="1">
        <f t="array" ref="M27">SUMIFS(Данные!$D$2:$D$341,Данные!$B$2:$B$341,$A27,Данные!$F$2:$F$341,M$1,Данные!$A$2:$A$341,"&gt;="&amp;Параметры!$B$1,Данные!$A$2:$A$341,"&lt;="&amp;Параметры!$B$2,Данные!$E$2:$E$341,Параметры!$B$4)</f>
        <v>0</v>
      </c>
      <c r="N27" cm="1">
        <f t="array" ref="N27">SUMIFS(Данные!$D$2:$D$341,Данные!$B$2:$B$341,$A27,Данные!$F$2:$F$341,N$1,Данные!$A$2:$A$341,"&gt;="&amp;Параметры!$B$1,Данные!$A$2:$A$341,"&lt;="&amp;Параметры!$B$2,Данные!$E$2:$E$341,Параметры!$B$4)</f>
        <v>0</v>
      </c>
      <c r="O27" cm="1">
        <f t="array" ref="O27">SUMIFS(Данные!$D$2:$D$341,Данные!$B$2:$B$341,$A27,Данные!$F$2:$F$341,O$1,Данные!$A$2:$A$341,"&gt;="&amp;Параметры!$B$1,Данные!$A$2:$A$341,"&lt;="&amp;Параметры!$B$2,Данные!$E$2:$E$341,Параметры!$B$4)</f>
        <v>0</v>
      </c>
      <c r="P27" cm="1">
        <f t="array" ref="P27">SUMIFS(Данные!$D$2:$D$341,Данные!$B$2:$B$341,$A27,Данные!$F$2:$F$341,P$1,Данные!$A$2:$A$341,"&gt;="&amp;Параметры!$B$1,Данные!$A$2:$A$341,"&lt;="&amp;Параметры!$B$2,Данные!$E$2:$E$341,Параметры!$B$4)</f>
        <v>0</v>
      </c>
      <c r="Q27" cm="1">
        <f t="array" ref="Q27">SUM(B27:P27)</f>
        <v>661751.26</v>
      </c>
    </row>
    <row r="28" spans="1:17" x14ac:dyDescent="0.2">
      <c r="A28" t="str" cm="1">
        <f t="array" ref="A28">Статьи!A24</f>
        <v>Ёлка 3</v>
      </c>
      <c r="B28" cm="1">
        <f t="array" ref="B28">SUMIFS(Данные!$D$2:$D$341,Данные!$B$2:$B$341,$A28,Данные!$F$2:$F$341,B$1,Данные!$A$2:$A$341,"&gt;="&amp;Параметры!$B$1,Данные!$A$2:$A$341,"&lt;="&amp;Параметры!$B$2,Данные!$E$2:$E$341,Параметры!$B$4)</f>
        <v>185018.89</v>
      </c>
      <c r="C28" cm="1">
        <f t="array" ref="C28">SUMIFS(Данные!$D$2:$D$341,Данные!$B$2:$B$341,$A28,Данные!$F$2:$F$341,C$1,Данные!$A$2:$A$341,"&gt;="&amp;Параметры!$B$1,Данные!$A$2:$A$341,"&lt;="&amp;Параметры!$B$2,Данные!$E$2:$E$341,Параметры!$B$4)</f>
        <v>0</v>
      </c>
      <c r="D28" cm="1">
        <f t="array" ref="D28">SUMIFS(Данные!$D$2:$D$341,Данные!$B$2:$B$341,$A28,Данные!$F$2:$F$341,D$1,Данные!$A$2:$A$341,"&gt;="&amp;Параметры!$B$1,Данные!$A$2:$A$341,"&lt;="&amp;Параметры!$B$2,Данные!$E$2:$E$341,Параметры!$B$4)</f>
        <v>164087.92000000001</v>
      </c>
      <c r="E28" cm="1">
        <f t="array" ref="E28">SUMIFS(Данные!$D$2:$D$341,Данные!$B$2:$B$341,$A28,Данные!$F$2:$F$341,E$1,Данные!$A$2:$A$341,"&gt;="&amp;Параметры!$B$1,Данные!$A$2:$A$341,"&lt;="&amp;Параметры!$B$2,Данные!$E$2:$E$341,Параметры!$B$4)</f>
        <v>-58420.79</v>
      </c>
      <c r="F28" cm="1">
        <f t="array" ref="F28">SUMIFS(Данные!$D$2:$D$341,Данные!$B$2:$B$341,$A28,Данные!$F$2:$F$341,F$1,Данные!$A$2:$A$341,"&gt;="&amp;Параметры!$B$1,Данные!$A$2:$A$341,"&lt;="&amp;Параметры!$B$2,Данные!$E$2:$E$341,Параметры!$B$4)</f>
        <v>0</v>
      </c>
      <c r="G28" cm="1">
        <f t="array" ref="G28">SUMIFS(Данные!$D$2:$D$341,Данные!$B$2:$B$341,$A28,Данные!$F$2:$F$341,G$1,Данные!$A$2:$A$341,"&gt;="&amp;Параметры!$B$1,Данные!$A$2:$A$341,"&lt;="&amp;Параметры!$B$2,Данные!$E$2:$E$341,Параметры!$B$4)</f>
        <v>0</v>
      </c>
      <c r="H28" cm="1">
        <f t="array" ref="H28">SUMIFS(Данные!$D$2:$D$341,Данные!$B$2:$B$341,$A28,Данные!$F$2:$F$341,H$1,Данные!$A$2:$A$341,"&gt;="&amp;Параметры!$B$1,Данные!$A$2:$A$341,"&lt;="&amp;Параметры!$B$2,Данные!$E$2:$E$341,Параметры!$B$4)</f>
        <v>0</v>
      </c>
      <c r="I28" cm="1">
        <f t="array" ref="I28">SUMIFS(Данные!$D$2:$D$341,Данные!$B$2:$B$341,$A28,Данные!$F$2:$F$341,I$1,Данные!$A$2:$A$341,"&gt;="&amp;Параметры!$B$1,Данные!$A$2:$A$341,"&lt;="&amp;Параметры!$B$2,Данные!$E$2:$E$341,Параметры!$B$4)</f>
        <v>0</v>
      </c>
      <c r="J28" cm="1">
        <f t="array" ref="J28">SUMIFS(Данные!$D$2:$D$341,Данные!$B$2:$B$341,$A28,Данные!$F$2:$F$341,J$1,Данные!$A$2:$A$341,"&gt;="&amp;Параметры!$B$1,Данные!$A$2:$A$341,"&lt;="&amp;Параметры!$B$2,Данные!$E$2:$E$341,Параметры!$B$4)</f>
        <v>1881411234.8399999</v>
      </c>
      <c r="K28" cm="1">
        <f t="array" ref="K28">SUMIFS(Данные!$D$2:$D$341,Данные!$B$2:$B$341,$A28,Данные!$F$2:$F$341,K$1,Данные!$A$2:$A$341,"&gt;="&amp;Параметры!$B$1,Данные!$A$2:$A$341,"&lt;="&amp;Параметры!$B$2,Данные!$E$2:$E$341,Параметры!$B$4)</f>
        <v>0</v>
      </c>
      <c r="L28" cm="1">
        <f t="array" ref="L28">SUMIFS(Данные!$D$2:$D$341,Данные!$B$2:$B$341,$A28,Данные!$F$2:$F$341,L$1,Данные!$A$2:$A$341,"&gt;="&amp;Параметры!$B$1,Данные!$A$2:$A$341,"&lt;="&amp;Параметры!$B$2,Данные!$E$2:$E$341,Параметры!$B$4)</f>
        <v>0</v>
      </c>
      <c r="M28" cm="1">
        <f t="array" ref="M28">SUMIFS(Данные!$D$2:$D$341,Данные!$B$2:$B$341,$A28,Данные!$F$2:$F$341,M$1,Данные!$A$2:$A$341,"&gt;="&amp;Параметры!$B$1,Данные!$A$2:$A$341,"&lt;="&amp;Параметры!$B$2,Данные!$E$2:$E$341,Параметры!$B$4)</f>
        <v>301594.21000000002</v>
      </c>
      <c r="N28" cm="1">
        <f t="array" ref="N28">SUMIFS(Данные!$D$2:$D$341,Данные!$B$2:$B$341,$A28,Данные!$F$2:$F$341,N$1,Данные!$A$2:$A$341,"&gt;="&amp;Параметры!$B$1,Данные!$A$2:$A$341,"&lt;="&amp;Параметры!$B$2,Данные!$E$2:$E$341,Параметры!$B$4)</f>
        <v>303817.45</v>
      </c>
      <c r="O28" cm="1">
        <f t="array" ref="O28">SUMIFS(Данные!$D$2:$D$341,Данные!$B$2:$B$341,$A28,Данные!$F$2:$F$341,O$1,Данные!$A$2:$A$341,"&gt;="&amp;Параметры!$B$1,Данные!$A$2:$A$341,"&lt;="&amp;Параметры!$B$2,Данные!$E$2:$E$341,Параметры!$B$4)</f>
        <v>0</v>
      </c>
      <c r="P28" cm="1">
        <f t="array" ref="P28">SUMIFS(Данные!$D$2:$D$341,Данные!$B$2:$B$341,$A28,Данные!$F$2:$F$341,P$1,Данные!$A$2:$A$341,"&gt;="&amp;Параметры!$B$1,Данные!$A$2:$A$341,"&lt;="&amp;Параметры!$B$2,Данные!$E$2:$E$341,Параметры!$B$4)</f>
        <v>344795.87</v>
      </c>
      <c r="Q28" cm="1">
        <f t="array" ref="Q28">SUM(B28:P28)</f>
        <v>1882652128.3899999</v>
      </c>
    </row>
    <row r="29" spans="1:17" x14ac:dyDescent="0.2">
      <c r="A29" t="str" cm="1">
        <f t="array" ref="A29">Статьи!A25</f>
        <v>Елка 3</v>
      </c>
      <c r="B29" cm="1">
        <f t="array" ref="B29">SUMIFS(Данные!$D$2:$D$341,Данные!$B$2:$B$341,$A29,Данные!$F$2:$F$341,B$1,Данные!$A$2:$A$341,"&gt;="&amp;Параметры!$B$1,Данные!$A$2:$A$341,"&lt;="&amp;Параметры!$B$2,Данные!$E$2:$E$341,Параметры!$B$4)</f>
        <v>0</v>
      </c>
      <c r="C29" cm="1">
        <f t="array" ref="C29">SUMIFS(Данные!$D$2:$D$341,Данные!$B$2:$B$341,$A29,Данные!$F$2:$F$341,C$1,Данные!$A$2:$A$341,"&gt;="&amp;Параметры!$B$1,Данные!$A$2:$A$341,"&lt;="&amp;Параметры!$B$2,Данные!$E$2:$E$341,Параметры!$B$4)</f>
        <v>138812.72</v>
      </c>
      <c r="D29" cm="1">
        <f t="array" ref="D29">SUMIFS(Данные!$D$2:$D$341,Данные!$B$2:$B$341,$A29,Данные!$F$2:$F$341,D$1,Данные!$A$2:$A$341,"&gt;="&amp;Параметры!$B$1,Данные!$A$2:$A$341,"&lt;="&amp;Параметры!$B$2,Данные!$E$2:$E$341,Параметры!$B$4)</f>
        <v>0</v>
      </c>
      <c r="E29" cm="1">
        <f t="array" ref="E29">SUMIFS(Данные!$D$2:$D$341,Данные!$B$2:$B$341,$A29,Данные!$F$2:$F$341,E$1,Данные!$A$2:$A$341,"&gt;="&amp;Параметры!$B$1,Данные!$A$2:$A$341,"&lt;="&amp;Параметры!$B$2,Данные!$E$2:$E$341,Параметры!$B$4)</f>
        <v>0</v>
      </c>
      <c r="F29" cm="1">
        <f t="array" ref="F29">SUMIFS(Данные!$D$2:$D$341,Данные!$B$2:$B$341,$A29,Данные!$F$2:$F$341,F$1,Данные!$A$2:$A$341,"&gt;="&amp;Параметры!$B$1,Данные!$A$2:$A$341,"&lt;="&amp;Параметры!$B$2,Данные!$E$2:$E$341,Параметры!$B$4)</f>
        <v>0</v>
      </c>
      <c r="G29" cm="1">
        <f t="array" ref="G29">SUMIFS(Данные!$D$2:$D$341,Данные!$B$2:$B$341,$A29,Данные!$F$2:$F$341,G$1,Данные!$A$2:$A$341,"&gt;="&amp;Параметры!$B$1,Данные!$A$2:$A$341,"&lt;="&amp;Параметры!$B$2,Данные!$E$2:$E$341,Параметры!$B$4)</f>
        <v>0</v>
      </c>
      <c r="H29" cm="1">
        <f t="array" ref="H29">SUMIFS(Данные!$D$2:$D$341,Данные!$B$2:$B$341,$A29,Данные!$F$2:$F$341,H$1,Данные!$A$2:$A$341,"&gt;="&amp;Параметры!$B$1,Данные!$A$2:$A$341,"&lt;="&amp;Параметры!$B$2,Данные!$E$2:$E$341,Параметры!$B$4)</f>
        <v>0</v>
      </c>
      <c r="I29" cm="1">
        <f t="array" ref="I29">SUMIFS(Данные!$D$2:$D$341,Данные!$B$2:$B$341,$A29,Данные!$F$2:$F$341,I$1,Данные!$A$2:$A$341,"&gt;="&amp;Параметры!$B$1,Данные!$A$2:$A$341,"&lt;="&amp;Параметры!$B$2,Данные!$E$2:$E$341,Параметры!$B$4)</f>
        <v>-46189.52</v>
      </c>
      <c r="J29" cm="1">
        <f t="array" ref="J29">SUMIFS(Данные!$D$2:$D$341,Данные!$B$2:$B$341,$A29,Данные!$F$2:$F$341,J$1,Данные!$A$2:$A$341,"&gt;="&amp;Параметры!$B$1,Данные!$A$2:$A$341,"&lt;="&amp;Параметры!$B$2,Данные!$E$2:$E$341,Параметры!$B$4)</f>
        <v>0</v>
      </c>
      <c r="K29" cm="1">
        <f t="array" ref="K29">SUMIFS(Данные!$D$2:$D$341,Данные!$B$2:$B$341,$A29,Данные!$F$2:$F$341,K$1,Данные!$A$2:$A$341,"&gt;="&amp;Параметры!$B$1,Данные!$A$2:$A$341,"&lt;="&amp;Параметры!$B$2,Данные!$E$2:$E$341,Параметры!$B$4)</f>
        <v>0</v>
      </c>
      <c r="L29" cm="1">
        <f t="array" ref="L29">SUMIFS(Данные!$D$2:$D$341,Данные!$B$2:$B$341,$A29,Данные!$F$2:$F$341,L$1,Данные!$A$2:$A$341,"&gt;="&amp;Параметры!$B$1,Данные!$A$2:$A$341,"&lt;="&amp;Параметры!$B$2,Данные!$E$2:$E$341,Параметры!$B$4)</f>
        <v>0</v>
      </c>
      <c r="M29" cm="1">
        <f t="array" ref="M29">SUMIFS(Данные!$D$2:$D$341,Данные!$B$2:$B$341,$A29,Данные!$F$2:$F$341,M$1,Данные!$A$2:$A$341,"&gt;="&amp;Параметры!$B$1,Данные!$A$2:$A$341,"&lt;="&amp;Параметры!$B$2,Данные!$E$2:$E$341,Параметры!$B$4)</f>
        <v>0</v>
      </c>
      <c r="N29" cm="1">
        <f t="array" ref="N29">SUMIFS(Данные!$D$2:$D$341,Данные!$B$2:$B$341,$A29,Данные!$F$2:$F$341,N$1,Данные!$A$2:$A$341,"&gt;="&amp;Параметры!$B$1,Данные!$A$2:$A$341,"&lt;="&amp;Параметры!$B$2,Данные!$E$2:$E$341,Параметры!$B$4)</f>
        <v>0</v>
      </c>
      <c r="O29" cm="1">
        <f t="array" ref="O29">SUMIFS(Данные!$D$2:$D$341,Данные!$B$2:$B$341,$A29,Данные!$F$2:$F$341,O$1,Данные!$A$2:$A$341,"&gt;="&amp;Параметры!$B$1,Данные!$A$2:$A$341,"&lt;="&amp;Параметры!$B$2,Данные!$E$2:$E$341,Параметры!$B$4)</f>
        <v>0</v>
      </c>
      <c r="P29" cm="1">
        <f t="array" ref="P29">SUMIFS(Данные!$D$2:$D$341,Данные!$B$2:$B$341,$A29,Данные!$F$2:$F$341,P$1,Данные!$A$2:$A$341,"&gt;="&amp;Параметры!$B$1,Данные!$A$2:$A$341,"&lt;="&amp;Параметры!$B$2,Данные!$E$2:$E$341,Параметры!$B$4)</f>
        <v>0</v>
      </c>
      <c r="Q29" cm="1">
        <f t="array" ref="Q29">SUM(B29:P29)</f>
        <v>92623.200000000012</v>
      </c>
    </row>
    <row r="30" spans="1:17" x14ac:dyDescent="0.2">
      <c r="A30" t="str" cm="1">
        <f t="array" ref="A30">Статьи!A26</f>
        <v>Аренда 3</v>
      </c>
      <c r="B30" cm="1">
        <f t="array" ref="B30">SUMIFS(Данные!$D$2:$D$341,Данные!$B$2:$B$341,$A30,Данные!$F$2:$F$341,B$1,Данные!$A$2:$A$341,"&gt;="&amp;Параметры!$B$1,Данные!$A$2:$A$341,"&lt;="&amp;Параметры!$B$2,Данные!$E$2:$E$341,Параметры!$B$4)</f>
        <v>0</v>
      </c>
      <c r="C30" cm="1">
        <f t="array" ref="C30">SUMIFS(Данные!$D$2:$D$341,Данные!$B$2:$B$341,$A30,Данные!$F$2:$F$341,C$1,Данные!$A$2:$A$341,"&gt;="&amp;Параметры!$B$1,Данные!$A$2:$A$341,"&lt;="&amp;Параметры!$B$2,Данные!$E$2:$E$341,Параметры!$B$4)</f>
        <v>0</v>
      </c>
      <c r="D30" cm="1">
        <f t="array" ref="D30">SUMIFS(Данные!$D$2:$D$341,Данные!$B$2:$B$341,$A30,Данные!$F$2:$F$341,D$1,Данные!$A$2:$A$341,"&gt;="&amp;Параметры!$B$1,Данные!$A$2:$A$341,"&lt;="&amp;Параметры!$B$2,Данные!$E$2:$E$341,Параметры!$B$4)</f>
        <v>0</v>
      </c>
      <c r="E30" cm="1">
        <f t="array" ref="E30">SUMIFS(Данные!$D$2:$D$341,Данные!$B$2:$B$341,$A30,Данные!$F$2:$F$341,E$1,Данные!$A$2:$A$341,"&gt;="&amp;Параметры!$B$1,Данные!$A$2:$A$341,"&lt;="&amp;Параметры!$B$2,Данные!$E$2:$E$341,Параметры!$B$4)</f>
        <v>282022.52999999997</v>
      </c>
      <c r="F30" cm="1">
        <f t="array" ref="F30">SUMIFS(Данные!$D$2:$D$341,Данные!$B$2:$B$341,$A30,Данные!$F$2:$F$341,F$1,Данные!$A$2:$A$341,"&gt;="&amp;Параметры!$B$1,Данные!$A$2:$A$341,"&lt;="&amp;Параметры!$B$2,Данные!$E$2:$E$341,Параметры!$B$4)</f>
        <v>0</v>
      </c>
      <c r="G30" cm="1">
        <f t="array" ref="G30">SUMIFS(Данные!$D$2:$D$341,Данные!$B$2:$B$341,$A30,Данные!$F$2:$F$341,G$1,Данные!$A$2:$A$341,"&gt;="&amp;Параметры!$B$1,Данные!$A$2:$A$341,"&lt;="&amp;Параметры!$B$2,Данные!$E$2:$E$341,Параметры!$B$4)</f>
        <v>387119</v>
      </c>
      <c r="H30" cm="1">
        <f t="array" ref="H30">SUMIFS(Данные!$D$2:$D$341,Данные!$B$2:$B$341,$A30,Данные!$F$2:$F$341,H$1,Данные!$A$2:$A$341,"&gt;="&amp;Параметры!$B$1,Данные!$A$2:$A$341,"&lt;="&amp;Параметры!$B$2,Данные!$E$2:$E$341,Параметры!$B$4)</f>
        <v>0</v>
      </c>
      <c r="I30" cm="1">
        <f t="array" ref="I30">SUMIFS(Данные!$D$2:$D$341,Данные!$B$2:$B$341,$A30,Данные!$F$2:$F$341,I$1,Данные!$A$2:$A$341,"&gt;="&amp;Параметры!$B$1,Данные!$A$2:$A$341,"&lt;="&amp;Параметры!$B$2,Данные!$E$2:$E$341,Параметры!$B$4)</f>
        <v>198357.66</v>
      </c>
      <c r="J30" cm="1">
        <f t="array" ref="J30">SUMIFS(Данные!$D$2:$D$341,Данные!$B$2:$B$341,$A30,Данные!$F$2:$F$341,J$1,Данные!$A$2:$A$341,"&gt;="&amp;Параметры!$B$1,Данные!$A$2:$A$341,"&lt;="&amp;Параметры!$B$2,Данные!$E$2:$E$341,Параметры!$B$4)</f>
        <v>0</v>
      </c>
      <c r="K30" cm="1">
        <f t="array" ref="K30">SUMIFS(Данные!$D$2:$D$341,Данные!$B$2:$B$341,$A30,Данные!$F$2:$F$341,K$1,Данные!$A$2:$A$341,"&gt;="&amp;Параметры!$B$1,Данные!$A$2:$A$341,"&lt;="&amp;Параметры!$B$2,Данные!$E$2:$E$341,Параметры!$B$4)</f>
        <v>0</v>
      </c>
      <c r="L30" cm="1">
        <f t="array" ref="L30">SUMIFS(Данные!$D$2:$D$341,Данные!$B$2:$B$341,$A30,Данные!$F$2:$F$341,L$1,Данные!$A$2:$A$341,"&gt;="&amp;Параметры!$B$1,Данные!$A$2:$A$341,"&lt;="&amp;Параметры!$B$2,Данные!$E$2:$E$341,Параметры!$B$4)</f>
        <v>0</v>
      </c>
      <c r="M30" cm="1">
        <f t="array" ref="M30">SUMIFS(Данные!$D$2:$D$341,Данные!$B$2:$B$341,$A30,Данные!$F$2:$F$341,M$1,Данные!$A$2:$A$341,"&gt;="&amp;Параметры!$B$1,Данные!$A$2:$A$341,"&lt;="&amp;Параметры!$B$2,Данные!$E$2:$E$341,Параметры!$B$4)</f>
        <v>0</v>
      </c>
      <c r="N30" cm="1">
        <f t="array" ref="N30">SUMIFS(Данные!$D$2:$D$341,Данные!$B$2:$B$341,$A30,Данные!$F$2:$F$341,N$1,Данные!$A$2:$A$341,"&gt;="&amp;Параметры!$B$1,Данные!$A$2:$A$341,"&lt;="&amp;Параметры!$B$2,Данные!$E$2:$E$341,Параметры!$B$4)</f>
        <v>338590.63</v>
      </c>
      <c r="O30" cm="1">
        <f t="array" ref="O30">SUMIFS(Данные!$D$2:$D$341,Данные!$B$2:$B$341,$A30,Данные!$F$2:$F$341,O$1,Данные!$A$2:$A$341,"&gt;="&amp;Параметры!$B$1,Данные!$A$2:$A$341,"&lt;="&amp;Параметры!$B$2,Данные!$E$2:$E$341,Параметры!$B$4)</f>
        <v>0</v>
      </c>
      <c r="P30" cm="1">
        <f t="array" ref="P30">SUMIFS(Данные!$D$2:$D$341,Данные!$B$2:$B$341,$A30,Данные!$F$2:$F$341,P$1,Данные!$A$2:$A$341,"&gt;="&amp;Параметры!$B$1,Данные!$A$2:$A$341,"&lt;="&amp;Параметры!$B$2,Данные!$E$2:$E$341,Параметры!$B$4)</f>
        <v>0</v>
      </c>
      <c r="Q30" cm="1">
        <f t="array" ref="Q30">SUM(B30:P30)</f>
        <v>1206089.82</v>
      </c>
    </row>
    <row r="31" spans="1:17" x14ac:dyDescent="0.2">
      <c r="A31" t="s">
        <v>463</v>
      </c>
      <c r="B31" cm="1">
        <f t="array" ref="B31">SUM(B26:B30)</f>
        <v>185018.89</v>
      </c>
      <c r="C31" cm="1">
        <f t="array" ref="C31">SUM(C26:C30)</f>
        <v>531248.5</v>
      </c>
      <c r="D31" cm="1">
        <f t="array" ref="D31">SUM(D26:D30)</f>
        <v>164087.92000000001</v>
      </c>
      <c r="E31" cm="1">
        <f t="array" ref="E31">SUM(E26:E30)</f>
        <v>216998.36999999997</v>
      </c>
      <c r="F31" cm="1">
        <f t="array" ref="F31">SUM(F26:F30)</f>
        <v>56606.62</v>
      </c>
      <c r="G31" cm="1">
        <f t="array" ref="G31">SUM(G26:G30)</f>
        <v>733263.14</v>
      </c>
      <c r="H31" cm="1">
        <f t="array" ref="H31">SUM(H26:H30)</f>
        <v>0</v>
      </c>
      <c r="I31" cm="1">
        <f t="array" ref="I31">SUM(I26:I30)</f>
        <v>467775.26</v>
      </c>
      <c r="J31" cm="1">
        <f t="array" ref="J31">SUM(J26:J30)</f>
        <v>1881411234.8399999</v>
      </c>
      <c r="K31" cm="1">
        <f t="array" ref="K31">SUM(K26:K30)</f>
        <v>427424.71</v>
      </c>
      <c r="L31" cm="1">
        <f t="array" ref="L31">SUM(L26:L30)</f>
        <v>270595.84000000003</v>
      </c>
      <c r="M31" cm="1">
        <f t="array" ref="M31">SUM(M26:M30)</f>
        <v>351167.89</v>
      </c>
      <c r="N31" cm="1">
        <f t="array" ref="N31">SUM(N26:N30)</f>
        <v>642408.08000000007</v>
      </c>
      <c r="O31" cm="1">
        <f t="array" ref="O31">SUM(O26:O30)</f>
        <v>0</v>
      </c>
      <c r="P31" cm="1">
        <f t="array" ref="P31">SUM(P26:P30)</f>
        <v>344795.87</v>
      </c>
      <c r="Q31" cm="1">
        <f t="array" ref="Q31">SUM(Q26:Q30)</f>
        <v>1885802625.9299998</v>
      </c>
    </row>
    <row r="32" spans="1:17" x14ac:dyDescent="0.2">
      <c r="A32" t="str" cm="1">
        <f t="array" ref="A32">Статьи!A27</f>
        <v>Связь 3</v>
      </c>
      <c r="B32" cm="1">
        <f t="array" ref="B32">SUMIFS(Данные!$D$2:$D$341,Данные!$B$2:$B$341,$A32,Данные!$F$2:$F$341,B$1,Данные!$A$2:$A$341,"&gt;="&amp;Параметры!$B$1,Данные!$A$2:$A$341,"&lt;="&amp;Параметры!$B$2,Данные!$E$2:$E$341,Параметры!$B$4)</f>
        <v>0</v>
      </c>
      <c r="C32" cm="1">
        <f t="array" ref="C32">SUMIFS(Данные!$D$2:$D$341,Данные!$B$2:$B$341,$A32,Данные!$F$2:$F$341,C$1,Данные!$A$2:$A$341,"&gt;="&amp;Параметры!$B$1,Данные!$A$2:$A$341,"&lt;="&amp;Параметры!$B$2,Данные!$E$2:$E$341,Параметры!$B$4)</f>
        <v>0</v>
      </c>
      <c r="D32" cm="1">
        <f t="array" ref="D32">SUMIFS(Данные!$D$2:$D$341,Данные!$B$2:$B$341,$A32,Данные!$F$2:$F$341,D$1,Данные!$A$2:$A$341,"&gt;="&amp;Параметры!$B$1,Данные!$A$2:$A$341,"&lt;="&amp;Параметры!$B$2,Данные!$E$2:$E$341,Параметры!$B$4)</f>
        <v>190699</v>
      </c>
      <c r="E32" cm="1">
        <f t="array" ref="E32">SUMIFS(Данные!$D$2:$D$341,Данные!$B$2:$B$341,$A32,Данные!$F$2:$F$341,E$1,Данные!$A$2:$A$341,"&gt;="&amp;Параметры!$B$1,Данные!$A$2:$A$341,"&lt;="&amp;Параметры!$B$2,Данные!$E$2:$E$341,Параметры!$B$4)</f>
        <v>0</v>
      </c>
      <c r="F32" cm="1">
        <f t="array" ref="F32">SUMIFS(Данные!$D$2:$D$341,Данные!$B$2:$B$341,$A32,Данные!$F$2:$F$341,F$1,Данные!$A$2:$A$341,"&gt;="&amp;Параметры!$B$1,Данные!$A$2:$A$341,"&lt;="&amp;Параметры!$B$2,Данные!$E$2:$E$341,Параметры!$B$4)</f>
        <v>0</v>
      </c>
      <c r="G32" cm="1">
        <f t="array" ref="G32">SUMIFS(Данные!$D$2:$D$341,Данные!$B$2:$B$341,$A32,Данные!$F$2:$F$341,G$1,Данные!$A$2:$A$341,"&gt;="&amp;Параметры!$B$1,Данные!$A$2:$A$341,"&lt;="&amp;Параметры!$B$2,Данные!$E$2:$E$341,Параметры!$B$4)</f>
        <v>0</v>
      </c>
      <c r="H32" cm="1">
        <f t="array" ref="H32">SUMIFS(Данные!$D$2:$D$341,Данные!$B$2:$B$341,$A32,Данные!$F$2:$F$341,H$1,Данные!$A$2:$A$341,"&gt;="&amp;Параметры!$B$1,Данные!$A$2:$A$341,"&lt;="&amp;Параметры!$B$2,Данные!$E$2:$E$341,Параметры!$B$4)</f>
        <v>0</v>
      </c>
      <c r="I32" cm="1">
        <f t="array" ref="I32">SUMIFS(Данные!$D$2:$D$341,Данные!$B$2:$B$341,$A32,Данные!$F$2:$F$341,I$1,Данные!$A$2:$A$341,"&gt;="&amp;Параметры!$B$1,Данные!$A$2:$A$341,"&lt;="&amp;Параметры!$B$2,Данные!$E$2:$E$341,Параметры!$B$4)</f>
        <v>0</v>
      </c>
      <c r="J32" cm="1">
        <f t="array" ref="J32">SUMIFS(Данные!$D$2:$D$341,Данные!$B$2:$B$341,$A32,Данные!$F$2:$F$341,J$1,Данные!$A$2:$A$341,"&gt;="&amp;Параметры!$B$1,Данные!$A$2:$A$341,"&lt;="&amp;Параметры!$B$2,Данные!$E$2:$E$341,Параметры!$B$4)</f>
        <v>369197.94</v>
      </c>
      <c r="K32" cm="1">
        <f t="array" ref="K32">SUMIFS(Данные!$D$2:$D$341,Данные!$B$2:$B$341,$A32,Данные!$F$2:$F$341,K$1,Данные!$A$2:$A$341,"&gt;="&amp;Параметры!$B$1,Данные!$A$2:$A$341,"&lt;="&amp;Параметры!$B$2,Данные!$E$2:$E$341,Параметры!$B$4)</f>
        <v>93549.25</v>
      </c>
      <c r="L32" cm="1">
        <f t="array" ref="L32">SUMIFS(Данные!$D$2:$D$341,Данные!$B$2:$B$341,$A32,Данные!$F$2:$F$341,L$1,Данные!$A$2:$A$341,"&gt;="&amp;Параметры!$B$1,Данные!$A$2:$A$341,"&lt;="&amp;Параметры!$B$2,Данные!$E$2:$E$341,Параметры!$B$4)</f>
        <v>27521.77</v>
      </c>
      <c r="M32" cm="1">
        <f t="array" ref="M32">SUMIFS(Данные!$D$2:$D$341,Данные!$B$2:$B$341,$A32,Данные!$F$2:$F$341,M$1,Данные!$A$2:$A$341,"&gt;="&amp;Параметры!$B$1,Данные!$A$2:$A$341,"&lt;="&amp;Параметры!$B$2,Данные!$E$2:$E$341,Параметры!$B$4)</f>
        <v>0</v>
      </c>
      <c r="N32" cm="1">
        <f t="array" ref="N32">SUMIFS(Данные!$D$2:$D$341,Данные!$B$2:$B$341,$A32,Данные!$F$2:$F$341,N$1,Данные!$A$2:$A$341,"&gt;="&amp;Параметры!$B$1,Данные!$A$2:$A$341,"&lt;="&amp;Параметры!$B$2,Данные!$E$2:$E$341,Параметры!$B$4)</f>
        <v>331731.76</v>
      </c>
      <c r="O32" cm="1">
        <f t="array" ref="O32">SUMIFS(Данные!$D$2:$D$341,Данные!$B$2:$B$341,$A32,Данные!$F$2:$F$341,O$1,Данные!$A$2:$A$341,"&gt;="&amp;Параметры!$B$1,Данные!$A$2:$A$341,"&lt;="&amp;Параметры!$B$2,Данные!$E$2:$E$341,Параметры!$B$4)</f>
        <v>0</v>
      </c>
      <c r="P32" cm="1">
        <f t="array" ref="P32">SUMIFS(Данные!$D$2:$D$341,Данные!$B$2:$B$341,$A32,Данные!$F$2:$F$341,P$1,Данные!$A$2:$A$341,"&gt;="&amp;Параметры!$B$1,Данные!$A$2:$A$341,"&lt;="&amp;Параметры!$B$2,Данные!$E$2:$E$341,Параметры!$B$4)</f>
        <v>24029.74</v>
      </c>
      <c r="Q32" cm="1">
        <f t="array" ref="Q32">SUM(B32:P32)</f>
        <v>1036729.46</v>
      </c>
    </row>
    <row r="33" spans="1:17" x14ac:dyDescent="0.2">
      <c r="A33" t="str" cm="1">
        <f t="array" ref="A33">Статьи!A28</f>
        <v>Налог 3</v>
      </c>
      <c r="B33" cm="1">
        <f t="array" ref="B33">SUMIFS(Данные!$D$2:$D$341,Данные!$B$2:$B$341,$A33,Данные!$F$2:$F$341,B$1,Данные!$A$2:$A$341,"&gt;="&amp;Параметры!$B$1,Данные!$A$2:$A$341,"&lt;="&amp;Параметры!$B$2,Данные!$E$2:$E$341,Параметры!$B$4)</f>
        <v>0</v>
      </c>
      <c r="C33" cm="1">
        <f t="array" ref="C33">SUMIFS(Данные!$D$2:$D$341,Данные!$B$2:$B$341,$A33,Данные!$F$2:$F$341,C$1,Данные!$A$2:$A$341,"&gt;="&amp;Параметры!$B$1,Данные!$A$2:$A$341,"&lt;="&amp;Параметры!$B$2,Данные!$E$2:$E$341,Параметры!$B$4)</f>
        <v>62162.46</v>
      </c>
      <c r="D33" cm="1">
        <f t="array" ref="D33">SUMIFS(Данные!$D$2:$D$341,Данные!$B$2:$B$341,$A33,Данные!$F$2:$F$341,D$1,Данные!$A$2:$A$341,"&gt;="&amp;Параметры!$B$1,Данные!$A$2:$A$341,"&lt;="&amp;Параметры!$B$2,Данные!$E$2:$E$341,Параметры!$B$4)</f>
        <v>249404.63</v>
      </c>
      <c r="E33" cm="1">
        <f t="array" ref="E33">SUMIFS(Данные!$D$2:$D$341,Данные!$B$2:$B$341,$A33,Данные!$F$2:$F$341,E$1,Данные!$A$2:$A$341,"&gt;="&amp;Параметры!$B$1,Данные!$A$2:$A$341,"&lt;="&amp;Параметры!$B$2,Данные!$E$2:$E$341,Параметры!$B$4)</f>
        <v>0</v>
      </c>
      <c r="F33" cm="1">
        <f t="array" ref="F33">SUMIFS(Данные!$D$2:$D$341,Данные!$B$2:$B$341,$A33,Данные!$F$2:$F$341,F$1,Данные!$A$2:$A$341,"&gt;="&amp;Параметры!$B$1,Данные!$A$2:$A$341,"&lt;="&amp;Параметры!$B$2,Данные!$E$2:$E$341,Параметры!$B$4)</f>
        <v>0</v>
      </c>
      <c r="G33" cm="1">
        <f t="array" ref="G33">SUMIFS(Данные!$D$2:$D$341,Данные!$B$2:$B$341,$A33,Данные!$F$2:$F$341,G$1,Данные!$A$2:$A$341,"&gt;="&amp;Параметры!$B$1,Данные!$A$2:$A$341,"&lt;="&amp;Параметры!$B$2,Данные!$E$2:$E$341,Параметры!$B$4)</f>
        <v>0</v>
      </c>
      <c r="H33" cm="1">
        <f t="array" ref="H33">SUMIFS(Данные!$D$2:$D$341,Данные!$B$2:$B$341,$A33,Данные!$F$2:$F$341,H$1,Данные!$A$2:$A$341,"&gt;="&amp;Параметры!$B$1,Данные!$A$2:$A$341,"&lt;="&amp;Параметры!$B$2,Данные!$E$2:$E$341,Параметры!$B$4)</f>
        <v>0</v>
      </c>
      <c r="I33" cm="1">
        <f t="array" ref="I33">SUMIFS(Данные!$D$2:$D$341,Данные!$B$2:$B$341,$A33,Данные!$F$2:$F$341,I$1,Данные!$A$2:$A$341,"&gt;="&amp;Параметры!$B$1,Данные!$A$2:$A$341,"&lt;="&amp;Параметры!$B$2,Данные!$E$2:$E$341,Параметры!$B$4)</f>
        <v>0</v>
      </c>
      <c r="J33" cm="1">
        <f t="array" ref="J33">SUMIFS(Данные!$D$2:$D$341,Данные!$B$2:$B$341,$A33,Данные!$F$2:$F$341,J$1,Данные!$A$2:$A$341,"&gt;="&amp;Параметры!$B$1,Данные!$A$2:$A$341,"&lt;="&amp;Параметры!$B$2,Данные!$E$2:$E$341,Параметры!$B$4)</f>
        <v>83524.31</v>
      </c>
      <c r="K33" cm="1">
        <f t="array" ref="K33">SUMIFS(Данные!$D$2:$D$341,Данные!$B$2:$B$341,$A33,Данные!$F$2:$F$341,K$1,Данные!$A$2:$A$341,"&gt;="&amp;Параметры!$B$1,Данные!$A$2:$A$341,"&lt;="&amp;Параметры!$B$2,Данные!$E$2:$E$341,Параметры!$B$4)</f>
        <v>0</v>
      </c>
      <c r="L33" cm="1">
        <f t="array" ref="L33">SUMIFS(Данные!$D$2:$D$341,Данные!$B$2:$B$341,$A33,Данные!$F$2:$F$341,L$1,Данные!$A$2:$A$341,"&gt;="&amp;Параметры!$B$1,Данные!$A$2:$A$341,"&lt;="&amp;Параметры!$B$2,Данные!$E$2:$E$341,Параметры!$B$4)</f>
        <v>0</v>
      </c>
      <c r="M33" cm="1">
        <f t="array" ref="M33">SUMIFS(Данные!$D$2:$D$341,Данные!$B$2:$B$341,$A33,Данные!$F$2:$F$341,M$1,Данные!$A$2:$A$341,"&gt;="&amp;Параметры!$B$1,Данные!$A$2:$A$341,"&lt;="&amp;Параметры!$B$2,Данные!$E$2:$E$341,Параметры!$B$4)</f>
        <v>0</v>
      </c>
      <c r="N33" cm="1">
        <f t="array" ref="N33">SUMIFS(Данные!$D$2:$D$341,Данные!$B$2:$B$341,$A33,Данные!$F$2:$F$341,N$1,Данные!$A$2:$A$341,"&gt;="&amp;Параметры!$B$1,Данные!$A$2:$A$341,"&lt;="&amp;Параметры!$B$2,Данные!$E$2:$E$341,Параметры!$B$4)</f>
        <v>-59194.5</v>
      </c>
      <c r="O33" cm="1">
        <f t="array" ref="O33">SUMIFS(Данные!$D$2:$D$341,Данные!$B$2:$B$341,$A33,Данные!$F$2:$F$341,O$1,Данные!$A$2:$A$341,"&gt;="&amp;Параметры!$B$1,Данные!$A$2:$A$341,"&lt;="&amp;Параметры!$B$2,Данные!$E$2:$E$341,Параметры!$B$4)</f>
        <v>61518.89</v>
      </c>
      <c r="P33" cm="1">
        <f t="array" ref="P33">SUMIFS(Данные!$D$2:$D$341,Данные!$B$2:$B$341,$A33,Данные!$F$2:$F$341,P$1,Данные!$A$2:$A$341,"&gt;="&amp;Параметры!$B$1,Данные!$A$2:$A$341,"&lt;="&amp;Параметры!$B$2,Данные!$E$2:$E$341,Параметры!$B$4)</f>
        <v>0</v>
      </c>
      <c r="Q33" cm="1">
        <f t="array" ref="Q33">SUM(B33:P33)</f>
        <v>397415.79000000004</v>
      </c>
    </row>
    <row r="34" spans="1:17" x14ac:dyDescent="0.2">
      <c r="A34" t="str" cm="1">
        <f t="array" ref="A34">Статьи!A29</f>
        <v>Доход 3</v>
      </c>
      <c r="B34" cm="1">
        <f t="array" ref="B34">SUMIFS(Данные!$D$2:$D$341,Данные!$B$2:$B$341,$A34,Данные!$F$2:$F$341,B$1,Данные!$A$2:$A$341,"&gt;="&amp;Параметры!$B$1,Данные!$A$2:$A$341,"&lt;="&amp;Параметры!$B$2,Данные!$E$2:$E$341,Параметры!$B$4)</f>
        <v>0</v>
      </c>
      <c r="C34" cm="1">
        <f t="array" ref="C34">SUMIFS(Данные!$D$2:$D$341,Данные!$B$2:$B$341,$A34,Данные!$F$2:$F$341,C$1,Данные!$A$2:$A$341,"&gt;="&amp;Параметры!$B$1,Данные!$A$2:$A$341,"&lt;="&amp;Параметры!$B$2,Данные!$E$2:$E$341,Параметры!$B$4)</f>
        <v>356468.5</v>
      </c>
      <c r="D34" cm="1">
        <f t="array" ref="D34">SUMIFS(Данные!$D$2:$D$341,Данные!$B$2:$B$341,$A34,Данные!$F$2:$F$341,D$1,Данные!$A$2:$A$341,"&gt;="&amp;Параметры!$B$1,Данные!$A$2:$A$341,"&lt;="&amp;Параметры!$B$2,Данные!$E$2:$E$341,Параметры!$B$4)</f>
        <v>0</v>
      </c>
      <c r="E34" cm="1">
        <f t="array" ref="E34">SUMIFS(Данные!$D$2:$D$341,Данные!$B$2:$B$341,$A34,Данные!$F$2:$F$341,E$1,Данные!$A$2:$A$341,"&gt;="&amp;Параметры!$B$1,Данные!$A$2:$A$341,"&lt;="&amp;Параметры!$B$2,Данные!$E$2:$E$341,Параметры!$B$4)</f>
        <v>0</v>
      </c>
      <c r="F34" cm="1">
        <f t="array" ref="F34">SUMIFS(Данные!$D$2:$D$341,Данные!$B$2:$B$341,$A34,Данные!$F$2:$F$341,F$1,Данные!$A$2:$A$341,"&gt;="&amp;Параметры!$B$1,Данные!$A$2:$A$341,"&lt;="&amp;Параметры!$B$2,Данные!$E$2:$E$341,Параметры!$B$4)</f>
        <v>0</v>
      </c>
      <c r="G34" cm="1">
        <f t="array" ref="G34">SUMIFS(Данные!$D$2:$D$341,Данные!$B$2:$B$341,$A34,Данные!$F$2:$F$341,G$1,Данные!$A$2:$A$341,"&gt;="&amp;Параметры!$B$1,Данные!$A$2:$A$341,"&lt;="&amp;Параметры!$B$2,Данные!$E$2:$E$341,Параметры!$B$4)</f>
        <v>0</v>
      </c>
      <c r="H34" cm="1">
        <f t="array" ref="H34">SUMIFS(Данные!$D$2:$D$341,Данные!$B$2:$B$341,$A34,Данные!$F$2:$F$341,H$1,Данные!$A$2:$A$341,"&gt;="&amp;Параметры!$B$1,Данные!$A$2:$A$341,"&lt;="&amp;Параметры!$B$2,Данные!$E$2:$E$341,Параметры!$B$4)</f>
        <v>-10345.15</v>
      </c>
      <c r="I34" cm="1">
        <f t="array" ref="I34">SUMIFS(Данные!$D$2:$D$341,Данные!$B$2:$B$341,$A34,Данные!$F$2:$F$341,I$1,Данные!$A$2:$A$341,"&gt;="&amp;Параметры!$B$1,Данные!$A$2:$A$341,"&lt;="&amp;Параметры!$B$2,Данные!$E$2:$E$341,Параметры!$B$4)</f>
        <v>245538.09</v>
      </c>
      <c r="J34" cm="1">
        <f t="array" ref="J34">SUMIFS(Данные!$D$2:$D$341,Данные!$B$2:$B$341,$A34,Данные!$F$2:$F$341,J$1,Данные!$A$2:$A$341,"&gt;="&amp;Параметры!$B$1,Данные!$A$2:$A$341,"&lt;="&amp;Параметры!$B$2,Данные!$E$2:$E$341,Параметры!$B$4)</f>
        <v>-83837.23</v>
      </c>
      <c r="K34" cm="1">
        <f t="array" ref="K34">SUMIFS(Данные!$D$2:$D$341,Данные!$B$2:$B$341,$A34,Данные!$F$2:$F$341,K$1,Данные!$A$2:$A$341,"&gt;="&amp;Параметры!$B$1,Данные!$A$2:$A$341,"&lt;="&amp;Параметры!$B$2,Данные!$E$2:$E$341,Параметры!$B$4)</f>
        <v>0</v>
      </c>
      <c r="L34" cm="1">
        <f t="array" ref="L34">SUMIFS(Данные!$D$2:$D$341,Данные!$B$2:$B$341,$A34,Данные!$F$2:$F$341,L$1,Данные!$A$2:$A$341,"&gt;="&amp;Параметры!$B$1,Данные!$A$2:$A$341,"&lt;="&amp;Параметры!$B$2,Данные!$E$2:$E$341,Параметры!$B$4)</f>
        <v>-16705.86</v>
      </c>
      <c r="M34" cm="1">
        <f t="array" ref="M34">SUMIFS(Данные!$D$2:$D$341,Данные!$B$2:$B$341,$A34,Данные!$F$2:$F$341,M$1,Данные!$A$2:$A$341,"&gt;="&amp;Параметры!$B$1,Данные!$A$2:$A$341,"&lt;="&amp;Параметры!$B$2,Данные!$E$2:$E$341,Параметры!$B$4)</f>
        <v>371061.55</v>
      </c>
      <c r="N34" cm="1">
        <f t="array" ref="N34">SUMIFS(Данные!$D$2:$D$341,Данные!$B$2:$B$341,$A34,Данные!$F$2:$F$341,N$1,Данные!$A$2:$A$341,"&gt;="&amp;Параметры!$B$1,Данные!$A$2:$A$341,"&lt;="&amp;Параметры!$B$2,Данные!$E$2:$E$341,Параметры!$B$4)</f>
        <v>0</v>
      </c>
      <c r="O34" cm="1">
        <f t="array" ref="O34">SUMIFS(Данные!$D$2:$D$341,Данные!$B$2:$B$341,$A34,Данные!$F$2:$F$341,O$1,Данные!$A$2:$A$341,"&gt;="&amp;Параметры!$B$1,Данные!$A$2:$A$341,"&lt;="&amp;Параметры!$B$2,Данные!$E$2:$E$341,Параметры!$B$4)</f>
        <v>0</v>
      </c>
      <c r="P34" cm="1">
        <f t="array" ref="P34">SUMIFS(Данные!$D$2:$D$341,Данные!$B$2:$B$341,$A34,Данные!$F$2:$F$341,P$1,Данные!$A$2:$A$341,"&gt;="&amp;Параметры!$B$1,Данные!$A$2:$A$341,"&lt;="&amp;Параметры!$B$2,Данные!$E$2:$E$341,Параметры!$B$4)</f>
        <v>46015.65</v>
      </c>
      <c r="Q34" cm="1">
        <f t="array" ref="Q34">SUM(B34:P34)</f>
        <v>908195.54999999993</v>
      </c>
    </row>
    <row r="35" spans="1:17" x14ac:dyDescent="0.2">
      <c r="A35" t="str" cm="1">
        <f t="array" ref="A35">Статьи!A30</f>
        <v>Сырьё 3</v>
      </c>
      <c r="B35" cm="1">
        <f t="array" ref="B35">SUMIFS(Данные!$D$2:$D$341,Данные!$B$2:$B$341,$A35,Данные!$F$2:$F$341,B$1,Данные!$A$2:$A$341,"&gt;="&amp;Параметры!$B$1,Данные!$A$2:$A$341,"&lt;="&amp;Параметры!$B$2,Данные!$E$2:$E$341,Параметры!$B$4)</f>
        <v>0</v>
      </c>
      <c r="C35" cm="1">
        <f t="array" ref="C35">SUMIFS(Данные!$D$2:$D$341,Данные!$B$2:$B$341,$A35,Данные!$F$2:$F$341,C$1,Данные!$A$2:$A$341,"&gt;="&amp;Параметры!$B$1,Данные!$A$2:$A$341,"&lt;="&amp;Параметры!$B$2,Данные!$E$2:$E$341,Параметры!$B$4)</f>
        <v>0</v>
      </c>
      <c r="D35" cm="1">
        <f t="array" ref="D35">SUMIFS(Данные!$D$2:$D$341,Данные!$B$2:$B$341,$A35,Данные!$F$2:$F$341,D$1,Данные!$A$2:$A$341,"&gt;="&amp;Параметры!$B$1,Данные!$A$2:$A$341,"&lt;="&amp;Параметры!$B$2,Данные!$E$2:$E$341,Параметры!$B$4)</f>
        <v>0</v>
      </c>
      <c r="E35" cm="1">
        <f t="array" ref="E35">SUMIFS(Данные!$D$2:$D$341,Данные!$B$2:$B$341,$A35,Данные!$F$2:$F$341,E$1,Данные!$A$2:$A$341,"&gt;="&amp;Параметры!$B$1,Данные!$A$2:$A$341,"&lt;="&amp;Параметры!$B$2,Данные!$E$2:$E$341,Параметры!$B$4)</f>
        <v>0</v>
      </c>
      <c r="F35" cm="1">
        <f t="array" ref="F35">SUMIFS(Данные!$D$2:$D$341,Данные!$B$2:$B$341,$A35,Данные!$F$2:$F$341,F$1,Данные!$A$2:$A$341,"&gt;="&amp;Параметры!$B$1,Данные!$A$2:$A$341,"&lt;="&amp;Параметры!$B$2,Данные!$E$2:$E$341,Параметры!$B$4)</f>
        <v>0</v>
      </c>
      <c r="G35" cm="1">
        <f t="array" ref="G35">SUMIFS(Данные!$D$2:$D$341,Данные!$B$2:$B$341,$A35,Данные!$F$2:$F$341,G$1,Данные!$A$2:$A$341,"&gt;="&amp;Параметры!$B$1,Данные!$A$2:$A$341,"&lt;="&amp;Параметры!$B$2,Данные!$E$2:$E$341,Параметры!$B$4)</f>
        <v>0</v>
      </c>
      <c r="H35" cm="1">
        <f t="array" ref="H35">SUMIFS(Данные!$D$2:$D$341,Данные!$B$2:$B$341,$A35,Данные!$F$2:$F$341,H$1,Данные!$A$2:$A$341,"&gt;="&amp;Параметры!$B$1,Данные!$A$2:$A$341,"&lt;="&amp;Параметры!$B$2,Данные!$E$2:$E$341,Параметры!$B$4)</f>
        <v>0</v>
      </c>
      <c r="I35" cm="1">
        <f t="array" ref="I35">SUMIFS(Данные!$D$2:$D$341,Данные!$B$2:$B$341,$A35,Данные!$F$2:$F$341,I$1,Данные!$A$2:$A$341,"&gt;="&amp;Параметры!$B$1,Данные!$A$2:$A$341,"&lt;="&amp;Параметры!$B$2,Данные!$E$2:$E$341,Параметры!$B$4)</f>
        <v>54402.51</v>
      </c>
      <c r="J35" cm="1">
        <f t="array" ref="J35">SUMIFS(Данные!$D$2:$D$341,Данные!$B$2:$B$341,$A35,Данные!$F$2:$F$341,J$1,Данные!$A$2:$A$341,"&gt;="&amp;Параметры!$B$1,Данные!$A$2:$A$341,"&lt;="&amp;Параметры!$B$2,Данные!$E$2:$E$341,Параметры!$B$4)</f>
        <v>389019.34</v>
      </c>
      <c r="K35" cm="1">
        <f t="array" ref="K35">SUMIFS(Данные!$D$2:$D$341,Данные!$B$2:$B$341,$A35,Данные!$F$2:$F$341,K$1,Данные!$A$2:$A$341,"&gt;="&amp;Параметры!$B$1,Данные!$A$2:$A$341,"&lt;="&amp;Параметры!$B$2,Данные!$E$2:$E$341,Параметры!$B$4)</f>
        <v>0</v>
      </c>
      <c r="L35" cm="1">
        <f t="array" ref="L35">SUMIFS(Данные!$D$2:$D$341,Данные!$B$2:$B$341,$A35,Данные!$F$2:$F$341,L$1,Данные!$A$2:$A$341,"&gt;="&amp;Параметры!$B$1,Данные!$A$2:$A$341,"&lt;="&amp;Параметры!$B$2,Данные!$E$2:$E$341,Параметры!$B$4)</f>
        <v>0</v>
      </c>
      <c r="M35" cm="1">
        <f t="array" ref="M35">SUMIFS(Данные!$D$2:$D$341,Данные!$B$2:$B$341,$A35,Данные!$F$2:$F$341,M$1,Данные!$A$2:$A$341,"&gt;="&amp;Параметры!$B$1,Данные!$A$2:$A$341,"&lt;="&amp;Параметры!$B$2,Данные!$E$2:$E$341,Параметры!$B$4)</f>
        <v>274323.06</v>
      </c>
      <c r="N35" cm="1">
        <f t="array" ref="N35">SUMIFS(Данные!$D$2:$D$341,Данные!$B$2:$B$341,$A35,Данные!$F$2:$F$341,N$1,Данные!$A$2:$A$341,"&gt;="&amp;Параметры!$B$1,Данные!$A$2:$A$341,"&lt;="&amp;Параметры!$B$2,Данные!$E$2:$E$341,Параметры!$B$4)</f>
        <v>0</v>
      </c>
      <c r="O35" cm="1">
        <f t="array" ref="O35">SUMIFS(Данные!$D$2:$D$341,Данные!$B$2:$B$341,$A35,Данные!$F$2:$F$341,O$1,Данные!$A$2:$A$341,"&gt;="&amp;Параметры!$B$1,Данные!$A$2:$A$341,"&lt;="&amp;Параметры!$B$2,Данные!$E$2:$E$341,Параметры!$B$4)</f>
        <v>287101.89</v>
      </c>
      <c r="P35" cm="1">
        <f t="array" ref="P35">SUMIFS(Данные!$D$2:$D$341,Данные!$B$2:$B$341,$A35,Данные!$F$2:$F$341,P$1,Данные!$A$2:$A$341,"&gt;="&amp;Параметры!$B$1,Данные!$A$2:$A$341,"&lt;="&amp;Параметры!$B$2,Данные!$E$2:$E$341,Параметры!$B$4)</f>
        <v>0</v>
      </c>
      <c r="Q35" cm="1">
        <f t="array" ref="Q35">SUM(B35:P35)</f>
        <v>1004846.8</v>
      </c>
    </row>
    <row r="36" spans="1:17" x14ac:dyDescent="0.2">
      <c r="A36" t="str" cm="1">
        <f t="array" ref="A36">Статьи!A31</f>
        <v>Сырье 3</v>
      </c>
      <c r="B36" cm="1">
        <f t="array" ref="B36">SUMIFS(Данные!$D$2:$D$341,Данные!$B$2:$B$341,$A36,Данные!$F$2:$F$341,B$1,Данные!$A$2:$A$341,"&gt;="&amp;Параметры!$B$1,Данные!$A$2:$A$341,"&lt;="&amp;Параметры!$B$2,Данные!$E$2:$E$341,Параметры!$B$4)</f>
        <v>0</v>
      </c>
      <c r="C36" cm="1">
        <f t="array" ref="C36">SUMIFS(Данные!$D$2:$D$341,Данные!$B$2:$B$341,$A36,Данные!$F$2:$F$341,C$1,Данные!$A$2:$A$341,"&gt;="&amp;Параметры!$B$1,Данные!$A$2:$A$341,"&lt;="&amp;Параметры!$B$2,Данные!$E$2:$E$341,Параметры!$B$4)</f>
        <v>0</v>
      </c>
      <c r="D36" cm="1">
        <f t="array" ref="D36">SUMIFS(Данные!$D$2:$D$341,Данные!$B$2:$B$341,$A36,Данные!$F$2:$F$341,D$1,Данные!$A$2:$A$341,"&gt;="&amp;Параметры!$B$1,Данные!$A$2:$A$341,"&lt;="&amp;Параметры!$B$2,Данные!$E$2:$E$341,Параметры!$B$4)</f>
        <v>0</v>
      </c>
      <c r="E36" cm="1">
        <f t="array" ref="E36">SUMIFS(Данные!$D$2:$D$341,Данные!$B$2:$B$341,$A36,Данные!$F$2:$F$341,E$1,Данные!$A$2:$A$341,"&gt;="&amp;Параметры!$B$1,Данные!$A$2:$A$341,"&lt;="&amp;Параметры!$B$2,Данные!$E$2:$E$341,Параметры!$B$4)</f>
        <v>0</v>
      </c>
      <c r="F36" cm="1">
        <f t="array" ref="F36">SUMIFS(Данные!$D$2:$D$341,Данные!$B$2:$B$341,$A36,Данные!$F$2:$F$341,F$1,Данные!$A$2:$A$341,"&gt;="&amp;Параметры!$B$1,Данные!$A$2:$A$341,"&lt;="&amp;Параметры!$B$2,Данные!$E$2:$E$341,Параметры!$B$4)</f>
        <v>0</v>
      </c>
      <c r="G36" cm="1">
        <f t="array" ref="G36">SUMIFS(Данные!$D$2:$D$341,Данные!$B$2:$B$341,$A36,Данные!$F$2:$F$341,G$1,Данные!$A$2:$A$341,"&gt;="&amp;Параметры!$B$1,Данные!$A$2:$A$341,"&lt;="&amp;Параметры!$B$2,Данные!$E$2:$E$341,Параметры!$B$4)</f>
        <v>0</v>
      </c>
      <c r="H36" cm="1">
        <f t="array" ref="H36">SUMIFS(Данные!$D$2:$D$341,Данные!$B$2:$B$341,$A36,Данные!$F$2:$F$341,H$1,Данные!$A$2:$A$341,"&gt;="&amp;Параметры!$B$1,Данные!$A$2:$A$341,"&lt;="&amp;Параметры!$B$2,Данные!$E$2:$E$341,Параметры!$B$4)</f>
        <v>0</v>
      </c>
      <c r="I36" cm="1">
        <f t="array" ref="I36">SUMIFS(Данные!$D$2:$D$341,Данные!$B$2:$B$341,$A36,Данные!$F$2:$F$341,I$1,Данные!$A$2:$A$341,"&gt;="&amp;Параметры!$B$1,Данные!$A$2:$A$341,"&lt;="&amp;Параметры!$B$2,Данные!$E$2:$E$341,Параметры!$B$4)</f>
        <v>0</v>
      </c>
      <c r="J36" cm="1">
        <f t="array" ref="J36">SUMIFS(Данные!$D$2:$D$341,Данные!$B$2:$B$341,$A36,Данные!$F$2:$F$341,J$1,Данные!$A$2:$A$341,"&gt;="&amp;Параметры!$B$1,Данные!$A$2:$A$341,"&lt;="&amp;Параметры!$B$2,Данные!$E$2:$E$341,Параметры!$B$4)</f>
        <v>0</v>
      </c>
      <c r="K36" cm="1">
        <f t="array" ref="K36">SUMIFS(Данные!$D$2:$D$341,Данные!$B$2:$B$341,$A36,Данные!$F$2:$F$341,K$1,Данные!$A$2:$A$341,"&gt;="&amp;Параметры!$B$1,Данные!$A$2:$A$341,"&lt;="&amp;Параметры!$B$2,Данные!$E$2:$E$341,Параметры!$B$4)</f>
        <v>360890.89</v>
      </c>
      <c r="L36" cm="1">
        <f t="array" ref="L36">SUMIFS(Данные!$D$2:$D$341,Данные!$B$2:$B$341,$A36,Данные!$F$2:$F$341,L$1,Данные!$A$2:$A$341,"&gt;="&amp;Параметры!$B$1,Данные!$A$2:$A$341,"&lt;="&amp;Параметры!$B$2,Данные!$E$2:$E$341,Параметры!$B$4)</f>
        <v>0</v>
      </c>
      <c r="M36" cm="1">
        <f t="array" ref="M36">SUMIFS(Данные!$D$2:$D$341,Данные!$B$2:$B$341,$A36,Данные!$F$2:$F$341,M$1,Данные!$A$2:$A$341,"&gt;="&amp;Параметры!$B$1,Данные!$A$2:$A$341,"&lt;="&amp;Параметры!$B$2,Данные!$E$2:$E$341,Параметры!$B$4)</f>
        <v>-25269.040000000001</v>
      </c>
      <c r="N36" cm="1">
        <f t="array" ref="N36">SUMIFS(Данные!$D$2:$D$341,Данные!$B$2:$B$341,$A36,Данные!$F$2:$F$341,N$1,Данные!$A$2:$A$341,"&gt;="&amp;Параметры!$B$1,Данные!$A$2:$A$341,"&lt;="&amp;Параметры!$B$2,Данные!$E$2:$E$341,Параметры!$B$4)</f>
        <v>0</v>
      </c>
      <c r="O36" cm="1">
        <f t="array" ref="O36">SUMIFS(Данные!$D$2:$D$341,Данные!$B$2:$B$341,$A36,Данные!$F$2:$F$341,O$1,Данные!$A$2:$A$341,"&gt;="&amp;Параметры!$B$1,Данные!$A$2:$A$341,"&lt;="&amp;Параметры!$B$2,Данные!$E$2:$E$341,Параметры!$B$4)</f>
        <v>0</v>
      </c>
      <c r="P36" cm="1">
        <f t="array" ref="P36">SUMIFS(Данные!$D$2:$D$341,Данные!$B$2:$B$341,$A36,Данные!$F$2:$F$341,P$1,Данные!$A$2:$A$341,"&gt;="&amp;Параметры!$B$1,Данные!$A$2:$A$341,"&lt;="&amp;Параметры!$B$2,Данные!$E$2:$E$341,Параметры!$B$4)</f>
        <v>0</v>
      </c>
      <c r="Q36" cm="1">
        <f t="array" ref="Q36">SUM(B36:P36)</f>
        <v>335621.85000000003</v>
      </c>
    </row>
    <row r="37" spans="1:17" x14ac:dyDescent="0.2">
      <c r="A37" t="s">
        <v>464</v>
      </c>
      <c r="B37" cm="1">
        <f t="array" ref="B37">SUM(B32:B36)</f>
        <v>0</v>
      </c>
      <c r="C37" cm="1">
        <f t="array" ref="C37">SUM(C32:C36)</f>
        <v>418630.96</v>
      </c>
      <c r="D37" cm="1">
        <f t="array" ref="D37">SUM(D32:D36)</f>
        <v>440103.63</v>
      </c>
      <c r="E37" cm="1">
        <f t="array" ref="E37">SUM(E32:E36)</f>
        <v>0</v>
      </c>
      <c r="F37" cm="1">
        <f t="array" ref="F37">SUM(F32:F36)</f>
        <v>0</v>
      </c>
      <c r="G37" cm="1">
        <f t="array" ref="G37">SUM(G32:G36)</f>
        <v>0</v>
      </c>
      <c r="H37" cm="1">
        <f t="array" ref="H37">SUM(H32:H36)</f>
        <v>-10345.15</v>
      </c>
      <c r="I37" cm="1">
        <f t="array" ref="I37">SUM(I32:I36)</f>
        <v>299940.59999999998</v>
      </c>
      <c r="J37" cm="1">
        <f t="array" ref="J37">SUM(J32:J36)</f>
        <v>757904.3600000001</v>
      </c>
      <c r="K37" cm="1">
        <f t="array" ref="K37">SUM(K32:K36)</f>
        <v>454440.14</v>
      </c>
      <c r="L37" cm="1">
        <f t="array" ref="L37">SUM(L32:L36)</f>
        <v>10815.91</v>
      </c>
      <c r="M37" cm="1">
        <f t="array" ref="M37">SUM(M32:M36)</f>
        <v>620115.56999999995</v>
      </c>
      <c r="N37" cm="1">
        <f t="array" ref="N37">SUM(N32:N36)</f>
        <v>272537.26</v>
      </c>
      <c r="O37" cm="1">
        <f t="array" ref="O37">SUM(O32:O36)</f>
        <v>348620.78</v>
      </c>
      <c r="P37" cm="1">
        <f t="array" ref="P37">SUM(P32:P36)</f>
        <v>70045.39</v>
      </c>
      <c r="Q37" cm="1">
        <f t="array" ref="Q37">SUM(Q32:Q36)</f>
        <v>3682809.4499999997</v>
      </c>
    </row>
    <row r="38" spans="1:17" x14ac:dyDescent="0.2">
      <c r="A38" t="str" cm="1">
        <f t="array" ref="A38">Статьи!A32</f>
        <v>Чай 4</v>
      </c>
      <c r="B38" cm="1">
        <f t="array" ref="B38">SUMIFS(Данные!$D$2:$D$341,Данные!$B$2:$B$341,$A38,Данные!$F$2:$F$341,B$1,Данные!$A$2:$A$341,"&gt;="&amp;Параметры!$B$1,Данные!$A$2:$A$341,"&lt;="&amp;Параметры!$B$2,Данные!$E$2:$E$341,Параметры!$B$4)</f>
        <v>0</v>
      </c>
      <c r="C38" cm="1">
        <f t="array" ref="C38">SUMIFS(Данные!$D$2:$D$341,Данные!$B$2:$B$341,$A38,Данные!$F$2:$F$341,C$1,Данные!$A$2:$A$341,"&gt;="&amp;Параметры!$B$1,Данные!$A$2:$A$341,"&lt;="&amp;Параметры!$B$2,Данные!$E$2:$E$341,Параметры!$B$4)</f>
        <v>0</v>
      </c>
      <c r="D38" cm="1">
        <f t="array" ref="D38">SUMIFS(Данные!$D$2:$D$341,Данные!$B$2:$B$341,$A38,Данные!$F$2:$F$341,D$1,Данные!$A$2:$A$341,"&gt;="&amp;Параметры!$B$1,Данные!$A$2:$A$341,"&lt;="&amp;Параметры!$B$2,Данные!$E$2:$E$341,Параметры!$B$4)</f>
        <v>67332.710000000006</v>
      </c>
      <c r="E38" cm="1">
        <f t="array" ref="E38">SUMIFS(Данные!$D$2:$D$341,Данные!$B$2:$B$341,$A38,Данные!$F$2:$F$341,E$1,Данные!$A$2:$A$341,"&gt;="&amp;Параметры!$B$1,Данные!$A$2:$A$341,"&lt;="&amp;Параметры!$B$2,Данные!$E$2:$E$341,Параметры!$B$4)</f>
        <v>0</v>
      </c>
      <c r="F38" cm="1">
        <f t="array" ref="F38">SUMIFS(Данные!$D$2:$D$341,Данные!$B$2:$B$341,$A38,Данные!$F$2:$F$341,F$1,Данные!$A$2:$A$341,"&gt;="&amp;Параметры!$B$1,Данные!$A$2:$A$341,"&lt;="&amp;Параметры!$B$2,Данные!$E$2:$E$341,Параметры!$B$4)</f>
        <v>339125.22</v>
      </c>
      <c r="G38" cm="1">
        <f t="array" ref="G38">SUMIFS(Данные!$D$2:$D$341,Данные!$B$2:$B$341,$A38,Данные!$F$2:$F$341,G$1,Данные!$A$2:$A$341,"&gt;="&amp;Параметры!$B$1,Данные!$A$2:$A$341,"&lt;="&amp;Параметры!$B$2,Данные!$E$2:$E$341,Параметры!$B$4)</f>
        <v>286133.45</v>
      </c>
      <c r="H38" cm="1">
        <f t="array" ref="H38">SUMIFS(Данные!$D$2:$D$341,Данные!$B$2:$B$341,$A38,Данные!$F$2:$F$341,H$1,Данные!$A$2:$A$341,"&gt;="&amp;Параметры!$B$1,Данные!$A$2:$A$341,"&lt;="&amp;Параметры!$B$2,Данные!$E$2:$E$341,Параметры!$B$4)</f>
        <v>0</v>
      </c>
      <c r="I38" cm="1">
        <f t="array" ref="I38">SUMIFS(Данные!$D$2:$D$341,Данные!$B$2:$B$341,$A38,Данные!$F$2:$F$341,I$1,Данные!$A$2:$A$341,"&gt;="&amp;Параметры!$B$1,Данные!$A$2:$A$341,"&lt;="&amp;Параметры!$B$2,Данные!$E$2:$E$341,Параметры!$B$4)</f>
        <v>0</v>
      </c>
      <c r="J38" cm="1">
        <f t="array" ref="J38">SUMIFS(Данные!$D$2:$D$341,Данные!$B$2:$B$341,$A38,Данные!$F$2:$F$341,J$1,Данные!$A$2:$A$341,"&gt;="&amp;Параметры!$B$1,Данные!$A$2:$A$341,"&lt;="&amp;Параметры!$B$2,Данные!$E$2:$E$341,Параметры!$B$4)</f>
        <v>206502.25</v>
      </c>
      <c r="K38" cm="1">
        <f t="array" ref="K38">SUMIFS(Данные!$D$2:$D$341,Данные!$B$2:$B$341,$A38,Данные!$F$2:$F$341,K$1,Данные!$A$2:$A$341,"&gt;="&amp;Параметры!$B$1,Данные!$A$2:$A$341,"&lt;="&amp;Параметры!$B$2,Данные!$E$2:$E$341,Параметры!$B$4)</f>
        <v>0</v>
      </c>
      <c r="L38" cm="1">
        <f t="array" ref="L38">SUMIFS(Данные!$D$2:$D$341,Данные!$B$2:$B$341,$A38,Данные!$F$2:$F$341,L$1,Данные!$A$2:$A$341,"&gt;="&amp;Параметры!$B$1,Данные!$A$2:$A$341,"&lt;="&amp;Параметры!$B$2,Данные!$E$2:$E$341,Параметры!$B$4)</f>
        <v>0</v>
      </c>
      <c r="M38" cm="1">
        <f t="array" ref="M38">SUMIFS(Данные!$D$2:$D$341,Данные!$B$2:$B$341,$A38,Данные!$F$2:$F$341,M$1,Данные!$A$2:$A$341,"&gt;="&amp;Параметры!$B$1,Данные!$A$2:$A$341,"&lt;="&amp;Параметры!$B$2,Данные!$E$2:$E$341,Параметры!$B$4)</f>
        <v>0</v>
      </c>
      <c r="N38" cm="1">
        <f t="array" ref="N38">SUMIFS(Данные!$D$2:$D$341,Данные!$B$2:$B$341,$A38,Данные!$F$2:$F$341,N$1,Данные!$A$2:$A$341,"&gt;="&amp;Параметры!$B$1,Данные!$A$2:$A$341,"&lt;="&amp;Параметры!$B$2,Данные!$E$2:$E$341,Параметры!$B$4)</f>
        <v>0</v>
      </c>
      <c r="O38" cm="1">
        <f t="array" ref="O38">SUMIFS(Данные!$D$2:$D$341,Данные!$B$2:$B$341,$A38,Данные!$F$2:$F$341,O$1,Данные!$A$2:$A$341,"&gt;="&amp;Параметры!$B$1,Данные!$A$2:$A$341,"&lt;="&amp;Параметры!$B$2,Данные!$E$2:$E$341,Параметры!$B$4)</f>
        <v>0</v>
      </c>
      <c r="P38" cm="1">
        <f t="array" ref="P38">SUMIFS(Данные!$D$2:$D$341,Данные!$B$2:$B$341,$A38,Данные!$F$2:$F$341,P$1,Данные!$A$2:$A$341,"&gt;="&amp;Параметры!$B$1,Данные!$A$2:$A$341,"&lt;="&amp;Параметры!$B$2,Данные!$E$2:$E$341,Параметры!$B$4)</f>
        <v>0</v>
      </c>
      <c r="Q38" cm="1">
        <f t="array" ref="Q38">SUM(B38:P38)</f>
        <v>899093.63</v>
      </c>
    </row>
    <row r="39" spans="1:17" x14ac:dyDescent="0.2">
      <c r="A39" t="str" cm="1">
        <f t="array" ref="A39">Статьи!A33</f>
        <v>Чаи 4</v>
      </c>
      <c r="B39" cm="1">
        <f t="array" ref="B39">SUMIFS(Данные!$D$2:$D$341,Данные!$B$2:$B$341,$A39,Данные!$F$2:$F$341,B$1,Данные!$A$2:$A$341,"&gt;="&amp;Параметры!$B$1,Данные!$A$2:$A$341,"&lt;="&amp;Параметры!$B$2,Данные!$E$2:$E$341,Параметры!$B$4)</f>
        <v>0</v>
      </c>
      <c r="C39" cm="1">
        <f t="array" ref="C39">SUMIFS(Данные!$D$2:$D$341,Данные!$B$2:$B$341,$A39,Данные!$F$2:$F$341,C$1,Данные!$A$2:$A$341,"&gt;="&amp;Параметры!$B$1,Данные!$A$2:$A$341,"&lt;="&amp;Параметры!$B$2,Данные!$E$2:$E$341,Параметры!$B$4)</f>
        <v>-7931.29</v>
      </c>
      <c r="D39" cm="1">
        <f t="array" ref="D39">SUMIFS(Данные!$D$2:$D$341,Данные!$B$2:$B$341,$A39,Данные!$F$2:$F$341,D$1,Данные!$A$2:$A$341,"&gt;="&amp;Параметры!$B$1,Данные!$A$2:$A$341,"&lt;="&amp;Параметры!$B$2,Данные!$E$2:$E$341,Параметры!$B$4)</f>
        <v>0</v>
      </c>
      <c r="E39" cm="1">
        <f t="array" ref="E39">SUMIFS(Данные!$D$2:$D$341,Данные!$B$2:$B$341,$A39,Данные!$F$2:$F$341,E$1,Данные!$A$2:$A$341,"&gt;="&amp;Параметры!$B$1,Данные!$A$2:$A$341,"&lt;="&amp;Параметры!$B$2,Данные!$E$2:$E$341,Параметры!$B$4)</f>
        <v>-43783.02</v>
      </c>
      <c r="F39" cm="1">
        <f t="array" ref="F39">SUMIFS(Данные!$D$2:$D$341,Данные!$B$2:$B$341,$A39,Данные!$F$2:$F$341,F$1,Данные!$A$2:$A$341,"&gt;="&amp;Параметры!$B$1,Данные!$A$2:$A$341,"&lt;="&amp;Параметры!$B$2,Данные!$E$2:$E$341,Параметры!$B$4)</f>
        <v>0</v>
      </c>
      <c r="G39" cm="1">
        <f t="array" ref="G39">SUMIFS(Данные!$D$2:$D$341,Данные!$B$2:$B$341,$A39,Данные!$F$2:$F$341,G$1,Данные!$A$2:$A$341,"&gt;="&amp;Параметры!$B$1,Данные!$A$2:$A$341,"&lt;="&amp;Параметры!$B$2,Данные!$E$2:$E$341,Параметры!$B$4)</f>
        <v>0</v>
      </c>
      <c r="H39" cm="1">
        <f t="array" ref="H39">SUMIFS(Данные!$D$2:$D$341,Данные!$B$2:$B$341,$A39,Данные!$F$2:$F$341,H$1,Данные!$A$2:$A$341,"&gt;="&amp;Параметры!$B$1,Данные!$A$2:$A$341,"&lt;="&amp;Параметры!$B$2,Данные!$E$2:$E$341,Параметры!$B$4)</f>
        <v>0</v>
      </c>
      <c r="I39" cm="1">
        <f t="array" ref="I39">SUMIFS(Данные!$D$2:$D$341,Данные!$B$2:$B$341,$A39,Данные!$F$2:$F$341,I$1,Данные!$A$2:$A$341,"&gt;="&amp;Параметры!$B$1,Данные!$A$2:$A$341,"&lt;="&amp;Параметры!$B$2,Данные!$E$2:$E$341,Параметры!$B$4)</f>
        <v>0</v>
      </c>
      <c r="J39" cm="1">
        <f t="array" ref="J39">SUMIFS(Данные!$D$2:$D$341,Данные!$B$2:$B$341,$A39,Данные!$F$2:$F$341,J$1,Данные!$A$2:$A$341,"&gt;="&amp;Параметры!$B$1,Данные!$A$2:$A$341,"&lt;="&amp;Параметры!$B$2,Данные!$E$2:$E$341,Параметры!$B$4)</f>
        <v>286612.07</v>
      </c>
      <c r="K39" cm="1">
        <f t="array" ref="K39">SUMIFS(Данные!$D$2:$D$341,Данные!$B$2:$B$341,$A39,Данные!$F$2:$F$341,K$1,Данные!$A$2:$A$341,"&gt;="&amp;Параметры!$B$1,Данные!$A$2:$A$341,"&lt;="&amp;Параметры!$B$2,Данные!$E$2:$E$341,Параметры!$B$4)</f>
        <v>0</v>
      </c>
      <c r="L39" cm="1">
        <f t="array" ref="L39">SUMIFS(Данные!$D$2:$D$341,Данные!$B$2:$B$341,$A39,Данные!$F$2:$F$341,L$1,Данные!$A$2:$A$341,"&gt;="&amp;Параметры!$B$1,Данные!$A$2:$A$341,"&lt;="&amp;Параметры!$B$2,Данные!$E$2:$E$341,Параметры!$B$4)</f>
        <v>0</v>
      </c>
      <c r="M39" cm="1">
        <f t="array" ref="M39">SUMIFS(Данные!$D$2:$D$341,Данные!$B$2:$B$341,$A39,Данные!$F$2:$F$341,M$1,Данные!$A$2:$A$341,"&gt;="&amp;Параметры!$B$1,Данные!$A$2:$A$341,"&lt;="&amp;Параметры!$B$2,Данные!$E$2:$E$341,Параметры!$B$4)</f>
        <v>0</v>
      </c>
      <c r="N39" cm="1">
        <f t="array" ref="N39">SUMIFS(Данные!$D$2:$D$341,Данные!$B$2:$B$341,$A39,Данные!$F$2:$F$341,N$1,Данные!$A$2:$A$341,"&gt;="&amp;Параметры!$B$1,Данные!$A$2:$A$341,"&lt;="&amp;Параметры!$B$2,Данные!$E$2:$E$341,Параметры!$B$4)</f>
        <v>0</v>
      </c>
      <c r="O39" cm="1">
        <f t="array" ref="O39">SUMIFS(Данные!$D$2:$D$341,Данные!$B$2:$B$341,$A39,Данные!$F$2:$F$341,O$1,Данные!$A$2:$A$341,"&gt;="&amp;Параметры!$B$1,Данные!$A$2:$A$341,"&lt;="&amp;Параметры!$B$2,Данные!$E$2:$E$341,Параметры!$B$4)</f>
        <v>0</v>
      </c>
      <c r="P39" cm="1">
        <f t="array" ref="P39">SUMIFS(Данные!$D$2:$D$341,Данные!$B$2:$B$341,$A39,Данные!$F$2:$F$341,P$1,Данные!$A$2:$A$341,"&gt;="&amp;Параметры!$B$1,Данные!$A$2:$A$341,"&lt;="&amp;Параметры!$B$2,Данные!$E$2:$E$341,Параметры!$B$4)</f>
        <v>0</v>
      </c>
      <c r="Q39" cm="1">
        <f t="array" ref="Q39">SUM(B39:P39)</f>
        <v>234897.76</v>
      </c>
    </row>
    <row r="40" spans="1:17" x14ac:dyDescent="0.2">
      <c r="A40" t="str" cm="1">
        <f t="array" ref="A40">Статьи!A34</f>
        <v>Ёлка 4</v>
      </c>
      <c r="B40" cm="1">
        <f t="array" ref="B40">SUMIFS(Данные!$D$2:$D$341,Данные!$B$2:$B$341,$A40,Данные!$F$2:$F$341,B$1,Данные!$A$2:$A$341,"&gt;="&amp;Параметры!$B$1,Данные!$A$2:$A$341,"&lt;="&amp;Параметры!$B$2,Данные!$E$2:$E$341,Параметры!$B$4)</f>
        <v>0</v>
      </c>
      <c r="C40" cm="1">
        <f t="array" ref="C40">SUMIFS(Данные!$D$2:$D$341,Данные!$B$2:$B$341,$A40,Данные!$F$2:$F$341,C$1,Данные!$A$2:$A$341,"&gt;="&amp;Параметры!$B$1,Данные!$A$2:$A$341,"&lt;="&amp;Параметры!$B$2,Данные!$E$2:$E$341,Параметры!$B$4)</f>
        <v>52231.74</v>
      </c>
      <c r="D40" cm="1">
        <f t="array" ref="D40">SUMIFS(Данные!$D$2:$D$341,Данные!$B$2:$B$341,$A40,Данные!$F$2:$F$341,D$1,Данные!$A$2:$A$341,"&gt;="&amp;Параметры!$B$1,Данные!$A$2:$A$341,"&lt;="&amp;Параметры!$B$2,Данные!$E$2:$E$341,Параметры!$B$4)</f>
        <v>0</v>
      </c>
      <c r="E40" cm="1">
        <f t="array" ref="E40">SUMIFS(Данные!$D$2:$D$341,Данные!$B$2:$B$341,$A40,Данные!$F$2:$F$341,E$1,Данные!$A$2:$A$341,"&gt;="&amp;Параметры!$B$1,Данные!$A$2:$A$341,"&lt;="&amp;Параметры!$B$2,Данные!$E$2:$E$341,Параметры!$B$4)</f>
        <v>0</v>
      </c>
      <c r="F40" cm="1">
        <f t="array" ref="F40">SUMIFS(Данные!$D$2:$D$341,Данные!$B$2:$B$341,$A40,Данные!$F$2:$F$341,F$1,Данные!$A$2:$A$341,"&gt;="&amp;Параметры!$B$1,Данные!$A$2:$A$341,"&lt;="&amp;Параметры!$B$2,Данные!$E$2:$E$341,Параметры!$B$4)</f>
        <v>0</v>
      </c>
      <c r="G40" cm="1">
        <f t="array" ref="G40">SUMIFS(Данные!$D$2:$D$341,Данные!$B$2:$B$341,$A40,Данные!$F$2:$F$341,G$1,Данные!$A$2:$A$341,"&gt;="&amp;Параметры!$B$1,Данные!$A$2:$A$341,"&lt;="&amp;Параметры!$B$2,Данные!$E$2:$E$341,Параметры!$B$4)</f>
        <v>0</v>
      </c>
      <c r="H40" cm="1">
        <f t="array" ref="H40">SUMIFS(Данные!$D$2:$D$341,Данные!$B$2:$B$341,$A40,Данные!$F$2:$F$341,H$1,Данные!$A$2:$A$341,"&gt;="&amp;Параметры!$B$1,Данные!$A$2:$A$341,"&lt;="&amp;Параметры!$B$2,Данные!$E$2:$E$341,Параметры!$B$4)</f>
        <v>0</v>
      </c>
      <c r="I40" cm="1">
        <f t="array" ref="I40">SUMIFS(Данные!$D$2:$D$341,Данные!$B$2:$B$341,$A40,Данные!$F$2:$F$341,I$1,Данные!$A$2:$A$341,"&gt;="&amp;Параметры!$B$1,Данные!$A$2:$A$341,"&lt;="&amp;Параметры!$B$2,Данные!$E$2:$E$341,Параметры!$B$4)</f>
        <v>0</v>
      </c>
      <c r="J40" cm="1">
        <f t="array" ref="J40">SUMIFS(Данные!$D$2:$D$341,Данные!$B$2:$B$341,$A40,Данные!$F$2:$F$341,J$1,Данные!$A$2:$A$341,"&gt;="&amp;Параметры!$B$1,Данные!$A$2:$A$341,"&lt;="&amp;Параметры!$B$2,Данные!$E$2:$E$341,Параметры!$B$4)</f>
        <v>0</v>
      </c>
      <c r="K40" cm="1">
        <f t="array" ref="K40">SUMIFS(Данные!$D$2:$D$341,Данные!$B$2:$B$341,$A40,Данные!$F$2:$F$341,K$1,Данные!$A$2:$A$341,"&gt;="&amp;Параметры!$B$1,Данные!$A$2:$A$341,"&lt;="&amp;Параметры!$B$2,Данные!$E$2:$E$341,Параметры!$B$4)</f>
        <v>233111.93</v>
      </c>
      <c r="L40" cm="1">
        <f t="array" ref="L40">SUMIFS(Данные!$D$2:$D$341,Данные!$B$2:$B$341,$A40,Данные!$F$2:$F$341,L$1,Данные!$A$2:$A$341,"&gt;="&amp;Параметры!$B$1,Данные!$A$2:$A$341,"&lt;="&amp;Параметры!$B$2,Данные!$E$2:$E$341,Параметры!$B$4)</f>
        <v>0</v>
      </c>
      <c r="M40" cm="1">
        <f t="array" ref="M40">SUMIFS(Данные!$D$2:$D$341,Данные!$B$2:$B$341,$A40,Данные!$F$2:$F$341,M$1,Данные!$A$2:$A$341,"&gt;="&amp;Параметры!$B$1,Данные!$A$2:$A$341,"&lt;="&amp;Параметры!$B$2,Данные!$E$2:$E$341,Параметры!$B$4)</f>
        <v>0</v>
      </c>
      <c r="N40" cm="1">
        <f t="array" ref="N40">SUMIFS(Данные!$D$2:$D$341,Данные!$B$2:$B$341,$A40,Данные!$F$2:$F$341,N$1,Данные!$A$2:$A$341,"&gt;="&amp;Параметры!$B$1,Данные!$A$2:$A$341,"&lt;="&amp;Параметры!$B$2,Данные!$E$2:$E$341,Параметры!$B$4)</f>
        <v>0</v>
      </c>
      <c r="O40" cm="1">
        <f t="array" ref="O40">SUMIFS(Данные!$D$2:$D$341,Данные!$B$2:$B$341,$A40,Данные!$F$2:$F$341,O$1,Данные!$A$2:$A$341,"&gt;="&amp;Параметры!$B$1,Данные!$A$2:$A$341,"&lt;="&amp;Параметры!$B$2,Данные!$E$2:$E$341,Параметры!$B$4)</f>
        <v>0</v>
      </c>
      <c r="P40" cm="1">
        <f t="array" ref="P40">SUMIFS(Данные!$D$2:$D$341,Данные!$B$2:$B$341,$A40,Данные!$F$2:$F$341,P$1,Данные!$A$2:$A$341,"&gt;="&amp;Параметры!$B$1,Данные!$A$2:$A$341,"&lt;="&amp;Параметры!$B$2,Данные!$E$2:$E$341,Параметры!$B$4)</f>
        <v>0</v>
      </c>
      <c r="Q40" cm="1">
        <f t="array" ref="Q40">SUM(B40:P40)</f>
        <v>285343.67</v>
      </c>
    </row>
    <row r="41" spans="1:17" x14ac:dyDescent="0.2">
      <c r="A41" t="str" cm="1">
        <f t="array" ref="A41">Статьи!A35</f>
        <v>Елка 4</v>
      </c>
      <c r="B41" cm="1">
        <f t="array" ref="B41">SUMIFS(Данные!$D$2:$D$341,Данные!$B$2:$B$341,$A41,Данные!$F$2:$F$341,B$1,Данные!$A$2:$A$341,"&gt;="&amp;Параметры!$B$1,Данные!$A$2:$A$341,"&lt;="&amp;Параметры!$B$2,Данные!$E$2:$E$341,Параметры!$B$4)</f>
        <v>0</v>
      </c>
      <c r="C41" cm="1">
        <f t="array" ref="C41">SUMIFS(Данные!$D$2:$D$341,Данные!$B$2:$B$341,$A41,Данные!$F$2:$F$341,C$1,Данные!$A$2:$A$341,"&gt;="&amp;Параметры!$B$1,Данные!$A$2:$A$341,"&lt;="&amp;Параметры!$B$2,Данные!$E$2:$E$341,Параметры!$B$4)</f>
        <v>0</v>
      </c>
      <c r="D41" cm="1">
        <f t="array" ref="D41">SUMIFS(Данные!$D$2:$D$341,Данные!$B$2:$B$341,$A41,Данные!$F$2:$F$341,D$1,Данные!$A$2:$A$341,"&gt;="&amp;Параметры!$B$1,Данные!$A$2:$A$341,"&lt;="&amp;Параметры!$B$2,Данные!$E$2:$E$341,Параметры!$B$4)</f>
        <v>0</v>
      </c>
      <c r="E41" cm="1">
        <f t="array" ref="E41">SUMIFS(Данные!$D$2:$D$341,Данные!$B$2:$B$341,$A41,Данные!$F$2:$F$341,E$1,Данные!$A$2:$A$341,"&gt;="&amp;Параметры!$B$1,Данные!$A$2:$A$341,"&lt;="&amp;Параметры!$B$2,Данные!$E$2:$E$341,Параметры!$B$4)</f>
        <v>0</v>
      </c>
      <c r="F41" cm="1">
        <f t="array" ref="F41">SUMIFS(Данные!$D$2:$D$341,Данные!$B$2:$B$341,$A41,Данные!$F$2:$F$341,F$1,Данные!$A$2:$A$341,"&gt;="&amp;Параметры!$B$1,Данные!$A$2:$A$341,"&lt;="&amp;Параметры!$B$2,Данные!$E$2:$E$341,Параметры!$B$4)</f>
        <v>0</v>
      </c>
      <c r="G41" cm="1">
        <f t="array" ref="G41">SUMIFS(Данные!$D$2:$D$341,Данные!$B$2:$B$341,$A41,Данные!$F$2:$F$341,G$1,Данные!$A$2:$A$341,"&gt;="&amp;Параметры!$B$1,Данные!$A$2:$A$341,"&lt;="&amp;Параметры!$B$2,Данные!$E$2:$E$341,Параметры!$B$4)</f>
        <v>307485.51</v>
      </c>
      <c r="H41" cm="1">
        <f t="array" ref="H41">SUMIFS(Данные!$D$2:$D$341,Данные!$B$2:$B$341,$A41,Данные!$F$2:$F$341,H$1,Данные!$A$2:$A$341,"&gt;="&amp;Параметры!$B$1,Данные!$A$2:$A$341,"&lt;="&amp;Параметры!$B$2,Данные!$E$2:$E$341,Параметры!$B$4)</f>
        <v>0</v>
      </c>
      <c r="I41" cm="1">
        <f t="array" ref="I41">SUMIFS(Данные!$D$2:$D$341,Данные!$B$2:$B$341,$A41,Данные!$F$2:$F$341,I$1,Данные!$A$2:$A$341,"&gt;="&amp;Параметры!$B$1,Данные!$A$2:$A$341,"&lt;="&amp;Параметры!$B$2,Данные!$E$2:$E$341,Параметры!$B$4)</f>
        <v>0</v>
      </c>
      <c r="J41" cm="1">
        <f t="array" ref="J41">SUMIFS(Данные!$D$2:$D$341,Данные!$B$2:$B$341,$A41,Данные!$F$2:$F$341,J$1,Данные!$A$2:$A$341,"&gt;="&amp;Параметры!$B$1,Данные!$A$2:$A$341,"&lt;="&amp;Параметры!$B$2,Данные!$E$2:$E$341,Параметры!$B$4)</f>
        <v>0</v>
      </c>
      <c r="K41" cm="1">
        <f t="array" ref="K41">SUMIFS(Данные!$D$2:$D$341,Данные!$B$2:$B$341,$A41,Данные!$F$2:$F$341,K$1,Данные!$A$2:$A$341,"&gt;="&amp;Параметры!$B$1,Данные!$A$2:$A$341,"&lt;="&amp;Параметры!$B$2,Данные!$E$2:$E$341,Параметры!$B$4)</f>
        <v>47400.89</v>
      </c>
      <c r="L41" cm="1">
        <f t="array" ref="L41">SUMIFS(Данные!$D$2:$D$341,Данные!$B$2:$B$341,$A41,Данные!$F$2:$F$341,L$1,Данные!$A$2:$A$341,"&gt;="&amp;Параметры!$B$1,Данные!$A$2:$A$341,"&lt;="&amp;Параметры!$B$2,Данные!$E$2:$E$341,Параметры!$B$4)</f>
        <v>-12007.38</v>
      </c>
      <c r="M41" cm="1">
        <f t="array" ref="M41">SUMIFS(Данные!$D$2:$D$341,Данные!$B$2:$B$341,$A41,Данные!$F$2:$F$341,M$1,Данные!$A$2:$A$341,"&gt;="&amp;Параметры!$B$1,Данные!$A$2:$A$341,"&lt;="&amp;Параметры!$B$2,Данные!$E$2:$E$341,Параметры!$B$4)</f>
        <v>306597.05</v>
      </c>
      <c r="N41" cm="1">
        <f t="array" ref="N41">SUMIFS(Данные!$D$2:$D$341,Данные!$B$2:$B$341,$A41,Данные!$F$2:$F$341,N$1,Данные!$A$2:$A$341,"&gt;="&amp;Параметры!$B$1,Данные!$A$2:$A$341,"&lt;="&amp;Параметры!$B$2,Данные!$E$2:$E$341,Параметры!$B$4)</f>
        <v>-95356.54</v>
      </c>
      <c r="O41" cm="1">
        <f t="array" ref="O41">SUMIFS(Данные!$D$2:$D$341,Данные!$B$2:$B$341,$A41,Данные!$F$2:$F$341,O$1,Данные!$A$2:$A$341,"&gt;="&amp;Параметры!$B$1,Данные!$A$2:$A$341,"&lt;="&amp;Параметры!$B$2,Данные!$E$2:$E$341,Параметры!$B$4)</f>
        <v>0</v>
      </c>
      <c r="P41" cm="1">
        <f t="array" ref="P41">SUMIFS(Данные!$D$2:$D$341,Данные!$B$2:$B$341,$A41,Данные!$F$2:$F$341,P$1,Данные!$A$2:$A$341,"&gt;="&amp;Параметры!$B$1,Данные!$A$2:$A$341,"&lt;="&amp;Параметры!$B$2,Данные!$E$2:$E$341,Параметры!$B$4)</f>
        <v>0</v>
      </c>
      <c r="Q41" cm="1">
        <f t="array" ref="Q41">SUM(B41:P41)</f>
        <v>554119.53</v>
      </c>
    </row>
    <row r="42" spans="1:17" x14ac:dyDescent="0.2">
      <c r="A42" t="str" cm="1">
        <f t="array" ref="A42">Статьи!A36</f>
        <v>Аренда 4</v>
      </c>
      <c r="B42" cm="1">
        <f t="array" ref="B42">SUMIFS(Данные!$D$2:$D$341,Данные!$B$2:$B$341,$A42,Данные!$F$2:$F$341,B$1,Данные!$A$2:$A$341,"&gt;="&amp;Параметры!$B$1,Данные!$A$2:$A$341,"&lt;="&amp;Параметры!$B$2,Данные!$E$2:$E$341,Параметры!$B$4)</f>
        <v>0</v>
      </c>
      <c r="C42" cm="1">
        <f t="array" ref="C42">SUMIFS(Данные!$D$2:$D$341,Данные!$B$2:$B$341,$A42,Данные!$F$2:$F$341,C$1,Данные!$A$2:$A$341,"&gt;="&amp;Параметры!$B$1,Данные!$A$2:$A$341,"&lt;="&amp;Параметры!$B$2,Данные!$E$2:$E$341,Параметры!$B$4)</f>
        <v>0</v>
      </c>
      <c r="D42" cm="1">
        <f t="array" ref="D42">SUMIFS(Данные!$D$2:$D$341,Данные!$B$2:$B$341,$A42,Данные!$F$2:$F$341,D$1,Данные!$A$2:$A$341,"&gt;="&amp;Параметры!$B$1,Данные!$A$2:$A$341,"&lt;="&amp;Параметры!$B$2,Данные!$E$2:$E$341,Параметры!$B$4)</f>
        <v>0</v>
      </c>
      <c r="E42" cm="1">
        <f t="array" ref="E42">SUMIFS(Данные!$D$2:$D$341,Данные!$B$2:$B$341,$A42,Данные!$F$2:$F$341,E$1,Данные!$A$2:$A$341,"&gt;="&amp;Параметры!$B$1,Данные!$A$2:$A$341,"&lt;="&amp;Параметры!$B$2,Данные!$E$2:$E$341,Параметры!$B$4)</f>
        <v>0</v>
      </c>
      <c r="F42" cm="1">
        <f t="array" ref="F42">SUMIFS(Данные!$D$2:$D$341,Данные!$B$2:$B$341,$A42,Данные!$F$2:$F$341,F$1,Данные!$A$2:$A$341,"&gt;="&amp;Параметры!$B$1,Данные!$A$2:$A$341,"&lt;="&amp;Параметры!$B$2,Данные!$E$2:$E$341,Параметры!$B$4)</f>
        <v>0</v>
      </c>
      <c r="G42" cm="1">
        <f t="array" ref="G42">SUMIFS(Данные!$D$2:$D$341,Данные!$B$2:$B$341,$A42,Данные!$F$2:$F$341,G$1,Данные!$A$2:$A$341,"&gt;="&amp;Параметры!$B$1,Данные!$A$2:$A$341,"&lt;="&amp;Параметры!$B$2,Данные!$E$2:$E$341,Параметры!$B$4)</f>
        <v>0</v>
      </c>
      <c r="H42" cm="1">
        <f t="array" ref="H42">SUMIFS(Данные!$D$2:$D$341,Данные!$B$2:$B$341,$A42,Данные!$F$2:$F$341,H$1,Данные!$A$2:$A$341,"&gt;="&amp;Параметры!$B$1,Данные!$A$2:$A$341,"&lt;="&amp;Параметры!$B$2,Данные!$E$2:$E$341,Параметры!$B$4)</f>
        <v>0</v>
      </c>
      <c r="I42" cm="1">
        <f t="array" ref="I42">SUMIFS(Данные!$D$2:$D$341,Данные!$B$2:$B$341,$A42,Данные!$F$2:$F$341,I$1,Данные!$A$2:$A$341,"&gt;="&amp;Параметры!$B$1,Данные!$A$2:$A$341,"&lt;="&amp;Параметры!$B$2,Данные!$E$2:$E$341,Параметры!$B$4)</f>
        <v>8341.1299999999992</v>
      </c>
      <c r="J42" cm="1">
        <f t="array" ref="J42">SUMIFS(Данные!$D$2:$D$341,Данные!$B$2:$B$341,$A42,Данные!$F$2:$F$341,J$1,Данные!$A$2:$A$341,"&gt;="&amp;Параметры!$B$1,Данные!$A$2:$A$341,"&lt;="&amp;Параметры!$B$2,Данные!$E$2:$E$341,Параметры!$B$4)</f>
        <v>0</v>
      </c>
      <c r="K42" cm="1">
        <f t="array" ref="K42">SUMIFS(Данные!$D$2:$D$341,Данные!$B$2:$B$341,$A42,Данные!$F$2:$F$341,K$1,Данные!$A$2:$A$341,"&gt;="&amp;Параметры!$B$1,Данные!$A$2:$A$341,"&lt;="&amp;Параметры!$B$2,Данные!$E$2:$E$341,Параметры!$B$4)</f>
        <v>0</v>
      </c>
      <c r="L42" cm="1">
        <f t="array" ref="L42">SUMIFS(Данные!$D$2:$D$341,Данные!$B$2:$B$341,$A42,Данные!$F$2:$F$341,L$1,Данные!$A$2:$A$341,"&gt;="&amp;Параметры!$B$1,Данные!$A$2:$A$341,"&lt;="&amp;Параметры!$B$2,Данные!$E$2:$E$341,Параметры!$B$4)</f>
        <v>230468.43</v>
      </c>
      <c r="M42" cm="1">
        <f t="array" ref="M42">SUMIFS(Данные!$D$2:$D$341,Данные!$B$2:$B$341,$A42,Данные!$F$2:$F$341,M$1,Данные!$A$2:$A$341,"&gt;="&amp;Параметры!$B$1,Данные!$A$2:$A$341,"&lt;="&amp;Параметры!$B$2,Данные!$E$2:$E$341,Параметры!$B$4)</f>
        <v>46530.92</v>
      </c>
      <c r="N42" cm="1">
        <f t="array" ref="N42">SUMIFS(Данные!$D$2:$D$341,Данные!$B$2:$B$341,$A42,Данные!$F$2:$F$341,N$1,Данные!$A$2:$A$341,"&gt;="&amp;Параметры!$B$1,Данные!$A$2:$A$341,"&lt;="&amp;Параметры!$B$2,Данные!$E$2:$E$341,Параметры!$B$4)</f>
        <v>0</v>
      </c>
      <c r="O42" cm="1">
        <f t="array" ref="O42">SUMIFS(Данные!$D$2:$D$341,Данные!$B$2:$B$341,$A42,Данные!$F$2:$F$341,O$1,Данные!$A$2:$A$341,"&gt;="&amp;Параметры!$B$1,Данные!$A$2:$A$341,"&lt;="&amp;Параметры!$B$2,Данные!$E$2:$E$341,Параметры!$B$4)</f>
        <v>0</v>
      </c>
      <c r="P42" cm="1">
        <f t="array" ref="P42">SUMIFS(Данные!$D$2:$D$341,Данные!$B$2:$B$341,$A42,Данные!$F$2:$F$341,P$1,Данные!$A$2:$A$341,"&gt;="&amp;Параметры!$B$1,Данные!$A$2:$A$341,"&lt;="&amp;Параметры!$B$2,Данные!$E$2:$E$341,Параметры!$B$4)</f>
        <v>0</v>
      </c>
      <c r="Q42" cm="1">
        <f t="array" ref="Q42">SUM(B42:P42)</f>
        <v>285340.48</v>
      </c>
    </row>
    <row r="43" spans="1:17" x14ac:dyDescent="0.2">
      <c r="A43" t="s">
        <v>465</v>
      </c>
      <c r="B43" cm="1">
        <f t="array" ref="B43">SUM(B38:B42)</f>
        <v>0</v>
      </c>
      <c r="C43" cm="1">
        <f t="array" ref="C43">SUM(C38:C42)</f>
        <v>44300.45</v>
      </c>
      <c r="D43" cm="1">
        <f t="array" ref="D43">SUM(D38:D42)</f>
        <v>67332.710000000006</v>
      </c>
      <c r="E43" cm="1">
        <f t="array" ref="E43">SUM(E38:E42)</f>
        <v>-43783.02</v>
      </c>
      <c r="F43" cm="1">
        <f t="array" ref="F43">SUM(F38:F42)</f>
        <v>339125.22</v>
      </c>
      <c r="G43" cm="1">
        <f t="array" ref="G43">SUM(G38:G42)</f>
        <v>593618.96</v>
      </c>
      <c r="H43" cm="1">
        <f t="array" ref="H43">SUM(H38:H42)</f>
        <v>0</v>
      </c>
      <c r="I43" cm="1">
        <f t="array" ref="I43">SUM(I38:I42)</f>
        <v>8341.1299999999992</v>
      </c>
      <c r="J43" cm="1">
        <f t="array" ref="J43">SUM(J38:J42)</f>
        <v>493114.32</v>
      </c>
      <c r="K43" cm="1">
        <f t="array" ref="K43">SUM(K38:K42)</f>
        <v>280512.82</v>
      </c>
      <c r="L43" cm="1">
        <f t="array" ref="L43">SUM(L38:L42)</f>
        <v>218461.05</v>
      </c>
      <c r="M43" cm="1">
        <f t="array" ref="M43">SUM(M38:M42)</f>
        <v>353127.97</v>
      </c>
      <c r="N43" cm="1">
        <f t="array" ref="N43">SUM(N38:N42)</f>
        <v>-95356.54</v>
      </c>
      <c r="O43" cm="1">
        <f t="array" ref="O43">SUM(O38:O42)</f>
        <v>0</v>
      </c>
      <c r="P43" cm="1">
        <f t="array" ref="P43">SUM(P38:P42)</f>
        <v>0</v>
      </c>
      <c r="Q43" cm="1">
        <f t="array" ref="Q43">SUM(Q38:Q42)</f>
        <v>2258795.0700000003</v>
      </c>
    </row>
    <row r="44" spans="1:17" x14ac:dyDescent="0.2">
      <c r="A44" t="str" cm="1">
        <f t="array" ref="A44">Статьи!A37</f>
        <v>Связь 4</v>
      </c>
      <c r="B44" cm="1">
        <f t="array" ref="B44">SUMIFS(Данные!$D$2:$D$341,Данные!$B$2:$B$341,$A44,Данные!$F$2:$F$341,B$1,Данные!$A$2:$A$341,"&gt;="&amp;Параметры!$B$1,Данные!$A$2:$A$341,"&lt;="&amp;Параметры!$B$2,Данные!$E$2:$E$341,Параметры!$B$4)</f>
        <v>206710.29</v>
      </c>
      <c r="C44" cm="1">
        <f t="array" ref="C44">SUMIFS(Данные!$D$2:$D$341,Данные!$B$2:$B$341,$A44,Данные!$F$2:$F$341,C$1,Данные!$A$2:$A$341,"&gt;="&amp;Параметры!$B$1,Данные!$A$2:$A$341,"&lt;="&amp;Параметры!$B$2,Данные!$E$2:$E$341,Параметры!$B$4)</f>
        <v>263411.21999999997</v>
      </c>
      <c r="D44" cm="1">
        <f t="array" ref="D44">SUMIFS(Данные!$D$2:$D$341,Данные!$B$2:$B$341,$A44,Данные!$F$2:$F$341,D$1,Данные!$A$2:$A$341,"&gt;="&amp;Параметры!$B$1,Данные!$A$2:$A$341,"&lt;="&amp;Параметры!$B$2,Данные!$E$2:$E$341,Параметры!$B$4)</f>
        <v>0</v>
      </c>
      <c r="E44" cm="1">
        <f t="array" ref="E44">SUMIFS(Данные!$D$2:$D$341,Данные!$B$2:$B$341,$A44,Данные!$F$2:$F$341,E$1,Данные!$A$2:$A$341,"&gt;="&amp;Параметры!$B$1,Данные!$A$2:$A$341,"&lt;="&amp;Параметры!$B$2,Данные!$E$2:$E$341,Параметры!$B$4)</f>
        <v>0</v>
      </c>
      <c r="F44" cm="1">
        <f t="array" ref="F44">SUMIFS(Данные!$D$2:$D$341,Данные!$B$2:$B$341,$A44,Данные!$F$2:$F$341,F$1,Данные!$A$2:$A$341,"&gt;="&amp;Параметры!$B$1,Данные!$A$2:$A$341,"&lt;="&amp;Параметры!$B$2,Данные!$E$2:$E$341,Параметры!$B$4)</f>
        <v>0</v>
      </c>
      <c r="G44" cm="1">
        <f t="array" ref="G44">SUMIFS(Данные!$D$2:$D$341,Данные!$B$2:$B$341,$A44,Данные!$F$2:$F$341,G$1,Данные!$A$2:$A$341,"&gt;="&amp;Параметры!$B$1,Данные!$A$2:$A$341,"&lt;="&amp;Параметры!$B$2,Данные!$E$2:$E$341,Параметры!$B$4)</f>
        <v>331308.82</v>
      </c>
      <c r="H44" cm="1">
        <f t="array" ref="H44">SUMIFS(Данные!$D$2:$D$341,Данные!$B$2:$B$341,$A44,Данные!$F$2:$F$341,H$1,Данные!$A$2:$A$341,"&gt;="&amp;Параметры!$B$1,Данные!$A$2:$A$341,"&lt;="&amp;Параметры!$B$2,Данные!$E$2:$E$341,Параметры!$B$4)</f>
        <v>0</v>
      </c>
      <c r="I44" cm="1">
        <f t="array" ref="I44">SUMIFS(Данные!$D$2:$D$341,Данные!$B$2:$B$341,$A44,Данные!$F$2:$F$341,I$1,Данные!$A$2:$A$341,"&gt;="&amp;Параметры!$B$1,Данные!$A$2:$A$341,"&lt;="&amp;Параметры!$B$2,Данные!$E$2:$E$341,Параметры!$B$4)</f>
        <v>0</v>
      </c>
      <c r="J44" cm="1">
        <f t="array" ref="J44">SUMIFS(Данные!$D$2:$D$341,Данные!$B$2:$B$341,$A44,Данные!$F$2:$F$341,J$1,Данные!$A$2:$A$341,"&gt;="&amp;Параметры!$B$1,Данные!$A$2:$A$341,"&lt;="&amp;Параметры!$B$2,Данные!$E$2:$E$341,Параметры!$B$4)</f>
        <v>0</v>
      </c>
      <c r="K44" cm="1">
        <f t="array" ref="K44">SUMIFS(Данные!$D$2:$D$341,Данные!$B$2:$B$341,$A44,Данные!$F$2:$F$341,K$1,Данные!$A$2:$A$341,"&gt;="&amp;Параметры!$B$1,Данные!$A$2:$A$341,"&lt;="&amp;Параметры!$B$2,Данные!$E$2:$E$341,Параметры!$B$4)</f>
        <v>0</v>
      </c>
      <c r="L44" cm="1">
        <f t="array" ref="L44">SUMIFS(Данные!$D$2:$D$341,Данные!$B$2:$B$341,$A44,Данные!$F$2:$F$341,L$1,Данные!$A$2:$A$341,"&gt;="&amp;Параметры!$B$1,Данные!$A$2:$A$341,"&lt;="&amp;Параметры!$B$2,Данные!$E$2:$E$341,Параметры!$B$4)</f>
        <v>0</v>
      </c>
      <c r="M44" cm="1">
        <f t="array" ref="M44">SUMIFS(Данные!$D$2:$D$341,Данные!$B$2:$B$341,$A44,Данные!$F$2:$F$341,M$1,Данные!$A$2:$A$341,"&gt;="&amp;Параметры!$B$1,Данные!$A$2:$A$341,"&lt;="&amp;Параметры!$B$2,Данные!$E$2:$E$341,Параметры!$B$4)</f>
        <v>0</v>
      </c>
      <c r="N44" cm="1">
        <f t="array" ref="N44">SUMIFS(Данные!$D$2:$D$341,Данные!$B$2:$B$341,$A44,Данные!$F$2:$F$341,N$1,Данные!$A$2:$A$341,"&gt;="&amp;Параметры!$B$1,Данные!$A$2:$A$341,"&lt;="&amp;Параметры!$B$2,Данные!$E$2:$E$341,Параметры!$B$4)</f>
        <v>0</v>
      </c>
      <c r="O44" cm="1">
        <f t="array" ref="O44">SUMIFS(Данные!$D$2:$D$341,Данные!$B$2:$B$341,$A44,Данные!$F$2:$F$341,O$1,Данные!$A$2:$A$341,"&gt;="&amp;Параметры!$B$1,Данные!$A$2:$A$341,"&lt;="&amp;Параметры!$B$2,Данные!$E$2:$E$341,Параметры!$B$4)</f>
        <v>275085.8</v>
      </c>
      <c r="P44" cm="1">
        <f t="array" ref="P44">SUMIFS(Данные!$D$2:$D$341,Данные!$B$2:$B$341,$A44,Данные!$F$2:$F$341,P$1,Данные!$A$2:$A$341,"&gt;="&amp;Параметры!$B$1,Данные!$A$2:$A$341,"&lt;="&amp;Параметры!$B$2,Данные!$E$2:$E$341,Параметры!$B$4)</f>
        <v>0</v>
      </c>
      <c r="Q44" cm="1">
        <f t="array" ref="Q44">SUM(B44:P44)</f>
        <v>1076516.1300000001</v>
      </c>
    </row>
    <row r="45" spans="1:17" x14ac:dyDescent="0.2">
      <c r="A45" t="str" cm="1">
        <f t="array" ref="A45">Статьи!A38</f>
        <v>Налог 4</v>
      </c>
      <c r="B45" cm="1">
        <f t="array" ref="B45">SUMIFS(Данные!$D$2:$D$341,Данные!$B$2:$B$341,$A45,Данные!$F$2:$F$341,B$1,Данные!$A$2:$A$341,"&gt;="&amp;Параметры!$B$1,Данные!$A$2:$A$341,"&lt;="&amp;Параметры!$B$2,Данные!$E$2:$E$341,Параметры!$B$4)</f>
        <v>0</v>
      </c>
      <c r="C45" cm="1">
        <f t="array" ref="C45">SUMIFS(Данные!$D$2:$D$341,Данные!$B$2:$B$341,$A45,Данные!$F$2:$F$341,C$1,Данные!$A$2:$A$341,"&gt;="&amp;Параметры!$B$1,Данные!$A$2:$A$341,"&lt;="&amp;Параметры!$B$2,Данные!$E$2:$E$341,Параметры!$B$4)</f>
        <v>0</v>
      </c>
      <c r="D45" cm="1">
        <f t="array" ref="D45">SUMIFS(Данные!$D$2:$D$341,Данные!$B$2:$B$341,$A45,Данные!$F$2:$F$341,D$1,Данные!$A$2:$A$341,"&gt;="&amp;Параметры!$B$1,Данные!$A$2:$A$341,"&lt;="&amp;Параметры!$B$2,Данные!$E$2:$E$341,Параметры!$B$4)</f>
        <v>0</v>
      </c>
      <c r="E45" cm="1">
        <f t="array" ref="E45">SUMIFS(Данные!$D$2:$D$341,Данные!$B$2:$B$341,$A45,Данные!$F$2:$F$341,E$1,Данные!$A$2:$A$341,"&gt;="&amp;Параметры!$B$1,Данные!$A$2:$A$341,"&lt;="&amp;Параметры!$B$2,Данные!$E$2:$E$341,Параметры!$B$4)</f>
        <v>49937.77</v>
      </c>
      <c r="F45" cm="1">
        <f t="array" ref="F45">SUMIFS(Данные!$D$2:$D$341,Данные!$B$2:$B$341,$A45,Данные!$F$2:$F$341,F$1,Данные!$A$2:$A$341,"&gt;="&amp;Параметры!$B$1,Данные!$A$2:$A$341,"&lt;="&amp;Параметры!$B$2,Данные!$E$2:$E$341,Параметры!$B$4)</f>
        <v>0</v>
      </c>
      <c r="G45" cm="1">
        <f t="array" ref="G45">SUMIFS(Данные!$D$2:$D$341,Данные!$B$2:$B$341,$A45,Данные!$F$2:$F$341,G$1,Данные!$A$2:$A$341,"&gt;="&amp;Параметры!$B$1,Данные!$A$2:$A$341,"&lt;="&amp;Параметры!$B$2,Данные!$E$2:$E$341,Параметры!$B$4)</f>
        <v>0</v>
      </c>
      <c r="H45" cm="1">
        <f t="array" ref="H45">SUMIFS(Данные!$D$2:$D$341,Данные!$B$2:$B$341,$A45,Данные!$F$2:$F$341,H$1,Данные!$A$2:$A$341,"&gt;="&amp;Параметры!$B$1,Данные!$A$2:$A$341,"&lt;="&amp;Параметры!$B$2,Данные!$E$2:$E$341,Параметры!$B$4)</f>
        <v>0</v>
      </c>
      <c r="I45" cm="1">
        <f t="array" ref="I45">SUMIFS(Данные!$D$2:$D$341,Данные!$B$2:$B$341,$A45,Данные!$F$2:$F$341,I$1,Данные!$A$2:$A$341,"&gt;="&amp;Параметры!$B$1,Данные!$A$2:$A$341,"&lt;="&amp;Параметры!$B$2,Данные!$E$2:$E$341,Параметры!$B$4)</f>
        <v>0</v>
      </c>
      <c r="J45" cm="1">
        <f t="array" ref="J45">SUMIFS(Данные!$D$2:$D$341,Данные!$B$2:$B$341,$A45,Данные!$F$2:$F$341,J$1,Данные!$A$2:$A$341,"&gt;="&amp;Параметры!$B$1,Данные!$A$2:$A$341,"&lt;="&amp;Параметры!$B$2,Данные!$E$2:$E$341,Параметры!$B$4)</f>
        <v>0</v>
      </c>
      <c r="K45" cm="1">
        <f t="array" ref="K45">SUMIFS(Данные!$D$2:$D$341,Данные!$B$2:$B$341,$A45,Данные!$F$2:$F$341,K$1,Данные!$A$2:$A$341,"&gt;="&amp;Параметры!$B$1,Данные!$A$2:$A$341,"&lt;="&amp;Параметры!$B$2,Данные!$E$2:$E$341,Параметры!$B$4)</f>
        <v>297671.82</v>
      </c>
      <c r="L45" cm="1">
        <f t="array" ref="L45">SUMIFS(Данные!$D$2:$D$341,Данные!$B$2:$B$341,$A45,Данные!$F$2:$F$341,L$1,Данные!$A$2:$A$341,"&gt;="&amp;Параметры!$B$1,Данные!$A$2:$A$341,"&lt;="&amp;Параметры!$B$2,Данные!$E$2:$E$341,Параметры!$B$4)</f>
        <v>0</v>
      </c>
      <c r="M45" cm="1">
        <f t="array" ref="M45">SUMIFS(Данные!$D$2:$D$341,Данные!$B$2:$B$341,$A45,Данные!$F$2:$F$341,M$1,Данные!$A$2:$A$341,"&gt;="&amp;Параметры!$B$1,Данные!$A$2:$A$341,"&lt;="&amp;Параметры!$B$2,Данные!$E$2:$E$341,Параметры!$B$4)</f>
        <v>354152.44</v>
      </c>
      <c r="N45" cm="1">
        <f t="array" ref="N45">SUMIFS(Данные!$D$2:$D$341,Данные!$B$2:$B$341,$A45,Данные!$F$2:$F$341,N$1,Данные!$A$2:$A$341,"&gt;="&amp;Параметры!$B$1,Данные!$A$2:$A$341,"&lt;="&amp;Параметры!$B$2,Данные!$E$2:$E$341,Параметры!$B$4)</f>
        <v>0</v>
      </c>
      <c r="O45" cm="1">
        <f t="array" ref="O45">SUMIFS(Данные!$D$2:$D$341,Данные!$B$2:$B$341,$A45,Данные!$F$2:$F$341,O$1,Данные!$A$2:$A$341,"&gt;="&amp;Параметры!$B$1,Данные!$A$2:$A$341,"&lt;="&amp;Параметры!$B$2,Данные!$E$2:$E$341,Параметры!$B$4)</f>
        <v>0</v>
      </c>
      <c r="P45" cm="1">
        <f t="array" ref="P45">SUMIFS(Данные!$D$2:$D$341,Данные!$B$2:$B$341,$A45,Данные!$F$2:$F$341,P$1,Данные!$A$2:$A$341,"&gt;="&amp;Параметры!$B$1,Данные!$A$2:$A$341,"&lt;="&amp;Параметры!$B$2,Данные!$E$2:$E$341,Параметры!$B$4)</f>
        <v>0</v>
      </c>
      <c r="Q45" cm="1">
        <f t="array" ref="Q45">SUM(B45:P45)</f>
        <v>701762.03</v>
      </c>
    </row>
    <row r="46" spans="1:17" x14ac:dyDescent="0.2">
      <c r="A46" t="str" cm="1">
        <f t="array" ref="A46">Статьи!A39</f>
        <v>Доход 4</v>
      </c>
      <c r="B46" cm="1">
        <f t="array" ref="B46">SUMIFS(Данные!$D$2:$D$341,Данные!$B$2:$B$341,$A46,Данные!$F$2:$F$341,B$1,Данные!$A$2:$A$341,"&gt;="&amp;Параметры!$B$1,Данные!$A$2:$A$341,"&lt;="&amp;Параметры!$B$2,Данные!$E$2:$E$341,Параметры!$B$4)</f>
        <v>179183.33</v>
      </c>
      <c r="C46" cm="1">
        <f t="array" ref="C46">SUMIFS(Данные!$D$2:$D$341,Данные!$B$2:$B$341,$A46,Данные!$F$2:$F$341,C$1,Данные!$A$2:$A$341,"&gt;="&amp;Параметры!$B$1,Данные!$A$2:$A$341,"&lt;="&amp;Параметры!$B$2,Данные!$E$2:$E$341,Параметры!$B$4)</f>
        <v>285593.17</v>
      </c>
      <c r="D46" cm="1">
        <f t="array" ref="D46">SUMIFS(Данные!$D$2:$D$341,Данные!$B$2:$B$341,$A46,Данные!$F$2:$F$341,D$1,Данные!$A$2:$A$341,"&gt;="&amp;Параметры!$B$1,Данные!$A$2:$A$341,"&lt;="&amp;Параметры!$B$2,Данные!$E$2:$E$341,Параметры!$B$4)</f>
        <v>0</v>
      </c>
      <c r="E46" cm="1">
        <f t="array" ref="E46">SUMIFS(Данные!$D$2:$D$341,Данные!$B$2:$B$341,$A46,Данные!$F$2:$F$341,E$1,Данные!$A$2:$A$341,"&gt;="&amp;Параметры!$B$1,Данные!$A$2:$A$341,"&lt;="&amp;Параметры!$B$2,Данные!$E$2:$E$341,Параметры!$B$4)</f>
        <v>0</v>
      </c>
      <c r="F46" cm="1">
        <f t="array" ref="F46">SUMIFS(Данные!$D$2:$D$341,Данные!$B$2:$B$341,$A46,Данные!$F$2:$F$341,F$1,Данные!$A$2:$A$341,"&gt;="&amp;Параметры!$B$1,Данные!$A$2:$A$341,"&lt;="&amp;Параметры!$B$2,Данные!$E$2:$E$341,Параметры!$B$4)</f>
        <v>0</v>
      </c>
      <c r="G46" cm="1">
        <f t="array" ref="G46">SUMIFS(Данные!$D$2:$D$341,Данные!$B$2:$B$341,$A46,Данные!$F$2:$F$341,G$1,Данные!$A$2:$A$341,"&gt;="&amp;Параметры!$B$1,Данные!$A$2:$A$341,"&lt;="&amp;Параметры!$B$2,Данные!$E$2:$E$341,Параметры!$B$4)</f>
        <v>0</v>
      </c>
      <c r="H46" cm="1">
        <f t="array" ref="H46">SUMIFS(Данные!$D$2:$D$341,Данные!$B$2:$B$341,$A46,Данные!$F$2:$F$341,H$1,Данные!$A$2:$A$341,"&gt;="&amp;Параметры!$B$1,Данные!$A$2:$A$341,"&lt;="&amp;Параметры!$B$2,Данные!$E$2:$E$341,Параметры!$B$4)</f>
        <v>0</v>
      </c>
      <c r="I46" cm="1">
        <f t="array" ref="I46">SUMIFS(Данные!$D$2:$D$341,Данные!$B$2:$B$341,$A46,Данные!$F$2:$F$341,I$1,Данные!$A$2:$A$341,"&gt;="&amp;Параметры!$B$1,Данные!$A$2:$A$341,"&lt;="&amp;Параметры!$B$2,Данные!$E$2:$E$341,Параметры!$B$4)</f>
        <v>0</v>
      </c>
      <c r="J46" cm="1">
        <f t="array" ref="J46">SUMIFS(Данные!$D$2:$D$341,Данные!$B$2:$B$341,$A46,Данные!$F$2:$F$341,J$1,Данные!$A$2:$A$341,"&gt;="&amp;Параметры!$B$1,Данные!$A$2:$A$341,"&lt;="&amp;Параметры!$B$2,Данные!$E$2:$E$341,Параметры!$B$4)</f>
        <v>0</v>
      </c>
      <c r="K46" cm="1">
        <f t="array" ref="K46">SUMIFS(Данные!$D$2:$D$341,Данные!$B$2:$B$341,$A46,Данные!$F$2:$F$341,K$1,Данные!$A$2:$A$341,"&gt;="&amp;Параметры!$B$1,Данные!$A$2:$A$341,"&lt;="&amp;Параметры!$B$2,Данные!$E$2:$E$341,Параметры!$B$4)</f>
        <v>0</v>
      </c>
      <c r="L46" cm="1">
        <f t="array" ref="L46">SUMIFS(Данные!$D$2:$D$341,Данные!$B$2:$B$341,$A46,Данные!$F$2:$F$341,L$1,Данные!$A$2:$A$341,"&gt;="&amp;Параметры!$B$1,Данные!$A$2:$A$341,"&lt;="&amp;Параметры!$B$2,Данные!$E$2:$E$341,Параметры!$B$4)</f>
        <v>-22998.85</v>
      </c>
      <c r="M46" cm="1">
        <f t="array" ref="M46">SUMIFS(Данные!$D$2:$D$341,Данные!$B$2:$B$341,$A46,Данные!$F$2:$F$341,M$1,Данные!$A$2:$A$341,"&gt;="&amp;Параметры!$B$1,Данные!$A$2:$A$341,"&lt;="&amp;Параметры!$B$2,Данные!$E$2:$E$341,Параметры!$B$4)</f>
        <v>0</v>
      </c>
      <c r="N46" cm="1">
        <f t="array" ref="N46">SUMIFS(Данные!$D$2:$D$341,Данные!$B$2:$B$341,$A46,Данные!$F$2:$F$341,N$1,Данные!$A$2:$A$341,"&gt;="&amp;Параметры!$B$1,Данные!$A$2:$A$341,"&lt;="&amp;Параметры!$B$2,Данные!$E$2:$E$341,Параметры!$B$4)</f>
        <v>0</v>
      </c>
      <c r="O46" cm="1">
        <f t="array" ref="O46">SUMIFS(Данные!$D$2:$D$341,Данные!$B$2:$B$341,$A46,Данные!$F$2:$F$341,O$1,Данные!$A$2:$A$341,"&gt;="&amp;Параметры!$B$1,Данные!$A$2:$A$341,"&lt;="&amp;Параметры!$B$2,Данные!$E$2:$E$341,Параметры!$B$4)</f>
        <v>-99624.98</v>
      </c>
      <c r="P46" cm="1">
        <f t="array" ref="P46">SUMIFS(Данные!$D$2:$D$341,Данные!$B$2:$B$341,$A46,Данные!$F$2:$F$341,P$1,Данные!$A$2:$A$341,"&gt;="&amp;Параметры!$B$1,Данные!$A$2:$A$341,"&lt;="&amp;Параметры!$B$2,Данные!$E$2:$E$341,Параметры!$B$4)</f>
        <v>0</v>
      </c>
      <c r="Q46" cm="1">
        <f t="array" ref="Q46">SUM(B46:P46)</f>
        <v>342152.67000000004</v>
      </c>
    </row>
    <row r="47" spans="1:17" x14ac:dyDescent="0.2">
      <c r="A47" t="str" cm="1">
        <f t="array" ref="A47">Статьи!A40</f>
        <v>Сырьё 4</v>
      </c>
      <c r="B47" cm="1">
        <f t="array" ref="B47">SUMIFS(Данные!$D$2:$D$341,Данные!$B$2:$B$341,$A47,Данные!$F$2:$F$341,B$1,Данные!$A$2:$A$341,"&gt;="&amp;Параметры!$B$1,Данные!$A$2:$A$341,"&lt;="&amp;Параметры!$B$2,Данные!$E$2:$E$341,Параметры!$B$4)</f>
        <v>0</v>
      </c>
      <c r="C47" cm="1">
        <f t="array" ref="C47">SUMIFS(Данные!$D$2:$D$341,Данные!$B$2:$B$341,$A47,Данные!$F$2:$F$341,C$1,Данные!$A$2:$A$341,"&gt;="&amp;Параметры!$B$1,Данные!$A$2:$A$341,"&lt;="&amp;Параметры!$B$2,Данные!$E$2:$E$341,Параметры!$B$4)</f>
        <v>0</v>
      </c>
      <c r="D47" cm="1">
        <f t="array" ref="D47">SUMIFS(Данные!$D$2:$D$341,Данные!$B$2:$B$341,$A47,Данные!$F$2:$F$341,D$1,Данные!$A$2:$A$341,"&gt;="&amp;Параметры!$B$1,Данные!$A$2:$A$341,"&lt;="&amp;Параметры!$B$2,Данные!$E$2:$E$341,Параметры!$B$4)</f>
        <v>253436.52</v>
      </c>
      <c r="E47" cm="1">
        <f t="array" ref="E47">SUMIFS(Данные!$D$2:$D$341,Данные!$B$2:$B$341,$A47,Данные!$F$2:$F$341,E$1,Данные!$A$2:$A$341,"&gt;="&amp;Параметры!$B$1,Данные!$A$2:$A$341,"&lt;="&amp;Параметры!$B$2,Данные!$E$2:$E$341,Параметры!$B$4)</f>
        <v>0</v>
      </c>
      <c r="F47" cm="1">
        <f t="array" ref="F47">SUMIFS(Данные!$D$2:$D$341,Данные!$B$2:$B$341,$A47,Данные!$F$2:$F$341,F$1,Данные!$A$2:$A$341,"&gt;="&amp;Параметры!$B$1,Данные!$A$2:$A$341,"&lt;="&amp;Параметры!$B$2,Данные!$E$2:$E$341,Параметры!$B$4)</f>
        <v>0</v>
      </c>
      <c r="G47" cm="1">
        <f t="array" ref="G47">SUMIFS(Данные!$D$2:$D$341,Данные!$B$2:$B$341,$A47,Данные!$F$2:$F$341,G$1,Данные!$A$2:$A$341,"&gt;="&amp;Параметры!$B$1,Данные!$A$2:$A$341,"&lt;="&amp;Параметры!$B$2,Данные!$E$2:$E$341,Параметры!$B$4)</f>
        <v>144828.35</v>
      </c>
      <c r="H47" cm="1">
        <f t="array" ref="H47">SUMIFS(Данные!$D$2:$D$341,Данные!$B$2:$B$341,$A47,Данные!$F$2:$F$341,H$1,Данные!$A$2:$A$341,"&gt;="&amp;Параметры!$B$1,Данные!$A$2:$A$341,"&lt;="&amp;Параметры!$B$2,Данные!$E$2:$E$341,Параметры!$B$4)</f>
        <v>0</v>
      </c>
      <c r="I47" cm="1">
        <f t="array" ref="I47">SUMIFS(Данные!$D$2:$D$341,Данные!$B$2:$B$341,$A47,Данные!$F$2:$F$341,I$1,Данные!$A$2:$A$341,"&gt;="&amp;Параметры!$B$1,Данные!$A$2:$A$341,"&lt;="&amp;Параметры!$B$2,Данные!$E$2:$E$341,Параметры!$B$4)</f>
        <v>0</v>
      </c>
      <c r="J47" cm="1">
        <f t="array" ref="J47">SUMIFS(Данные!$D$2:$D$341,Данные!$B$2:$B$341,$A47,Данные!$F$2:$F$341,J$1,Данные!$A$2:$A$341,"&gt;="&amp;Параметры!$B$1,Данные!$A$2:$A$341,"&lt;="&amp;Параметры!$B$2,Данные!$E$2:$E$341,Параметры!$B$4)</f>
        <v>0</v>
      </c>
      <c r="K47" cm="1">
        <f t="array" ref="K47">SUMIFS(Данные!$D$2:$D$341,Данные!$B$2:$B$341,$A47,Данные!$F$2:$F$341,K$1,Данные!$A$2:$A$341,"&gt;="&amp;Параметры!$B$1,Данные!$A$2:$A$341,"&lt;="&amp;Параметры!$B$2,Данные!$E$2:$E$341,Параметры!$B$4)</f>
        <v>0</v>
      </c>
      <c r="L47" cm="1">
        <f t="array" ref="L47">SUMIFS(Данные!$D$2:$D$341,Данные!$B$2:$B$341,$A47,Данные!$F$2:$F$341,L$1,Данные!$A$2:$A$341,"&gt;="&amp;Параметры!$B$1,Данные!$A$2:$A$341,"&lt;="&amp;Параметры!$B$2,Данные!$E$2:$E$341,Параметры!$B$4)</f>
        <v>513935.5</v>
      </c>
      <c r="M47" cm="1">
        <f t="array" ref="M47">SUMIFS(Данные!$D$2:$D$341,Данные!$B$2:$B$341,$A47,Данные!$F$2:$F$341,M$1,Данные!$A$2:$A$341,"&gt;="&amp;Параметры!$B$1,Данные!$A$2:$A$341,"&lt;="&amp;Параметры!$B$2,Данные!$E$2:$E$341,Параметры!$B$4)</f>
        <v>0</v>
      </c>
      <c r="N47" cm="1">
        <f t="array" ref="N47">SUMIFS(Данные!$D$2:$D$341,Данные!$B$2:$B$341,$A47,Данные!$F$2:$F$341,N$1,Данные!$A$2:$A$341,"&gt;="&amp;Параметры!$B$1,Данные!$A$2:$A$341,"&lt;="&amp;Параметры!$B$2,Данные!$E$2:$E$341,Параметры!$B$4)</f>
        <v>0</v>
      </c>
      <c r="O47" cm="1">
        <f t="array" ref="O47">SUMIFS(Данные!$D$2:$D$341,Данные!$B$2:$B$341,$A47,Данные!$F$2:$F$341,O$1,Данные!$A$2:$A$341,"&gt;="&amp;Параметры!$B$1,Данные!$A$2:$A$341,"&lt;="&amp;Параметры!$B$2,Данные!$E$2:$E$341,Параметры!$B$4)</f>
        <v>0</v>
      </c>
      <c r="P47" cm="1">
        <f t="array" ref="P47">SUMIFS(Данные!$D$2:$D$341,Данные!$B$2:$B$341,$A47,Данные!$F$2:$F$341,P$1,Данные!$A$2:$A$341,"&gt;="&amp;Параметры!$B$1,Данные!$A$2:$A$341,"&lt;="&amp;Параметры!$B$2,Данные!$E$2:$E$341,Параметры!$B$4)</f>
        <v>385103.67</v>
      </c>
      <c r="Q47" cm="1">
        <f t="array" ref="Q47">SUM(B47:P47)</f>
        <v>1297304.04</v>
      </c>
    </row>
    <row r="48" spans="1:17" x14ac:dyDescent="0.2">
      <c r="A48" t="str" cm="1">
        <f t="array" ref="A48">Статьи!A41</f>
        <v>Сырье 4</v>
      </c>
      <c r="B48" cm="1">
        <f t="array" ref="B48">SUMIFS(Данные!$D$2:$D$341,Данные!$B$2:$B$341,$A48,Данные!$F$2:$F$341,B$1,Данные!$A$2:$A$341,"&gt;="&amp;Параметры!$B$1,Данные!$A$2:$A$341,"&lt;="&amp;Параметры!$B$2,Данные!$E$2:$E$341,Параметры!$B$4)</f>
        <v>62537.84</v>
      </c>
      <c r="C48" cm="1">
        <f t="array" ref="C48">SUMIFS(Данные!$D$2:$D$341,Данные!$B$2:$B$341,$A48,Данные!$F$2:$F$341,C$1,Данные!$A$2:$A$341,"&gt;="&amp;Параметры!$B$1,Данные!$A$2:$A$341,"&lt;="&amp;Параметры!$B$2,Данные!$E$2:$E$341,Параметры!$B$4)</f>
        <v>131675.89000000001</v>
      </c>
      <c r="D48" cm="1">
        <f t="array" ref="D48">SUMIFS(Данные!$D$2:$D$341,Данные!$B$2:$B$341,$A48,Данные!$F$2:$F$341,D$1,Данные!$A$2:$A$341,"&gt;="&amp;Параметры!$B$1,Данные!$A$2:$A$341,"&lt;="&amp;Параметры!$B$2,Данные!$E$2:$E$341,Параметры!$B$4)</f>
        <v>199150.01</v>
      </c>
      <c r="E48" cm="1">
        <f t="array" ref="E48">SUMIFS(Данные!$D$2:$D$341,Данные!$B$2:$B$341,$A48,Данные!$F$2:$F$341,E$1,Данные!$A$2:$A$341,"&gt;="&amp;Параметры!$B$1,Данные!$A$2:$A$341,"&lt;="&amp;Параметры!$B$2,Данные!$E$2:$E$341,Параметры!$B$4)</f>
        <v>0</v>
      </c>
      <c r="F48" cm="1">
        <f t="array" ref="F48">SUMIFS(Данные!$D$2:$D$341,Данные!$B$2:$B$341,$A48,Данные!$F$2:$F$341,F$1,Данные!$A$2:$A$341,"&gt;="&amp;Параметры!$B$1,Данные!$A$2:$A$341,"&lt;="&amp;Параметры!$B$2,Данные!$E$2:$E$341,Параметры!$B$4)</f>
        <v>0</v>
      </c>
      <c r="G48" cm="1">
        <f t="array" ref="G48">SUMIFS(Данные!$D$2:$D$341,Данные!$B$2:$B$341,$A48,Данные!$F$2:$F$341,G$1,Данные!$A$2:$A$341,"&gt;="&amp;Параметры!$B$1,Данные!$A$2:$A$341,"&lt;="&amp;Параметры!$B$2,Данные!$E$2:$E$341,Параметры!$B$4)</f>
        <v>0</v>
      </c>
      <c r="H48" cm="1">
        <f t="array" ref="H48">SUMIFS(Данные!$D$2:$D$341,Данные!$B$2:$B$341,$A48,Данные!$F$2:$F$341,H$1,Данные!$A$2:$A$341,"&gt;="&amp;Параметры!$B$1,Данные!$A$2:$A$341,"&lt;="&amp;Параметры!$B$2,Данные!$E$2:$E$341,Параметры!$B$4)</f>
        <v>2514.75</v>
      </c>
      <c r="I48" cm="1">
        <f t="array" ref="I48">SUMIFS(Данные!$D$2:$D$341,Данные!$B$2:$B$341,$A48,Данные!$F$2:$F$341,I$1,Данные!$A$2:$A$341,"&gt;="&amp;Параметры!$B$1,Данные!$A$2:$A$341,"&lt;="&amp;Параметры!$B$2,Данные!$E$2:$E$341,Параметры!$B$4)</f>
        <v>0</v>
      </c>
      <c r="J48" cm="1">
        <f t="array" ref="J48">SUMIFS(Данные!$D$2:$D$341,Данные!$B$2:$B$341,$A48,Данные!$F$2:$F$341,J$1,Данные!$A$2:$A$341,"&gt;="&amp;Параметры!$B$1,Данные!$A$2:$A$341,"&lt;="&amp;Параметры!$B$2,Данные!$E$2:$E$341,Параметры!$B$4)</f>
        <v>0</v>
      </c>
      <c r="K48" cm="1">
        <f t="array" ref="K48">SUMIFS(Данные!$D$2:$D$341,Данные!$B$2:$B$341,$A48,Данные!$F$2:$F$341,K$1,Данные!$A$2:$A$341,"&gt;="&amp;Параметры!$B$1,Данные!$A$2:$A$341,"&lt;="&amp;Параметры!$B$2,Данные!$E$2:$E$341,Параметры!$B$4)</f>
        <v>-45470.07</v>
      </c>
      <c r="L48" cm="1">
        <f t="array" ref="L48">SUMIFS(Данные!$D$2:$D$341,Данные!$B$2:$B$341,$A48,Данные!$F$2:$F$341,L$1,Данные!$A$2:$A$341,"&gt;="&amp;Параметры!$B$1,Данные!$A$2:$A$341,"&lt;="&amp;Параметры!$B$2,Данные!$E$2:$E$341,Параметры!$B$4)</f>
        <v>0</v>
      </c>
      <c r="M48" cm="1">
        <f t="array" ref="M48">SUMIFS(Данные!$D$2:$D$341,Данные!$B$2:$B$341,$A48,Данные!$F$2:$F$341,M$1,Данные!$A$2:$A$341,"&gt;="&amp;Параметры!$B$1,Данные!$A$2:$A$341,"&lt;="&amp;Параметры!$B$2,Данные!$E$2:$E$341,Параметры!$B$4)</f>
        <v>178646.95</v>
      </c>
      <c r="N48" cm="1">
        <f t="array" ref="N48">SUMIFS(Данные!$D$2:$D$341,Данные!$B$2:$B$341,$A48,Данные!$F$2:$F$341,N$1,Данные!$A$2:$A$341,"&gt;="&amp;Параметры!$B$1,Данные!$A$2:$A$341,"&lt;="&amp;Параметры!$B$2,Данные!$E$2:$E$341,Параметры!$B$4)</f>
        <v>0</v>
      </c>
      <c r="O48" cm="1">
        <f t="array" ref="O48">SUMIFS(Данные!$D$2:$D$341,Данные!$B$2:$B$341,$A48,Данные!$F$2:$F$341,O$1,Данные!$A$2:$A$341,"&gt;="&amp;Параметры!$B$1,Данные!$A$2:$A$341,"&lt;="&amp;Параметры!$B$2,Данные!$E$2:$E$341,Параметры!$B$4)</f>
        <v>0</v>
      </c>
      <c r="P48" cm="1">
        <f t="array" ref="P48">SUMIFS(Данные!$D$2:$D$341,Данные!$B$2:$B$341,$A48,Данные!$F$2:$F$341,P$1,Данные!$A$2:$A$341,"&gt;="&amp;Параметры!$B$1,Данные!$A$2:$A$341,"&lt;="&amp;Параметры!$B$2,Данные!$E$2:$E$341,Параметры!$B$4)</f>
        <v>0</v>
      </c>
      <c r="Q48" cm="1">
        <f t="array" ref="Q48">SUM(B48:P48)</f>
        <v>529055.37</v>
      </c>
    </row>
    <row r="49" spans="1:17" x14ac:dyDescent="0.2">
      <c r="A49" t="s">
        <v>466</v>
      </c>
      <c r="B49" cm="1">
        <f t="array" ref="B49">SUM(B44:B48)</f>
        <v>448431.45999999996</v>
      </c>
      <c r="C49" cm="1">
        <f t="array" ref="C49">SUM(C44:C48)</f>
        <v>680680.27999999991</v>
      </c>
      <c r="D49" cm="1">
        <f t="array" ref="D49">SUM(D44:D48)</f>
        <v>452586.53</v>
      </c>
      <c r="E49" cm="1">
        <f t="array" ref="E49">SUM(E44:E48)</f>
        <v>49937.77</v>
      </c>
      <c r="F49" cm="1">
        <f t="array" ref="F49">SUM(F44:F48)</f>
        <v>0</v>
      </c>
      <c r="G49" cm="1">
        <f t="array" ref="G49">SUM(G44:G48)</f>
        <v>476137.17000000004</v>
      </c>
      <c r="H49" cm="1">
        <f t="array" ref="H49">SUM(H44:H48)</f>
        <v>2514.75</v>
      </c>
      <c r="I49" cm="1">
        <f t="array" ref="I49">SUM(I44:I48)</f>
        <v>0</v>
      </c>
      <c r="J49" cm="1">
        <f t="array" ref="J49">SUM(J44:J48)</f>
        <v>0</v>
      </c>
      <c r="K49" cm="1">
        <f t="array" ref="K49">SUM(K44:K48)</f>
        <v>252201.75</v>
      </c>
      <c r="L49" cm="1">
        <f t="array" ref="L49">SUM(L44:L48)</f>
        <v>490936.65</v>
      </c>
      <c r="M49" cm="1">
        <f t="array" ref="M49">SUM(M44:M48)</f>
        <v>532799.39</v>
      </c>
      <c r="N49" cm="1">
        <f t="array" ref="N49">SUM(N44:N48)</f>
        <v>0</v>
      </c>
      <c r="O49" cm="1">
        <f t="array" ref="O49">SUM(O44:O48)</f>
        <v>175460.82</v>
      </c>
      <c r="P49" cm="1">
        <f t="array" ref="P49">SUM(P44:P48)</f>
        <v>385103.67</v>
      </c>
      <c r="Q49" cm="1">
        <f t="array" ref="Q49">SUM(Q44:Q48)</f>
        <v>3946790.24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9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468</v>
      </c>
      <c r="B1" t="s">
        <v>70</v>
      </c>
      <c r="C1" t="s">
        <v>189</v>
      </c>
      <c r="D1" t="s">
        <v>31</v>
      </c>
      <c r="E1" t="s">
        <v>93</v>
      </c>
      <c r="F1" t="s">
        <v>130</v>
      </c>
      <c r="G1" t="s">
        <v>16</v>
      </c>
      <c r="H1" t="s">
        <v>90</v>
      </c>
      <c r="I1" t="s">
        <v>127</v>
      </c>
      <c r="J1" t="s">
        <v>74</v>
      </c>
      <c r="K1" t="s">
        <v>85</v>
      </c>
      <c r="L1" t="s">
        <v>36</v>
      </c>
      <c r="M1" t="s">
        <v>22</v>
      </c>
      <c r="N1" t="s">
        <v>55</v>
      </c>
      <c r="O1" t="s">
        <v>39</v>
      </c>
      <c r="P1" t="s">
        <v>27</v>
      </c>
      <c r="Q1" t="s">
        <v>87</v>
      </c>
      <c r="R1" t="s">
        <v>64</v>
      </c>
      <c r="S1" t="s">
        <v>44</v>
      </c>
      <c r="T1" t="s">
        <v>81</v>
      </c>
      <c r="U1" t="s">
        <v>98</v>
      </c>
    </row>
    <row r="2" spans="1:22" x14ac:dyDescent="0.2">
      <c r="A2" t="str" cm="1">
        <f t="array" ref="A2">Статьи!A2</f>
        <v>Чай 1</v>
      </c>
      <c r="B2" cm="1">
        <f t="array" ref="B2">SUMIFS(data_amt,data_item,$A2,data_cat,B$1,data_dir,Параметры!$B$3)</f>
        <v>0</v>
      </c>
      <c r="C2" cm="1">
        <f t="array" ref="C2">SUMIFS(data_amt,data_item,$A2,data_cat,C$1,data_dir,Параметры!$B$3)</f>
        <v>0</v>
      </c>
      <c r="D2" cm="1">
        <f t="array" ref="D2">SUMIFS(data_amt,data_item,$A2,data_cat,D$1,data_dir,Параметры!$B$3)</f>
        <v>407112.33999999997</v>
      </c>
      <c r="E2" cm="1">
        <f t="array" ref="E2">SUMIFS(data_amt,data_item,$A2,data_cat,E$1,data_dir,Параметры!$B$3)</f>
        <v>303298.19</v>
      </c>
      <c r="F2" cm="1">
        <f t="array" ref="F2">SUMIFS(data_amt,data_item,$A2,data_cat,F$1,data_dir,Параметры!$B$3)</f>
        <v>0</v>
      </c>
      <c r="G2" cm="1">
        <f t="array" ref="G2">SUMIFS(data_amt,data_item,$A2,data_cat,G$1,data_dir,Параметры!$B$3)</f>
        <v>0</v>
      </c>
      <c r="H2" cm="1">
        <f t="array" ref="H2">SUMIFS(data_amt,data_item,$A2,data_cat,H$1,data_dir,Параметры!$B$3)</f>
        <v>0</v>
      </c>
      <c r="I2" cm="1">
        <f t="array" ref="I2">SUMIFS(data_amt,data_item,$A2,data_cat,I$1,data_dir,Параметры!$B$3)</f>
        <v>239810.47</v>
      </c>
      <c r="J2" cm="1">
        <f t="array" ref="J2">SUMIFS(data_amt,data_item,$A2,data_cat,J$1,data_dir,Параметры!$B$3)</f>
        <v>0</v>
      </c>
      <c r="K2" cm="1">
        <f t="array" ref="K2">SUMIFS(data_amt,data_item,$A2,data_cat,K$1,data_dir,Параметры!$B$3)</f>
        <v>219230.07</v>
      </c>
      <c r="L2" cm="1">
        <f t="array" ref="L2">SUMIFS(data_amt,data_item,$A2,data_cat,L$1,data_dir,Параметры!$B$3)</f>
        <v>0</v>
      </c>
      <c r="M2" cm="1">
        <f t="array" ref="M2">SUMIFS(data_amt,data_item,$A2,data_cat,M$1,data_dir,Параметры!$B$3)</f>
        <v>0</v>
      </c>
      <c r="N2" cm="1">
        <f t="array" ref="N2">SUMIFS(data_amt,data_item,$A2,data_cat,N$1,data_dir,Параметры!$B$3)</f>
        <v>0</v>
      </c>
      <c r="O2" cm="1">
        <f t="array" ref="O2">SUMIFS(data_amt,data_item,$A2,data_cat,O$1,data_dir,Параметры!$B$3)</f>
        <v>0</v>
      </c>
      <c r="P2" cm="1">
        <f t="array" ref="P2">SUMIFS(data_amt,data_item,$A2,data_cat,P$1,data_dir,Параметры!$B$3)</f>
        <v>0</v>
      </c>
      <c r="Q2" cm="1">
        <f t="array" ref="Q2">SUMIFS(data_amt,data_item,$A2,data_cat,Q$1,data_dir,Параметры!$B$3)</f>
        <v>0</v>
      </c>
      <c r="R2" cm="1">
        <f t="array" ref="R2">SUMIFS(data_amt,data_item,$A2,data_cat,R$1,data_dir,Параметры!$B$3)</f>
        <v>0</v>
      </c>
      <c r="S2" cm="1">
        <f t="array" ref="S2">SUMIFS(data_amt,data_item,$A2,data_cat,S$1,data_dir,Параметры!$B$3)</f>
        <v>-73607.44</v>
      </c>
      <c r="T2" cm="1">
        <f t="array" ref="T2">SUMIFS(data_amt,data_item,$A2,data_cat,T$1,data_dir,Параметры!$B$3)</f>
        <v>0</v>
      </c>
      <c r="U2" cm="1">
        <f t="array" ref="U2">SUMIFS(data_amt,data_item,$A2,data_cat,U$1,data_dir,Параметры!$B$3)</f>
        <v>0</v>
      </c>
      <c r="V2" cm="1">
        <f t="array" ref="V2">SUM(B2:U2)</f>
        <v>1095843.6300000001</v>
      </c>
    </row>
    <row r="3" spans="1:22" x14ac:dyDescent="0.2">
      <c r="A3" t="str" cm="1">
        <f t="array" ref="A3">Статьи!A3</f>
        <v>Чаи 1</v>
      </c>
      <c r="B3" cm="1">
        <f t="array" ref="B3">SUMIFS(data_amt,data_item,$A3,data_cat,B$1,data_dir,Параметры!$B$3)</f>
        <v>0</v>
      </c>
      <c r="C3" cm="1">
        <f t="array" ref="C3">SUMIFS(data_amt,data_item,$A3,data_cat,C$1,data_dir,Параметры!$B$3)</f>
        <v>-96224.34</v>
      </c>
      <c r="D3" cm="1">
        <f t="array" ref="D3">SUMIFS(data_amt,data_item,$A3,data_cat,D$1,data_dir,Параметры!$B$3)</f>
        <v>348412.93</v>
      </c>
      <c r="E3" cm="1">
        <f t="array" ref="E3">SUMIFS(data_amt,data_item,$A3,data_cat,E$1,data_dir,Параметры!$B$3)</f>
        <v>0</v>
      </c>
      <c r="F3" cm="1">
        <f t="array" ref="F3">SUMIFS(data_amt,data_item,$A3,data_cat,F$1,data_dir,Параметры!$B$3)</f>
        <v>0</v>
      </c>
      <c r="G3" cm="1">
        <f t="array" ref="G3">SUMIFS(data_amt,data_item,$A3,data_cat,G$1,data_dir,Параметры!$B$3)</f>
        <v>0</v>
      </c>
      <c r="H3" cm="1">
        <f t="array" ref="H3">SUMIFS(data_amt,data_item,$A3,data_cat,H$1,data_dir,Параметры!$B$3)</f>
        <v>150225.98000000001</v>
      </c>
      <c r="I3" cm="1">
        <f t="array" ref="I3">SUMIFS(data_amt,data_item,$A3,data_cat,I$1,data_dir,Параметры!$B$3)</f>
        <v>-21565.47</v>
      </c>
      <c r="J3" cm="1">
        <f t="array" ref="J3">SUMIFS(data_amt,data_item,$A3,data_cat,J$1,data_dir,Параметры!$B$3)</f>
        <v>134574.59</v>
      </c>
      <c r="K3" cm="1">
        <f t="array" ref="K3">SUMIFS(data_amt,data_item,$A3,data_cat,K$1,data_dir,Параметры!$B$3)</f>
        <v>0</v>
      </c>
      <c r="L3" cm="1">
        <f t="array" ref="L3">SUMIFS(data_amt,data_item,$A3,data_cat,L$1,data_dir,Параметры!$B$3)</f>
        <v>0</v>
      </c>
      <c r="M3" cm="1">
        <f t="array" ref="M3">SUMIFS(data_amt,data_item,$A3,data_cat,M$1,data_dir,Параметры!$B$3)</f>
        <v>0</v>
      </c>
      <c r="N3" cm="1">
        <f t="array" ref="N3">SUMIFS(data_amt,data_item,$A3,data_cat,N$1,data_dir,Параметры!$B$3)</f>
        <v>0</v>
      </c>
      <c r="O3" cm="1">
        <f t="array" ref="O3">SUMIFS(data_amt,data_item,$A3,data_cat,O$1,data_dir,Параметры!$B$3)</f>
        <v>0</v>
      </c>
      <c r="P3" cm="1">
        <f t="array" ref="P3">SUMIFS(data_amt,data_item,$A3,data_cat,P$1,data_dir,Параметры!$B$3)</f>
        <v>0</v>
      </c>
      <c r="Q3" cm="1">
        <f t="array" ref="Q3">SUMIFS(data_amt,data_item,$A3,data_cat,Q$1,data_dir,Параметры!$B$3)</f>
        <v>-74492.320000000007</v>
      </c>
      <c r="R3" cm="1">
        <f t="array" ref="R3">SUMIFS(data_amt,data_item,$A3,data_cat,R$1,data_dir,Параметры!$B$3)</f>
        <v>0</v>
      </c>
      <c r="S3" cm="1">
        <f t="array" ref="S3">SUMIFS(data_amt,data_item,$A3,data_cat,S$1,data_dir,Параметры!$B$3)</f>
        <v>0</v>
      </c>
      <c r="T3" cm="1">
        <f t="array" ref="T3">SUMIFS(data_amt,data_item,$A3,data_cat,T$1,data_dir,Параметры!$B$3)</f>
        <v>0</v>
      </c>
      <c r="U3" cm="1">
        <f t="array" ref="U3">SUMIFS(data_amt,data_item,$A3,data_cat,U$1,data_dir,Параметры!$B$3)</f>
        <v>0</v>
      </c>
      <c r="V3" cm="1">
        <f t="array" ref="V3">SUM(B3:U3)</f>
        <v>440931.36999999994</v>
      </c>
    </row>
    <row r="4" spans="1:22" x14ac:dyDescent="0.2">
      <c r="A4" t="str" cm="1">
        <f t="array" ref="A4">Статьи!A4</f>
        <v>Ёлка 1</v>
      </c>
      <c r="B4" cm="1">
        <f t="array" ref="B4">SUMIFS(data_amt,data_item,$A4,data_cat,B$1,data_dir,Параметры!$B$3)</f>
        <v>0</v>
      </c>
      <c r="C4" cm="1">
        <f t="array" ref="C4">SUMIFS(data_amt,data_item,$A4,data_cat,C$1,data_dir,Параметры!$B$3)</f>
        <v>0</v>
      </c>
      <c r="D4" cm="1">
        <f t="array" ref="D4">SUMIFS(data_amt,data_item,$A4,data_cat,D$1,data_dir,Параметры!$B$3)</f>
        <v>0</v>
      </c>
      <c r="E4" cm="1">
        <f t="array" ref="E4">SUMIFS(data_amt,data_item,$A4,data_cat,E$1,data_dir,Параметры!$B$3)</f>
        <v>87697.93</v>
      </c>
      <c r="F4" cm="1">
        <f t="array" ref="F4">SUMIFS(data_amt,data_item,$A4,data_cat,F$1,data_dir,Параметры!$B$3)</f>
        <v>0</v>
      </c>
      <c r="G4" cm="1">
        <f t="array" ref="G4">SUMIFS(data_amt,data_item,$A4,data_cat,G$1,data_dir,Параметры!$B$3)</f>
        <v>239698.95</v>
      </c>
      <c r="H4" cm="1">
        <f t="array" ref="H4">SUMIFS(data_amt,data_item,$A4,data_cat,H$1,data_dir,Параметры!$B$3)</f>
        <v>0</v>
      </c>
      <c r="I4" cm="1">
        <f t="array" ref="I4">SUMIFS(data_amt,data_item,$A4,data_cat,I$1,data_dir,Параметры!$B$3)</f>
        <v>0</v>
      </c>
      <c r="J4" cm="1">
        <f t="array" ref="J4">SUMIFS(data_amt,data_item,$A4,data_cat,J$1,data_dir,Параметры!$B$3)</f>
        <v>0</v>
      </c>
      <c r="K4" cm="1">
        <f t="array" ref="K4">SUMIFS(data_amt,data_item,$A4,data_cat,K$1,data_dir,Параметры!$B$3)</f>
        <v>0</v>
      </c>
      <c r="L4" cm="1">
        <f t="array" ref="L4">SUMIFS(data_amt,data_item,$A4,data_cat,L$1,data_dir,Параметры!$B$3)</f>
        <v>0</v>
      </c>
      <c r="M4" cm="1">
        <f t="array" ref="M4">SUMIFS(data_amt,data_item,$A4,data_cat,M$1,data_dir,Параметры!$B$3)</f>
        <v>253587.77</v>
      </c>
      <c r="N4" cm="1">
        <f t="array" ref="N4">SUMIFS(data_amt,data_item,$A4,data_cat,N$1,data_dir,Параметры!$B$3)</f>
        <v>0</v>
      </c>
      <c r="O4" cm="1">
        <f t="array" ref="O4">SUMIFS(data_amt,data_item,$A4,data_cat,O$1,data_dir,Параметры!$B$3)</f>
        <v>0</v>
      </c>
      <c r="P4" cm="1">
        <f t="array" ref="P4">SUMIFS(data_amt,data_item,$A4,data_cat,P$1,data_dir,Параметры!$B$3)</f>
        <v>289995.8</v>
      </c>
      <c r="Q4" cm="1">
        <f t="array" ref="Q4">SUMIFS(data_amt,data_item,$A4,data_cat,Q$1,data_dir,Параметры!$B$3)</f>
        <v>0</v>
      </c>
      <c r="R4" cm="1">
        <f t="array" ref="R4">SUMIFS(data_amt,data_item,$A4,data_cat,R$1,data_dir,Параметры!$B$3)</f>
        <v>57068.59</v>
      </c>
      <c r="S4" cm="1">
        <f t="array" ref="S4">SUMIFS(data_amt,data_item,$A4,data_cat,S$1,data_dir,Параметры!$B$3)</f>
        <v>0</v>
      </c>
      <c r="T4" cm="1">
        <f t="array" ref="T4">SUMIFS(data_amt,data_item,$A4,data_cat,T$1,data_dir,Параметры!$B$3)</f>
        <v>0</v>
      </c>
      <c r="U4" cm="1">
        <f t="array" ref="U4">SUMIFS(data_amt,data_item,$A4,data_cat,U$1,data_dir,Параметры!$B$3)</f>
        <v>766210.76</v>
      </c>
      <c r="V4" cm="1">
        <f t="array" ref="V4">SUM(B4:U4)</f>
        <v>1694259.7999999998</v>
      </c>
    </row>
    <row r="5" spans="1:22" x14ac:dyDescent="0.2">
      <c r="A5" t="str" cm="1">
        <f t="array" ref="A5">Статьи!A5</f>
        <v>Елка 1</v>
      </c>
      <c r="B5" cm="1">
        <f t="array" ref="B5">SUMIFS(data_amt,data_item,$A5,data_cat,B$1,data_dir,Параметры!$B$3)</f>
        <v>131126.71</v>
      </c>
      <c r="C5" cm="1">
        <f t="array" ref="C5">SUMIFS(data_amt,data_item,$A5,data_cat,C$1,data_dir,Параметры!$B$3)</f>
        <v>0</v>
      </c>
      <c r="D5" cm="1">
        <f t="array" ref="D5">SUMIFS(data_amt,data_item,$A5,data_cat,D$1,data_dir,Параметры!$B$3)</f>
        <v>-69574.179999999993</v>
      </c>
      <c r="E5" cm="1">
        <f t="array" ref="E5">SUMIFS(data_amt,data_item,$A5,data_cat,E$1,data_dir,Параметры!$B$3)</f>
        <v>295683.49</v>
      </c>
      <c r="F5" cm="1">
        <f t="array" ref="F5">SUMIFS(data_amt,data_item,$A5,data_cat,F$1,data_dir,Параметры!$B$3)</f>
        <v>-23248.9</v>
      </c>
      <c r="G5" cm="1">
        <f t="array" ref="G5">SUMIFS(data_amt,data_item,$A5,data_cat,G$1,data_dir,Параметры!$B$3)</f>
        <v>0</v>
      </c>
      <c r="H5" cm="1">
        <f t="array" ref="H5">SUMIFS(data_amt,data_item,$A5,data_cat,H$1,data_dir,Параметры!$B$3)</f>
        <v>0</v>
      </c>
      <c r="I5" cm="1">
        <f t="array" ref="I5">SUMIFS(data_amt,data_item,$A5,data_cat,I$1,data_dir,Параметры!$B$3)</f>
        <v>0</v>
      </c>
      <c r="J5" cm="1">
        <f t="array" ref="J5">SUMIFS(data_amt,data_item,$A5,data_cat,J$1,data_dir,Параметры!$B$3)</f>
        <v>0</v>
      </c>
      <c r="K5" cm="1">
        <f t="array" ref="K5">SUMIFS(data_amt,data_item,$A5,data_cat,K$1,data_dir,Параметры!$B$3)</f>
        <v>0</v>
      </c>
      <c r="L5" cm="1">
        <f t="array" ref="L5">SUMIFS(data_amt,data_item,$A5,data_cat,L$1,data_dir,Параметры!$B$3)</f>
        <v>0</v>
      </c>
      <c r="M5" cm="1">
        <f t="array" ref="M5">SUMIFS(data_amt,data_item,$A5,data_cat,M$1,data_dir,Параметры!$B$3)</f>
        <v>0</v>
      </c>
      <c r="N5" cm="1">
        <f t="array" ref="N5">SUMIFS(data_amt,data_item,$A5,data_cat,N$1,data_dir,Параметры!$B$3)</f>
        <v>0</v>
      </c>
      <c r="O5" cm="1">
        <f t="array" ref="O5">SUMIFS(data_amt,data_item,$A5,data_cat,O$1,data_dir,Параметры!$B$3)</f>
        <v>0</v>
      </c>
      <c r="P5" cm="1">
        <f t="array" ref="P5">SUMIFS(data_amt,data_item,$A5,data_cat,P$1,data_dir,Параметры!$B$3)</f>
        <v>0</v>
      </c>
      <c r="Q5" cm="1">
        <f t="array" ref="Q5">SUMIFS(data_amt,data_item,$A5,data_cat,Q$1,data_dir,Параметры!$B$3)</f>
        <v>0</v>
      </c>
      <c r="R5" cm="1">
        <f t="array" ref="R5">SUMIFS(data_amt,data_item,$A5,data_cat,R$1,data_dir,Параметры!$B$3)</f>
        <v>0</v>
      </c>
      <c r="S5" cm="1">
        <f t="array" ref="S5">SUMIFS(data_amt,data_item,$A5,data_cat,S$1,data_dir,Параметры!$B$3)</f>
        <v>0</v>
      </c>
      <c r="T5" cm="1">
        <f t="array" ref="T5">SUMIFS(data_amt,data_item,$A5,data_cat,T$1,data_dir,Параметры!$B$3)</f>
        <v>0</v>
      </c>
      <c r="U5" cm="1">
        <f t="array" ref="U5">SUMIFS(data_amt,data_item,$A5,data_cat,U$1,data_dir,Параметры!$B$3)</f>
        <v>459488.31</v>
      </c>
      <c r="V5" cm="1">
        <f t="array" ref="V5">SUM(B5:U5)</f>
        <v>793475.42999999993</v>
      </c>
    </row>
    <row r="6" spans="1:22" x14ac:dyDescent="0.2">
      <c r="A6" t="str" cm="1">
        <f t="array" ref="A6">Статьи!A6</f>
        <v>Аренда 1</v>
      </c>
      <c r="B6" cm="1">
        <f t="array" ref="B6">SUMIFS(data_amt,data_item,$A6,data_cat,B$1,data_dir,Параметры!$B$3)</f>
        <v>0</v>
      </c>
      <c r="C6" cm="1">
        <f t="array" ref="C6">SUMIFS(data_amt,data_item,$A6,data_cat,C$1,data_dir,Параметры!$B$3)</f>
        <v>0</v>
      </c>
      <c r="D6" cm="1">
        <f t="array" ref="D6">SUMIFS(data_amt,data_item,$A6,data_cat,D$1,data_dir,Параметры!$B$3)</f>
        <v>0</v>
      </c>
      <c r="E6" cm="1">
        <f t="array" ref="E6">SUMIFS(data_amt,data_item,$A6,data_cat,E$1,data_dir,Параметры!$B$3)</f>
        <v>0</v>
      </c>
      <c r="F6" cm="1">
        <f t="array" ref="F6">SUMIFS(data_amt,data_item,$A6,data_cat,F$1,data_dir,Параметры!$B$3)</f>
        <v>0</v>
      </c>
      <c r="G6" cm="1">
        <f t="array" ref="G6">SUMIFS(data_amt,data_item,$A6,data_cat,G$1,data_dir,Параметры!$B$3)</f>
        <v>0</v>
      </c>
      <c r="H6" cm="1">
        <f t="array" ref="H6">SUMIFS(data_amt,data_item,$A6,data_cat,H$1,data_dir,Параметры!$B$3)</f>
        <v>0</v>
      </c>
      <c r="I6" cm="1">
        <f t="array" ref="I6">SUMIFS(data_amt,data_item,$A6,data_cat,I$1,data_dir,Параметры!$B$3)</f>
        <v>0</v>
      </c>
      <c r="J6" cm="1">
        <f t="array" ref="J6">SUMIFS(data_amt,data_item,$A6,data_cat,J$1,data_dir,Параметры!$B$3)</f>
        <v>81223.360000000001</v>
      </c>
      <c r="K6" cm="1">
        <f t="array" ref="K6">SUMIFS(data_amt,data_item,$A6,data_cat,K$1,data_dir,Параметры!$B$3)</f>
        <v>0</v>
      </c>
      <c r="L6" cm="1">
        <f t="array" ref="L6">SUMIFS(data_amt,data_item,$A6,data_cat,L$1,data_dir,Параметры!$B$3)</f>
        <v>0</v>
      </c>
      <c r="M6" cm="1">
        <f t="array" ref="M6">SUMIFS(data_amt,data_item,$A6,data_cat,M$1,data_dir,Параметры!$B$3)</f>
        <v>0</v>
      </c>
      <c r="N6" cm="1">
        <f t="array" ref="N6">SUMIFS(data_amt,data_item,$A6,data_cat,N$1,data_dir,Параметры!$B$3)</f>
        <v>0</v>
      </c>
      <c r="O6" cm="1">
        <f t="array" ref="O6">SUMIFS(data_amt,data_item,$A6,data_cat,O$1,data_dir,Параметры!$B$3)</f>
        <v>200873.7</v>
      </c>
      <c r="P6" cm="1">
        <f t="array" ref="P6">SUMIFS(data_amt,data_item,$A6,data_cat,P$1,data_dir,Параметры!$B$3)</f>
        <v>354795.36</v>
      </c>
      <c r="Q6" cm="1">
        <f t="array" ref="Q6">SUMIFS(data_amt,data_item,$A6,data_cat,Q$1,data_dir,Параметры!$B$3)</f>
        <v>0</v>
      </c>
      <c r="R6" cm="1">
        <f t="array" ref="R6">SUMIFS(data_amt,data_item,$A6,data_cat,R$1,data_dir,Параметры!$B$3)</f>
        <v>306186.42</v>
      </c>
      <c r="S6" cm="1">
        <f t="array" ref="S6">SUMIFS(data_amt,data_item,$A6,data_cat,S$1,data_dir,Параметры!$B$3)</f>
        <v>0</v>
      </c>
      <c r="T6" cm="1">
        <f t="array" ref="T6">SUMIFS(data_amt,data_item,$A6,data_cat,T$1,data_dir,Параметры!$B$3)</f>
        <v>0</v>
      </c>
      <c r="U6" cm="1">
        <f t="array" ref="U6">SUMIFS(data_amt,data_item,$A6,data_cat,U$1,data_dir,Параметры!$B$3)</f>
        <v>0</v>
      </c>
      <c r="V6" cm="1">
        <f t="array" ref="V6">SUM(B6:U6)</f>
        <v>943078.83999999985</v>
      </c>
    </row>
    <row r="7" spans="1:22" x14ac:dyDescent="0.2">
      <c r="A7" t="s">
        <v>459</v>
      </c>
      <c r="B7" cm="1">
        <f t="array" ref="B7">SUM(B2:B6)</f>
        <v>131126.71</v>
      </c>
      <c r="C7" cm="1">
        <f t="array" ref="C7">SUM(C2:C6)</f>
        <v>-96224.34</v>
      </c>
      <c r="D7" cm="1">
        <f t="array" ref="D7">SUM(D2:D6)</f>
        <v>685951.09000000008</v>
      </c>
      <c r="E7" cm="1">
        <f t="array" ref="E7">SUM(E2:E6)</f>
        <v>686679.61</v>
      </c>
      <c r="F7" cm="1">
        <f t="array" ref="F7">SUM(F2:F6)</f>
        <v>-23248.9</v>
      </c>
      <c r="G7" cm="1">
        <f t="array" ref="G7">SUM(G2:G6)</f>
        <v>239698.95</v>
      </c>
      <c r="H7" cm="1">
        <f t="array" ref="H7">SUM(H2:H6)</f>
        <v>150225.98000000001</v>
      </c>
      <c r="I7" cm="1">
        <f t="array" ref="I7">SUM(I2:I6)</f>
        <v>218245</v>
      </c>
      <c r="J7" cm="1">
        <f t="array" ref="J7">SUM(J2:J6)</f>
        <v>215797.95</v>
      </c>
      <c r="K7" cm="1">
        <f t="array" ref="K7">SUM(K2:K6)</f>
        <v>219230.07</v>
      </c>
      <c r="L7" cm="1">
        <f t="array" ref="L7">SUM(L2:L6)</f>
        <v>0</v>
      </c>
      <c r="M7" cm="1">
        <f t="array" ref="M7">SUM(M2:M6)</f>
        <v>253587.77</v>
      </c>
      <c r="N7" cm="1">
        <f t="array" ref="N7">SUM(N2:N6)</f>
        <v>0</v>
      </c>
      <c r="O7" cm="1">
        <f t="array" ref="O7">SUM(O2:O6)</f>
        <v>200873.7</v>
      </c>
      <c r="P7" cm="1">
        <f t="array" ref="P7">SUM(P2:P6)</f>
        <v>644791.15999999992</v>
      </c>
      <c r="Q7" cm="1">
        <f t="array" ref="Q7">SUM(Q2:Q6)</f>
        <v>-74492.320000000007</v>
      </c>
      <c r="R7" cm="1">
        <f t="array" ref="R7">SUM(R2:R6)</f>
        <v>363255.01</v>
      </c>
      <c r="S7" cm="1">
        <f t="array" ref="S7">SUM(S2:S6)</f>
        <v>-73607.44</v>
      </c>
      <c r="T7" cm="1">
        <f t="array" ref="T7">SUM(T2:T6)</f>
        <v>0</v>
      </c>
      <c r="U7" cm="1">
        <f t="array" ref="U7">SUM(U2:U6)</f>
        <v>1225699.07</v>
      </c>
      <c r="V7" cm="1">
        <f t="array" ref="V7">SUM(V2:V6)</f>
        <v>4967589.0699999994</v>
      </c>
    </row>
    <row r="8" spans="1:22" x14ac:dyDescent="0.2">
      <c r="A8" t="str" cm="1">
        <f t="array" ref="A8">Статьи!A7</f>
        <v>Связь 1</v>
      </c>
      <c r="B8" cm="1">
        <f t="array" ref="B8">SUMIFS(data_amt,data_item,$A8,data_cat,B$1,data_dir,Параметры!$B$3)</f>
        <v>0</v>
      </c>
      <c r="C8" cm="1">
        <f t="array" ref="C8">SUMIFS(data_amt,data_item,$A8,data_cat,C$1,data_dir,Параметры!$B$3)</f>
        <v>103573.35</v>
      </c>
      <c r="D8" cm="1">
        <f t="array" ref="D8">SUMIFS(data_amt,data_item,$A8,data_cat,D$1,data_dir,Параметры!$B$3)</f>
        <v>0</v>
      </c>
      <c r="E8" cm="1">
        <f t="array" ref="E8">SUMIFS(data_amt,data_item,$A8,data_cat,E$1,data_dir,Параметры!$B$3)</f>
        <v>0</v>
      </c>
      <c r="F8" cm="1">
        <f t="array" ref="F8">SUMIFS(data_amt,data_item,$A8,data_cat,F$1,data_dir,Параметры!$B$3)</f>
        <v>0</v>
      </c>
      <c r="G8" cm="1">
        <f t="array" ref="G8">SUMIFS(data_amt,data_item,$A8,data_cat,G$1,data_dir,Параметры!$B$3)</f>
        <v>0</v>
      </c>
      <c r="H8" cm="1">
        <f t="array" ref="H8">SUMIFS(data_amt,data_item,$A8,data_cat,H$1,data_dir,Параметры!$B$3)</f>
        <v>0</v>
      </c>
      <c r="I8" cm="1">
        <f t="array" ref="I8">SUMIFS(data_amt,data_item,$A8,data_cat,I$1,data_dir,Параметры!$B$3)</f>
        <v>0</v>
      </c>
      <c r="J8" cm="1">
        <f t="array" ref="J8">SUMIFS(data_amt,data_item,$A8,data_cat,J$1,data_dir,Параметры!$B$3)</f>
        <v>97614.39</v>
      </c>
      <c r="K8" cm="1">
        <f t="array" ref="K8">SUMIFS(data_amt,data_item,$A8,data_cat,K$1,data_dir,Параметры!$B$3)</f>
        <v>0</v>
      </c>
      <c r="L8" cm="1">
        <f t="array" ref="L8">SUMIFS(data_amt,data_item,$A8,data_cat,L$1,data_dir,Параметры!$B$3)</f>
        <v>0</v>
      </c>
      <c r="M8" cm="1">
        <f t="array" ref="M8">SUMIFS(data_amt,data_item,$A8,data_cat,M$1,data_dir,Параметры!$B$3)</f>
        <v>3404.16</v>
      </c>
      <c r="N8" cm="1">
        <f t="array" ref="N8">SUMIFS(data_amt,data_item,$A8,data_cat,N$1,data_dir,Параметры!$B$3)</f>
        <v>141542.73000000001</v>
      </c>
      <c r="O8" cm="1">
        <f t="array" ref="O8">SUMIFS(data_amt,data_item,$A8,data_cat,O$1,data_dir,Параметры!$B$3)</f>
        <v>169829.64</v>
      </c>
      <c r="P8" cm="1">
        <f t="array" ref="P8">SUMIFS(data_amt,data_item,$A8,data_cat,P$1,data_dir,Параметры!$B$3)</f>
        <v>0</v>
      </c>
      <c r="Q8" cm="1">
        <f t="array" ref="Q8">SUMIFS(data_amt,data_item,$A8,data_cat,Q$1,data_dir,Параметры!$B$3)</f>
        <v>0</v>
      </c>
      <c r="R8" cm="1">
        <f t="array" ref="R8">SUMIFS(data_amt,data_item,$A8,data_cat,R$1,data_dir,Параметры!$B$3)</f>
        <v>0</v>
      </c>
      <c r="S8" cm="1">
        <f t="array" ref="S8">SUMIFS(data_amt,data_item,$A8,data_cat,S$1,data_dir,Параметры!$B$3)</f>
        <v>0</v>
      </c>
      <c r="T8" cm="1">
        <f t="array" ref="T8">SUMIFS(data_amt,data_item,$A8,data_cat,T$1,data_dir,Параметры!$B$3)</f>
        <v>178192.36</v>
      </c>
      <c r="U8" cm="1">
        <f t="array" ref="U8">SUMIFS(data_amt,data_item,$A8,data_cat,U$1,data_dir,Параметры!$B$3)</f>
        <v>0</v>
      </c>
      <c r="V8" cm="1">
        <f t="array" ref="V8">SUM(B8:U8)</f>
        <v>694156.63</v>
      </c>
    </row>
    <row r="9" spans="1:22" x14ac:dyDescent="0.2">
      <c r="A9" t="str" cm="1">
        <f t="array" ref="A9">Статьи!A8</f>
        <v>Налог 1</v>
      </c>
      <c r="B9" cm="1">
        <f t="array" ref="B9">SUMIFS(data_amt,data_item,$A9,data_cat,B$1,data_dir,Параметры!$B$3)</f>
        <v>0</v>
      </c>
      <c r="C9" cm="1">
        <f t="array" ref="C9">SUMIFS(data_amt,data_item,$A9,data_cat,C$1,data_dir,Параметры!$B$3)</f>
        <v>0</v>
      </c>
      <c r="D9" cm="1">
        <f t="array" ref="D9">SUMIFS(data_amt,data_item,$A9,data_cat,D$1,data_dir,Параметры!$B$3)</f>
        <v>81797.95</v>
      </c>
      <c r="E9" cm="1">
        <f t="array" ref="E9">SUMIFS(data_amt,data_item,$A9,data_cat,E$1,data_dir,Параметры!$B$3)</f>
        <v>222390.05</v>
      </c>
      <c r="F9" cm="1">
        <f t="array" ref="F9">SUMIFS(data_amt,data_item,$A9,data_cat,F$1,data_dir,Параметры!$B$3)</f>
        <v>0</v>
      </c>
      <c r="G9" cm="1">
        <f t="array" ref="G9">SUMIFS(data_amt,data_item,$A9,data_cat,G$1,data_dir,Параметры!$B$3)</f>
        <v>0</v>
      </c>
      <c r="H9" cm="1">
        <f t="array" ref="H9">SUMIFS(data_amt,data_item,$A9,data_cat,H$1,data_dir,Параметры!$B$3)</f>
        <v>0</v>
      </c>
      <c r="I9" cm="1">
        <f t="array" ref="I9">SUMIFS(data_amt,data_item,$A9,data_cat,I$1,data_dir,Параметры!$B$3)</f>
        <v>0</v>
      </c>
      <c r="J9" cm="1">
        <f t="array" ref="J9">SUMIFS(data_amt,data_item,$A9,data_cat,J$1,data_dir,Параметры!$B$3)</f>
        <v>0</v>
      </c>
      <c r="K9" cm="1">
        <f t="array" ref="K9">SUMIFS(data_amt,data_item,$A9,data_cat,K$1,data_dir,Параметры!$B$3)</f>
        <v>0</v>
      </c>
      <c r="L9" cm="1">
        <f t="array" ref="L9">SUMIFS(data_amt,data_item,$A9,data_cat,L$1,data_dir,Параметры!$B$3)</f>
        <v>0</v>
      </c>
      <c r="M9" cm="1">
        <f t="array" ref="M9">SUMIFS(data_amt,data_item,$A9,data_cat,M$1,data_dir,Параметры!$B$3)</f>
        <v>-53530.76</v>
      </c>
      <c r="N9" cm="1">
        <f t="array" ref="N9">SUMIFS(data_amt,data_item,$A9,data_cat,N$1,data_dir,Параметры!$B$3)</f>
        <v>-78781.56</v>
      </c>
      <c r="O9" cm="1">
        <f t="array" ref="O9">SUMIFS(data_amt,data_item,$A9,data_cat,O$1,data_dir,Параметры!$B$3)</f>
        <v>0</v>
      </c>
      <c r="P9" cm="1">
        <f t="array" ref="P9">SUMIFS(data_amt,data_item,$A9,data_cat,P$1,data_dir,Параметры!$B$3)</f>
        <v>0</v>
      </c>
      <c r="Q9" cm="1">
        <f t="array" ref="Q9">SUMIFS(data_amt,data_item,$A9,data_cat,Q$1,data_dir,Параметры!$B$3)</f>
        <v>0</v>
      </c>
      <c r="R9" cm="1">
        <f t="array" ref="R9">SUMIFS(data_amt,data_item,$A9,data_cat,R$1,data_dir,Параметры!$B$3)</f>
        <v>0</v>
      </c>
      <c r="S9" cm="1">
        <f t="array" ref="S9">SUMIFS(data_amt,data_item,$A9,data_cat,S$1,data_dir,Параметры!$B$3)</f>
        <v>0</v>
      </c>
      <c r="T9" cm="1">
        <f t="array" ref="T9">SUMIFS(data_amt,data_item,$A9,data_cat,T$1,data_dir,Параметры!$B$3)</f>
        <v>0</v>
      </c>
      <c r="U9" cm="1">
        <f t="array" ref="U9">SUMIFS(data_amt,data_item,$A9,data_cat,U$1,data_dir,Параметры!$B$3)</f>
        <v>0</v>
      </c>
      <c r="V9" cm="1">
        <f t="array" ref="V9">SUM(B9:U9)</f>
        <v>171875.68</v>
      </c>
    </row>
    <row r="10" spans="1:22" x14ac:dyDescent="0.2">
      <c r="A10" t="str" cm="1">
        <f t="array" ref="A10">Статьи!A9</f>
        <v>Доход 1</v>
      </c>
      <c r="B10" cm="1">
        <f t="array" ref="B10">SUMIFS(data_amt,data_item,$A10,data_cat,B$1,data_dir,Параметры!$B$3)</f>
        <v>0</v>
      </c>
      <c r="C10" cm="1">
        <f t="array" ref="C10">SUMIFS(data_amt,data_item,$A10,data_cat,C$1,data_dir,Параметры!$B$3)</f>
        <v>0</v>
      </c>
      <c r="D10" cm="1">
        <f t="array" ref="D10">SUMIFS(data_amt,data_item,$A10,data_cat,D$1,data_dir,Параметры!$B$3)</f>
        <v>280790.62</v>
      </c>
      <c r="E10" cm="1">
        <f t="array" ref="E10">SUMIFS(data_amt,data_item,$A10,data_cat,E$1,data_dir,Параметры!$B$3)</f>
        <v>13305.2</v>
      </c>
      <c r="F10" cm="1">
        <f t="array" ref="F10">SUMIFS(data_amt,data_item,$A10,data_cat,F$1,data_dir,Параметры!$B$3)</f>
        <v>0</v>
      </c>
      <c r="G10" cm="1">
        <f t="array" ref="G10">SUMIFS(data_amt,data_item,$A10,data_cat,G$1,data_dir,Параметры!$B$3)</f>
        <v>0</v>
      </c>
      <c r="H10" cm="1">
        <f t="array" ref="H10">SUMIFS(data_amt,data_item,$A10,data_cat,H$1,data_dir,Параметры!$B$3)</f>
        <v>274207.5</v>
      </c>
      <c r="I10" cm="1">
        <f t="array" ref="I10">SUMIFS(data_amt,data_item,$A10,data_cat,I$1,data_dir,Параметры!$B$3)</f>
        <v>0</v>
      </c>
      <c r="J10" cm="1">
        <f t="array" ref="J10">SUMIFS(data_amt,data_item,$A10,data_cat,J$1,data_dir,Параметры!$B$3)</f>
        <v>174097.34</v>
      </c>
      <c r="K10" cm="1">
        <f t="array" ref="K10">SUMIFS(data_amt,data_item,$A10,data_cat,K$1,data_dir,Параметры!$B$3)</f>
        <v>0</v>
      </c>
      <c r="L10" cm="1">
        <f t="array" ref="L10">SUMIFS(data_amt,data_item,$A10,data_cat,L$1,data_dir,Параметры!$B$3)</f>
        <v>0</v>
      </c>
      <c r="M10" cm="1">
        <f t="array" ref="M10">SUMIFS(data_amt,data_item,$A10,data_cat,M$1,data_dir,Параметры!$B$3)</f>
        <v>0</v>
      </c>
      <c r="N10" cm="1">
        <f t="array" ref="N10">SUMIFS(data_amt,data_item,$A10,data_cat,N$1,data_dir,Параметры!$B$3)</f>
        <v>0</v>
      </c>
      <c r="O10" cm="1">
        <f t="array" ref="O10">SUMIFS(data_amt,data_item,$A10,data_cat,O$1,data_dir,Параметры!$B$3)</f>
        <v>0</v>
      </c>
      <c r="P10" cm="1">
        <f t="array" ref="P10">SUMIFS(data_amt,data_item,$A10,data_cat,P$1,data_dir,Параметры!$B$3)</f>
        <v>10010.799999999999</v>
      </c>
      <c r="Q10" cm="1">
        <f t="array" ref="Q10">SUMIFS(data_amt,data_item,$A10,data_cat,Q$1,data_dir,Параметры!$B$3)</f>
        <v>0</v>
      </c>
      <c r="R10" cm="1">
        <f t="array" ref="R10">SUMIFS(data_amt,data_item,$A10,data_cat,R$1,data_dir,Параметры!$B$3)</f>
        <v>217989.18</v>
      </c>
      <c r="S10" cm="1">
        <f t="array" ref="S10">SUMIFS(data_amt,data_item,$A10,data_cat,S$1,data_dir,Параметры!$B$3)</f>
        <v>0</v>
      </c>
      <c r="T10" cm="1">
        <f t="array" ref="T10">SUMIFS(data_amt,data_item,$A10,data_cat,T$1,data_dir,Параметры!$B$3)</f>
        <v>0</v>
      </c>
      <c r="U10" cm="1">
        <f t="array" ref="U10">SUMIFS(data_amt,data_item,$A10,data_cat,U$1,data_dir,Параметры!$B$3)</f>
        <v>0</v>
      </c>
      <c r="V10" cm="1">
        <f t="array" ref="V10">SUM(B10:U10)</f>
        <v>970400.64000000013</v>
      </c>
    </row>
    <row r="11" spans="1:22" x14ac:dyDescent="0.2">
      <c r="A11" t="str" cm="1">
        <f t="array" ref="A11">Статьи!A10</f>
        <v>Сырьё 1</v>
      </c>
      <c r="B11" cm="1">
        <f t="array" ref="B11">SUMIFS(data_amt,data_item,$A11,data_cat,B$1,data_dir,Параметры!$B$3)</f>
        <v>0</v>
      </c>
      <c r="C11" cm="1">
        <f t="array" ref="C11">SUMIFS(data_amt,data_item,$A11,data_cat,C$1,data_dir,Параметры!$B$3)</f>
        <v>0</v>
      </c>
      <c r="D11" cm="1">
        <f t="array" ref="D11">SUMIFS(data_amt,data_item,$A11,data_cat,D$1,data_dir,Параметры!$B$3)</f>
        <v>-19432.349999999999</v>
      </c>
      <c r="E11" cm="1">
        <f t="array" ref="E11">SUMIFS(data_amt,data_item,$A11,data_cat,E$1,data_dir,Параметры!$B$3)</f>
        <v>0</v>
      </c>
      <c r="F11" cm="1">
        <f t="array" ref="F11">SUMIFS(data_amt,data_item,$A11,data_cat,F$1,data_dir,Параметры!$B$3)</f>
        <v>0</v>
      </c>
      <c r="G11" cm="1">
        <f t="array" ref="G11">SUMIFS(data_amt,data_item,$A11,data_cat,G$1,data_dir,Параметры!$B$3)</f>
        <v>0</v>
      </c>
      <c r="H11" cm="1">
        <f t="array" ref="H11">SUMIFS(data_amt,data_item,$A11,data_cat,H$1,data_dir,Параметры!$B$3)</f>
        <v>0</v>
      </c>
      <c r="I11" cm="1">
        <f t="array" ref="I11">SUMIFS(data_amt,data_item,$A11,data_cat,I$1,data_dir,Параметры!$B$3)</f>
        <v>0</v>
      </c>
      <c r="J11" cm="1">
        <f t="array" ref="J11">SUMIFS(data_amt,data_item,$A11,data_cat,J$1,data_dir,Параметры!$B$3)</f>
        <v>0</v>
      </c>
      <c r="K11" cm="1">
        <f t="array" ref="K11">SUMIFS(data_amt,data_item,$A11,data_cat,K$1,data_dir,Параметры!$B$3)</f>
        <v>0</v>
      </c>
      <c r="L11" cm="1">
        <f t="array" ref="L11">SUMIFS(data_amt,data_item,$A11,data_cat,L$1,data_dir,Параметры!$B$3)</f>
        <v>0</v>
      </c>
      <c r="M11" cm="1">
        <f t="array" ref="M11">SUMIFS(data_amt,data_item,$A11,data_cat,M$1,data_dir,Параметры!$B$3)</f>
        <v>0</v>
      </c>
      <c r="N11" cm="1">
        <f t="array" ref="N11">SUMIFS(data_amt,data_item,$A11,data_cat,N$1,data_dir,Параметры!$B$3)</f>
        <v>252620.97999999998</v>
      </c>
      <c r="O11" cm="1">
        <f t="array" ref="O11">SUMIFS(data_amt,data_item,$A11,data_cat,O$1,data_dir,Параметры!$B$3)</f>
        <v>0</v>
      </c>
      <c r="P11" cm="1">
        <f t="array" ref="P11">SUMIFS(data_amt,data_item,$A11,data_cat,P$1,data_dir,Параметры!$B$3)</f>
        <v>-93662.43</v>
      </c>
      <c r="Q11" cm="1">
        <f t="array" ref="Q11">SUMIFS(data_amt,data_item,$A11,data_cat,Q$1,data_dir,Параметры!$B$3)</f>
        <v>0</v>
      </c>
      <c r="R11" cm="1">
        <f t="array" ref="R11">SUMIFS(data_amt,data_item,$A11,data_cat,R$1,data_dir,Параметры!$B$3)</f>
        <v>0</v>
      </c>
      <c r="S11" cm="1">
        <f t="array" ref="S11">SUMIFS(data_amt,data_item,$A11,data_cat,S$1,data_dir,Параметры!$B$3)</f>
        <v>0</v>
      </c>
      <c r="T11" cm="1">
        <f t="array" ref="T11">SUMIFS(data_amt,data_item,$A11,data_cat,T$1,data_dir,Параметры!$B$3)</f>
        <v>0</v>
      </c>
      <c r="U11" cm="1">
        <f t="array" ref="U11">SUMIFS(data_amt,data_item,$A11,data_cat,U$1,data_dir,Параметры!$B$3)</f>
        <v>-23136.59</v>
      </c>
      <c r="V11" cm="1">
        <f t="array" ref="V11">SUM(B11:U11)</f>
        <v>116389.60999999999</v>
      </c>
    </row>
    <row r="12" spans="1:22" x14ac:dyDescent="0.2">
      <c r="A12" t="str" cm="1">
        <f t="array" ref="A12">Статьи!A11</f>
        <v>Сырье 1</v>
      </c>
      <c r="B12" cm="1">
        <f t="array" ref="B12">SUMIFS(data_amt,data_item,$A12,data_cat,B$1,data_dir,Параметры!$B$3)</f>
        <v>0</v>
      </c>
      <c r="C12" cm="1">
        <f t="array" ref="C12">SUMIFS(data_amt,data_item,$A12,data_cat,C$1,data_dir,Параметры!$B$3)</f>
        <v>0</v>
      </c>
      <c r="D12" cm="1">
        <f t="array" ref="D12">SUMIFS(data_amt,data_item,$A12,data_cat,D$1,data_dir,Параметры!$B$3)</f>
        <v>266230.23</v>
      </c>
      <c r="E12" cm="1">
        <f t="array" ref="E12">SUMIFS(data_amt,data_item,$A12,data_cat,E$1,data_dir,Параметры!$B$3)</f>
        <v>0</v>
      </c>
      <c r="F12" cm="1">
        <f t="array" ref="F12">SUMIFS(data_amt,data_item,$A12,data_cat,F$1,data_dir,Параметры!$B$3)</f>
        <v>0</v>
      </c>
      <c r="G12" cm="1">
        <f t="array" ref="G12">SUMIFS(data_amt,data_item,$A12,data_cat,G$1,data_dir,Параметры!$B$3)</f>
        <v>0</v>
      </c>
      <c r="H12" cm="1">
        <f t="array" ref="H12">SUMIFS(data_amt,data_item,$A12,data_cat,H$1,data_dir,Параметры!$B$3)</f>
        <v>0</v>
      </c>
      <c r="I12" cm="1">
        <f t="array" ref="I12">SUMIFS(data_amt,data_item,$A12,data_cat,I$1,data_dir,Параметры!$B$3)</f>
        <v>0</v>
      </c>
      <c r="J12" cm="1">
        <f t="array" ref="J12">SUMIFS(data_amt,data_item,$A12,data_cat,J$1,data_dir,Параметры!$B$3)</f>
        <v>0</v>
      </c>
      <c r="K12" cm="1">
        <f t="array" ref="K12">SUMIFS(data_amt,data_item,$A12,data_cat,K$1,data_dir,Параметры!$B$3)</f>
        <v>0</v>
      </c>
      <c r="L12" cm="1">
        <f t="array" ref="L12">SUMIFS(data_amt,data_item,$A12,data_cat,L$1,data_dir,Параметры!$B$3)</f>
        <v>0</v>
      </c>
      <c r="M12" cm="1">
        <f t="array" ref="M12">SUMIFS(data_amt,data_item,$A12,data_cat,M$1,data_dir,Параметры!$B$3)</f>
        <v>0</v>
      </c>
      <c r="N12" cm="1">
        <f t="array" ref="N12">SUMIFS(data_amt,data_item,$A12,data_cat,N$1,data_dir,Параметры!$B$3)</f>
        <v>0</v>
      </c>
      <c r="O12" cm="1">
        <f t="array" ref="O12">SUMIFS(data_amt,data_item,$A12,data_cat,O$1,data_dir,Параметры!$B$3)</f>
        <v>0</v>
      </c>
      <c r="P12" cm="1">
        <f t="array" ref="P12">SUMIFS(data_amt,data_item,$A12,data_cat,P$1,data_dir,Параметры!$B$3)</f>
        <v>0</v>
      </c>
      <c r="Q12" cm="1">
        <f t="array" ref="Q12">SUMIFS(data_amt,data_item,$A12,data_cat,Q$1,data_dir,Параметры!$B$3)</f>
        <v>0</v>
      </c>
      <c r="R12" cm="1">
        <f t="array" ref="R12">SUMIFS(data_amt,data_item,$A12,data_cat,R$1,data_dir,Параметры!$B$3)</f>
        <v>0</v>
      </c>
      <c r="S12" cm="1">
        <f t="array" ref="S12">SUMIFS(data_amt,data_item,$A12,data_cat,S$1,data_dir,Параметры!$B$3)</f>
        <v>0</v>
      </c>
      <c r="T12" cm="1">
        <f t="array" ref="T12">SUMIFS(data_amt,data_item,$A12,data_cat,T$1,data_dir,Параметры!$B$3)</f>
        <v>0</v>
      </c>
      <c r="U12" cm="1">
        <f t="array" ref="U12">SUMIFS(data_amt,data_item,$A12,data_cat,U$1,data_dir,Параметры!$B$3)</f>
        <v>0</v>
      </c>
      <c r="V12" cm="1">
        <f t="array" ref="V12">SUM(B12:U12)</f>
        <v>266230.23</v>
      </c>
    </row>
    <row r="13" spans="1:22" x14ac:dyDescent="0.2">
      <c r="A13" t="s">
        <v>460</v>
      </c>
      <c r="B13" cm="1">
        <f t="array" ref="B13">SUM(B8:B12)</f>
        <v>0</v>
      </c>
      <c r="C13" cm="1">
        <f t="array" ref="C13">SUM(C8:C12)</f>
        <v>103573.35</v>
      </c>
      <c r="D13" cm="1">
        <f t="array" ref="D13">SUM(D8:D12)</f>
        <v>609386.44999999995</v>
      </c>
      <c r="E13" cm="1">
        <f t="array" ref="E13">SUM(E8:E12)</f>
        <v>235695.25</v>
      </c>
      <c r="F13" cm="1">
        <f t="array" ref="F13">SUM(F8:F12)</f>
        <v>0</v>
      </c>
      <c r="G13" cm="1">
        <f t="array" ref="G13">SUM(G8:G12)</f>
        <v>0</v>
      </c>
      <c r="H13" cm="1">
        <f t="array" ref="H13">SUM(H8:H12)</f>
        <v>274207.5</v>
      </c>
      <c r="I13" cm="1">
        <f t="array" ref="I13">SUM(I8:I12)</f>
        <v>0</v>
      </c>
      <c r="J13" cm="1">
        <f t="array" ref="J13">SUM(J8:J12)</f>
        <v>271711.73</v>
      </c>
      <c r="K13" cm="1">
        <f t="array" ref="K13">SUM(K8:K12)</f>
        <v>0</v>
      </c>
      <c r="L13" cm="1">
        <f t="array" ref="L13">SUM(L8:L12)</f>
        <v>0</v>
      </c>
      <c r="M13" cm="1">
        <f t="array" ref="M13">SUM(M8:M12)</f>
        <v>-50126.600000000006</v>
      </c>
      <c r="N13" cm="1">
        <f t="array" ref="N13">SUM(N8:N12)</f>
        <v>315382.15000000002</v>
      </c>
      <c r="O13" cm="1">
        <f t="array" ref="O13">SUM(O8:O12)</f>
        <v>169829.64</v>
      </c>
      <c r="P13" cm="1">
        <f t="array" ref="P13">SUM(P8:P12)</f>
        <v>-83651.62999999999</v>
      </c>
      <c r="Q13" cm="1">
        <f t="array" ref="Q13">SUM(Q8:Q12)</f>
        <v>0</v>
      </c>
      <c r="R13" cm="1">
        <f t="array" ref="R13">SUM(R8:R12)</f>
        <v>217989.18</v>
      </c>
      <c r="S13" cm="1">
        <f t="array" ref="S13">SUM(S8:S12)</f>
        <v>0</v>
      </c>
      <c r="T13" cm="1">
        <f t="array" ref="T13">SUM(T8:T12)</f>
        <v>178192.36</v>
      </c>
      <c r="U13" cm="1">
        <f t="array" ref="U13">SUM(U8:U12)</f>
        <v>-23136.59</v>
      </c>
      <c r="V13" cm="1">
        <f t="array" ref="V13">SUM(V8:V12)</f>
        <v>2219052.79</v>
      </c>
    </row>
    <row r="14" spans="1:22" x14ac:dyDescent="0.2">
      <c r="A14" t="str" cm="1">
        <f t="array" ref="A14">Статьи!A12</f>
        <v>Чай 2</v>
      </c>
      <c r="B14" cm="1">
        <f t="array" ref="B14">SUMIFS(data_amt,data_item,$A14,data_cat,B$1,data_dir,Параметры!$B$3)</f>
        <v>0</v>
      </c>
      <c r="C14" cm="1">
        <f t="array" ref="C14">SUMIFS(data_amt,data_item,$A14,data_cat,C$1,data_dir,Параметры!$B$3)</f>
        <v>0</v>
      </c>
      <c r="D14" cm="1">
        <f t="array" ref="D14">SUMIFS(data_amt,data_item,$A14,data_cat,D$1,data_dir,Параметры!$B$3)</f>
        <v>0</v>
      </c>
      <c r="E14" cm="1">
        <f t="array" ref="E14">SUMIFS(data_amt,data_item,$A14,data_cat,E$1,data_dir,Параметры!$B$3)</f>
        <v>0</v>
      </c>
      <c r="F14" cm="1">
        <f t="array" ref="F14">SUMIFS(data_amt,data_item,$A14,data_cat,F$1,data_dir,Параметры!$B$3)</f>
        <v>100501.07</v>
      </c>
      <c r="G14" cm="1">
        <f t="array" ref="G14">SUMIFS(data_amt,data_item,$A14,data_cat,G$1,data_dir,Параметры!$B$3)</f>
        <v>0</v>
      </c>
      <c r="H14" cm="1">
        <f t="array" ref="H14">SUMIFS(data_amt,data_item,$A14,data_cat,H$1,data_dir,Параметры!$B$3)</f>
        <v>0</v>
      </c>
      <c r="I14" cm="1">
        <f t="array" ref="I14">SUMIFS(data_amt,data_item,$A14,data_cat,I$1,data_dir,Параметры!$B$3)</f>
        <v>0</v>
      </c>
      <c r="J14" cm="1">
        <f t="array" ref="J14">SUMIFS(data_amt,data_item,$A14,data_cat,J$1,data_dir,Параметры!$B$3)</f>
        <v>0</v>
      </c>
      <c r="K14" cm="1">
        <f t="array" ref="K14">SUMIFS(data_amt,data_item,$A14,data_cat,K$1,data_dir,Параметры!$B$3)</f>
        <v>0</v>
      </c>
      <c r="L14" cm="1">
        <f t="array" ref="L14">SUMIFS(data_amt,data_item,$A14,data_cat,L$1,data_dir,Параметры!$B$3)</f>
        <v>0</v>
      </c>
      <c r="M14" cm="1">
        <f t="array" ref="M14">SUMIFS(data_amt,data_item,$A14,data_cat,M$1,data_dir,Параметры!$B$3)</f>
        <v>0</v>
      </c>
      <c r="N14" cm="1">
        <f t="array" ref="N14">SUMIFS(data_amt,data_item,$A14,data_cat,N$1,data_dir,Параметры!$B$3)</f>
        <v>0</v>
      </c>
      <c r="O14" cm="1">
        <f t="array" ref="O14">SUMIFS(data_amt,data_item,$A14,data_cat,O$1,data_dir,Параметры!$B$3)</f>
        <v>66279.710000000006</v>
      </c>
      <c r="P14" cm="1">
        <f t="array" ref="P14">SUMIFS(data_amt,data_item,$A14,data_cat,P$1,data_dir,Параметры!$B$3)</f>
        <v>0</v>
      </c>
      <c r="Q14" cm="1">
        <f t="array" ref="Q14">SUMIFS(data_amt,data_item,$A14,data_cat,Q$1,data_dir,Параметры!$B$3)</f>
        <v>0</v>
      </c>
      <c r="R14" cm="1">
        <f t="array" ref="R14">SUMIFS(data_amt,data_item,$A14,data_cat,R$1,data_dir,Параметры!$B$3)</f>
        <v>125094.39</v>
      </c>
      <c r="S14" cm="1">
        <f t="array" ref="S14">SUMIFS(data_amt,data_item,$A14,data_cat,S$1,data_dir,Параметры!$B$3)</f>
        <v>222008.01</v>
      </c>
      <c r="T14" cm="1">
        <f t="array" ref="T14">SUMIFS(data_amt,data_item,$A14,data_cat,T$1,data_dir,Параметры!$B$3)</f>
        <v>0</v>
      </c>
      <c r="U14" cm="1">
        <f t="array" ref="U14">SUMIFS(data_amt,data_item,$A14,data_cat,U$1,data_dir,Параметры!$B$3)</f>
        <v>0</v>
      </c>
      <c r="V14" cm="1">
        <f t="array" ref="V14">SUM(B14:U14)</f>
        <v>513883.18000000005</v>
      </c>
    </row>
    <row r="15" spans="1:22" x14ac:dyDescent="0.2">
      <c r="A15" t="str" cm="1">
        <f t="array" ref="A15">Статьи!A13</f>
        <v>Чаи 2</v>
      </c>
      <c r="B15" cm="1">
        <f t="array" ref="B15">SUMIFS(data_amt,data_item,$A15,data_cat,B$1,data_dir,Параметры!$B$3)</f>
        <v>0</v>
      </c>
      <c r="C15" cm="1">
        <f t="array" ref="C15">SUMIFS(data_amt,data_item,$A15,data_cat,C$1,data_dir,Параметры!$B$3)</f>
        <v>0</v>
      </c>
      <c r="D15" cm="1">
        <f t="array" ref="D15">SUMIFS(data_amt,data_item,$A15,data_cat,D$1,data_dir,Параметры!$B$3)</f>
        <v>0</v>
      </c>
      <c r="E15" cm="1">
        <f t="array" ref="E15">SUMIFS(data_amt,data_item,$A15,data_cat,E$1,data_dir,Параметры!$B$3)</f>
        <v>0</v>
      </c>
      <c r="F15" cm="1">
        <f t="array" ref="F15">SUMIFS(data_amt,data_item,$A15,data_cat,F$1,data_dir,Параметры!$B$3)</f>
        <v>0</v>
      </c>
      <c r="G15" cm="1">
        <f t="array" ref="G15">SUMIFS(data_amt,data_item,$A15,data_cat,G$1,data_dir,Параметры!$B$3)</f>
        <v>0</v>
      </c>
      <c r="H15" cm="1">
        <f t="array" ref="H15">SUMIFS(data_amt,data_item,$A15,data_cat,H$1,data_dir,Параметры!$B$3)</f>
        <v>0</v>
      </c>
      <c r="I15" cm="1">
        <f t="array" ref="I15">SUMIFS(data_amt,data_item,$A15,data_cat,I$1,data_dir,Параметры!$B$3)</f>
        <v>0</v>
      </c>
      <c r="J15" cm="1">
        <f t="array" ref="J15">SUMIFS(data_amt,data_item,$A15,data_cat,J$1,data_dir,Параметры!$B$3)</f>
        <v>0</v>
      </c>
      <c r="K15" cm="1">
        <f t="array" ref="K15">SUMIFS(data_amt,data_item,$A15,data_cat,K$1,data_dir,Параметры!$B$3)</f>
        <v>0</v>
      </c>
      <c r="L15" cm="1">
        <f t="array" ref="L15">SUMIFS(data_amt,data_item,$A15,data_cat,L$1,data_dir,Параметры!$B$3)</f>
        <v>0</v>
      </c>
      <c r="M15" cm="1">
        <f t="array" ref="M15">SUMIFS(data_amt,data_item,$A15,data_cat,M$1,data_dir,Параметры!$B$3)</f>
        <v>0</v>
      </c>
      <c r="N15" cm="1">
        <f t="array" ref="N15">SUMIFS(data_amt,data_item,$A15,data_cat,N$1,data_dir,Параметры!$B$3)</f>
        <v>0</v>
      </c>
      <c r="O15" cm="1">
        <f t="array" ref="O15">SUMIFS(data_amt,data_item,$A15,data_cat,O$1,data_dir,Параметры!$B$3)</f>
        <v>0</v>
      </c>
      <c r="P15" cm="1">
        <f t="array" ref="P15">SUMIFS(data_amt,data_item,$A15,data_cat,P$1,data_dir,Параметры!$B$3)</f>
        <v>0</v>
      </c>
      <c r="Q15" cm="1">
        <f t="array" ref="Q15">SUMIFS(data_amt,data_item,$A15,data_cat,Q$1,data_dir,Параметры!$B$3)</f>
        <v>0</v>
      </c>
      <c r="R15" cm="1">
        <f t="array" ref="R15">SUMIFS(data_amt,data_item,$A15,data_cat,R$1,data_dir,Параметры!$B$3)</f>
        <v>0</v>
      </c>
      <c r="S15" cm="1">
        <f t="array" ref="S15">SUMIFS(data_amt,data_item,$A15,data_cat,S$1,data_dir,Параметры!$B$3)</f>
        <v>0</v>
      </c>
      <c r="T15" cm="1">
        <f t="array" ref="T15">SUMIFS(data_amt,data_item,$A15,data_cat,T$1,data_dir,Параметры!$B$3)</f>
        <v>0</v>
      </c>
      <c r="U15" cm="1">
        <f t="array" ref="U15">SUMIFS(data_amt,data_item,$A15,data_cat,U$1,data_dir,Параметры!$B$3)</f>
        <v>0</v>
      </c>
      <c r="V15" cm="1">
        <f t="array" ref="V15">SUM(B15:U15)</f>
        <v>0</v>
      </c>
    </row>
    <row r="16" spans="1:22" x14ac:dyDescent="0.2">
      <c r="A16" t="str" cm="1">
        <f t="array" ref="A16">Статьи!A14</f>
        <v>Ёлка 2</v>
      </c>
      <c r="B16" cm="1">
        <f t="array" ref="B16">SUMIFS(data_amt,data_item,$A16,data_cat,B$1,data_dir,Параметры!$B$3)</f>
        <v>0</v>
      </c>
      <c r="C16" cm="1">
        <f t="array" ref="C16">SUMIFS(data_amt,data_item,$A16,data_cat,C$1,data_dir,Параметры!$B$3)</f>
        <v>0</v>
      </c>
      <c r="D16" cm="1">
        <f t="array" ref="D16">SUMIFS(data_amt,data_item,$A16,data_cat,D$1,data_dir,Параметры!$B$3)</f>
        <v>0</v>
      </c>
      <c r="E16" cm="1">
        <f t="array" ref="E16">SUMIFS(data_amt,data_item,$A16,data_cat,E$1,data_dir,Параметры!$B$3)</f>
        <v>0</v>
      </c>
      <c r="F16" cm="1">
        <f t="array" ref="F16">SUMIFS(data_amt,data_item,$A16,data_cat,F$1,data_dir,Параметры!$B$3)</f>
        <v>0</v>
      </c>
      <c r="G16" cm="1">
        <f t="array" ref="G16">SUMIFS(data_amt,data_item,$A16,data_cat,G$1,data_dir,Параметры!$B$3)</f>
        <v>0</v>
      </c>
      <c r="H16" cm="1">
        <f t="array" ref="H16">SUMIFS(data_amt,data_item,$A16,data_cat,H$1,data_dir,Параметры!$B$3)</f>
        <v>267894.61</v>
      </c>
      <c r="I16" cm="1">
        <f t="array" ref="I16">SUMIFS(data_amt,data_item,$A16,data_cat,I$1,data_dir,Параметры!$B$3)</f>
        <v>0</v>
      </c>
      <c r="J16" cm="1">
        <f t="array" ref="J16">SUMIFS(data_amt,data_item,$A16,data_cat,J$1,data_dir,Параметры!$B$3)</f>
        <v>0</v>
      </c>
      <c r="K16" cm="1">
        <f t="array" ref="K16">SUMIFS(data_amt,data_item,$A16,data_cat,K$1,data_dir,Параметры!$B$3)</f>
        <v>-28948.52</v>
      </c>
      <c r="L16" cm="1">
        <f t="array" ref="L16">SUMIFS(data_amt,data_item,$A16,data_cat,L$1,data_dir,Параметры!$B$3)</f>
        <v>0</v>
      </c>
      <c r="M16" cm="1">
        <f t="array" ref="M16">SUMIFS(data_amt,data_item,$A16,data_cat,M$1,data_dir,Параметры!$B$3)</f>
        <v>0</v>
      </c>
      <c r="N16" cm="1">
        <f t="array" ref="N16">SUMIFS(data_amt,data_item,$A16,data_cat,N$1,data_dir,Параметры!$B$3)</f>
        <v>0</v>
      </c>
      <c r="O16" cm="1">
        <f t="array" ref="O16">SUMIFS(data_amt,data_item,$A16,data_cat,O$1,data_dir,Параметры!$B$3)</f>
        <v>0</v>
      </c>
      <c r="P16" cm="1">
        <f t="array" ref="P16">SUMIFS(data_amt,data_item,$A16,data_cat,P$1,data_dir,Параметры!$B$3)</f>
        <v>0</v>
      </c>
      <c r="Q16" cm="1">
        <f t="array" ref="Q16">SUMIFS(data_amt,data_item,$A16,data_cat,Q$1,data_dir,Параметры!$B$3)</f>
        <v>273906.27</v>
      </c>
      <c r="R16" cm="1">
        <f t="array" ref="R16">SUMIFS(data_amt,data_item,$A16,data_cat,R$1,data_dir,Параметры!$B$3)</f>
        <v>0</v>
      </c>
      <c r="S16" cm="1">
        <f t="array" ref="S16">SUMIFS(data_amt,data_item,$A16,data_cat,S$1,data_dir,Параметры!$B$3)</f>
        <v>0</v>
      </c>
      <c r="T16" cm="1">
        <f t="array" ref="T16">SUMIFS(data_amt,data_item,$A16,data_cat,T$1,data_dir,Параметры!$B$3)</f>
        <v>0</v>
      </c>
      <c r="U16" cm="1">
        <f t="array" ref="U16">SUMIFS(data_amt,data_item,$A16,data_cat,U$1,data_dir,Параметры!$B$3)</f>
        <v>0</v>
      </c>
      <c r="V16" cm="1">
        <f t="array" ref="V16">SUM(B16:U16)</f>
        <v>512852.36</v>
      </c>
    </row>
    <row r="17" spans="1:22" x14ac:dyDescent="0.2">
      <c r="A17" t="str" cm="1">
        <f t="array" ref="A17">Статьи!A15</f>
        <v>Елка 2</v>
      </c>
      <c r="B17" cm="1">
        <f t="array" ref="B17">SUMIFS(data_amt,data_item,$A17,data_cat,B$1,data_dir,Параметры!$B$3)</f>
        <v>0</v>
      </c>
      <c r="C17" cm="1">
        <f t="array" ref="C17">SUMIFS(data_amt,data_item,$A17,data_cat,C$1,data_dir,Параметры!$B$3)</f>
        <v>0</v>
      </c>
      <c r="D17" cm="1">
        <f t="array" ref="D17">SUMIFS(data_amt,data_item,$A17,data_cat,D$1,data_dir,Параметры!$B$3)</f>
        <v>0</v>
      </c>
      <c r="E17" cm="1">
        <f t="array" ref="E17">SUMIFS(data_amt,data_item,$A17,data_cat,E$1,data_dir,Параметры!$B$3)</f>
        <v>0</v>
      </c>
      <c r="F17" cm="1">
        <f t="array" ref="F17">SUMIFS(data_amt,data_item,$A17,data_cat,F$1,data_dir,Параметры!$B$3)</f>
        <v>103673.2</v>
      </c>
      <c r="G17" cm="1">
        <f t="array" ref="G17">SUMIFS(data_amt,data_item,$A17,data_cat,G$1,data_dir,Параметры!$B$3)</f>
        <v>0</v>
      </c>
      <c r="H17" cm="1">
        <f t="array" ref="H17">SUMIFS(data_amt,data_item,$A17,data_cat,H$1,data_dir,Параметры!$B$3)</f>
        <v>0</v>
      </c>
      <c r="I17" cm="1">
        <f t="array" ref="I17">SUMIFS(data_amt,data_item,$A17,data_cat,I$1,data_dir,Параметры!$B$3)</f>
        <v>0</v>
      </c>
      <c r="J17" cm="1">
        <f t="array" ref="J17">SUMIFS(data_amt,data_item,$A17,data_cat,J$1,data_dir,Параметры!$B$3)</f>
        <v>-63824.160000000003</v>
      </c>
      <c r="K17" cm="1">
        <f t="array" ref="K17">SUMIFS(data_amt,data_item,$A17,data_cat,K$1,data_dir,Параметры!$B$3)</f>
        <v>-15627.84</v>
      </c>
      <c r="L17" cm="1">
        <f t="array" ref="L17">SUMIFS(data_amt,data_item,$A17,data_cat,L$1,data_dir,Параметры!$B$3)</f>
        <v>0</v>
      </c>
      <c r="M17" cm="1">
        <f t="array" ref="M17">SUMIFS(data_amt,data_item,$A17,data_cat,M$1,data_dir,Параметры!$B$3)</f>
        <v>0</v>
      </c>
      <c r="N17" cm="1">
        <f t="array" ref="N17">SUMIFS(data_amt,data_item,$A17,data_cat,N$1,data_dir,Параметры!$B$3)</f>
        <v>0</v>
      </c>
      <c r="O17" cm="1">
        <f t="array" ref="O17">SUMIFS(data_amt,data_item,$A17,data_cat,O$1,data_dir,Параметры!$B$3)</f>
        <v>0</v>
      </c>
      <c r="P17" cm="1">
        <f t="array" ref="P17">SUMIFS(data_amt,data_item,$A17,data_cat,P$1,data_dir,Параметры!$B$3)</f>
        <v>0</v>
      </c>
      <c r="Q17" cm="1">
        <f t="array" ref="Q17">SUMIFS(data_amt,data_item,$A17,data_cat,Q$1,data_dir,Параметры!$B$3)</f>
        <v>0</v>
      </c>
      <c r="R17" cm="1">
        <f t="array" ref="R17">SUMIFS(data_amt,data_item,$A17,data_cat,R$1,data_dir,Параметры!$B$3)</f>
        <v>358273.26</v>
      </c>
      <c r="S17" cm="1">
        <f t="array" ref="S17">SUMIFS(data_amt,data_item,$A17,data_cat,S$1,data_dir,Параметры!$B$3)</f>
        <v>0</v>
      </c>
      <c r="T17" cm="1">
        <f t="array" ref="T17">SUMIFS(data_amt,data_item,$A17,data_cat,T$1,data_dir,Параметры!$B$3)</f>
        <v>0</v>
      </c>
      <c r="U17" cm="1">
        <f t="array" ref="U17">SUMIFS(data_amt,data_item,$A17,data_cat,U$1,data_dir,Параметры!$B$3)</f>
        <v>0</v>
      </c>
      <c r="V17" cm="1">
        <f t="array" ref="V17">SUM(B17:U17)</f>
        <v>382494.46</v>
      </c>
    </row>
    <row r="18" spans="1:22" x14ac:dyDescent="0.2">
      <c r="A18" t="str" cm="1">
        <f t="array" ref="A18">Статьи!A16</f>
        <v>Аренда 2</v>
      </c>
      <c r="B18" cm="1">
        <f t="array" ref="B18">SUMIFS(data_amt,data_item,$A18,data_cat,B$1,data_dir,Параметры!$B$3)</f>
        <v>0</v>
      </c>
      <c r="C18" cm="1">
        <f t="array" ref="C18">SUMIFS(data_amt,data_item,$A18,data_cat,C$1,data_dir,Параметры!$B$3)</f>
        <v>0</v>
      </c>
      <c r="D18" cm="1">
        <f t="array" ref="D18">SUMIFS(data_amt,data_item,$A18,data_cat,D$1,data_dir,Параметры!$B$3)</f>
        <v>318497.36</v>
      </c>
      <c r="E18" cm="1">
        <f t="array" ref="E18">SUMIFS(data_amt,data_item,$A18,data_cat,E$1,data_dir,Параметры!$B$3)</f>
        <v>0</v>
      </c>
      <c r="F18" cm="1">
        <f t="array" ref="F18">SUMIFS(data_amt,data_item,$A18,data_cat,F$1,data_dir,Параметры!$B$3)</f>
        <v>148233.03</v>
      </c>
      <c r="G18" cm="1">
        <f t="array" ref="G18">SUMIFS(data_amt,data_item,$A18,data_cat,G$1,data_dir,Параметры!$B$3)</f>
        <v>0</v>
      </c>
      <c r="H18" cm="1">
        <f t="array" ref="H18">SUMIFS(data_amt,data_item,$A18,data_cat,H$1,data_dir,Параметры!$B$3)</f>
        <v>0</v>
      </c>
      <c r="I18" cm="1">
        <f t="array" ref="I18">SUMIFS(data_amt,data_item,$A18,data_cat,I$1,data_dir,Параметры!$B$3)</f>
        <v>0</v>
      </c>
      <c r="J18" cm="1">
        <f t="array" ref="J18">SUMIFS(data_amt,data_item,$A18,data_cat,J$1,data_dir,Параметры!$B$3)</f>
        <v>0</v>
      </c>
      <c r="K18" cm="1">
        <f t="array" ref="K18">SUMIFS(data_amt,data_item,$A18,data_cat,K$1,data_dir,Параметры!$B$3)</f>
        <v>0</v>
      </c>
      <c r="L18" cm="1">
        <f t="array" ref="L18">SUMIFS(data_amt,data_item,$A18,data_cat,L$1,data_dir,Параметры!$B$3)</f>
        <v>0</v>
      </c>
      <c r="M18" cm="1">
        <f t="array" ref="M18">SUMIFS(data_amt,data_item,$A18,data_cat,M$1,data_dir,Параметры!$B$3)</f>
        <v>0</v>
      </c>
      <c r="N18" cm="1">
        <f t="array" ref="N18">SUMIFS(data_amt,data_item,$A18,data_cat,N$1,data_dir,Параметры!$B$3)</f>
        <v>0</v>
      </c>
      <c r="O18" cm="1">
        <f t="array" ref="O18">SUMIFS(data_amt,data_item,$A18,data_cat,O$1,data_dir,Параметры!$B$3)</f>
        <v>0</v>
      </c>
      <c r="P18" cm="1">
        <f t="array" ref="P18">SUMIFS(data_amt,data_item,$A18,data_cat,P$1,data_dir,Параметры!$B$3)</f>
        <v>0</v>
      </c>
      <c r="Q18" cm="1">
        <f t="array" ref="Q18">SUMIFS(data_amt,data_item,$A18,data_cat,Q$1,data_dir,Параметры!$B$3)</f>
        <v>0</v>
      </c>
      <c r="R18" cm="1">
        <f t="array" ref="R18">SUMIFS(data_amt,data_item,$A18,data_cat,R$1,data_dir,Параметры!$B$3)</f>
        <v>0</v>
      </c>
      <c r="S18" cm="1">
        <f t="array" ref="S18">SUMIFS(data_amt,data_item,$A18,data_cat,S$1,data_dir,Параметры!$B$3)</f>
        <v>0</v>
      </c>
      <c r="T18" cm="1">
        <f t="array" ref="T18">SUMIFS(data_amt,data_item,$A18,data_cat,T$1,data_dir,Параметры!$B$3)</f>
        <v>353981.07</v>
      </c>
      <c r="U18" cm="1">
        <f t="array" ref="U18">SUMIFS(data_amt,data_item,$A18,data_cat,U$1,data_dir,Параметры!$B$3)</f>
        <v>0</v>
      </c>
      <c r="V18" cm="1">
        <f t="array" ref="V18">SUM(B18:U18)</f>
        <v>820711.46</v>
      </c>
    </row>
    <row r="19" spans="1:22" x14ac:dyDescent="0.2">
      <c r="A19" t="s">
        <v>461</v>
      </c>
      <c r="B19" cm="1">
        <f t="array" ref="B19">SUM(B14:B18)</f>
        <v>0</v>
      </c>
      <c r="C19" cm="1">
        <f t="array" ref="C19">SUM(C14:C18)</f>
        <v>0</v>
      </c>
      <c r="D19" cm="1">
        <f t="array" ref="D19">SUM(D14:D18)</f>
        <v>318497.36</v>
      </c>
      <c r="E19" cm="1">
        <f t="array" ref="E19">SUM(E14:E18)</f>
        <v>0</v>
      </c>
      <c r="F19" cm="1">
        <f t="array" ref="F19">SUM(F14:F18)</f>
        <v>352407.30000000005</v>
      </c>
      <c r="G19" cm="1">
        <f t="array" ref="G19">SUM(G14:G18)</f>
        <v>0</v>
      </c>
      <c r="H19" cm="1">
        <f t="array" ref="H19">SUM(H14:H18)</f>
        <v>267894.61</v>
      </c>
      <c r="I19" cm="1">
        <f t="array" ref="I19">SUM(I14:I18)</f>
        <v>0</v>
      </c>
      <c r="J19" cm="1">
        <f t="array" ref="J19">SUM(J14:J18)</f>
        <v>-63824.160000000003</v>
      </c>
      <c r="K19" cm="1">
        <f t="array" ref="K19">SUM(K14:K18)</f>
        <v>-44576.36</v>
      </c>
      <c r="L19" cm="1">
        <f t="array" ref="L19">SUM(L14:L18)</f>
        <v>0</v>
      </c>
      <c r="M19" cm="1">
        <f t="array" ref="M19">SUM(M14:M18)</f>
        <v>0</v>
      </c>
      <c r="N19" cm="1">
        <f t="array" ref="N19">SUM(N14:N18)</f>
        <v>0</v>
      </c>
      <c r="O19" cm="1">
        <f t="array" ref="O19">SUM(O14:O18)</f>
        <v>66279.710000000006</v>
      </c>
      <c r="P19" cm="1">
        <f t="array" ref="P19">SUM(P14:P18)</f>
        <v>0</v>
      </c>
      <c r="Q19" cm="1">
        <f t="array" ref="Q19">SUM(Q14:Q18)</f>
        <v>273906.27</v>
      </c>
      <c r="R19" cm="1">
        <f t="array" ref="R19">SUM(R14:R18)</f>
        <v>483367.65</v>
      </c>
      <c r="S19" cm="1">
        <f t="array" ref="S19">SUM(S14:S18)</f>
        <v>222008.01</v>
      </c>
      <c r="T19" cm="1">
        <f t="array" ref="T19">SUM(T14:T18)</f>
        <v>353981.07</v>
      </c>
      <c r="U19" cm="1">
        <f t="array" ref="U19">SUM(U14:U18)</f>
        <v>0</v>
      </c>
      <c r="V19" cm="1">
        <f t="array" ref="V19">SUM(V14:V18)</f>
        <v>2229941.46</v>
      </c>
    </row>
    <row r="20" spans="1:22" x14ac:dyDescent="0.2">
      <c r="A20" t="str" cm="1">
        <f t="array" ref="A20">Статьи!A17</f>
        <v>Связь 2</v>
      </c>
      <c r="B20" cm="1">
        <f t="array" ref="B20">SUMIFS(data_amt,data_item,$A20,data_cat,B$1,data_dir,Параметры!$B$3)</f>
        <v>0</v>
      </c>
      <c r="C20" cm="1">
        <f t="array" ref="C20">SUMIFS(data_amt,data_item,$A20,data_cat,C$1,data_dir,Параметры!$B$3)</f>
        <v>-50072.52</v>
      </c>
      <c r="D20" cm="1">
        <f t="array" ref="D20">SUMIFS(data_amt,data_item,$A20,data_cat,D$1,data_dir,Параметры!$B$3)</f>
        <v>0</v>
      </c>
      <c r="E20" cm="1">
        <f t="array" ref="E20">SUMIFS(data_amt,data_item,$A20,data_cat,E$1,data_dir,Параметры!$B$3)</f>
        <v>0</v>
      </c>
      <c r="F20" cm="1">
        <f t="array" ref="F20">SUMIFS(data_amt,data_item,$A20,data_cat,F$1,data_dir,Параметры!$B$3)</f>
        <v>0</v>
      </c>
      <c r="G20" cm="1">
        <f t="array" ref="G20">SUMIFS(data_amt,data_item,$A20,data_cat,G$1,data_dir,Параметры!$B$3)</f>
        <v>0</v>
      </c>
      <c r="H20" cm="1">
        <f t="array" ref="H20">SUMIFS(data_amt,data_item,$A20,data_cat,H$1,data_dir,Параметры!$B$3)</f>
        <v>0</v>
      </c>
      <c r="I20" cm="1">
        <f t="array" ref="I20">SUMIFS(data_amt,data_item,$A20,data_cat,I$1,data_dir,Параметры!$B$3)</f>
        <v>0</v>
      </c>
      <c r="J20" cm="1">
        <f t="array" ref="J20">SUMIFS(data_amt,data_item,$A20,data_cat,J$1,data_dir,Параметры!$B$3)</f>
        <v>0</v>
      </c>
      <c r="K20" cm="1">
        <f t="array" ref="K20">SUMIFS(data_amt,data_item,$A20,data_cat,K$1,data_dir,Параметры!$B$3)</f>
        <v>0</v>
      </c>
      <c r="L20" cm="1">
        <f t="array" ref="L20">SUMIFS(data_amt,data_item,$A20,data_cat,L$1,data_dir,Параметры!$B$3)</f>
        <v>0</v>
      </c>
      <c r="M20" cm="1">
        <f t="array" ref="M20">SUMIFS(data_amt,data_item,$A20,data_cat,M$1,data_dir,Параметры!$B$3)</f>
        <v>0</v>
      </c>
      <c r="N20" cm="1">
        <f t="array" ref="N20">SUMIFS(data_amt,data_item,$A20,data_cat,N$1,data_dir,Параметры!$B$3)</f>
        <v>0</v>
      </c>
      <c r="O20" cm="1">
        <f t="array" ref="O20">SUMIFS(data_amt,data_item,$A20,data_cat,O$1,data_dir,Параметры!$B$3)</f>
        <v>0</v>
      </c>
      <c r="P20" cm="1">
        <f t="array" ref="P20">SUMIFS(data_amt,data_item,$A20,data_cat,P$1,data_dir,Параметры!$B$3)</f>
        <v>0</v>
      </c>
      <c r="Q20" cm="1">
        <f t="array" ref="Q20">SUMIFS(data_amt,data_item,$A20,data_cat,Q$1,data_dir,Параметры!$B$3)</f>
        <v>0</v>
      </c>
      <c r="R20" cm="1">
        <f t="array" ref="R20">SUMIFS(data_amt,data_item,$A20,data_cat,R$1,data_dir,Параметры!$B$3)</f>
        <v>0</v>
      </c>
      <c r="S20" cm="1">
        <f t="array" ref="S20">SUMIFS(data_amt,data_item,$A20,data_cat,S$1,data_dir,Параметры!$B$3)</f>
        <v>671608.24</v>
      </c>
      <c r="T20" cm="1">
        <f t="array" ref="T20">SUMIFS(data_amt,data_item,$A20,data_cat,T$1,data_dir,Параметры!$B$3)</f>
        <v>0</v>
      </c>
      <c r="U20" cm="1">
        <f t="array" ref="U20">SUMIFS(data_amt,data_item,$A20,data_cat,U$1,data_dir,Параметры!$B$3)</f>
        <v>0</v>
      </c>
      <c r="V20" cm="1">
        <f t="array" ref="V20">SUM(B20:U20)</f>
        <v>621535.72</v>
      </c>
    </row>
    <row r="21" spans="1:22" x14ac:dyDescent="0.2">
      <c r="A21" t="str" cm="1">
        <f t="array" ref="A21">Статьи!A18</f>
        <v>Налог 2</v>
      </c>
      <c r="B21" cm="1">
        <f t="array" ref="B21">SUMIFS(data_amt,data_item,$A21,data_cat,B$1,data_dir,Параметры!$B$3)</f>
        <v>0</v>
      </c>
      <c r="C21" cm="1">
        <f t="array" ref="C21">SUMIFS(data_amt,data_item,$A21,data_cat,C$1,data_dir,Параметры!$B$3)</f>
        <v>0</v>
      </c>
      <c r="D21" cm="1">
        <f t="array" ref="D21">SUMIFS(data_amt,data_item,$A21,data_cat,D$1,data_dir,Параметры!$B$3)</f>
        <v>0</v>
      </c>
      <c r="E21" cm="1">
        <f t="array" ref="E21">SUMIFS(data_amt,data_item,$A21,data_cat,E$1,data_dir,Параметры!$B$3)</f>
        <v>0</v>
      </c>
      <c r="F21" cm="1">
        <f t="array" ref="F21">SUMIFS(data_amt,data_item,$A21,data_cat,F$1,data_dir,Параметры!$B$3)</f>
        <v>0</v>
      </c>
      <c r="G21" cm="1">
        <f t="array" ref="G21">SUMIFS(data_amt,data_item,$A21,data_cat,G$1,data_dir,Параметры!$B$3)</f>
        <v>67383.539999999994</v>
      </c>
      <c r="H21" cm="1">
        <f t="array" ref="H21">SUMIFS(data_amt,data_item,$A21,data_cat,H$1,data_dir,Параметры!$B$3)</f>
        <v>0</v>
      </c>
      <c r="I21" cm="1">
        <f t="array" ref="I21">SUMIFS(data_amt,data_item,$A21,data_cat,I$1,data_dir,Параметры!$B$3)</f>
        <v>0</v>
      </c>
      <c r="J21" cm="1">
        <f t="array" ref="J21">SUMIFS(data_amt,data_item,$A21,data_cat,J$1,data_dir,Параметры!$B$3)</f>
        <v>0</v>
      </c>
      <c r="K21" cm="1">
        <f t="array" ref="K21">SUMIFS(data_amt,data_item,$A21,data_cat,K$1,data_dir,Параметры!$B$3)</f>
        <v>0</v>
      </c>
      <c r="L21" cm="1">
        <f t="array" ref="L21">SUMIFS(data_amt,data_item,$A21,data_cat,L$1,data_dir,Параметры!$B$3)</f>
        <v>0</v>
      </c>
      <c r="M21" cm="1">
        <f t="array" ref="M21">SUMIFS(data_amt,data_item,$A21,data_cat,M$1,data_dir,Параметры!$B$3)</f>
        <v>0</v>
      </c>
      <c r="N21" cm="1">
        <f t="array" ref="N21">SUMIFS(data_amt,data_item,$A21,data_cat,N$1,data_dir,Параметры!$B$3)</f>
        <v>0</v>
      </c>
      <c r="O21" cm="1">
        <f t="array" ref="O21">SUMIFS(data_amt,data_item,$A21,data_cat,O$1,data_dir,Параметры!$B$3)</f>
        <v>58052.639999999999</v>
      </c>
      <c r="P21" cm="1">
        <f t="array" ref="P21">SUMIFS(data_amt,data_item,$A21,data_cat,P$1,data_dir,Параметры!$B$3)</f>
        <v>0</v>
      </c>
      <c r="Q21" cm="1">
        <f t="array" ref="Q21">SUMIFS(data_amt,data_item,$A21,data_cat,Q$1,data_dir,Параметры!$B$3)</f>
        <v>0</v>
      </c>
      <c r="R21" cm="1">
        <f t="array" ref="R21">SUMIFS(data_amt,data_item,$A21,data_cat,R$1,data_dir,Параметры!$B$3)</f>
        <v>-13469.76</v>
      </c>
      <c r="S21" cm="1">
        <f t="array" ref="S21">SUMIFS(data_amt,data_item,$A21,data_cat,S$1,data_dir,Параметры!$B$3)</f>
        <v>0</v>
      </c>
      <c r="T21" cm="1">
        <f t="array" ref="T21">SUMIFS(data_amt,data_item,$A21,data_cat,T$1,data_dir,Параметры!$B$3)</f>
        <v>0</v>
      </c>
      <c r="U21" cm="1">
        <f t="array" ref="U21">SUMIFS(data_amt,data_item,$A21,data_cat,U$1,data_dir,Параметры!$B$3)</f>
        <v>0</v>
      </c>
      <c r="V21" cm="1">
        <f t="array" ref="V21">SUM(B21:U21)</f>
        <v>111966.42</v>
      </c>
    </row>
    <row r="22" spans="1:22" x14ac:dyDescent="0.2">
      <c r="A22" t="str" cm="1">
        <f t="array" ref="A22">Статьи!A19</f>
        <v>Доход 2</v>
      </c>
      <c r="B22" cm="1">
        <f t="array" ref="B22">SUMIFS(data_amt,data_item,$A22,data_cat,B$1,data_dir,Параметры!$B$3)</f>
        <v>0</v>
      </c>
      <c r="C22" cm="1">
        <f t="array" ref="C22">SUMIFS(data_amt,data_item,$A22,data_cat,C$1,data_dir,Параметры!$B$3)</f>
        <v>0</v>
      </c>
      <c r="D22" cm="1">
        <f t="array" ref="D22">SUMIFS(data_amt,data_item,$A22,data_cat,D$1,data_dir,Параметры!$B$3)</f>
        <v>0</v>
      </c>
      <c r="E22" cm="1">
        <f t="array" ref="E22">SUMIFS(data_amt,data_item,$A22,data_cat,E$1,data_dir,Параметры!$B$3)</f>
        <v>0</v>
      </c>
      <c r="F22" cm="1">
        <f t="array" ref="F22">SUMIFS(data_amt,data_item,$A22,data_cat,F$1,data_dir,Параметры!$B$3)</f>
        <v>236132.35</v>
      </c>
      <c r="G22" cm="1">
        <f t="array" ref="G22">SUMIFS(data_amt,data_item,$A22,data_cat,G$1,data_dir,Параметры!$B$3)</f>
        <v>0</v>
      </c>
      <c r="H22" cm="1">
        <f t="array" ref="H22">SUMIFS(data_amt,data_item,$A22,data_cat,H$1,data_dir,Параметры!$B$3)</f>
        <v>0</v>
      </c>
      <c r="I22" cm="1">
        <f t="array" ref="I22">SUMIFS(data_amt,data_item,$A22,data_cat,I$1,data_dir,Параметры!$B$3)</f>
        <v>0</v>
      </c>
      <c r="J22" cm="1">
        <f t="array" ref="J22">SUMIFS(data_amt,data_item,$A22,data_cat,J$1,data_dir,Параметры!$B$3)</f>
        <v>0</v>
      </c>
      <c r="K22" cm="1">
        <f t="array" ref="K22">SUMIFS(data_amt,data_item,$A22,data_cat,K$1,data_dir,Параметры!$B$3)</f>
        <v>0</v>
      </c>
      <c r="L22" cm="1">
        <f t="array" ref="L22">SUMIFS(data_amt,data_item,$A22,data_cat,L$1,data_dir,Параметры!$B$3)</f>
        <v>0</v>
      </c>
      <c r="M22" cm="1">
        <f t="array" ref="M22">SUMIFS(data_amt,data_item,$A22,data_cat,M$1,data_dir,Параметры!$B$3)</f>
        <v>0</v>
      </c>
      <c r="N22" cm="1">
        <f t="array" ref="N22">SUMIFS(data_amt,data_item,$A22,data_cat,N$1,data_dir,Параметры!$B$3)</f>
        <v>0</v>
      </c>
      <c r="O22" cm="1">
        <f t="array" ref="O22">SUMIFS(data_amt,data_item,$A22,data_cat,O$1,data_dir,Параметры!$B$3)</f>
        <v>0</v>
      </c>
      <c r="P22" cm="1">
        <f t="array" ref="P22">SUMIFS(data_amt,data_item,$A22,data_cat,P$1,data_dir,Параметры!$B$3)</f>
        <v>-59420.61</v>
      </c>
      <c r="Q22" cm="1">
        <f t="array" ref="Q22">SUMIFS(data_amt,data_item,$A22,data_cat,Q$1,data_dir,Параметры!$B$3)</f>
        <v>0</v>
      </c>
      <c r="R22" cm="1">
        <f t="array" ref="R22">SUMIFS(data_amt,data_item,$A22,data_cat,R$1,data_dir,Параметры!$B$3)</f>
        <v>0</v>
      </c>
      <c r="S22" cm="1">
        <f t="array" ref="S22">SUMIFS(data_amt,data_item,$A22,data_cat,S$1,data_dir,Параметры!$B$3)</f>
        <v>0</v>
      </c>
      <c r="T22" cm="1">
        <f t="array" ref="T22">SUMIFS(data_amt,data_item,$A22,data_cat,T$1,data_dir,Параметры!$B$3)</f>
        <v>0</v>
      </c>
      <c r="U22" cm="1">
        <f t="array" ref="U22">SUMIFS(data_amt,data_item,$A22,data_cat,U$1,data_dir,Параметры!$B$3)</f>
        <v>0</v>
      </c>
      <c r="V22" cm="1">
        <f t="array" ref="V22">SUM(B22:U22)</f>
        <v>176711.74</v>
      </c>
    </row>
    <row r="23" spans="1:22" x14ac:dyDescent="0.2">
      <c r="A23" t="str" cm="1">
        <f t="array" ref="A23">Статьи!A20</f>
        <v>Сырьё 2</v>
      </c>
      <c r="B23" cm="1">
        <f t="array" ref="B23">SUMIFS(data_amt,data_item,$A23,data_cat,B$1,data_dir,Параметры!$B$3)</f>
        <v>0</v>
      </c>
      <c r="C23" cm="1">
        <f t="array" ref="C23">SUMIFS(data_amt,data_item,$A23,data_cat,C$1,data_dir,Параметры!$B$3)</f>
        <v>0</v>
      </c>
      <c r="D23" cm="1">
        <f t="array" ref="D23">SUMIFS(data_amt,data_item,$A23,data_cat,D$1,data_dir,Параметры!$B$3)</f>
        <v>0</v>
      </c>
      <c r="E23" cm="1">
        <f t="array" ref="E23">SUMIFS(data_amt,data_item,$A23,data_cat,E$1,data_dir,Параметры!$B$3)</f>
        <v>0</v>
      </c>
      <c r="F23" cm="1">
        <f t="array" ref="F23">SUMIFS(data_amt,data_item,$A23,data_cat,F$1,data_dir,Параметры!$B$3)</f>
        <v>0</v>
      </c>
      <c r="G23" cm="1">
        <f t="array" ref="G23">SUMIFS(data_amt,data_item,$A23,data_cat,G$1,data_dir,Параметры!$B$3)</f>
        <v>0</v>
      </c>
      <c r="H23" cm="1">
        <f t="array" ref="H23">SUMIFS(data_amt,data_item,$A23,data_cat,H$1,data_dir,Параметры!$B$3)</f>
        <v>0</v>
      </c>
      <c r="I23" cm="1">
        <f t="array" ref="I23">SUMIFS(data_amt,data_item,$A23,data_cat,I$1,data_dir,Параметры!$B$3)</f>
        <v>332928.46999999997</v>
      </c>
      <c r="J23" cm="1">
        <f t="array" ref="J23">SUMIFS(data_amt,data_item,$A23,data_cat,J$1,data_dir,Параметры!$B$3)</f>
        <v>0</v>
      </c>
      <c r="K23" cm="1">
        <f t="array" ref="K23">SUMIFS(data_amt,data_item,$A23,data_cat,K$1,data_dir,Параметры!$B$3)</f>
        <v>0</v>
      </c>
      <c r="L23" cm="1">
        <f t="array" ref="L23">SUMIFS(data_amt,data_item,$A23,data_cat,L$1,data_dir,Параметры!$B$3)</f>
        <v>0</v>
      </c>
      <c r="M23" cm="1">
        <f t="array" ref="M23">SUMIFS(data_amt,data_item,$A23,data_cat,M$1,data_dir,Параметры!$B$3)</f>
        <v>152209.67000000001</v>
      </c>
      <c r="N23" cm="1">
        <f t="array" ref="N23">SUMIFS(data_amt,data_item,$A23,data_cat,N$1,data_dir,Параметры!$B$3)</f>
        <v>0</v>
      </c>
      <c r="O23" cm="1">
        <f t="array" ref="O23">SUMIFS(data_amt,data_item,$A23,data_cat,O$1,data_dir,Параметры!$B$3)</f>
        <v>0</v>
      </c>
      <c r="P23" cm="1">
        <f t="array" ref="P23">SUMIFS(data_amt,data_item,$A23,data_cat,P$1,data_dir,Параметры!$B$3)</f>
        <v>0</v>
      </c>
      <c r="Q23" cm="1">
        <f t="array" ref="Q23">SUMIFS(data_amt,data_item,$A23,data_cat,Q$1,data_dir,Параметры!$B$3)</f>
        <v>380500718.94999999</v>
      </c>
      <c r="R23" cm="1">
        <f t="array" ref="R23">SUMIFS(data_amt,data_item,$A23,data_cat,R$1,data_dir,Параметры!$B$3)</f>
        <v>0</v>
      </c>
      <c r="S23" cm="1">
        <f t="array" ref="S23">SUMIFS(data_amt,data_item,$A23,data_cat,S$1,data_dir,Параметры!$B$3)</f>
        <v>0</v>
      </c>
      <c r="T23" cm="1">
        <f t="array" ref="T23">SUMIFS(data_amt,data_item,$A23,data_cat,T$1,data_dir,Параметры!$B$3)</f>
        <v>0</v>
      </c>
      <c r="U23" cm="1">
        <f t="array" ref="U23">SUMIFS(data_amt,data_item,$A23,data_cat,U$1,data_dir,Параметры!$B$3)</f>
        <v>29317.87</v>
      </c>
      <c r="V23" cm="1">
        <f t="array" ref="V23">SUM(B23:U23)</f>
        <v>381015174.95999998</v>
      </c>
    </row>
    <row r="24" spans="1:22" x14ac:dyDescent="0.2">
      <c r="A24" t="str" cm="1">
        <f t="array" ref="A24">Статьи!A21</f>
        <v>Сырье 2</v>
      </c>
      <c r="B24" cm="1">
        <f t="array" ref="B24">SUMIFS(data_amt,data_item,$A24,data_cat,B$1,data_dir,Параметры!$B$3)</f>
        <v>0</v>
      </c>
      <c r="C24" cm="1">
        <f t="array" ref="C24">SUMIFS(data_amt,data_item,$A24,data_cat,C$1,data_dir,Параметры!$B$3)</f>
        <v>0</v>
      </c>
      <c r="D24" cm="1">
        <f t="array" ref="D24">SUMIFS(data_amt,data_item,$A24,data_cat,D$1,data_dir,Параметры!$B$3)</f>
        <v>-42207.32</v>
      </c>
      <c r="E24" cm="1">
        <f t="array" ref="E24">SUMIFS(data_amt,data_item,$A24,data_cat,E$1,data_dir,Параметры!$B$3)</f>
        <v>0</v>
      </c>
      <c r="F24" cm="1">
        <f t="array" ref="F24">SUMIFS(data_amt,data_item,$A24,data_cat,F$1,data_dir,Параметры!$B$3)</f>
        <v>0</v>
      </c>
      <c r="G24" cm="1">
        <f t="array" ref="G24">SUMIFS(data_amt,data_item,$A24,data_cat,G$1,data_dir,Параметры!$B$3)</f>
        <v>0</v>
      </c>
      <c r="H24" cm="1">
        <f t="array" ref="H24">SUMIFS(data_amt,data_item,$A24,data_cat,H$1,data_dir,Параметры!$B$3)</f>
        <v>-57859.49</v>
      </c>
      <c r="I24" cm="1">
        <f t="array" ref="I24">SUMIFS(data_amt,data_item,$A24,data_cat,I$1,data_dir,Параметры!$B$3)</f>
        <v>0</v>
      </c>
      <c r="J24" cm="1">
        <f t="array" ref="J24">SUMIFS(data_amt,data_item,$A24,data_cat,J$1,data_dir,Параметры!$B$3)</f>
        <v>0</v>
      </c>
      <c r="K24" cm="1">
        <f t="array" ref="K24">SUMIFS(data_amt,data_item,$A24,data_cat,K$1,data_dir,Параметры!$B$3)</f>
        <v>0</v>
      </c>
      <c r="L24" cm="1">
        <f t="array" ref="L24">SUMIFS(data_amt,data_item,$A24,data_cat,L$1,data_dir,Параметры!$B$3)</f>
        <v>0</v>
      </c>
      <c r="M24" cm="1">
        <f t="array" ref="M24">SUMIFS(data_amt,data_item,$A24,data_cat,M$1,data_dir,Параметры!$B$3)</f>
        <v>0</v>
      </c>
      <c r="N24" cm="1">
        <f t="array" ref="N24">SUMIFS(data_amt,data_item,$A24,data_cat,N$1,data_dir,Параметры!$B$3)</f>
        <v>0</v>
      </c>
      <c r="O24" cm="1">
        <f t="array" ref="O24">SUMIFS(data_amt,data_item,$A24,data_cat,O$1,data_dir,Параметры!$B$3)</f>
        <v>0</v>
      </c>
      <c r="P24" cm="1">
        <f t="array" ref="P24">SUMIFS(data_amt,data_item,$A24,data_cat,P$1,data_dir,Параметры!$B$3)</f>
        <v>0</v>
      </c>
      <c r="Q24" cm="1">
        <f t="array" ref="Q24">SUMIFS(data_amt,data_item,$A24,data_cat,Q$1,data_dir,Параметры!$B$3)</f>
        <v>0</v>
      </c>
      <c r="R24" cm="1">
        <f t="array" ref="R24">SUMIFS(data_amt,data_item,$A24,data_cat,R$1,data_dir,Параметры!$B$3)</f>
        <v>0</v>
      </c>
      <c r="S24" cm="1">
        <f t="array" ref="S24">SUMIFS(data_amt,data_item,$A24,data_cat,S$1,data_dir,Параметры!$B$3)</f>
        <v>-129510.63</v>
      </c>
      <c r="T24" cm="1">
        <f t="array" ref="T24">SUMIFS(data_amt,data_item,$A24,data_cat,T$1,data_dir,Параметры!$B$3)</f>
        <v>221595.45</v>
      </c>
      <c r="U24" cm="1">
        <f t="array" ref="U24">SUMIFS(data_amt,data_item,$A24,data_cat,U$1,data_dir,Параметры!$B$3)</f>
        <v>150781.73000000001</v>
      </c>
      <c r="V24" cm="1">
        <f t="array" ref="V24">SUM(B24:U24)</f>
        <v>142799.74000000002</v>
      </c>
    </row>
    <row r="25" spans="1:22" x14ac:dyDescent="0.2">
      <c r="A25" t="s">
        <v>462</v>
      </c>
      <c r="B25" cm="1">
        <f t="array" ref="B25">SUM(B20:B24)</f>
        <v>0</v>
      </c>
      <c r="C25" cm="1">
        <f t="array" ref="C25">SUM(C20:C24)</f>
        <v>-50072.52</v>
      </c>
      <c r="D25" cm="1">
        <f t="array" ref="D25">SUM(D20:D24)</f>
        <v>-42207.32</v>
      </c>
      <c r="E25" cm="1">
        <f t="array" ref="E25">SUM(E20:E24)</f>
        <v>0</v>
      </c>
      <c r="F25" cm="1">
        <f t="array" ref="F25">SUM(F20:F24)</f>
        <v>236132.35</v>
      </c>
      <c r="G25" cm="1">
        <f t="array" ref="G25">SUM(G20:G24)</f>
        <v>67383.539999999994</v>
      </c>
      <c r="H25" cm="1">
        <f t="array" ref="H25">SUM(H20:H24)</f>
        <v>-57859.49</v>
      </c>
      <c r="I25" cm="1">
        <f t="array" ref="I25">SUM(I20:I24)</f>
        <v>332928.46999999997</v>
      </c>
      <c r="J25" cm="1">
        <f t="array" ref="J25">SUM(J20:J24)</f>
        <v>0</v>
      </c>
      <c r="K25" cm="1">
        <f t="array" ref="K25">SUM(K20:K24)</f>
        <v>0</v>
      </c>
      <c r="L25" cm="1">
        <f t="array" ref="L25">SUM(L20:L24)</f>
        <v>0</v>
      </c>
      <c r="M25" cm="1">
        <f t="array" ref="M25">SUM(M20:M24)</f>
        <v>152209.67000000001</v>
      </c>
      <c r="N25" cm="1">
        <f t="array" ref="N25">SUM(N20:N24)</f>
        <v>0</v>
      </c>
      <c r="O25" cm="1">
        <f t="array" ref="O25">SUM(O20:O24)</f>
        <v>58052.639999999999</v>
      </c>
      <c r="P25" cm="1">
        <f t="array" ref="P25">SUM(P20:P24)</f>
        <v>-59420.61</v>
      </c>
      <c r="Q25" cm="1">
        <f t="array" ref="Q25">SUM(Q20:Q24)</f>
        <v>380500718.94999999</v>
      </c>
      <c r="R25" cm="1">
        <f t="array" ref="R25">SUM(R20:R24)</f>
        <v>-13469.76</v>
      </c>
      <c r="S25" cm="1">
        <f t="array" ref="S25">SUM(S20:S24)</f>
        <v>542097.61</v>
      </c>
      <c r="T25" cm="1">
        <f t="array" ref="T25">SUM(T20:T24)</f>
        <v>221595.45</v>
      </c>
      <c r="U25" cm="1">
        <f t="array" ref="U25">SUM(U20:U24)</f>
        <v>180099.6</v>
      </c>
      <c r="V25" cm="1">
        <f t="array" ref="V25">SUM(V20:V24)</f>
        <v>382068188.57999998</v>
      </c>
    </row>
    <row r="26" spans="1:22" x14ac:dyDescent="0.2">
      <c r="A26" t="str" cm="1">
        <f t="array" ref="A26">Статьи!A22</f>
        <v>Чай 3</v>
      </c>
      <c r="B26" cm="1">
        <f t="array" ref="B26">SUMIFS(data_amt,data_item,$A26,data_cat,B$1,data_dir,Параметры!$B$3)</f>
        <v>-39388.800000000003</v>
      </c>
      <c r="C26" cm="1">
        <f t="array" ref="C26">SUMIFS(data_amt,data_item,$A26,data_cat,C$1,data_dir,Параметры!$B$3)</f>
        <v>0</v>
      </c>
      <c r="D26" cm="1">
        <f t="array" ref="D26">SUMIFS(data_amt,data_item,$A26,data_cat,D$1,data_dir,Параметры!$B$3)</f>
        <v>0</v>
      </c>
      <c r="E26" cm="1">
        <f t="array" ref="E26">SUMIFS(data_amt,data_item,$A26,data_cat,E$1,data_dir,Параметры!$B$3)</f>
        <v>-5034.2299999999996</v>
      </c>
      <c r="F26" cm="1">
        <f t="array" ref="F26">SUMIFS(data_amt,data_item,$A26,data_cat,F$1,data_dir,Параметры!$B$3)</f>
        <v>0</v>
      </c>
      <c r="G26" cm="1">
        <f t="array" ref="G26">SUMIFS(data_amt,data_item,$A26,data_cat,G$1,data_dir,Параметры!$B$3)</f>
        <v>0</v>
      </c>
      <c r="H26" cm="1">
        <f t="array" ref="H26">SUMIFS(data_amt,data_item,$A26,data_cat,H$1,data_dir,Параметры!$B$3)</f>
        <v>0</v>
      </c>
      <c r="I26" cm="1">
        <f t="array" ref="I26">SUMIFS(data_amt,data_item,$A26,data_cat,I$1,data_dir,Параметры!$B$3)</f>
        <v>0</v>
      </c>
      <c r="J26" cm="1">
        <f t="array" ref="J26">SUMIFS(data_amt,data_item,$A26,data_cat,J$1,data_dir,Параметры!$B$3)</f>
        <v>0</v>
      </c>
      <c r="K26" cm="1">
        <f t="array" ref="K26">SUMIFS(data_amt,data_item,$A26,data_cat,K$1,data_dir,Параметры!$B$3)</f>
        <v>225608.62</v>
      </c>
      <c r="L26" cm="1">
        <f t="array" ref="L26">SUMIFS(data_amt,data_item,$A26,data_cat,L$1,data_dir,Параметры!$B$3)</f>
        <v>0</v>
      </c>
      <c r="M26" cm="1">
        <f t="array" ref="M26">SUMIFS(data_amt,data_item,$A26,data_cat,M$1,data_dir,Параметры!$B$3)</f>
        <v>0</v>
      </c>
      <c r="N26" cm="1">
        <f t="array" ref="N26">SUMIFS(data_amt,data_item,$A26,data_cat,N$1,data_dir,Параметры!$B$3)</f>
        <v>0</v>
      </c>
      <c r="O26" cm="1">
        <f t="array" ref="O26">SUMIFS(data_amt,data_item,$A26,data_cat,O$1,data_dir,Параметры!$B$3)</f>
        <v>0</v>
      </c>
      <c r="P26" cm="1">
        <f t="array" ref="P26">SUMIFS(data_amt,data_item,$A26,data_cat,P$1,data_dir,Параметры!$B$3)</f>
        <v>0</v>
      </c>
      <c r="Q26" cm="1">
        <f t="array" ref="Q26">SUMIFS(data_amt,data_item,$A26,data_cat,Q$1,data_dir,Параметры!$B$3)</f>
        <v>0</v>
      </c>
      <c r="R26" cm="1">
        <f t="array" ref="R26">SUMIFS(data_amt,data_item,$A26,data_cat,R$1,data_dir,Параметры!$B$3)</f>
        <v>326199.48</v>
      </c>
      <c r="S26" cm="1">
        <f t="array" ref="S26">SUMIFS(data_amt,data_item,$A26,data_cat,S$1,data_dir,Параметры!$B$3)</f>
        <v>0</v>
      </c>
      <c r="T26" cm="1">
        <f t="array" ref="T26">SUMIFS(data_amt,data_item,$A26,data_cat,T$1,data_dir,Параметры!$B$3)</f>
        <v>-27939.41</v>
      </c>
      <c r="U26" cm="1">
        <f t="array" ref="U26">SUMIFS(data_amt,data_item,$A26,data_cat,U$1,data_dir,Параметры!$B$3)</f>
        <v>0</v>
      </c>
      <c r="V26" cm="1">
        <f t="array" ref="V26">SUM(B26:U26)</f>
        <v>479445.66</v>
      </c>
    </row>
    <row r="27" spans="1:22" x14ac:dyDescent="0.2">
      <c r="A27" t="str" cm="1">
        <f t="array" ref="A27">Статьи!A23</f>
        <v>Чаи 3</v>
      </c>
      <c r="B27" cm="1">
        <f t="array" ref="B27">SUMIFS(data_amt,data_item,$A27,data_cat,B$1,data_dir,Параметры!$B$3)</f>
        <v>0</v>
      </c>
      <c r="C27" cm="1">
        <f t="array" ref="C27">SUMIFS(data_amt,data_item,$A27,data_cat,C$1,data_dir,Параметры!$B$3)</f>
        <v>0</v>
      </c>
      <c r="D27" cm="1">
        <f t="array" ref="D27">SUMIFS(data_amt,data_item,$A27,data_cat,D$1,data_dir,Параметры!$B$3)</f>
        <v>255552.73</v>
      </c>
      <c r="E27" cm="1">
        <f t="array" ref="E27">SUMIFS(data_amt,data_item,$A27,data_cat,E$1,data_dir,Параметры!$B$3)</f>
        <v>0</v>
      </c>
      <c r="F27" cm="1">
        <f t="array" ref="F27">SUMIFS(data_amt,data_item,$A27,data_cat,F$1,data_dir,Параметры!$B$3)</f>
        <v>0</v>
      </c>
      <c r="G27" cm="1">
        <f t="array" ref="G27">SUMIFS(data_amt,data_item,$A27,data_cat,G$1,data_dir,Параметры!$B$3)</f>
        <v>0</v>
      </c>
      <c r="H27" cm="1">
        <f t="array" ref="H27">SUMIFS(data_amt,data_item,$A27,data_cat,H$1,data_dir,Параметры!$B$3)</f>
        <v>0</v>
      </c>
      <c r="I27" cm="1">
        <f t="array" ref="I27">SUMIFS(data_amt,data_item,$A27,data_cat,I$1,data_dir,Параметры!$B$3)</f>
        <v>0</v>
      </c>
      <c r="J27" cm="1">
        <f t="array" ref="J27">SUMIFS(data_amt,data_item,$A27,data_cat,J$1,data_dir,Параметры!$B$3)</f>
        <v>-67401.539999999994</v>
      </c>
      <c r="K27" cm="1">
        <f t="array" ref="K27">SUMIFS(data_amt,data_item,$A27,data_cat,K$1,data_dir,Параметры!$B$3)</f>
        <v>0</v>
      </c>
      <c r="L27" cm="1">
        <f t="array" ref="L27">SUMIFS(data_amt,data_item,$A27,data_cat,L$1,data_dir,Параметры!$B$3)</f>
        <v>283986.55</v>
      </c>
      <c r="M27" cm="1">
        <f t="array" ref="M27">SUMIFS(data_amt,data_item,$A27,data_cat,M$1,data_dir,Параметры!$B$3)</f>
        <v>0</v>
      </c>
      <c r="N27" cm="1">
        <f t="array" ref="N27">SUMIFS(data_amt,data_item,$A27,data_cat,N$1,data_dir,Параметры!$B$3)</f>
        <v>0</v>
      </c>
      <c r="O27" cm="1">
        <f t="array" ref="O27">SUMIFS(data_amt,data_item,$A27,data_cat,O$1,data_dir,Параметры!$B$3)</f>
        <v>0</v>
      </c>
      <c r="P27" cm="1">
        <f t="array" ref="P27">SUMIFS(data_amt,data_item,$A27,data_cat,P$1,data_dir,Параметры!$B$3)</f>
        <v>0</v>
      </c>
      <c r="Q27" cm="1">
        <f t="array" ref="Q27">SUMIFS(data_amt,data_item,$A27,data_cat,Q$1,data_dir,Параметры!$B$3)</f>
        <v>0</v>
      </c>
      <c r="R27" cm="1">
        <f t="array" ref="R27">SUMIFS(data_amt,data_item,$A27,data_cat,R$1,data_dir,Параметры!$B$3)</f>
        <v>0</v>
      </c>
      <c r="S27" cm="1">
        <f t="array" ref="S27">SUMIFS(data_amt,data_item,$A27,data_cat,S$1,data_dir,Параметры!$B$3)</f>
        <v>0</v>
      </c>
      <c r="T27" cm="1">
        <f t="array" ref="T27">SUMIFS(data_amt,data_item,$A27,data_cat,T$1,data_dir,Параметры!$B$3)</f>
        <v>0</v>
      </c>
      <c r="U27" cm="1">
        <f t="array" ref="U27">SUMIFS(data_amt,data_item,$A27,data_cat,U$1,data_dir,Параметры!$B$3)</f>
        <v>0</v>
      </c>
      <c r="V27" cm="1">
        <f t="array" ref="V27">SUM(B27:U27)</f>
        <v>472137.74</v>
      </c>
    </row>
    <row r="28" spans="1:22" x14ac:dyDescent="0.2">
      <c r="A28" t="str" cm="1">
        <f t="array" ref="A28">Статьи!A24</f>
        <v>Ёлка 3</v>
      </c>
      <c r="B28" cm="1">
        <f t="array" ref="B28">SUMIFS(data_amt,data_item,$A28,data_cat,B$1,data_dir,Параметры!$B$3)</f>
        <v>0</v>
      </c>
      <c r="C28" cm="1">
        <f t="array" ref="C28">SUMIFS(data_amt,data_item,$A28,data_cat,C$1,data_dir,Параметры!$B$3)</f>
        <v>0</v>
      </c>
      <c r="D28" cm="1">
        <f t="array" ref="D28">SUMIFS(data_amt,data_item,$A28,data_cat,D$1,data_dir,Параметры!$B$3)</f>
        <v>0</v>
      </c>
      <c r="E28" cm="1">
        <f t="array" ref="E28">SUMIFS(data_amt,data_item,$A28,data_cat,E$1,data_dir,Параметры!$B$3)</f>
        <v>-76555.960000000006</v>
      </c>
      <c r="F28" cm="1">
        <f t="array" ref="F28">SUMIFS(data_amt,data_item,$A28,data_cat,F$1,data_dir,Параметры!$B$3)</f>
        <v>0</v>
      </c>
      <c r="G28" cm="1">
        <f t="array" ref="G28">SUMIFS(data_amt,data_item,$A28,data_cat,G$1,data_dir,Параметры!$B$3)</f>
        <v>0</v>
      </c>
      <c r="H28" cm="1">
        <f t="array" ref="H28">SUMIFS(data_amt,data_item,$A28,data_cat,H$1,data_dir,Параметры!$B$3)</f>
        <v>0</v>
      </c>
      <c r="I28" cm="1">
        <f t="array" ref="I28">SUMIFS(data_amt,data_item,$A28,data_cat,I$1,data_dir,Параметры!$B$3)</f>
        <v>314911.65999999997</v>
      </c>
      <c r="J28" cm="1">
        <f t="array" ref="J28">SUMIFS(data_amt,data_item,$A28,data_cat,J$1,data_dir,Параметры!$B$3)</f>
        <v>0</v>
      </c>
      <c r="K28" cm="1">
        <f t="array" ref="K28">SUMIFS(data_amt,data_item,$A28,data_cat,K$1,data_dir,Параметры!$B$3)</f>
        <v>0</v>
      </c>
      <c r="L28" cm="1">
        <f t="array" ref="L28">SUMIFS(data_amt,data_item,$A28,data_cat,L$1,data_dir,Параметры!$B$3)</f>
        <v>0</v>
      </c>
      <c r="M28" cm="1">
        <f t="array" ref="M28">SUMIFS(data_amt,data_item,$A28,data_cat,M$1,data_dir,Параметры!$B$3)</f>
        <v>0</v>
      </c>
      <c r="N28" cm="1">
        <f t="array" ref="N28">SUMIFS(data_amt,data_item,$A28,data_cat,N$1,data_dir,Параметры!$B$3)</f>
        <v>170040.1</v>
      </c>
      <c r="O28" cm="1">
        <f t="array" ref="O28">SUMIFS(data_amt,data_item,$A28,data_cat,O$1,data_dir,Параметры!$B$3)</f>
        <v>0</v>
      </c>
      <c r="P28" cm="1">
        <f t="array" ref="P28">SUMIFS(data_amt,data_item,$A28,data_cat,P$1,data_dir,Параметры!$B$3)</f>
        <v>0</v>
      </c>
      <c r="Q28" cm="1">
        <f t="array" ref="Q28">SUMIFS(data_amt,data_item,$A28,data_cat,Q$1,data_dir,Параметры!$B$3)</f>
        <v>0</v>
      </c>
      <c r="R28" cm="1">
        <f t="array" ref="R28">SUMIFS(data_amt,data_item,$A28,data_cat,R$1,data_dir,Параметры!$B$3)</f>
        <v>14732.38</v>
      </c>
      <c r="S28" cm="1">
        <f t="array" ref="S28">SUMIFS(data_amt,data_item,$A28,data_cat,S$1,data_dir,Параметры!$B$3)</f>
        <v>0</v>
      </c>
      <c r="T28" cm="1">
        <f t="array" ref="T28">SUMIFS(data_amt,data_item,$A28,data_cat,T$1,data_dir,Параметры!$B$3)</f>
        <v>0</v>
      </c>
      <c r="U28" cm="1">
        <f t="array" ref="U28">SUMIFS(data_amt,data_item,$A28,data_cat,U$1,data_dir,Параметры!$B$3)</f>
        <v>0</v>
      </c>
      <c r="V28" cm="1">
        <f t="array" ref="V28">SUM(B28:U28)</f>
        <v>423128.17999999993</v>
      </c>
    </row>
    <row r="29" spans="1:22" x14ac:dyDescent="0.2">
      <c r="A29" t="str" cm="1">
        <f t="array" ref="A29">Статьи!A25</f>
        <v>Елка 3</v>
      </c>
      <c r="B29" cm="1">
        <f t="array" ref="B29">SUMIFS(data_amt,data_item,$A29,data_cat,B$1,data_dir,Параметры!$B$3)</f>
        <v>1281745876.6000001</v>
      </c>
      <c r="C29" cm="1">
        <f t="array" ref="C29">SUMIFS(data_amt,data_item,$A29,data_cat,C$1,data_dir,Параметры!$B$3)</f>
        <v>0</v>
      </c>
      <c r="D29" cm="1">
        <f t="array" ref="D29">SUMIFS(data_amt,data_item,$A29,data_cat,D$1,data_dir,Параметры!$B$3)</f>
        <v>0</v>
      </c>
      <c r="E29" cm="1">
        <f t="array" ref="E29">SUMIFS(data_amt,data_item,$A29,data_cat,E$1,data_dir,Параметры!$B$3)</f>
        <v>38193.870000000003</v>
      </c>
      <c r="F29" cm="1">
        <f t="array" ref="F29">SUMIFS(data_amt,data_item,$A29,data_cat,F$1,data_dir,Параметры!$B$3)</f>
        <v>0</v>
      </c>
      <c r="G29" cm="1">
        <f t="array" ref="G29">SUMIFS(data_amt,data_item,$A29,data_cat,G$1,data_dir,Параметры!$B$3)</f>
        <v>0</v>
      </c>
      <c r="H29" cm="1">
        <f t="array" ref="H29">SUMIFS(data_amt,data_item,$A29,data_cat,H$1,data_dir,Параметры!$B$3)</f>
        <v>0</v>
      </c>
      <c r="I29" cm="1">
        <f t="array" ref="I29">SUMIFS(data_amt,data_item,$A29,data_cat,I$1,data_dir,Параметры!$B$3)</f>
        <v>96889.02</v>
      </c>
      <c r="J29" cm="1">
        <f t="array" ref="J29">SUMIFS(data_amt,data_item,$A29,data_cat,J$1,data_dir,Параметры!$B$3)</f>
        <v>0</v>
      </c>
      <c r="K29" cm="1">
        <f t="array" ref="K29">SUMIFS(data_amt,data_item,$A29,data_cat,K$1,data_dir,Параметры!$B$3)</f>
        <v>0</v>
      </c>
      <c r="L29" cm="1">
        <f t="array" ref="L29">SUMIFS(data_amt,data_item,$A29,data_cat,L$1,data_dir,Параметры!$B$3)</f>
        <v>0</v>
      </c>
      <c r="M29" cm="1">
        <f t="array" ref="M29">SUMIFS(data_amt,data_item,$A29,data_cat,M$1,data_dir,Параметры!$B$3)</f>
        <v>0</v>
      </c>
      <c r="N29" cm="1">
        <f t="array" ref="N29">SUMIFS(data_amt,data_item,$A29,data_cat,N$1,data_dir,Параметры!$B$3)</f>
        <v>0</v>
      </c>
      <c r="O29" cm="1">
        <f t="array" ref="O29">SUMIFS(data_amt,data_item,$A29,data_cat,O$1,data_dir,Параметры!$B$3)</f>
        <v>0</v>
      </c>
      <c r="P29" cm="1">
        <f t="array" ref="P29">SUMIFS(data_amt,data_item,$A29,data_cat,P$1,data_dir,Параметры!$B$3)</f>
        <v>0</v>
      </c>
      <c r="Q29" cm="1">
        <f t="array" ref="Q29">SUMIFS(data_amt,data_item,$A29,data_cat,Q$1,data_dir,Параметры!$B$3)</f>
        <v>0</v>
      </c>
      <c r="R29" cm="1">
        <f t="array" ref="R29">SUMIFS(data_amt,data_item,$A29,data_cat,R$1,data_dir,Параметры!$B$3)</f>
        <v>0</v>
      </c>
      <c r="S29" cm="1">
        <f t="array" ref="S29">SUMIFS(data_amt,data_item,$A29,data_cat,S$1,data_dir,Параметры!$B$3)</f>
        <v>43871.56</v>
      </c>
      <c r="T29" cm="1">
        <f t="array" ref="T29">SUMIFS(data_amt,data_item,$A29,data_cat,T$1,data_dir,Параметры!$B$3)</f>
        <v>0</v>
      </c>
      <c r="U29" cm="1">
        <f t="array" ref="U29">SUMIFS(data_amt,data_item,$A29,data_cat,U$1,data_dir,Параметры!$B$3)</f>
        <v>0</v>
      </c>
      <c r="V29" cm="1">
        <f t="array" ref="V29">SUM(B29:U29)</f>
        <v>1281924831.05</v>
      </c>
    </row>
    <row r="30" spans="1:22" x14ac:dyDescent="0.2">
      <c r="A30" t="str" cm="1">
        <f t="array" ref="A30">Статьи!A26</f>
        <v>Аренда 3</v>
      </c>
      <c r="B30" cm="1">
        <f t="array" ref="B30">SUMIFS(data_amt,data_item,$A30,data_cat,B$1,data_dir,Параметры!$B$3)</f>
        <v>-2930.33</v>
      </c>
      <c r="C30" cm="1">
        <f t="array" ref="C30">SUMIFS(data_amt,data_item,$A30,data_cat,C$1,data_dir,Параметры!$B$3)</f>
        <v>376896.25</v>
      </c>
      <c r="D30" cm="1">
        <f t="array" ref="D30">SUMIFS(data_amt,data_item,$A30,data_cat,D$1,data_dir,Параметры!$B$3)</f>
        <v>0</v>
      </c>
      <c r="E30" cm="1">
        <f t="array" ref="E30">SUMIFS(data_amt,data_item,$A30,data_cat,E$1,data_dir,Параметры!$B$3)</f>
        <v>311123.45</v>
      </c>
      <c r="F30" cm="1">
        <f t="array" ref="F30">SUMIFS(data_amt,data_item,$A30,data_cat,F$1,data_dir,Параметры!$B$3)</f>
        <v>0</v>
      </c>
      <c r="G30" cm="1">
        <f t="array" ref="G30">SUMIFS(data_amt,data_item,$A30,data_cat,G$1,data_dir,Параметры!$B$3)</f>
        <v>0</v>
      </c>
      <c r="H30" cm="1">
        <f t="array" ref="H30">SUMIFS(data_amt,data_item,$A30,data_cat,H$1,data_dir,Параметры!$B$3)</f>
        <v>0</v>
      </c>
      <c r="I30" cm="1">
        <f t="array" ref="I30">SUMIFS(data_amt,data_item,$A30,data_cat,I$1,data_dir,Параметры!$B$3)</f>
        <v>0</v>
      </c>
      <c r="J30" cm="1">
        <f t="array" ref="J30">SUMIFS(data_amt,data_item,$A30,data_cat,J$1,data_dir,Параметры!$B$3)</f>
        <v>0</v>
      </c>
      <c r="K30" cm="1">
        <f t="array" ref="K30">SUMIFS(data_amt,data_item,$A30,data_cat,K$1,data_dir,Параметры!$B$3)</f>
        <v>0</v>
      </c>
      <c r="L30" cm="1">
        <f t="array" ref="L30">SUMIFS(data_amt,data_item,$A30,data_cat,L$1,data_dir,Параметры!$B$3)</f>
        <v>0</v>
      </c>
      <c r="M30" cm="1">
        <f t="array" ref="M30">SUMIFS(data_amt,data_item,$A30,data_cat,M$1,data_dir,Параметры!$B$3)</f>
        <v>0</v>
      </c>
      <c r="N30" cm="1">
        <f t="array" ref="N30">SUMIFS(data_amt,data_item,$A30,data_cat,N$1,data_dir,Параметры!$B$3)</f>
        <v>0</v>
      </c>
      <c r="O30" cm="1">
        <f t="array" ref="O30">SUMIFS(data_amt,data_item,$A30,data_cat,O$1,data_dir,Параметры!$B$3)</f>
        <v>0</v>
      </c>
      <c r="P30" cm="1">
        <f t="array" ref="P30">SUMIFS(data_amt,data_item,$A30,data_cat,P$1,data_dir,Параметры!$B$3)</f>
        <v>0</v>
      </c>
      <c r="Q30" cm="1">
        <f t="array" ref="Q30">SUMIFS(data_amt,data_item,$A30,data_cat,Q$1,data_dir,Параметры!$B$3)</f>
        <v>0</v>
      </c>
      <c r="R30" cm="1">
        <f t="array" ref="R30">SUMIFS(data_amt,data_item,$A30,data_cat,R$1,data_dir,Параметры!$B$3)</f>
        <v>0</v>
      </c>
      <c r="S30" cm="1">
        <f t="array" ref="S30">SUMIFS(data_amt,data_item,$A30,data_cat,S$1,data_dir,Параметры!$B$3)</f>
        <v>0</v>
      </c>
      <c r="T30" cm="1">
        <f t="array" ref="T30">SUMIFS(data_amt,data_item,$A30,data_cat,T$1,data_dir,Параметры!$B$3)</f>
        <v>0</v>
      </c>
      <c r="U30" cm="1">
        <f t="array" ref="U30">SUMIFS(data_amt,data_item,$A30,data_cat,U$1,data_dir,Параметры!$B$3)</f>
        <v>0</v>
      </c>
      <c r="V30" cm="1">
        <f t="array" ref="V30">SUM(B30:U30)</f>
        <v>685089.37</v>
      </c>
    </row>
    <row r="31" spans="1:22" x14ac:dyDescent="0.2">
      <c r="A31" t="s">
        <v>463</v>
      </c>
      <c r="B31" cm="1">
        <f t="array" ref="B31">SUM(B26:B30)</f>
        <v>1281703557.4700003</v>
      </c>
      <c r="C31" cm="1">
        <f t="array" ref="C31">SUM(C26:C30)</f>
        <v>376896.25</v>
      </c>
      <c r="D31" cm="1">
        <f t="array" ref="D31">SUM(D26:D30)</f>
        <v>255552.73</v>
      </c>
      <c r="E31" cm="1">
        <f t="array" ref="E31">SUM(E26:E30)</f>
        <v>267727.13</v>
      </c>
      <c r="F31" cm="1">
        <f t="array" ref="F31">SUM(F26:F30)</f>
        <v>0</v>
      </c>
      <c r="G31" cm="1">
        <f t="array" ref="G31">SUM(G26:G30)</f>
        <v>0</v>
      </c>
      <c r="H31" cm="1">
        <f t="array" ref="H31">SUM(H26:H30)</f>
        <v>0</v>
      </c>
      <c r="I31" cm="1">
        <f t="array" ref="I31">SUM(I26:I30)</f>
        <v>411800.68</v>
      </c>
      <c r="J31" cm="1">
        <f t="array" ref="J31">SUM(J26:J30)</f>
        <v>-67401.539999999994</v>
      </c>
      <c r="K31" cm="1">
        <f t="array" ref="K31">SUM(K26:K30)</f>
        <v>225608.62</v>
      </c>
      <c r="L31" cm="1">
        <f t="array" ref="L31">SUM(L26:L30)</f>
        <v>283986.55</v>
      </c>
      <c r="M31" cm="1">
        <f t="array" ref="M31">SUM(M26:M30)</f>
        <v>0</v>
      </c>
      <c r="N31" cm="1">
        <f t="array" ref="N31">SUM(N26:N30)</f>
        <v>170040.1</v>
      </c>
      <c r="O31" cm="1">
        <f t="array" ref="O31">SUM(O26:O30)</f>
        <v>0</v>
      </c>
      <c r="P31" cm="1">
        <f t="array" ref="P31">SUM(P26:P30)</f>
        <v>0</v>
      </c>
      <c r="Q31" cm="1">
        <f t="array" ref="Q31">SUM(Q26:Q30)</f>
        <v>0</v>
      </c>
      <c r="R31" cm="1">
        <f t="array" ref="R31">SUM(R26:R30)</f>
        <v>340931.86</v>
      </c>
      <c r="S31" cm="1">
        <f t="array" ref="S31">SUM(S26:S30)</f>
        <v>43871.56</v>
      </c>
      <c r="T31" cm="1">
        <f t="array" ref="T31">SUM(T26:T30)</f>
        <v>-27939.41</v>
      </c>
      <c r="U31" cm="1">
        <f t="array" ref="U31">SUM(U26:U30)</f>
        <v>0</v>
      </c>
      <c r="V31" cm="1">
        <f t="array" ref="V31">SUM(V26:V30)</f>
        <v>1283984631.9999998</v>
      </c>
    </row>
    <row r="32" spans="1:22" x14ac:dyDescent="0.2">
      <c r="A32" t="str" cm="1">
        <f t="array" ref="A32">Статьи!A27</f>
        <v>Связь 3</v>
      </c>
      <c r="B32" cm="1">
        <f t="array" ref="B32">SUMIFS(data_amt,data_item,$A32,data_cat,B$1,data_dir,Параметры!$B$3)</f>
        <v>0</v>
      </c>
      <c r="C32" cm="1">
        <f t="array" ref="C32">SUMIFS(data_amt,data_item,$A32,data_cat,C$1,data_dir,Параметры!$B$3)</f>
        <v>0</v>
      </c>
      <c r="D32" cm="1">
        <f t="array" ref="D32">SUMIFS(data_amt,data_item,$A32,data_cat,D$1,data_dir,Параметры!$B$3)</f>
        <v>0</v>
      </c>
      <c r="E32" cm="1">
        <f t="array" ref="E32">SUMIFS(data_amt,data_item,$A32,data_cat,E$1,data_dir,Параметры!$B$3)</f>
        <v>0</v>
      </c>
      <c r="F32" cm="1">
        <f t="array" ref="F32">SUMIFS(data_amt,data_item,$A32,data_cat,F$1,data_dir,Параметры!$B$3)</f>
        <v>0</v>
      </c>
      <c r="G32" cm="1">
        <f t="array" ref="G32">SUMIFS(data_amt,data_item,$A32,data_cat,G$1,data_dir,Параметры!$B$3)</f>
        <v>0</v>
      </c>
      <c r="H32" cm="1">
        <f t="array" ref="H32">SUMIFS(data_amt,data_item,$A32,data_cat,H$1,data_dir,Параметры!$B$3)</f>
        <v>0</v>
      </c>
      <c r="I32" cm="1">
        <f t="array" ref="I32">SUMIFS(data_amt,data_item,$A32,data_cat,I$1,data_dir,Параметры!$B$3)</f>
        <v>0</v>
      </c>
      <c r="J32" cm="1">
        <f t="array" ref="J32">SUMIFS(data_amt,data_item,$A32,data_cat,J$1,data_dir,Параметры!$B$3)</f>
        <v>153637.47</v>
      </c>
      <c r="K32" cm="1">
        <f t="array" ref="K32">SUMIFS(data_amt,data_item,$A32,data_cat,K$1,data_dir,Параметры!$B$3)</f>
        <v>132793.60999999999</v>
      </c>
      <c r="L32" cm="1">
        <f t="array" ref="L32">SUMIFS(data_amt,data_item,$A32,data_cat,L$1,data_dir,Параметры!$B$3)</f>
        <v>0</v>
      </c>
      <c r="M32" cm="1">
        <f t="array" ref="M32">SUMIFS(data_amt,data_item,$A32,data_cat,M$1,data_dir,Параметры!$B$3)</f>
        <v>159471.5</v>
      </c>
      <c r="N32" cm="1">
        <f t="array" ref="N32">SUMIFS(data_amt,data_item,$A32,data_cat,N$1,data_dir,Параметры!$B$3)</f>
        <v>0</v>
      </c>
      <c r="O32" cm="1">
        <f t="array" ref="O32">SUMIFS(data_amt,data_item,$A32,data_cat,O$1,data_dir,Параметры!$B$3)</f>
        <v>0</v>
      </c>
      <c r="P32" cm="1">
        <f t="array" ref="P32">SUMIFS(data_amt,data_item,$A32,data_cat,P$1,data_dir,Параметры!$B$3)</f>
        <v>0</v>
      </c>
      <c r="Q32" cm="1">
        <f t="array" ref="Q32">SUMIFS(data_amt,data_item,$A32,data_cat,Q$1,data_dir,Параметры!$B$3)</f>
        <v>0</v>
      </c>
      <c r="R32" cm="1">
        <f t="array" ref="R32">SUMIFS(data_amt,data_item,$A32,data_cat,R$1,data_dir,Параметры!$B$3)</f>
        <v>0</v>
      </c>
      <c r="S32" cm="1">
        <f t="array" ref="S32">SUMIFS(data_amt,data_item,$A32,data_cat,S$1,data_dir,Параметры!$B$3)</f>
        <v>0</v>
      </c>
      <c r="T32" cm="1">
        <f t="array" ref="T32">SUMIFS(data_amt,data_item,$A32,data_cat,T$1,data_dir,Параметры!$B$3)</f>
        <v>369453.23</v>
      </c>
      <c r="U32" cm="1">
        <f t="array" ref="U32">SUMIFS(data_amt,data_item,$A32,data_cat,U$1,data_dir,Параметры!$B$3)</f>
        <v>0</v>
      </c>
      <c r="V32" cm="1">
        <f t="array" ref="V32">SUM(B32:U32)</f>
        <v>815355.80999999994</v>
      </c>
    </row>
    <row r="33" spans="1:22" x14ac:dyDescent="0.2">
      <c r="A33" t="str" cm="1">
        <f t="array" ref="A33">Статьи!A28</f>
        <v>Налог 3</v>
      </c>
      <c r="B33" cm="1">
        <f t="array" ref="B33">SUMIFS(data_amt,data_item,$A33,data_cat,B$1,data_dir,Параметры!$B$3)</f>
        <v>0</v>
      </c>
      <c r="C33" cm="1">
        <f t="array" ref="C33">SUMIFS(data_amt,data_item,$A33,data_cat,C$1,data_dir,Параметры!$B$3)</f>
        <v>0</v>
      </c>
      <c r="D33" cm="1">
        <f t="array" ref="D33">SUMIFS(data_amt,data_item,$A33,data_cat,D$1,data_dir,Параметры!$B$3)</f>
        <v>0</v>
      </c>
      <c r="E33" cm="1">
        <f t="array" ref="E33">SUMIFS(data_amt,data_item,$A33,data_cat,E$1,data_dir,Параметры!$B$3)</f>
        <v>295033.37</v>
      </c>
      <c r="F33" cm="1">
        <f t="array" ref="F33">SUMIFS(data_amt,data_item,$A33,data_cat,F$1,data_dir,Параметры!$B$3)</f>
        <v>0</v>
      </c>
      <c r="G33" cm="1">
        <f t="array" ref="G33">SUMIFS(data_amt,data_item,$A33,data_cat,G$1,data_dir,Параметры!$B$3)</f>
        <v>0</v>
      </c>
      <c r="H33" cm="1">
        <f t="array" ref="H33">SUMIFS(data_amt,data_item,$A33,data_cat,H$1,data_dir,Параметры!$B$3)</f>
        <v>0</v>
      </c>
      <c r="I33" cm="1">
        <f t="array" ref="I33">SUMIFS(data_amt,data_item,$A33,data_cat,I$1,data_dir,Параметры!$B$3)</f>
        <v>-84644.3</v>
      </c>
      <c r="J33" cm="1">
        <f t="array" ref="J33">SUMIFS(data_amt,data_item,$A33,data_cat,J$1,data_dir,Параметры!$B$3)</f>
        <v>0</v>
      </c>
      <c r="K33" cm="1">
        <f t="array" ref="K33">SUMIFS(data_amt,data_item,$A33,data_cat,K$1,data_dir,Параметры!$B$3)</f>
        <v>0</v>
      </c>
      <c r="L33" cm="1">
        <f t="array" ref="L33">SUMIFS(data_amt,data_item,$A33,data_cat,L$1,data_dir,Параметры!$B$3)</f>
        <v>0</v>
      </c>
      <c r="M33" cm="1">
        <f t="array" ref="M33">SUMIFS(data_amt,data_item,$A33,data_cat,M$1,data_dir,Параметры!$B$3)</f>
        <v>0</v>
      </c>
      <c r="N33" cm="1">
        <f t="array" ref="N33">SUMIFS(data_amt,data_item,$A33,data_cat,N$1,data_dir,Параметры!$B$3)</f>
        <v>0</v>
      </c>
      <c r="O33" cm="1">
        <f t="array" ref="O33">SUMIFS(data_amt,data_item,$A33,data_cat,O$1,data_dir,Параметры!$B$3)</f>
        <v>0</v>
      </c>
      <c r="P33" cm="1">
        <f t="array" ref="P33">SUMIFS(data_amt,data_item,$A33,data_cat,P$1,data_dir,Параметры!$B$3)</f>
        <v>0</v>
      </c>
      <c r="Q33" cm="1">
        <f t="array" ref="Q33">SUMIFS(data_amt,data_item,$A33,data_cat,Q$1,data_dir,Параметры!$B$3)</f>
        <v>0</v>
      </c>
      <c r="R33" cm="1">
        <f t="array" ref="R33">SUMIFS(data_amt,data_item,$A33,data_cat,R$1,data_dir,Параметры!$B$3)</f>
        <v>0</v>
      </c>
      <c r="S33" cm="1">
        <f t="array" ref="S33">SUMIFS(data_amt,data_item,$A33,data_cat,S$1,data_dir,Параметры!$B$3)</f>
        <v>0</v>
      </c>
      <c r="T33" cm="1">
        <f t="array" ref="T33">SUMIFS(data_amt,data_item,$A33,data_cat,T$1,data_dir,Параметры!$B$3)</f>
        <v>0</v>
      </c>
      <c r="U33" cm="1">
        <f t="array" ref="U33">SUMIFS(data_amt,data_item,$A33,data_cat,U$1,data_dir,Параметры!$B$3)</f>
        <v>325797.92</v>
      </c>
      <c r="V33" cm="1">
        <f t="array" ref="V33">SUM(B33:U33)</f>
        <v>536186.99</v>
      </c>
    </row>
    <row r="34" spans="1:22" x14ac:dyDescent="0.2">
      <c r="A34" t="str" cm="1">
        <f t="array" ref="A34">Статьи!A29</f>
        <v>Доход 3</v>
      </c>
      <c r="B34" cm="1">
        <f t="array" ref="B34">SUMIFS(data_amt,data_item,$A34,data_cat,B$1,data_dir,Параметры!$B$3)</f>
        <v>0</v>
      </c>
      <c r="C34" cm="1">
        <f t="array" ref="C34">SUMIFS(data_amt,data_item,$A34,data_cat,C$1,data_dir,Параметры!$B$3)</f>
        <v>0</v>
      </c>
      <c r="D34" cm="1">
        <f t="array" ref="D34">SUMIFS(data_amt,data_item,$A34,data_cat,D$1,data_dir,Параметры!$B$3)</f>
        <v>0</v>
      </c>
      <c r="E34" cm="1">
        <f t="array" ref="E34">SUMIFS(data_amt,data_item,$A34,data_cat,E$1,data_dir,Параметры!$B$3)</f>
        <v>522303.31</v>
      </c>
      <c r="F34" cm="1">
        <f t="array" ref="F34">SUMIFS(data_amt,data_item,$A34,data_cat,F$1,data_dir,Параметры!$B$3)</f>
        <v>0</v>
      </c>
      <c r="G34" cm="1">
        <f t="array" ref="G34">SUMIFS(data_amt,data_item,$A34,data_cat,G$1,data_dir,Параметры!$B$3)</f>
        <v>0</v>
      </c>
      <c r="H34" cm="1">
        <f t="array" ref="H34">SUMIFS(data_amt,data_item,$A34,data_cat,H$1,data_dir,Параметры!$B$3)</f>
        <v>0</v>
      </c>
      <c r="I34" cm="1">
        <f t="array" ref="I34">SUMIFS(data_amt,data_item,$A34,data_cat,I$1,data_dir,Параметры!$B$3)</f>
        <v>0</v>
      </c>
      <c r="J34" cm="1">
        <f t="array" ref="J34">SUMIFS(data_amt,data_item,$A34,data_cat,J$1,data_dir,Параметры!$B$3)</f>
        <v>0</v>
      </c>
      <c r="K34" cm="1">
        <f t="array" ref="K34">SUMIFS(data_amt,data_item,$A34,data_cat,K$1,data_dir,Параметры!$B$3)</f>
        <v>0</v>
      </c>
      <c r="L34" cm="1">
        <f t="array" ref="L34">SUMIFS(data_amt,data_item,$A34,data_cat,L$1,data_dir,Параметры!$B$3)</f>
        <v>0</v>
      </c>
      <c r="M34" cm="1">
        <f t="array" ref="M34">SUMIFS(data_amt,data_item,$A34,data_cat,M$1,data_dir,Параметры!$B$3)</f>
        <v>185496.3</v>
      </c>
      <c r="N34" cm="1">
        <f t="array" ref="N34">SUMIFS(data_amt,data_item,$A34,data_cat,N$1,data_dir,Параметры!$B$3)</f>
        <v>0</v>
      </c>
      <c r="O34" cm="1">
        <f t="array" ref="O34">SUMIFS(data_amt,data_item,$A34,data_cat,O$1,data_dir,Параметры!$B$3)</f>
        <v>50413.46</v>
      </c>
      <c r="P34" cm="1">
        <f t="array" ref="P34">SUMIFS(data_amt,data_item,$A34,data_cat,P$1,data_dir,Параметры!$B$3)</f>
        <v>0</v>
      </c>
      <c r="Q34" cm="1">
        <f t="array" ref="Q34">SUMIFS(data_amt,data_item,$A34,data_cat,Q$1,data_dir,Параметры!$B$3)</f>
        <v>0</v>
      </c>
      <c r="R34" cm="1">
        <f t="array" ref="R34">SUMIFS(data_amt,data_item,$A34,data_cat,R$1,data_dir,Параметры!$B$3)</f>
        <v>0</v>
      </c>
      <c r="S34" cm="1">
        <f t="array" ref="S34">SUMIFS(data_amt,data_item,$A34,data_cat,S$1,data_dir,Параметры!$B$3)</f>
        <v>218908.48</v>
      </c>
      <c r="T34" cm="1">
        <f t="array" ref="T34">SUMIFS(data_amt,data_item,$A34,data_cat,T$1,data_dir,Параметры!$B$3)</f>
        <v>88918.33</v>
      </c>
      <c r="U34" cm="1">
        <f t="array" ref="U34">SUMIFS(data_amt,data_item,$A34,data_cat,U$1,data_dir,Параметры!$B$3)</f>
        <v>0</v>
      </c>
      <c r="V34" cm="1">
        <f t="array" ref="V34">SUM(B34:U34)</f>
        <v>1066039.8799999999</v>
      </c>
    </row>
    <row r="35" spans="1:22" x14ac:dyDescent="0.2">
      <c r="A35" t="str" cm="1">
        <f t="array" ref="A35">Статьи!A30</f>
        <v>Сырьё 3</v>
      </c>
      <c r="B35" cm="1">
        <f t="array" ref="B35">SUMIFS(data_amt,data_item,$A35,data_cat,B$1,data_dir,Параметры!$B$3)</f>
        <v>0</v>
      </c>
      <c r="C35" cm="1">
        <f t="array" ref="C35">SUMIFS(data_amt,data_item,$A35,data_cat,C$1,data_dir,Параметры!$B$3)</f>
        <v>0</v>
      </c>
      <c r="D35" cm="1">
        <f t="array" ref="D35">SUMIFS(data_amt,data_item,$A35,data_cat,D$1,data_dir,Параметры!$B$3)</f>
        <v>0</v>
      </c>
      <c r="E35" cm="1">
        <f t="array" ref="E35">SUMIFS(data_amt,data_item,$A35,data_cat,E$1,data_dir,Параметры!$B$3)</f>
        <v>0</v>
      </c>
      <c r="F35" cm="1">
        <f t="array" ref="F35">SUMIFS(data_amt,data_item,$A35,data_cat,F$1,data_dir,Параметры!$B$3)</f>
        <v>0</v>
      </c>
      <c r="G35" cm="1">
        <f t="array" ref="G35">SUMIFS(data_amt,data_item,$A35,data_cat,G$1,data_dir,Параметры!$B$3)</f>
        <v>0</v>
      </c>
      <c r="H35" cm="1">
        <f t="array" ref="H35">SUMIFS(data_amt,data_item,$A35,data_cat,H$1,data_dir,Параметры!$B$3)</f>
        <v>255766.36</v>
      </c>
      <c r="I35" cm="1">
        <f t="array" ref="I35">SUMIFS(data_amt,data_item,$A35,data_cat,I$1,data_dir,Параметры!$B$3)</f>
        <v>0</v>
      </c>
      <c r="J35" cm="1">
        <f t="array" ref="J35">SUMIFS(data_amt,data_item,$A35,data_cat,J$1,data_dir,Параметры!$B$3)</f>
        <v>191368.37</v>
      </c>
      <c r="K35" cm="1">
        <f t="array" ref="K35">SUMIFS(data_amt,data_item,$A35,data_cat,K$1,data_dir,Параметры!$B$3)</f>
        <v>0</v>
      </c>
      <c r="L35" cm="1">
        <f t="array" ref="L35">SUMIFS(data_amt,data_item,$A35,data_cat,L$1,data_dir,Параметры!$B$3)</f>
        <v>0</v>
      </c>
      <c r="M35" cm="1">
        <f t="array" ref="M35">SUMIFS(data_amt,data_item,$A35,data_cat,M$1,data_dir,Параметры!$B$3)</f>
        <v>204939.46</v>
      </c>
      <c r="N35" cm="1">
        <f t="array" ref="N35">SUMIFS(data_amt,data_item,$A35,data_cat,N$1,data_dir,Параметры!$B$3)</f>
        <v>0</v>
      </c>
      <c r="O35" cm="1">
        <f t="array" ref="O35">SUMIFS(data_amt,data_item,$A35,data_cat,O$1,data_dir,Параметры!$B$3)</f>
        <v>0</v>
      </c>
      <c r="P35" cm="1">
        <f t="array" ref="P35">SUMIFS(data_amt,data_item,$A35,data_cat,P$1,data_dir,Параметры!$B$3)</f>
        <v>0</v>
      </c>
      <c r="Q35" cm="1">
        <f t="array" ref="Q35">SUMIFS(data_amt,data_item,$A35,data_cat,Q$1,data_dir,Параметры!$B$3)</f>
        <v>0</v>
      </c>
      <c r="R35" cm="1">
        <f t="array" ref="R35">SUMIFS(data_amt,data_item,$A35,data_cat,R$1,data_dir,Параметры!$B$3)</f>
        <v>0</v>
      </c>
      <c r="S35" cm="1">
        <f t="array" ref="S35">SUMIFS(data_amt,data_item,$A35,data_cat,S$1,data_dir,Параметры!$B$3)</f>
        <v>0</v>
      </c>
      <c r="T35" cm="1">
        <f t="array" ref="T35">SUMIFS(data_amt,data_item,$A35,data_cat,T$1,data_dir,Параметры!$B$3)</f>
        <v>0</v>
      </c>
      <c r="U35" cm="1">
        <f t="array" ref="U35">SUMIFS(data_amt,data_item,$A35,data_cat,U$1,data_dir,Параметры!$B$3)</f>
        <v>0</v>
      </c>
      <c r="V35" cm="1">
        <f t="array" ref="V35">SUM(B35:U35)</f>
        <v>652074.18999999994</v>
      </c>
    </row>
    <row r="36" spans="1:22" x14ac:dyDescent="0.2">
      <c r="A36" t="str" cm="1">
        <f t="array" ref="A36">Статьи!A31</f>
        <v>Сырье 3</v>
      </c>
      <c r="B36" cm="1">
        <f t="array" ref="B36">SUMIFS(data_amt,data_item,$A36,data_cat,B$1,data_dir,Параметры!$B$3)</f>
        <v>0</v>
      </c>
      <c r="C36" cm="1">
        <f t="array" ref="C36">SUMIFS(data_amt,data_item,$A36,data_cat,C$1,data_dir,Параметры!$B$3)</f>
        <v>0</v>
      </c>
      <c r="D36" cm="1">
        <f t="array" ref="D36">SUMIFS(data_amt,data_item,$A36,data_cat,D$1,data_dir,Параметры!$B$3)</f>
        <v>0</v>
      </c>
      <c r="E36" cm="1">
        <f t="array" ref="E36">SUMIFS(data_amt,data_item,$A36,data_cat,E$1,data_dir,Параметры!$B$3)</f>
        <v>0</v>
      </c>
      <c r="F36" cm="1">
        <f t="array" ref="F36">SUMIFS(data_amt,data_item,$A36,data_cat,F$1,data_dir,Параметры!$B$3)</f>
        <v>180154.93</v>
      </c>
      <c r="G36" cm="1">
        <f t="array" ref="G36">SUMIFS(data_amt,data_item,$A36,data_cat,G$1,data_dir,Параметры!$B$3)</f>
        <v>0</v>
      </c>
      <c r="H36" cm="1">
        <f t="array" ref="H36">SUMIFS(data_amt,data_item,$A36,data_cat,H$1,data_dir,Параметры!$B$3)</f>
        <v>0</v>
      </c>
      <c r="I36" cm="1">
        <f t="array" ref="I36">SUMIFS(data_amt,data_item,$A36,data_cat,I$1,data_dir,Параметры!$B$3)</f>
        <v>0</v>
      </c>
      <c r="J36" cm="1">
        <f t="array" ref="J36">SUMIFS(data_amt,data_item,$A36,data_cat,J$1,data_dir,Параметры!$B$3)</f>
        <v>0</v>
      </c>
      <c r="K36" cm="1">
        <f t="array" ref="K36">SUMIFS(data_amt,data_item,$A36,data_cat,K$1,data_dir,Параметры!$B$3)</f>
        <v>0</v>
      </c>
      <c r="L36" cm="1">
        <f t="array" ref="L36">SUMIFS(data_amt,data_item,$A36,data_cat,L$1,data_dir,Параметры!$B$3)</f>
        <v>0</v>
      </c>
      <c r="M36" cm="1">
        <f t="array" ref="M36">SUMIFS(data_amt,data_item,$A36,data_cat,M$1,data_dir,Параметры!$B$3)</f>
        <v>0</v>
      </c>
      <c r="N36" cm="1">
        <f t="array" ref="N36">SUMIFS(data_amt,data_item,$A36,data_cat,N$1,data_dir,Параметры!$B$3)</f>
        <v>0</v>
      </c>
      <c r="O36" cm="1">
        <f t="array" ref="O36">SUMIFS(data_amt,data_item,$A36,data_cat,O$1,data_dir,Параметры!$B$3)</f>
        <v>167126.5</v>
      </c>
      <c r="P36" cm="1">
        <f t="array" ref="P36">SUMIFS(data_amt,data_item,$A36,data_cat,P$1,data_dir,Параметры!$B$3)</f>
        <v>0</v>
      </c>
      <c r="Q36" cm="1">
        <f t="array" ref="Q36">SUMIFS(data_amt,data_item,$A36,data_cat,Q$1,data_dir,Параметры!$B$3)</f>
        <v>0</v>
      </c>
      <c r="R36" cm="1">
        <f t="array" ref="R36">SUMIFS(data_amt,data_item,$A36,data_cat,R$1,data_dir,Параметры!$B$3)</f>
        <v>0</v>
      </c>
      <c r="S36" cm="1">
        <f t="array" ref="S36">SUMIFS(data_amt,data_item,$A36,data_cat,S$1,data_dir,Параметры!$B$3)</f>
        <v>0</v>
      </c>
      <c r="T36" cm="1">
        <f t="array" ref="T36">SUMIFS(data_amt,data_item,$A36,data_cat,T$1,data_dir,Параметры!$B$3)</f>
        <v>0</v>
      </c>
      <c r="U36" cm="1">
        <f t="array" ref="U36">SUMIFS(data_amt,data_item,$A36,data_cat,U$1,data_dir,Параметры!$B$3)</f>
        <v>0</v>
      </c>
      <c r="V36" cm="1">
        <f t="array" ref="V36">SUM(B36:U36)</f>
        <v>347281.43</v>
      </c>
    </row>
    <row r="37" spans="1:22" x14ac:dyDescent="0.2">
      <c r="A37" t="s">
        <v>464</v>
      </c>
      <c r="B37" cm="1">
        <f t="array" ref="B37">SUM(B32:B36)</f>
        <v>0</v>
      </c>
      <c r="C37" cm="1">
        <f t="array" ref="C37">SUM(C32:C36)</f>
        <v>0</v>
      </c>
      <c r="D37" cm="1">
        <f t="array" ref="D37">SUM(D32:D36)</f>
        <v>0</v>
      </c>
      <c r="E37" cm="1">
        <f t="array" ref="E37">SUM(E32:E36)</f>
        <v>817336.67999999993</v>
      </c>
      <c r="F37" cm="1">
        <f t="array" ref="F37">SUM(F32:F36)</f>
        <v>180154.93</v>
      </c>
      <c r="G37" cm="1">
        <f t="array" ref="G37">SUM(G32:G36)</f>
        <v>0</v>
      </c>
      <c r="H37" cm="1">
        <f t="array" ref="H37">SUM(H32:H36)</f>
        <v>255766.36</v>
      </c>
      <c r="I37" cm="1">
        <f t="array" ref="I37">SUM(I32:I36)</f>
        <v>-84644.3</v>
      </c>
      <c r="J37" cm="1">
        <f t="array" ref="J37">SUM(J32:J36)</f>
        <v>345005.83999999997</v>
      </c>
      <c r="K37" cm="1">
        <f t="array" ref="K37">SUM(K32:K36)</f>
        <v>132793.60999999999</v>
      </c>
      <c r="L37" cm="1">
        <f t="array" ref="L37">SUM(L32:L36)</f>
        <v>0</v>
      </c>
      <c r="M37" cm="1">
        <f t="array" ref="M37">SUM(M32:M36)</f>
        <v>549907.26</v>
      </c>
      <c r="N37" cm="1">
        <f t="array" ref="N37">SUM(N32:N36)</f>
        <v>0</v>
      </c>
      <c r="O37" cm="1">
        <f t="array" ref="O37">SUM(O32:O36)</f>
        <v>217539.96</v>
      </c>
      <c r="P37" cm="1">
        <f t="array" ref="P37">SUM(P32:P36)</f>
        <v>0</v>
      </c>
      <c r="Q37" cm="1">
        <f t="array" ref="Q37">SUM(Q32:Q36)</f>
        <v>0</v>
      </c>
      <c r="R37" cm="1">
        <f t="array" ref="R37">SUM(R32:R36)</f>
        <v>0</v>
      </c>
      <c r="S37" cm="1">
        <f t="array" ref="S37">SUM(S32:S36)</f>
        <v>218908.48</v>
      </c>
      <c r="T37" cm="1">
        <f t="array" ref="T37">SUM(T32:T36)</f>
        <v>458371.56</v>
      </c>
      <c r="U37" cm="1">
        <f t="array" ref="U37">SUM(U32:U36)</f>
        <v>325797.92</v>
      </c>
      <c r="V37" cm="1">
        <f t="array" ref="V37">SUM(V32:V36)</f>
        <v>3416938.3</v>
      </c>
    </row>
    <row r="38" spans="1:22" x14ac:dyDescent="0.2">
      <c r="A38" t="str" cm="1">
        <f t="array" ref="A38">Статьи!A32</f>
        <v>Чай 4</v>
      </c>
      <c r="B38" cm="1">
        <f t="array" ref="B38">SUMIFS(data_amt,data_item,$A38,data_cat,B$1,data_dir,Параметры!$B$3)</f>
        <v>0</v>
      </c>
      <c r="C38" cm="1">
        <f t="array" ref="C38">SUMIFS(data_amt,data_item,$A38,data_cat,C$1,data_dir,Параметры!$B$3)</f>
        <v>0</v>
      </c>
      <c r="D38" cm="1">
        <f t="array" ref="D38">SUMIFS(data_amt,data_item,$A38,data_cat,D$1,data_dir,Параметры!$B$3)</f>
        <v>0</v>
      </c>
      <c r="E38" cm="1">
        <f t="array" ref="E38">SUMIFS(data_amt,data_item,$A38,data_cat,E$1,data_dir,Параметры!$B$3)</f>
        <v>0</v>
      </c>
      <c r="F38" cm="1">
        <f t="array" ref="F38">SUMIFS(data_amt,data_item,$A38,data_cat,F$1,data_dir,Параметры!$B$3)</f>
        <v>0</v>
      </c>
      <c r="G38" cm="1">
        <f t="array" ref="G38">SUMIFS(data_amt,data_item,$A38,data_cat,G$1,data_dir,Параметры!$B$3)</f>
        <v>-44181.64</v>
      </c>
      <c r="H38" cm="1">
        <f t="array" ref="H38">SUMIFS(data_amt,data_item,$A38,data_cat,H$1,data_dir,Параметры!$B$3)</f>
        <v>0</v>
      </c>
      <c r="I38" cm="1">
        <f t="array" ref="I38">SUMIFS(data_amt,data_item,$A38,data_cat,I$1,data_dir,Параметры!$B$3)</f>
        <v>0</v>
      </c>
      <c r="J38" cm="1">
        <f t="array" ref="J38">SUMIFS(data_amt,data_item,$A38,data_cat,J$1,data_dir,Параметры!$B$3)</f>
        <v>0</v>
      </c>
      <c r="K38" cm="1">
        <f t="array" ref="K38">SUMIFS(data_amt,data_item,$A38,data_cat,K$1,data_dir,Параметры!$B$3)</f>
        <v>0</v>
      </c>
      <c r="L38" cm="1">
        <f t="array" ref="L38">SUMIFS(data_amt,data_item,$A38,data_cat,L$1,data_dir,Параметры!$B$3)</f>
        <v>0</v>
      </c>
      <c r="M38" cm="1">
        <f t="array" ref="M38">SUMIFS(data_amt,data_item,$A38,data_cat,M$1,data_dir,Параметры!$B$3)</f>
        <v>0</v>
      </c>
      <c r="N38" cm="1">
        <f t="array" ref="N38">SUMIFS(data_amt,data_item,$A38,data_cat,N$1,data_dir,Параметры!$B$3)</f>
        <v>0</v>
      </c>
      <c r="O38" cm="1">
        <f t="array" ref="O38">SUMIFS(data_amt,data_item,$A38,data_cat,O$1,data_dir,Параметры!$B$3)</f>
        <v>0</v>
      </c>
      <c r="P38" cm="1">
        <f t="array" ref="P38">SUMIFS(data_amt,data_item,$A38,data_cat,P$1,data_dir,Параметры!$B$3)</f>
        <v>0</v>
      </c>
      <c r="Q38" cm="1">
        <f t="array" ref="Q38">SUMIFS(data_amt,data_item,$A38,data_cat,Q$1,data_dir,Параметры!$B$3)</f>
        <v>0</v>
      </c>
      <c r="R38" cm="1">
        <f t="array" ref="R38">SUMIFS(data_amt,data_item,$A38,data_cat,R$1,data_dir,Параметры!$B$3)</f>
        <v>0</v>
      </c>
      <c r="S38" cm="1">
        <f t="array" ref="S38">SUMIFS(data_amt,data_item,$A38,data_cat,S$1,data_dir,Параметры!$B$3)</f>
        <v>-39945.230000000003</v>
      </c>
      <c r="T38" cm="1">
        <f t="array" ref="T38">SUMIFS(data_amt,data_item,$A38,data_cat,T$1,data_dir,Параметры!$B$3)</f>
        <v>0</v>
      </c>
      <c r="U38" cm="1">
        <f t="array" ref="U38">SUMIFS(data_amt,data_item,$A38,data_cat,U$1,data_dir,Параметры!$B$3)</f>
        <v>0</v>
      </c>
      <c r="V38" cm="1">
        <f t="array" ref="V38">SUM(B38:U38)</f>
        <v>-84126.87</v>
      </c>
    </row>
    <row r="39" spans="1:22" x14ac:dyDescent="0.2">
      <c r="A39" t="str" cm="1">
        <f t="array" ref="A39">Статьи!A33</f>
        <v>Чаи 4</v>
      </c>
      <c r="B39" cm="1">
        <f t="array" ref="B39">SUMIFS(data_amt,data_item,$A39,data_cat,B$1,data_dir,Параметры!$B$3)</f>
        <v>0</v>
      </c>
      <c r="C39" cm="1">
        <f t="array" ref="C39">SUMIFS(data_amt,data_item,$A39,data_cat,C$1,data_dir,Параметры!$B$3)</f>
        <v>0</v>
      </c>
      <c r="D39" cm="1">
        <f t="array" ref="D39">SUMIFS(data_amt,data_item,$A39,data_cat,D$1,data_dir,Параметры!$B$3)</f>
        <v>0</v>
      </c>
      <c r="E39" cm="1">
        <f t="array" ref="E39">SUMIFS(data_amt,data_item,$A39,data_cat,E$1,data_dir,Параметры!$B$3)</f>
        <v>12049.53</v>
      </c>
      <c r="F39" cm="1">
        <f t="array" ref="F39">SUMIFS(data_amt,data_item,$A39,data_cat,F$1,data_dir,Параметры!$B$3)</f>
        <v>0</v>
      </c>
      <c r="G39" cm="1">
        <f t="array" ref="G39">SUMIFS(data_amt,data_item,$A39,data_cat,G$1,data_dir,Параметры!$B$3)</f>
        <v>89894.04</v>
      </c>
      <c r="H39" cm="1">
        <f t="array" ref="H39">SUMIFS(data_amt,data_item,$A39,data_cat,H$1,data_dir,Параметры!$B$3)</f>
        <v>0</v>
      </c>
      <c r="I39" cm="1">
        <f t="array" ref="I39">SUMIFS(data_amt,data_item,$A39,data_cat,I$1,data_dir,Параметры!$B$3)</f>
        <v>0</v>
      </c>
      <c r="J39" cm="1">
        <f t="array" ref="J39">SUMIFS(data_amt,data_item,$A39,data_cat,J$1,data_dir,Параметры!$B$3)</f>
        <v>0</v>
      </c>
      <c r="K39" cm="1">
        <f t="array" ref="K39">SUMIFS(data_amt,data_item,$A39,data_cat,K$1,data_dir,Параметры!$B$3)</f>
        <v>0</v>
      </c>
      <c r="L39" cm="1">
        <f t="array" ref="L39">SUMIFS(data_amt,data_item,$A39,data_cat,L$1,data_dir,Параметры!$B$3)</f>
        <v>0</v>
      </c>
      <c r="M39" cm="1">
        <f t="array" ref="M39">SUMIFS(data_amt,data_item,$A39,data_cat,M$1,data_dir,Параметры!$B$3)</f>
        <v>0</v>
      </c>
      <c r="N39" cm="1">
        <f t="array" ref="N39">SUMIFS(data_amt,data_item,$A39,data_cat,N$1,data_dir,Параметры!$B$3)</f>
        <v>0</v>
      </c>
      <c r="O39" cm="1">
        <f t="array" ref="O39">SUMIFS(data_amt,data_item,$A39,data_cat,O$1,data_dir,Параметры!$B$3)</f>
        <v>0</v>
      </c>
      <c r="P39" cm="1">
        <f t="array" ref="P39">SUMIFS(data_amt,data_item,$A39,data_cat,P$1,data_dir,Параметры!$B$3)</f>
        <v>0</v>
      </c>
      <c r="Q39" cm="1">
        <f t="array" ref="Q39">SUMIFS(data_amt,data_item,$A39,data_cat,Q$1,data_dir,Параметры!$B$3)</f>
        <v>0</v>
      </c>
      <c r="R39" cm="1">
        <f t="array" ref="R39">SUMIFS(data_amt,data_item,$A39,data_cat,R$1,data_dir,Параметры!$B$3)</f>
        <v>41880.120000000003</v>
      </c>
      <c r="S39" cm="1">
        <f t="array" ref="S39">SUMIFS(data_amt,data_item,$A39,data_cat,S$1,data_dir,Параметры!$B$3)</f>
        <v>0</v>
      </c>
      <c r="T39" cm="1">
        <f t="array" ref="T39">SUMIFS(data_amt,data_item,$A39,data_cat,T$1,data_dir,Параметры!$B$3)</f>
        <v>0</v>
      </c>
      <c r="U39" cm="1">
        <f t="array" ref="U39">SUMIFS(data_amt,data_item,$A39,data_cat,U$1,data_dir,Параметры!$B$3)</f>
        <v>0</v>
      </c>
      <c r="V39" cm="1">
        <f t="array" ref="V39">SUM(B39:U39)</f>
        <v>143823.69</v>
      </c>
    </row>
    <row r="40" spans="1:22" x14ac:dyDescent="0.2">
      <c r="A40" t="str" cm="1">
        <f t="array" ref="A40">Статьи!A34</f>
        <v>Ёлка 4</v>
      </c>
      <c r="B40" cm="1">
        <f t="array" ref="B40">SUMIFS(data_amt,data_item,$A40,data_cat,B$1,data_dir,Параметры!$B$3)</f>
        <v>0</v>
      </c>
      <c r="C40" cm="1">
        <f t="array" ref="C40">SUMIFS(data_amt,data_item,$A40,data_cat,C$1,data_dir,Параметры!$B$3)</f>
        <v>237308.9</v>
      </c>
      <c r="D40" cm="1">
        <f t="array" ref="D40">SUMIFS(data_amt,data_item,$A40,data_cat,D$1,data_dir,Параметры!$B$3)</f>
        <v>0</v>
      </c>
      <c r="E40" cm="1">
        <f t="array" ref="E40">SUMIFS(data_amt,data_item,$A40,data_cat,E$1,data_dir,Параметры!$B$3)</f>
        <v>0</v>
      </c>
      <c r="F40" cm="1">
        <f t="array" ref="F40">SUMIFS(data_amt,data_item,$A40,data_cat,F$1,data_dir,Параметры!$B$3)</f>
        <v>0</v>
      </c>
      <c r="G40" cm="1">
        <f t="array" ref="G40">SUMIFS(data_amt,data_item,$A40,data_cat,G$1,data_dir,Параметры!$B$3)</f>
        <v>0</v>
      </c>
      <c r="H40" cm="1">
        <f t="array" ref="H40">SUMIFS(data_amt,data_item,$A40,data_cat,H$1,data_dir,Параметры!$B$3)</f>
        <v>-26964.420000000013</v>
      </c>
      <c r="I40" cm="1">
        <f t="array" ref="I40">SUMIFS(data_amt,data_item,$A40,data_cat,I$1,data_dir,Параметры!$B$3)</f>
        <v>0</v>
      </c>
      <c r="J40" cm="1">
        <f t="array" ref="J40">SUMIFS(data_amt,data_item,$A40,data_cat,J$1,data_dir,Параметры!$B$3)</f>
        <v>0</v>
      </c>
      <c r="K40" cm="1">
        <f t="array" ref="K40">SUMIFS(data_amt,data_item,$A40,data_cat,K$1,data_dir,Параметры!$B$3)</f>
        <v>0</v>
      </c>
      <c r="L40" cm="1">
        <f t="array" ref="L40">SUMIFS(data_amt,data_item,$A40,data_cat,L$1,data_dir,Параметры!$B$3)</f>
        <v>0</v>
      </c>
      <c r="M40" cm="1">
        <f t="array" ref="M40">SUMIFS(data_amt,data_item,$A40,data_cat,M$1,data_dir,Параметры!$B$3)</f>
        <v>0</v>
      </c>
      <c r="N40" cm="1">
        <f t="array" ref="N40">SUMIFS(data_amt,data_item,$A40,data_cat,N$1,data_dir,Параметры!$B$3)</f>
        <v>0</v>
      </c>
      <c r="O40" cm="1">
        <f t="array" ref="O40">SUMIFS(data_amt,data_item,$A40,data_cat,O$1,data_dir,Параметры!$B$3)</f>
        <v>0</v>
      </c>
      <c r="P40" cm="1">
        <f t="array" ref="P40">SUMIFS(data_amt,data_item,$A40,data_cat,P$1,data_dir,Параметры!$B$3)</f>
        <v>0</v>
      </c>
      <c r="Q40" cm="1">
        <f t="array" ref="Q40">SUMIFS(data_amt,data_item,$A40,data_cat,Q$1,data_dir,Параметры!$B$3)</f>
        <v>0</v>
      </c>
      <c r="R40" cm="1">
        <f t="array" ref="R40">SUMIFS(data_amt,data_item,$A40,data_cat,R$1,data_dir,Параметры!$B$3)</f>
        <v>0</v>
      </c>
      <c r="S40" cm="1">
        <f t="array" ref="S40">SUMIFS(data_amt,data_item,$A40,data_cat,S$1,data_dir,Параметры!$B$3)</f>
        <v>0</v>
      </c>
      <c r="T40" cm="1">
        <f t="array" ref="T40">SUMIFS(data_amt,data_item,$A40,data_cat,T$1,data_dir,Параметры!$B$3)</f>
        <v>0</v>
      </c>
      <c r="U40" cm="1">
        <f t="array" ref="U40">SUMIFS(data_amt,data_item,$A40,data_cat,U$1,data_dir,Параметры!$B$3)</f>
        <v>0</v>
      </c>
      <c r="V40" cm="1">
        <f t="array" ref="V40">SUM(B40:U40)</f>
        <v>210344.47999999998</v>
      </c>
    </row>
    <row r="41" spans="1:22" x14ac:dyDescent="0.2">
      <c r="A41" t="str" cm="1">
        <f t="array" ref="A41">Статьи!A35</f>
        <v>Елка 4</v>
      </c>
      <c r="B41" cm="1">
        <f t="array" ref="B41">SUMIFS(data_amt,data_item,$A41,data_cat,B$1,data_dir,Параметры!$B$3)</f>
        <v>0</v>
      </c>
      <c r="C41" cm="1">
        <f t="array" ref="C41">SUMIFS(data_amt,data_item,$A41,data_cat,C$1,data_dir,Параметры!$B$3)</f>
        <v>0</v>
      </c>
      <c r="D41" cm="1">
        <f t="array" ref="D41">SUMIFS(data_amt,data_item,$A41,data_cat,D$1,data_dir,Параметры!$B$3)</f>
        <v>0</v>
      </c>
      <c r="E41" cm="1">
        <f t="array" ref="E41">SUMIFS(data_amt,data_item,$A41,data_cat,E$1,data_dir,Параметры!$B$3)</f>
        <v>0</v>
      </c>
      <c r="F41" cm="1">
        <f t="array" ref="F41">SUMIFS(data_amt,data_item,$A41,data_cat,F$1,data_dir,Параметры!$B$3)</f>
        <v>0</v>
      </c>
      <c r="G41" cm="1">
        <f t="array" ref="G41">SUMIFS(data_amt,data_item,$A41,data_cat,G$1,data_dir,Параметры!$B$3)</f>
        <v>295997.21000000002</v>
      </c>
      <c r="H41" cm="1">
        <f t="array" ref="H41">SUMIFS(data_amt,data_item,$A41,data_cat,H$1,data_dir,Параметры!$B$3)</f>
        <v>0</v>
      </c>
      <c r="I41" cm="1">
        <f t="array" ref="I41">SUMIFS(data_amt,data_item,$A41,data_cat,I$1,data_dir,Параметры!$B$3)</f>
        <v>0</v>
      </c>
      <c r="J41" cm="1">
        <f t="array" ref="J41">SUMIFS(data_amt,data_item,$A41,data_cat,J$1,data_dir,Параметры!$B$3)</f>
        <v>0</v>
      </c>
      <c r="K41" cm="1">
        <f t="array" ref="K41">SUMIFS(data_amt,data_item,$A41,data_cat,K$1,data_dir,Параметры!$B$3)</f>
        <v>0</v>
      </c>
      <c r="L41" cm="1">
        <f t="array" ref="L41">SUMIFS(data_amt,data_item,$A41,data_cat,L$1,data_dir,Параметры!$B$3)</f>
        <v>0</v>
      </c>
      <c r="M41" cm="1">
        <f t="array" ref="M41">SUMIFS(data_amt,data_item,$A41,data_cat,M$1,data_dir,Параметры!$B$3)</f>
        <v>0</v>
      </c>
      <c r="N41" cm="1">
        <f t="array" ref="N41">SUMIFS(data_amt,data_item,$A41,data_cat,N$1,data_dir,Параметры!$B$3)</f>
        <v>0</v>
      </c>
      <c r="O41" cm="1">
        <f t="array" ref="O41">SUMIFS(data_amt,data_item,$A41,data_cat,O$1,data_dir,Параметры!$B$3)</f>
        <v>-53677.74</v>
      </c>
      <c r="P41" cm="1">
        <f t="array" ref="P41">SUMIFS(data_amt,data_item,$A41,data_cat,P$1,data_dir,Параметры!$B$3)</f>
        <v>0</v>
      </c>
      <c r="Q41" cm="1">
        <f t="array" ref="Q41">SUMIFS(data_amt,data_item,$A41,data_cat,Q$1,data_dir,Параметры!$B$3)</f>
        <v>0</v>
      </c>
      <c r="R41" cm="1">
        <f t="array" ref="R41">SUMIFS(data_amt,data_item,$A41,data_cat,R$1,data_dir,Параметры!$B$3)</f>
        <v>0</v>
      </c>
      <c r="S41" cm="1">
        <f t="array" ref="S41">SUMIFS(data_amt,data_item,$A41,data_cat,S$1,data_dir,Параметры!$B$3)</f>
        <v>0</v>
      </c>
      <c r="T41" cm="1">
        <f t="array" ref="T41">SUMIFS(data_amt,data_item,$A41,data_cat,T$1,data_dir,Параметры!$B$3)</f>
        <v>0</v>
      </c>
      <c r="U41" cm="1">
        <f t="array" ref="U41">SUMIFS(data_amt,data_item,$A41,data_cat,U$1,data_dir,Параметры!$B$3)</f>
        <v>0</v>
      </c>
      <c r="V41" cm="1">
        <f t="array" ref="V41">SUM(B41:U41)</f>
        <v>242319.47000000003</v>
      </c>
    </row>
    <row r="42" spans="1:22" x14ac:dyDescent="0.2">
      <c r="A42" t="str" cm="1">
        <f t="array" ref="A42">Статьи!A36</f>
        <v>Аренда 4</v>
      </c>
      <c r="B42" cm="1">
        <f t="array" ref="B42">SUMIFS(data_amt,data_item,$A42,data_cat,B$1,data_dir,Параметры!$B$3)</f>
        <v>0</v>
      </c>
      <c r="C42" cm="1">
        <f t="array" ref="C42">SUMIFS(data_amt,data_item,$A42,data_cat,C$1,data_dir,Параметры!$B$3)</f>
        <v>0</v>
      </c>
      <c r="D42" cm="1">
        <f t="array" ref="D42">SUMIFS(data_amt,data_item,$A42,data_cat,D$1,data_dir,Параметры!$B$3)</f>
        <v>0</v>
      </c>
      <c r="E42" cm="1">
        <f t="array" ref="E42">SUMIFS(data_amt,data_item,$A42,data_cat,E$1,data_dir,Параметры!$B$3)</f>
        <v>0</v>
      </c>
      <c r="F42" cm="1">
        <f t="array" ref="F42">SUMIFS(data_amt,data_item,$A42,data_cat,F$1,data_dir,Параметры!$B$3)</f>
        <v>0</v>
      </c>
      <c r="G42" cm="1">
        <f t="array" ref="G42">SUMIFS(data_amt,data_item,$A42,data_cat,G$1,data_dir,Параметры!$B$3)</f>
        <v>0</v>
      </c>
      <c r="H42" cm="1">
        <f t="array" ref="H42">SUMIFS(data_amt,data_item,$A42,data_cat,H$1,data_dir,Параметры!$B$3)</f>
        <v>0</v>
      </c>
      <c r="I42" cm="1">
        <f t="array" ref="I42">SUMIFS(data_amt,data_item,$A42,data_cat,I$1,data_dir,Параметры!$B$3)</f>
        <v>0</v>
      </c>
      <c r="J42" cm="1">
        <f t="array" ref="J42">SUMIFS(data_amt,data_item,$A42,data_cat,J$1,data_dir,Параметры!$B$3)</f>
        <v>0</v>
      </c>
      <c r="K42" cm="1">
        <f t="array" ref="K42">SUMIFS(data_amt,data_item,$A42,data_cat,K$1,data_dir,Параметры!$B$3)</f>
        <v>380221.97</v>
      </c>
      <c r="L42" cm="1">
        <f t="array" ref="L42">SUMIFS(data_amt,data_item,$A42,data_cat,L$1,data_dir,Параметры!$B$3)</f>
        <v>0</v>
      </c>
      <c r="M42" cm="1">
        <f t="array" ref="M42">SUMIFS(data_amt,data_item,$A42,data_cat,M$1,data_dir,Параметры!$B$3)</f>
        <v>395883.54000000004</v>
      </c>
      <c r="N42" cm="1">
        <f t="array" ref="N42">SUMIFS(data_amt,data_item,$A42,data_cat,N$1,data_dir,Параметры!$B$3)</f>
        <v>0</v>
      </c>
      <c r="O42" cm="1">
        <f t="array" ref="O42">SUMIFS(data_amt,data_item,$A42,data_cat,O$1,data_dir,Параметры!$B$3)</f>
        <v>0</v>
      </c>
      <c r="P42" cm="1">
        <f t="array" ref="P42">SUMIFS(data_amt,data_item,$A42,data_cat,P$1,data_dir,Параметры!$B$3)</f>
        <v>0</v>
      </c>
      <c r="Q42" cm="1">
        <f t="array" ref="Q42">SUMIFS(data_amt,data_item,$A42,data_cat,Q$1,data_dir,Параметры!$B$3)</f>
        <v>0</v>
      </c>
      <c r="R42" cm="1">
        <f t="array" ref="R42">SUMIFS(data_amt,data_item,$A42,data_cat,R$1,data_dir,Параметры!$B$3)</f>
        <v>0</v>
      </c>
      <c r="S42" cm="1">
        <f t="array" ref="S42">SUMIFS(data_amt,data_item,$A42,data_cat,S$1,data_dir,Параметры!$B$3)</f>
        <v>0</v>
      </c>
      <c r="T42" cm="1">
        <f t="array" ref="T42">SUMIFS(data_amt,data_item,$A42,data_cat,T$1,data_dir,Параметры!$B$3)</f>
        <v>0</v>
      </c>
      <c r="U42" cm="1">
        <f t="array" ref="U42">SUMIFS(data_amt,data_item,$A42,data_cat,U$1,data_dir,Параметры!$B$3)</f>
        <v>0</v>
      </c>
      <c r="V42" cm="1">
        <f t="array" ref="V42">SUM(B42:U42)</f>
        <v>776105.51</v>
      </c>
    </row>
    <row r="43" spans="1:22" x14ac:dyDescent="0.2">
      <c r="A43" t="s">
        <v>465</v>
      </c>
      <c r="B43" cm="1">
        <f t="array" ref="B43">SUM(B38:B42)</f>
        <v>0</v>
      </c>
      <c r="C43" cm="1">
        <f t="array" ref="C43">SUM(C38:C42)</f>
        <v>237308.9</v>
      </c>
      <c r="D43" cm="1">
        <f t="array" ref="D43">SUM(D38:D42)</f>
        <v>0</v>
      </c>
      <c r="E43" cm="1">
        <f t="array" ref="E43">SUM(E38:E42)</f>
        <v>12049.53</v>
      </c>
      <c r="F43" cm="1">
        <f t="array" ref="F43">SUM(F38:F42)</f>
        <v>0</v>
      </c>
      <c r="G43" cm="1">
        <f t="array" ref="G43">SUM(G38:G42)</f>
        <v>341709.61</v>
      </c>
      <c r="H43" cm="1">
        <f t="array" ref="H43">SUM(H38:H42)</f>
        <v>-26964.420000000013</v>
      </c>
      <c r="I43" cm="1">
        <f t="array" ref="I43">SUM(I38:I42)</f>
        <v>0</v>
      </c>
      <c r="J43" cm="1">
        <f t="array" ref="J43">SUM(J38:J42)</f>
        <v>0</v>
      </c>
      <c r="K43" cm="1">
        <f t="array" ref="K43">SUM(K38:K42)</f>
        <v>380221.97</v>
      </c>
      <c r="L43" cm="1">
        <f t="array" ref="L43">SUM(L38:L42)</f>
        <v>0</v>
      </c>
      <c r="M43" cm="1">
        <f t="array" ref="M43">SUM(M38:M42)</f>
        <v>395883.54000000004</v>
      </c>
      <c r="N43" cm="1">
        <f t="array" ref="N43">SUM(N38:N42)</f>
        <v>0</v>
      </c>
      <c r="O43" cm="1">
        <f t="array" ref="O43">SUM(O38:O42)</f>
        <v>-53677.74</v>
      </c>
      <c r="P43" cm="1">
        <f t="array" ref="P43">SUM(P38:P42)</f>
        <v>0</v>
      </c>
      <c r="Q43" cm="1">
        <f t="array" ref="Q43">SUM(Q38:Q42)</f>
        <v>0</v>
      </c>
      <c r="R43" cm="1">
        <f t="array" ref="R43">SUM(R38:R42)</f>
        <v>41880.120000000003</v>
      </c>
      <c r="S43" cm="1">
        <f t="array" ref="S43">SUM(S38:S42)</f>
        <v>-39945.230000000003</v>
      </c>
      <c r="T43" cm="1">
        <f t="array" ref="T43">SUM(T38:T42)</f>
        <v>0</v>
      </c>
      <c r="U43" cm="1">
        <f t="array" ref="U43">SUM(U38:U42)</f>
        <v>0</v>
      </c>
      <c r="V43" cm="1">
        <f t="array" ref="V43">SUM(V38:V42)</f>
        <v>1288466.28</v>
      </c>
    </row>
    <row r="44" spans="1:22" x14ac:dyDescent="0.2">
      <c r="A44" t="str" cm="1">
        <f t="array" ref="A44">Статьи!A37</f>
        <v>Связь 4</v>
      </c>
      <c r="B44" cm="1">
        <f t="array" ref="B44">SUMIFS(data_amt,data_item,$A44,data_cat,B$1,data_dir,Параметры!$B$3)</f>
        <v>0</v>
      </c>
      <c r="C44" cm="1">
        <f t="array" ref="C44">SUMIFS(data_amt,data_item,$A44,data_cat,C$1,data_dir,Параметры!$B$3)</f>
        <v>0</v>
      </c>
      <c r="D44" cm="1">
        <f t="array" ref="D44">SUMIFS(data_amt,data_item,$A44,data_cat,D$1,data_dir,Параметры!$B$3)</f>
        <v>0</v>
      </c>
      <c r="E44" cm="1">
        <f t="array" ref="E44">SUMIFS(data_amt,data_item,$A44,data_cat,E$1,data_dir,Параметры!$B$3)</f>
        <v>12844.7</v>
      </c>
      <c r="F44" cm="1">
        <f t="array" ref="F44">SUMIFS(data_amt,data_item,$A44,data_cat,F$1,data_dir,Параметры!$B$3)</f>
        <v>0</v>
      </c>
      <c r="G44" cm="1">
        <f t="array" ref="G44">SUMIFS(data_amt,data_item,$A44,data_cat,G$1,data_dir,Параметры!$B$3)</f>
        <v>0</v>
      </c>
      <c r="H44" cm="1">
        <f t="array" ref="H44">SUMIFS(data_amt,data_item,$A44,data_cat,H$1,data_dir,Параметры!$B$3)</f>
        <v>0</v>
      </c>
      <c r="I44" cm="1">
        <f t="array" ref="I44">SUMIFS(data_amt,data_item,$A44,data_cat,I$1,data_dir,Параметры!$B$3)</f>
        <v>0</v>
      </c>
      <c r="J44" cm="1">
        <f t="array" ref="J44">SUMIFS(data_amt,data_item,$A44,data_cat,J$1,data_dir,Параметры!$B$3)</f>
        <v>0</v>
      </c>
      <c r="K44" cm="1">
        <f t="array" ref="K44">SUMIFS(data_amt,data_item,$A44,data_cat,K$1,data_dir,Параметры!$B$3)</f>
        <v>0</v>
      </c>
      <c r="L44" cm="1">
        <f t="array" ref="L44">SUMIFS(data_amt,data_item,$A44,data_cat,L$1,data_dir,Параметры!$B$3)</f>
        <v>0</v>
      </c>
      <c r="M44" cm="1">
        <f t="array" ref="M44">SUMIFS(data_amt,data_item,$A44,data_cat,M$1,data_dir,Параметры!$B$3)</f>
        <v>0</v>
      </c>
      <c r="N44" cm="1">
        <f t="array" ref="N44">SUMIFS(data_amt,data_item,$A44,data_cat,N$1,data_dir,Параметры!$B$3)</f>
        <v>302386.02</v>
      </c>
      <c r="O44" cm="1">
        <f t="array" ref="O44">SUMIFS(data_amt,data_item,$A44,data_cat,O$1,data_dir,Параметры!$B$3)</f>
        <v>0</v>
      </c>
      <c r="P44" cm="1">
        <f t="array" ref="P44">SUMIFS(data_amt,data_item,$A44,data_cat,P$1,data_dir,Параметры!$B$3)</f>
        <v>0</v>
      </c>
      <c r="Q44" cm="1">
        <f t="array" ref="Q44">SUMIFS(data_amt,data_item,$A44,data_cat,Q$1,data_dir,Параметры!$B$3)</f>
        <v>0</v>
      </c>
      <c r="R44" cm="1">
        <f t="array" ref="R44">SUMIFS(data_amt,data_item,$A44,data_cat,R$1,data_dir,Параметры!$B$3)</f>
        <v>0</v>
      </c>
      <c r="S44" cm="1">
        <f t="array" ref="S44">SUMIFS(data_amt,data_item,$A44,data_cat,S$1,data_dir,Параметры!$B$3)</f>
        <v>0</v>
      </c>
      <c r="T44" cm="1">
        <f t="array" ref="T44">SUMIFS(data_amt,data_item,$A44,data_cat,T$1,data_dir,Параметры!$B$3)</f>
        <v>0</v>
      </c>
      <c r="U44" cm="1">
        <f t="array" ref="U44">SUMIFS(data_amt,data_item,$A44,data_cat,U$1,data_dir,Параметры!$B$3)</f>
        <v>0</v>
      </c>
      <c r="V44" cm="1">
        <f t="array" ref="V44">SUM(B44:U44)</f>
        <v>315230.72000000003</v>
      </c>
    </row>
    <row r="45" spans="1:22" x14ac:dyDescent="0.2">
      <c r="A45" t="str" cm="1">
        <f t="array" ref="A45">Статьи!A38</f>
        <v>Налог 4</v>
      </c>
      <c r="B45" cm="1">
        <f t="array" ref="B45">SUMIFS(data_amt,data_item,$A45,data_cat,B$1,data_dir,Параметры!$B$3)</f>
        <v>0</v>
      </c>
      <c r="C45" cm="1">
        <f t="array" ref="C45">SUMIFS(data_amt,data_item,$A45,data_cat,C$1,data_dir,Параметры!$B$3)</f>
        <v>0</v>
      </c>
      <c r="D45" cm="1">
        <f t="array" ref="D45">SUMIFS(data_amt,data_item,$A45,data_cat,D$1,data_dir,Параметры!$B$3)</f>
        <v>0</v>
      </c>
      <c r="E45" cm="1">
        <f t="array" ref="E45">SUMIFS(data_amt,data_item,$A45,data_cat,E$1,data_dir,Параметры!$B$3)</f>
        <v>0</v>
      </c>
      <c r="F45" cm="1">
        <f t="array" ref="F45">SUMIFS(data_amt,data_item,$A45,data_cat,F$1,data_dir,Параметры!$B$3)</f>
        <v>167868.39</v>
      </c>
      <c r="G45" cm="1">
        <f t="array" ref="G45">SUMIFS(data_amt,data_item,$A45,data_cat,G$1,data_dir,Параметры!$B$3)</f>
        <v>116477.62</v>
      </c>
      <c r="H45" cm="1">
        <f t="array" ref="H45">SUMIFS(data_amt,data_item,$A45,data_cat,H$1,data_dir,Параметры!$B$3)</f>
        <v>0</v>
      </c>
      <c r="I45" cm="1">
        <f t="array" ref="I45">SUMIFS(data_amt,data_item,$A45,data_cat,I$1,data_dir,Параметры!$B$3)</f>
        <v>0</v>
      </c>
      <c r="J45" cm="1">
        <f t="array" ref="J45">SUMIFS(data_amt,data_item,$A45,data_cat,J$1,data_dir,Параметры!$B$3)</f>
        <v>0</v>
      </c>
      <c r="K45" cm="1">
        <f t="array" ref="K45">SUMIFS(data_amt,data_item,$A45,data_cat,K$1,data_dir,Параметры!$B$3)</f>
        <v>-23322.9</v>
      </c>
      <c r="L45" cm="1">
        <f t="array" ref="L45">SUMIFS(data_amt,data_item,$A45,data_cat,L$1,data_dir,Параметры!$B$3)</f>
        <v>0</v>
      </c>
      <c r="M45" cm="1">
        <f t="array" ref="M45">SUMIFS(data_amt,data_item,$A45,data_cat,M$1,data_dir,Параметры!$B$3)</f>
        <v>0</v>
      </c>
      <c r="N45" cm="1">
        <f t="array" ref="N45">SUMIFS(data_amt,data_item,$A45,data_cat,N$1,data_dir,Параметры!$B$3)</f>
        <v>0</v>
      </c>
      <c r="O45" cm="1">
        <f t="array" ref="O45">SUMIFS(data_amt,data_item,$A45,data_cat,O$1,data_dir,Параметры!$B$3)</f>
        <v>0</v>
      </c>
      <c r="P45" cm="1">
        <f t="array" ref="P45">SUMIFS(data_amt,data_item,$A45,data_cat,P$1,data_dir,Параметры!$B$3)</f>
        <v>0</v>
      </c>
      <c r="Q45" cm="1">
        <f t="array" ref="Q45">SUMIFS(data_amt,data_item,$A45,data_cat,Q$1,data_dir,Параметры!$B$3)</f>
        <v>0</v>
      </c>
      <c r="R45" cm="1">
        <f t="array" ref="R45">SUMIFS(data_amt,data_item,$A45,data_cat,R$1,data_dir,Параметры!$B$3)</f>
        <v>0</v>
      </c>
      <c r="S45" cm="1">
        <f t="array" ref="S45">SUMIFS(data_amt,data_item,$A45,data_cat,S$1,data_dir,Параметры!$B$3)</f>
        <v>0</v>
      </c>
      <c r="T45" cm="1">
        <f t="array" ref="T45">SUMIFS(data_amt,data_item,$A45,data_cat,T$1,data_dir,Параметры!$B$3)</f>
        <v>0</v>
      </c>
      <c r="U45" cm="1">
        <f t="array" ref="U45">SUMIFS(data_amt,data_item,$A45,data_cat,U$1,data_dir,Параметры!$B$3)</f>
        <v>0</v>
      </c>
      <c r="V45" cm="1">
        <f t="array" ref="V45">SUM(B45:U45)</f>
        <v>261023.11000000002</v>
      </c>
    </row>
    <row r="46" spans="1:22" x14ac:dyDescent="0.2">
      <c r="A46" t="str" cm="1">
        <f t="array" ref="A46">Статьи!A39</f>
        <v>Доход 4</v>
      </c>
      <c r="B46" cm="1">
        <f t="array" ref="B46">SUMIFS(data_amt,data_item,$A46,data_cat,B$1,data_dir,Параметры!$B$3)</f>
        <v>0</v>
      </c>
      <c r="C46" cm="1">
        <f t="array" ref="C46">SUMIFS(data_amt,data_item,$A46,data_cat,C$1,data_dir,Параметры!$B$3)</f>
        <v>0</v>
      </c>
      <c r="D46" cm="1">
        <f t="array" ref="D46">SUMIFS(data_amt,data_item,$A46,data_cat,D$1,data_dir,Параметры!$B$3)</f>
        <v>317210.93</v>
      </c>
      <c r="E46" cm="1">
        <f t="array" ref="E46">SUMIFS(data_amt,data_item,$A46,data_cat,E$1,data_dir,Параметры!$B$3)</f>
        <v>0</v>
      </c>
      <c r="F46" cm="1">
        <f t="array" ref="F46">SUMIFS(data_amt,data_item,$A46,data_cat,F$1,data_dir,Параметры!$B$3)</f>
        <v>0</v>
      </c>
      <c r="G46" cm="1">
        <f t="array" ref="G46">SUMIFS(data_amt,data_item,$A46,data_cat,G$1,data_dir,Параметры!$B$3)</f>
        <v>0</v>
      </c>
      <c r="H46" cm="1">
        <f t="array" ref="H46">SUMIFS(data_amt,data_item,$A46,data_cat,H$1,data_dir,Параметры!$B$3)</f>
        <v>129951.6</v>
      </c>
      <c r="I46" cm="1">
        <f t="array" ref="I46">SUMIFS(data_amt,data_item,$A46,data_cat,I$1,data_dir,Параметры!$B$3)</f>
        <v>0</v>
      </c>
      <c r="J46" cm="1">
        <f t="array" ref="J46">SUMIFS(data_amt,data_item,$A46,data_cat,J$1,data_dir,Параметры!$B$3)</f>
        <v>0</v>
      </c>
      <c r="K46" cm="1">
        <f t="array" ref="K46">SUMIFS(data_amt,data_item,$A46,data_cat,K$1,data_dir,Параметры!$B$3)</f>
        <v>0</v>
      </c>
      <c r="L46" cm="1">
        <f t="array" ref="L46">SUMIFS(data_amt,data_item,$A46,data_cat,L$1,data_dir,Параметры!$B$3)</f>
        <v>31149.099999999991</v>
      </c>
      <c r="M46" cm="1">
        <f t="array" ref="M46">SUMIFS(data_amt,data_item,$A46,data_cat,M$1,data_dir,Параметры!$B$3)</f>
        <v>0</v>
      </c>
      <c r="N46" cm="1">
        <f t="array" ref="N46">SUMIFS(data_amt,data_item,$A46,data_cat,N$1,data_dir,Параметры!$B$3)</f>
        <v>0</v>
      </c>
      <c r="O46" cm="1">
        <f t="array" ref="O46">SUMIFS(data_amt,data_item,$A46,data_cat,O$1,data_dir,Параметры!$B$3)</f>
        <v>0</v>
      </c>
      <c r="P46" cm="1">
        <f t="array" ref="P46">SUMIFS(data_amt,data_item,$A46,data_cat,P$1,data_dir,Параметры!$B$3)</f>
        <v>0</v>
      </c>
      <c r="Q46" cm="1">
        <f t="array" ref="Q46">SUMIFS(data_amt,data_item,$A46,data_cat,Q$1,data_dir,Параметры!$B$3)</f>
        <v>0</v>
      </c>
      <c r="R46" cm="1">
        <f t="array" ref="R46">SUMIFS(data_amt,data_item,$A46,data_cat,R$1,data_dir,Параметры!$B$3)</f>
        <v>0</v>
      </c>
      <c r="S46" cm="1">
        <f t="array" ref="S46">SUMIFS(data_amt,data_item,$A46,data_cat,S$1,data_dir,Параметры!$B$3)</f>
        <v>36015.599999999999</v>
      </c>
      <c r="T46" cm="1">
        <f t="array" ref="T46">SUMIFS(data_amt,data_item,$A46,data_cat,T$1,data_dir,Параметры!$B$3)</f>
        <v>-60052.41</v>
      </c>
      <c r="U46" cm="1">
        <f t="array" ref="U46">SUMIFS(data_amt,data_item,$A46,data_cat,U$1,data_dir,Параметры!$B$3)</f>
        <v>0</v>
      </c>
      <c r="V46" cm="1">
        <f t="array" ref="V46">SUM(B46:U46)</f>
        <v>454274.81999999995</v>
      </c>
    </row>
    <row r="47" spans="1:22" x14ac:dyDescent="0.2">
      <c r="A47" t="str" cm="1">
        <f t="array" ref="A47">Статьи!A40</f>
        <v>Сырьё 4</v>
      </c>
      <c r="B47" cm="1">
        <f t="array" ref="B47">SUMIFS(data_amt,data_item,$A47,data_cat,B$1,data_dir,Параметры!$B$3)</f>
        <v>0</v>
      </c>
      <c r="C47" cm="1">
        <f t="array" ref="C47">SUMIFS(data_amt,data_item,$A47,data_cat,C$1,data_dir,Параметры!$B$3)</f>
        <v>0</v>
      </c>
      <c r="D47" cm="1">
        <f t="array" ref="D47">SUMIFS(data_amt,data_item,$A47,data_cat,D$1,data_dir,Параметры!$B$3)</f>
        <v>0</v>
      </c>
      <c r="E47" cm="1">
        <f t="array" ref="E47">SUMIFS(data_amt,data_item,$A47,data_cat,E$1,data_dir,Параметры!$B$3)</f>
        <v>0</v>
      </c>
      <c r="F47" cm="1">
        <f t="array" ref="F47">SUMIFS(data_amt,data_item,$A47,data_cat,F$1,data_dir,Параметры!$B$3)</f>
        <v>0</v>
      </c>
      <c r="G47" cm="1">
        <f t="array" ref="G47">SUMIFS(data_amt,data_item,$A47,data_cat,G$1,data_dir,Параметры!$B$3)</f>
        <v>132167.10999999999</v>
      </c>
      <c r="H47" cm="1">
        <f t="array" ref="H47">SUMIFS(data_amt,data_item,$A47,data_cat,H$1,data_dir,Параметры!$B$3)</f>
        <v>-77915.360000000001</v>
      </c>
      <c r="I47" cm="1">
        <f t="array" ref="I47">SUMIFS(data_amt,data_item,$A47,data_cat,I$1,data_dir,Параметры!$B$3)</f>
        <v>0</v>
      </c>
      <c r="J47" cm="1">
        <f t="array" ref="J47">SUMIFS(data_amt,data_item,$A47,data_cat,J$1,data_dir,Параметры!$B$3)</f>
        <v>0</v>
      </c>
      <c r="K47" cm="1">
        <f t="array" ref="K47">SUMIFS(data_amt,data_item,$A47,data_cat,K$1,data_dir,Параметры!$B$3)</f>
        <v>0</v>
      </c>
      <c r="L47" cm="1">
        <f t="array" ref="L47">SUMIFS(data_amt,data_item,$A47,data_cat,L$1,data_dir,Параметры!$B$3)</f>
        <v>607341.30000000005</v>
      </c>
      <c r="M47" cm="1">
        <f t="array" ref="M47">SUMIFS(data_amt,data_item,$A47,data_cat,M$1,data_dir,Параметры!$B$3)</f>
        <v>0</v>
      </c>
      <c r="N47" cm="1">
        <f t="array" ref="N47">SUMIFS(data_amt,data_item,$A47,data_cat,N$1,data_dir,Параметры!$B$3)</f>
        <v>0</v>
      </c>
      <c r="O47" cm="1">
        <f t="array" ref="O47">SUMIFS(data_amt,data_item,$A47,data_cat,O$1,data_dir,Параметры!$B$3)</f>
        <v>0</v>
      </c>
      <c r="P47" cm="1">
        <f t="array" ref="P47">SUMIFS(data_amt,data_item,$A47,data_cat,P$1,data_dir,Параметры!$B$3)</f>
        <v>0</v>
      </c>
      <c r="Q47" cm="1">
        <f t="array" ref="Q47">SUMIFS(data_amt,data_item,$A47,data_cat,Q$1,data_dir,Параметры!$B$3)</f>
        <v>0</v>
      </c>
      <c r="R47" cm="1">
        <f t="array" ref="R47">SUMIFS(data_amt,data_item,$A47,data_cat,R$1,data_dir,Параметры!$B$3)</f>
        <v>47294.32</v>
      </c>
      <c r="S47" cm="1">
        <f t="array" ref="S47">SUMIFS(data_amt,data_item,$A47,data_cat,S$1,data_dir,Параметры!$B$3)</f>
        <v>0</v>
      </c>
      <c r="T47" cm="1">
        <f t="array" ref="T47">SUMIFS(data_amt,data_item,$A47,data_cat,T$1,data_dir,Параметры!$B$3)</f>
        <v>0</v>
      </c>
      <c r="U47" cm="1">
        <f t="array" ref="U47">SUMIFS(data_amt,data_item,$A47,data_cat,U$1,data_dir,Параметры!$B$3)</f>
        <v>0</v>
      </c>
      <c r="V47" cm="1">
        <f t="array" ref="V47">SUM(B47:U47)</f>
        <v>708887.37</v>
      </c>
    </row>
    <row r="48" spans="1:22" x14ac:dyDescent="0.2">
      <c r="A48" t="str" cm="1">
        <f t="array" ref="A48">Статьи!A41</f>
        <v>Сырье 4</v>
      </c>
      <c r="B48" cm="1">
        <f t="array" ref="B48">SUMIFS(data_amt,data_item,$A48,data_cat,B$1,data_dir,Параметры!$B$3)</f>
        <v>0</v>
      </c>
      <c r="C48" cm="1">
        <f t="array" ref="C48">SUMIFS(data_amt,data_item,$A48,data_cat,C$1,data_dir,Параметры!$B$3)</f>
        <v>0</v>
      </c>
      <c r="D48" cm="1">
        <f t="array" ref="D48">SUMIFS(data_amt,data_item,$A48,data_cat,D$1,data_dir,Параметры!$B$3)</f>
        <v>0</v>
      </c>
      <c r="E48" cm="1">
        <f t="array" ref="E48">SUMIFS(data_amt,data_item,$A48,data_cat,E$1,data_dir,Параметры!$B$3)</f>
        <v>0</v>
      </c>
      <c r="F48" cm="1">
        <f t="array" ref="F48">SUMIFS(data_amt,data_item,$A48,data_cat,F$1,data_dir,Параметры!$B$3)</f>
        <v>0</v>
      </c>
      <c r="G48" cm="1">
        <f t="array" ref="G48">SUMIFS(data_amt,data_item,$A48,data_cat,G$1,data_dir,Параметры!$B$3)</f>
        <v>0</v>
      </c>
      <c r="H48" cm="1">
        <f t="array" ref="H48">SUMIFS(data_amt,data_item,$A48,data_cat,H$1,data_dir,Параметры!$B$3)</f>
        <v>0</v>
      </c>
      <c r="I48" cm="1">
        <f t="array" ref="I48">SUMIFS(data_amt,data_item,$A48,data_cat,I$1,data_dir,Параметры!$B$3)</f>
        <v>0</v>
      </c>
      <c r="J48" cm="1">
        <f t="array" ref="J48">SUMIFS(data_amt,data_item,$A48,data_cat,J$1,data_dir,Параметры!$B$3)</f>
        <v>0</v>
      </c>
      <c r="K48" cm="1">
        <f t="array" ref="K48">SUMIFS(data_amt,data_item,$A48,data_cat,K$1,data_dir,Параметры!$B$3)</f>
        <v>0</v>
      </c>
      <c r="L48" cm="1">
        <f t="array" ref="L48">SUMIFS(data_amt,data_item,$A48,data_cat,L$1,data_dir,Параметры!$B$3)</f>
        <v>0</v>
      </c>
      <c r="M48" cm="1">
        <f t="array" ref="M48">SUMIFS(data_amt,data_item,$A48,data_cat,M$1,data_dir,Параметры!$B$3)</f>
        <v>0</v>
      </c>
      <c r="N48" cm="1">
        <f t="array" ref="N48">SUMIFS(data_amt,data_item,$A48,data_cat,N$1,data_dir,Параметры!$B$3)</f>
        <v>0</v>
      </c>
      <c r="O48" cm="1">
        <f t="array" ref="O48">SUMIFS(data_amt,data_item,$A48,data_cat,O$1,data_dir,Параметры!$B$3)</f>
        <v>0</v>
      </c>
      <c r="P48" cm="1">
        <f t="array" ref="P48">SUMIFS(data_amt,data_item,$A48,data_cat,P$1,data_dir,Параметры!$B$3)</f>
        <v>0</v>
      </c>
      <c r="Q48" cm="1">
        <f t="array" ref="Q48">SUMIFS(data_amt,data_item,$A48,data_cat,Q$1,data_dir,Параметры!$B$3)</f>
        <v>0</v>
      </c>
      <c r="R48" cm="1">
        <f t="array" ref="R48">SUMIFS(data_amt,data_item,$A48,data_cat,R$1,data_dir,Параметры!$B$3)</f>
        <v>0</v>
      </c>
      <c r="S48" cm="1">
        <f t="array" ref="S48">SUMIFS(data_amt,data_item,$A48,data_cat,S$1,data_dir,Параметры!$B$3)</f>
        <v>0</v>
      </c>
      <c r="T48" cm="1">
        <f t="array" ref="T48">SUMIFS(data_amt,data_item,$A48,data_cat,T$1,data_dir,Параметры!$B$3)</f>
        <v>0</v>
      </c>
      <c r="U48" cm="1">
        <f t="array" ref="U48">SUMIFS(data_amt,data_item,$A48,data_cat,U$1,data_dir,Параметры!$B$3)</f>
        <v>0</v>
      </c>
      <c r="V48" cm="1">
        <f t="array" ref="V48">SUM(B48:U48)</f>
        <v>0</v>
      </c>
    </row>
    <row r="49" spans="1:22" x14ac:dyDescent="0.2">
      <c r="A49" t="s">
        <v>466</v>
      </c>
      <c r="B49" cm="1">
        <f t="array" ref="B49">SUM(B44:B48)</f>
        <v>0</v>
      </c>
      <c r="C49" cm="1">
        <f t="array" ref="C49">SUM(C44:C48)</f>
        <v>0</v>
      </c>
      <c r="D49" cm="1">
        <f t="array" ref="D49">SUM(D44:D48)</f>
        <v>317210.93</v>
      </c>
      <c r="E49" cm="1">
        <f t="array" ref="E49">SUM(E44:E48)</f>
        <v>12844.7</v>
      </c>
      <c r="F49" cm="1">
        <f t="array" ref="F49">SUM(F44:F48)</f>
        <v>167868.39</v>
      </c>
      <c r="G49" cm="1">
        <f t="array" ref="G49">SUM(G44:G48)</f>
        <v>248644.72999999998</v>
      </c>
      <c r="H49" cm="1">
        <f t="array" ref="H49">SUM(H44:H48)</f>
        <v>52036.240000000005</v>
      </c>
      <c r="I49" cm="1">
        <f t="array" ref="I49">SUM(I44:I48)</f>
        <v>0</v>
      </c>
      <c r="J49" cm="1">
        <f t="array" ref="J49">SUM(J44:J48)</f>
        <v>0</v>
      </c>
      <c r="K49" cm="1">
        <f t="array" ref="K49">SUM(K44:K48)</f>
        <v>-23322.9</v>
      </c>
      <c r="L49" cm="1">
        <f t="array" ref="L49">SUM(L44:L48)</f>
        <v>638490.4</v>
      </c>
      <c r="M49" cm="1">
        <f t="array" ref="M49">SUM(M44:M48)</f>
        <v>0</v>
      </c>
      <c r="N49" cm="1">
        <f t="array" ref="N49">SUM(N44:N48)</f>
        <v>302386.02</v>
      </c>
      <c r="O49" cm="1">
        <f t="array" ref="O49">SUM(O44:O48)</f>
        <v>0</v>
      </c>
      <c r="P49" cm="1">
        <f t="array" ref="P49">SUM(P44:P48)</f>
        <v>0</v>
      </c>
      <c r="Q49" cm="1">
        <f t="array" ref="Q49">SUM(Q44:Q48)</f>
        <v>0</v>
      </c>
      <c r="R49" cm="1">
        <f t="array" ref="R49">SUM(R44:R48)</f>
        <v>47294.32</v>
      </c>
      <c r="S49" cm="1">
        <f t="array" ref="S49">SUM(S44:S48)</f>
        <v>36015.599999999999</v>
      </c>
      <c r="T49" cm="1">
        <f t="array" ref="T49">SUM(T44:T48)</f>
        <v>-60052.41</v>
      </c>
      <c r="U49" cm="1">
        <f t="array" ref="U49">SUM(U44:U48)</f>
        <v>0</v>
      </c>
      <c r="V49" cm="1">
        <f t="array" ref="V49">SUM(V44:V48)</f>
        <v>1739416.02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1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469</v>
      </c>
      <c r="B1" cm="1">
        <f t="array" ref="B1">EOMONTH(Параметры!$B$1,-1)+1</f>
        <v>45658</v>
      </c>
      <c r="C1" cm="1">
        <f t="array" ref="C1">EOMONTH(Параметры!$B$1,-1)+1</f>
        <v>45658</v>
      </c>
      <c r="D1" cm="1">
        <f t="array" ref="D1">EOMONTH(Параметры!$B$1,0)+1</f>
        <v>45689</v>
      </c>
      <c r="E1" cm="1">
        <f t="array" ref="E1">EOMONTH(Параметры!$B$1,0)+1</f>
        <v>45689</v>
      </c>
      <c r="F1" cm="1">
        <f t="array" ref="F1">EOMONTH(Параметры!$B$1,1)+1</f>
        <v>45717</v>
      </c>
      <c r="G1" cm="1">
        <f t="array" ref="G1">EOMONTH(Параметры!$B$1,1)+1</f>
        <v>45717</v>
      </c>
      <c r="H1" cm="1">
        <f t="array" ref="H1">EOMONTH(Параметры!$B$1,2)+1</f>
        <v>45748</v>
      </c>
      <c r="I1" cm="1">
        <f t="array" ref="I1">EOMONTH(Параметры!$B$1,2)+1</f>
        <v>45748</v>
      </c>
      <c r="J1" cm="1">
        <f t="array" ref="J1">EOMONTH(Параметры!$B$1,3)+1</f>
        <v>45778</v>
      </c>
      <c r="K1" cm="1">
        <f t="array" ref="K1">EOMONTH(Параметры!$B$1,3)+1</f>
        <v>45778</v>
      </c>
      <c r="L1" cm="1">
        <f t="array" ref="L1">EOMONTH(Параметры!$B$1,4)+1</f>
        <v>45809</v>
      </c>
      <c r="M1" cm="1">
        <f t="array" ref="M1">EOMONTH(Параметры!$B$1,4)+1</f>
        <v>45809</v>
      </c>
      <c r="N1" cm="1">
        <f t="array" ref="N1">EOMONTH(Параметры!$B$1,5)+1</f>
        <v>45839</v>
      </c>
      <c r="O1" cm="1">
        <f t="array" ref="O1">EOMONTH(Параметры!$B$1,5)+1</f>
        <v>45839</v>
      </c>
      <c r="P1" cm="1">
        <f t="array" ref="P1">EOMONTH(Параметры!$B$1,6)+1</f>
        <v>45870</v>
      </c>
      <c r="Q1" cm="1">
        <f t="array" ref="Q1">EOMONTH(Параметры!$B$1,6)+1</f>
        <v>45870</v>
      </c>
      <c r="R1" cm="1">
        <f t="array" ref="R1">EOMONTH(Параметры!$B$1,7)+1</f>
        <v>45901</v>
      </c>
      <c r="S1" cm="1">
        <f t="array" ref="S1">EOMONTH(Параметры!$B$1,7)+1</f>
        <v>45901</v>
      </c>
      <c r="T1" cm="1">
        <f t="array" ref="T1">EOMONTH(Параметры!$B$1,8)+1</f>
        <v>45931</v>
      </c>
      <c r="U1" cm="1">
        <f t="array" ref="U1">EOMONTH(Параметры!$B$1,8)+1</f>
        <v>45931</v>
      </c>
      <c r="V1" cm="1">
        <f t="array" ref="V1">EOMONTH(Параметры!$B$1,9)+1</f>
        <v>45962</v>
      </c>
      <c r="W1" cm="1">
        <f t="array" ref="W1">EOMONTH(Параметры!$B$1,9)+1</f>
        <v>45962</v>
      </c>
      <c r="X1" cm="1">
        <f t="array" ref="X1">EOMONTH(Параметры!$B$1,10)+1</f>
        <v>45992</v>
      </c>
      <c r="Y1" cm="1">
        <f t="array" ref="Y1">EOMONTH(Параметры!$B$1,10)+1</f>
        <v>45992</v>
      </c>
    </row>
    <row r="2" spans="1:26" x14ac:dyDescent="0.2">
      <c r="B2" cm="1">
        <f t="array" ref="B2">EOMONTH(Параметры!$B$1,0)</f>
        <v>45688</v>
      </c>
      <c r="C2" cm="1">
        <f t="array" ref="C2">EOMONTH(Параметры!$B$1,0)</f>
        <v>45688</v>
      </c>
      <c r="D2" cm="1">
        <f t="array" ref="D2">EOMONTH(Параметры!$B$1,1)</f>
        <v>45716</v>
      </c>
      <c r="E2" cm="1">
        <f t="array" ref="E2">EOMONTH(Параметры!$B$1,1)</f>
        <v>45716</v>
      </c>
      <c r="F2" cm="1">
        <f t="array" ref="F2">EOMONTH(Параметры!$B$1,2)</f>
        <v>45747</v>
      </c>
      <c r="G2" cm="1">
        <f t="array" ref="G2">EOMONTH(Параметры!$B$1,2)</f>
        <v>45747</v>
      </c>
      <c r="H2" cm="1">
        <f t="array" ref="H2">EOMONTH(Параметры!$B$1,3)</f>
        <v>45777</v>
      </c>
      <c r="I2" cm="1">
        <f t="array" ref="I2">EOMONTH(Параметры!$B$1,3)</f>
        <v>45777</v>
      </c>
      <c r="J2" cm="1">
        <f t="array" ref="J2">EOMONTH(Параметры!$B$1,4)</f>
        <v>45808</v>
      </c>
      <c r="K2" cm="1">
        <f t="array" ref="K2">EOMONTH(Параметры!$B$1,4)</f>
        <v>45808</v>
      </c>
      <c r="L2" cm="1">
        <f t="array" ref="L2">EOMONTH(Параметры!$B$1,5)</f>
        <v>45838</v>
      </c>
      <c r="M2" cm="1">
        <f t="array" ref="M2">EOMONTH(Параметры!$B$1,5)</f>
        <v>45838</v>
      </c>
      <c r="N2" cm="1">
        <f t="array" ref="N2">EOMONTH(Параметры!$B$1,6)</f>
        <v>45869</v>
      </c>
      <c r="O2" cm="1">
        <f t="array" ref="O2">EOMONTH(Параметры!$B$1,6)</f>
        <v>45869</v>
      </c>
      <c r="P2" cm="1">
        <f t="array" ref="P2">EOMONTH(Параметры!$B$1,7)</f>
        <v>45900</v>
      </c>
      <c r="Q2" cm="1">
        <f t="array" ref="Q2">EOMONTH(Параметры!$B$1,7)</f>
        <v>45900</v>
      </c>
      <c r="R2" cm="1">
        <f t="array" ref="R2">EOMONTH(Параметры!$B$1,8)</f>
        <v>45930</v>
      </c>
      <c r="S2" cm="1">
        <f t="array" ref="S2">EOMONTH(Параметры!$B$1,8)</f>
        <v>45930</v>
      </c>
      <c r="T2" cm="1">
        <f t="array" ref="T2">EOMONTH(Параметры!$B$1,9)</f>
        <v>45961</v>
      </c>
      <c r="U2" cm="1">
        <f t="array" ref="U2">EOMONTH(Параметры!$B$1,9)</f>
        <v>45961</v>
      </c>
      <c r="V2" cm="1">
        <f t="array" ref="V2">EOMONTH(Параметры!$B$1,10)</f>
        <v>45991</v>
      </c>
      <c r="W2" cm="1">
        <f t="array" ref="W2">EOMONTH(Параметры!$B$1,10)</f>
        <v>45991</v>
      </c>
      <c r="X2" cm="1">
        <f t="array" ref="X2">EOMONTH(Параметры!$B$1,11)</f>
        <v>46022</v>
      </c>
      <c r="Y2" cm="1">
        <f t="array" ref="Y2">EOMONTH(Параметры!$B$1,11)</f>
        <v>46022</v>
      </c>
    </row>
    <row r="3" spans="1:26" x14ac:dyDescent="0.2">
      <c r="B3" t="str" cm="1">
        <f t="array" ref="B3">Параметры!$B$3</f>
        <v>приход</v>
      </c>
      <c r="C3" t="str" cm="1">
        <f t="array" ref="C3">Параметры!$B$4</f>
        <v>расход</v>
      </c>
      <c r="D3" t="str" cm="1">
        <f t="array" ref="D3">Параметры!$B$3</f>
        <v>приход</v>
      </c>
      <c r="E3" t="str" cm="1">
        <f t="array" ref="E3">Параметры!$B$4</f>
        <v>расход</v>
      </c>
      <c r="F3" t="str" cm="1">
        <f t="array" ref="F3">Параметры!$B$3</f>
        <v>приход</v>
      </c>
      <c r="G3" t="str" cm="1">
        <f t="array" ref="G3">Параметры!$B$4</f>
        <v>расход</v>
      </c>
      <c r="H3" t="str" cm="1">
        <f t="array" ref="H3">Параметры!$B$3</f>
        <v>приход</v>
      </c>
      <c r="I3" t="str" cm="1">
        <f t="array" ref="I3">Параметры!$B$4</f>
        <v>расход</v>
      </c>
      <c r="J3" t="str" cm="1">
        <f t="array" ref="J3">Параметры!$B$3</f>
        <v>приход</v>
      </c>
      <c r="K3" t="str" cm="1">
        <f t="array" ref="K3">Параметры!$B$4</f>
        <v>расход</v>
      </c>
      <c r="L3" t="str" cm="1">
        <f t="array" ref="L3">Параметры!$B$3</f>
        <v>приход</v>
      </c>
      <c r="M3" t="str" cm="1">
        <f t="array" ref="M3">Параметры!$B$4</f>
        <v>расход</v>
      </c>
      <c r="N3" t="str" cm="1">
        <f t="array" ref="N3">Параметры!$B$3</f>
        <v>приход</v>
      </c>
      <c r="O3" t="str" cm="1">
        <f t="array" ref="O3">Параметры!$B$4</f>
        <v>расход</v>
      </c>
      <c r="P3" t="str" cm="1">
        <f t="array" ref="P3">Параметры!$B$3</f>
        <v>приход</v>
      </c>
      <c r="Q3" t="str" cm="1">
        <f t="array" ref="Q3">Параметры!$B$4</f>
        <v>расход</v>
      </c>
      <c r="R3" t="str" cm="1">
        <f t="array" ref="R3">Параметры!$B$3</f>
        <v>приход</v>
      </c>
      <c r="S3" t="str" cm="1">
        <f t="array" ref="S3">Параметры!$B$4</f>
        <v>расход</v>
      </c>
      <c r="T3" t="str" cm="1">
        <f t="array" ref="T3">Параметры!$B$3</f>
        <v>приход</v>
      </c>
      <c r="U3" t="str" cm="1">
        <f t="array" ref="U3">Параметры!$B$4</f>
        <v>расход</v>
      </c>
      <c r="V3" t="str" cm="1">
        <f t="array" ref="V3">Параметры!$B$3</f>
        <v>приход</v>
      </c>
      <c r="W3" t="str" cm="1">
        <f t="array" ref="W3">Параметры!$B$4</f>
        <v>расход</v>
      </c>
      <c r="X3" t="str" cm="1">
        <f t="array" ref="X3">Параметры!$B$3</f>
        <v>приход</v>
      </c>
      <c r="Y3" t="str" cm="1">
        <f t="array" ref="Y3">Параметры!$B$4</f>
        <v>расход</v>
      </c>
    </row>
    <row r="4" spans="1:26" x14ac:dyDescent="0.2">
      <c r="A4" t="str" cm="1">
        <f t="array" ref="A4">Статьи!A2</f>
        <v>Чай 1</v>
      </c>
      <c r="B4" cm="1">
        <f t="array" ref="B4">SUMIFS(Данные!$D:$D,Данные!$B:$B,$A4,Данные!$E:$E,B$3,Данные!$A:$A,"&gt;="&amp;B$1,Данные!$A:$A,"&lt;="&amp;B$2)</f>
        <v>-73607.44</v>
      </c>
      <c r="C4" cm="1">
        <f t="array" ref="C4">SUMIFS(Данные!$D:$D,Данные!$B:$B,$A4,Данные!$E:$E,C$3,Данные!$A:$A,"&gt;="&amp;C$1,Данные!$A:$A,"&lt;="&amp;C$2)</f>
        <v>275047.94</v>
      </c>
      <c r="D4" cm="1">
        <f t="array" ref="D4">SUMIFS(Данные!$D:$D,Данные!$B:$B,$A4,Данные!$E:$E,D$3,Данные!$A:$A,"&gt;="&amp;D$1,Данные!$A:$A,"&lt;="&amp;D$2)</f>
        <v>0</v>
      </c>
      <c r="E4" cm="1">
        <f t="array" ref="E4">SUMIFS(Данные!$D:$D,Данные!$B:$B,$A4,Данные!$E:$E,E$3,Данные!$A:$A,"&gt;="&amp;E$1,Данные!$A:$A,"&lt;="&amp;E$2)</f>
        <v>0</v>
      </c>
      <c r="F4" cm="1">
        <f t="array" ref="F4">SUMIFS(Данные!$D:$D,Данные!$B:$B,$A4,Данные!$E:$E,F$3,Данные!$A:$A,"&gt;="&amp;F$1,Данные!$A:$A,"&lt;="&amp;F$2)</f>
        <v>674698.26</v>
      </c>
      <c r="G4" cm="1">
        <f t="array" ref="G4">SUMIFS(Данные!$D:$D,Данные!$B:$B,$A4,Данные!$E:$E,G$3,Данные!$A:$A,"&gt;="&amp;G$1,Данные!$A:$A,"&lt;="&amp;G$2)</f>
        <v>0</v>
      </c>
      <c r="H4" cm="1">
        <f t="array" ref="H4">SUMIFS(Данные!$D:$D,Данные!$B:$B,$A4,Данные!$E:$E,H$3,Данные!$A:$A,"&gt;="&amp;H$1,Данные!$A:$A,"&lt;="&amp;H$2)</f>
        <v>0</v>
      </c>
      <c r="I4" cm="1">
        <f t="array" ref="I4">SUMIFS(Данные!$D:$D,Данные!$B:$B,$A4,Данные!$E:$E,I$3,Данные!$A:$A,"&gt;="&amp;I$1,Данные!$A:$A,"&lt;="&amp;I$2)</f>
        <v>-77680.2</v>
      </c>
      <c r="J4" cm="1">
        <f t="array" ref="J4">SUMIFS(Данные!$D:$D,Данные!$B:$B,$A4,Данные!$E:$E,J$3,Данные!$A:$A,"&gt;="&amp;J$1,Данные!$A:$A,"&lt;="&amp;J$2)</f>
        <v>0</v>
      </c>
      <c r="K4" cm="1">
        <f t="array" ref="K4">SUMIFS(Данные!$D:$D,Данные!$B:$B,$A4,Данные!$E:$E,K$3,Данные!$A:$A,"&gt;="&amp;K$1,Данные!$A:$A,"&lt;="&amp;K$2)</f>
        <v>0</v>
      </c>
      <c r="L4" cm="1">
        <f t="array" ref="L4">SUMIFS(Данные!$D:$D,Данные!$B:$B,$A4,Данные!$E:$E,L$3,Данные!$A:$A,"&gt;="&amp;L$1,Данные!$A:$A,"&lt;="&amp;L$2)</f>
        <v>0</v>
      </c>
      <c r="M4" cm="1">
        <f t="array" ref="M4">SUMIFS(Данные!$D:$D,Данные!$B:$B,$A4,Данные!$E:$E,M$3,Данные!$A:$A,"&gt;="&amp;M$1,Данные!$A:$A,"&lt;="&amp;M$2)</f>
        <v>0</v>
      </c>
      <c r="N4" cm="1">
        <f t="array" ref="N4">SUMIFS(Данные!$D:$D,Данные!$B:$B,$A4,Данные!$E:$E,N$3,Данные!$A:$A,"&gt;="&amp;N$1,Данные!$A:$A,"&lt;="&amp;N$2)</f>
        <v>494752.81</v>
      </c>
      <c r="O4" cm="1">
        <f t="array" ref="O4">SUMIFS(Данные!$D:$D,Данные!$B:$B,$A4,Данные!$E:$E,O$3,Данные!$A:$A,"&gt;="&amp;O$1,Данные!$A:$A,"&lt;="&amp;O$2)</f>
        <v>0</v>
      </c>
      <c r="P4" cm="1">
        <f t="array" ref="P4">SUMIFS(Данные!$D:$D,Данные!$B:$B,$A4,Данные!$E:$E,P$3,Данные!$A:$A,"&gt;="&amp;P$1,Данные!$A:$A,"&lt;="&amp;P$2)</f>
        <v>0</v>
      </c>
      <c r="Q4" cm="1">
        <f t="array" ref="Q4">SUMIFS(Данные!$D:$D,Данные!$B:$B,$A4,Данные!$E:$E,Q$3,Данные!$A:$A,"&gt;="&amp;Q$1,Данные!$A:$A,"&lt;="&amp;Q$2)</f>
        <v>0</v>
      </c>
      <c r="R4" cm="1">
        <f t="array" ref="R4">SUMIFS(Данные!$D:$D,Данные!$B:$B,$A4,Данные!$E:$E,R$3,Данные!$A:$A,"&gt;="&amp;R$1,Данные!$A:$A,"&lt;="&amp;R$2)</f>
        <v>0</v>
      </c>
      <c r="S4" cm="1">
        <f t="array" ref="S4">SUMIFS(Данные!$D:$D,Данные!$B:$B,$A4,Данные!$E:$E,S$3,Данные!$A:$A,"&gt;="&amp;S$1,Данные!$A:$A,"&lt;="&amp;S$2)</f>
        <v>0</v>
      </c>
      <c r="T4" cm="1">
        <f t="array" ref="T4">SUMIFS(Данные!$D:$D,Данные!$B:$B,$A4,Данные!$E:$E,T$3,Данные!$A:$A,"&gt;="&amp;T$1,Данные!$A:$A,"&lt;="&amp;T$2)</f>
        <v>0</v>
      </c>
      <c r="U4" cm="1">
        <f t="array" ref="U4">SUMIFS(Данные!$D:$D,Данные!$B:$B,$A4,Данные!$E:$E,U$3,Данные!$A:$A,"&gt;="&amp;U$1,Данные!$A:$A,"&lt;="&amp;U$2)</f>
        <v>383996.88</v>
      </c>
      <c r="V4" cm="1">
        <f t="array" ref="V4">SUMIFS(Данные!$D:$D,Данные!$B:$B,$A4,Данные!$E:$E,V$3,Данные!$A:$A,"&gt;="&amp;V$1,Данные!$A:$A,"&lt;="&amp;V$2)</f>
        <v>0</v>
      </c>
      <c r="W4" cm="1">
        <f t="array" ref="W4">SUMIFS(Данные!$D:$D,Данные!$B:$B,$A4,Данные!$E:$E,W$3,Данные!$A:$A,"&gt;="&amp;W$1,Данные!$A:$A,"&lt;="&amp;W$2)</f>
        <v>0</v>
      </c>
      <c r="X4" cm="1">
        <f t="array" ref="X4">SUMIFS(Данные!$D:$D,Данные!$B:$B,$A4,Данные!$E:$E,X$3,Данные!$A:$A,"&gt;="&amp;X$1,Данные!$A:$A,"&lt;="&amp;X$2)</f>
        <v>0</v>
      </c>
      <c r="Y4" cm="1">
        <f t="array" ref="Y4">SUMIFS(Данные!$D:$D,Данные!$B:$B,$A4,Данные!$E:$E,Y$3,Данные!$A:$A,"&gt;="&amp;Y$1,Данные!$A:$A,"&lt;="&amp;Y$2)</f>
        <v>206959.82</v>
      </c>
      <c r="Z4" cm="1">
        <f t="array" ref="Z4">SUM(B4:Y4)</f>
        <v>1884168.07</v>
      </c>
    </row>
    <row r="5" spans="1:26" x14ac:dyDescent="0.2">
      <c r="A5" t="str" cm="1">
        <f t="array" ref="A5">Статьи!A3</f>
        <v>Чаи 1</v>
      </c>
      <c r="B5" cm="1">
        <f t="array" ref="B5">SUMIFS(Данные!$D:$D,Данные!$B:$B,$A5,Данные!$E:$E,B$3,Данные!$A:$A,"&gt;="&amp;B$1,Данные!$A:$A,"&lt;="&amp;B$2)</f>
        <v>150225.98000000001</v>
      </c>
      <c r="C5" cm="1">
        <f t="array" ref="C5">SUMIFS(Данные!$D:$D,Данные!$B:$B,$A5,Данные!$E:$E,C$3,Данные!$A:$A,"&gt;="&amp;C$1,Данные!$A:$A,"&lt;="&amp;C$2)</f>
        <v>0</v>
      </c>
      <c r="D5" cm="1">
        <f t="array" ref="D5">SUMIFS(Данные!$D:$D,Данные!$B:$B,$A5,Данные!$E:$E,D$3,Данные!$A:$A,"&gt;="&amp;D$1,Данные!$A:$A,"&lt;="&amp;D$2)</f>
        <v>0</v>
      </c>
      <c r="E5" cm="1">
        <f t="array" ref="E5">SUMIFS(Данные!$D:$D,Данные!$B:$B,$A5,Данные!$E:$E,E$3,Данные!$A:$A,"&gt;="&amp;E$1,Данные!$A:$A,"&lt;="&amp;E$2)</f>
        <v>0</v>
      </c>
      <c r="F5" cm="1">
        <f t="array" ref="F5">SUMIFS(Данные!$D:$D,Данные!$B:$B,$A5,Данные!$E:$E,F$3,Данные!$A:$A,"&gt;="&amp;F$1,Данные!$A:$A,"&lt;="&amp;F$2)</f>
        <v>0</v>
      </c>
      <c r="G5" cm="1">
        <f t="array" ref="G5">SUMIFS(Данные!$D:$D,Данные!$B:$B,$A5,Данные!$E:$E,G$3,Данные!$A:$A,"&gt;="&amp;G$1,Данные!$A:$A,"&lt;="&amp;G$2)</f>
        <v>0</v>
      </c>
      <c r="H5" cm="1">
        <f t="array" ref="H5">SUMIFS(Данные!$D:$D,Данные!$B:$B,$A5,Данные!$E:$E,H$3,Данные!$A:$A,"&gt;="&amp;H$1,Данные!$A:$A,"&lt;="&amp;H$2)</f>
        <v>0</v>
      </c>
      <c r="I5" cm="1">
        <f t="array" ref="I5">SUMIFS(Данные!$D:$D,Данные!$B:$B,$A5,Данные!$E:$E,I$3,Данные!$A:$A,"&gt;="&amp;I$1,Данные!$A:$A,"&lt;="&amp;I$2)</f>
        <v>0</v>
      </c>
      <c r="J5" cm="1">
        <f t="array" ref="J5">SUMIFS(Данные!$D:$D,Данные!$B:$B,$A5,Данные!$E:$E,J$3,Данные!$A:$A,"&gt;="&amp;J$1,Данные!$A:$A,"&lt;="&amp;J$2)</f>
        <v>482987.52000000002</v>
      </c>
      <c r="K5" cm="1">
        <f t="array" ref="K5">SUMIFS(Данные!$D:$D,Данные!$B:$B,$A5,Данные!$E:$E,K$3,Данные!$A:$A,"&gt;="&amp;K$1,Данные!$A:$A,"&lt;="&amp;K$2)</f>
        <v>0</v>
      </c>
      <c r="L5" cm="1">
        <f t="array" ref="L5">SUMIFS(Данные!$D:$D,Данные!$B:$B,$A5,Данные!$E:$E,L$3,Данные!$A:$A,"&gt;="&amp;L$1,Данные!$A:$A,"&lt;="&amp;L$2)</f>
        <v>0</v>
      </c>
      <c r="M5" cm="1">
        <f t="array" ref="M5">SUMIFS(Данные!$D:$D,Данные!$B:$B,$A5,Данные!$E:$E,M$3,Данные!$A:$A,"&gt;="&amp;M$1,Данные!$A:$A,"&lt;="&amp;M$2)</f>
        <v>-6678.65</v>
      </c>
      <c r="N5" cm="1">
        <f t="array" ref="N5">SUMIFS(Данные!$D:$D,Данные!$B:$B,$A5,Данные!$E:$E,N$3,Данные!$A:$A,"&gt;="&amp;N$1,Данные!$A:$A,"&lt;="&amp;N$2)</f>
        <v>0</v>
      </c>
      <c r="O5" cm="1">
        <f t="array" ref="O5">SUMIFS(Данные!$D:$D,Данные!$B:$B,$A5,Данные!$E:$E,O$3,Данные!$A:$A,"&gt;="&amp;O$1,Данные!$A:$A,"&lt;="&amp;O$2)</f>
        <v>0</v>
      </c>
      <c r="P5" cm="1">
        <f t="array" ref="P5">SUMIFS(Данные!$D:$D,Данные!$B:$B,$A5,Данные!$E:$E,P$3,Данные!$A:$A,"&gt;="&amp;P$1,Данные!$A:$A,"&lt;="&amp;P$2)</f>
        <v>-96057.790000000008</v>
      </c>
      <c r="Q5" cm="1">
        <f t="array" ref="Q5">SUMIFS(Данные!$D:$D,Данные!$B:$B,$A5,Данные!$E:$E,Q$3,Данные!$A:$A,"&gt;="&amp;Q$1,Данные!$A:$A,"&lt;="&amp;Q$2)</f>
        <v>296293.01</v>
      </c>
      <c r="R5" cm="1">
        <f t="array" ref="R5">SUMIFS(Данные!$D:$D,Данные!$B:$B,$A5,Данные!$E:$E,R$3,Данные!$A:$A,"&gt;="&amp;R$1,Данные!$A:$A,"&lt;="&amp;R$2)</f>
        <v>0</v>
      </c>
      <c r="S5" cm="1">
        <f t="array" ref="S5">SUMIFS(Данные!$D:$D,Данные!$B:$B,$A5,Данные!$E:$E,S$3,Данные!$A:$A,"&gt;="&amp;S$1,Данные!$A:$A,"&lt;="&amp;S$2)</f>
        <v>0</v>
      </c>
      <c r="T5" cm="1">
        <f t="array" ref="T5">SUMIFS(Данные!$D:$D,Данные!$B:$B,$A5,Данные!$E:$E,T$3,Данные!$A:$A,"&gt;="&amp;T$1,Данные!$A:$A,"&lt;="&amp;T$2)</f>
        <v>0</v>
      </c>
      <c r="U5" cm="1">
        <f t="array" ref="U5">SUMIFS(Данные!$D:$D,Данные!$B:$B,$A5,Данные!$E:$E,U$3,Данные!$A:$A,"&gt;="&amp;U$1,Данные!$A:$A,"&lt;="&amp;U$2)</f>
        <v>-21827.39</v>
      </c>
      <c r="V5" cm="1">
        <f t="array" ref="V5">SUMIFS(Данные!$D:$D,Данные!$B:$B,$A5,Данные!$E:$E,V$3,Данные!$A:$A,"&gt;="&amp;V$1,Данные!$A:$A,"&lt;="&amp;V$2)</f>
        <v>0</v>
      </c>
      <c r="W5" cm="1">
        <f t="array" ref="W5">SUMIFS(Данные!$D:$D,Данные!$B:$B,$A5,Данные!$E:$E,W$3,Данные!$A:$A,"&gt;="&amp;W$1,Данные!$A:$A,"&lt;="&amp;W$2)</f>
        <v>313114.56</v>
      </c>
      <c r="X5" cm="1">
        <f t="array" ref="X5">SUMIFS(Данные!$D:$D,Данные!$B:$B,$A5,Данные!$E:$E,X$3,Данные!$A:$A,"&gt;="&amp;X$1,Данные!$A:$A,"&lt;="&amp;X$2)</f>
        <v>-96224.34</v>
      </c>
      <c r="Y5" cm="1">
        <f t="array" ref="Y5">SUMIFS(Данные!$D:$D,Данные!$B:$B,$A5,Данные!$E:$E,Y$3,Данные!$A:$A,"&gt;="&amp;Y$1,Данные!$A:$A,"&lt;="&amp;Y$2)</f>
        <v>764775.37</v>
      </c>
      <c r="Z5" cm="1">
        <f t="array" ref="Z5">SUM(B5:Y5)</f>
        <v>1786608.27</v>
      </c>
    </row>
    <row r="6" spans="1:26" x14ac:dyDescent="0.2">
      <c r="A6" t="str" cm="1">
        <f t="array" ref="A6">Статьи!A4</f>
        <v>Ёлка 1</v>
      </c>
      <c r="B6" cm="1">
        <f t="array" ref="B6">SUMIFS(Данные!$D:$D,Данные!$B:$B,$A6,Данные!$E:$E,B$3,Данные!$A:$A,"&gt;="&amp;B$1,Данные!$A:$A,"&lt;="&amp;B$2)</f>
        <v>284772.28999999998</v>
      </c>
      <c r="C6" cm="1">
        <f t="array" ref="C6">SUMIFS(Данные!$D:$D,Данные!$B:$B,$A6,Данные!$E:$E,C$3,Данные!$A:$A,"&gt;="&amp;C$1,Данные!$A:$A,"&lt;="&amp;C$2)</f>
        <v>0</v>
      </c>
      <c r="D6" cm="1">
        <f t="array" ref="D6">SUMIFS(Данные!$D:$D,Данные!$B:$B,$A6,Данные!$E:$E,D$3,Данные!$A:$A,"&gt;="&amp;D$1,Данные!$A:$A,"&lt;="&amp;D$2)</f>
        <v>253587.77</v>
      </c>
      <c r="E6" cm="1">
        <f t="array" ref="E6">SUMIFS(Данные!$D:$D,Данные!$B:$B,$A6,Данные!$E:$E,E$3,Данные!$A:$A,"&gt;="&amp;E$1,Данные!$A:$A,"&lt;="&amp;E$2)</f>
        <v>222968.2</v>
      </c>
      <c r="F6" cm="1">
        <f t="array" ref="F6">SUMIFS(Данные!$D:$D,Данные!$B:$B,$A6,Данные!$E:$E,F$3,Данные!$A:$A,"&gt;="&amp;F$1,Данные!$A:$A,"&lt;="&amp;F$2)</f>
        <v>0</v>
      </c>
      <c r="G6" cm="1">
        <f t="array" ref="G6">SUMIFS(Данные!$D:$D,Данные!$B:$B,$A6,Данные!$E:$E,G$3,Данные!$A:$A,"&gt;="&amp;G$1,Данные!$A:$A,"&lt;="&amp;G$2)</f>
        <v>0</v>
      </c>
      <c r="H6" cm="1">
        <f t="array" ref="H6">SUMIFS(Данные!$D:$D,Данные!$B:$B,$A6,Данные!$E:$E,H$3,Данные!$A:$A,"&gt;="&amp;H$1,Данные!$A:$A,"&lt;="&amp;H$2)</f>
        <v>239698.95</v>
      </c>
      <c r="I6" cm="1">
        <f t="array" ref="I6">SUMIFS(Данные!$D:$D,Данные!$B:$B,$A6,Данные!$E:$E,I$3,Данные!$A:$A,"&gt;="&amp;I$1,Данные!$A:$A,"&lt;="&amp;I$2)</f>
        <v>0</v>
      </c>
      <c r="J6" cm="1">
        <f t="array" ref="J6">SUMIFS(Данные!$D:$D,Данные!$B:$B,$A6,Данные!$E:$E,J$3,Данные!$A:$A,"&gt;="&amp;J$1,Данные!$A:$A,"&lt;="&amp;J$2)</f>
        <v>390910.21</v>
      </c>
      <c r="K6" cm="1">
        <f t="array" ref="K6">SUMIFS(Данные!$D:$D,Данные!$B:$B,$A6,Данные!$E:$E,K$3,Данные!$A:$A,"&gt;="&amp;K$1,Данные!$A:$A,"&lt;="&amp;K$2)</f>
        <v>0</v>
      </c>
      <c r="L6" cm="1">
        <f t="array" ref="L6">SUMIFS(Данные!$D:$D,Данные!$B:$B,$A6,Данные!$E:$E,L$3,Данные!$A:$A,"&gt;="&amp;L$1,Данные!$A:$A,"&lt;="&amp;L$2)</f>
        <v>90528.26</v>
      </c>
      <c r="M6" cm="1">
        <f t="array" ref="M6">SUMIFS(Данные!$D:$D,Данные!$B:$B,$A6,Данные!$E:$E,M$3,Данные!$A:$A,"&gt;="&amp;M$1,Данные!$A:$A,"&lt;="&amp;M$2)</f>
        <v>22033.51</v>
      </c>
      <c r="N6" cm="1">
        <f t="array" ref="N6">SUMIFS(Данные!$D:$D,Данные!$B:$B,$A6,Данные!$E:$E,N$3,Данные!$A:$A,"&gt;="&amp;N$1,Данные!$A:$A,"&lt;="&amp;N$2)</f>
        <v>0</v>
      </c>
      <c r="O6" cm="1">
        <f t="array" ref="O6">SUMIFS(Данные!$D:$D,Данные!$B:$B,$A6,Данные!$E:$E,O$3,Данные!$A:$A,"&gt;="&amp;O$1,Данные!$A:$A,"&lt;="&amp;O$2)</f>
        <v>0</v>
      </c>
      <c r="P6" cm="1">
        <f t="array" ref="P6">SUMIFS(Данные!$D:$D,Данные!$B:$B,$A6,Данные!$E:$E,P$3,Данные!$A:$A,"&gt;="&amp;P$1,Данные!$A:$A,"&lt;="&amp;P$2)</f>
        <v>0</v>
      </c>
      <c r="Q6" cm="1">
        <f t="array" ref="Q6">SUMIFS(Данные!$D:$D,Данные!$B:$B,$A6,Данные!$E:$E,Q$3,Данные!$A:$A,"&gt;="&amp;Q$1,Данные!$A:$A,"&lt;="&amp;Q$2)</f>
        <v>0</v>
      </c>
      <c r="R6" cm="1">
        <f t="array" ref="R6">SUMIFS(Данные!$D:$D,Данные!$B:$B,$A6,Данные!$E:$E,R$3,Данные!$A:$A,"&gt;="&amp;R$1,Данные!$A:$A,"&lt;="&amp;R$2)</f>
        <v>289995.8</v>
      </c>
      <c r="S6" cm="1">
        <f t="array" ref="S6">SUMIFS(Данные!$D:$D,Данные!$B:$B,$A6,Данные!$E:$E,S$3,Данные!$A:$A,"&gt;="&amp;S$1,Данные!$A:$A,"&lt;="&amp;S$2)</f>
        <v>0</v>
      </c>
      <c r="T6" cm="1">
        <f t="array" ref="T6">SUMIFS(Данные!$D:$D,Данные!$B:$B,$A6,Данные!$E:$E,T$3,Данные!$A:$A,"&gt;="&amp;T$1,Данные!$A:$A,"&lt;="&amp;T$2)</f>
        <v>0</v>
      </c>
      <c r="U6" cm="1">
        <f t="array" ref="U6">SUMIFS(Данные!$D:$D,Данные!$B:$B,$A6,Данные!$E:$E,U$3,Данные!$A:$A,"&gt;="&amp;U$1,Данные!$A:$A,"&lt;="&amp;U$2)</f>
        <v>0</v>
      </c>
      <c r="V6" cm="1">
        <f t="array" ref="V6">SUMIFS(Данные!$D:$D,Данные!$B:$B,$A6,Данные!$E:$E,V$3,Данные!$A:$A,"&gt;="&amp;V$1,Данные!$A:$A,"&lt;="&amp;V$2)</f>
        <v>144766.51999999999</v>
      </c>
      <c r="W6" cm="1">
        <f t="array" ref="W6">SUMIFS(Данные!$D:$D,Данные!$B:$B,$A6,Данные!$E:$E,W$3,Данные!$A:$A,"&gt;="&amp;W$1,Данные!$A:$A,"&lt;="&amp;W$2)</f>
        <v>0</v>
      </c>
      <c r="X6" cm="1">
        <f t="array" ref="X6">SUMIFS(Данные!$D:$D,Данные!$B:$B,$A6,Данные!$E:$E,X$3,Данные!$A:$A,"&gt;="&amp;X$1,Данные!$A:$A,"&lt;="&amp;X$2)</f>
        <v>0</v>
      </c>
      <c r="Y6" cm="1">
        <f t="array" ref="Y6">SUMIFS(Данные!$D:$D,Данные!$B:$B,$A6,Данные!$E:$E,Y$3,Данные!$A:$A,"&gt;="&amp;Y$1,Данные!$A:$A,"&lt;="&amp;Y$2)</f>
        <v>0</v>
      </c>
      <c r="Z6" cm="1">
        <f t="array" ref="Z6">SUM(B6:Y6)</f>
        <v>1939261.51</v>
      </c>
    </row>
    <row r="7" spans="1:26" x14ac:dyDescent="0.2">
      <c r="A7" t="str" cm="1">
        <f t="array" ref="A7">Статьи!A5</f>
        <v>Елка 1</v>
      </c>
      <c r="B7" cm="1">
        <f t="array" ref="B7">SUMIFS(Данные!$D:$D,Данные!$B:$B,$A7,Данные!$E:$E,B$3,Данные!$A:$A,"&gt;="&amp;B$1,Данные!$A:$A,"&lt;="&amp;B$2)</f>
        <v>0</v>
      </c>
      <c r="C7" cm="1">
        <f t="array" ref="C7">SUMIFS(Данные!$D:$D,Данные!$B:$B,$A7,Данные!$E:$E,C$3,Данные!$A:$A,"&gt;="&amp;C$1,Данные!$A:$A,"&lt;="&amp;C$2)</f>
        <v>0</v>
      </c>
      <c r="D7" cm="1">
        <f t="array" ref="D7">SUMIFS(Данные!$D:$D,Данные!$B:$B,$A7,Данные!$E:$E,D$3,Данные!$A:$A,"&gt;="&amp;D$1,Данные!$A:$A,"&lt;="&amp;D$2)</f>
        <v>111694.51000000001</v>
      </c>
      <c r="E7" cm="1">
        <f t="array" ref="E7">SUMIFS(Данные!$D:$D,Данные!$B:$B,$A7,Данные!$E:$E,E$3,Данные!$A:$A,"&gt;="&amp;E$1,Данные!$A:$A,"&lt;="&amp;E$2)</f>
        <v>0</v>
      </c>
      <c r="F7" cm="1">
        <f t="array" ref="F7">SUMIFS(Данные!$D:$D,Данные!$B:$B,$A7,Данные!$E:$E,F$3,Данные!$A:$A,"&gt;="&amp;F$1,Данные!$A:$A,"&lt;="&amp;F$2)</f>
        <v>426810.19999999995</v>
      </c>
      <c r="G7" cm="1">
        <f t="array" ref="G7">SUMIFS(Данные!$D:$D,Данные!$B:$B,$A7,Данные!$E:$E,G$3,Данные!$A:$A,"&gt;="&amp;G$1,Данные!$A:$A,"&lt;="&amp;G$2)</f>
        <v>134585.93</v>
      </c>
      <c r="H7" cm="1">
        <f t="array" ref="H7">SUMIFS(Данные!$D:$D,Данные!$B:$B,$A7,Данные!$E:$E,H$3,Данные!$A:$A,"&gt;="&amp;H$1,Данные!$A:$A,"&lt;="&amp;H$2)</f>
        <v>0</v>
      </c>
      <c r="I7" cm="1">
        <f t="array" ref="I7">SUMIFS(Данные!$D:$D,Данные!$B:$B,$A7,Данные!$E:$E,I$3,Данные!$A:$A,"&gt;="&amp;I$1,Данные!$A:$A,"&lt;="&amp;I$2)</f>
        <v>0</v>
      </c>
      <c r="J7" cm="1">
        <f t="array" ref="J7">SUMIFS(Данные!$D:$D,Данные!$B:$B,$A7,Данные!$E:$E,J$3,Данные!$A:$A,"&gt;="&amp;J$1,Данные!$A:$A,"&lt;="&amp;J$2)</f>
        <v>0</v>
      </c>
      <c r="K7" cm="1">
        <f t="array" ref="K7">SUMIFS(Данные!$D:$D,Данные!$B:$B,$A7,Данные!$E:$E,K$3,Данные!$A:$A,"&gt;="&amp;K$1,Данные!$A:$A,"&lt;="&amp;K$2)</f>
        <v>147133.95000000001</v>
      </c>
      <c r="L7" cm="1">
        <f t="array" ref="L7">SUMIFS(Данные!$D:$D,Данные!$B:$B,$A7,Данные!$E:$E,L$3,Данные!$A:$A,"&gt;="&amp;L$1,Данные!$A:$A,"&lt;="&amp;L$2)</f>
        <v>-23248.9</v>
      </c>
      <c r="M7" cm="1">
        <f t="array" ref="M7">SUMIFS(Данные!$D:$D,Данные!$B:$B,$A7,Данные!$E:$E,M$3,Данные!$A:$A,"&gt;="&amp;M$1,Данные!$A:$A,"&lt;="&amp;M$2)</f>
        <v>516139.65</v>
      </c>
      <c r="N7" cm="1">
        <f t="array" ref="N7">SUMIFS(Данные!$D:$D,Данные!$B:$B,$A7,Данные!$E:$E,N$3,Данные!$A:$A,"&gt;="&amp;N$1,Данные!$A:$A,"&lt;="&amp;N$2)</f>
        <v>0</v>
      </c>
      <c r="O7" cm="1">
        <f t="array" ref="O7">SUMIFS(Данные!$D:$D,Данные!$B:$B,$A7,Данные!$E:$E,O$3,Данные!$A:$A,"&gt;="&amp;O$1,Данные!$A:$A,"&lt;="&amp;O$2)</f>
        <v>0</v>
      </c>
      <c r="P7" cm="1">
        <f t="array" ref="P7">SUMIFS(Данные!$D:$D,Данные!$B:$B,$A7,Данные!$E:$E,P$3,Данные!$A:$A,"&gt;="&amp;P$1,Данные!$A:$A,"&lt;="&amp;P$2)</f>
        <v>0</v>
      </c>
      <c r="Q7" cm="1">
        <f t="array" ref="Q7">SUMIFS(Данные!$D:$D,Данные!$B:$B,$A7,Данные!$E:$E,Q$3,Данные!$A:$A,"&gt;="&amp;Q$1,Данные!$A:$A,"&lt;="&amp;Q$2)</f>
        <v>0</v>
      </c>
      <c r="R7" cm="1">
        <f t="array" ref="R7">SUMIFS(Данные!$D:$D,Данные!$B:$B,$A7,Данные!$E:$E,R$3,Данные!$A:$A,"&gt;="&amp;R$1,Данные!$A:$A,"&lt;="&amp;R$2)</f>
        <v>278219.62</v>
      </c>
      <c r="S7" cm="1">
        <f t="array" ref="S7">SUMIFS(Данные!$D:$D,Данные!$B:$B,$A7,Данные!$E:$E,S$3,Данные!$A:$A,"&gt;="&amp;S$1,Данные!$A:$A,"&lt;="&amp;S$2)</f>
        <v>0</v>
      </c>
      <c r="T7" cm="1">
        <f t="array" ref="T7">SUMIFS(Данные!$D:$D,Данные!$B:$B,$A7,Данные!$E:$E,T$3,Данные!$A:$A,"&gt;="&amp;T$1,Данные!$A:$A,"&lt;="&amp;T$2)</f>
        <v>0</v>
      </c>
      <c r="U7" cm="1">
        <f t="array" ref="U7">SUMIFS(Данные!$D:$D,Данные!$B:$B,$A7,Данные!$E:$E,U$3,Данные!$A:$A,"&gt;="&amp;U$1,Данные!$A:$A,"&lt;="&amp;U$2)</f>
        <v>0</v>
      </c>
      <c r="V7" cm="1">
        <f t="array" ref="V7">SUMIFS(Данные!$D:$D,Данные!$B:$B,$A7,Данные!$E:$E,V$3,Данные!$A:$A,"&gt;="&amp;V$1,Данные!$A:$A,"&lt;="&amp;V$2)</f>
        <v>0</v>
      </c>
      <c r="W7" cm="1">
        <f t="array" ref="W7">SUMIFS(Данные!$D:$D,Данные!$B:$B,$A7,Данные!$E:$E,W$3,Данные!$A:$A,"&gt;="&amp;W$1,Данные!$A:$A,"&lt;="&amp;W$2)</f>
        <v>-65372.3</v>
      </c>
      <c r="X7" cm="1">
        <f t="array" ref="X7">SUMIFS(Данные!$D:$D,Данные!$B:$B,$A7,Данные!$E:$E,X$3,Данные!$A:$A,"&gt;="&amp;X$1,Данные!$A:$A,"&lt;="&amp;X$2)</f>
        <v>0</v>
      </c>
      <c r="Y7" cm="1">
        <f t="array" ref="Y7">SUMIFS(Данные!$D:$D,Данные!$B:$B,$A7,Данные!$E:$E,Y$3,Данные!$A:$A,"&gt;="&amp;Y$1,Данные!$A:$A,"&lt;="&amp;Y$2)</f>
        <v>0</v>
      </c>
      <c r="Z7" cm="1">
        <f t="array" ref="Z7">SUM(B7:Y7)</f>
        <v>1525962.66</v>
      </c>
    </row>
    <row r="8" spans="1:26" x14ac:dyDescent="0.2">
      <c r="A8" t="str" cm="1">
        <f t="array" ref="A8">Статьи!A6</f>
        <v>Аренда 1</v>
      </c>
      <c r="B8" cm="1">
        <f t="array" ref="B8">SUMIFS(Данные!$D:$D,Данные!$B:$B,$A8,Данные!$E:$E,B$3,Данные!$A:$A,"&gt;="&amp;B$1,Данные!$A:$A,"&lt;="&amp;B$2)</f>
        <v>0</v>
      </c>
      <c r="C8" cm="1">
        <f t="array" ref="C8">SUMIFS(Данные!$D:$D,Данные!$B:$B,$A8,Данные!$E:$E,C$3,Данные!$A:$A,"&gt;="&amp;C$1,Данные!$A:$A,"&lt;="&amp;C$2)</f>
        <v>0</v>
      </c>
      <c r="D8" cm="1">
        <f t="array" ref="D8">SUMIFS(Данные!$D:$D,Данные!$B:$B,$A8,Данные!$E:$E,D$3,Данные!$A:$A,"&gt;="&amp;D$1,Данные!$A:$A,"&lt;="&amp;D$2)</f>
        <v>0</v>
      </c>
      <c r="E8" cm="1">
        <f t="array" ref="E8">SUMIFS(Данные!$D:$D,Данные!$B:$B,$A8,Данные!$E:$E,E$3,Данные!$A:$A,"&gt;="&amp;E$1,Данные!$A:$A,"&lt;="&amp;E$2)</f>
        <v>117411.04999999999</v>
      </c>
      <c r="F8" cm="1">
        <f t="array" ref="F8">SUMIFS(Данные!$D:$D,Данные!$B:$B,$A8,Данные!$E:$E,F$3,Данные!$A:$A,"&gt;="&amp;F$1,Данные!$A:$A,"&lt;="&amp;F$2)</f>
        <v>200873.7</v>
      </c>
      <c r="G8" cm="1">
        <f t="array" ref="G8">SUMIFS(Данные!$D:$D,Данные!$B:$B,$A8,Данные!$E:$E,G$3,Данные!$A:$A,"&gt;="&amp;G$1,Данные!$A:$A,"&lt;="&amp;G$2)</f>
        <v>0</v>
      </c>
      <c r="H8" cm="1">
        <f t="array" ref="H8">SUMIFS(Данные!$D:$D,Данные!$B:$B,$A8,Данные!$E:$E,H$3,Данные!$A:$A,"&gt;="&amp;H$1,Данные!$A:$A,"&lt;="&amp;H$2)</f>
        <v>0</v>
      </c>
      <c r="I8" cm="1">
        <f t="array" ref="I8">SUMIFS(Данные!$D:$D,Данные!$B:$B,$A8,Данные!$E:$E,I$3,Данные!$A:$A,"&gt;="&amp;I$1,Данные!$A:$A,"&lt;="&amp;I$2)</f>
        <v>90275.12</v>
      </c>
      <c r="J8" cm="1">
        <f t="array" ref="J8">SUMIFS(Данные!$D:$D,Данные!$B:$B,$A8,Данные!$E:$E,J$3,Данные!$A:$A,"&gt;="&amp;J$1,Данные!$A:$A,"&lt;="&amp;J$2)</f>
        <v>0</v>
      </c>
      <c r="K8" cm="1">
        <f t="array" ref="K8">SUMIFS(Данные!$D:$D,Данные!$B:$B,$A8,Данные!$E:$E,K$3,Данные!$A:$A,"&gt;="&amp;K$1,Данные!$A:$A,"&lt;="&amp;K$2)</f>
        <v>0</v>
      </c>
      <c r="L8" cm="1">
        <f t="array" ref="L8">SUMIFS(Данные!$D:$D,Данные!$B:$B,$A8,Данные!$E:$E,L$3,Данные!$A:$A,"&gt;="&amp;L$1,Данные!$A:$A,"&lt;="&amp;L$2)</f>
        <v>0</v>
      </c>
      <c r="M8" cm="1">
        <f t="array" ref="M8">SUMIFS(Данные!$D:$D,Данные!$B:$B,$A8,Данные!$E:$E,M$3,Данные!$A:$A,"&gt;="&amp;M$1,Данные!$A:$A,"&lt;="&amp;M$2)</f>
        <v>0</v>
      </c>
      <c r="N8" cm="1">
        <f t="array" ref="N8">SUMIFS(Данные!$D:$D,Данные!$B:$B,$A8,Данные!$E:$E,N$3,Данные!$A:$A,"&gt;="&amp;N$1,Данные!$A:$A,"&lt;="&amp;N$2)</f>
        <v>0</v>
      </c>
      <c r="O8" cm="1">
        <f t="array" ref="O8">SUMIFS(Данные!$D:$D,Данные!$B:$B,$A8,Данные!$E:$E,O$3,Данные!$A:$A,"&gt;="&amp;O$1,Данные!$A:$A,"&lt;="&amp;O$2)</f>
        <v>0</v>
      </c>
      <c r="P8" cm="1">
        <f t="array" ref="P8">SUMIFS(Данные!$D:$D,Данные!$B:$B,$A8,Данные!$E:$E,P$3,Данные!$A:$A,"&gt;="&amp;P$1,Данные!$A:$A,"&lt;="&amp;P$2)</f>
        <v>0</v>
      </c>
      <c r="Q8" cm="1">
        <f t="array" ref="Q8">SUMIFS(Данные!$D:$D,Данные!$B:$B,$A8,Данные!$E:$E,Q$3,Данные!$A:$A,"&gt;="&amp;Q$1,Данные!$A:$A,"&lt;="&amp;Q$2)</f>
        <v>345306.23</v>
      </c>
      <c r="R8" cm="1">
        <f t="array" ref="R8">SUMIFS(Данные!$D:$D,Данные!$B:$B,$A8,Данные!$E:$E,R$3,Данные!$A:$A,"&gt;="&amp;R$1,Данные!$A:$A,"&lt;="&amp;R$2)</f>
        <v>81223.360000000001</v>
      </c>
      <c r="S8" cm="1">
        <f t="array" ref="S8">SUMIFS(Данные!$D:$D,Данные!$B:$B,$A8,Данные!$E:$E,S$3,Данные!$A:$A,"&gt;="&amp;S$1,Данные!$A:$A,"&lt;="&amp;S$2)</f>
        <v>0</v>
      </c>
      <c r="T8" cm="1">
        <f t="array" ref="T8">SUMIFS(Данные!$D:$D,Данные!$B:$B,$A8,Данные!$E:$E,T$3,Данные!$A:$A,"&gt;="&amp;T$1,Данные!$A:$A,"&lt;="&amp;T$2)</f>
        <v>306186.42</v>
      </c>
      <c r="U8" cm="1">
        <f t="array" ref="U8">SUMIFS(Данные!$D:$D,Данные!$B:$B,$A8,Данные!$E:$E,U$3,Данные!$A:$A,"&gt;="&amp;U$1,Данные!$A:$A,"&lt;="&amp;U$2)</f>
        <v>0</v>
      </c>
      <c r="V8" cm="1">
        <f t="array" ref="V8">SUMIFS(Данные!$D:$D,Данные!$B:$B,$A8,Данные!$E:$E,V$3,Данные!$A:$A,"&gt;="&amp;V$1,Данные!$A:$A,"&lt;="&amp;V$2)</f>
        <v>0</v>
      </c>
      <c r="W8" cm="1">
        <f t="array" ref="W8">SUMIFS(Данные!$D:$D,Данные!$B:$B,$A8,Данные!$E:$E,W$3,Данные!$A:$A,"&gt;="&amp;W$1,Данные!$A:$A,"&lt;="&amp;W$2)</f>
        <v>0</v>
      </c>
      <c r="X8" cm="1">
        <f t="array" ref="X8">SUMIFS(Данные!$D:$D,Данные!$B:$B,$A8,Данные!$E:$E,X$3,Данные!$A:$A,"&gt;="&amp;X$1,Данные!$A:$A,"&lt;="&amp;X$2)</f>
        <v>354795.36</v>
      </c>
      <c r="Y8" cm="1">
        <f t="array" ref="Y8">SUMIFS(Данные!$D:$D,Данные!$B:$B,$A8,Данные!$E:$E,Y$3,Данные!$A:$A,"&gt;="&amp;Y$1,Данные!$A:$A,"&lt;="&amp;Y$2)</f>
        <v>0</v>
      </c>
      <c r="Z8" cm="1">
        <f t="array" ref="Z8">SUM(B8:Y8)</f>
        <v>1496071.2399999998</v>
      </c>
    </row>
    <row r="9" spans="1:26" x14ac:dyDescent="0.2">
      <c r="A9" t="s">
        <v>459</v>
      </c>
      <c r="B9" cm="1">
        <f t="array" ref="B9">SUM(B4:B8)</f>
        <v>361390.82999999996</v>
      </c>
      <c r="C9" cm="1">
        <f t="array" ref="C9">SUM(C4:C8)</f>
        <v>275047.94</v>
      </c>
      <c r="D9" cm="1">
        <f t="array" ref="D9">SUM(D4:D8)</f>
        <v>365282.28</v>
      </c>
      <c r="E9" cm="1">
        <f t="array" ref="E9">SUM(E4:E8)</f>
        <v>340379.25</v>
      </c>
      <c r="F9" cm="1">
        <f t="array" ref="F9">SUM(F4:F8)</f>
        <v>1302382.1599999999</v>
      </c>
      <c r="G9" cm="1">
        <f t="array" ref="G9">SUM(G4:G8)</f>
        <v>134585.93</v>
      </c>
      <c r="H9" cm="1">
        <f t="array" ref="H9">SUM(H4:H8)</f>
        <v>239698.95</v>
      </c>
      <c r="I9" cm="1">
        <f t="array" ref="I9">SUM(I4:I8)</f>
        <v>12594.919999999998</v>
      </c>
      <c r="J9" cm="1">
        <f t="array" ref="J9">SUM(J4:J8)</f>
        <v>873897.73</v>
      </c>
      <c r="K9" cm="1">
        <f t="array" ref="K9">SUM(K4:K8)</f>
        <v>147133.95000000001</v>
      </c>
      <c r="L9" cm="1">
        <f t="array" ref="L9">SUM(L4:L8)</f>
        <v>67279.359999999986</v>
      </c>
      <c r="M9" cm="1">
        <f t="array" ref="M9">SUM(M4:M8)</f>
        <v>531494.51</v>
      </c>
      <c r="N9" cm="1">
        <f t="array" ref="N9">SUM(N4:N8)</f>
        <v>494752.81</v>
      </c>
      <c r="O9" cm="1">
        <f t="array" ref="O9">SUM(O4:O8)</f>
        <v>0</v>
      </c>
      <c r="P9" cm="1">
        <f t="array" ref="P9">SUM(P4:P8)</f>
        <v>-96057.790000000008</v>
      </c>
      <c r="Q9" cm="1">
        <f t="array" ref="Q9">SUM(Q4:Q8)</f>
        <v>641599.24</v>
      </c>
      <c r="R9" cm="1">
        <f t="array" ref="R9">SUM(R4:R8)</f>
        <v>649438.77999999991</v>
      </c>
      <c r="S9" cm="1">
        <f t="array" ref="S9">SUM(S4:S8)</f>
        <v>0</v>
      </c>
      <c r="T9" cm="1">
        <f t="array" ref="T9">SUM(T4:T8)</f>
        <v>306186.42</v>
      </c>
      <c r="U9" cm="1">
        <f t="array" ref="U9">SUM(U4:U8)</f>
        <v>362169.49</v>
      </c>
      <c r="V9" cm="1">
        <f t="array" ref="V9">SUM(V4:V8)</f>
        <v>144766.51999999999</v>
      </c>
      <c r="W9" cm="1">
        <f t="array" ref="W9">SUM(W4:W8)</f>
        <v>247742.26</v>
      </c>
      <c r="X9" cm="1">
        <f t="array" ref="X9">SUM(X4:X8)</f>
        <v>258571.02</v>
      </c>
      <c r="Y9" cm="1">
        <f t="array" ref="Y9">SUM(Y4:Y8)</f>
        <v>971735.19</v>
      </c>
      <c r="Z9" cm="1">
        <f t="array" ref="Z9">SUM(Z4:Z8)</f>
        <v>8632071.75</v>
      </c>
    </row>
    <row r="10" spans="1:26" x14ac:dyDescent="0.2">
      <c r="A10" t="str" cm="1">
        <f t="array" ref="A10">Статьи!A7</f>
        <v>Связь 1</v>
      </c>
      <c r="B10" cm="1">
        <f t="array" ref="B10">SUMIFS(Данные!$D:$D,Данные!$B:$B,$A10,Данные!$E:$E,B$3,Данные!$A:$A,"&gt;="&amp;B$1,Данные!$A:$A,"&lt;="&amp;B$2)</f>
        <v>97614.39</v>
      </c>
      <c r="C10" cm="1">
        <f t="array" ref="C10">SUMIFS(Данные!$D:$D,Данные!$B:$B,$A10,Данные!$E:$E,C$3,Данные!$A:$A,"&gt;="&amp;C$1,Данные!$A:$A,"&lt;="&amp;C$2)</f>
        <v>0</v>
      </c>
      <c r="D10" cm="1">
        <f t="array" ref="D10">SUMIFS(Данные!$D:$D,Данные!$B:$B,$A10,Данные!$E:$E,D$3,Данные!$A:$A,"&gt;="&amp;D$1,Данные!$A:$A,"&lt;="&amp;D$2)</f>
        <v>178192.36</v>
      </c>
      <c r="E10" cm="1">
        <f t="array" ref="E10">SUMIFS(Данные!$D:$D,Данные!$B:$B,$A10,Данные!$E:$E,E$3,Данные!$A:$A,"&gt;="&amp;E$1,Данные!$A:$A,"&lt;="&amp;E$2)</f>
        <v>0</v>
      </c>
      <c r="F10" cm="1">
        <f t="array" ref="F10">SUMIFS(Данные!$D:$D,Данные!$B:$B,$A10,Данные!$E:$E,F$3,Данные!$A:$A,"&gt;="&amp;F$1,Данные!$A:$A,"&lt;="&amp;F$2)</f>
        <v>0</v>
      </c>
      <c r="G10" cm="1">
        <f t="array" ref="G10">SUMIFS(Данные!$D:$D,Данные!$B:$B,$A10,Данные!$E:$E,G$3,Данные!$A:$A,"&gt;="&amp;G$1,Данные!$A:$A,"&lt;="&amp;G$2)</f>
        <v>0</v>
      </c>
      <c r="H10" cm="1">
        <f t="array" ref="H10">SUMIFS(Данные!$D:$D,Данные!$B:$B,$A10,Данные!$E:$E,H$3,Данные!$A:$A,"&gt;="&amp;H$1,Данные!$A:$A,"&lt;="&amp;H$2)</f>
        <v>0</v>
      </c>
      <c r="I10" cm="1">
        <f t="array" ref="I10">SUMIFS(Данные!$D:$D,Данные!$B:$B,$A10,Данные!$E:$E,I$3,Данные!$A:$A,"&gt;="&amp;I$1,Данные!$A:$A,"&lt;="&amp;I$2)</f>
        <v>0</v>
      </c>
      <c r="J10" cm="1">
        <f t="array" ref="J10">SUMIFS(Данные!$D:$D,Данные!$B:$B,$A10,Данные!$E:$E,J$3,Данные!$A:$A,"&gt;="&amp;J$1,Данные!$A:$A,"&lt;="&amp;J$2)</f>
        <v>141542.73000000001</v>
      </c>
      <c r="K10" cm="1">
        <f t="array" ref="K10">SUMIFS(Данные!$D:$D,Данные!$B:$B,$A10,Данные!$E:$E,K$3,Данные!$A:$A,"&gt;="&amp;K$1,Данные!$A:$A,"&lt;="&amp;K$2)</f>
        <v>0</v>
      </c>
      <c r="L10" cm="1">
        <f t="array" ref="L10">SUMIFS(Данные!$D:$D,Данные!$B:$B,$A10,Данные!$E:$E,L$3,Данные!$A:$A,"&gt;="&amp;L$1,Данные!$A:$A,"&lt;="&amp;L$2)</f>
        <v>103573.35</v>
      </c>
      <c r="M10" cm="1">
        <f t="array" ref="M10">SUMIFS(Данные!$D:$D,Данные!$B:$B,$A10,Данные!$E:$E,M$3,Данные!$A:$A,"&gt;="&amp;M$1,Данные!$A:$A,"&lt;="&amp;M$2)</f>
        <v>511616.72</v>
      </c>
      <c r="N10" cm="1">
        <f t="array" ref="N10">SUMIFS(Данные!$D:$D,Данные!$B:$B,$A10,Данные!$E:$E,N$3,Данные!$A:$A,"&gt;="&amp;N$1,Данные!$A:$A,"&lt;="&amp;N$2)</f>
        <v>173233.80000000002</v>
      </c>
      <c r="O10" cm="1">
        <f t="array" ref="O10">SUMIFS(Данные!$D:$D,Данные!$B:$B,$A10,Данные!$E:$E,O$3,Данные!$A:$A,"&gt;="&amp;O$1,Данные!$A:$A,"&lt;="&amp;O$2)</f>
        <v>0</v>
      </c>
      <c r="P10" cm="1">
        <f t="array" ref="P10">SUMIFS(Данные!$D:$D,Данные!$B:$B,$A10,Данные!$E:$E,P$3,Данные!$A:$A,"&gt;="&amp;P$1,Данные!$A:$A,"&lt;="&amp;P$2)</f>
        <v>0</v>
      </c>
      <c r="Q10" cm="1">
        <f t="array" ref="Q10">SUMIFS(Данные!$D:$D,Данные!$B:$B,$A10,Данные!$E:$E,Q$3,Данные!$A:$A,"&gt;="&amp;Q$1,Данные!$A:$A,"&lt;="&amp;Q$2)</f>
        <v>0</v>
      </c>
      <c r="R10" cm="1">
        <f t="array" ref="R10">SUMIFS(Данные!$D:$D,Данные!$B:$B,$A10,Данные!$E:$E,R$3,Данные!$A:$A,"&gt;="&amp;R$1,Данные!$A:$A,"&lt;="&amp;R$2)</f>
        <v>0</v>
      </c>
      <c r="S10" cm="1">
        <f t="array" ref="S10">SUMIFS(Данные!$D:$D,Данные!$B:$B,$A10,Данные!$E:$E,S$3,Данные!$A:$A,"&gt;="&amp;S$1,Данные!$A:$A,"&lt;="&amp;S$2)</f>
        <v>0</v>
      </c>
      <c r="T10" cm="1">
        <f t="array" ref="T10">SUMIFS(Данные!$D:$D,Данные!$B:$B,$A10,Данные!$E:$E,T$3,Данные!$A:$A,"&gt;="&amp;T$1,Данные!$A:$A,"&lt;="&amp;T$2)</f>
        <v>0</v>
      </c>
      <c r="U10" cm="1">
        <f t="array" ref="U10">SUMIFS(Данные!$D:$D,Данные!$B:$B,$A10,Данные!$E:$E,U$3,Данные!$A:$A,"&gt;="&amp;U$1,Данные!$A:$A,"&lt;="&amp;U$2)</f>
        <v>0</v>
      </c>
      <c r="V10" cm="1">
        <f t="array" ref="V10">SUMIFS(Данные!$D:$D,Данные!$B:$B,$A10,Данные!$E:$E,V$3,Данные!$A:$A,"&gt;="&amp;V$1,Данные!$A:$A,"&lt;="&amp;V$2)</f>
        <v>0</v>
      </c>
      <c r="W10" cm="1">
        <f t="array" ref="W10">SUMIFS(Данные!$D:$D,Данные!$B:$B,$A10,Данные!$E:$E,W$3,Данные!$A:$A,"&gt;="&amp;W$1,Данные!$A:$A,"&lt;="&amp;W$2)</f>
        <v>0</v>
      </c>
      <c r="X10" cm="1">
        <f t="array" ref="X10">SUMIFS(Данные!$D:$D,Данные!$B:$B,$A10,Данные!$E:$E,X$3,Данные!$A:$A,"&gt;="&amp;X$1,Данные!$A:$A,"&lt;="&amp;X$2)</f>
        <v>0</v>
      </c>
      <c r="Y10" cm="1">
        <f t="array" ref="Y10">SUMIFS(Данные!$D:$D,Данные!$B:$B,$A10,Данные!$E:$E,Y$3,Данные!$A:$A,"&gt;="&amp;Y$1,Данные!$A:$A,"&lt;="&amp;Y$2)</f>
        <v>78369.710000000006</v>
      </c>
      <c r="Z10" cm="1">
        <f t="array" ref="Z10">SUM(B10:Y10)</f>
        <v>1284143.0599999998</v>
      </c>
    </row>
    <row r="11" spans="1:26" x14ac:dyDescent="0.2">
      <c r="A11" t="str" cm="1">
        <f t="array" ref="A11">Статьи!A8</f>
        <v>Налог 1</v>
      </c>
      <c r="B11" cm="1">
        <f t="array" ref="B11">SUMIFS(Данные!$D:$D,Данные!$B:$B,$A11,Данные!$E:$E,B$3,Данные!$A:$A,"&gt;="&amp;B$1,Данные!$A:$A,"&lt;="&amp;B$2)</f>
        <v>0</v>
      </c>
      <c r="C11" cm="1">
        <f t="array" ref="C11">SUMIFS(Данные!$D:$D,Данные!$B:$B,$A11,Данные!$E:$E,C$3,Данные!$A:$A,"&gt;="&amp;C$1,Данные!$A:$A,"&lt;="&amp;C$2)</f>
        <v>0</v>
      </c>
      <c r="D11" cm="1">
        <f t="array" ref="D11">SUMIFS(Данные!$D:$D,Данные!$B:$B,$A11,Данные!$E:$E,D$3,Данные!$A:$A,"&gt;="&amp;D$1,Данные!$A:$A,"&lt;="&amp;D$2)</f>
        <v>0</v>
      </c>
      <c r="E11" cm="1">
        <f t="array" ref="E11">SUMIFS(Данные!$D:$D,Данные!$B:$B,$A11,Данные!$E:$E,E$3,Данные!$A:$A,"&gt;="&amp;E$1,Данные!$A:$A,"&lt;="&amp;E$2)</f>
        <v>24606.32</v>
      </c>
      <c r="F11" cm="1">
        <f t="array" ref="F11">SUMIFS(Данные!$D:$D,Данные!$B:$B,$A11,Данные!$E:$E,F$3,Данные!$A:$A,"&gt;="&amp;F$1,Данные!$A:$A,"&lt;="&amp;F$2)</f>
        <v>-53530.76</v>
      </c>
      <c r="G11" cm="1">
        <f t="array" ref="G11">SUMIFS(Данные!$D:$D,Данные!$B:$B,$A11,Данные!$E:$E,G$3,Данные!$A:$A,"&gt;="&amp;G$1,Данные!$A:$A,"&lt;="&amp;G$2)</f>
        <v>0</v>
      </c>
      <c r="H11" cm="1">
        <f t="array" ref="H11">SUMIFS(Данные!$D:$D,Данные!$B:$B,$A11,Данные!$E:$E,H$3,Данные!$A:$A,"&gt;="&amp;H$1,Данные!$A:$A,"&lt;="&amp;H$2)</f>
        <v>0</v>
      </c>
      <c r="I11" cm="1">
        <f t="array" ref="I11">SUMIFS(Данные!$D:$D,Данные!$B:$B,$A11,Данные!$E:$E,I$3,Данные!$A:$A,"&gt;="&amp;I$1,Данные!$A:$A,"&lt;="&amp;I$2)</f>
        <v>0</v>
      </c>
      <c r="J11" cm="1">
        <f t="array" ref="J11">SUMIFS(Данные!$D:$D,Данные!$B:$B,$A11,Данные!$E:$E,J$3,Данные!$A:$A,"&gt;="&amp;J$1,Данные!$A:$A,"&lt;="&amp;J$2)</f>
        <v>0</v>
      </c>
      <c r="K11" cm="1">
        <f t="array" ref="K11">SUMIFS(Данные!$D:$D,Данные!$B:$B,$A11,Данные!$E:$E,K$3,Данные!$A:$A,"&gt;="&amp;K$1,Данные!$A:$A,"&lt;="&amp;K$2)</f>
        <v>46330.65</v>
      </c>
      <c r="L11" cm="1">
        <f t="array" ref="L11">SUMIFS(Данные!$D:$D,Данные!$B:$B,$A11,Данные!$E:$E,L$3,Данные!$A:$A,"&gt;="&amp;L$1,Данные!$A:$A,"&lt;="&amp;L$2)</f>
        <v>222390.05</v>
      </c>
      <c r="M11" cm="1">
        <f t="array" ref="M11">SUMIFS(Данные!$D:$D,Данные!$B:$B,$A11,Данные!$E:$E,M$3,Данные!$A:$A,"&gt;="&amp;M$1,Данные!$A:$A,"&lt;="&amp;M$2)</f>
        <v>0</v>
      </c>
      <c r="N11" cm="1">
        <f t="array" ref="N11">SUMIFS(Данные!$D:$D,Данные!$B:$B,$A11,Данные!$E:$E,N$3,Данные!$A:$A,"&gt;="&amp;N$1,Данные!$A:$A,"&lt;="&amp;N$2)</f>
        <v>0</v>
      </c>
      <c r="O11" cm="1">
        <f t="array" ref="O11">SUMIFS(Данные!$D:$D,Данные!$B:$B,$A11,Данные!$E:$E,O$3,Данные!$A:$A,"&gt;="&amp;O$1,Данные!$A:$A,"&lt;="&amp;O$2)</f>
        <v>0</v>
      </c>
      <c r="P11" cm="1">
        <f t="array" ref="P11">SUMIFS(Данные!$D:$D,Данные!$B:$B,$A11,Данные!$E:$E,P$3,Данные!$A:$A,"&gt;="&amp;P$1,Данные!$A:$A,"&lt;="&amp;P$2)</f>
        <v>0</v>
      </c>
      <c r="Q11" cm="1">
        <f t="array" ref="Q11">SUMIFS(Данные!$D:$D,Данные!$B:$B,$A11,Данные!$E:$E,Q$3,Данные!$A:$A,"&gt;="&amp;Q$1,Данные!$A:$A,"&lt;="&amp;Q$2)</f>
        <v>387806.59</v>
      </c>
      <c r="R11" cm="1">
        <f t="array" ref="R11">SUMIFS(Данные!$D:$D,Данные!$B:$B,$A11,Данные!$E:$E,R$3,Данные!$A:$A,"&gt;="&amp;R$1,Данные!$A:$A,"&lt;="&amp;R$2)</f>
        <v>0</v>
      </c>
      <c r="S11" cm="1">
        <f t="array" ref="S11">SUMIFS(Данные!$D:$D,Данные!$B:$B,$A11,Данные!$E:$E,S$3,Данные!$A:$A,"&gt;="&amp;S$1,Данные!$A:$A,"&lt;="&amp;S$2)</f>
        <v>0</v>
      </c>
      <c r="T11" cm="1">
        <f t="array" ref="T11">SUMIFS(Данные!$D:$D,Данные!$B:$B,$A11,Данные!$E:$E,T$3,Данные!$A:$A,"&gt;="&amp;T$1,Данные!$A:$A,"&lt;="&amp;T$2)</f>
        <v>81797.95</v>
      </c>
      <c r="U11" cm="1">
        <f t="array" ref="U11">SUMIFS(Данные!$D:$D,Данные!$B:$B,$A11,Данные!$E:$E,U$3,Данные!$A:$A,"&gt;="&amp;U$1,Данные!$A:$A,"&lt;="&amp;U$2)</f>
        <v>0</v>
      </c>
      <c r="V11" cm="1">
        <f t="array" ref="V11">SUMIFS(Данные!$D:$D,Данные!$B:$B,$A11,Данные!$E:$E,V$3,Данные!$A:$A,"&gt;="&amp;V$1,Данные!$A:$A,"&lt;="&amp;V$2)</f>
        <v>0</v>
      </c>
      <c r="W11" cm="1">
        <f t="array" ref="W11">SUMIFS(Данные!$D:$D,Данные!$B:$B,$A11,Данные!$E:$E,W$3,Данные!$A:$A,"&gt;="&amp;W$1,Данные!$A:$A,"&lt;="&amp;W$2)</f>
        <v>0</v>
      </c>
      <c r="X11" cm="1">
        <f t="array" ref="X11">SUMIFS(Данные!$D:$D,Данные!$B:$B,$A11,Данные!$E:$E,X$3,Данные!$A:$A,"&gt;="&amp;X$1,Данные!$A:$A,"&lt;="&amp;X$2)</f>
        <v>-78781.56</v>
      </c>
      <c r="Y11" cm="1">
        <f t="array" ref="Y11">SUMIFS(Данные!$D:$D,Данные!$B:$B,$A11,Данные!$E:$E,Y$3,Данные!$A:$A,"&gt;="&amp;Y$1,Данные!$A:$A,"&lt;="&amp;Y$2)</f>
        <v>0</v>
      </c>
      <c r="Z11" cm="1">
        <f t="array" ref="Z11">SUM(B11:Y11)</f>
        <v>630619.24</v>
      </c>
    </row>
    <row r="12" spans="1:26" x14ac:dyDescent="0.2">
      <c r="A12" t="str" cm="1">
        <f t="array" ref="A12">Статьи!A9</f>
        <v>Доход 1</v>
      </c>
      <c r="B12" cm="1">
        <f t="array" ref="B12">SUMIFS(Данные!$D:$D,Данные!$B:$B,$A12,Данные!$E:$E,B$3,Данные!$A:$A,"&gt;="&amp;B$1,Данные!$A:$A,"&lt;="&amp;B$2)</f>
        <v>10010.799999999999</v>
      </c>
      <c r="C12" cm="1">
        <f t="array" ref="C12">SUMIFS(Данные!$D:$D,Данные!$B:$B,$A12,Данные!$E:$E,C$3,Данные!$A:$A,"&gt;="&amp;C$1,Данные!$A:$A,"&lt;="&amp;C$2)</f>
        <v>0</v>
      </c>
      <c r="D12" cm="1">
        <f t="array" ref="D12">SUMIFS(Данные!$D:$D,Данные!$B:$B,$A12,Данные!$E:$E,D$3,Данные!$A:$A,"&gt;="&amp;D$1,Данные!$A:$A,"&lt;="&amp;D$2)</f>
        <v>0</v>
      </c>
      <c r="E12" cm="1">
        <f t="array" ref="E12">SUMIFS(Данные!$D:$D,Данные!$B:$B,$A12,Данные!$E:$E,E$3,Данные!$A:$A,"&gt;="&amp;E$1,Данные!$A:$A,"&lt;="&amp;E$2)</f>
        <v>0</v>
      </c>
      <c r="F12" cm="1">
        <f t="array" ref="F12">SUMIFS(Данные!$D:$D,Данные!$B:$B,$A12,Данные!$E:$E,F$3,Данные!$A:$A,"&gt;="&amp;F$1,Данные!$A:$A,"&lt;="&amp;F$2)</f>
        <v>0</v>
      </c>
      <c r="G12" cm="1">
        <f t="array" ref="G12">SUMIFS(Данные!$D:$D,Данные!$B:$B,$A12,Данные!$E:$E,G$3,Данные!$A:$A,"&gt;="&amp;G$1,Данные!$A:$A,"&lt;="&amp;G$2)</f>
        <v>242812.16</v>
      </c>
      <c r="H12" cm="1">
        <f t="array" ref="H12">SUMIFS(Данные!$D:$D,Данные!$B:$B,$A12,Данные!$E:$E,H$3,Данные!$A:$A,"&gt;="&amp;H$1,Данные!$A:$A,"&lt;="&amp;H$2)</f>
        <v>0</v>
      </c>
      <c r="I12" cm="1">
        <f t="array" ref="I12">SUMIFS(Данные!$D:$D,Данные!$B:$B,$A12,Данные!$E:$E,I$3,Данные!$A:$A,"&gt;="&amp;I$1,Данные!$A:$A,"&lt;="&amp;I$2)</f>
        <v>0</v>
      </c>
      <c r="J12" cm="1">
        <f t="array" ref="J12">SUMIFS(Данные!$D:$D,Данные!$B:$B,$A12,Данные!$E:$E,J$3,Данные!$A:$A,"&gt;="&amp;J$1,Данные!$A:$A,"&lt;="&amp;J$2)</f>
        <v>280790.62</v>
      </c>
      <c r="K12" cm="1">
        <f t="array" ref="K12">SUMIFS(Данные!$D:$D,Данные!$B:$B,$A12,Данные!$E:$E,K$3,Данные!$A:$A,"&gt;="&amp;K$1,Данные!$A:$A,"&lt;="&amp;K$2)</f>
        <v>0</v>
      </c>
      <c r="L12" cm="1">
        <f t="array" ref="L12">SUMIFS(Данные!$D:$D,Данные!$B:$B,$A12,Данные!$E:$E,L$3,Данные!$A:$A,"&gt;="&amp;L$1,Данные!$A:$A,"&lt;="&amp;L$2)</f>
        <v>0</v>
      </c>
      <c r="M12" cm="1">
        <f t="array" ref="M12">SUMIFS(Данные!$D:$D,Данные!$B:$B,$A12,Данные!$E:$E,M$3,Данные!$A:$A,"&gt;="&amp;M$1,Данные!$A:$A,"&lt;="&amp;M$2)</f>
        <v>0</v>
      </c>
      <c r="N12" cm="1">
        <f t="array" ref="N12">SUMIFS(Данные!$D:$D,Данные!$B:$B,$A12,Данные!$E:$E,N$3,Данные!$A:$A,"&gt;="&amp;N$1,Данные!$A:$A,"&lt;="&amp;N$2)</f>
        <v>217989.18</v>
      </c>
      <c r="O12" cm="1">
        <f t="array" ref="O12">SUMIFS(Данные!$D:$D,Данные!$B:$B,$A12,Данные!$E:$E,O$3,Данные!$A:$A,"&gt;="&amp;O$1,Данные!$A:$A,"&lt;="&amp;O$2)</f>
        <v>0</v>
      </c>
      <c r="P12" cm="1">
        <f t="array" ref="P12">SUMIFS(Данные!$D:$D,Данные!$B:$B,$A12,Данные!$E:$E,P$3,Данные!$A:$A,"&gt;="&amp;P$1,Данные!$A:$A,"&lt;="&amp;P$2)</f>
        <v>0</v>
      </c>
      <c r="Q12" cm="1">
        <f t="array" ref="Q12">SUMIFS(Данные!$D:$D,Данные!$B:$B,$A12,Данные!$E:$E,Q$3,Данные!$A:$A,"&gt;="&amp;Q$1,Данные!$A:$A,"&lt;="&amp;Q$2)</f>
        <v>386326.05</v>
      </c>
      <c r="R12" cm="1">
        <f t="array" ref="R12">SUMIFS(Данные!$D:$D,Данные!$B:$B,$A12,Данные!$E:$E,R$3,Данные!$A:$A,"&gt;="&amp;R$1,Данные!$A:$A,"&lt;="&amp;R$2)</f>
        <v>461610.04000000004</v>
      </c>
      <c r="S12" cm="1">
        <f t="array" ref="S12">SUMIFS(Данные!$D:$D,Данные!$B:$B,$A12,Данные!$E:$E,S$3,Данные!$A:$A,"&gt;="&amp;S$1,Данные!$A:$A,"&lt;="&amp;S$2)</f>
        <v>0</v>
      </c>
      <c r="T12" cm="1">
        <f t="array" ref="T12">SUMIFS(Данные!$D:$D,Данные!$B:$B,$A12,Данные!$E:$E,T$3,Данные!$A:$A,"&gt;="&amp;T$1,Данные!$A:$A,"&lt;="&amp;T$2)</f>
        <v>0</v>
      </c>
      <c r="U12" cm="1">
        <f t="array" ref="U12">SUMIFS(Данные!$D:$D,Данные!$B:$B,$A12,Данные!$E:$E,U$3,Данные!$A:$A,"&gt;="&amp;U$1,Данные!$A:$A,"&lt;="&amp;U$2)</f>
        <v>0</v>
      </c>
      <c r="V12" cm="1">
        <f t="array" ref="V12">SUMIFS(Данные!$D:$D,Данные!$B:$B,$A12,Данные!$E:$E,V$3,Данные!$A:$A,"&gt;="&amp;V$1,Данные!$A:$A,"&lt;="&amp;V$2)</f>
        <v>0</v>
      </c>
      <c r="W12" cm="1">
        <f t="array" ref="W12">SUMIFS(Данные!$D:$D,Данные!$B:$B,$A12,Данные!$E:$E,W$3,Данные!$A:$A,"&gt;="&amp;W$1,Данные!$A:$A,"&lt;="&amp;W$2)</f>
        <v>147137.49</v>
      </c>
      <c r="X12" cm="1">
        <f t="array" ref="X12">SUMIFS(Данные!$D:$D,Данные!$B:$B,$A12,Данные!$E:$E,X$3,Данные!$A:$A,"&gt;="&amp;X$1,Данные!$A:$A,"&lt;="&amp;X$2)</f>
        <v>0</v>
      </c>
      <c r="Y12" cm="1">
        <f t="array" ref="Y12">SUMIFS(Данные!$D:$D,Данные!$B:$B,$A12,Данные!$E:$E,Y$3,Данные!$A:$A,"&gt;="&amp;Y$1,Данные!$A:$A,"&lt;="&amp;Y$2)</f>
        <v>0</v>
      </c>
      <c r="Z12" cm="1">
        <f t="array" ref="Z12">SUM(B12:Y12)</f>
        <v>1746676.34</v>
      </c>
    </row>
    <row r="13" spans="1:26" x14ac:dyDescent="0.2">
      <c r="A13" t="str" cm="1">
        <f t="array" ref="A13">Статьи!A10</f>
        <v>Сырьё 1</v>
      </c>
      <c r="B13" cm="1">
        <f t="array" ref="B13">SUMIFS(Данные!$D:$D,Данные!$B:$B,$A13,Данные!$E:$E,B$3,Данные!$A:$A,"&gt;="&amp;B$1,Данные!$A:$A,"&lt;="&amp;B$2)</f>
        <v>128341.97</v>
      </c>
      <c r="C13" cm="1">
        <f t="array" ref="C13">SUMIFS(Данные!$D:$D,Данные!$B:$B,$A13,Данные!$E:$E,C$3,Данные!$A:$A,"&gt;="&amp;C$1,Данные!$A:$A,"&lt;="&amp;C$2)</f>
        <v>227978.84999999998</v>
      </c>
      <c r="D13" cm="1">
        <f t="array" ref="D13">SUMIFS(Данные!$D:$D,Данные!$B:$B,$A13,Данные!$E:$E,D$3,Данные!$A:$A,"&gt;="&amp;D$1,Данные!$A:$A,"&lt;="&amp;D$2)</f>
        <v>0</v>
      </c>
      <c r="E13" cm="1">
        <f t="array" ref="E13">SUMIFS(Данные!$D:$D,Данные!$B:$B,$A13,Данные!$E:$E,E$3,Данные!$A:$A,"&gt;="&amp;E$1,Данные!$A:$A,"&lt;="&amp;E$2)</f>
        <v>0</v>
      </c>
      <c r="F13" cm="1">
        <f t="array" ref="F13">SUMIFS(Данные!$D:$D,Данные!$B:$B,$A13,Данные!$E:$E,F$3,Данные!$A:$A,"&gt;="&amp;F$1,Данные!$A:$A,"&lt;="&amp;F$2)</f>
        <v>0</v>
      </c>
      <c r="G13" cm="1">
        <f t="array" ref="G13">SUMIFS(Данные!$D:$D,Данные!$B:$B,$A13,Данные!$E:$E,G$3,Данные!$A:$A,"&gt;="&amp;G$1,Данные!$A:$A,"&lt;="&amp;G$2)</f>
        <v>0</v>
      </c>
      <c r="H13" cm="1">
        <f t="array" ref="H13">SUMIFS(Данные!$D:$D,Данные!$B:$B,$A13,Данные!$E:$E,H$3,Данные!$A:$A,"&gt;="&amp;H$1,Данные!$A:$A,"&lt;="&amp;H$2)</f>
        <v>0</v>
      </c>
      <c r="I13" cm="1">
        <f t="array" ref="I13">SUMIFS(Данные!$D:$D,Данные!$B:$B,$A13,Данные!$E:$E,I$3,Данные!$A:$A,"&gt;="&amp;I$1,Данные!$A:$A,"&lt;="&amp;I$2)</f>
        <v>339107.89</v>
      </c>
      <c r="J13" cm="1">
        <f t="array" ref="J13">SUMIFS(Данные!$D:$D,Данные!$B:$B,$A13,Данные!$E:$E,J$3,Данные!$A:$A,"&gt;="&amp;J$1,Данные!$A:$A,"&lt;="&amp;J$2)</f>
        <v>0</v>
      </c>
      <c r="K13" cm="1">
        <f t="array" ref="K13">SUMIFS(Данные!$D:$D,Данные!$B:$B,$A13,Данные!$E:$E,K$3,Данные!$A:$A,"&gt;="&amp;K$1,Данные!$A:$A,"&lt;="&amp;K$2)</f>
        <v>0</v>
      </c>
      <c r="L13" cm="1">
        <f t="array" ref="L13">SUMIFS(Данные!$D:$D,Данные!$B:$B,$A13,Данные!$E:$E,L$3,Данные!$A:$A,"&gt;="&amp;L$1,Данные!$A:$A,"&lt;="&amp;L$2)</f>
        <v>-93662.43</v>
      </c>
      <c r="M13" cm="1">
        <f t="array" ref="M13">SUMIFS(Данные!$D:$D,Данные!$B:$B,$A13,Данные!$E:$E,M$3,Данные!$A:$A,"&gt;="&amp;M$1,Данные!$A:$A,"&lt;="&amp;M$2)</f>
        <v>-88560.819999999992</v>
      </c>
      <c r="N13" cm="1">
        <f t="array" ref="N13">SUMIFS(Данные!$D:$D,Данные!$B:$B,$A13,Данные!$E:$E,N$3,Данные!$A:$A,"&gt;="&amp;N$1,Данные!$A:$A,"&lt;="&amp;N$2)</f>
        <v>0</v>
      </c>
      <c r="O13" cm="1">
        <f t="array" ref="O13">SUMIFS(Данные!$D:$D,Данные!$B:$B,$A13,Данные!$E:$E,O$3,Данные!$A:$A,"&gt;="&amp;O$1,Данные!$A:$A,"&lt;="&amp;O$2)</f>
        <v>0</v>
      </c>
      <c r="P13" cm="1">
        <f t="array" ref="P13">SUMIFS(Данные!$D:$D,Данные!$B:$B,$A13,Данные!$E:$E,P$3,Данные!$A:$A,"&gt;="&amp;P$1,Данные!$A:$A,"&lt;="&amp;P$2)</f>
        <v>-42568.94</v>
      </c>
      <c r="Q13" cm="1">
        <f t="array" ref="Q13">SUMIFS(Данные!$D:$D,Данные!$B:$B,$A13,Данные!$E:$E,Q$3,Данные!$A:$A,"&gt;="&amp;Q$1,Данные!$A:$A,"&lt;="&amp;Q$2)</f>
        <v>0</v>
      </c>
      <c r="R13" cm="1">
        <f t="array" ref="R13">SUMIFS(Данные!$D:$D,Данные!$B:$B,$A13,Данные!$E:$E,R$3,Данные!$A:$A,"&gt;="&amp;R$1,Данные!$A:$A,"&lt;="&amp;R$2)</f>
        <v>0</v>
      </c>
      <c r="S13" cm="1">
        <f t="array" ref="S13">SUMIFS(Данные!$D:$D,Данные!$B:$B,$A13,Данные!$E:$E,S$3,Данные!$A:$A,"&gt;="&amp;S$1,Данные!$A:$A,"&lt;="&amp;S$2)</f>
        <v>64436.78</v>
      </c>
      <c r="T13" cm="1">
        <f t="array" ref="T13">SUMIFS(Данные!$D:$D,Данные!$B:$B,$A13,Данные!$E:$E,T$3,Данные!$A:$A,"&gt;="&amp;T$1,Данные!$A:$A,"&lt;="&amp;T$2)</f>
        <v>0</v>
      </c>
      <c r="U13" cm="1">
        <f t="array" ref="U13">SUMIFS(Данные!$D:$D,Данные!$B:$B,$A13,Данные!$E:$E,U$3,Данные!$A:$A,"&gt;="&amp;U$1,Данные!$A:$A,"&lt;="&amp;U$2)</f>
        <v>474766.37</v>
      </c>
      <c r="V13" cm="1">
        <f t="array" ref="V13">SUMIFS(Данные!$D:$D,Данные!$B:$B,$A13,Данные!$E:$E,V$3,Данные!$A:$A,"&gt;="&amp;V$1,Данные!$A:$A,"&lt;="&amp;V$2)</f>
        <v>124279.01</v>
      </c>
      <c r="W13" cm="1">
        <f t="array" ref="W13">SUMIFS(Данные!$D:$D,Данные!$B:$B,$A13,Данные!$E:$E,W$3,Данные!$A:$A,"&gt;="&amp;W$1,Данные!$A:$A,"&lt;="&amp;W$2)</f>
        <v>0</v>
      </c>
      <c r="X13" cm="1">
        <f t="array" ref="X13">SUMIFS(Данные!$D:$D,Данные!$B:$B,$A13,Данные!$E:$E,X$3,Данные!$A:$A,"&gt;="&amp;X$1,Данные!$A:$A,"&lt;="&amp;X$2)</f>
        <v>0</v>
      </c>
      <c r="Y13" cm="1">
        <f t="array" ref="Y13">SUMIFS(Данные!$D:$D,Данные!$B:$B,$A13,Данные!$E:$E,Y$3,Данные!$A:$A,"&gt;="&amp;Y$1,Данные!$A:$A,"&lt;="&amp;Y$2)</f>
        <v>326886.84999999998</v>
      </c>
      <c r="Z13" cm="1">
        <f t="array" ref="Z13">SUM(B13:Y13)</f>
        <v>1461005.5299999998</v>
      </c>
    </row>
    <row r="14" spans="1:26" x14ac:dyDescent="0.2">
      <c r="A14" t="str" cm="1">
        <f t="array" ref="A14">Статьи!A11</f>
        <v>Сырье 1</v>
      </c>
      <c r="B14" cm="1">
        <f t="array" ref="B14">SUMIFS(Данные!$D:$D,Данные!$B:$B,$A14,Данные!$E:$E,B$3,Данные!$A:$A,"&gt;="&amp;B$1,Данные!$A:$A,"&lt;="&amp;B$2)</f>
        <v>0</v>
      </c>
      <c r="C14" cm="1">
        <f t="array" ref="C14">SUMIFS(Данные!$D:$D,Данные!$B:$B,$A14,Данные!$E:$E,C$3,Данные!$A:$A,"&gt;="&amp;C$1,Данные!$A:$A,"&lt;="&amp;C$2)</f>
        <v>0</v>
      </c>
      <c r="D14" cm="1">
        <f t="array" ref="D14">SUMIFS(Данные!$D:$D,Данные!$B:$B,$A14,Данные!$E:$E,D$3,Данные!$A:$A,"&gt;="&amp;D$1,Данные!$A:$A,"&lt;="&amp;D$2)</f>
        <v>0</v>
      </c>
      <c r="E14" cm="1">
        <f t="array" ref="E14">SUMIFS(Данные!$D:$D,Данные!$B:$B,$A14,Данные!$E:$E,E$3,Данные!$A:$A,"&gt;="&amp;E$1,Данные!$A:$A,"&lt;="&amp;E$2)</f>
        <v>0</v>
      </c>
      <c r="F14" cm="1">
        <f t="array" ref="F14">SUMIFS(Данные!$D:$D,Данные!$B:$B,$A14,Данные!$E:$E,F$3,Данные!$A:$A,"&gt;="&amp;F$1,Данные!$A:$A,"&lt;="&amp;F$2)</f>
        <v>0</v>
      </c>
      <c r="G14" cm="1">
        <f t="array" ref="G14">SUMIFS(Данные!$D:$D,Данные!$B:$B,$A14,Данные!$E:$E,G$3,Данные!$A:$A,"&gt;="&amp;G$1,Данные!$A:$A,"&lt;="&amp;G$2)</f>
        <v>-7891.15</v>
      </c>
      <c r="H14" cm="1">
        <f t="array" ref="H14">SUMIFS(Данные!$D:$D,Данные!$B:$B,$A14,Данные!$E:$E,H$3,Данные!$A:$A,"&gt;="&amp;H$1,Данные!$A:$A,"&lt;="&amp;H$2)</f>
        <v>0</v>
      </c>
      <c r="I14" cm="1">
        <f t="array" ref="I14">SUMIFS(Данные!$D:$D,Данные!$B:$B,$A14,Данные!$E:$E,I$3,Данные!$A:$A,"&gt;="&amp;I$1,Данные!$A:$A,"&lt;="&amp;I$2)</f>
        <v>0</v>
      </c>
      <c r="J14" cm="1">
        <f t="array" ref="J14">SUMIFS(Данные!$D:$D,Данные!$B:$B,$A14,Данные!$E:$E,J$3,Данные!$A:$A,"&gt;="&amp;J$1,Данные!$A:$A,"&lt;="&amp;J$2)</f>
        <v>0</v>
      </c>
      <c r="K14" cm="1">
        <f t="array" ref="K14">SUMIFS(Данные!$D:$D,Данные!$B:$B,$A14,Данные!$E:$E,K$3,Данные!$A:$A,"&gt;="&amp;K$1,Данные!$A:$A,"&lt;="&amp;K$2)</f>
        <v>0</v>
      </c>
      <c r="L14" cm="1">
        <f t="array" ref="L14">SUMIFS(Данные!$D:$D,Данные!$B:$B,$A14,Данные!$E:$E,L$3,Данные!$A:$A,"&gt;="&amp;L$1,Данные!$A:$A,"&lt;="&amp;L$2)</f>
        <v>0</v>
      </c>
      <c r="M14" cm="1">
        <f t="array" ref="M14">SUMIFS(Данные!$D:$D,Данные!$B:$B,$A14,Данные!$E:$E,M$3,Данные!$A:$A,"&gt;="&amp;M$1,Данные!$A:$A,"&lt;="&amp;M$2)</f>
        <v>0</v>
      </c>
      <c r="N14" cm="1">
        <f t="array" ref="N14">SUMIFS(Данные!$D:$D,Данные!$B:$B,$A14,Данные!$E:$E,N$3,Данные!$A:$A,"&gt;="&amp;N$1,Данные!$A:$A,"&lt;="&amp;N$2)</f>
        <v>0</v>
      </c>
      <c r="O14" cm="1">
        <f t="array" ref="O14">SUMIFS(Данные!$D:$D,Данные!$B:$B,$A14,Данные!$E:$E,O$3,Данные!$A:$A,"&gt;="&amp;O$1,Данные!$A:$A,"&lt;="&amp;O$2)</f>
        <v>44692.14</v>
      </c>
      <c r="P14" cm="1">
        <f t="array" ref="P14">SUMIFS(Данные!$D:$D,Данные!$B:$B,$A14,Данные!$E:$E,P$3,Данные!$A:$A,"&gt;="&amp;P$1,Данные!$A:$A,"&lt;="&amp;P$2)</f>
        <v>0</v>
      </c>
      <c r="Q14" cm="1">
        <f t="array" ref="Q14">SUMIFS(Данные!$D:$D,Данные!$B:$B,$A14,Данные!$E:$E,Q$3,Данные!$A:$A,"&gt;="&amp;Q$1,Данные!$A:$A,"&lt;="&amp;Q$2)</f>
        <v>197703.92</v>
      </c>
      <c r="R14" cm="1">
        <f t="array" ref="R14">SUMIFS(Данные!$D:$D,Данные!$B:$B,$A14,Данные!$E:$E,R$3,Данные!$A:$A,"&gt;="&amp;R$1,Данные!$A:$A,"&lt;="&amp;R$2)</f>
        <v>0</v>
      </c>
      <c r="S14" cm="1">
        <f t="array" ref="S14">SUMIFS(Данные!$D:$D,Данные!$B:$B,$A14,Данные!$E:$E,S$3,Данные!$A:$A,"&gt;="&amp;S$1,Данные!$A:$A,"&lt;="&amp;S$2)</f>
        <v>14801.85</v>
      </c>
      <c r="T14" cm="1">
        <f t="array" ref="T14">SUMIFS(Данные!$D:$D,Данные!$B:$B,$A14,Данные!$E:$E,T$3,Данные!$A:$A,"&gt;="&amp;T$1,Данные!$A:$A,"&lt;="&amp;T$2)</f>
        <v>266230.23</v>
      </c>
      <c r="U14" cm="1">
        <f t="array" ref="U14">SUMIFS(Данные!$D:$D,Данные!$B:$B,$A14,Данные!$E:$E,U$3,Данные!$A:$A,"&gt;="&amp;U$1,Данные!$A:$A,"&lt;="&amp;U$2)</f>
        <v>0</v>
      </c>
      <c r="V14" cm="1">
        <f t="array" ref="V14">SUMIFS(Данные!$D:$D,Данные!$B:$B,$A14,Данные!$E:$E,V$3,Данные!$A:$A,"&gt;="&amp;V$1,Данные!$A:$A,"&lt;="&amp;V$2)</f>
        <v>0</v>
      </c>
      <c r="W14" cm="1">
        <f t="array" ref="W14">SUMIFS(Данные!$D:$D,Данные!$B:$B,$A14,Данные!$E:$E,W$3,Данные!$A:$A,"&gt;="&amp;W$1,Данные!$A:$A,"&lt;="&amp;W$2)</f>
        <v>-11327.51</v>
      </c>
      <c r="X14" cm="1">
        <f t="array" ref="X14">SUMIFS(Данные!$D:$D,Данные!$B:$B,$A14,Данные!$E:$E,X$3,Данные!$A:$A,"&gt;="&amp;X$1,Данные!$A:$A,"&lt;="&amp;X$2)</f>
        <v>0</v>
      </c>
      <c r="Y14" cm="1">
        <f t="array" ref="Y14">SUMIFS(Данные!$D:$D,Данные!$B:$B,$A14,Данные!$E:$E,Y$3,Данные!$A:$A,"&gt;="&amp;Y$1,Данные!$A:$A,"&lt;="&amp;Y$2)</f>
        <v>-31559.73</v>
      </c>
      <c r="Z14" cm="1">
        <f t="array" ref="Z14">SUM(B14:Y14)</f>
        <v>472649.75</v>
      </c>
    </row>
    <row r="15" spans="1:26" x14ac:dyDescent="0.2">
      <c r="A15" t="s">
        <v>460</v>
      </c>
      <c r="B15" cm="1">
        <f t="array" ref="B15">SUM(B10:B14)</f>
        <v>235967.16</v>
      </c>
      <c r="C15" cm="1">
        <f t="array" ref="C15">SUM(C10:C14)</f>
        <v>227978.84999999998</v>
      </c>
      <c r="D15" cm="1">
        <f t="array" ref="D15">SUM(D10:D14)</f>
        <v>178192.36</v>
      </c>
      <c r="E15" cm="1">
        <f t="array" ref="E15">SUM(E10:E14)</f>
        <v>24606.32</v>
      </c>
      <c r="F15" cm="1">
        <f t="array" ref="F15">SUM(F10:F14)</f>
        <v>-53530.76</v>
      </c>
      <c r="G15" cm="1">
        <f t="array" ref="G15">SUM(G10:G14)</f>
        <v>234921.01</v>
      </c>
      <c r="H15" cm="1">
        <f t="array" ref="H15">SUM(H10:H14)</f>
        <v>0</v>
      </c>
      <c r="I15" cm="1">
        <f t="array" ref="I15">SUM(I10:I14)</f>
        <v>339107.89</v>
      </c>
      <c r="J15" cm="1">
        <f t="array" ref="J15">SUM(J10:J14)</f>
        <v>422333.35</v>
      </c>
      <c r="K15" cm="1">
        <f t="array" ref="K15">SUM(K10:K14)</f>
        <v>46330.65</v>
      </c>
      <c r="L15" cm="1">
        <f t="array" ref="L15">SUM(L10:L14)</f>
        <v>232300.97000000003</v>
      </c>
      <c r="M15" cm="1">
        <f t="array" ref="M15">SUM(M10:M14)</f>
        <v>423055.89999999997</v>
      </c>
      <c r="N15" cm="1">
        <f t="array" ref="N15">SUM(N10:N14)</f>
        <v>391222.98</v>
      </c>
      <c r="O15" cm="1">
        <f t="array" ref="O15">SUM(O10:O14)</f>
        <v>44692.14</v>
      </c>
      <c r="P15" cm="1">
        <f t="array" ref="P15">SUM(P10:P14)</f>
        <v>-42568.94</v>
      </c>
      <c r="Q15" cm="1">
        <f t="array" ref="Q15">SUM(Q10:Q14)</f>
        <v>971836.56</v>
      </c>
      <c r="R15" cm="1">
        <f t="array" ref="R15">SUM(R10:R14)</f>
        <v>461610.04000000004</v>
      </c>
      <c r="S15" cm="1">
        <f t="array" ref="S15">SUM(S10:S14)</f>
        <v>79238.63</v>
      </c>
      <c r="T15" cm="1">
        <f t="array" ref="T15">SUM(T10:T14)</f>
        <v>348028.18</v>
      </c>
      <c r="U15" cm="1">
        <f t="array" ref="U15">SUM(U10:U14)</f>
        <v>474766.37</v>
      </c>
      <c r="V15" cm="1">
        <f t="array" ref="V15">SUM(V10:V14)</f>
        <v>124279.01</v>
      </c>
      <c r="W15" cm="1">
        <f t="array" ref="W15">SUM(W10:W14)</f>
        <v>135809.97999999998</v>
      </c>
      <c r="X15" cm="1">
        <f t="array" ref="X15">SUM(X10:X14)</f>
        <v>-78781.56</v>
      </c>
      <c r="Y15" cm="1">
        <f t="array" ref="Y15">SUM(Y10:Y14)</f>
        <v>373696.83</v>
      </c>
      <c r="Z15" cm="1">
        <f t="array" ref="Z15">SUM(Z10:Z14)</f>
        <v>5595093.9199999999</v>
      </c>
    </row>
    <row r="16" spans="1:26" x14ac:dyDescent="0.2">
      <c r="A16" t="str" cm="1">
        <f t="array" ref="A16">Статьи!A12</f>
        <v>Чай 2</v>
      </c>
      <c r="B16" cm="1">
        <f t="array" ref="B16">SUMIFS(Данные!$D:$D,Данные!$B:$B,$A16,Данные!$E:$E,B$3,Данные!$A:$A,"&gt;="&amp;B$1,Данные!$A:$A,"&lt;="&amp;B$2)</f>
        <v>0</v>
      </c>
      <c r="C16" cm="1">
        <f t="array" ref="C16">SUMIFS(Данные!$D:$D,Данные!$B:$B,$A16,Данные!$E:$E,C$3,Данные!$A:$A,"&gt;="&amp;C$1,Данные!$A:$A,"&lt;="&amp;C$2)</f>
        <v>0</v>
      </c>
      <c r="D16" cm="1">
        <f t="array" ref="D16">SUMIFS(Данные!$D:$D,Данные!$B:$B,$A16,Данные!$E:$E,D$3,Данные!$A:$A,"&gt;="&amp;D$1,Данные!$A:$A,"&lt;="&amp;D$2)</f>
        <v>0</v>
      </c>
      <c r="E16" cm="1">
        <f t="array" ref="E16">SUMIFS(Данные!$D:$D,Данные!$B:$B,$A16,Данные!$E:$E,E$3,Данные!$A:$A,"&gt;="&amp;E$1,Данные!$A:$A,"&lt;="&amp;E$2)</f>
        <v>0</v>
      </c>
      <c r="F16" cm="1">
        <f t="array" ref="F16">SUMIFS(Данные!$D:$D,Данные!$B:$B,$A16,Данные!$E:$E,F$3,Данные!$A:$A,"&gt;="&amp;F$1,Данные!$A:$A,"&lt;="&amp;F$2)</f>
        <v>0</v>
      </c>
      <c r="G16" cm="1">
        <f t="array" ref="G16">SUMIFS(Данные!$D:$D,Данные!$B:$B,$A16,Данные!$E:$E,G$3,Данные!$A:$A,"&gt;="&amp;G$1,Данные!$A:$A,"&lt;="&amp;G$2)</f>
        <v>261512.61</v>
      </c>
      <c r="H16" cm="1">
        <f t="array" ref="H16">SUMIFS(Данные!$D:$D,Данные!$B:$B,$A16,Данные!$E:$E,H$3,Данные!$A:$A,"&gt;="&amp;H$1,Данные!$A:$A,"&lt;="&amp;H$2)</f>
        <v>0</v>
      </c>
      <c r="I16" cm="1">
        <f t="array" ref="I16">SUMIFS(Данные!$D:$D,Данные!$B:$B,$A16,Данные!$E:$E,I$3,Данные!$A:$A,"&gt;="&amp;I$1,Данные!$A:$A,"&lt;="&amp;I$2)</f>
        <v>-82587.59</v>
      </c>
      <c r="J16" cm="1">
        <f t="array" ref="J16">SUMIFS(Данные!$D:$D,Данные!$B:$B,$A16,Данные!$E:$E,J$3,Данные!$A:$A,"&gt;="&amp;J$1,Данные!$A:$A,"&lt;="&amp;J$2)</f>
        <v>0</v>
      </c>
      <c r="K16" cm="1">
        <f t="array" ref="K16">SUMIFS(Данные!$D:$D,Данные!$B:$B,$A16,Данные!$E:$E,K$3,Данные!$A:$A,"&gt;="&amp;K$1,Данные!$A:$A,"&lt;="&amp;K$2)</f>
        <v>0</v>
      </c>
      <c r="L16" cm="1">
        <f t="array" ref="L16">SUMIFS(Данные!$D:$D,Данные!$B:$B,$A16,Данные!$E:$E,L$3,Данные!$A:$A,"&gt;="&amp;L$1,Данные!$A:$A,"&lt;="&amp;L$2)</f>
        <v>0</v>
      </c>
      <c r="M16" cm="1">
        <f t="array" ref="M16">SUMIFS(Данные!$D:$D,Данные!$B:$B,$A16,Данные!$E:$E,M$3,Данные!$A:$A,"&gt;="&amp;M$1,Данные!$A:$A,"&lt;="&amp;M$2)</f>
        <v>0</v>
      </c>
      <c r="N16" cm="1">
        <f t="array" ref="N16">SUMIFS(Данные!$D:$D,Данные!$B:$B,$A16,Данные!$E:$E,N$3,Данные!$A:$A,"&gt;="&amp;N$1,Данные!$A:$A,"&lt;="&amp;N$2)</f>
        <v>222008.01</v>
      </c>
      <c r="O16" cm="1">
        <f t="array" ref="O16">SUMIFS(Данные!$D:$D,Данные!$B:$B,$A16,Данные!$E:$E,O$3,Данные!$A:$A,"&gt;="&amp;O$1,Данные!$A:$A,"&lt;="&amp;O$2)</f>
        <v>0</v>
      </c>
      <c r="P16" cm="1">
        <f t="array" ref="P16">SUMIFS(Данные!$D:$D,Данные!$B:$B,$A16,Данные!$E:$E,P$3,Данные!$A:$A,"&gt;="&amp;P$1,Данные!$A:$A,"&lt;="&amp;P$2)</f>
        <v>0</v>
      </c>
      <c r="Q16" cm="1">
        <f t="array" ref="Q16">SUMIFS(Данные!$D:$D,Данные!$B:$B,$A16,Данные!$E:$E,Q$3,Данные!$A:$A,"&gt;="&amp;Q$1,Данные!$A:$A,"&lt;="&amp;Q$2)</f>
        <v>452052.26</v>
      </c>
      <c r="R16" cm="1">
        <f t="array" ref="R16">SUMIFS(Данные!$D:$D,Данные!$B:$B,$A16,Данные!$E:$E,R$3,Данные!$A:$A,"&gt;="&amp;R$1,Данные!$A:$A,"&lt;="&amp;R$2)</f>
        <v>100501.07</v>
      </c>
      <c r="S16" cm="1">
        <f t="array" ref="S16">SUMIFS(Данные!$D:$D,Данные!$B:$B,$A16,Данные!$E:$E,S$3,Данные!$A:$A,"&gt;="&amp;S$1,Данные!$A:$A,"&lt;="&amp;S$2)</f>
        <v>0</v>
      </c>
      <c r="T16" cm="1">
        <f t="array" ref="T16">SUMIFS(Данные!$D:$D,Данные!$B:$B,$A16,Данные!$E:$E,T$3,Данные!$A:$A,"&gt;="&amp;T$1,Данные!$A:$A,"&lt;="&amp;T$2)</f>
        <v>191374.1</v>
      </c>
      <c r="U16" cm="1">
        <f t="array" ref="U16">SUMIFS(Данные!$D:$D,Данные!$B:$B,$A16,Данные!$E:$E,U$3,Данные!$A:$A,"&gt;="&amp;U$1,Данные!$A:$A,"&lt;="&amp;U$2)</f>
        <v>0</v>
      </c>
      <c r="V16" cm="1">
        <f t="array" ref="V16">SUMIFS(Данные!$D:$D,Данные!$B:$B,$A16,Данные!$E:$E,V$3,Данные!$A:$A,"&gt;="&amp;V$1,Данные!$A:$A,"&lt;="&amp;V$2)</f>
        <v>0</v>
      </c>
      <c r="W16" cm="1">
        <f t="array" ref="W16">SUMIFS(Данные!$D:$D,Данные!$B:$B,$A16,Данные!$E:$E,W$3,Данные!$A:$A,"&gt;="&amp;W$1,Данные!$A:$A,"&lt;="&amp;W$2)</f>
        <v>269758.03000000003</v>
      </c>
      <c r="X16" cm="1">
        <f t="array" ref="X16">SUMIFS(Данные!$D:$D,Данные!$B:$B,$A16,Данные!$E:$E,X$3,Данные!$A:$A,"&gt;="&amp;X$1,Данные!$A:$A,"&lt;="&amp;X$2)</f>
        <v>0</v>
      </c>
      <c r="Y16" cm="1">
        <f t="array" ref="Y16">SUMIFS(Данные!$D:$D,Данные!$B:$B,$A16,Данные!$E:$E,Y$3,Данные!$A:$A,"&gt;="&amp;Y$1,Данные!$A:$A,"&lt;="&amp;Y$2)</f>
        <v>635438.37</v>
      </c>
      <c r="Z16" cm="1">
        <f t="array" ref="Z16">SUM(B16:Y16)</f>
        <v>2050056.8600000003</v>
      </c>
    </row>
    <row r="17" spans="1:26" x14ac:dyDescent="0.2">
      <c r="A17" t="str" cm="1">
        <f t="array" ref="A17">Статьи!A13</f>
        <v>Чаи 2</v>
      </c>
      <c r="B17" cm="1">
        <f t="array" ref="B17">SUMIFS(Данные!$D:$D,Данные!$B:$B,$A17,Данные!$E:$E,B$3,Данные!$A:$A,"&gt;="&amp;B$1,Данные!$A:$A,"&lt;="&amp;B$2)</f>
        <v>0</v>
      </c>
      <c r="C17" cm="1">
        <f t="array" ref="C17">SUMIFS(Данные!$D:$D,Данные!$B:$B,$A17,Данные!$E:$E,C$3,Данные!$A:$A,"&gt;="&amp;C$1,Данные!$A:$A,"&lt;="&amp;C$2)</f>
        <v>0</v>
      </c>
      <c r="D17" cm="1">
        <f t="array" ref="D17">SUMIFS(Данные!$D:$D,Данные!$B:$B,$A17,Данные!$E:$E,D$3,Данные!$A:$A,"&gt;="&amp;D$1,Данные!$A:$A,"&lt;="&amp;D$2)</f>
        <v>0</v>
      </c>
      <c r="E17" cm="1">
        <f t="array" ref="E17">SUMIFS(Данные!$D:$D,Данные!$B:$B,$A17,Данные!$E:$E,E$3,Данные!$A:$A,"&gt;="&amp;E$1,Данные!$A:$A,"&lt;="&amp;E$2)</f>
        <v>0</v>
      </c>
      <c r="F17" cm="1">
        <f t="array" ref="F17">SUMIFS(Данные!$D:$D,Данные!$B:$B,$A17,Данные!$E:$E,F$3,Данные!$A:$A,"&gt;="&amp;F$1,Данные!$A:$A,"&lt;="&amp;F$2)</f>
        <v>0</v>
      </c>
      <c r="G17" cm="1">
        <f t="array" ref="G17">SUMIFS(Данные!$D:$D,Данные!$B:$B,$A17,Данные!$E:$E,G$3,Данные!$A:$A,"&gt;="&amp;G$1,Данные!$A:$A,"&lt;="&amp;G$2)</f>
        <v>0</v>
      </c>
      <c r="H17" cm="1">
        <f t="array" ref="H17">SUMIFS(Данные!$D:$D,Данные!$B:$B,$A17,Данные!$E:$E,H$3,Данные!$A:$A,"&gt;="&amp;H$1,Данные!$A:$A,"&lt;="&amp;H$2)</f>
        <v>0</v>
      </c>
      <c r="I17" cm="1">
        <f t="array" ref="I17">SUMIFS(Данные!$D:$D,Данные!$B:$B,$A17,Данные!$E:$E,I$3,Данные!$A:$A,"&gt;="&amp;I$1,Данные!$A:$A,"&lt;="&amp;I$2)</f>
        <v>0</v>
      </c>
      <c r="J17" cm="1">
        <f t="array" ref="J17">SUMIFS(Данные!$D:$D,Данные!$B:$B,$A17,Данные!$E:$E,J$3,Данные!$A:$A,"&gt;="&amp;J$1,Данные!$A:$A,"&lt;="&amp;J$2)</f>
        <v>0</v>
      </c>
      <c r="K17" cm="1">
        <f t="array" ref="K17">SUMIFS(Данные!$D:$D,Данные!$B:$B,$A17,Данные!$E:$E,K$3,Данные!$A:$A,"&gt;="&amp;K$1,Данные!$A:$A,"&lt;="&amp;K$2)</f>
        <v>0</v>
      </c>
      <c r="L17" cm="1">
        <f t="array" ref="L17">SUMIFS(Данные!$D:$D,Данные!$B:$B,$A17,Данные!$E:$E,L$3,Данные!$A:$A,"&gt;="&amp;L$1,Данные!$A:$A,"&lt;="&amp;L$2)</f>
        <v>0</v>
      </c>
      <c r="M17" cm="1">
        <f t="array" ref="M17">SUMIFS(Данные!$D:$D,Данные!$B:$B,$A17,Данные!$E:$E,M$3,Данные!$A:$A,"&gt;="&amp;M$1,Данные!$A:$A,"&lt;="&amp;M$2)</f>
        <v>0</v>
      </c>
      <c r="N17" cm="1">
        <f t="array" ref="N17">SUMIFS(Данные!$D:$D,Данные!$B:$B,$A17,Данные!$E:$E,N$3,Данные!$A:$A,"&gt;="&amp;N$1,Данные!$A:$A,"&lt;="&amp;N$2)</f>
        <v>0</v>
      </c>
      <c r="O17" cm="1">
        <f t="array" ref="O17">SUMIFS(Данные!$D:$D,Данные!$B:$B,$A17,Данные!$E:$E,O$3,Данные!$A:$A,"&gt;="&amp;O$1,Данные!$A:$A,"&lt;="&amp;O$2)</f>
        <v>0</v>
      </c>
      <c r="P17" cm="1">
        <f t="array" ref="P17">SUMIFS(Данные!$D:$D,Данные!$B:$B,$A17,Данные!$E:$E,P$3,Данные!$A:$A,"&gt;="&amp;P$1,Данные!$A:$A,"&lt;="&amp;P$2)</f>
        <v>0</v>
      </c>
      <c r="Q17" cm="1">
        <f t="array" ref="Q17">SUMIFS(Данные!$D:$D,Данные!$B:$B,$A17,Данные!$E:$E,Q$3,Данные!$A:$A,"&gt;="&amp;Q$1,Данные!$A:$A,"&lt;="&amp;Q$2)</f>
        <v>0</v>
      </c>
      <c r="R17" cm="1">
        <f t="array" ref="R17">SUMIFS(Данные!$D:$D,Данные!$B:$B,$A17,Данные!$E:$E,R$3,Данные!$A:$A,"&gt;="&amp;R$1,Данные!$A:$A,"&lt;="&amp;R$2)</f>
        <v>0</v>
      </c>
      <c r="S17" cm="1">
        <f t="array" ref="S17">SUMIFS(Данные!$D:$D,Данные!$B:$B,$A17,Данные!$E:$E,S$3,Данные!$A:$A,"&gt;="&amp;S$1,Данные!$A:$A,"&lt;="&amp;S$2)</f>
        <v>0</v>
      </c>
      <c r="T17" cm="1">
        <f t="array" ref="T17">SUMIFS(Данные!$D:$D,Данные!$B:$B,$A17,Данные!$E:$E,T$3,Данные!$A:$A,"&gt;="&amp;T$1,Данные!$A:$A,"&lt;="&amp;T$2)</f>
        <v>0</v>
      </c>
      <c r="U17" cm="1">
        <f t="array" ref="U17">SUMIFS(Данные!$D:$D,Данные!$B:$B,$A17,Данные!$E:$E,U$3,Данные!$A:$A,"&gt;="&amp;U$1,Данные!$A:$A,"&lt;="&amp;U$2)</f>
        <v>0</v>
      </c>
      <c r="V17" cm="1">
        <f t="array" ref="V17">SUMIFS(Данные!$D:$D,Данные!$B:$B,$A17,Данные!$E:$E,V$3,Данные!$A:$A,"&gt;="&amp;V$1,Данные!$A:$A,"&lt;="&amp;V$2)</f>
        <v>0</v>
      </c>
      <c r="W17" cm="1">
        <f t="array" ref="W17">SUMIFS(Данные!$D:$D,Данные!$B:$B,$A17,Данные!$E:$E,W$3,Данные!$A:$A,"&gt;="&amp;W$1,Данные!$A:$A,"&lt;="&amp;W$2)</f>
        <v>261256.09</v>
      </c>
      <c r="X17" cm="1">
        <f t="array" ref="X17">SUMIFS(Данные!$D:$D,Данные!$B:$B,$A17,Данные!$E:$E,X$3,Данные!$A:$A,"&gt;="&amp;X$1,Данные!$A:$A,"&lt;="&amp;X$2)</f>
        <v>0</v>
      </c>
      <c r="Y17" cm="1">
        <f t="array" ref="Y17">SUMIFS(Данные!$D:$D,Данные!$B:$B,$A17,Данные!$E:$E,Y$3,Данные!$A:$A,"&gt;="&amp;Y$1,Данные!$A:$A,"&lt;="&amp;Y$2)</f>
        <v>73165.31</v>
      </c>
      <c r="Z17" cm="1">
        <f t="array" ref="Z17">SUM(B17:Y17)</f>
        <v>334421.40000000002</v>
      </c>
    </row>
    <row r="18" spans="1:26" x14ac:dyDescent="0.2">
      <c r="A18" t="str" cm="1">
        <f t="array" ref="A18">Статьи!A14</f>
        <v>Ёлка 2</v>
      </c>
      <c r="B18" cm="1">
        <f t="array" ref="B18">SUMIFS(Данные!$D:$D,Данные!$B:$B,$A18,Данные!$E:$E,B$3,Данные!$A:$A,"&gt;="&amp;B$1,Данные!$A:$A,"&lt;="&amp;B$2)</f>
        <v>0</v>
      </c>
      <c r="C18" cm="1">
        <f t="array" ref="C18">SUMIFS(Данные!$D:$D,Данные!$B:$B,$A18,Данные!$E:$E,C$3,Данные!$A:$A,"&gt;="&amp;C$1,Данные!$A:$A,"&lt;="&amp;C$2)</f>
        <v>225830.81</v>
      </c>
      <c r="D18" cm="1">
        <f t="array" ref="D18">SUMIFS(Данные!$D:$D,Данные!$B:$B,$A18,Данные!$E:$E,D$3,Данные!$A:$A,"&gt;="&amp;D$1,Данные!$A:$A,"&lt;="&amp;D$2)</f>
        <v>0</v>
      </c>
      <c r="E18" cm="1">
        <f t="array" ref="E18">SUMIFS(Данные!$D:$D,Данные!$B:$B,$A18,Данные!$E:$E,E$3,Данные!$A:$A,"&gt;="&amp;E$1,Данные!$A:$A,"&lt;="&amp;E$2)</f>
        <v>-52645.57</v>
      </c>
      <c r="F18" cm="1">
        <f t="array" ref="F18">SUMIFS(Данные!$D:$D,Данные!$B:$B,$A18,Данные!$E:$E,F$3,Данные!$A:$A,"&gt;="&amp;F$1,Данные!$A:$A,"&lt;="&amp;F$2)</f>
        <v>273906.27</v>
      </c>
      <c r="G18" cm="1">
        <f t="array" ref="G18">SUMIFS(Данные!$D:$D,Данные!$B:$B,$A18,Данные!$E:$E,G$3,Данные!$A:$A,"&gt;="&amp;G$1,Данные!$A:$A,"&lt;="&amp;G$2)</f>
        <v>0</v>
      </c>
      <c r="H18" cm="1">
        <f t="array" ref="H18">SUMIFS(Данные!$D:$D,Данные!$B:$B,$A18,Данные!$E:$E,H$3,Данные!$A:$A,"&gt;="&amp;H$1,Данные!$A:$A,"&lt;="&amp;H$2)</f>
        <v>0</v>
      </c>
      <c r="I18" cm="1">
        <f t="array" ref="I18">SUMIFS(Данные!$D:$D,Данные!$B:$B,$A18,Данные!$E:$E,I$3,Данные!$A:$A,"&gt;="&amp;I$1,Данные!$A:$A,"&lt;="&amp;I$2)</f>
        <v>0</v>
      </c>
      <c r="J18" cm="1">
        <f t="array" ref="J18">SUMIFS(Данные!$D:$D,Данные!$B:$B,$A18,Данные!$E:$E,J$3,Данные!$A:$A,"&gt;="&amp;J$1,Данные!$A:$A,"&lt;="&amp;J$2)</f>
        <v>0</v>
      </c>
      <c r="K18" cm="1">
        <f t="array" ref="K18">SUMIFS(Данные!$D:$D,Данные!$B:$B,$A18,Данные!$E:$E,K$3,Данные!$A:$A,"&gt;="&amp;K$1,Данные!$A:$A,"&lt;="&amp;K$2)</f>
        <v>0</v>
      </c>
      <c r="L18" cm="1">
        <f t="array" ref="L18">SUMIFS(Данные!$D:$D,Данные!$B:$B,$A18,Данные!$E:$E,L$3,Данные!$A:$A,"&gt;="&amp;L$1,Данные!$A:$A,"&lt;="&amp;L$2)</f>
        <v>0</v>
      </c>
      <c r="M18" cm="1">
        <f t="array" ref="M18">SUMIFS(Данные!$D:$D,Данные!$B:$B,$A18,Данные!$E:$E,M$3,Данные!$A:$A,"&gt;="&amp;M$1,Данные!$A:$A,"&lt;="&amp;M$2)</f>
        <v>17122.95</v>
      </c>
      <c r="N18" cm="1">
        <f t="array" ref="N18">SUMIFS(Данные!$D:$D,Данные!$B:$B,$A18,Данные!$E:$E,N$3,Данные!$A:$A,"&gt;="&amp;N$1,Данные!$A:$A,"&lt;="&amp;N$2)</f>
        <v>0</v>
      </c>
      <c r="O18" cm="1">
        <f t="array" ref="O18">SUMIFS(Данные!$D:$D,Данные!$B:$B,$A18,Данные!$E:$E,O$3,Данные!$A:$A,"&gt;="&amp;O$1,Данные!$A:$A,"&lt;="&amp;O$2)</f>
        <v>0</v>
      </c>
      <c r="P18" cm="1">
        <f t="array" ref="P18">SUMIFS(Данные!$D:$D,Данные!$B:$B,$A18,Данные!$E:$E,P$3,Данные!$A:$A,"&gt;="&amp;P$1,Данные!$A:$A,"&lt;="&amp;P$2)</f>
        <v>-28948.52</v>
      </c>
      <c r="Q18" cm="1">
        <f t="array" ref="Q18">SUMIFS(Данные!$D:$D,Данные!$B:$B,$A18,Данные!$E:$E,Q$3,Данные!$A:$A,"&gt;="&amp;Q$1,Данные!$A:$A,"&lt;="&amp;Q$2)</f>
        <v>0</v>
      </c>
      <c r="R18" cm="1">
        <f t="array" ref="R18">SUMIFS(Данные!$D:$D,Данные!$B:$B,$A18,Данные!$E:$E,R$3,Данные!$A:$A,"&gt;="&amp;R$1,Данные!$A:$A,"&lt;="&amp;R$2)</f>
        <v>267894.61</v>
      </c>
      <c r="S18" cm="1">
        <f t="array" ref="S18">SUMIFS(Данные!$D:$D,Данные!$B:$B,$A18,Данные!$E:$E,S$3,Данные!$A:$A,"&gt;="&amp;S$1,Данные!$A:$A,"&lt;="&amp;S$2)</f>
        <v>70013.850000000006</v>
      </c>
      <c r="T18" cm="1">
        <f t="array" ref="T18">SUMIFS(Данные!$D:$D,Данные!$B:$B,$A18,Данные!$E:$E,T$3,Данные!$A:$A,"&gt;="&amp;T$1,Данные!$A:$A,"&lt;="&amp;T$2)</f>
        <v>0</v>
      </c>
      <c r="U18" cm="1">
        <f t="array" ref="U18">SUMIFS(Данные!$D:$D,Данные!$B:$B,$A18,Данные!$E:$E,U$3,Данные!$A:$A,"&gt;="&amp;U$1,Данные!$A:$A,"&lt;="&amp;U$2)</f>
        <v>0</v>
      </c>
      <c r="V18" cm="1">
        <f t="array" ref="V18">SUMIFS(Данные!$D:$D,Данные!$B:$B,$A18,Данные!$E:$E,V$3,Данные!$A:$A,"&gt;="&amp;V$1,Данные!$A:$A,"&lt;="&amp;V$2)</f>
        <v>0</v>
      </c>
      <c r="W18" cm="1">
        <f t="array" ref="W18">SUMIFS(Данные!$D:$D,Данные!$B:$B,$A18,Данные!$E:$E,W$3,Данные!$A:$A,"&gt;="&amp;W$1,Данные!$A:$A,"&lt;="&amp;W$2)</f>
        <v>0</v>
      </c>
      <c r="X18" cm="1">
        <f t="array" ref="X18">SUMIFS(Данные!$D:$D,Данные!$B:$B,$A18,Данные!$E:$E,X$3,Данные!$A:$A,"&gt;="&amp;X$1,Данные!$A:$A,"&lt;="&amp;X$2)</f>
        <v>0</v>
      </c>
      <c r="Y18" cm="1">
        <f t="array" ref="Y18">SUMIFS(Данные!$D:$D,Данные!$B:$B,$A18,Данные!$E:$E,Y$3,Данные!$A:$A,"&gt;="&amp;Y$1,Данные!$A:$A,"&lt;="&amp;Y$2)</f>
        <v>0</v>
      </c>
      <c r="Z18" cm="1">
        <f t="array" ref="Z18">SUM(B18:Y18)</f>
        <v>773174.4</v>
      </c>
    </row>
    <row r="19" spans="1:26" x14ac:dyDescent="0.2">
      <c r="A19" t="str" cm="1">
        <f t="array" ref="A19">Статьи!A15</f>
        <v>Елка 2</v>
      </c>
      <c r="B19" cm="1">
        <f t="array" ref="B19">SUMIFS(Данные!$D:$D,Данные!$B:$B,$A19,Данные!$E:$E,B$3,Данные!$A:$A,"&gt;="&amp;B$1,Данные!$A:$A,"&lt;="&amp;B$2)</f>
        <v>0</v>
      </c>
      <c r="C19" cm="1">
        <f t="array" ref="C19">SUMIFS(Данные!$D:$D,Данные!$B:$B,$A19,Данные!$E:$E,C$3,Данные!$A:$A,"&gt;="&amp;C$1,Данные!$A:$A,"&lt;="&amp;C$2)</f>
        <v>0</v>
      </c>
      <c r="D19" cm="1">
        <f t="array" ref="D19">SUMIFS(Данные!$D:$D,Данные!$B:$B,$A19,Данные!$E:$E,D$3,Данные!$A:$A,"&gt;="&amp;D$1,Данные!$A:$A,"&lt;="&amp;D$2)</f>
        <v>0</v>
      </c>
      <c r="E19" cm="1">
        <f t="array" ref="E19">SUMIFS(Данные!$D:$D,Данные!$B:$B,$A19,Данные!$E:$E,E$3,Данные!$A:$A,"&gt;="&amp;E$1,Данные!$A:$A,"&lt;="&amp;E$2)</f>
        <v>0</v>
      </c>
      <c r="F19" cm="1">
        <f t="array" ref="F19">SUMIFS(Данные!$D:$D,Данные!$B:$B,$A19,Данные!$E:$E,F$3,Данные!$A:$A,"&gt;="&amp;F$1,Данные!$A:$A,"&lt;="&amp;F$2)</f>
        <v>-63824.160000000003</v>
      </c>
      <c r="G19" cm="1">
        <f t="array" ref="G19">SUMIFS(Данные!$D:$D,Данные!$B:$B,$A19,Данные!$E:$E,G$3,Данные!$A:$A,"&gt;="&amp;G$1,Данные!$A:$A,"&lt;="&amp;G$2)</f>
        <v>0</v>
      </c>
      <c r="H19" cm="1">
        <f t="array" ref="H19">SUMIFS(Данные!$D:$D,Данные!$B:$B,$A19,Данные!$E:$E,H$3,Данные!$A:$A,"&gt;="&amp;H$1,Данные!$A:$A,"&lt;="&amp;H$2)</f>
        <v>0</v>
      </c>
      <c r="I19" cm="1">
        <f t="array" ref="I19">SUMIFS(Данные!$D:$D,Данные!$B:$B,$A19,Данные!$E:$E,I$3,Данные!$A:$A,"&gt;="&amp;I$1,Данные!$A:$A,"&lt;="&amp;I$2)</f>
        <v>0</v>
      </c>
      <c r="J19" cm="1">
        <f t="array" ref="J19">SUMIFS(Данные!$D:$D,Данные!$B:$B,$A19,Данные!$E:$E,J$3,Данные!$A:$A,"&gt;="&amp;J$1,Данные!$A:$A,"&lt;="&amp;J$2)</f>
        <v>0</v>
      </c>
      <c r="K19" cm="1">
        <f t="array" ref="K19">SUMIFS(Данные!$D:$D,Данные!$B:$B,$A19,Данные!$E:$E,K$3,Данные!$A:$A,"&gt;="&amp;K$1,Данные!$A:$A,"&lt;="&amp;K$2)</f>
        <v>0</v>
      </c>
      <c r="L19" cm="1">
        <f t="array" ref="L19">SUMIFS(Данные!$D:$D,Данные!$B:$B,$A19,Данные!$E:$E,L$3,Данные!$A:$A,"&gt;="&amp;L$1,Данные!$A:$A,"&lt;="&amp;L$2)</f>
        <v>358273.26</v>
      </c>
      <c r="M19" cm="1">
        <f t="array" ref="M19">SUMIFS(Данные!$D:$D,Данные!$B:$B,$A19,Данные!$E:$E,M$3,Данные!$A:$A,"&gt;="&amp;M$1,Данные!$A:$A,"&lt;="&amp;M$2)</f>
        <v>0</v>
      </c>
      <c r="N19" cm="1">
        <f t="array" ref="N19">SUMIFS(Данные!$D:$D,Данные!$B:$B,$A19,Данные!$E:$E,N$3,Данные!$A:$A,"&gt;="&amp;N$1,Данные!$A:$A,"&lt;="&amp;N$2)</f>
        <v>-15627.84</v>
      </c>
      <c r="O19" cm="1">
        <f t="array" ref="O19">SUMIFS(Данные!$D:$D,Данные!$B:$B,$A19,Данные!$E:$E,O$3,Данные!$A:$A,"&gt;="&amp;O$1,Данные!$A:$A,"&lt;="&amp;O$2)</f>
        <v>0</v>
      </c>
      <c r="P19" cm="1">
        <f t="array" ref="P19">SUMIFS(Данные!$D:$D,Данные!$B:$B,$A19,Данные!$E:$E,P$3,Данные!$A:$A,"&gt;="&amp;P$1,Данные!$A:$A,"&lt;="&amp;P$2)</f>
        <v>0</v>
      </c>
      <c r="Q19" cm="1">
        <f t="array" ref="Q19">SUMIFS(Данные!$D:$D,Данные!$B:$B,$A19,Данные!$E:$E,Q$3,Данные!$A:$A,"&gt;="&amp;Q$1,Данные!$A:$A,"&lt;="&amp;Q$2)</f>
        <v>365776.07</v>
      </c>
      <c r="R19" cm="1">
        <f t="array" ref="R19">SUMIFS(Данные!$D:$D,Данные!$B:$B,$A19,Данные!$E:$E,R$3,Данные!$A:$A,"&gt;="&amp;R$1,Данные!$A:$A,"&lt;="&amp;R$2)</f>
        <v>0</v>
      </c>
      <c r="S19" cm="1">
        <f t="array" ref="S19">SUMIFS(Данные!$D:$D,Данные!$B:$B,$A19,Данные!$E:$E,S$3,Данные!$A:$A,"&gt;="&amp;S$1,Данные!$A:$A,"&lt;="&amp;S$2)</f>
        <v>0</v>
      </c>
      <c r="T19" cm="1">
        <f t="array" ref="T19">SUMIFS(Данные!$D:$D,Данные!$B:$B,$A19,Данные!$E:$E,T$3,Данные!$A:$A,"&gt;="&amp;T$1,Данные!$A:$A,"&lt;="&amp;T$2)</f>
        <v>0</v>
      </c>
      <c r="U19" cm="1">
        <f t="array" ref="U19">SUMIFS(Данные!$D:$D,Данные!$B:$B,$A19,Данные!$E:$E,U$3,Данные!$A:$A,"&gt;="&amp;U$1,Данные!$A:$A,"&lt;="&amp;U$2)</f>
        <v>0</v>
      </c>
      <c r="V19" cm="1">
        <f t="array" ref="V19">SUMIFS(Данные!$D:$D,Данные!$B:$B,$A19,Данные!$E:$E,V$3,Данные!$A:$A,"&gt;="&amp;V$1,Данные!$A:$A,"&lt;="&amp;V$2)</f>
        <v>103673.2</v>
      </c>
      <c r="W19" cm="1">
        <f t="array" ref="W19">SUMIFS(Данные!$D:$D,Данные!$B:$B,$A19,Данные!$E:$E,W$3,Данные!$A:$A,"&gt;="&amp;W$1,Данные!$A:$A,"&lt;="&amp;W$2)</f>
        <v>-73731.83</v>
      </c>
      <c r="X19" cm="1">
        <f t="array" ref="X19">SUMIFS(Данные!$D:$D,Данные!$B:$B,$A19,Данные!$E:$E,X$3,Данные!$A:$A,"&gt;="&amp;X$1,Данные!$A:$A,"&lt;="&amp;X$2)</f>
        <v>0</v>
      </c>
      <c r="Y19" cm="1">
        <f t="array" ref="Y19">SUMIFS(Данные!$D:$D,Данные!$B:$B,$A19,Данные!$E:$E,Y$3,Данные!$A:$A,"&gt;="&amp;Y$1,Данные!$A:$A,"&lt;="&amp;Y$2)</f>
        <v>0</v>
      </c>
      <c r="Z19" cm="1">
        <f t="array" ref="Z19">SUM(B19:Y19)</f>
        <v>674538.7</v>
      </c>
    </row>
    <row r="20" spans="1:26" x14ac:dyDescent="0.2">
      <c r="A20" t="str" cm="1">
        <f t="array" ref="A20">Статьи!A16</f>
        <v>Аренда 2</v>
      </c>
      <c r="B20" cm="1">
        <f t="array" ref="B20">SUMIFS(Данные!$D:$D,Данные!$B:$B,$A20,Данные!$E:$E,B$3,Данные!$A:$A,"&gt;="&amp;B$1,Данные!$A:$A,"&lt;="&amp;B$2)</f>
        <v>-11794.58</v>
      </c>
      <c r="C20" cm="1">
        <f t="array" ref="C20">SUMIFS(Данные!$D:$D,Данные!$B:$B,$A20,Данные!$E:$E,C$3,Данные!$A:$A,"&gt;="&amp;C$1,Данные!$A:$A,"&lt;="&amp;C$2)</f>
        <v>204895.21</v>
      </c>
      <c r="D20" cm="1">
        <f t="array" ref="D20">SUMIFS(Данные!$D:$D,Данные!$B:$B,$A20,Данные!$E:$E,D$3,Данные!$A:$A,"&gt;="&amp;D$1,Данные!$A:$A,"&lt;="&amp;D$2)</f>
        <v>0</v>
      </c>
      <c r="E20" cm="1">
        <f t="array" ref="E20">SUMIFS(Данные!$D:$D,Данные!$B:$B,$A20,Данные!$E:$E,E$3,Данные!$A:$A,"&gt;="&amp;E$1,Данные!$A:$A,"&lt;="&amp;E$2)</f>
        <v>0</v>
      </c>
      <c r="F20" cm="1">
        <f t="array" ref="F20">SUMIFS(Данные!$D:$D,Данные!$B:$B,$A20,Данные!$E:$E,F$3,Данные!$A:$A,"&gt;="&amp;F$1,Данные!$A:$A,"&lt;="&amp;F$2)</f>
        <v>0</v>
      </c>
      <c r="G20" cm="1">
        <f t="array" ref="G20">SUMIFS(Данные!$D:$D,Данные!$B:$B,$A20,Данные!$E:$E,G$3,Данные!$A:$A,"&gt;="&amp;G$1,Данные!$A:$A,"&lt;="&amp;G$2)</f>
        <v>324159.59999999998</v>
      </c>
      <c r="H20" cm="1">
        <f t="array" ref="H20">SUMIFS(Данные!$D:$D,Данные!$B:$B,$A20,Данные!$E:$E,H$3,Данные!$A:$A,"&gt;="&amp;H$1,Данные!$A:$A,"&lt;="&amp;H$2)</f>
        <v>0</v>
      </c>
      <c r="I20" cm="1">
        <f t="array" ref="I20">SUMIFS(Данные!$D:$D,Данные!$B:$B,$A20,Данные!$E:$E,I$3,Данные!$A:$A,"&gt;="&amp;I$1,Данные!$A:$A,"&lt;="&amp;I$2)</f>
        <v>0</v>
      </c>
      <c r="J20" cm="1">
        <f t="array" ref="J20">SUMIFS(Данные!$D:$D,Данные!$B:$B,$A20,Данные!$E:$E,J$3,Данные!$A:$A,"&gt;="&amp;J$1,Данные!$A:$A,"&lt;="&amp;J$2)</f>
        <v>478524.97</v>
      </c>
      <c r="K20" cm="1">
        <f t="array" ref="K20">SUMIFS(Данные!$D:$D,Данные!$B:$B,$A20,Данные!$E:$E,K$3,Данные!$A:$A,"&gt;="&amp;K$1,Данные!$A:$A,"&lt;="&amp;K$2)</f>
        <v>193708.33000000002</v>
      </c>
      <c r="L20" cm="1">
        <f t="array" ref="L20">SUMIFS(Данные!$D:$D,Данные!$B:$B,$A20,Данные!$E:$E,L$3,Данные!$A:$A,"&gt;="&amp;L$1,Данные!$A:$A,"&lt;="&amp;L$2)</f>
        <v>0</v>
      </c>
      <c r="M20" cm="1">
        <f t="array" ref="M20">SUMIFS(Данные!$D:$D,Данные!$B:$B,$A20,Данные!$E:$E,M$3,Данные!$A:$A,"&gt;="&amp;M$1,Данные!$A:$A,"&lt;="&amp;M$2)</f>
        <v>94850.14</v>
      </c>
      <c r="N20" cm="1">
        <f t="array" ref="N20">SUMIFS(Данные!$D:$D,Данные!$B:$B,$A20,Данные!$E:$E,N$3,Данные!$A:$A,"&gt;="&amp;N$1,Данные!$A:$A,"&lt;="&amp;N$2)</f>
        <v>0</v>
      </c>
      <c r="O20" cm="1">
        <f t="array" ref="O20">SUMIFS(Данные!$D:$D,Данные!$B:$B,$A20,Данные!$E:$E,O$3,Данные!$A:$A,"&gt;="&amp;O$1,Данные!$A:$A,"&lt;="&amp;O$2)</f>
        <v>0</v>
      </c>
      <c r="P20" cm="1">
        <f t="array" ref="P20">SUMIFS(Данные!$D:$D,Данные!$B:$B,$A20,Данные!$E:$E,P$3,Данные!$A:$A,"&gt;="&amp;P$1,Данные!$A:$A,"&lt;="&amp;P$2)</f>
        <v>353981.07</v>
      </c>
      <c r="Q20" cm="1">
        <f t="array" ref="Q20">SUMIFS(Данные!$D:$D,Данные!$B:$B,$A20,Данные!$E:$E,Q$3,Данные!$A:$A,"&gt;="&amp;Q$1,Данные!$A:$A,"&lt;="&amp;Q$2)</f>
        <v>74328.45</v>
      </c>
      <c r="R20" cm="1">
        <f t="array" ref="R20">SUMIFS(Данные!$D:$D,Данные!$B:$B,$A20,Данные!$E:$E,R$3,Данные!$A:$A,"&gt;="&amp;R$1,Данные!$A:$A,"&lt;="&amp;R$2)</f>
        <v>0</v>
      </c>
      <c r="S20" cm="1">
        <f t="array" ref="S20">SUMIFS(Данные!$D:$D,Данные!$B:$B,$A20,Данные!$E:$E,S$3,Данные!$A:$A,"&gt;="&amp;S$1,Данные!$A:$A,"&lt;="&amp;S$2)</f>
        <v>0</v>
      </c>
      <c r="T20" cm="1">
        <f t="array" ref="T20">SUMIFS(Данные!$D:$D,Данные!$B:$B,$A20,Данные!$E:$E,T$3,Данные!$A:$A,"&gt;="&amp;T$1,Данные!$A:$A,"&lt;="&amp;T$2)</f>
        <v>0</v>
      </c>
      <c r="U20" cm="1">
        <f t="array" ref="U20">SUMIFS(Данные!$D:$D,Данные!$B:$B,$A20,Данные!$E:$E,U$3,Данные!$A:$A,"&gt;="&amp;U$1,Данные!$A:$A,"&lt;="&amp;U$2)</f>
        <v>0</v>
      </c>
      <c r="V20" cm="1">
        <f t="array" ref="V20">SUMIFS(Данные!$D:$D,Данные!$B:$B,$A20,Данные!$E:$E,V$3,Данные!$A:$A,"&gt;="&amp;V$1,Данные!$A:$A,"&lt;="&amp;V$2)</f>
        <v>0</v>
      </c>
      <c r="W20" cm="1">
        <f t="array" ref="W20">SUMIFS(Данные!$D:$D,Данные!$B:$B,$A20,Данные!$E:$E,W$3,Данные!$A:$A,"&gt;="&amp;W$1,Данные!$A:$A,"&lt;="&amp;W$2)</f>
        <v>0</v>
      </c>
      <c r="X20" cm="1">
        <f t="array" ref="X20">SUMIFS(Данные!$D:$D,Данные!$B:$B,$A20,Данные!$E:$E,X$3,Данные!$A:$A,"&gt;="&amp;X$1,Данные!$A:$A,"&lt;="&amp;X$2)</f>
        <v>0</v>
      </c>
      <c r="Y20" cm="1">
        <f t="array" ref="Y20">SUMIFS(Данные!$D:$D,Данные!$B:$B,$A20,Данные!$E:$E,Y$3,Данные!$A:$A,"&gt;="&amp;Y$1,Данные!$A:$A,"&lt;="&amp;Y$2)</f>
        <v>0</v>
      </c>
      <c r="Z20" cm="1">
        <f t="array" ref="Z20">SUM(B20:Y20)</f>
        <v>1712653.19</v>
      </c>
    </row>
    <row r="21" spans="1:26" x14ac:dyDescent="0.2">
      <c r="A21" t="s">
        <v>461</v>
      </c>
      <c r="B21" cm="1">
        <f t="array" ref="B21">SUM(B16:B20)</f>
        <v>-11794.58</v>
      </c>
      <c r="C21" cm="1">
        <f t="array" ref="C21">SUM(C16:C20)</f>
        <v>430726.02</v>
      </c>
      <c r="D21" cm="1">
        <f t="array" ref="D21">SUM(D16:D20)</f>
        <v>0</v>
      </c>
      <c r="E21" cm="1">
        <f t="array" ref="E21">SUM(E16:E20)</f>
        <v>-52645.57</v>
      </c>
      <c r="F21" cm="1">
        <f t="array" ref="F21">SUM(F16:F20)</f>
        <v>210082.11000000002</v>
      </c>
      <c r="G21" cm="1">
        <f t="array" ref="G21">SUM(G16:G20)</f>
        <v>585672.21</v>
      </c>
      <c r="H21" cm="1">
        <f t="array" ref="H21">SUM(H16:H20)</f>
        <v>0</v>
      </c>
      <c r="I21" cm="1">
        <f t="array" ref="I21">SUM(I16:I20)</f>
        <v>-82587.59</v>
      </c>
      <c r="J21" cm="1">
        <f t="array" ref="J21">SUM(J16:J20)</f>
        <v>478524.97</v>
      </c>
      <c r="K21" cm="1">
        <f t="array" ref="K21">SUM(K16:K20)</f>
        <v>193708.33000000002</v>
      </c>
      <c r="L21" cm="1">
        <f t="array" ref="L21">SUM(L16:L20)</f>
        <v>358273.26</v>
      </c>
      <c r="M21" cm="1">
        <f t="array" ref="M21">SUM(M16:M20)</f>
        <v>111973.09</v>
      </c>
      <c r="N21" cm="1">
        <f t="array" ref="N21">SUM(N16:N20)</f>
        <v>206380.17</v>
      </c>
      <c r="O21" cm="1">
        <f t="array" ref="O21">SUM(O16:O20)</f>
        <v>0</v>
      </c>
      <c r="P21" cm="1">
        <f t="array" ref="P21">SUM(P16:P20)</f>
        <v>325032.55</v>
      </c>
      <c r="Q21" cm="1">
        <f t="array" ref="Q21">SUM(Q16:Q20)</f>
        <v>892156.78</v>
      </c>
      <c r="R21" cm="1">
        <f t="array" ref="R21">SUM(R16:R20)</f>
        <v>368395.68</v>
      </c>
      <c r="S21" cm="1">
        <f t="array" ref="S21">SUM(S16:S20)</f>
        <v>70013.850000000006</v>
      </c>
      <c r="T21" cm="1">
        <f t="array" ref="T21">SUM(T16:T20)</f>
        <v>191374.1</v>
      </c>
      <c r="U21" cm="1">
        <f t="array" ref="U21">SUM(U16:U20)</f>
        <v>0</v>
      </c>
      <c r="V21" cm="1">
        <f t="array" ref="V21">SUM(V16:V20)</f>
        <v>103673.2</v>
      </c>
      <c r="W21" cm="1">
        <f t="array" ref="W21">SUM(W16:W20)</f>
        <v>457282.29</v>
      </c>
      <c r="X21" cm="1">
        <f t="array" ref="X21">SUM(X16:X20)</f>
        <v>0</v>
      </c>
      <c r="Y21" cm="1">
        <f t="array" ref="Y21">SUM(Y16:Y20)</f>
        <v>708603.67999999993</v>
      </c>
      <c r="Z21" cm="1">
        <f t="array" ref="Z21">SUM(Z16:Z20)</f>
        <v>5544844.5500000007</v>
      </c>
    </row>
    <row r="22" spans="1:26" x14ac:dyDescent="0.2">
      <c r="A22" t="str" cm="1">
        <f t="array" ref="A22">Статьи!A17</f>
        <v>Связь 2</v>
      </c>
      <c r="B22" cm="1">
        <f t="array" ref="B22">SUMIFS(Данные!$D:$D,Данные!$B:$B,$A22,Данные!$E:$E,B$3,Данные!$A:$A,"&gt;="&amp;B$1,Данные!$A:$A,"&lt;="&amp;B$2)</f>
        <v>0</v>
      </c>
      <c r="C22" cm="1">
        <f t="array" ref="C22">SUMIFS(Данные!$D:$D,Данные!$B:$B,$A22,Данные!$E:$E,C$3,Данные!$A:$A,"&gt;="&amp;C$1,Данные!$A:$A,"&lt;="&amp;C$2)</f>
        <v>0</v>
      </c>
      <c r="D22" cm="1">
        <f t="array" ref="D22">SUMIFS(Данные!$D:$D,Данные!$B:$B,$A22,Данные!$E:$E,D$3,Данные!$A:$A,"&gt;="&amp;D$1,Данные!$A:$A,"&lt;="&amp;D$2)</f>
        <v>0</v>
      </c>
      <c r="E22" cm="1">
        <f t="array" ref="E22">SUMIFS(Данные!$D:$D,Данные!$B:$B,$A22,Данные!$E:$E,E$3,Данные!$A:$A,"&gt;="&amp;E$1,Данные!$A:$A,"&lt;="&amp;E$2)</f>
        <v>0</v>
      </c>
      <c r="F22" cm="1">
        <f t="array" ref="F22">SUMIFS(Данные!$D:$D,Данные!$B:$B,$A22,Данные!$E:$E,F$3,Данные!$A:$A,"&gt;="&amp;F$1,Данные!$A:$A,"&lt;="&amp;F$2)</f>
        <v>302502.65999999997</v>
      </c>
      <c r="G22" cm="1">
        <f t="array" ref="G22">SUMIFS(Данные!$D:$D,Данные!$B:$B,$A22,Данные!$E:$E,G$3,Данные!$A:$A,"&gt;="&amp;G$1,Данные!$A:$A,"&lt;="&amp;G$2)</f>
        <v>0</v>
      </c>
      <c r="H22" cm="1">
        <f t="array" ref="H22">SUMIFS(Данные!$D:$D,Данные!$B:$B,$A22,Данные!$E:$E,H$3,Данные!$A:$A,"&gt;="&amp;H$1,Данные!$A:$A,"&lt;="&amp;H$2)</f>
        <v>0</v>
      </c>
      <c r="I22" cm="1">
        <f t="array" ref="I22">SUMIFS(Данные!$D:$D,Данные!$B:$B,$A22,Данные!$E:$E,I$3,Данные!$A:$A,"&gt;="&amp;I$1,Данные!$A:$A,"&lt;="&amp;I$2)</f>
        <v>0</v>
      </c>
      <c r="J22" cm="1">
        <f t="array" ref="J22">SUMIFS(Данные!$D:$D,Данные!$B:$B,$A22,Данные!$E:$E,J$3,Данные!$A:$A,"&gt;="&amp;J$1,Данные!$A:$A,"&lt;="&amp;J$2)</f>
        <v>0</v>
      </c>
      <c r="K22" cm="1">
        <f t="array" ref="K22">SUMIFS(Данные!$D:$D,Данные!$B:$B,$A22,Данные!$E:$E,K$3,Данные!$A:$A,"&gt;="&amp;K$1,Данные!$A:$A,"&lt;="&amp;K$2)</f>
        <v>17079.28</v>
      </c>
      <c r="L22" cm="1">
        <f t="array" ref="L22">SUMIFS(Данные!$D:$D,Данные!$B:$B,$A22,Данные!$E:$E,L$3,Данные!$A:$A,"&gt;="&amp;L$1,Данные!$A:$A,"&lt;="&amp;L$2)</f>
        <v>0</v>
      </c>
      <c r="M22" cm="1">
        <f t="array" ref="M22">SUMIFS(Данные!$D:$D,Данные!$B:$B,$A22,Данные!$E:$E,M$3,Данные!$A:$A,"&gt;="&amp;M$1,Данные!$A:$A,"&lt;="&amp;M$2)</f>
        <v>3338.13</v>
      </c>
      <c r="N22" cm="1">
        <f t="array" ref="N22">SUMIFS(Данные!$D:$D,Данные!$B:$B,$A22,Данные!$E:$E,N$3,Данные!$A:$A,"&gt;="&amp;N$1,Данные!$A:$A,"&lt;="&amp;N$2)</f>
        <v>0</v>
      </c>
      <c r="O22" cm="1">
        <f t="array" ref="O22">SUMIFS(Данные!$D:$D,Данные!$B:$B,$A22,Данные!$E:$E,O$3,Данные!$A:$A,"&gt;="&amp;O$1,Данные!$A:$A,"&lt;="&amp;O$2)</f>
        <v>0</v>
      </c>
      <c r="P22" cm="1">
        <f t="array" ref="P22">SUMIFS(Данные!$D:$D,Данные!$B:$B,$A22,Данные!$E:$E,P$3,Данные!$A:$A,"&gt;="&amp;P$1,Данные!$A:$A,"&lt;="&amp;P$2)</f>
        <v>369105.58</v>
      </c>
      <c r="Q22" cm="1">
        <f t="array" ref="Q22">SUMIFS(Данные!$D:$D,Данные!$B:$B,$A22,Данные!$E:$E,Q$3,Данные!$A:$A,"&gt;="&amp;Q$1,Данные!$A:$A,"&lt;="&amp;Q$2)</f>
        <v>0</v>
      </c>
      <c r="R22" cm="1">
        <f t="array" ref="R22">SUMIFS(Данные!$D:$D,Данные!$B:$B,$A22,Данные!$E:$E,R$3,Данные!$A:$A,"&gt;="&amp;R$1,Данные!$A:$A,"&lt;="&amp;R$2)</f>
        <v>0</v>
      </c>
      <c r="S22" cm="1">
        <f t="array" ref="S22">SUMIFS(Данные!$D:$D,Данные!$B:$B,$A22,Данные!$E:$E,S$3,Данные!$A:$A,"&gt;="&amp;S$1,Данные!$A:$A,"&lt;="&amp;S$2)</f>
        <v>0</v>
      </c>
      <c r="T22" cm="1">
        <f t="array" ref="T22">SUMIFS(Данные!$D:$D,Данные!$B:$B,$A22,Данные!$E:$E,T$3,Данные!$A:$A,"&gt;="&amp;T$1,Данные!$A:$A,"&lt;="&amp;T$2)</f>
        <v>-50072.52</v>
      </c>
      <c r="U22" cm="1">
        <f t="array" ref="U22">SUMIFS(Данные!$D:$D,Данные!$B:$B,$A22,Данные!$E:$E,U$3,Данные!$A:$A,"&gt;="&amp;U$1,Данные!$A:$A,"&lt;="&amp;U$2)</f>
        <v>-32180.28</v>
      </c>
      <c r="V22" cm="1">
        <f t="array" ref="V22">SUMIFS(Данные!$D:$D,Данные!$B:$B,$A22,Данные!$E:$E,V$3,Данные!$A:$A,"&gt;="&amp;V$1,Данные!$A:$A,"&lt;="&amp;V$2)</f>
        <v>0</v>
      </c>
      <c r="W22" cm="1">
        <f t="array" ref="W22">SUMIFS(Данные!$D:$D,Данные!$B:$B,$A22,Данные!$E:$E,W$3,Данные!$A:$A,"&gt;="&amp;W$1,Данные!$A:$A,"&lt;="&amp;W$2)</f>
        <v>-68844.600000000006</v>
      </c>
      <c r="X22" cm="1">
        <f t="array" ref="X22">SUMIFS(Данные!$D:$D,Данные!$B:$B,$A22,Данные!$E:$E,X$3,Данные!$A:$A,"&gt;="&amp;X$1,Данные!$A:$A,"&lt;="&amp;X$2)</f>
        <v>0</v>
      </c>
      <c r="Y22" cm="1">
        <f t="array" ref="Y22">SUMIFS(Данные!$D:$D,Данные!$B:$B,$A22,Данные!$E:$E,Y$3,Данные!$A:$A,"&gt;="&amp;Y$1,Данные!$A:$A,"&lt;="&amp;Y$2)</f>
        <v>0</v>
      </c>
      <c r="Z22" cm="1">
        <f t="array" ref="Z22">SUM(B22:Y22)</f>
        <v>540928.24999999988</v>
      </c>
    </row>
    <row r="23" spans="1:26" x14ac:dyDescent="0.2">
      <c r="A23" t="str" cm="1">
        <f t="array" ref="A23">Статьи!A18</f>
        <v>Налог 2</v>
      </c>
      <c r="B23" cm="1">
        <f t="array" ref="B23">SUMIFS(Данные!$D:$D,Данные!$B:$B,$A23,Данные!$E:$E,B$3,Данные!$A:$A,"&gt;="&amp;B$1,Данные!$A:$A,"&lt;="&amp;B$2)</f>
        <v>96719.45</v>
      </c>
      <c r="C23" cm="1">
        <f t="array" ref="C23">SUMIFS(Данные!$D:$D,Данные!$B:$B,$A23,Данные!$E:$E,C$3,Данные!$A:$A,"&gt;="&amp;C$1,Данные!$A:$A,"&lt;="&amp;C$2)</f>
        <v>263181.07</v>
      </c>
      <c r="D23" cm="1">
        <f t="array" ref="D23">SUMIFS(Данные!$D:$D,Данные!$B:$B,$A23,Данные!$E:$E,D$3,Данные!$A:$A,"&gt;="&amp;D$1,Данные!$A:$A,"&lt;="&amp;D$2)</f>
        <v>0</v>
      </c>
      <c r="E23" cm="1">
        <f t="array" ref="E23">SUMIFS(Данные!$D:$D,Данные!$B:$B,$A23,Данные!$E:$E,E$3,Данные!$A:$A,"&gt;="&amp;E$1,Данные!$A:$A,"&lt;="&amp;E$2)</f>
        <v>0</v>
      </c>
      <c r="F23" cm="1">
        <f t="array" ref="F23">SUMIFS(Данные!$D:$D,Данные!$B:$B,$A23,Данные!$E:$E,F$3,Данные!$A:$A,"&gt;="&amp;F$1,Данные!$A:$A,"&lt;="&amp;F$2)</f>
        <v>0</v>
      </c>
      <c r="G23" cm="1">
        <f t="array" ref="G23">SUMIFS(Данные!$D:$D,Данные!$B:$B,$A23,Данные!$E:$E,G$3,Данные!$A:$A,"&gt;="&amp;G$1,Данные!$A:$A,"&lt;="&amp;G$2)</f>
        <v>0</v>
      </c>
      <c r="H23" cm="1">
        <f t="array" ref="H23">SUMIFS(Данные!$D:$D,Данные!$B:$B,$A23,Данные!$E:$E,H$3,Данные!$A:$A,"&gt;="&amp;H$1,Данные!$A:$A,"&lt;="&amp;H$2)</f>
        <v>0</v>
      </c>
      <c r="I23" cm="1">
        <f t="array" ref="I23">SUMIFS(Данные!$D:$D,Данные!$B:$B,$A23,Данные!$E:$E,I$3,Данные!$A:$A,"&gt;="&amp;I$1,Данные!$A:$A,"&lt;="&amp;I$2)</f>
        <v>0</v>
      </c>
      <c r="J23" cm="1">
        <f t="array" ref="J23">SUMIFS(Данные!$D:$D,Данные!$B:$B,$A23,Данные!$E:$E,J$3,Данные!$A:$A,"&gt;="&amp;J$1,Данные!$A:$A,"&lt;="&amp;J$2)</f>
        <v>0</v>
      </c>
      <c r="K23" cm="1">
        <f t="array" ref="K23">SUMIFS(Данные!$D:$D,Данные!$B:$B,$A23,Данные!$E:$E,K$3,Данные!$A:$A,"&gt;="&amp;K$1,Данные!$A:$A,"&lt;="&amp;K$2)</f>
        <v>0</v>
      </c>
      <c r="L23" cm="1">
        <f t="array" ref="L23">SUMIFS(Данные!$D:$D,Данные!$B:$B,$A23,Данные!$E:$E,L$3,Данные!$A:$A,"&gt;="&amp;L$1,Данные!$A:$A,"&lt;="&amp;L$2)</f>
        <v>0</v>
      </c>
      <c r="M23" cm="1">
        <f t="array" ref="M23">SUMIFS(Данные!$D:$D,Данные!$B:$B,$A23,Данные!$E:$E,M$3,Данные!$A:$A,"&gt;="&amp;M$1,Данные!$A:$A,"&lt;="&amp;M$2)</f>
        <v>0</v>
      </c>
      <c r="N23" cm="1">
        <f t="array" ref="N23">SUMIFS(Данные!$D:$D,Данные!$B:$B,$A23,Данные!$E:$E,N$3,Данные!$A:$A,"&gt;="&amp;N$1,Данные!$A:$A,"&lt;="&amp;N$2)</f>
        <v>0</v>
      </c>
      <c r="O23" cm="1">
        <f t="array" ref="O23">SUMIFS(Данные!$D:$D,Данные!$B:$B,$A23,Данные!$E:$E,O$3,Данные!$A:$A,"&gt;="&amp;O$1,Данные!$A:$A,"&lt;="&amp;O$2)</f>
        <v>146159.26</v>
      </c>
      <c r="P23" cm="1">
        <f t="array" ref="P23">SUMIFS(Данные!$D:$D,Данные!$B:$B,$A23,Данные!$E:$E,P$3,Данные!$A:$A,"&gt;="&amp;P$1,Данные!$A:$A,"&lt;="&amp;P$2)</f>
        <v>-13469.76</v>
      </c>
      <c r="Q23" cm="1">
        <f t="array" ref="Q23">SUMIFS(Данные!$D:$D,Данные!$B:$B,$A23,Данные!$E:$E,Q$3,Данные!$A:$A,"&gt;="&amp;Q$1,Данные!$A:$A,"&lt;="&amp;Q$2)</f>
        <v>-63273.16</v>
      </c>
      <c r="R23" cm="1">
        <f t="array" ref="R23">SUMIFS(Данные!$D:$D,Данные!$B:$B,$A23,Данные!$E:$E,R$3,Данные!$A:$A,"&gt;="&amp;R$1,Данные!$A:$A,"&lt;="&amp;R$2)</f>
        <v>0</v>
      </c>
      <c r="S23" cm="1">
        <f t="array" ref="S23">SUMIFS(Данные!$D:$D,Данные!$B:$B,$A23,Данные!$E:$E,S$3,Данные!$A:$A,"&gt;="&amp;S$1,Данные!$A:$A,"&lt;="&amp;S$2)</f>
        <v>317963.88</v>
      </c>
      <c r="T23" cm="1">
        <f t="array" ref="T23">SUMIFS(Данные!$D:$D,Данные!$B:$B,$A23,Данные!$E:$E,T$3,Данные!$A:$A,"&gt;="&amp;T$1,Данные!$A:$A,"&lt;="&amp;T$2)</f>
        <v>0</v>
      </c>
      <c r="U23" cm="1">
        <f t="array" ref="U23">SUMIFS(Данные!$D:$D,Данные!$B:$B,$A23,Данные!$E:$E,U$3,Данные!$A:$A,"&gt;="&amp;U$1,Данные!$A:$A,"&lt;="&amp;U$2)</f>
        <v>0</v>
      </c>
      <c r="V23" cm="1">
        <f t="array" ref="V23">SUMIFS(Данные!$D:$D,Данные!$B:$B,$A23,Данные!$E:$E,V$3,Данные!$A:$A,"&gt;="&amp;V$1,Данные!$A:$A,"&lt;="&amp;V$2)</f>
        <v>28716.73</v>
      </c>
      <c r="W23" cm="1">
        <f t="array" ref="W23">SUMIFS(Данные!$D:$D,Данные!$B:$B,$A23,Данные!$E:$E,W$3,Данные!$A:$A,"&gt;="&amp;W$1,Данные!$A:$A,"&lt;="&amp;W$2)</f>
        <v>356303.21</v>
      </c>
      <c r="X23" cm="1">
        <f t="array" ref="X23">SUMIFS(Данные!$D:$D,Данные!$B:$B,$A23,Данные!$E:$E,X$3,Данные!$A:$A,"&gt;="&amp;X$1,Данные!$A:$A,"&lt;="&amp;X$2)</f>
        <v>0</v>
      </c>
      <c r="Y23" cm="1">
        <f t="array" ref="Y23">SUMIFS(Данные!$D:$D,Данные!$B:$B,$A23,Данные!$E:$E,Y$3,Данные!$A:$A,"&gt;="&amp;Y$1,Данные!$A:$A,"&lt;="&amp;Y$2)</f>
        <v>0</v>
      </c>
      <c r="Z23" cm="1">
        <f t="array" ref="Z23">SUM(B23:Y23)</f>
        <v>1132300.68</v>
      </c>
    </row>
    <row r="24" spans="1:26" x14ac:dyDescent="0.2">
      <c r="A24" t="str" cm="1">
        <f t="array" ref="A24">Статьи!A19</f>
        <v>Доход 2</v>
      </c>
      <c r="B24" cm="1">
        <f t="array" ref="B24">SUMIFS(Данные!$D:$D,Данные!$B:$B,$A24,Данные!$E:$E,B$3,Данные!$A:$A,"&gt;="&amp;B$1,Данные!$A:$A,"&lt;="&amp;B$2)</f>
        <v>0</v>
      </c>
      <c r="C24" cm="1">
        <f t="array" ref="C24">SUMIFS(Данные!$D:$D,Данные!$B:$B,$A24,Данные!$E:$E,C$3,Данные!$A:$A,"&gt;="&amp;C$1,Данные!$A:$A,"&lt;="&amp;C$2)</f>
        <v>283598.73</v>
      </c>
      <c r="D24" cm="1">
        <f t="array" ref="D24">SUMIFS(Данные!$D:$D,Данные!$B:$B,$A24,Данные!$E:$E,D$3,Данные!$A:$A,"&gt;="&amp;D$1,Данные!$A:$A,"&lt;="&amp;D$2)</f>
        <v>0</v>
      </c>
      <c r="E24" cm="1">
        <f t="array" ref="E24">SUMIFS(Данные!$D:$D,Данные!$B:$B,$A24,Данные!$E:$E,E$3,Данные!$A:$A,"&gt;="&amp;E$1,Данные!$A:$A,"&lt;="&amp;E$2)</f>
        <v>0</v>
      </c>
      <c r="F24" cm="1">
        <f t="array" ref="F24">SUMIFS(Данные!$D:$D,Данные!$B:$B,$A24,Данные!$E:$E,F$3,Данные!$A:$A,"&gt;="&amp;F$1,Данные!$A:$A,"&lt;="&amp;F$2)</f>
        <v>0</v>
      </c>
      <c r="G24" cm="1">
        <f t="array" ref="G24">SUMIFS(Данные!$D:$D,Данные!$B:$B,$A24,Данные!$E:$E,G$3,Данные!$A:$A,"&gt;="&amp;G$1,Данные!$A:$A,"&lt;="&amp;G$2)</f>
        <v>0</v>
      </c>
      <c r="H24" cm="1">
        <f t="array" ref="H24">SUMIFS(Данные!$D:$D,Данные!$B:$B,$A24,Данные!$E:$E,H$3,Данные!$A:$A,"&gt;="&amp;H$1,Данные!$A:$A,"&lt;="&amp;H$2)</f>
        <v>0</v>
      </c>
      <c r="I24" cm="1">
        <f t="array" ref="I24">SUMIFS(Данные!$D:$D,Данные!$B:$B,$A24,Данные!$E:$E,I$3,Данные!$A:$A,"&gt;="&amp;I$1,Данные!$A:$A,"&lt;="&amp;I$2)</f>
        <v>0</v>
      </c>
      <c r="J24" cm="1">
        <f t="array" ref="J24">SUMIFS(Данные!$D:$D,Данные!$B:$B,$A24,Данные!$E:$E,J$3,Данные!$A:$A,"&gt;="&amp;J$1,Данные!$A:$A,"&lt;="&amp;J$2)</f>
        <v>0</v>
      </c>
      <c r="K24" cm="1">
        <f t="array" ref="K24">SUMIFS(Данные!$D:$D,Данные!$B:$B,$A24,Данные!$E:$E,K$3,Данные!$A:$A,"&gt;="&amp;K$1,Данные!$A:$A,"&lt;="&amp;K$2)</f>
        <v>321244.58999999997</v>
      </c>
      <c r="L24" cm="1">
        <f t="array" ref="L24">SUMIFS(Данные!$D:$D,Данные!$B:$B,$A24,Данные!$E:$E,L$3,Данные!$A:$A,"&gt;="&amp;L$1,Данные!$A:$A,"&lt;="&amp;L$2)</f>
        <v>0</v>
      </c>
      <c r="M24" cm="1">
        <f t="array" ref="M24">SUMIFS(Данные!$D:$D,Данные!$B:$B,$A24,Данные!$E:$E,M$3,Данные!$A:$A,"&gt;="&amp;M$1,Данные!$A:$A,"&lt;="&amp;M$2)</f>
        <v>0</v>
      </c>
      <c r="N24" cm="1">
        <f t="array" ref="N24">SUMIFS(Данные!$D:$D,Данные!$B:$B,$A24,Данные!$E:$E,N$3,Данные!$A:$A,"&gt;="&amp;N$1,Данные!$A:$A,"&lt;="&amp;N$2)</f>
        <v>0</v>
      </c>
      <c r="O24" cm="1">
        <f t="array" ref="O24">SUMIFS(Данные!$D:$D,Данные!$B:$B,$A24,Данные!$E:$E,O$3,Данные!$A:$A,"&gt;="&amp;O$1,Данные!$A:$A,"&lt;="&amp;O$2)</f>
        <v>0</v>
      </c>
      <c r="P24" cm="1">
        <f t="array" ref="P24">SUMIFS(Данные!$D:$D,Данные!$B:$B,$A24,Данные!$E:$E,P$3,Данные!$A:$A,"&gt;="&amp;P$1,Данные!$A:$A,"&lt;="&amp;P$2)</f>
        <v>0</v>
      </c>
      <c r="Q24" cm="1">
        <f t="array" ref="Q24">SUMIFS(Данные!$D:$D,Данные!$B:$B,$A24,Данные!$E:$E,Q$3,Данные!$A:$A,"&gt;="&amp;Q$1,Данные!$A:$A,"&lt;="&amp;Q$2)</f>
        <v>0</v>
      </c>
      <c r="R24" cm="1">
        <f t="array" ref="R24">SUMIFS(Данные!$D:$D,Данные!$B:$B,$A24,Данные!$E:$E,R$3,Данные!$A:$A,"&gt;="&amp;R$1,Данные!$A:$A,"&lt;="&amp;R$2)</f>
        <v>-59420.61</v>
      </c>
      <c r="S24" cm="1">
        <f t="array" ref="S24">SUMIFS(Данные!$D:$D,Данные!$B:$B,$A24,Данные!$E:$E,S$3,Данные!$A:$A,"&gt;="&amp;S$1,Данные!$A:$A,"&lt;="&amp;S$2)</f>
        <v>0</v>
      </c>
      <c r="T24" cm="1">
        <f t="array" ref="T24">SUMIFS(Данные!$D:$D,Данные!$B:$B,$A24,Данные!$E:$E,T$3,Данные!$A:$A,"&gt;="&amp;T$1,Данные!$A:$A,"&lt;="&amp;T$2)</f>
        <v>0</v>
      </c>
      <c r="U24" cm="1">
        <f t="array" ref="U24">SUMIFS(Данные!$D:$D,Данные!$B:$B,$A24,Данные!$E:$E,U$3,Данные!$A:$A,"&gt;="&amp;U$1,Данные!$A:$A,"&lt;="&amp;U$2)</f>
        <v>-78635.149999999994</v>
      </c>
      <c r="V24" cm="1">
        <f t="array" ref="V24">SUMIFS(Данные!$D:$D,Данные!$B:$B,$A24,Данные!$E:$E,V$3,Данные!$A:$A,"&gt;="&amp;V$1,Данные!$A:$A,"&lt;="&amp;V$2)</f>
        <v>236132.35</v>
      </c>
      <c r="W24" cm="1">
        <f t="array" ref="W24">SUMIFS(Данные!$D:$D,Данные!$B:$B,$A24,Данные!$E:$E,W$3,Данные!$A:$A,"&gt;="&amp;W$1,Данные!$A:$A,"&lt;="&amp;W$2)</f>
        <v>0</v>
      </c>
      <c r="X24" cm="1">
        <f t="array" ref="X24">SUMIFS(Данные!$D:$D,Данные!$B:$B,$A24,Данные!$E:$E,X$3,Данные!$A:$A,"&gt;="&amp;X$1,Данные!$A:$A,"&lt;="&amp;X$2)</f>
        <v>0</v>
      </c>
      <c r="Y24" cm="1">
        <f t="array" ref="Y24">SUMIFS(Данные!$D:$D,Данные!$B:$B,$A24,Данные!$E:$E,Y$3,Данные!$A:$A,"&gt;="&amp;Y$1,Данные!$A:$A,"&lt;="&amp;Y$2)</f>
        <v>0</v>
      </c>
      <c r="Z24" cm="1">
        <f t="array" ref="Z24">SUM(B24:Y24)</f>
        <v>702919.90999999992</v>
      </c>
    </row>
    <row r="25" spans="1:26" x14ac:dyDescent="0.2">
      <c r="A25" t="str" cm="1">
        <f t="array" ref="A25">Статьи!A20</f>
        <v>Сырьё 2</v>
      </c>
      <c r="B25" cm="1">
        <f t="array" ref="B25">SUMIFS(Данные!$D:$D,Данные!$B:$B,$A25,Данные!$E:$E,B$3,Данные!$A:$A,"&gt;="&amp;B$1,Данные!$A:$A,"&lt;="&amp;B$2)</f>
        <v>0</v>
      </c>
      <c r="C25" cm="1">
        <f t="array" ref="C25">SUMIFS(Данные!$D:$D,Данные!$B:$B,$A25,Данные!$E:$E,C$3,Данные!$A:$A,"&gt;="&amp;C$1,Данные!$A:$A,"&lt;="&amp;C$2)</f>
        <v>48723.82</v>
      </c>
      <c r="D25" cm="1">
        <f t="array" ref="D25">SUMIFS(Данные!$D:$D,Данные!$B:$B,$A25,Данные!$E:$E,D$3,Данные!$A:$A,"&gt;="&amp;D$1,Данные!$A:$A,"&lt;="&amp;D$2)</f>
        <v>29317.87</v>
      </c>
      <c r="E25" cm="1">
        <f t="array" ref="E25">SUMIFS(Данные!$D:$D,Данные!$B:$B,$A25,Данные!$E:$E,E$3,Данные!$A:$A,"&gt;="&amp;E$1,Данные!$A:$A,"&lt;="&amp;E$2)</f>
        <v>0</v>
      </c>
      <c r="F25" cm="1">
        <f t="array" ref="F25">SUMIFS(Данные!$D:$D,Данные!$B:$B,$A25,Данные!$E:$E,F$3,Данные!$A:$A,"&gt;="&amp;F$1,Данные!$A:$A,"&lt;="&amp;F$2)</f>
        <v>152209.67000000001</v>
      </c>
      <c r="G25" cm="1">
        <f t="array" ref="G25">SUMIFS(Данные!$D:$D,Данные!$B:$B,$A25,Данные!$E:$E,G$3,Данные!$A:$A,"&gt;="&amp;G$1,Данные!$A:$A,"&lt;="&amp;G$2)</f>
        <v>0</v>
      </c>
      <c r="H25" cm="1">
        <f t="array" ref="H25">SUMIFS(Данные!$D:$D,Данные!$B:$B,$A25,Данные!$E:$E,H$3,Данные!$A:$A,"&gt;="&amp;H$1,Данные!$A:$A,"&lt;="&amp;H$2)</f>
        <v>0</v>
      </c>
      <c r="I25" cm="1">
        <f t="array" ref="I25">SUMIFS(Данные!$D:$D,Данные!$B:$B,$A25,Данные!$E:$E,I$3,Данные!$A:$A,"&gt;="&amp;I$1,Данные!$A:$A,"&lt;="&amp;I$2)</f>
        <v>292678.59999999998</v>
      </c>
      <c r="J25" cm="1">
        <f t="array" ref="J25">SUMIFS(Данные!$D:$D,Данные!$B:$B,$A25,Данные!$E:$E,J$3,Данные!$A:$A,"&gt;="&amp;J$1,Данные!$A:$A,"&lt;="&amp;J$2)</f>
        <v>0</v>
      </c>
      <c r="K25" cm="1">
        <f t="array" ref="K25">SUMIFS(Данные!$D:$D,Данные!$B:$B,$A25,Данные!$E:$E,K$3,Данные!$A:$A,"&gt;="&amp;K$1,Данные!$A:$A,"&lt;="&amp;K$2)</f>
        <v>0</v>
      </c>
      <c r="L25" cm="1">
        <f t="array" ref="L25">SUMIFS(Данные!$D:$D,Данные!$B:$B,$A25,Данные!$E:$E,L$3,Данные!$A:$A,"&gt;="&amp;L$1,Данные!$A:$A,"&lt;="&amp;L$2)</f>
        <v>380500718.94999999</v>
      </c>
      <c r="M25" cm="1">
        <f t="array" ref="M25">SUMIFS(Данные!$D:$D,Данные!$B:$B,$A25,Данные!$E:$E,M$3,Данные!$A:$A,"&gt;="&amp;M$1,Данные!$A:$A,"&lt;="&amp;M$2)</f>
        <v>0</v>
      </c>
      <c r="N25" cm="1">
        <f t="array" ref="N25">SUMIFS(Данные!$D:$D,Данные!$B:$B,$A25,Данные!$E:$E,N$3,Данные!$A:$A,"&gt;="&amp;N$1,Данные!$A:$A,"&lt;="&amp;N$2)</f>
        <v>332928.46999999997</v>
      </c>
      <c r="O25" cm="1">
        <f t="array" ref="O25">SUMIFS(Данные!$D:$D,Данные!$B:$B,$A25,Данные!$E:$E,O$3,Данные!$A:$A,"&gt;="&amp;O$1,Данные!$A:$A,"&lt;="&amp;O$2)</f>
        <v>0</v>
      </c>
      <c r="P25" cm="1">
        <f t="array" ref="P25">SUMIFS(Данные!$D:$D,Данные!$B:$B,$A25,Данные!$E:$E,P$3,Данные!$A:$A,"&gt;="&amp;P$1,Данные!$A:$A,"&lt;="&amp;P$2)</f>
        <v>0</v>
      </c>
      <c r="Q25" cm="1">
        <f t="array" ref="Q25">SUMIFS(Данные!$D:$D,Данные!$B:$B,$A25,Данные!$E:$E,Q$3,Данные!$A:$A,"&gt;="&amp;Q$1,Данные!$A:$A,"&lt;="&amp;Q$2)</f>
        <v>0</v>
      </c>
      <c r="R25" cm="1">
        <f t="array" ref="R25">SUMIFS(Данные!$D:$D,Данные!$B:$B,$A25,Данные!$E:$E,R$3,Данные!$A:$A,"&gt;="&amp;R$1,Данные!$A:$A,"&lt;="&amp;R$2)</f>
        <v>0</v>
      </c>
      <c r="S25" cm="1">
        <f t="array" ref="S25">SUMIFS(Данные!$D:$D,Данные!$B:$B,$A25,Данные!$E:$E,S$3,Данные!$A:$A,"&gt;="&amp;S$1,Данные!$A:$A,"&lt;="&amp;S$2)</f>
        <v>-72558.61</v>
      </c>
      <c r="T25" cm="1">
        <f t="array" ref="T25">SUMIFS(Данные!$D:$D,Данные!$B:$B,$A25,Данные!$E:$E,T$3,Данные!$A:$A,"&gt;="&amp;T$1,Данные!$A:$A,"&lt;="&amp;T$2)</f>
        <v>0</v>
      </c>
      <c r="U25" cm="1">
        <f t="array" ref="U25">SUMIFS(Данные!$D:$D,Данные!$B:$B,$A25,Данные!$E:$E,U$3,Данные!$A:$A,"&gt;="&amp;U$1,Данные!$A:$A,"&lt;="&amp;U$2)</f>
        <v>0</v>
      </c>
      <c r="V25" cm="1">
        <f t="array" ref="V25">SUMIFS(Данные!$D:$D,Данные!$B:$B,$A25,Данные!$E:$E,V$3,Данные!$A:$A,"&gt;="&amp;V$1,Данные!$A:$A,"&lt;="&amp;V$2)</f>
        <v>0</v>
      </c>
      <c r="W25" cm="1">
        <f t="array" ref="W25">SUMIFS(Данные!$D:$D,Данные!$B:$B,$A25,Данные!$E:$E,W$3,Данные!$A:$A,"&gt;="&amp;W$1,Данные!$A:$A,"&lt;="&amp;W$2)</f>
        <v>0</v>
      </c>
      <c r="X25" cm="1">
        <f t="array" ref="X25">SUMIFS(Данные!$D:$D,Данные!$B:$B,$A25,Данные!$E:$E,X$3,Данные!$A:$A,"&gt;="&amp;X$1,Данные!$A:$A,"&lt;="&amp;X$2)</f>
        <v>0</v>
      </c>
      <c r="Y25" cm="1">
        <f t="array" ref="Y25">SUMIFS(Данные!$D:$D,Данные!$B:$B,$A25,Данные!$E:$E,Y$3,Данные!$A:$A,"&gt;="&amp;Y$1,Данные!$A:$A,"&lt;="&amp;Y$2)</f>
        <v>103867.83</v>
      </c>
      <c r="Z25" cm="1">
        <f t="array" ref="Z25">SUM(B25:Y25)</f>
        <v>381387886.59999996</v>
      </c>
    </row>
    <row r="26" spans="1:26" x14ac:dyDescent="0.2">
      <c r="A26" t="str" cm="1">
        <f t="array" ref="A26">Статьи!A21</f>
        <v>Сырье 2</v>
      </c>
      <c r="B26" cm="1">
        <f t="array" ref="B26">SUMIFS(Данные!$D:$D,Данные!$B:$B,$A26,Данные!$E:$E,B$3,Данные!$A:$A,"&gt;="&amp;B$1,Данные!$A:$A,"&lt;="&amp;B$2)</f>
        <v>-68476</v>
      </c>
      <c r="C26" cm="1">
        <f t="array" ref="C26">SUMIFS(Данные!$D:$D,Данные!$B:$B,$A26,Данные!$E:$E,C$3,Данные!$A:$A,"&gt;="&amp;C$1,Данные!$A:$A,"&lt;="&amp;C$2)</f>
        <v>0</v>
      </c>
      <c r="D26" cm="1">
        <f t="array" ref="D26">SUMIFS(Данные!$D:$D,Данные!$B:$B,$A26,Данные!$E:$E,D$3,Данные!$A:$A,"&gt;="&amp;D$1,Данные!$A:$A,"&lt;="&amp;D$2)</f>
        <v>0</v>
      </c>
      <c r="E26" cm="1">
        <f t="array" ref="E26">SUMIFS(Данные!$D:$D,Данные!$B:$B,$A26,Данные!$E:$E,E$3,Данные!$A:$A,"&gt;="&amp;E$1,Данные!$A:$A,"&lt;="&amp;E$2)</f>
        <v>0</v>
      </c>
      <c r="F26" cm="1">
        <f t="array" ref="F26">SUMIFS(Данные!$D:$D,Данные!$B:$B,$A26,Данные!$E:$E,F$3,Данные!$A:$A,"&gt;="&amp;F$1,Данные!$A:$A,"&lt;="&amp;F$2)</f>
        <v>221595.45</v>
      </c>
      <c r="G26" cm="1">
        <f t="array" ref="G26">SUMIFS(Данные!$D:$D,Данные!$B:$B,$A26,Данные!$E:$E,G$3,Данные!$A:$A,"&gt;="&amp;G$1,Данные!$A:$A,"&lt;="&amp;G$2)</f>
        <v>0</v>
      </c>
      <c r="H26" cm="1">
        <f t="array" ref="H26">SUMIFS(Данные!$D:$D,Данные!$B:$B,$A26,Данные!$E:$E,H$3,Данные!$A:$A,"&gt;="&amp;H$1,Данные!$A:$A,"&lt;="&amp;H$2)</f>
        <v>150781.73000000001</v>
      </c>
      <c r="I26" cm="1">
        <f t="array" ref="I26">SUMIFS(Данные!$D:$D,Данные!$B:$B,$A26,Данные!$E:$E,I$3,Данные!$A:$A,"&gt;="&amp;I$1,Данные!$A:$A,"&lt;="&amp;I$2)</f>
        <v>0</v>
      </c>
      <c r="J26" cm="1">
        <f t="array" ref="J26">SUMIFS(Данные!$D:$D,Данные!$B:$B,$A26,Данные!$E:$E,J$3,Данные!$A:$A,"&gt;="&amp;J$1,Данные!$A:$A,"&lt;="&amp;J$2)</f>
        <v>-42207.32</v>
      </c>
      <c r="K26" cm="1">
        <f t="array" ref="K26">SUMIFS(Данные!$D:$D,Данные!$B:$B,$A26,Данные!$E:$E,K$3,Данные!$A:$A,"&gt;="&amp;K$1,Данные!$A:$A,"&lt;="&amp;K$2)</f>
        <v>0</v>
      </c>
      <c r="L26" cm="1">
        <f t="array" ref="L26">SUMIFS(Данные!$D:$D,Данные!$B:$B,$A26,Данные!$E:$E,L$3,Данные!$A:$A,"&gt;="&amp;L$1,Данные!$A:$A,"&lt;="&amp;L$2)</f>
        <v>-57859.49</v>
      </c>
      <c r="M26" cm="1">
        <f t="array" ref="M26">SUMIFS(Данные!$D:$D,Данные!$B:$B,$A26,Данные!$E:$E,M$3,Данные!$A:$A,"&gt;="&amp;M$1,Данные!$A:$A,"&lt;="&amp;M$2)</f>
        <v>160170.28</v>
      </c>
      <c r="N26" cm="1">
        <f t="array" ref="N26">SUMIFS(Данные!$D:$D,Данные!$B:$B,$A26,Данные!$E:$E,N$3,Данные!$A:$A,"&gt;="&amp;N$1,Данные!$A:$A,"&lt;="&amp;N$2)</f>
        <v>-61034.63</v>
      </c>
      <c r="O26" cm="1">
        <f t="array" ref="O26">SUMIFS(Данные!$D:$D,Данные!$B:$B,$A26,Данные!$E:$E,O$3,Данные!$A:$A,"&gt;="&amp;O$1,Данные!$A:$A,"&lt;="&amp;O$2)</f>
        <v>0</v>
      </c>
      <c r="P26" cm="1">
        <f t="array" ref="P26">SUMIFS(Данные!$D:$D,Данные!$B:$B,$A26,Данные!$E:$E,P$3,Данные!$A:$A,"&gt;="&amp;P$1,Данные!$A:$A,"&lt;="&amp;P$2)</f>
        <v>0</v>
      </c>
      <c r="Q26" cm="1">
        <f t="array" ref="Q26">SUMIFS(Данные!$D:$D,Данные!$B:$B,$A26,Данные!$E:$E,Q$3,Данные!$A:$A,"&gt;="&amp;Q$1,Данные!$A:$A,"&lt;="&amp;Q$2)</f>
        <v>0</v>
      </c>
      <c r="R26" cm="1">
        <f t="array" ref="R26">SUMIFS(Данные!$D:$D,Данные!$B:$B,$A26,Данные!$E:$E,R$3,Данные!$A:$A,"&gt;="&amp;R$1,Данные!$A:$A,"&lt;="&amp;R$2)</f>
        <v>0</v>
      </c>
      <c r="S26" cm="1">
        <f t="array" ref="S26">SUMIFS(Данные!$D:$D,Данные!$B:$B,$A26,Данные!$E:$E,S$3,Данные!$A:$A,"&gt;="&amp;S$1,Данные!$A:$A,"&lt;="&amp;S$2)</f>
        <v>0</v>
      </c>
      <c r="T26" cm="1">
        <f t="array" ref="T26">SUMIFS(Данные!$D:$D,Данные!$B:$B,$A26,Данные!$E:$E,T$3,Данные!$A:$A,"&gt;="&amp;T$1,Данные!$A:$A,"&lt;="&amp;T$2)</f>
        <v>0</v>
      </c>
      <c r="U26" cm="1">
        <f t="array" ref="U26">SUMIFS(Данные!$D:$D,Данные!$B:$B,$A26,Данные!$E:$E,U$3,Данные!$A:$A,"&gt;="&amp;U$1,Данные!$A:$A,"&lt;="&amp;U$2)</f>
        <v>0</v>
      </c>
      <c r="V26" cm="1">
        <f t="array" ref="V26">SUMIFS(Данные!$D:$D,Данные!$B:$B,$A26,Данные!$E:$E,V$3,Данные!$A:$A,"&gt;="&amp;V$1,Данные!$A:$A,"&lt;="&amp;V$2)</f>
        <v>0</v>
      </c>
      <c r="W26" cm="1">
        <f t="array" ref="W26">SUMIFS(Данные!$D:$D,Данные!$B:$B,$A26,Данные!$E:$E,W$3,Данные!$A:$A,"&gt;="&amp;W$1,Данные!$A:$A,"&lt;="&amp;W$2)</f>
        <v>0</v>
      </c>
      <c r="X26" cm="1">
        <f t="array" ref="X26">SUMIFS(Данные!$D:$D,Данные!$B:$B,$A26,Данные!$E:$E,X$3,Данные!$A:$A,"&gt;="&amp;X$1,Данные!$A:$A,"&lt;="&amp;X$2)</f>
        <v>0</v>
      </c>
      <c r="Y26" cm="1">
        <f t="array" ref="Y26">SUMIFS(Данные!$D:$D,Данные!$B:$B,$A26,Данные!$E:$E,Y$3,Данные!$A:$A,"&gt;="&amp;Y$1,Данные!$A:$A,"&lt;="&amp;Y$2)</f>
        <v>-34400.870000000003</v>
      </c>
      <c r="Z26" cm="1">
        <f t="array" ref="Z26">SUM(B26:Y26)</f>
        <v>268569.15000000002</v>
      </c>
    </row>
    <row r="27" spans="1:26" x14ac:dyDescent="0.2">
      <c r="A27" t="s">
        <v>462</v>
      </c>
      <c r="B27" cm="1">
        <f t="array" ref="B27">SUM(B22:B26)</f>
        <v>28243.449999999997</v>
      </c>
      <c r="C27" cm="1">
        <f t="array" ref="C27">SUM(C22:C26)</f>
        <v>595503.62</v>
      </c>
      <c r="D27" cm="1">
        <f t="array" ref="D27">SUM(D22:D26)</f>
        <v>29317.87</v>
      </c>
      <c r="E27" cm="1">
        <f t="array" ref="E27">SUM(E22:E26)</f>
        <v>0</v>
      </c>
      <c r="F27" cm="1">
        <f t="array" ref="F27">SUM(F22:F26)</f>
        <v>676307.78</v>
      </c>
      <c r="G27" cm="1">
        <f t="array" ref="G27">SUM(G22:G26)</f>
        <v>0</v>
      </c>
      <c r="H27" cm="1">
        <f t="array" ref="H27">SUM(H22:H26)</f>
        <v>150781.73000000001</v>
      </c>
      <c r="I27" cm="1">
        <f t="array" ref="I27">SUM(I22:I26)</f>
        <v>292678.59999999998</v>
      </c>
      <c r="J27" cm="1">
        <f t="array" ref="J27">SUM(J22:J26)</f>
        <v>-42207.32</v>
      </c>
      <c r="K27" cm="1">
        <f t="array" ref="K27">SUM(K22:K26)</f>
        <v>338323.87</v>
      </c>
      <c r="L27" cm="1">
        <f t="array" ref="L27">SUM(L22:L26)</f>
        <v>380442859.45999998</v>
      </c>
      <c r="M27" cm="1">
        <f t="array" ref="M27">SUM(M22:M26)</f>
        <v>163508.41</v>
      </c>
      <c r="N27" cm="1">
        <f t="array" ref="N27">SUM(N22:N26)</f>
        <v>271893.83999999997</v>
      </c>
      <c r="O27" cm="1">
        <f t="array" ref="O27">SUM(O22:O26)</f>
        <v>146159.26</v>
      </c>
      <c r="P27" cm="1">
        <f t="array" ref="P27">SUM(P22:P26)</f>
        <v>355635.82</v>
      </c>
      <c r="Q27" cm="1">
        <f t="array" ref="Q27">SUM(Q22:Q26)</f>
        <v>-63273.16</v>
      </c>
      <c r="R27" cm="1">
        <f t="array" ref="R27">SUM(R22:R26)</f>
        <v>-59420.61</v>
      </c>
      <c r="S27" cm="1">
        <f t="array" ref="S27">SUM(S22:S26)</f>
        <v>245405.27000000002</v>
      </c>
      <c r="T27" cm="1">
        <f t="array" ref="T27">SUM(T22:T26)</f>
        <v>-50072.52</v>
      </c>
      <c r="U27" cm="1">
        <f t="array" ref="U27">SUM(U22:U26)</f>
        <v>-110815.43</v>
      </c>
      <c r="V27" cm="1">
        <f t="array" ref="V27">SUM(V22:V26)</f>
        <v>264849.08</v>
      </c>
      <c r="W27" cm="1">
        <f t="array" ref="W27">SUM(W22:W26)</f>
        <v>287458.61</v>
      </c>
      <c r="X27" cm="1">
        <f t="array" ref="X27">SUM(X22:X26)</f>
        <v>0</v>
      </c>
      <c r="Y27" cm="1">
        <f t="array" ref="Y27">SUM(Y22:Y26)</f>
        <v>69466.959999999992</v>
      </c>
      <c r="Z27" cm="1">
        <f t="array" ref="Z27">SUM(Z22:Z26)</f>
        <v>384032604.58999991</v>
      </c>
    </row>
    <row r="28" spans="1:26" x14ac:dyDescent="0.2">
      <c r="A28" t="str" cm="1">
        <f t="array" ref="A28">Статьи!A22</f>
        <v>Чай 3</v>
      </c>
      <c r="B28" cm="1">
        <f t="array" ref="B28">SUMIFS(Данные!$D:$D,Данные!$B:$B,$A28,Данные!$E:$E,B$3,Данные!$A:$A,"&gt;="&amp;B$1,Данные!$A:$A,"&lt;="&amp;B$2)</f>
        <v>0</v>
      </c>
      <c r="C28" cm="1">
        <f t="array" ref="C28">SUMIFS(Данные!$D:$D,Данные!$B:$B,$A28,Данные!$E:$E,C$3,Данные!$A:$A,"&gt;="&amp;C$1,Данные!$A:$A,"&lt;="&amp;C$2)</f>
        <v>56606.62</v>
      </c>
      <c r="D28" cm="1">
        <f t="array" ref="D28">SUMIFS(Данные!$D:$D,Данные!$B:$B,$A28,Данные!$E:$E,D$3,Данные!$A:$A,"&gt;="&amp;D$1,Данные!$A:$A,"&lt;="&amp;D$2)</f>
        <v>0</v>
      </c>
      <c r="E28" cm="1">
        <f t="array" ref="E28">SUMIFS(Данные!$D:$D,Данные!$B:$B,$A28,Данные!$E:$E,E$3,Данные!$A:$A,"&gt;="&amp;E$1,Данные!$A:$A,"&lt;="&amp;E$2)</f>
        <v>0</v>
      </c>
      <c r="F28" cm="1">
        <f t="array" ref="F28">SUMIFS(Данные!$D:$D,Данные!$B:$B,$A28,Данные!$E:$E,F$3,Данные!$A:$A,"&gt;="&amp;F$1,Данные!$A:$A,"&lt;="&amp;F$2)</f>
        <v>-5034.2299999999996</v>
      </c>
      <c r="G28" cm="1">
        <f t="array" ref="G28">SUMIFS(Данные!$D:$D,Данные!$B:$B,$A28,Данные!$E:$E,G$3,Данные!$A:$A,"&gt;="&amp;G$1,Данные!$A:$A,"&lt;="&amp;G$2)</f>
        <v>270595.84000000003</v>
      </c>
      <c r="H28" cm="1">
        <f t="array" ref="H28">SUMIFS(Данные!$D:$D,Данные!$B:$B,$A28,Данные!$E:$E,H$3,Данные!$A:$A,"&gt;="&amp;H$1,Данные!$A:$A,"&lt;="&amp;H$2)</f>
        <v>0</v>
      </c>
      <c r="I28" cm="1">
        <f t="array" ref="I28">SUMIFS(Данные!$D:$D,Данные!$B:$B,$A28,Данные!$E:$E,I$3,Данные!$A:$A,"&gt;="&amp;I$1,Данные!$A:$A,"&lt;="&amp;I$2)</f>
        <v>435406.09</v>
      </c>
      <c r="J28" cm="1">
        <f t="array" ref="J28">SUMIFS(Данные!$D:$D,Данные!$B:$B,$A28,Данные!$E:$E,J$3,Данные!$A:$A,"&gt;="&amp;J$1,Данные!$A:$A,"&lt;="&amp;J$2)</f>
        <v>0</v>
      </c>
      <c r="K28" cm="1">
        <f t="array" ref="K28">SUMIFS(Данные!$D:$D,Данные!$B:$B,$A28,Данные!$E:$E,K$3,Данные!$A:$A,"&gt;="&amp;K$1,Данные!$A:$A,"&lt;="&amp;K$2)</f>
        <v>72144.070000000007</v>
      </c>
      <c r="L28" cm="1">
        <f t="array" ref="L28">SUMIFS(Данные!$D:$D,Данные!$B:$B,$A28,Данные!$E:$E,L$3,Данные!$A:$A,"&gt;="&amp;L$1,Данные!$A:$A,"&lt;="&amp;L$2)</f>
        <v>0</v>
      </c>
      <c r="M28" cm="1">
        <f t="array" ref="M28">SUMIFS(Данные!$D:$D,Данные!$B:$B,$A28,Данные!$E:$E,M$3,Данные!$A:$A,"&gt;="&amp;M$1,Данные!$A:$A,"&lt;="&amp;M$2)</f>
        <v>0</v>
      </c>
      <c r="N28" cm="1">
        <f t="array" ref="N28">SUMIFS(Данные!$D:$D,Данные!$B:$B,$A28,Данные!$E:$E,N$3,Данные!$A:$A,"&gt;="&amp;N$1,Данные!$A:$A,"&lt;="&amp;N$2)</f>
        <v>225608.62</v>
      </c>
      <c r="O28" cm="1">
        <f t="array" ref="O28">SUMIFS(Данные!$D:$D,Данные!$B:$B,$A28,Данные!$E:$E,O$3,Данные!$A:$A,"&gt;="&amp;O$1,Данные!$A:$A,"&lt;="&amp;O$2)</f>
        <v>0</v>
      </c>
      <c r="P28" cm="1">
        <f t="array" ref="P28">SUMIFS(Данные!$D:$D,Данные!$B:$B,$A28,Данные!$E:$E,P$3,Данные!$A:$A,"&gt;="&amp;P$1,Данные!$A:$A,"&lt;="&amp;P$2)</f>
        <v>0</v>
      </c>
      <c r="Q28" cm="1">
        <f t="array" ref="Q28">SUMIFS(Данные!$D:$D,Данные!$B:$B,$A28,Данные!$E:$E,Q$3,Данные!$A:$A,"&gt;="&amp;Q$1,Данные!$A:$A,"&lt;="&amp;Q$2)</f>
        <v>0</v>
      </c>
      <c r="R28" cm="1">
        <f t="array" ref="R28">SUMIFS(Данные!$D:$D,Данные!$B:$B,$A28,Данные!$E:$E,R$3,Данные!$A:$A,"&gt;="&amp;R$1,Данные!$A:$A,"&lt;="&amp;R$2)</f>
        <v>-39388.800000000003</v>
      </c>
      <c r="S28" cm="1">
        <f t="array" ref="S28">SUMIFS(Данные!$D:$D,Данные!$B:$B,$A28,Данные!$E:$E,S$3,Данные!$A:$A,"&gt;="&amp;S$1,Данные!$A:$A,"&lt;="&amp;S$2)</f>
        <v>355280.64000000001</v>
      </c>
      <c r="T28" cm="1">
        <f t="array" ref="T28">SUMIFS(Данные!$D:$D,Данные!$B:$B,$A28,Данные!$E:$E,T$3,Данные!$A:$A,"&gt;="&amp;T$1,Данные!$A:$A,"&lt;="&amp;T$2)</f>
        <v>0</v>
      </c>
      <c r="U28" cm="1">
        <f t="array" ref="U28">SUMIFS(Данные!$D:$D,Данные!$B:$B,$A28,Данные!$E:$E,U$3,Данные!$A:$A,"&gt;="&amp;U$1,Данные!$A:$A,"&lt;="&amp;U$2)</f>
        <v>0</v>
      </c>
      <c r="V28" cm="1">
        <f t="array" ref="V28">SUMIFS(Данные!$D:$D,Данные!$B:$B,$A28,Данные!$E:$E,V$3,Данные!$A:$A,"&gt;="&amp;V$1,Данные!$A:$A,"&lt;="&amp;V$2)</f>
        <v>0</v>
      </c>
      <c r="W28" cm="1">
        <f t="array" ref="W28">SUMIFS(Данные!$D:$D,Данные!$B:$B,$A28,Данные!$E:$E,W$3,Данные!$A:$A,"&gt;="&amp;W$1,Данные!$A:$A,"&lt;="&amp;W$2)</f>
        <v>0</v>
      </c>
      <c r="X28" cm="1">
        <f t="array" ref="X28">SUMIFS(Данные!$D:$D,Данные!$B:$B,$A28,Данные!$E:$E,X$3,Данные!$A:$A,"&gt;="&amp;X$1,Данные!$A:$A,"&lt;="&amp;X$2)</f>
        <v>298260.07</v>
      </c>
      <c r="Y28" cm="1">
        <f t="array" ref="Y28">SUMIFS(Данные!$D:$D,Данные!$B:$B,$A28,Данные!$E:$E,Y$3,Данные!$A:$A,"&gt;="&amp;Y$1,Данные!$A:$A,"&lt;="&amp;Y$2)</f>
        <v>0</v>
      </c>
      <c r="Z28" cm="1">
        <f t="array" ref="Z28">SUM(B28:Y28)</f>
        <v>1669478.9200000002</v>
      </c>
    </row>
    <row r="29" spans="1:26" x14ac:dyDescent="0.2">
      <c r="A29" t="str" cm="1">
        <f t="array" ref="A29">Статьи!A23</f>
        <v>Чаи 3</v>
      </c>
      <c r="B29" cm="1">
        <f t="array" ref="B29">SUMIFS(Данные!$D:$D,Данные!$B:$B,$A29,Данные!$E:$E,B$3,Данные!$A:$A,"&gt;="&amp;B$1,Данные!$A:$A,"&lt;="&amp;B$2)</f>
        <v>0</v>
      </c>
      <c r="C29" cm="1">
        <f t="array" ref="C29">SUMIFS(Данные!$D:$D,Данные!$B:$B,$A29,Данные!$E:$E,C$3,Данные!$A:$A,"&gt;="&amp;C$1,Данные!$A:$A,"&lt;="&amp;C$2)</f>
        <v>0</v>
      </c>
      <c r="D29" cm="1">
        <f t="array" ref="D29">SUMIFS(Данные!$D:$D,Данные!$B:$B,$A29,Данные!$E:$E,D$3,Данные!$A:$A,"&gt;="&amp;D$1,Данные!$A:$A,"&lt;="&amp;D$2)</f>
        <v>0</v>
      </c>
      <c r="E29" cm="1">
        <f t="array" ref="E29">SUMIFS(Данные!$D:$D,Данные!$B:$B,$A29,Данные!$E:$E,E$3,Данные!$A:$A,"&gt;="&amp;E$1,Данные!$A:$A,"&lt;="&amp;E$2)</f>
        <v>0</v>
      </c>
      <c r="F29" cm="1">
        <f t="array" ref="F29">SUMIFS(Данные!$D:$D,Данные!$B:$B,$A29,Данные!$E:$E,F$3,Данные!$A:$A,"&gt;="&amp;F$1,Данные!$A:$A,"&lt;="&amp;F$2)</f>
        <v>0</v>
      </c>
      <c r="G29" cm="1">
        <f t="array" ref="G29">SUMIFS(Данные!$D:$D,Данные!$B:$B,$A29,Данные!$E:$E,G$3,Данные!$A:$A,"&gt;="&amp;G$1,Данные!$A:$A,"&lt;="&amp;G$2)</f>
        <v>0</v>
      </c>
      <c r="H29" cm="1">
        <f t="array" ref="H29">SUMIFS(Данные!$D:$D,Данные!$B:$B,$A29,Данные!$E:$E,H$3,Данные!$A:$A,"&gt;="&amp;H$1,Данные!$A:$A,"&lt;="&amp;H$2)</f>
        <v>0</v>
      </c>
      <c r="I29" cm="1">
        <f t="array" ref="I29">SUMIFS(Данные!$D:$D,Данные!$B:$B,$A29,Данные!$E:$E,I$3,Данные!$A:$A,"&gt;="&amp;I$1,Данные!$A:$A,"&lt;="&amp;I$2)</f>
        <v>0</v>
      </c>
      <c r="J29" cm="1">
        <f t="array" ref="J29">SUMIFS(Данные!$D:$D,Данные!$B:$B,$A29,Данные!$E:$E,J$3,Данные!$A:$A,"&gt;="&amp;J$1,Данные!$A:$A,"&lt;="&amp;J$2)</f>
        <v>283986.55</v>
      </c>
      <c r="K29" cm="1">
        <f t="array" ref="K29">SUMIFS(Данные!$D:$D,Данные!$B:$B,$A29,Данные!$E:$E,K$3,Данные!$A:$A,"&gt;="&amp;K$1,Данные!$A:$A,"&lt;="&amp;K$2)</f>
        <v>0</v>
      </c>
      <c r="L29" cm="1">
        <f t="array" ref="L29">SUMIFS(Данные!$D:$D,Данные!$B:$B,$A29,Данные!$E:$E,L$3,Данные!$A:$A,"&gt;="&amp;L$1,Данные!$A:$A,"&lt;="&amp;L$2)</f>
        <v>0</v>
      </c>
      <c r="M29" cm="1">
        <f t="array" ref="M29">SUMIFS(Данные!$D:$D,Данные!$B:$B,$A29,Данные!$E:$E,M$3,Данные!$A:$A,"&gt;="&amp;M$1,Данные!$A:$A,"&lt;="&amp;M$2)</f>
        <v>315607.12</v>
      </c>
      <c r="N29" cm="1">
        <f t="array" ref="N29">SUMIFS(Данные!$D:$D,Данные!$B:$B,$A29,Данные!$E:$E,N$3,Данные!$A:$A,"&gt;="&amp;N$1,Данные!$A:$A,"&lt;="&amp;N$2)</f>
        <v>255552.73</v>
      </c>
      <c r="O29" cm="1">
        <f t="array" ref="O29">SUMIFS(Данные!$D:$D,Данные!$B:$B,$A29,Данные!$E:$E,O$3,Данные!$A:$A,"&gt;="&amp;O$1,Данные!$A:$A,"&lt;="&amp;O$2)</f>
        <v>0</v>
      </c>
      <c r="P29" cm="1">
        <f t="array" ref="P29">SUMIFS(Данные!$D:$D,Данные!$B:$B,$A29,Данные!$E:$E,P$3,Данные!$A:$A,"&gt;="&amp;P$1,Данные!$A:$A,"&lt;="&amp;P$2)</f>
        <v>0</v>
      </c>
      <c r="Q29" cm="1">
        <f t="array" ref="Q29">SUMIFS(Данные!$D:$D,Данные!$B:$B,$A29,Данные!$E:$E,Q$3,Данные!$A:$A,"&gt;="&amp;Q$1,Данные!$A:$A,"&lt;="&amp;Q$2)</f>
        <v>0</v>
      </c>
      <c r="R29" cm="1">
        <f t="array" ref="R29">SUMIFS(Данные!$D:$D,Данные!$B:$B,$A29,Данные!$E:$E,R$3,Данные!$A:$A,"&gt;="&amp;R$1,Данные!$A:$A,"&lt;="&amp;R$2)</f>
        <v>0</v>
      </c>
      <c r="S29" cm="1">
        <f t="array" ref="S29">SUMIFS(Данные!$D:$D,Данные!$B:$B,$A29,Данные!$E:$E,S$3,Данные!$A:$A,"&gt;="&amp;S$1,Данные!$A:$A,"&lt;="&amp;S$2)</f>
        <v>0</v>
      </c>
      <c r="T29" cm="1">
        <f t="array" ref="T29">SUMIFS(Данные!$D:$D,Данные!$B:$B,$A29,Данные!$E:$E,T$3,Данные!$A:$A,"&gt;="&amp;T$1,Данные!$A:$A,"&lt;="&amp;T$2)</f>
        <v>-67401.539999999994</v>
      </c>
      <c r="U29" cm="1">
        <f t="array" ref="U29">SUMIFS(Данные!$D:$D,Данные!$B:$B,$A29,Данные!$E:$E,U$3,Данные!$A:$A,"&gt;="&amp;U$1,Данные!$A:$A,"&lt;="&amp;U$2)</f>
        <v>0</v>
      </c>
      <c r="V29" cm="1">
        <f t="array" ref="V29">SUMIFS(Данные!$D:$D,Данные!$B:$B,$A29,Данные!$E:$E,V$3,Данные!$A:$A,"&gt;="&amp;V$1,Данные!$A:$A,"&lt;="&amp;V$2)</f>
        <v>0</v>
      </c>
      <c r="W29" cm="1">
        <f t="array" ref="W29">SUMIFS(Данные!$D:$D,Данные!$B:$B,$A29,Данные!$E:$E,W$3,Данные!$A:$A,"&gt;="&amp;W$1,Данные!$A:$A,"&lt;="&amp;W$2)</f>
        <v>0</v>
      </c>
      <c r="X29" cm="1">
        <f t="array" ref="X29">SUMIFS(Данные!$D:$D,Данные!$B:$B,$A29,Данные!$E:$E,X$3,Данные!$A:$A,"&gt;="&amp;X$1,Данные!$A:$A,"&lt;="&amp;X$2)</f>
        <v>0</v>
      </c>
      <c r="Y29" cm="1">
        <f t="array" ref="Y29">SUMIFS(Данные!$D:$D,Данные!$B:$B,$A29,Данные!$E:$E,Y$3,Данные!$A:$A,"&gt;="&amp;Y$1,Данные!$A:$A,"&lt;="&amp;Y$2)</f>
        <v>346144.14</v>
      </c>
      <c r="Z29" cm="1">
        <f t="array" ref="Z29">SUM(B29:Y29)</f>
        <v>1133889</v>
      </c>
    </row>
    <row r="30" spans="1:26" x14ac:dyDescent="0.2">
      <c r="A30" t="str" cm="1">
        <f t="array" ref="A30">Статьи!A24</f>
        <v>Ёлка 3</v>
      </c>
      <c r="B30" cm="1">
        <f t="array" ref="B30">SUMIFS(Данные!$D:$D,Данные!$B:$B,$A30,Данные!$E:$E,B$3,Данные!$A:$A,"&gt;="&amp;B$1,Данные!$A:$A,"&lt;="&amp;B$2)</f>
        <v>14732.38</v>
      </c>
      <c r="C30" cm="1">
        <f t="array" ref="C30">SUMIFS(Данные!$D:$D,Данные!$B:$B,$A30,Данные!$E:$E,C$3,Данные!$A:$A,"&gt;="&amp;C$1,Данные!$A:$A,"&lt;="&amp;C$2)</f>
        <v>365103.84</v>
      </c>
      <c r="D30" cm="1">
        <f t="array" ref="D30">SUMIFS(Данные!$D:$D,Данные!$B:$B,$A30,Данные!$E:$E,D$3,Данные!$A:$A,"&gt;="&amp;D$1,Данные!$A:$A,"&lt;="&amp;D$2)</f>
        <v>0</v>
      </c>
      <c r="E30" cm="1">
        <f t="array" ref="E30">SUMIFS(Данные!$D:$D,Данные!$B:$B,$A30,Данные!$E:$E,E$3,Данные!$A:$A,"&gt;="&amp;E$1,Данные!$A:$A,"&lt;="&amp;E$2)</f>
        <v>0</v>
      </c>
      <c r="F30" cm="1">
        <f t="array" ref="F30">SUMIFS(Данные!$D:$D,Данные!$B:$B,$A30,Данные!$E:$E,F$3,Данные!$A:$A,"&gt;="&amp;F$1,Данные!$A:$A,"&lt;="&amp;F$2)</f>
        <v>0</v>
      </c>
      <c r="G30" cm="1">
        <f t="array" ref="G30">SUMIFS(Данные!$D:$D,Данные!$B:$B,$A30,Данные!$E:$E,G$3,Данные!$A:$A,"&gt;="&amp;G$1,Данные!$A:$A,"&lt;="&amp;G$2)</f>
        <v>0</v>
      </c>
      <c r="H30" cm="1">
        <f t="array" ref="H30">SUMIFS(Данные!$D:$D,Данные!$B:$B,$A30,Данные!$E:$E,H$3,Данные!$A:$A,"&gt;="&amp;H$1,Данные!$A:$A,"&lt;="&amp;H$2)</f>
        <v>0</v>
      </c>
      <c r="I30" cm="1">
        <f t="array" ref="I30">SUMIFS(Данные!$D:$D,Данные!$B:$B,$A30,Данные!$E:$E,I$3,Данные!$A:$A,"&gt;="&amp;I$1,Данные!$A:$A,"&lt;="&amp;I$2)</f>
        <v>0</v>
      </c>
      <c r="J30" cm="1">
        <f t="array" ref="J30">SUMIFS(Данные!$D:$D,Данные!$B:$B,$A30,Данные!$E:$E,J$3,Данные!$A:$A,"&gt;="&amp;J$1,Данные!$A:$A,"&lt;="&amp;J$2)</f>
        <v>0</v>
      </c>
      <c r="K30" cm="1">
        <f t="array" ref="K30">SUMIFS(Данные!$D:$D,Данные!$B:$B,$A30,Данные!$E:$E,K$3,Данные!$A:$A,"&gt;="&amp;K$1,Данные!$A:$A,"&lt;="&amp;K$2)</f>
        <v>1881715052.29</v>
      </c>
      <c r="L30" cm="1">
        <f t="array" ref="L30">SUMIFS(Данные!$D:$D,Данные!$B:$B,$A30,Данные!$E:$E,L$3,Данные!$A:$A,"&gt;="&amp;L$1,Данные!$A:$A,"&lt;="&amp;L$2)</f>
        <v>0</v>
      </c>
      <c r="M30" cm="1">
        <f t="array" ref="M30">SUMIFS(Данные!$D:$D,Данные!$B:$B,$A30,Данные!$E:$E,M$3,Данные!$A:$A,"&gt;="&amp;M$1,Данные!$A:$A,"&lt;="&amp;M$2)</f>
        <v>185018.89</v>
      </c>
      <c r="N30" cm="1">
        <f t="array" ref="N30">SUMIFS(Данные!$D:$D,Данные!$B:$B,$A30,Данные!$E:$E,N$3,Данные!$A:$A,"&gt;="&amp;N$1,Данные!$A:$A,"&lt;="&amp;N$2)</f>
        <v>0</v>
      </c>
      <c r="O30" cm="1">
        <f t="array" ref="O30">SUMIFS(Данные!$D:$D,Данные!$B:$B,$A30,Данные!$E:$E,O$3,Данные!$A:$A,"&gt;="&amp;O$1,Данные!$A:$A,"&lt;="&amp;O$2)</f>
        <v>0</v>
      </c>
      <c r="P30" cm="1">
        <f t="array" ref="P30">SUMIFS(Данные!$D:$D,Данные!$B:$B,$A30,Данные!$E:$E,P$3,Данные!$A:$A,"&gt;="&amp;P$1,Данные!$A:$A,"&lt;="&amp;P$2)</f>
        <v>170040.1</v>
      </c>
      <c r="Q30" cm="1">
        <f t="array" ref="Q30">SUMIFS(Данные!$D:$D,Данные!$B:$B,$A30,Данные!$E:$E,Q$3,Данные!$A:$A,"&gt;="&amp;Q$1,Данные!$A:$A,"&lt;="&amp;Q$2)</f>
        <v>344795.87</v>
      </c>
      <c r="R30" cm="1">
        <f t="array" ref="R30">SUMIFS(Данные!$D:$D,Данные!$B:$B,$A30,Данные!$E:$E,R$3,Данные!$A:$A,"&gt;="&amp;R$1,Данные!$A:$A,"&lt;="&amp;R$2)</f>
        <v>314911.65999999997</v>
      </c>
      <c r="S30" cm="1">
        <f t="array" ref="S30">SUMIFS(Данные!$D:$D,Данные!$B:$B,$A30,Данные!$E:$E,S$3,Данные!$A:$A,"&gt;="&amp;S$1,Данные!$A:$A,"&lt;="&amp;S$2)</f>
        <v>0</v>
      </c>
      <c r="T30" cm="1">
        <f t="array" ref="T30">SUMIFS(Данные!$D:$D,Данные!$B:$B,$A30,Данные!$E:$E,T$3,Данные!$A:$A,"&gt;="&amp;T$1,Данные!$A:$A,"&lt;="&amp;T$2)</f>
        <v>0</v>
      </c>
      <c r="U30" cm="1">
        <f t="array" ref="U30">SUMIFS(Данные!$D:$D,Данные!$B:$B,$A30,Данные!$E:$E,U$3,Данные!$A:$A,"&gt;="&amp;U$1,Данные!$A:$A,"&lt;="&amp;U$2)</f>
        <v>-63509.63</v>
      </c>
      <c r="V30" cm="1">
        <f t="array" ref="V30">SUMIFS(Данные!$D:$D,Данные!$B:$B,$A30,Данные!$E:$E,V$3,Данные!$A:$A,"&gt;="&amp;V$1,Данные!$A:$A,"&lt;="&amp;V$2)</f>
        <v>0</v>
      </c>
      <c r="W30" cm="1">
        <f t="array" ref="W30">SUMIFS(Данные!$D:$D,Данные!$B:$B,$A30,Данные!$E:$E,W$3,Данные!$A:$A,"&gt;="&amp;W$1,Данные!$A:$A,"&lt;="&amp;W$2)</f>
        <v>-58420.79</v>
      </c>
      <c r="X30" cm="1">
        <f t="array" ref="X30">SUMIFS(Данные!$D:$D,Данные!$B:$B,$A30,Данные!$E:$E,X$3,Данные!$A:$A,"&gt;="&amp;X$1,Данные!$A:$A,"&lt;="&amp;X$2)</f>
        <v>-76555.960000000006</v>
      </c>
      <c r="Y30" cm="1">
        <f t="array" ref="Y30">SUMIFS(Данные!$D:$D,Данные!$B:$B,$A30,Данные!$E:$E,Y$3,Данные!$A:$A,"&gt;="&amp;Y$1,Данные!$A:$A,"&lt;="&amp;Y$2)</f>
        <v>164087.92000000001</v>
      </c>
      <c r="Z30" cm="1">
        <f t="array" ref="Z30">SUM(B30:Y30)</f>
        <v>1883075256.5699999</v>
      </c>
    </row>
    <row r="31" spans="1:26" x14ac:dyDescent="0.2">
      <c r="A31" t="str" cm="1">
        <f t="array" ref="A31">Статьи!A25</f>
        <v>Елка 3</v>
      </c>
      <c r="B31" cm="1">
        <f t="array" ref="B31">SUMIFS(Данные!$D:$D,Данные!$B:$B,$A31,Данные!$E:$E,B$3,Данные!$A:$A,"&gt;="&amp;B$1,Данные!$A:$A,"&lt;="&amp;B$2)</f>
        <v>0</v>
      </c>
      <c r="C31" cm="1">
        <f t="array" ref="C31">SUMIFS(Данные!$D:$D,Данные!$B:$B,$A31,Данные!$E:$E,C$3,Данные!$A:$A,"&gt;="&amp;C$1,Данные!$A:$A,"&lt;="&amp;C$2)</f>
        <v>0</v>
      </c>
      <c r="D31" cm="1">
        <f t="array" ref="D31">SUMIFS(Данные!$D:$D,Данные!$B:$B,$A31,Данные!$E:$E,D$3,Данные!$A:$A,"&gt;="&amp;D$1,Данные!$A:$A,"&lt;="&amp;D$2)</f>
        <v>0</v>
      </c>
      <c r="E31" cm="1">
        <f t="array" ref="E31">SUMIFS(Данные!$D:$D,Данные!$B:$B,$A31,Данные!$E:$E,E$3,Данные!$A:$A,"&gt;="&amp;E$1,Данные!$A:$A,"&lt;="&amp;E$2)</f>
        <v>0</v>
      </c>
      <c r="F31" cm="1">
        <f t="array" ref="F31">SUMIFS(Данные!$D:$D,Данные!$B:$B,$A31,Данные!$E:$E,F$3,Данные!$A:$A,"&gt;="&amp;F$1,Данные!$A:$A,"&lt;="&amp;F$2)</f>
        <v>0</v>
      </c>
      <c r="G31" cm="1">
        <f t="array" ref="G31">SUMIFS(Данные!$D:$D,Данные!$B:$B,$A31,Данные!$E:$E,G$3,Данные!$A:$A,"&gt;="&amp;G$1,Данные!$A:$A,"&lt;="&amp;G$2)</f>
        <v>0</v>
      </c>
      <c r="H31" cm="1">
        <f t="array" ref="H31">SUMIFS(Данные!$D:$D,Данные!$B:$B,$A31,Данные!$E:$E,H$3,Данные!$A:$A,"&gt;="&amp;H$1,Данные!$A:$A,"&lt;="&amp;H$2)</f>
        <v>0</v>
      </c>
      <c r="I31" cm="1">
        <f t="array" ref="I31">SUMIFS(Данные!$D:$D,Данные!$B:$B,$A31,Данные!$E:$E,I$3,Данные!$A:$A,"&gt;="&amp;I$1,Данные!$A:$A,"&lt;="&amp;I$2)</f>
        <v>138812.72</v>
      </c>
      <c r="J31" cm="1">
        <f t="array" ref="J31">SUMIFS(Данные!$D:$D,Данные!$B:$B,$A31,Данные!$E:$E,J$3,Данные!$A:$A,"&gt;="&amp;J$1,Данные!$A:$A,"&lt;="&amp;J$2)</f>
        <v>38193.870000000003</v>
      </c>
      <c r="K31" cm="1">
        <f t="array" ref="K31">SUMIFS(Данные!$D:$D,Данные!$B:$B,$A31,Данные!$E:$E,K$3,Данные!$A:$A,"&gt;="&amp;K$1,Данные!$A:$A,"&lt;="&amp;K$2)</f>
        <v>0</v>
      </c>
      <c r="L31" cm="1">
        <f t="array" ref="L31">SUMIFS(Данные!$D:$D,Данные!$B:$B,$A31,Данные!$E:$E,L$3,Данные!$A:$A,"&gt;="&amp;L$1,Данные!$A:$A,"&lt;="&amp;L$2)</f>
        <v>0</v>
      </c>
      <c r="M31" cm="1">
        <f t="array" ref="M31">SUMIFS(Данные!$D:$D,Данные!$B:$B,$A31,Данные!$E:$E,M$3,Данные!$A:$A,"&gt;="&amp;M$1,Данные!$A:$A,"&lt;="&amp;M$2)</f>
        <v>0</v>
      </c>
      <c r="N31" cm="1">
        <f t="array" ref="N31">SUMIFS(Данные!$D:$D,Данные!$B:$B,$A31,Данные!$E:$E,N$3,Данные!$A:$A,"&gt;="&amp;N$1,Данные!$A:$A,"&lt;="&amp;N$2)</f>
        <v>0</v>
      </c>
      <c r="O31" cm="1">
        <f t="array" ref="O31">SUMIFS(Данные!$D:$D,Данные!$B:$B,$A31,Данные!$E:$E,O$3,Данные!$A:$A,"&gt;="&amp;O$1,Данные!$A:$A,"&lt;="&amp;O$2)</f>
        <v>0</v>
      </c>
      <c r="P31" cm="1">
        <f t="array" ref="P31">SUMIFS(Данные!$D:$D,Данные!$B:$B,$A31,Данные!$E:$E,P$3,Данные!$A:$A,"&gt;="&amp;P$1,Данные!$A:$A,"&lt;="&amp;P$2)</f>
        <v>1281517219.9400001</v>
      </c>
      <c r="Q31" cm="1">
        <f t="array" ref="Q31">SUMIFS(Данные!$D:$D,Данные!$B:$B,$A31,Данные!$E:$E,Q$3,Данные!$A:$A,"&gt;="&amp;Q$1,Данные!$A:$A,"&lt;="&amp;Q$2)</f>
        <v>0</v>
      </c>
      <c r="R31" cm="1">
        <f t="array" ref="R31">SUMIFS(Данные!$D:$D,Данные!$B:$B,$A31,Данные!$E:$E,R$3,Данные!$A:$A,"&gt;="&amp;R$1,Данные!$A:$A,"&lt;="&amp;R$2)</f>
        <v>0</v>
      </c>
      <c r="S31" cm="1">
        <f t="array" ref="S31">SUMIFS(Данные!$D:$D,Данные!$B:$B,$A31,Данные!$E:$E,S$3,Данные!$A:$A,"&gt;="&amp;S$1,Данные!$A:$A,"&lt;="&amp;S$2)</f>
        <v>0</v>
      </c>
      <c r="T31" cm="1">
        <f t="array" ref="T31">SUMIFS(Данные!$D:$D,Данные!$B:$B,$A31,Данные!$E:$E,T$3,Данные!$A:$A,"&gt;="&amp;T$1,Данные!$A:$A,"&lt;="&amp;T$2)</f>
        <v>96889.02</v>
      </c>
      <c r="U31" cm="1">
        <f t="array" ref="U31">SUMIFS(Данные!$D:$D,Данные!$B:$B,$A31,Данные!$E:$E,U$3,Данные!$A:$A,"&gt;="&amp;U$1,Данные!$A:$A,"&lt;="&amp;U$2)</f>
        <v>-46189.52</v>
      </c>
      <c r="V31" cm="1">
        <f t="array" ref="V31">SUMIFS(Данные!$D:$D,Данные!$B:$B,$A31,Данные!$E:$E,V$3,Данные!$A:$A,"&gt;="&amp;V$1,Данные!$A:$A,"&lt;="&amp;V$2)</f>
        <v>272528.21999999997</v>
      </c>
      <c r="W31" cm="1">
        <f t="array" ref="W31">SUMIFS(Данные!$D:$D,Данные!$B:$B,$A31,Данные!$E:$E,W$3,Данные!$A:$A,"&gt;="&amp;W$1,Данные!$A:$A,"&lt;="&amp;W$2)</f>
        <v>0</v>
      </c>
      <c r="X31" cm="1">
        <f t="array" ref="X31">SUMIFS(Данные!$D:$D,Данные!$B:$B,$A31,Данные!$E:$E,X$3,Данные!$A:$A,"&gt;="&amp;X$1,Данные!$A:$A,"&lt;="&amp;X$2)</f>
        <v>0</v>
      </c>
      <c r="Y31" cm="1">
        <f t="array" ref="Y31">SUMIFS(Данные!$D:$D,Данные!$B:$B,$A31,Данные!$E:$E,Y$3,Данные!$A:$A,"&gt;="&amp;Y$1,Данные!$A:$A,"&lt;="&amp;Y$2)</f>
        <v>0</v>
      </c>
      <c r="Z31" cm="1">
        <f t="array" ref="Z31">SUM(B31:Y31)</f>
        <v>1282017454.25</v>
      </c>
    </row>
    <row r="32" spans="1:26" x14ac:dyDescent="0.2">
      <c r="A32" t="str" cm="1">
        <f t="array" ref="A32">Статьи!A26</f>
        <v>Аренда 3</v>
      </c>
      <c r="B32" cm="1">
        <f t="array" ref="B32">SUMIFS(Данные!$D:$D,Данные!$B:$B,$A32,Данные!$E:$E,B$3,Данные!$A:$A,"&gt;="&amp;B$1,Данные!$A:$A,"&lt;="&amp;B$2)</f>
        <v>0</v>
      </c>
      <c r="C32" cm="1">
        <f t="array" ref="C32">SUMIFS(Данные!$D:$D,Данные!$B:$B,$A32,Данные!$E:$E,C$3,Данные!$A:$A,"&gt;="&amp;C$1,Данные!$A:$A,"&lt;="&amp;C$2)</f>
        <v>0</v>
      </c>
      <c r="D32" cm="1">
        <f t="array" ref="D32">SUMIFS(Данные!$D:$D,Данные!$B:$B,$A32,Данные!$E:$E,D$3,Данные!$A:$A,"&gt;="&amp;D$1,Данные!$A:$A,"&lt;="&amp;D$2)</f>
        <v>0</v>
      </c>
      <c r="E32" cm="1">
        <f t="array" ref="E32">SUMIFS(Данные!$D:$D,Данные!$B:$B,$A32,Данные!$E:$E,E$3,Данные!$A:$A,"&gt;="&amp;E$1,Данные!$A:$A,"&lt;="&amp;E$2)</f>
        <v>0</v>
      </c>
      <c r="F32" cm="1">
        <f t="array" ref="F32">SUMIFS(Данные!$D:$D,Данные!$B:$B,$A32,Данные!$E:$E,F$3,Данные!$A:$A,"&gt;="&amp;F$1,Данные!$A:$A,"&lt;="&amp;F$2)</f>
        <v>0</v>
      </c>
      <c r="G32" cm="1">
        <f t="array" ref="G32">SUMIFS(Данные!$D:$D,Данные!$B:$B,$A32,Данные!$E:$E,G$3,Данные!$A:$A,"&gt;="&amp;G$1,Данные!$A:$A,"&lt;="&amp;G$2)</f>
        <v>0</v>
      </c>
      <c r="H32" cm="1">
        <f t="array" ref="H32">SUMIFS(Данные!$D:$D,Данные!$B:$B,$A32,Данные!$E:$E,H$3,Данные!$A:$A,"&gt;="&amp;H$1,Данные!$A:$A,"&lt;="&amp;H$2)</f>
        <v>0</v>
      </c>
      <c r="I32" cm="1">
        <f t="array" ref="I32">SUMIFS(Данные!$D:$D,Данные!$B:$B,$A32,Данные!$E:$E,I$3,Данные!$A:$A,"&gt;="&amp;I$1,Данные!$A:$A,"&lt;="&amp;I$2)</f>
        <v>373909.42</v>
      </c>
      <c r="J32" cm="1">
        <f t="array" ref="J32">SUMIFS(Данные!$D:$D,Данные!$B:$B,$A32,Данные!$E:$E,J$3,Данные!$A:$A,"&gt;="&amp;J$1,Данные!$A:$A,"&lt;="&amp;J$2)</f>
        <v>-2930.33</v>
      </c>
      <c r="K32" cm="1">
        <f t="array" ref="K32">SUMIFS(Данные!$D:$D,Данные!$B:$B,$A32,Данные!$E:$E,K$3,Данные!$A:$A,"&gt;="&amp;K$1,Данные!$A:$A,"&lt;="&amp;K$2)</f>
        <v>0</v>
      </c>
      <c r="L32" cm="1">
        <f t="array" ref="L32">SUMIFS(Данные!$D:$D,Данные!$B:$B,$A32,Данные!$E:$E,L$3,Данные!$A:$A,"&gt;="&amp;L$1,Данные!$A:$A,"&lt;="&amp;L$2)</f>
        <v>376896.25</v>
      </c>
      <c r="M32" cm="1">
        <f t="array" ref="M32">SUMIFS(Данные!$D:$D,Данные!$B:$B,$A32,Данные!$E:$E,M$3,Данные!$A:$A,"&gt;="&amp;M$1,Данные!$A:$A,"&lt;="&amp;M$2)</f>
        <v>0</v>
      </c>
      <c r="N32" cm="1">
        <f t="array" ref="N32">SUMIFS(Данные!$D:$D,Данные!$B:$B,$A32,Данные!$E:$E,N$3,Данные!$A:$A,"&gt;="&amp;N$1,Данные!$A:$A,"&lt;="&amp;N$2)</f>
        <v>0</v>
      </c>
      <c r="O32" cm="1">
        <f t="array" ref="O32">SUMIFS(Данные!$D:$D,Данные!$B:$B,$A32,Данные!$E:$E,O$3,Данные!$A:$A,"&gt;="&amp;O$1,Данные!$A:$A,"&lt;="&amp;O$2)</f>
        <v>0</v>
      </c>
      <c r="P32" cm="1">
        <f t="array" ref="P32">SUMIFS(Данные!$D:$D,Данные!$B:$B,$A32,Данные!$E:$E,P$3,Данные!$A:$A,"&gt;="&amp;P$1,Данные!$A:$A,"&lt;="&amp;P$2)</f>
        <v>0</v>
      </c>
      <c r="Q32" cm="1">
        <f t="array" ref="Q32">SUMIFS(Данные!$D:$D,Данные!$B:$B,$A32,Данные!$E:$E,Q$3,Данные!$A:$A,"&gt;="&amp;Q$1,Данные!$A:$A,"&lt;="&amp;Q$2)</f>
        <v>0</v>
      </c>
      <c r="R32" cm="1">
        <f t="array" ref="R32">SUMIFS(Данные!$D:$D,Данные!$B:$B,$A32,Данные!$E:$E,R$3,Данные!$A:$A,"&gt;="&amp;R$1,Данные!$A:$A,"&lt;="&amp;R$2)</f>
        <v>0</v>
      </c>
      <c r="S32" cm="1">
        <f t="array" ref="S32">SUMIFS(Данные!$D:$D,Данные!$B:$B,$A32,Данные!$E:$E,S$3,Данные!$A:$A,"&gt;="&amp;S$1,Данные!$A:$A,"&lt;="&amp;S$2)</f>
        <v>0</v>
      </c>
      <c r="T32" cm="1">
        <f t="array" ref="T32">SUMIFS(Данные!$D:$D,Данные!$B:$B,$A32,Данные!$E:$E,T$3,Данные!$A:$A,"&gt;="&amp;T$1,Данные!$A:$A,"&lt;="&amp;T$2)</f>
        <v>0</v>
      </c>
      <c r="U32" cm="1">
        <f t="array" ref="U32">SUMIFS(Данные!$D:$D,Данные!$B:$B,$A32,Данные!$E:$E,U$3,Данные!$A:$A,"&gt;="&amp;U$1,Данные!$A:$A,"&lt;="&amp;U$2)</f>
        <v>832180.4</v>
      </c>
      <c r="V32" cm="1">
        <f t="array" ref="V32">SUMIFS(Данные!$D:$D,Данные!$B:$B,$A32,Данные!$E:$E,V$3,Данные!$A:$A,"&gt;="&amp;V$1,Данные!$A:$A,"&lt;="&amp;V$2)</f>
        <v>311123.45</v>
      </c>
      <c r="W32" cm="1">
        <f t="array" ref="W32">SUMIFS(Данные!$D:$D,Данные!$B:$B,$A32,Данные!$E:$E,W$3,Данные!$A:$A,"&gt;="&amp;W$1,Данные!$A:$A,"&lt;="&amp;W$2)</f>
        <v>0</v>
      </c>
      <c r="X32" cm="1">
        <f t="array" ref="X32">SUMIFS(Данные!$D:$D,Данные!$B:$B,$A32,Данные!$E:$E,X$3,Данные!$A:$A,"&gt;="&amp;X$1,Данные!$A:$A,"&lt;="&amp;X$2)</f>
        <v>0</v>
      </c>
      <c r="Y32" cm="1">
        <f t="array" ref="Y32">SUMIFS(Данные!$D:$D,Данные!$B:$B,$A32,Данные!$E:$E,Y$3,Данные!$A:$A,"&gt;="&amp;Y$1,Данные!$A:$A,"&lt;="&amp;Y$2)</f>
        <v>0</v>
      </c>
      <c r="Z32" cm="1">
        <f t="array" ref="Z32">SUM(B32:Y32)</f>
        <v>1891179.19</v>
      </c>
    </row>
    <row r="33" spans="1:26" x14ac:dyDescent="0.2">
      <c r="A33" t="s">
        <v>463</v>
      </c>
      <c r="B33" cm="1">
        <f t="array" ref="B33">SUM(B28:B32)</f>
        <v>14732.38</v>
      </c>
      <c r="C33" cm="1">
        <f t="array" ref="C33">SUM(C28:C32)</f>
        <v>421710.46</v>
      </c>
      <c r="D33" cm="1">
        <f t="array" ref="D33">SUM(D28:D32)</f>
        <v>0</v>
      </c>
      <c r="E33" cm="1">
        <f t="array" ref="E33">SUM(E28:E32)</f>
        <v>0</v>
      </c>
      <c r="F33" cm="1">
        <f t="array" ref="F33">SUM(F28:F32)</f>
        <v>-5034.2299999999996</v>
      </c>
      <c r="G33" cm="1">
        <f t="array" ref="G33">SUM(G28:G32)</f>
        <v>270595.84000000003</v>
      </c>
      <c r="H33" cm="1">
        <f t="array" ref="H33">SUM(H28:H32)</f>
        <v>0</v>
      </c>
      <c r="I33" cm="1">
        <f t="array" ref="I33">SUM(I28:I32)</f>
        <v>948128.23</v>
      </c>
      <c r="J33" cm="1">
        <f t="array" ref="J33">SUM(J28:J32)</f>
        <v>319250.08999999997</v>
      </c>
      <c r="K33" cm="1">
        <f t="array" ref="K33">SUM(K28:K32)</f>
        <v>1881787196.3599999</v>
      </c>
      <c r="L33" cm="1">
        <f t="array" ref="L33">SUM(L28:L32)</f>
        <v>376896.25</v>
      </c>
      <c r="M33" cm="1">
        <f t="array" ref="M33">SUM(M28:M32)</f>
        <v>500626.01</v>
      </c>
      <c r="N33" cm="1">
        <f t="array" ref="N33">SUM(N28:N32)</f>
        <v>481161.35</v>
      </c>
      <c r="O33" cm="1">
        <f t="array" ref="O33">SUM(O28:O32)</f>
        <v>0</v>
      </c>
      <c r="P33" cm="1">
        <f t="array" ref="P33">SUM(P28:P32)</f>
        <v>1281687260.04</v>
      </c>
      <c r="Q33" cm="1">
        <f t="array" ref="Q33">SUM(Q28:Q32)</f>
        <v>344795.87</v>
      </c>
      <c r="R33" cm="1">
        <f t="array" ref="R33">SUM(R28:R32)</f>
        <v>275522.86</v>
      </c>
      <c r="S33" cm="1">
        <f t="array" ref="S33">SUM(S28:S32)</f>
        <v>355280.64000000001</v>
      </c>
      <c r="T33" cm="1">
        <f t="array" ref="T33">SUM(T28:T32)</f>
        <v>29487.48000000001</v>
      </c>
      <c r="U33" cm="1">
        <f t="array" ref="U33">SUM(U28:U32)</f>
        <v>722481.25</v>
      </c>
      <c r="V33" cm="1">
        <f t="array" ref="V33">SUM(V28:V32)</f>
        <v>583651.66999999993</v>
      </c>
      <c r="W33" cm="1">
        <f t="array" ref="W33">SUM(W28:W32)</f>
        <v>-58420.79</v>
      </c>
      <c r="X33" cm="1">
        <f t="array" ref="X33">SUM(X28:X32)</f>
        <v>221704.11</v>
      </c>
      <c r="Y33" cm="1">
        <f t="array" ref="Y33">SUM(Y28:Y32)</f>
        <v>510232.06000000006</v>
      </c>
      <c r="Z33" cm="1">
        <f t="array" ref="Z33">SUM(Z28:Z32)</f>
        <v>3169787257.9299998</v>
      </c>
    </row>
    <row r="34" spans="1:26" x14ac:dyDescent="0.2">
      <c r="A34" t="str" cm="1">
        <f t="array" ref="A34">Статьи!A27</f>
        <v>Связь 3</v>
      </c>
      <c r="B34" cm="1">
        <f t="array" ref="B34">SUMIFS(Данные!$D:$D,Данные!$B:$B,$A34,Данные!$E:$E,B$3,Данные!$A:$A,"&gt;="&amp;B$1,Данные!$A:$A,"&lt;="&amp;B$2)</f>
        <v>0</v>
      </c>
      <c r="C34" cm="1">
        <f t="array" ref="C34">SUMIFS(Данные!$D:$D,Данные!$B:$B,$A34,Данные!$E:$E,C$3,Данные!$A:$A,"&gt;="&amp;C$1,Данные!$A:$A,"&lt;="&amp;C$2)</f>
        <v>27521.77</v>
      </c>
      <c r="D34" cm="1">
        <f t="array" ref="D34">SUMIFS(Данные!$D:$D,Данные!$B:$B,$A34,Данные!$E:$E,D$3,Данные!$A:$A,"&gt;="&amp;D$1,Данные!$A:$A,"&lt;="&amp;D$2)</f>
        <v>0</v>
      </c>
      <c r="E34" cm="1">
        <f t="array" ref="E34">SUMIFS(Данные!$D:$D,Данные!$B:$B,$A34,Данные!$E:$E,E$3,Данные!$A:$A,"&gt;="&amp;E$1,Данные!$A:$A,"&lt;="&amp;E$2)</f>
        <v>0</v>
      </c>
      <c r="F34" cm="1">
        <f t="array" ref="F34">SUMIFS(Данные!$D:$D,Данные!$B:$B,$A34,Данные!$E:$E,F$3,Данные!$A:$A,"&gt;="&amp;F$1,Данные!$A:$A,"&lt;="&amp;F$2)</f>
        <v>0</v>
      </c>
      <c r="G34" cm="1">
        <f t="array" ref="G34">SUMIFS(Данные!$D:$D,Данные!$B:$B,$A34,Данные!$E:$E,G$3,Данные!$A:$A,"&gt;="&amp;G$1,Данные!$A:$A,"&lt;="&amp;G$2)</f>
        <v>0</v>
      </c>
      <c r="H34" cm="1">
        <f t="array" ref="H34">SUMIFS(Данные!$D:$D,Данные!$B:$B,$A34,Данные!$E:$E,H$3,Данные!$A:$A,"&gt;="&amp;H$1,Данные!$A:$A,"&lt;="&amp;H$2)</f>
        <v>0</v>
      </c>
      <c r="I34" cm="1">
        <f t="array" ref="I34">SUMIFS(Данные!$D:$D,Данные!$B:$B,$A34,Данные!$E:$E,I$3,Данные!$A:$A,"&gt;="&amp;I$1,Данные!$A:$A,"&lt;="&amp;I$2)</f>
        <v>190699</v>
      </c>
      <c r="J34" cm="1">
        <f t="array" ref="J34">SUMIFS(Данные!$D:$D,Данные!$B:$B,$A34,Данные!$E:$E,J$3,Данные!$A:$A,"&gt;="&amp;J$1,Данные!$A:$A,"&lt;="&amp;J$2)</f>
        <v>0</v>
      </c>
      <c r="K34" cm="1">
        <f t="array" ref="K34">SUMIFS(Данные!$D:$D,Данные!$B:$B,$A34,Данные!$E:$E,K$3,Данные!$A:$A,"&gt;="&amp;K$1,Данные!$A:$A,"&lt;="&amp;K$2)</f>
        <v>93549.25</v>
      </c>
      <c r="L34" cm="1">
        <f t="array" ref="L34">SUMIFS(Данные!$D:$D,Данные!$B:$B,$A34,Данные!$E:$E,L$3,Данные!$A:$A,"&gt;="&amp;L$1,Данные!$A:$A,"&lt;="&amp;L$2)</f>
        <v>0</v>
      </c>
      <c r="M34" cm="1">
        <f t="array" ref="M34">SUMIFS(Данные!$D:$D,Данные!$B:$B,$A34,Данные!$E:$E,M$3,Данные!$A:$A,"&gt;="&amp;M$1,Данные!$A:$A,"&lt;="&amp;M$2)</f>
        <v>369197.94</v>
      </c>
      <c r="N34" cm="1">
        <f t="array" ref="N34">SUMIFS(Данные!$D:$D,Данные!$B:$B,$A34,Данные!$E:$E,N$3,Данные!$A:$A,"&gt;="&amp;N$1,Данные!$A:$A,"&lt;="&amp;N$2)</f>
        <v>132793.60999999999</v>
      </c>
      <c r="O34" cm="1">
        <f t="array" ref="O34">SUMIFS(Данные!$D:$D,Данные!$B:$B,$A34,Данные!$E:$E,O$3,Данные!$A:$A,"&gt;="&amp;O$1,Данные!$A:$A,"&lt;="&amp;O$2)</f>
        <v>0</v>
      </c>
      <c r="P34" cm="1">
        <f t="array" ref="P34">SUMIFS(Данные!$D:$D,Данные!$B:$B,$A34,Данные!$E:$E,P$3,Данные!$A:$A,"&gt;="&amp;P$1,Данные!$A:$A,"&lt;="&amp;P$2)</f>
        <v>369453.23</v>
      </c>
      <c r="Q34" cm="1">
        <f t="array" ref="Q34">SUMIFS(Данные!$D:$D,Данные!$B:$B,$A34,Данные!$E:$E,Q$3,Данные!$A:$A,"&gt;="&amp;Q$1,Данные!$A:$A,"&lt;="&amp;Q$2)</f>
        <v>24029.74</v>
      </c>
      <c r="R34" cm="1">
        <f t="array" ref="R34">SUMIFS(Данные!$D:$D,Данные!$B:$B,$A34,Данные!$E:$E,R$3,Данные!$A:$A,"&gt;="&amp;R$1,Данные!$A:$A,"&lt;="&amp;R$2)</f>
        <v>0</v>
      </c>
      <c r="S34" cm="1">
        <f t="array" ref="S34">SUMIFS(Данные!$D:$D,Данные!$B:$B,$A34,Данные!$E:$E,S$3,Данные!$A:$A,"&gt;="&amp;S$1,Данные!$A:$A,"&lt;="&amp;S$2)</f>
        <v>0</v>
      </c>
      <c r="T34" cm="1">
        <f t="array" ref="T34">SUMIFS(Данные!$D:$D,Данные!$B:$B,$A34,Данные!$E:$E,T$3,Данные!$A:$A,"&gt;="&amp;T$1,Данные!$A:$A,"&lt;="&amp;T$2)</f>
        <v>0</v>
      </c>
      <c r="U34" cm="1">
        <f t="array" ref="U34">SUMIFS(Данные!$D:$D,Данные!$B:$B,$A34,Данные!$E:$E,U$3,Данные!$A:$A,"&gt;="&amp;U$1,Данные!$A:$A,"&lt;="&amp;U$2)</f>
        <v>0</v>
      </c>
      <c r="V34" cm="1">
        <f t="array" ref="V34">SUMIFS(Данные!$D:$D,Данные!$B:$B,$A34,Данные!$E:$E,V$3,Данные!$A:$A,"&gt;="&amp;V$1,Данные!$A:$A,"&lt;="&amp;V$2)</f>
        <v>153637.47</v>
      </c>
      <c r="W34" cm="1">
        <f t="array" ref="W34">SUMIFS(Данные!$D:$D,Данные!$B:$B,$A34,Данные!$E:$E,W$3,Данные!$A:$A,"&gt;="&amp;W$1,Данные!$A:$A,"&lt;="&amp;W$2)</f>
        <v>331731.76</v>
      </c>
      <c r="X34" cm="1">
        <f t="array" ref="X34">SUMIFS(Данные!$D:$D,Данные!$B:$B,$A34,Данные!$E:$E,X$3,Данные!$A:$A,"&gt;="&amp;X$1,Данные!$A:$A,"&lt;="&amp;X$2)</f>
        <v>159471.5</v>
      </c>
      <c r="Y34" cm="1">
        <f t="array" ref="Y34">SUMIFS(Данные!$D:$D,Данные!$B:$B,$A34,Данные!$E:$E,Y$3,Данные!$A:$A,"&gt;="&amp;Y$1,Данные!$A:$A,"&lt;="&amp;Y$2)</f>
        <v>0</v>
      </c>
      <c r="Z34" cm="1">
        <f t="array" ref="Z34">SUM(B34:Y34)</f>
        <v>1852085.2699999998</v>
      </c>
    </row>
    <row r="35" spans="1:26" x14ac:dyDescent="0.2">
      <c r="A35" t="str" cm="1">
        <f t="array" ref="A35">Статьи!A28</f>
        <v>Налог 3</v>
      </c>
      <c r="B35" cm="1">
        <f t="array" ref="B35">SUMIFS(Данные!$D:$D,Данные!$B:$B,$A35,Данные!$E:$E,B$3,Данные!$A:$A,"&gt;="&amp;B$1,Данные!$A:$A,"&lt;="&amp;B$2)</f>
        <v>0</v>
      </c>
      <c r="C35" cm="1">
        <f t="array" ref="C35">SUMIFS(Данные!$D:$D,Данные!$B:$B,$A35,Данные!$E:$E,C$3,Данные!$A:$A,"&gt;="&amp;C$1,Данные!$A:$A,"&lt;="&amp;C$2)</f>
        <v>0</v>
      </c>
      <c r="D35" cm="1">
        <f t="array" ref="D35">SUMIFS(Данные!$D:$D,Данные!$B:$B,$A35,Данные!$E:$E,D$3,Данные!$A:$A,"&gt;="&amp;D$1,Данные!$A:$A,"&lt;="&amp;D$2)</f>
        <v>0</v>
      </c>
      <c r="E35" cm="1">
        <f t="array" ref="E35">SUMIFS(Данные!$D:$D,Данные!$B:$B,$A35,Данные!$E:$E,E$3,Данные!$A:$A,"&gt;="&amp;E$1,Данные!$A:$A,"&lt;="&amp;E$2)</f>
        <v>-59194.5</v>
      </c>
      <c r="F35" cm="1">
        <f t="array" ref="F35">SUMIFS(Данные!$D:$D,Данные!$B:$B,$A35,Данные!$E:$E,F$3,Данные!$A:$A,"&gt;="&amp;F$1,Данные!$A:$A,"&lt;="&amp;F$2)</f>
        <v>0</v>
      </c>
      <c r="G35" cm="1">
        <f t="array" ref="G35">SUMIFS(Данные!$D:$D,Данные!$B:$B,$A35,Данные!$E:$E,G$3,Данные!$A:$A,"&gt;="&amp;G$1,Данные!$A:$A,"&lt;="&amp;G$2)</f>
        <v>0</v>
      </c>
      <c r="H35" cm="1">
        <f t="array" ref="H35">SUMIFS(Данные!$D:$D,Данные!$B:$B,$A35,Данные!$E:$E,H$3,Данные!$A:$A,"&gt;="&amp;H$1,Данные!$A:$A,"&lt;="&amp;H$2)</f>
        <v>0</v>
      </c>
      <c r="I35" cm="1">
        <f t="array" ref="I35">SUMIFS(Данные!$D:$D,Данные!$B:$B,$A35,Данные!$E:$E,I$3,Данные!$A:$A,"&gt;="&amp;I$1,Данные!$A:$A,"&lt;="&amp;I$2)</f>
        <v>0</v>
      </c>
      <c r="J35" cm="1">
        <f t="array" ref="J35">SUMIFS(Данные!$D:$D,Данные!$B:$B,$A35,Данные!$E:$E,J$3,Данные!$A:$A,"&gt;="&amp;J$1,Данные!$A:$A,"&lt;="&amp;J$2)</f>
        <v>0</v>
      </c>
      <c r="K35" cm="1">
        <f t="array" ref="K35">SUMIFS(Данные!$D:$D,Данные!$B:$B,$A35,Данные!$E:$E,K$3,Данные!$A:$A,"&gt;="&amp;K$1,Данные!$A:$A,"&lt;="&amp;K$2)</f>
        <v>280166.41000000003</v>
      </c>
      <c r="L35" cm="1">
        <f t="array" ref="L35">SUMIFS(Данные!$D:$D,Данные!$B:$B,$A35,Данные!$E:$E,L$3,Данные!$A:$A,"&gt;="&amp;L$1,Данные!$A:$A,"&lt;="&amp;L$2)</f>
        <v>0</v>
      </c>
      <c r="M35" cm="1">
        <f t="array" ref="M35">SUMIFS(Данные!$D:$D,Данные!$B:$B,$A35,Данные!$E:$E,M$3,Данные!$A:$A,"&gt;="&amp;M$1,Данные!$A:$A,"&lt;="&amp;M$2)</f>
        <v>0</v>
      </c>
      <c r="N35" cm="1">
        <f t="array" ref="N35">SUMIFS(Данные!$D:$D,Данные!$B:$B,$A35,Данные!$E:$E,N$3,Данные!$A:$A,"&gt;="&amp;N$1,Данные!$A:$A,"&lt;="&amp;N$2)</f>
        <v>0</v>
      </c>
      <c r="O35" cm="1">
        <f t="array" ref="O35">SUMIFS(Данные!$D:$D,Данные!$B:$B,$A35,Данные!$E:$E,O$3,Данные!$A:$A,"&gt;="&amp;O$1,Данные!$A:$A,"&lt;="&amp;O$2)</f>
        <v>0</v>
      </c>
      <c r="P35" cm="1">
        <f t="array" ref="P35">SUMIFS(Данные!$D:$D,Данные!$B:$B,$A35,Данные!$E:$E,P$3,Данные!$A:$A,"&gt;="&amp;P$1,Данные!$A:$A,"&lt;="&amp;P$2)</f>
        <v>295033.37</v>
      </c>
      <c r="Q35" cm="1">
        <f t="array" ref="Q35">SUMIFS(Данные!$D:$D,Данные!$B:$B,$A35,Данные!$E:$E,Q$3,Данные!$A:$A,"&gt;="&amp;Q$1,Данные!$A:$A,"&lt;="&amp;Q$2)</f>
        <v>0</v>
      </c>
      <c r="R35" cm="1">
        <f t="array" ref="R35">SUMIFS(Данные!$D:$D,Данные!$B:$B,$A35,Данные!$E:$E,R$3,Данные!$A:$A,"&gt;="&amp;R$1,Данные!$A:$A,"&lt;="&amp;R$2)</f>
        <v>0</v>
      </c>
      <c r="S35" cm="1">
        <f t="array" ref="S35">SUMIFS(Данные!$D:$D,Данные!$B:$B,$A35,Данные!$E:$E,S$3,Данные!$A:$A,"&gt;="&amp;S$1,Данные!$A:$A,"&lt;="&amp;S$2)</f>
        <v>0</v>
      </c>
      <c r="T35" cm="1">
        <f t="array" ref="T35">SUMIFS(Данные!$D:$D,Данные!$B:$B,$A35,Данные!$E:$E,T$3,Данные!$A:$A,"&gt;="&amp;T$1,Данные!$A:$A,"&lt;="&amp;T$2)</f>
        <v>0</v>
      </c>
      <c r="U35" cm="1">
        <f t="array" ref="U35">SUMIFS(Данные!$D:$D,Данные!$B:$B,$A35,Данные!$E:$E,U$3,Данные!$A:$A,"&gt;="&amp;U$1,Данные!$A:$A,"&lt;="&amp;U$2)</f>
        <v>176443.88</v>
      </c>
      <c r="V35" cm="1">
        <f t="array" ref="V35">SUMIFS(Данные!$D:$D,Данные!$B:$B,$A35,Данные!$E:$E,V$3,Данные!$A:$A,"&gt;="&amp;V$1,Данные!$A:$A,"&lt;="&amp;V$2)</f>
        <v>0</v>
      </c>
      <c r="W35" cm="1">
        <f t="array" ref="W35">SUMIFS(Данные!$D:$D,Данные!$B:$B,$A35,Данные!$E:$E,W$3,Данные!$A:$A,"&gt;="&amp;W$1,Данные!$A:$A,"&lt;="&amp;W$2)</f>
        <v>0</v>
      </c>
      <c r="X35" cm="1">
        <f t="array" ref="X35">SUMIFS(Данные!$D:$D,Данные!$B:$B,$A35,Данные!$E:$E,X$3,Данные!$A:$A,"&gt;="&amp;X$1,Данные!$A:$A,"&lt;="&amp;X$2)</f>
        <v>241153.62</v>
      </c>
      <c r="Y35" cm="1">
        <f t="array" ref="Y35">SUMIFS(Данные!$D:$D,Данные!$B:$B,$A35,Данные!$E:$E,Y$3,Данные!$A:$A,"&gt;="&amp;Y$1,Данные!$A:$A,"&lt;="&amp;Y$2)</f>
        <v>0</v>
      </c>
      <c r="Z35" cm="1">
        <f t="array" ref="Z35">SUM(B35:Y35)</f>
        <v>933602.78</v>
      </c>
    </row>
    <row r="36" spans="1:26" x14ac:dyDescent="0.2">
      <c r="A36" t="str" cm="1">
        <f t="array" ref="A36">Статьи!A29</f>
        <v>Доход 3</v>
      </c>
      <c r="B36" cm="1">
        <f t="array" ref="B36">SUMIFS(Данные!$D:$D,Данные!$B:$B,$A36,Данные!$E:$E,B$3,Данные!$A:$A,"&gt;="&amp;B$1,Данные!$A:$A,"&lt;="&amp;B$2)</f>
        <v>0</v>
      </c>
      <c r="C36" cm="1">
        <f t="array" ref="C36">SUMIFS(Данные!$D:$D,Данные!$B:$B,$A36,Данные!$E:$E,C$3,Данные!$A:$A,"&gt;="&amp;C$1,Данные!$A:$A,"&lt;="&amp;C$2)</f>
        <v>371061.55</v>
      </c>
      <c r="D36" cm="1">
        <f t="array" ref="D36">SUMIFS(Данные!$D:$D,Данные!$B:$B,$A36,Данные!$E:$E,D$3,Данные!$A:$A,"&gt;="&amp;D$1,Данные!$A:$A,"&lt;="&amp;D$2)</f>
        <v>50413.46</v>
      </c>
      <c r="E36" cm="1">
        <f t="array" ref="E36">SUMIFS(Данные!$D:$D,Данные!$B:$B,$A36,Данные!$E:$E,E$3,Данные!$A:$A,"&gt;="&amp;E$1,Данные!$A:$A,"&lt;="&amp;E$2)</f>
        <v>0</v>
      </c>
      <c r="F36" cm="1">
        <f t="array" ref="F36">SUMIFS(Данные!$D:$D,Данные!$B:$B,$A36,Данные!$E:$E,F$3,Данные!$A:$A,"&gt;="&amp;F$1,Данные!$A:$A,"&lt;="&amp;F$2)</f>
        <v>387270.57</v>
      </c>
      <c r="G36" cm="1">
        <f t="array" ref="G36">SUMIFS(Данные!$D:$D,Данные!$B:$B,$A36,Данные!$E:$E,G$3,Данные!$A:$A,"&gt;="&amp;G$1,Данные!$A:$A,"&lt;="&amp;G$2)</f>
        <v>0</v>
      </c>
      <c r="H36" cm="1">
        <f t="array" ref="H36">SUMIFS(Данные!$D:$D,Данные!$B:$B,$A36,Данные!$E:$E,H$3,Данные!$A:$A,"&gt;="&amp;H$1,Данные!$A:$A,"&lt;="&amp;H$2)</f>
        <v>0</v>
      </c>
      <c r="I36" cm="1">
        <f t="array" ref="I36">SUMIFS(Данные!$D:$D,Данные!$B:$B,$A36,Данные!$E:$E,I$3,Данные!$A:$A,"&gt;="&amp;I$1,Данные!$A:$A,"&lt;="&amp;I$2)</f>
        <v>-19894.29</v>
      </c>
      <c r="J36" cm="1">
        <f t="array" ref="J36">SUMIFS(Данные!$D:$D,Данные!$B:$B,$A36,Данные!$E:$E,J$3,Данные!$A:$A,"&gt;="&amp;J$1,Данные!$A:$A,"&lt;="&amp;J$2)</f>
        <v>320529.03999999998</v>
      </c>
      <c r="K36" cm="1">
        <f t="array" ref="K36">SUMIFS(Данные!$D:$D,Данные!$B:$B,$A36,Данные!$E:$E,K$3,Данные!$A:$A,"&gt;="&amp;K$1,Данные!$A:$A,"&lt;="&amp;K$2)</f>
        <v>0</v>
      </c>
      <c r="L36" cm="1">
        <f t="array" ref="L36">SUMIFS(Данные!$D:$D,Данные!$B:$B,$A36,Данные!$E:$E,L$3,Данные!$A:$A,"&gt;="&amp;L$1,Данные!$A:$A,"&lt;="&amp;L$2)</f>
        <v>0</v>
      </c>
      <c r="M36" cm="1">
        <f t="array" ref="M36">SUMIFS(Данные!$D:$D,Данные!$B:$B,$A36,Данные!$E:$E,M$3,Данные!$A:$A,"&gt;="&amp;M$1,Данные!$A:$A,"&lt;="&amp;M$2)</f>
        <v>0</v>
      </c>
      <c r="N36" cm="1">
        <f t="array" ref="N36">SUMIFS(Данные!$D:$D,Данные!$B:$B,$A36,Данные!$E:$E,N$3,Данные!$A:$A,"&gt;="&amp;N$1,Данные!$A:$A,"&lt;="&amp;N$2)</f>
        <v>218908.48</v>
      </c>
      <c r="O36" cm="1">
        <f t="array" ref="O36">SUMIFS(Данные!$D:$D,Данные!$B:$B,$A36,Данные!$E:$E,O$3,Данные!$A:$A,"&gt;="&amp;O$1,Данные!$A:$A,"&lt;="&amp;O$2)</f>
        <v>366017.63999999996</v>
      </c>
      <c r="P36" cm="1">
        <f t="array" ref="P36">SUMIFS(Данные!$D:$D,Данные!$B:$B,$A36,Данные!$E:$E,P$3,Данные!$A:$A,"&gt;="&amp;P$1,Данные!$A:$A,"&lt;="&amp;P$2)</f>
        <v>0</v>
      </c>
      <c r="Q36" cm="1">
        <f t="array" ref="Q36">SUMIFS(Данные!$D:$D,Данные!$B:$B,$A36,Данные!$E:$E,Q$3,Данные!$A:$A,"&gt;="&amp;Q$1,Данные!$A:$A,"&lt;="&amp;Q$2)</f>
        <v>0</v>
      </c>
      <c r="R36" cm="1">
        <f t="array" ref="R36">SUMIFS(Данные!$D:$D,Данные!$B:$B,$A36,Данные!$E:$E,R$3,Данные!$A:$A,"&gt;="&amp;R$1,Данные!$A:$A,"&lt;="&amp;R$2)</f>
        <v>0</v>
      </c>
      <c r="S36" cm="1">
        <f t="array" ref="S36">SUMIFS(Данные!$D:$D,Данные!$B:$B,$A36,Данные!$E:$E,S$3,Данные!$A:$A,"&gt;="&amp;S$1,Данные!$A:$A,"&lt;="&amp;S$2)</f>
        <v>46015.65</v>
      </c>
      <c r="T36" cm="1">
        <f t="array" ref="T36">SUMIFS(Данные!$D:$D,Данные!$B:$B,$A36,Данные!$E:$E,T$3,Данные!$A:$A,"&gt;="&amp;T$1,Данные!$A:$A,"&lt;="&amp;T$2)</f>
        <v>88918.33</v>
      </c>
      <c r="U36" cm="1">
        <f t="array" ref="U36">SUMIFS(Данные!$D:$D,Данные!$B:$B,$A36,Данные!$E:$E,U$3,Данные!$A:$A,"&gt;="&amp;U$1,Данные!$A:$A,"&lt;="&amp;U$2)</f>
        <v>245538.09</v>
      </c>
      <c r="V36" cm="1">
        <f t="array" ref="V36">SUMIFS(Данные!$D:$D,Данные!$B:$B,$A36,Данные!$E:$E,V$3,Данные!$A:$A,"&gt;="&amp;V$1,Данные!$A:$A,"&lt;="&amp;V$2)</f>
        <v>0</v>
      </c>
      <c r="W36" cm="1">
        <f t="array" ref="W36">SUMIFS(Данные!$D:$D,Данные!$B:$B,$A36,Данные!$E:$E,W$3,Данные!$A:$A,"&gt;="&amp;W$1,Данные!$A:$A,"&lt;="&amp;W$2)</f>
        <v>0</v>
      </c>
      <c r="X36" cm="1">
        <f t="array" ref="X36">SUMIFS(Данные!$D:$D,Данные!$B:$B,$A36,Данные!$E:$E,X$3,Данные!$A:$A,"&gt;="&amp;X$1,Данные!$A:$A,"&lt;="&amp;X$2)</f>
        <v>0</v>
      </c>
      <c r="Y36" cm="1">
        <f t="array" ref="Y36">SUMIFS(Данные!$D:$D,Данные!$B:$B,$A36,Данные!$E:$E,Y$3,Данные!$A:$A,"&gt;="&amp;Y$1,Данные!$A:$A,"&lt;="&amp;Y$2)</f>
        <v>-100543.09</v>
      </c>
      <c r="Z36" cm="1">
        <f t="array" ref="Z36">SUM(B36:Y36)</f>
        <v>1974235.43</v>
      </c>
    </row>
    <row r="37" spans="1:26" x14ac:dyDescent="0.2">
      <c r="A37" t="str" cm="1">
        <f t="array" ref="A37">Статьи!A30</f>
        <v>Сырьё 3</v>
      </c>
      <c r="B37" cm="1">
        <f t="array" ref="B37">SUMIFS(Данные!$D:$D,Данные!$B:$B,$A37,Данные!$E:$E,B$3,Данные!$A:$A,"&gt;="&amp;B$1,Данные!$A:$A,"&lt;="&amp;B$2)</f>
        <v>0</v>
      </c>
      <c r="C37" cm="1">
        <f t="array" ref="C37">SUMIFS(Данные!$D:$D,Данные!$B:$B,$A37,Данные!$E:$E,C$3,Данные!$A:$A,"&gt;="&amp;C$1,Данные!$A:$A,"&lt;="&amp;C$2)</f>
        <v>354518.59</v>
      </c>
      <c r="D37" cm="1">
        <f t="array" ref="D37">SUMIFS(Данные!$D:$D,Данные!$B:$B,$A37,Данные!$E:$E,D$3,Данные!$A:$A,"&gt;="&amp;D$1,Данные!$A:$A,"&lt;="&amp;D$2)</f>
        <v>204939.46</v>
      </c>
      <c r="E37" cm="1">
        <f t="array" ref="E37">SUMIFS(Данные!$D:$D,Данные!$B:$B,$A37,Данные!$E:$E,E$3,Данные!$A:$A,"&gt;="&amp;E$1,Данные!$A:$A,"&lt;="&amp;E$2)</f>
        <v>0</v>
      </c>
      <c r="F37" cm="1">
        <f t="array" ref="F37">SUMIFS(Данные!$D:$D,Данные!$B:$B,$A37,Данные!$E:$E,F$3,Данные!$A:$A,"&gt;="&amp;F$1,Данные!$A:$A,"&lt;="&amp;F$2)</f>
        <v>191368.37</v>
      </c>
      <c r="G37" cm="1">
        <f t="array" ref="G37">SUMIFS(Данные!$D:$D,Данные!$B:$B,$A37,Данные!$E:$E,G$3,Данные!$A:$A,"&gt;="&amp;G$1,Данные!$A:$A,"&lt;="&amp;G$2)</f>
        <v>0</v>
      </c>
      <c r="H37" cm="1">
        <f t="array" ref="H37">SUMIFS(Данные!$D:$D,Данные!$B:$B,$A37,Данные!$E:$E,H$3,Данные!$A:$A,"&gt;="&amp;H$1,Данные!$A:$A,"&lt;="&amp;H$2)</f>
        <v>0</v>
      </c>
      <c r="I37" cm="1">
        <f t="array" ref="I37">SUMIFS(Данные!$D:$D,Данные!$B:$B,$A37,Данные!$E:$E,I$3,Данные!$A:$A,"&gt;="&amp;I$1,Данные!$A:$A,"&lt;="&amp;I$2)</f>
        <v>0</v>
      </c>
      <c r="J37" cm="1">
        <f t="array" ref="J37">SUMIFS(Данные!$D:$D,Данные!$B:$B,$A37,Данные!$E:$E,J$3,Данные!$A:$A,"&gt;="&amp;J$1,Данные!$A:$A,"&lt;="&amp;J$2)</f>
        <v>0</v>
      </c>
      <c r="K37" cm="1">
        <f t="array" ref="K37">SUMIFS(Данные!$D:$D,Данные!$B:$B,$A37,Данные!$E:$E,K$3,Данные!$A:$A,"&gt;="&amp;K$1,Данные!$A:$A,"&lt;="&amp;K$2)</f>
        <v>287101.89</v>
      </c>
      <c r="L37" cm="1">
        <f t="array" ref="L37">SUMIFS(Данные!$D:$D,Данные!$B:$B,$A37,Данные!$E:$E,L$3,Данные!$A:$A,"&gt;="&amp;L$1,Данные!$A:$A,"&lt;="&amp;L$2)</f>
        <v>255766.36</v>
      </c>
      <c r="M37" cm="1">
        <f t="array" ref="M37">SUMIFS(Данные!$D:$D,Данные!$B:$B,$A37,Данные!$E:$E,M$3,Данные!$A:$A,"&gt;="&amp;M$1,Данные!$A:$A,"&lt;="&amp;M$2)</f>
        <v>389019.34</v>
      </c>
      <c r="N37" cm="1">
        <f t="array" ref="N37">SUMIFS(Данные!$D:$D,Данные!$B:$B,$A37,Данные!$E:$E,N$3,Данные!$A:$A,"&gt;="&amp;N$1,Данные!$A:$A,"&lt;="&amp;N$2)</f>
        <v>0</v>
      </c>
      <c r="O37" cm="1">
        <f t="array" ref="O37">SUMIFS(Данные!$D:$D,Данные!$B:$B,$A37,Данные!$E:$E,O$3,Данные!$A:$A,"&gt;="&amp;O$1,Данные!$A:$A,"&lt;="&amp;O$2)</f>
        <v>0</v>
      </c>
      <c r="P37" cm="1">
        <f t="array" ref="P37">SUMIFS(Данные!$D:$D,Данные!$B:$B,$A37,Данные!$E:$E,P$3,Данные!$A:$A,"&gt;="&amp;P$1,Данные!$A:$A,"&lt;="&amp;P$2)</f>
        <v>0</v>
      </c>
      <c r="Q37" cm="1">
        <f t="array" ref="Q37">SUMIFS(Данные!$D:$D,Данные!$B:$B,$A37,Данные!$E:$E,Q$3,Данные!$A:$A,"&gt;="&amp;Q$1,Данные!$A:$A,"&lt;="&amp;Q$2)</f>
        <v>0</v>
      </c>
      <c r="R37" cm="1">
        <f t="array" ref="R37">SUMIFS(Данные!$D:$D,Данные!$B:$B,$A37,Данные!$E:$E,R$3,Данные!$A:$A,"&gt;="&amp;R$1,Данные!$A:$A,"&lt;="&amp;R$2)</f>
        <v>0</v>
      </c>
      <c r="S37" cm="1">
        <f t="array" ref="S37">SUMIFS(Данные!$D:$D,Данные!$B:$B,$A37,Данные!$E:$E,S$3,Данные!$A:$A,"&gt;="&amp;S$1,Данные!$A:$A,"&lt;="&amp;S$2)</f>
        <v>-25793.02</v>
      </c>
      <c r="T37" cm="1">
        <f t="array" ref="T37">SUMIFS(Данные!$D:$D,Данные!$B:$B,$A37,Данные!$E:$E,T$3,Данные!$A:$A,"&gt;="&amp;T$1,Данные!$A:$A,"&lt;="&amp;T$2)</f>
        <v>0</v>
      </c>
      <c r="U37" cm="1">
        <f t="array" ref="U37">SUMIFS(Данные!$D:$D,Данные!$B:$B,$A37,Данные!$E:$E,U$3,Данные!$A:$A,"&gt;="&amp;U$1,Данные!$A:$A,"&lt;="&amp;U$2)</f>
        <v>0</v>
      </c>
      <c r="V37" cm="1">
        <f t="array" ref="V37">SUMIFS(Данные!$D:$D,Данные!$B:$B,$A37,Данные!$E:$E,V$3,Данные!$A:$A,"&gt;="&amp;V$1,Данные!$A:$A,"&lt;="&amp;V$2)</f>
        <v>0</v>
      </c>
      <c r="W37" cm="1">
        <f t="array" ref="W37">SUMIFS(Данные!$D:$D,Данные!$B:$B,$A37,Данные!$E:$E,W$3,Данные!$A:$A,"&gt;="&amp;W$1,Данные!$A:$A,"&lt;="&amp;W$2)</f>
        <v>0</v>
      </c>
      <c r="X37" cm="1">
        <f t="array" ref="X37">SUMIFS(Данные!$D:$D,Данные!$B:$B,$A37,Данные!$E:$E,X$3,Данные!$A:$A,"&gt;="&amp;X$1,Данные!$A:$A,"&lt;="&amp;X$2)</f>
        <v>0</v>
      </c>
      <c r="Y37" cm="1">
        <f t="array" ref="Y37">SUMIFS(Данные!$D:$D,Данные!$B:$B,$A37,Данные!$E:$E,Y$3,Данные!$A:$A,"&gt;="&amp;Y$1,Данные!$A:$A,"&lt;="&amp;Y$2)</f>
        <v>0</v>
      </c>
      <c r="Z37" cm="1">
        <f t="array" ref="Z37">SUM(B37:Y37)</f>
        <v>1656920.99</v>
      </c>
    </row>
    <row r="38" spans="1:26" x14ac:dyDescent="0.2">
      <c r="A38" t="str" cm="1">
        <f t="array" ref="A38">Статьи!A31</f>
        <v>Сырье 3</v>
      </c>
      <c r="B38" cm="1">
        <f t="array" ref="B38">SUMIFS(Данные!$D:$D,Данные!$B:$B,$A38,Данные!$E:$E,B$3,Данные!$A:$A,"&gt;="&amp;B$1,Данные!$A:$A,"&lt;="&amp;B$2)</f>
        <v>0</v>
      </c>
      <c r="C38" cm="1">
        <f t="array" ref="C38">SUMIFS(Данные!$D:$D,Данные!$B:$B,$A38,Данные!$E:$E,C$3,Данные!$A:$A,"&gt;="&amp;C$1,Данные!$A:$A,"&lt;="&amp;C$2)</f>
        <v>0</v>
      </c>
      <c r="D38" cm="1">
        <f t="array" ref="D38">SUMIFS(Данные!$D:$D,Данные!$B:$B,$A38,Данные!$E:$E,D$3,Данные!$A:$A,"&gt;="&amp;D$1,Данные!$A:$A,"&lt;="&amp;D$2)</f>
        <v>0</v>
      </c>
      <c r="E38" cm="1">
        <f t="array" ref="E38">SUMIFS(Данные!$D:$D,Данные!$B:$B,$A38,Данные!$E:$E,E$3,Данные!$A:$A,"&gt;="&amp;E$1,Данные!$A:$A,"&lt;="&amp;E$2)</f>
        <v>0</v>
      </c>
      <c r="F38" cm="1">
        <f t="array" ref="F38">SUMIFS(Данные!$D:$D,Данные!$B:$B,$A38,Данные!$E:$E,F$3,Данные!$A:$A,"&gt;="&amp;F$1,Данные!$A:$A,"&lt;="&amp;F$2)</f>
        <v>0</v>
      </c>
      <c r="G38" cm="1">
        <f t="array" ref="G38">SUMIFS(Данные!$D:$D,Данные!$B:$B,$A38,Данные!$E:$E,G$3,Данные!$A:$A,"&gt;="&amp;G$1,Данные!$A:$A,"&lt;="&amp;G$2)</f>
        <v>0</v>
      </c>
      <c r="H38" cm="1">
        <f t="array" ref="H38">SUMIFS(Данные!$D:$D,Данные!$B:$B,$A38,Данные!$E:$E,H$3,Данные!$A:$A,"&gt;="&amp;H$1,Данные!$A:$A,"&lt;="&amp;H$2)</f>
        <v>0</v>
      </c>
      <c r="I38" cm="1">
        <f t="array" ref="I38">SUMIFS(Данные!$D:$D,Данные!$B:$B,$A38,Данные!$E:$E,I$3,Данные!$A:$A,"&gt;="&amp;I$1,Данные!$A:$A,"&lt;="&amp;I$2)</f>
        <v>0</v>
      </c>
      <c r="J38" cm="1">
        <f t="array" ref="J38">SUMIFS(Данные!$D:$D,Данные!$B:$B,$A38,Данные!$E:$E,J$3,Данные!$A:$A,"&gt;="&amp;J$1,Данные!$A:$A,"&lt;="&amp;J$2)</f>
        <v>0</v>
      </c>
      <c r="K38" cm="1">
        <f t="array" ref="K38">SUMIFS(Данные!$D:$D,Данные!$B:$B,$A38,Данные!$E:$E,K$3,Данные!$A:$A,"&gt;="&amp;K$1,Данные!$A:$A,"&lt;="&amp;K$2)</f>
        <v>0</v>
      </c>
      <c r="L38" cm="1">
        <f t="array" ref="L38">SUMIFS(Данные!$D:$D,Данные!$B:$B,$A38,Данные!$E:$E,L$3,Данные!$A:$A,"&gt;="&amp;L$1,Данные!$A:$A,"&lt;="&amp;L$2)</f>
        <v>180154.93</v>
      </c>
      <c r="M38" cm="1">
        <f t="array" ref="M38">SUMIFS(Данные!$D:$D,Данные!$B:$B,$A38,Данные!$E:$E,M$3,Данные!$A:$A,"&gt;="&amp;M$1,Данные!$A:$A,"&lt;="&amp;M$2)</f>
        <v>360890.89</v>
      </c>
      <c r="N38" cm="1">
        <f t="array" ref="N38">SUMIFS(Данные!$D:$D,Данные!$B:$B,$A38,Данные!$E:$E,N$3,Данные!$A:$A,"&gt;="&amp;N$1,Данные!$A:$A,"&lt;="&amp;N$2)</f>
        <v>167126.5</v>
      </c>
      <c r="O38" cm="1">
        <f t="array" ref="O38">SUMIFS(Данные!$D:$D,Данные!$B:$B,$A38,Данные!$E:$E,O$3,Данные!$A:$A,"&gt;="&amp;O$1,Данные!$A:$A,"&lt;="&amp;O$2)</f>
        <v>0</v>
      </c>
      <c r="P38" cm="1">
        <f t="array" ref="P38">SUMIFS(Данные!$D:$D,Данные!$B:$B,$A38,Данные!$E:$E,P$3,Данные!$A:$A,"&gt;="&amp;P$1,Данные!$A:$A,"&lt;="&amp;P$2)</f>
        <v>0</v>
      </c>
      <c r="Q38" cm="1">
        <f t="array" ref="Q38">SUMIFS(Данные!$D:$D,Данные!$B:$B,$A38,Данные!$E:$E,Q$3,Данные!$A:$A,"&gt;="&amp;Q$1,Данные!$A:$A,"&lt;="&amp;Q$2)</f>
        <v>0</v>
      </c>
      <c r="R38" cm="1">
        <f t="array" ref="R38">SUMIFS(Данные!$D:$D,Данные!$B:$B,$A38,Данные!$E:$E,R$3,Данные!$A:$A,"&gt;="&amp;R$1,Данные!$A:$A,"&lt;="&amp;R$2)</f>
        <v>0</v>
      </c>
      <c r="S38" cm="1">
        <f t="array" ref="S38">SUMIFS(Данные!$D:$D,Данные!$B:$B,$A38,Данные!$E:$E,S$3,Данные!$A:$A,"&gt;="&amp;S$1,Данные!$A:$A,"&lt;="&amp;S$2)</f>
        <v>-25269.040000000001</v>
      </c>
      <c r="T38" cm="1">
        <f t="array" ref="T38">SUMIFS(Данные!$D:$D,Данные!$B:$B,$A38,Данные!$E:$E,T$3,Данные!$A:$A,"&gt;="&amp;T$1,Данные!$A:$A,"&lt;="&amp;T$2)</f>
        <v>0</v>
      </c>
      <c r="U38" cm="1">
        <f t="array" ref="U38">SUMIFS(Данные!$D:$D,Данные!$B:$B,$A38,Данные!$E:$E,U$3,Данные!$A:$A,"&gt;="&amp;U$1,Данные!$A:$A,"&lt;="&amp;U$2)</f>
        <v>0</v>
      </c>
      <c r="V38" cm="1">
        <f t="array" ref="V38">SUMIFS(Данные!$D:$D,Данные!$B:$B,$A38,Данные!$E:$E,V$3,Данные!$A:$A,"&gt;="&amp;V$1,Данные!$A:$A,"&lt;="&amp;V$2)</f>
        <v>0</v>
      </c>
      <c r="W38" cm="1">
        <f t="array" ref="W38">SUMIFS(Данные!$D:$D,Данные!$B:$B,$A38,Данные!$E:$E,W$3,Данные!$A:$A,"&gt;="&amp;W$1,Данные!$A:$A,"&lt;="&amp;W$2)</f>
        <v>0</v>
      </c>
      <c r="X38" cm="1">
        <f t="array" ref="X38">SUMIFS(Данные!$D:$D,Данные!$B:$B,$A38,Данные!$E:$E,X$3,Данные!$A:$A,"&gt;="&amp;X$1,Данные!$A:$A,"&lt;="&amp;X$2)</f>
        <v>0</v>
      </c>
      <c r="Y38" cm="1">
        <f t="array" ref="Y38">SUMIFS(Данные!$D:$D,Данные!$B:$B,$A38,Данные!$E:$E,Y$3,Данные!$A:$A,"&gt;="&amp;Y$1,Данные!$A:$A,"&lt;="&amp;Y$2)</f>
        <v>0</v>
      </c>
      <c r="Z38" cm="1">
        <f t="array" ref="Z38">SUM(B38:Y38)</f>
        <v>682903.28</v>
      </c>
    </row>
    <row r="39" spans="1:26" x14ac:dyDescent="0.2">
      <c r="A39" t="s">
        <v>464</v>
      </c>
      <c r="B39" cm="1">
        <f t="array" ref="B39">SUM(B34:B38)</f>
        <v>0</v>
      </c>
      <c r="C39" cm="1">
        <f t="array" ref="C39">SUM(C34:C38)</f>
        <v>753101.91</v>
      </c>
      <c r="D39" cm="1">
        <f t="array" ref="D39">SUM(D34:D38)</f>
        <v>255352.91999999998</v>
      </c>
      <c r="E39" cm="1">
        <f t="array" ref="E39">SUM(E34:E38)</f>
        <v>-59194.5</v>
      </c>
      <c r="F39" cm="1">
        <f t="array" ref="F39">SUM(F34:F38)</f>
        <v>578638.93999999994</v>
      </c>
      <c r="G39" cm="1">
        <f t="array" ref="G39">SUM(G34:G38)</f>
        <v>0</v>
      </c>
      <c r="H39" cm="1">
        <f t="array" ref="H39">SUM(H34:H38)</f>
        <v>0</v>
      </c>
      <c r="I39" cm="1">
        <f t="array" ref="I39">SUM(I34:I38)</f>
        <v>170804.71</v>
      </c>
      <c r="J39" cm="1">
        <f t="array" ref="J39">SUM(J34:J38)</f>
        <v>320529.03999999998</v>
      </c>
      <c r="K39" cm="1">
        <f t="array" ref="K39">SUM(K34:K38)</f>
        <v>660817.55000000005</v>
      </c>
      <c r="L39" cm="1">
        <f t="array" ref="L39">SUM(L34:L38)</f>
        <v>435921.29</v>
      </c>
      <c r="M39" cm="1">
        <f t="array" ref="M39">SUM(M34:M38)</f>
        <v>1119108.17</v>
      </c>
      <c r="N39" cm="1">
        <f t="array" ref="N39">SUM(N34:N38)</f>
        <v>518828.58999999997</v>
      </c>
      <c r="O39" cm="1">
        <f t="array" ref="O39">SUM(O34:O38)</f>
        <v>366017.63999999996</v>
      </c>
      <c r="P39" cm="1">
        <f t="array" ref="P39">SUM(P34:P38)</f>
        <v>664486.6</v>
      </c>
      <c r="Q39" cm="1">
        <f t="array" ref="Q39">SUM(Q34:Q38)</f>
        <v>24029.74</v>
      </c>
      <c r="R39" cm="1">
        <f t="array" ref="R39">SUM(R34:R38)</f>
        <v>0</v>
      </c>
      <c r="S39" cm="1">
        <f t="array" ref="S39">SUM(S34:S38)</f>
        <v>-5046.41</v>
      </c>
      <c r="T39" cm="1">
        <f t="array" ref="T39">SUM(T34:T38)</f>
        <v>88918.33</v>
      </c>
      <c r="U39" cm="1">
        <f t="array" ref="U39">SUM(U34:U38)</f>
        <v>421981.97</v>
      </c>
      <c r="V39" cm="1">
        <f t="array" ref="V39">SUM(V34:V38)</f>
        <v>153637.47</v>
      </c>
      <c r="W39" cm="1">
        <f t="array" ref="W39">SUM(W34:W38)</f>
        <v>331731.76</v>
      </c>
      <c r="X39" cm="1">
        <f t="array" ref="X39">SUM(X34:X38)</f>
        <v>400625.12</v>
      </c>
      <c r="Y39" cm="1">
        <f t="array" ref="Y39">SUM(Y34:Y38)</f>
        <v>-100543.09</v>
      </c>
      <c r="Z39" cm="1">
        <f t="array" ref="Z39">SUM(Z34:Z38)</f>
        <v>7099747.75</v>
      </c>
    </row>
    <row r="40" spans="1:26" x14ac:dyDescent="0.2">
      <c r="A40" t="str" cm="1">
        <f t="array" ref="A40">Статьи!A32</f>
        <v>Чай 4</v>
      </c>
      <c r="B40" cm="1">
        <f t="array" ref="B40">SUMIFS(Данные!$D:$D,Данные!$B:$B,$A40,Данные!$E:$E,B$3,Данные!$A:$A,"&gt;="&amp;B$1,Данные!$A:$A,"&lt;="&amp;B$2)</f>
        <v>0</v>
      </c>
      <c r="C40" cm="1">
        <f t="array" ref="C40">SUMIFS(Данные!$D:$D,Данные!$B:$B,$A40,Данные!$E:$E,C$3,Данные!$A:$A,"&gt;="&amp;C$1,Данные!$A:$A,"&lt;="&amp;C$2)</f>
        <v>0</v>
      </c>
      <c r="D40" cm="1">
        <f t="array" ref="D40">SUMIFS(Данные!$D:$D,Данные!$B:$B,$A40,Данные!$E:$E,D$3,Данные!$A:$A,"&gt;="&amp;D$1,Данные!$A:$A,"&lt;="&amp;D$2)</f>
        <v>0</v>
      </c>
      <c r="E40" cm="1">
        <f t="array" ref="E40">SUMIFS(Данные!$D:$D,Данные!$B:$B,$A40,Данные!$E:$E,E$3,Данные!$A:$A,"&gt;="&amp;E$1,Данные!$A:$A,"&lt;="&amp;E$2)</f>
        <v>0</v>
      </c>
      <c r="F40" cm="1">
        <f t="array" ref="F40">SUMIFS(Данные!$D:$D,Данные!$B:$B,$A40,Данные!$E:$E,F$3,Данные!$A:$A,"&gt;="&amp;F$1,Данные!$A:$A,"&lt;="&amp;F$2)</f>
        <v>0</v>
      </c>
      <c r="G40" cm="1">
        <f t="array" ref="G40">SUMIFS(Данные!$D:$D,Данные!$B:$B,$A40,Данные!$E:$E,G$3,Данные!$A:$A,"&gt;="&amp;G$1,Данные!$A:$A,"&lt;="&amp;G$2)</f>
        <v>0</v>
      </c>
      <c r="H40" cm="1">
        <f t="array" ref="H40">SUMIFS(Данные!$D:$D,Данные!$B:$B,$A40,Данные!$E:$E,H$3,Данные!$A:$A,"&gt;="&amp;H$1,Данные!$A:$A,"&lt;="&amp;H$2)</f>
        <v>0</v>
      </c>
      <c r="I40" cm="1">
        <f t="array" ref="I40">SUMIFS(Данные!$D:$D,Данные!$B:$B,$A40,Данные!$E:$E,I$3,Данные!$A:$A,"&gt;="&amp;I$1,Данные!$A:$A,"&lt;="&amp;I$2)</f>
        <v>0</v>
      </c>
      <c r="J40" cm="1">
        <f t="array" ref="J40">SUMIFS(Данные!$D:$D,Данные!$B:$B,$A40,Данные!$E:$E,J$3,Данные!$A:$A,"&gt;="&amp;J$1,Данные!$A:$A,"&lt;="&amp;J$2)</f>
        <v>0</v>
      </c>
      <c r="K40" cm="1">
        <f t="array" ref="K40">SUMIFS(Данные!$D:$D,Данные!$B:$B,$A40,Данные!$E:$E,K$3,Данные!$A:$A,"&gt;="&amp;K$1,Данные!$A:$A,"&lt;="&amp;K$2)</f>
        <v>0</v>
      </c>
      <c r="L40" cm="1">
        <f t="array" ref="L40">SUMIFS(Данные!$D:$D,Данные!$B:$B,$A40,Данные!$E:$E,L$3,Данные!$A:$A,"&gt;="&amp;L$1,Данные!$A:$A,"&lt;="&amp;L$2)</f>
        <v>0</v>
      </c>
      <c r="M40" cm="1">
        <f t="array" ref="M40">SUMIFS(Данные!$D:$D,Данные!$B:$B,$A40,Данные!$E:$E,M$3,Данные!$A:$A,"&gt;="&amp;M$1,Данные!$A:$A,"&lt;="&amp;M$2)</f>
        <v>0</v>
      </c>
      <c r="N40" cm="1">
        <f t="array" ref="N40">SUMIFS(Данные!$D:$D,Данные!$B:$B,$A40,Данные!$E:$E,N$3,Данные!$A:$A,"&gt;="&amp;N$1,Данные!$A:$A,"&lt;="&amp;N$2)</f>
        <v>0</v>
      </c>
      <c r="O40" cm="1">
        <f t="array" ref="O40">SUMIFS(Данные!$D:$D,Данные!$B:$B,$A40,Данные!$E:$E,O$3,Данные!$A:$A,"&gt;="&amp;O$1,Данные!$A:$A,"&lt;="&amp;O$2)</f>
        <v>206502.25</v>
      </c>
      <c r="P40" cm="1">
        <f t="array" ref="P40">SUMIFS(Данные!$D:$D,Данные!$B:$B,$A40,Данные!$E:$E,P$3,Данные!$A:$A,"&gt;="&amp;P$1,Данные!$A:$A,"&lt;="&amp;P$2)</f>
        <v>0</v>
      </c>
      <c r="Q40" cm="1">
        <f t="array" ref="Q40">SUMIFS(Данные!$D:$D,Данные!$B:$B,$A40,Данные!$E:$E,Q$3,Данные!$A:$A,"&gt;="&amp;Q$1,Данные!$A:$A,"&lt;="&amp;Q$2)</f>
        <v>412631.82999999996</v>
      </c>
      <c r="R40" cm="1">
        <f t="array" ref="R40">SUMIFS(Данные!$D:$D,Данные!$B:$B,$A40,Данные!$E:$E,R$3,Данные!$A:$A,"&gt;="&amp;R$1,Данные!$A:$A,"&lt;="&amp;R$2)</f>
        <v>-44181.64</v>
      </c>
      <c r="S40" cm="1">
        <f t="array" ref="S40">SUMIFS(Данные!$D:$D,Данные!$B:$B,$A40,Данные!$E:$E,S$3,Данные!$A:$A,"&gt;="&amp;S$1,Данные!$A:$A,"&lt;="&amp;S$2)</f>
        <v>-6173.9</v>
      </c>
      <c r="T40" cm="1">
        <f t="array" ref="T40">SUMIFS(Данные!$D:$D,Данные!$B:$B,$A40,Данные!$E:$E,T$3,Данные!$A:$A,"&gt;="&amp;T$1,Данные!$A:$A,"&lt;="&amp;T$2)</f>
        <v>-39945.230000000003</v>
      </c>
      <c r="U40" cm="1">
        <f t="array" ref="U40">SUMIFS(Данные!$D:$D,Данные!$B:$B,$A40,Данные!$E:$E,U$3,Данные!$A:$A,"&gt;="&amp;U$1,Данные!$A:$A,"&lt;="&amp;U$2)</f>
        <v>0</v>
      </c>
      <c r="V40" cm="1">
        <f t="array" ref="V40">SUMIFS(Данные!$D:$D,Данные!$B:$B,$A40,Данные!$E:$E,V$3,Данные!$A:$A,"&gt;="&amp;V$1,Данные!$A:$A,"&lt;="&amp;V$2)</f>
        <v>0</v>
      </c>
      <c r="W40" cm="1">
        <f t="array" ref="W40">SUMIFS(Данные!$D:$D,Данные!$B:$B,$A40,Данные!$E:$E,W$3,Данные!$A:$A,"&gt;="&amp;W$1,Данные!$A:$A,"&lt;="&amp;W$2)</f>
        <v>0</v>
      </c>
      <c r="X40" cm="1">
        <f t="array" ref="X40">SUMIFS(Данные!$D:$D,Данные!$B:$B,$A40,Данные!$E:$E,X$3,Данные!$A:$A,"&gt;="&amp;X$1,Данные!$A:$A,"&lt;="&amp;X$2)</f>
        <v>0</v>
      </c>
      <c r="Y40" cm="1">
        <f t="array" ref="Y40">SUMIFS(Данные!$D:$D,Данные!$B:$B,$A40,Данные!$E:$E,Y$3,Данные!$A:$A,"&gt;="&amp;Y$1,Данные!$A:$A,"&lt;="&amp;Y$2)</f>
        <v>286133.45</v>
      </c>
      <c r="Z40" cm="1">
        <f t="array" ref="Z40">SUM(B40:Y40)</f>
        <v>814966.76</v>
      </c>
    </row>
    <row r="41" spans="1:26" x14ac:dyDescent="0.2">
      <c r="A41" t="str" cm="1">
        <f t="array" ref="A41">Статьи!A33</f>
        <v>Чаи 4</v>
      </c>
      <c r="B41" cm="1">
        <f t="array" ref="B41">SUMIFS(Данные!$D:$D,Данные!$B:$B,$A41,Данные!$E:$E,B$3,Данные!$A:$A,"&gt;="&amp;B$1,Данные!$A:$A,"&lt;="&amp;B$2)</f>
        <v>0</v>
      </c>
      <c r="C41" cm="1">
        <f t="array" ref="C41">SUMIFS(Данные!$D:$D,Данные!$B:$B,$A41,Данные!$E:$E,C$3,Данные!$A:$A,"&gt;="&amp;C$1,Данные!$A:$A,"&lt;="&amp;C$2)</f>
        <v>0</v>
      </c>
      <c r="D41" cm="1">
        <f t="array" ref="D41">SUMIFS(Данные!$D:$D,Данные!$B:$B,$A41,Данные!$E:$E,D$3,Данные!$A:$A,"&gt;="&amp;D$1,Данные!$A:$A,"&lt;="&amp;D$2)</f>
        <v>12049.53</v>
      </c>
      <c r="E41" cm="1">
        <f t="array" ref="E41">SUMIFS(Данные!$D:$D,Данные!$B:$B,$A41,Данные!$E:$E,E$3,Данные!$A:$A,"&gt;="&amp;E$1,Данные!$A:$A,"&lt;="&amp;E$2)</f>
        <v>-94596.21</v>
      </c>
      <c r="F41" cm="1">
        <f t="array" ref="F41">SUMIFS(Данные!$D:$D,Данные!$B:$B,$A41,Данные!$E:$E,F$3,Данные!$A:$A,"&gt;="&amp;F$1,Данные!$A:$A,"&lt;="&amp;F$2)</f>
        <v>0</v>
      </c>
      <c r="G41" cm="1">
        <f t="array" ref="G41">SUMIFS(Данные!$D:$D,Данные!$B:$B,$A41,Данные!$E:$E,G$3,Данные!$A:$A,"&gt;="&amp;G$1,Данные!$A:$A,"&lt;="&amp;G$2)</f>
        <v>0</v>
      </c>
      <c r="H41" cm="1">
        <f t="array" ref="H41">SUMIFS(Данные!$D:$D,Данные!$B:$B,$A41,Данные!$E:$E,H$3,Данные!$A:$A,"&gt;="&amp;H$1,Данные!$A:$A,"&lt;="&amp;H$2)</f>
        <v>41880.120000000003</v>
      </c>
      <c r="I41" cm="1">
        <f t="array" ref="I41">SUMIFS(Данные!$D:$D,Данные!$B:$B,$A41,Данные!$E:$E,I$3,Данные!$A:$A,"&gt;="&amp;I$1,Данные!$A:$A,"&lt;="&amp;I$2)</f>
        <v>-43783.02</v>
      </c>
      <c r="J41" cm="1">
        <f t="array" ref="J41">SUMIFS(Данные!$D:$D,Данные!$B:$B,$A41,Данные!$E:$E,J$3,Данные!$A:$A,"&gt;="&amp;J$1,Данные!$A:$A,"&lt;="&amp;J$2)</f>
        <v>0</v>
      </c>
      <c r="K41" cm="1">
        <f t="array" ref="K41">SUMIFS(Данные!$D:$D,Данные!$B:$B,$A41,Данные!$E:$E,K$3,Данные!$A:$A,"&gt;="&amp;K$1,Данные!$A:$A,"&lt;="&amp;K$2)</f>
        <v>0</v>
      </c>
      <c r="L41" cm="1">
        <f t="array" ref="L41">SUMIFS(Данные!$D:$D,Данные!$B:$B,$A41,Данные!$E:$E,L$3,Данные!$A:$A,"&gt;="&amp;L$1,Данные!$A:$A,"&lt;="&amp;L$2)</f>
        <v>0</v>
      </c>
      <c r="M41" cm="1">
        <f t="array" ref="M41">SUMIFS(Данные!$D:$D,Данные!$B:$B,$A41,Данные!$E:$E,M$3,Данные!$A:$A,"&gt;="&amp;M$1,Данные!$A:$A,"&lt;="&amp;M$2)</f>
        <v>-7931.29</v>
      </c>
      <c r="N41" cm="1">
        <f t="array" ref="N41">SUMIFS(Данные!$D:$D,Данные!$B:$B,$A41,Данные!$E:$E,N$3,Данные!$A:$A,"&gt;="&amp;N$1,Данные!$A:$A,"&lt;="&amp;N$2)</f>
        <v>0</v>
      </c>
      <c r="O41" cm="1">
        <f t="array" ref="O41">SUMIFS(Данные!$D:$D,Данные!$B:$B,$A41,Данные!$E:$E,O$3,Данные!$A:$A,"&gt;="&amp;O$1,Данные!$A:$A,"&lt;="&amp;O$2)</f>
        <v>0</v>
      </c>
      <c r="P41" cm="1">
        <f t="array" ref="P41">SUMIFS(Данные!$D:$D,Данные!$B:$B,$A41,Данные!$E:$E,P$3,Данные!$A:$A,"&gt;="&amp;P$1,Данные!$A:$A,"&lt;="&amp;P$2)</f>
        <v>0</v>
      </c>
      <c r="Q41" cm="1">
        <f t="array" ref="Q41">SUMIFS(Данные!$D:$D,Данные!$B:$B,$A41,Данные!$E:$E,Q$3,Данные!$A:$A,"&gt;="&amp;Q$1,Данные!$A:$A,"&lt;="&amp;Q$2)</f>
        <v>0</v>
      </c>
      <c r="R41" cm="1">
        <f t="array" ref="R41">SUMIFS(Данные!$D:$D,Данные!$B:$B,$A41,Данные!$E:$E,R$3,Данные!$A:$A,"&gt;="&amp;R$1,Данные!$A:$A,"&lt;="&amp;R$2)</f>
        <v>89894.04</v>
      </c>
      <c r="S41" cm="1">
        <f t="array" ref="S41">SUMIFS(Данные!$D:$D,Данные!$B:$B,$A41,Данные!$E:$E,S$3,Данные!$A:$A,"&gt;="&amp;S$1,Данные!$A:$A,"&lt;="&amp;S$2)</f>
        <v>0</v>
      </c>
      <c r="T41" cm="1">
        <f t="array" ref="T41">SUMIFS(Данные!$D:$D,Данные!$B:$B,$A41,Данные!$E:$E,T$3,Данные!$A:$A,"&gt;="&amp;T$1,Данные!$A:$A,"&lt;="&amp;T$2)</f>
        <v>0</v>
      </c>
      <c r="U41" cm="1">
        <f t="array" ref="U41">SUMIFS(Данные!$D:$D,Данные!$B:$B,$A41,Данные!$E:$E,U$3,Данные!$A:$A,"&gt;="&amp;U$1,Данные!$A:$A,"&lt;="&amp;U$2)</f>
        <v>381208.28</v>
      </c>
      <c r="V41" cm="1">
        <f t="array" ref="V41">SUMIFS(Данные!$D:$D,Данные!$B:$B,$A41,Данные!$E:$E,V$3,Данные!$A:$A,"&gt;="&amp;V$1,Данные!$A:$A,"&lt;="&amp;V$2)</f>
        <v>0</v>
      </c>
      <c r="W41" cm="1">
        <f t="array" ref="W41">SUMIFS(Данные!$D:$D,Данные!$B:$B,$A41,Данные!$E:$E,W$3,Данные!$A:$A,"&gt;="&amp;W$1,Данные!$A:$A,"&lt;="&amp;W$2)</f>
        <v>0</v>
      </c>
      <c r="X41" cm="1">
        <f t="array" ref="X41">SUMIFS(Данные!$D:$D,Данные!$B:$B,$A41,Данные!$E:$E,X$3,Данные!$A:$A,"&gt;="&amp;X$1,Данные!$A:$A,"&lt;="&amp;X$2)</f>
        <v>0</v>
      </c>
      <c r="Y41" cm="1">
        <f t="array" ref="Y41">SUMIFS(Данные!$D:$D,Данные!$B:$B,$A41,Данные!$E:$E,Y$3,Данные!$A:$A,"&gt;="&amp;Y$1,Данные!$A:$A,"&lt;="&amp;Y$2)</f>
        <v>0</v>
      </c>
      <c r="Z41" cm="1">
        <f t="array" ref="Z41">SUM(B41:Y41)</f>
        <v>378721.45</v>
      </c>
    </row>
    <row r="42" spans="1:26" x14ac:dyDescent="0.2">
      <c r="A42" t="str" cm="1">
        <f t="array" ref="A42">Статьи!A34</f>
        <v>Ёлка 4</v>
      </c>
      <c r="B42" cm="1">
        <f t="array" ref="B42">SUMIFS(Данные!$D:$D,Данные!$B:$B,$A42,Данные!$E:$E,B$3,Данные!$A:$A,"&gt;="&amp;B$1,Данные!$A:$A,"&lt;="&amp;B$2)</f>
        <v>0</v>
      </c>
      <c r="C42" cm="1">
        <f t="array" ref="C42">SUMIFS(Данные!$D:$D,Данные!$B:$B,$A42,Данные!$E:$E,C$3,Данные!$A:$A,"&gt;="&amp;C$1,Данные!$A:$A,"&lt;="&amp;C$2)</f>
        <v>0</v>
      </c>
      <c r="D42" cm="1">
        <f t="array" ref="D42">SUMIFS(Данные!$D:$D,Данные!$B:$B,$A42,Данные!$E:$E,D$3,Данные!$A:$A,"&gt;="&amp;D$1,Данные!$A:$A,"&lt;="&amp;D$2)</f>
        <v>0</v>
      </c>
      <c r="E42" cm="1">
        <f t="array" ref="E42">SUMIFS(Данные!$D:$D,Данные!$B:$B,$A42,Данные!$E:$E,E$3,Данные!$A:$A,"&gt;="&amp;E$1,Данные!$A:$A,"&lt;="&amp;E$2)</f>
        <v>0</v>
      </c>
      <c r="F42" cm="1">
        <f t="array" ref="F42">SUMIFS(Данные!$D:$D,Данные!$B:$B,$A42,Данные!$E:$E,F$3,Данные!$A:$A,"&gt;="&amp;F$1,Данные!$A:$A,"&lt;="&amp;F$2)</f>
        <v>237308.9</v>
      </c>
      <c r="G42" cm="1">
        <f t="array" ref="G42">SUMIFS(Данные!$D:$D,Данные!$B:$B,$A42,Данные!$E:$E,G$3,Данные!$A:$A,"&gt;="&amp;G$1,Данные!$A:$A,"&lt;="&amp;G$2)</f>
        <v>0</v>
      </c>
      <c r="H42" cm="1">
        <f t="array" ref="H42">SUMIFS(Данные!$D:$D,Данные!$B:$B,$A42,Данные!$E:$E,H$3,Данные!$A:$A,"&gt;="&amp;H$1,Данные!$A:$A,"&lt;="&amp;H$2)</f>
        <v>0</v>
      </c>
      <c r="I42" cm="1">
        <f t="array" ref="I42">SUMIFS(Данные!$D:$D,Данные!$B:$B,$A42,Данные!$E:$E,I$3,Данные!$A:$A,"&gt;="&amp;I$1,Данные!$A:$A,"&lt;="&amp;I$2)</f>
        <v>0</v>
      </c>
      <c r="J42" cm="1">
        <f t="array" ref="J42">SUMIFS(Данные!$D:$D,Данные!$B:$B,$A42,Данные!$E:$E,J$3,Данные!$A:$A,"&gt;="&amp;J$1,Данные!$A:$A,"&lt;="&amp;J$2)</f>
        <v>68375.149999999994</v>
      </c>
      <c r="K42" cm="1">
        <f t="array" ref="K42">SUMIFS(Данные!$D:$D,Данные!$B:$B,$A42,Данные!$E:$E,K$3,Данные!$A:$A,"&gt;="&amp;K$1,Данные!$A:$A,"&lt;="&amp;K$2)</f>
        <v>0</v>
      </c>
      <c r="L42" cm="1">
        <f t="array" ref="L42">SUMIFS(Данные!$D:$D,Данные!$B:$B,$A42,Данные!$E:$E,L$3,Данные!$A:$A,"&gt;="&amp;L$1,Данные!$A:$A,"&lt;="&amp;L$2)</f>
        <v>0</v>
      </c>
      <c r="M42" cm="1">
        <f t="array" ref="M42">SUMIFS(Данные!$D:$D,Данные!$B:$B,$A42,Данные!$E:$E,M$3,Данные!$A:$A,"&gt;="&amp;M$1,Данные!$A:$A,"&lt;="&amp;M$2)</f>
        <v>233111.93</v>
      </c>
      <c r="N42" cm="1">
        <f t="array" ref="N42">SUMIFS(Данные!$D:$D,Данные!$B:$B,$A42,Данные!$E:$E,N$3,Данные!$A:$A,"&gt;="&amp;N$1,Данные!$A:$A,"&lt;="&amp;N$2)</f>
        <v>-95339.57</v>
      </c>
      <c r="O42" cm="1">
        <f t="array" ref="O42">SUMIFS(Данные!$D:$D,Данные!$B:$B,$A42,Данные!$E:$E,O$3,Данные!$A:$A,"&gt;="&amp;O$1,Данные!$A:$A,"&lt;="&amp;O$2)</f>
        <v>0</v>
      </c>
      <c r="P42" cm="1">
        <f t="array" ref="P42">SUMIFS(Данные!$D:$D,Данные!$B:$B,$A42,Данные!$E:$E,P$3,Данные!$A:$A,"&gt;="&amp;P$1,Данные!$A:$A,"&lt;="&amp;P$2)</f>
        <v>0</v>
      </c>
      <c r="Q42" cm="1">
        <f t="array" ref="Q42">SUMIFS(Данные!$D:$D,Данные!$B:$B,$A42,Данные!$E:$E,Q$3,Данные!$A:$A,"&gt;="&amp;Q$1,Данные!$A:$A,"&lt;="&amp;Q$2)</f>
        <v>0</v>
      </c>
      <c r="R42" cm="1">
        <f t="array" ref="R42">SUMIFS(Данные!$D:$D,Данные!$B:$B,$A42,Данные!$E:$E,R$3,Данные!$A:$A,"&gt;="&amp;R$1,Данные!$A:$A,"&lt;="&amp;R$2)</f>
        <v>0</v>
      </c>
      <c r="S42" cm="1">
        <f t="array" ref="S42">SUMIFS(Данные!$D:$D,Данные!$B:$B,$A42,Данные!$E:$E,S$3,Данные!$A:$A,"&gt;="&amp;S$1,Данные!$A:$A,"&lt;="&amp;S$2)</f>
        <v>0</v>
      </c>
      <c r="T42" cm="1">
        <f t="array" ref="T42">SUMIFS(Данные!$D:$D,Данные!$B:$B,$A42,Данные!$E:$E,T$3,Данные!$A:$A,"&gt;="&amp;T$1,Данные!$A:$A,"&lt;="&amp;T$2)</f>
        <v>0</v>
      </c>
      <c r="U42" cm="1">
        <f t="array" ref="U42">SUMIFS(Данные!$D:$D,Данные!$B:$B,$A42,Данные!$E:$E,U$3,Данные!$A:$A,"&gt;="&amp;U$1,Данные!$A:$A,"&lt;="&amp;U$2)</f>
        <v>52231.74</v>
      </c>
      <c r="V42" cm="1">
        <f t="array" ref="V42">SUMIFS(Данные!$D:$D,Данные!$B:$B,$A42,Данные!$E:$E,V$3,Данные!$A:$A,"&gt;="&amp;V$1,Данные!$A:$A,"&lt;="&amp;V$2)</f>
        <v>0</v>
      </c>
      <c r="W42" cm="1">
        <f t="array" ref="W42">SUMIFS(Данные!$D:$D,Данные!$B:$B,$A42,Данные!$E:$E,W$3,Данные!$A:$A,"&gt;="&amp;W$1,Данные!$A:$A,"&lt;="&amp;W$2)</f>
        <v>0</v>
      </c>
      <c r="X42" cm="1">
        <f t="array" ref="X42">SUMIFS(Данные!$D:$D,Данные!$B:$B,$A42,Данные!$E:$E,X$3,Данные!$A:$A,"&gt;="&amp;X$1,Данные!$A:$A,"&lt;="&amp;X$2)</f>
        <v>0</v>
      </c>
      <c r="Y42" cm="1">
        <f t="array" ref="Y42">SUMIFS(Данные!$D:$D,Данные!$B:$B,$A42,Данные!$E:$E,Y$3,Данные!$A:$A,"&gt;="&amp;Y$1,Данные!$A:$A,"&lt;="&amp;Y$2)</f>
        <v>0</v>
      </c>
      <c r="Z42" cm="1">
        <f t="array" ref="Z42">SUM(B42:Y42)</f>
        <v>495688.14999999997</v>
      </c>
    </row>
    <row r="43" spans="1:26" x14ac:dyDescent="0.2">
      <c r="A43" t="str" cm="1">
        <f t="array" ref="A43">Статьи!A35</f>
        <v>Елка 4</v>
      </c>
      <c r="B43" cm="1">
        <f t="array" ref="B43">SUMIFS(Данные!$D:$D,Данные!$B:$B,$A43,Данные!$E:$E,B$3,Данные!$A:$A,"&gt;="&amp;B$1,Данные!$A:$A,"&lt;="&amp;B$2)</f>
        <v>-53677.74</v>
      </c>
      <c r="C43" cm="1">
        <f t="array" ref="C43">SUMIFS(Данные!$D:$D,Данные!$B:$B,$A43,Данные!$E:$E,C$3,Данные!$A:$A,"&gt;="&amp;C$1,Данные!$A:$A,"&lt;="&amp;C$2)</f>
        <v>0</v>
      </c>
      <c r="D43" cm="1">
        <f t="array" ref="D43">SUMIFS(Данные!$D:$D,Данные!$B:$B,$A43,Данные!$E:$E,D$3,Данные!$A:$A,"&gt;="&amp;D$1,Данные!$A:$A,"&lt;="&amp;D$2)</f>
        <v>0</v>
      </c>
      <c r="E43" cm="1">
        <f t="array" ref="E43">SUMIFS(Данные!$D:$D,Данные!$B:$B,$A43,Данные!$E:$E,E$3,Данные!$A:$A,"&gt;="&amp;E$1,Данные!$A:$A,"&lt;="&amp;E$2)</f>
        <v>0</v>
      </c>
      <c r="F43" cm="1">
        <f t="array" ref="F43">SUMIFS(Данные!$D:$D,Данные!$B:$B,$A43,Данные!$E:$E,F$3,Данные!$A:$A,"&gt;="&amp;F$1,Данные!$A:$A,"&lt;="&amp;F$2)</f>
        <v>0</v>
      </c>
      <c r="G43" cm="1">
        <f t="array" ref="G43">SUMIFS(Данные!$D:$D,Данные!$B:$B,$A43,Данные!$E:$E,G$3,Данные!$A:$A,"&gt;="&amp;G$1,Данные!$A:$A,"&lt;="&amp;G$2)</f>
        <v>-12007.38</v>
      </c>
      <c r="H43" cm="1">
        <f t="array" ref="H43">SUMIFS(Данные!$D:$D,Данные!$B:$B,$A43,Данные!$E:$E,H$3,Данные!$A:$A,"&gt;="&amp;H$1,Данные!$A:$A,"&lt;="&amp;H$2)</f>
        <v>0</v>
      </c>
      <c r="I43" cm="1">
        <f t="array" ref="I43">SUMIFS(Данные!$D:$D,Данные!$B:$B,$A43,Данные!$E:$E,I$3,Данные!$A:$A,"&gt;="&amp;I$1,Данные!$A:$A,"&lt;="&amp;I$2)</f>
        <v>-95356.54</v>
      </c>
      <c r="J43" cm="1">
        <f t="array" ref="J43">SUMIFS(Данные!$D:$D,Данные!$B:$B,$A43,Данные!$E:$E,J$3,Данные!$A:$A,"&gt;="&amp;J$1,Данные!$A:$A,"&lt;="&amp;J$2)</f>
        <v>0</v>
      </c>
      <c r="K43" cm="1">
        <f t="array" ref="K43">SUMIFS(Данные!$D:$D,Данные!$B:$B,$A43,Данные!$E:$E,K$3,Данные!$A:$A,"&gt;="&amp;K$1,Данные!$A:$A,"&lt;="&amp;K$2)</f>
        <v>0</v>
      </c>
      <c r="L43" cm="1">
        <f t="array" ref="L43">SUMIFS(Данные!$D:$D,Данные!$B:$B,$A43,Данные!$E:$E,L$3,Данные!$A:$A,"&gt;="&amp;L$1,Данные!$A:$A,"&lt;="&amp;L$2)</f>
        <v>295997.21000000002</v>
      </c>
      <c r="M43" cm="1">
        <f t="array" ref="M43">SUMIFS(Данные!$D:$D,Данные!$B:$B,$A43,Данные!$E:$E,M$3,Данные!$A:$A,"&gt;="&amp;M$1,Данные!$A:$A,"&lt;="&amp;M$2)</f>
        <v>306597.05</v>
      </c>
      <c r="N43" cm="1">
        <f t="array" ref="N43">SUMIFS(Данные!$D:$D,Данные!$B:$B,$A43,Данные!$E:$E,N$3,Данные!$A:$A,"&gt;="&amp;N$1,Данные!$A:$A,"&lt;="&amp;N$2)</f>
        <v>0</v>
      </c>
      <c r="O43" cm="1">
        <f t="array" ref="O43">SUMIFS(Данные!$D:$D,Данные!$B:$B,$A43,Данные!$E:$E,O$3,Данные!$A:$A,"&gt;="&amp;O$1,Данные!$A:$A,"&lt;="&amp;O$2)</f>
        <v>0</v>
      </c>
      <c r="P43" cm="1">
        <f t="array" ref="P43">SUMIFS(Данные!$D:$D,Данные!$B:$B,$A43,Данные!$E:$E,P$3,Данные!$A:$A,"&gt;="&amp;P$1,Данные!$A:$A,"&lt;="&amp;P$2)</f>
        <v>0</v>
      </c>
      <c r="Q43" cm="1">
        <f t="array" ref="Q43">SUMIFS(Данные!$D:$D,Данные!$B:$B,$A43,Данные!$E:$E,Q$3,Данные!$A:$A,"&gt;="&amp;Q$1,Данные!$A:$A,"&lt;="&amp;Q$2)</f>
        <v>0</v>
      </c>
      <c r="R43" cm="1">
        <f t="array" ref="R43">SUMIFS(Данные!$D:$D,Данные!$B:$B,$A43,Данные!$E:$E,R$3,Данные!$A:$A,"&gt;="&amp;R$1,Данные!$A:$A,"&lt;="&amp;R$2)</f>
        <v>0</v>
      </c>
      <c r="S43" cm="1">
        <f t="array" ref="S43">SUMIFS(Данные!$D:$D,Данные!$B:$B,$A43,Данные!$E:$E,S$3,Данные!$A:$A,"&gt;="&amp;S$1,Данные!$A:$A,"&lt;="&amp;S$2)</f>
        <v>354886.40000000002</v>
      </c>
      <c r="T43" cm="1">
        <f t="array" ref="T43">SUMIFS(Данные!$D:$D,Данные!$B:$B,$A43,Данные!$E:$E,T$3,Данные!$A:$A,"&gt;="&amp;T$1,Данные!$A:$A,"&lt;="&amp;T$2)</f>
        <v>0</v>
      </c>
      <c r="U43" cm="1">
        <f t="array" ref="U43">SUMIFS(Данные!$D:$D,Данные!$B:$B,$A43,Данные!$E:$E,U$3,Данные!$A:$A,"&gt;="&amp;U$1,Данные!$A:$A,"&lt;="&amp;U$2)</f>
        <v>0</v>
      </c>
      <c r="V43" cm="1">
        <f t="array" ref="V43">SUMIFS(Данные!$D:$D,Данные!$B:$B,$A43,Данные!$E:$E,V$3,Данные!$A:$A,"&gt;="&amp;V$1,Данные!$A:$A,"&lt;="&amp;V$2)</f>
        <v>0</v>
      </c>
      <c r="W43" cm="1">
        <f t="array" ref="W43">SUMIFS(Данные!$D:$D,Данные!$B:$B,$A43,Данные!$E:$E,W$3,Данные!$A:$A,"&gt;="&amp;W$1,Данные!$A:$A,"&lt;="&amp;W$2)</f>
        <v>0</v>
      </c>
      <c r="X43" cm="1">
        <f t="array" ref="X43">SUMIFS(Данные!$D:$D,Данные!$B:$B,$A43,Данные!$E:$E,X$3,Данные!$A:$A,"&gt;="&amp;X$1,Данные!$A:$A,"&lt;="&amp;X$2)</f>
        <v>0</v>
      </c>
      <c r="Y43" cm="1">
        <f t="array" ref="Y43">SUMIFS(Данные!$D:$D,Данные!$B:$B,$A43,Данные!$E:$E,Y$3,Данные!$A:$A,"&gt;="&amp;Y$1,Данные!$A:$A,"&lt;="&amp;Y$2)</f>
        <v>0</v>
      </c>
      <c r="Z43" cm="1">
        <f t="array" ref="Z43">SUM(B43:Y43)</f>
        <v>796439</v>
      </c>
    </row>
    <row r="44" spans="1:26" x14ac:dyDescent="0.2">
      <c r="A44" t="str" cm="1">
        <f t="array" ref="A44">Статьи!A36</f>
        <v>Аренда 4</v>
      </c>
      <c r="B44" cm="1">
        <f t="array" ref="B44">SUMIFS(Данные!$D:$D,Данные!$B:$B,$A44,Данные!$E:$E,B$3,Данные!$A:$A,"&gt;="&amp;B$1,Данные!$A:$A,"&lt;="&amp;B$2)</f>
        <v>244646</v>
      </c>
      <c r="C44" cm="1">
        <f t="array" ref="C44">SUMIFS(Данные!$D:$D,Данные!$B:$B,$A44,Данные!$E:$E,C$3,Данные!$A:$A,"&gt;="&amp;C$1,Данные!$A:$A,"&lt;="&amp;C$2)</f>
        <v>0</v>
      </c>
      <c r="D44" cm="1">
        <f t="array" ref="D44">SUMIFS(Данные!$D:$D,Данные!$B:$B,$A44,Данные!$E:$E,D$3,Данные!$A:$A,"&gt;="&amp;D$1,Данные!$A:$A,"&lt;="&amp;D$2)</f>
        <v>0</v>
      </c>
      <c r="E44" cm="1">
        <f t="array" ref="E44">SUMIFS(Данные!$D:$D,Данные!$B:$B,$A44,Данные!$E:$E,E$3,Данные!$A:$A,"&gt;="&amp;E$1,Данные!$A:$A,"&lt;="&amp;E$2)</f>
        <v>8341.1299999999992</v>
      </c>
      <c r="F44" cm="1">
        <f t="array" ref="F44">SUMIFS(Данные!$D:$D,Данные!$B:$B,$A44,Данные!$E:$E,F$3,Данные!$A:$A,"&gt;="&amp;F$1,Данные!$A:$A,"&lt;="&amp;F$2)</f>
        <v>151237.54</v>
      </c>
      <c r="G44" cm="1">
        <f t="array" ref="G44">SUMIFS(Данные!$D:$D,Данные!$B:$B,$A44,Данные!$E:$E,G$3,Данные!$A:$A,"&gt;="&amp;G$1,Данные!$A:$A,"&lt;="&amp;G$2)</f>
        <v>230468.43</v>
      </c>
      <c r="H44" cm="1">
        <f t="array" ref="H44">SUMIFS(Данные!$D:$D,Данные!$B:$B,$A44,Данные!$E:$E,H$3,Данные!$A:$A,"&gt;="&amp;H$1,Данные!$A:$A,"&lt;="&amp;H$2)</f>
        <v>0</v>
      </c>
      <c r="I44" cm="1">
        <f t="array" ref="I44">SUMIFS(Данные!$D:$D,Данные!$B:$B,$A44,Данные!$E:$E,I$3,Данные!$A:$A,"&gt;="&amp;I$1,Данные!$A:$A,"&lt;="&amp;I$2)</f>
        <v>0</v>
      </c>
      <c r="J44" cm="1">
        <f t="array" ref="J44">SUMIFS(Данные!$D:$D,Данные!$B:$B,$A44,Данные!$E:$E,J$3,Данные!$A:$A,"&gt;="&amp;J$1,Данные!$A:$A,"&lt;="&amp;J$2)</f>
        <v>0</v>
      </c>
      <c r="K44" cm="1">
        <f t="array" ref="K44">SUMIFS(Данные!$D:$D,Данные!$B:$B,$A44,Данные!$E:$E,K$3,Данные!$A:$A,"&gt;="&amp;K$1,Данные!$A:$A,"&lt;="&amp;K$2)</f>
        <v>0</v>
      </c>
      <c r="L44" cm="1">
        <f t="array" ref="L44">SUMIFS(Данные!$D:$D,Данные!$B:$B,$A44,Данные!$E:$E,L$3,Данные!$A:$A,"&gt;="&amp;L$1,Данные!$A:$A,"&lt;="&amp;L$2)</f>
        <v>0</v>
      </c>
      <c r="M44" cm="1">
        <f t="array" ref="M44">SUMIFS(Данные!$D:$D,Данные!$B:$B,$A44,Данные!$E:$E,M$3,Данные!$A:$A,"&gt;="&amp;M$1,Данные!$A:$A,"&lt;="&amp;M$2)</f>
        <v>0</v>
      </c>
      <c r="N44" cm="1">
        <f t="array" ref="N44">SUMIFS(Данные!$D:$D,Данные!$B:$B,$A44,Данные!$E:$E,N$3,Данные!$A:$A,"&gt;="&amp;N$1,Данные!$A:$A,"&lt;="&amp;N$2)</f>
        <v>0</v>
      </c>
      <c r="O44" cm="1">
        <f t="array" ref="O44">SUMIFS(Данные!$D:$D,Данные!$B:$B,$A44,Данные!$E:$E,O$3,Данные!$A:$A,"&gt;="&amp;O$1,Данные!$A:$A,"&lt;="&amp;O$2)</f>
        <v>46530.92</v>
      </c>
      <c r="P44" cm="1">
        <f t="array" ref="P44">SUMIFS(Данные!$D:$D,Данные!$B:$B,$A44,Данные!$E:$E,P$3,Данные!$A:$A,"&gt;="&amp;P$1,Данные!$A:$A,"&lt;="&amp;P$2)</f>
        <v>0</v>
      </c>
      <c r="Q44" cm="1">
        <f t="array" ref="Q44">SUMIFS(Данные!$D:$D,Данные!$B:$B,$A44,Данные!$E:$E,Q$3,Данные!$A:$A,"&gt;="&amp;Q$1,Данные!$A:$A,"&lt;="&amp;Q$2)</f>
        <v>0</v>
      </c>
      <c r="R44" cm="1">
        <f t="array" ref="R44">SUMIFS(Данные!$D:$D,Данные!$B:$B,$A44,Данные!$E:$E,R$3,Данные!$A:$A,"&gt;="&amp;R$1,Данные!$A:$A,"&lt;="&amp;R$2)</f>
        <v>0</v>
      </c>
      <c r="S44" cm="1">
        <f t="array" ref="S44">SUMIFS(Данные!$D:$D,Данные!$B:$B,$A44,Данные!$E:$E,S$3,Данные!$A:$A,"&gt;="&amp;S$1,Данные!$A:$A,"&lt;="&amp;S$2)</f>
        <v>0</v>
      </c>
      <c r="T44" cm="1">
        <f t="array" ref="T44">SUMIFS(Данные!$D:$D,Данные!$B:$B,$A44,Данные!$E:$E,T$3,Данные!$A:$A,"&gt;="&amp;T$1,Данные!$A:$A,"&lt;="&amp;T$2)</f>
        <v>0</v>
      </c>
      <c r="U44" cm="1">
        <f t="array" ref="U44">SUMIFS(Данные!$D:$D,Данные!$B:$B,$A44,Данные!$E:$E,U$3,Данные!$A:$A,"&gt;="&amp;U$1,Данные!$A:$A,"&lt;="&amp;U$2)</f>
        <v>0</v>
      </c>
      <c r="V44" cm="1">
        <f t="array" ref="V44">SUMIFS(Данные!$D:$D,Данные!$B:$B,$A44,Данные!$E:$E,V$3,Данные!$A:$A,"&gt;="&amp;V$1,Данные!$A:$A,"&lt;="&amp;V$2)</f>
        <v>380221.97</v>
      </c>
      <c r="W44" cm="1">
        <f t="array" ref="W44">SUMIFS(Данные!$D:$D,Данные!$B:$B,$A44,Данные!$E:$E,W$3,Данные!$A:$A,"&gt;="&amp;W$1,Данные!$A:$A,"&lt;="&amp;W$2)</f>
        <v>0</v>
      </c>
      <c r="X44" cm="1">
        <f t="array" ref="X44">SUMIFS(Данные!$D:$D,Данные!$B:$B,$A44,Данные!$E:$E,X$3,Данные!$A:$A,"&gt;="&amp;X$1,Данные!$A:$A,"&lt;="&amp;X$2)</f>
        <v>0</v>
      </c>
      <c r="Y44" cm="1">
        <f t="array" ref="Y44">SUMIFS(Данные!$D:$D,Данные!$B:$B,$A44,Данные!$E:$E,Y$3,Данные!$A:$A,"&gt;="&amp;Y$1,Данные!$A:$A,"&lt;="&amp;Y$2)</f>
        <v>0</v>
      </c>
      <c r="Z44" cm="1">
        <f t="array" ref="Z44">SUM(B44:Y44)</f>
        <v>1061445.9900000002</v>
      </c>
    </row>
    <row r="45" spans="1:26" x14ac:dyDescent="0.2">
      <c r="A45" t="s">
        <v>465</v>
      </c>
      <c r="B45" cm="1">
        <f t="array" ref="B45">SUM(B40:B44)</f>
        <v>190968.26</v>
      </c>
      <c r="C45" cm="1">
        <f t="array" ref="C45">SUM(C40:C44)</f>
        <v>0</v>
      </c>
      <c r="D45" cm="1">
        <f t="array" ref="D45">SUM(D40:D44)</f>
        <v>12049.53</v>
      </c>
      <c r="E45" cm="1">
        <f t="array" ref="E45">SUM(E40:E44)</f>
        <v>-86255.08</v>
      </c>
      <c r="F45" cm="1">
        <f t="array" ref="F45">SUM(F40:F44)</f>
        <v>388546.44</v>
      </c>
      <c r="G45" cm="1">
        <f t="array" ref="G45">SUM(G40:G44)</f>
        <v>218461.05</v>
      </c>
      <c r="H45" cm="1">
        <f t="array" ref="H45">SUM(H40:H44)</f>
        <v>41880.120000000003</v>
      </c>
      <c r="I45" cm="1">
        <f t="array" ref="I45">SUM(I40:I44)</f>
        <v>-139139.56</v>
      </c>
      <c r="J45" cm="1">
        <f t="array" ref="J45">SUM(J40:J44)</f>
        <v>68375.149999999994</v>
      </c>
      <c r="K45" cm="1">
        <f t="array" ref="K45">SUM(K40:K44)</f>
        <v>0</v>
      </c>
      <c r="L45" cm="1">
        <f t="array" ref="L45">SUM(L40:L44)</f>
        <v>295997.21000000002</v>
      </c>
      <c r="M45" cm="1">
        <f t="array" ref="M45">SUM(M40:M44)</f>
        <v>531777.68999999994</v>
      </c>
      <c r="N45" cm="1">
        <f t="array" ref="N45">SUM(N40:N44)</f>
        <v>-95339.57</v>
      </c>
      <c r="O45" cm="1">
        <f t="array" ref="O45">SUM(O40:O44)</f>
        <v>253033.16999999998</v>
      </c>
      <c r="P45" cm="1">
        <f t="array" ref="P45">SUM(P40:P44)</f>
        <v>0</v>
      </c>
      <c r="Q45" cm="1">
        <f t="array" ref="Q45">SUM(Q40:Q44)</f>
        <v>412631.82999999996</v>
      </c>
      <c r="R45" cm="1">
        <f t="array" ref="R45">SUM(R40:R44)</f>
        <v>45712.399999999994</v>
      </c>
      <c r="S45" cm="1">
        <f t="array" ref="S45">SUM(S40:S44)</f>
        <v>348712.5</v>
      </c>
      <c r="T45" cm="1">
        <f t="array" ref="T45">SUM(T40:T44)</f>
        <v>-39945.230000000003</v>
      </c>
      <c r="U45" cm="1">
        <f t="array" ref="U45">SUM(U40:U44)</f>
        <v>433440.02</v>
      </c>
      <c r="V45" cm="1">
        <f t="array" ref="V45">SUM(V40:V44)</f>
        <v>380221.97</v>
      </c>
      <c r="W45" cm="1">
        <f t="array" ref="W45">SUM(W40:W44)</f>
        <v>0</v>
      </c>
      <c r="X45" cm="1">
        <f t="array" ref="X45">SUM(X40:X44)</f>
        <v>0</v>
      </c>
      <c r="Y45" cm="1">
        <f t="array" ref="Y45">SUM(Y40:Y44)</f>
        <v>286133.45</v>
      </c>
      <c r="Z45" cm="1">
        <f t="array" ref="Z45">SUM(Z40:Z44)</f>
        <v>3547261.35</v>
      </c>
    </row>
    <row r="46" spans="1:26" x14ac:dyDescent="0.2">
      <c r="A46" t="str" cm="1">
        <f t="array" ref="A46">Статьи!A37</f>
        <v>Связь 4</v>
      </c>
      <c r="B46" cm="1">
        <f t="array" ref="B46">SUMIFS(Данные!$D:$D,Данные!$B:$B,$A46,Данные!$E:$E,B$3,Данные!$A:$A,"&gt;="&amp;B$1,Данные!$A:$A,"&lt;="&amp;B$2)</f>
        <v>12844.7</v>
      </c>
      <c r="C46" cm="1">
        <f t="array" ref="C46">SUMIFS(Данные!$D:$D,Данные!$B:$B,$A46,Данные!$E:$E,C$3,Данные!$A:$A,"&gt;="&amp;C$1,Данные!$A:$A,"&lt;="&amp;C$2)</f>
        <v>0</v>
      </c>
      <c r="D46" cm="1">
        <f t="array" ref="D46">SUMIFS(Данные!$D:$D,Данные!$B:$B,$A46,Данные!$E:$E,D$3,Данные!$A:$A,"&gt;="&amp;D$1,Данные!$A:$A,"&lt;="&amp;D$2)</f>
        <v>0</v>
      </c>
      <c r="E46" cm="1">
        <f t="array" ref="E46">SUMIFS(Данные!$D:$D,Данные!$B:$B,$A46,Данные!$E:$E,E$3,Данные!$A:$A,"&gt;="&amp;E$1,Данные!$A:$A,"&lt;="&amp;E$2)</f>
        <v>263411.21999999997</v>
      </c>
      <c r="F46" cm="1">
        <f t="array" ref="F46">SUMIFS(Данные!$D:$D,Данные!$B:$B,$A46,Данные!$E:$E,F$3,Данные!$A:$A,"&gt;="&amp;F$1,Данные!$A:$A,"&lt;="&amp;F$2)</f>
        <v>0</v>
      </c>
      <c r="G46" cm="1">
        <f t="array" ref="G46">SUMIFS(Данные!$D:$D,Данные!$B:$B,$A46,Данные!$E:$E,G$3,Данные!$A:$A,"&gt;="&amp;G$1,Данные!$A:$A,"&lt;="&amp;G$2)</f>
        <v>0</v>
      </c>
      <c r="H46" cm="1">
        <f t="array" ref="H46">SUMIFS(Данные!$D:$D,Данные!$B:$B,$A46,Данные!$E:$E,H$3,Данные!$A:$A,"&gt;="&amp;H$1,Данные!$A:$A,"&lt;="&amp;H$2)</f>
        <v>0</v>
      </c>
      <c r="I46" cm="1">
        <f t="array" ref="I46">SUMIFS(Данные!$D:$D,Данные!$B:$B,$A46,Данные!$E:$E,I$3,Данные!$A:$A,"&gt;="&amp;I$1,Данные!$A:$A,"&lt;="&amp;I$2)</f>
        <v>0</v>
      </c>
      <c r="J46" cm="1">
        <f t="array" ref="J46">SUMIFS(Данные!$D:$D,Данные!$B:$B,$A46,Данные!$E:$E,J$3,Данные!$A:$A,"&gt;="&amp;J$1,Данные!$A:$A,"&lt;="&amp;J$2)</f>
        <v>0</v>
      </c>
      <c r="K46" cm="1">
        <f t="array" ref="K46">SUMIFS(Данные!$D:$D,Данные!$B:$B,$A46,Данные!$E:$E,K$3,Данные!$A:$A,"&gt;="&amp;K$1,Данные!$A:$A,"&lt;="&amp;K$2)</f>
        <v>331308.82</v>
      </c>
      <c r="L46" cm="1">
        <f t="array" ref="L46">SUMIFS(Данные!$D:$D,Данные!$B:$B,$A46,Данные!$E:$E,L$3,Данные!$A:$A,"&gt;="&amp;L$1,Данные!$A:$A,"&lt;="&amp;L$2)</f>
        <v>302386.02</v>
      </c>
      <c r="M46" cm="1">
        <f t="array" ref="M46">SUMIFS(Данные!$D:$D,Данные!$B:$B,$A46,Данные!$E:$E,M$3,Данные!$A:$A,"&gt;="&amp;M$1,Данные!$A:$A,"&lt;="&amp;M$2)</f>
        <v>0</v>
      </c>
      <c r="N46" cm="1">
        <f t="array" ref="N46">SUMIFS(Данные!$D:$D,Данные!$B:$B,$A46,Данные!$E:$E,N$3,Данные!$A:$A,"&gt;="&amp;N$1,Данные!$A:$A,"&lt;="&amp;N$2)</f>
        <v>0</v>
      </c>
      <c r="O46" cm="1">
        <f t="array" ref="O46">SUMIFS(Данные!$D:$D,Данные!$B:$B,$A46,Данные!$E:$E,O$3,Данные!$A:$A,"&gt;="&amp;O$1,Данные!$A:$A,"&lt;="&amp;O$2)</f>
        <v>0</v>
      </c>
      <c r="P46" cm="1">
        <f t="array" ref="P46">SUMIFS(Данные!$D:$D,Данные!$B:$B,$A46,Данные!$E:$E,P$3,Данные!$A:$A,"&gt;="&amp;P$1,Данные!$A:$A,"&lt;="&amp;P$2)</f>
        <v>0</v>
      </c>
      <c r="Q46" cm="1">
        <f t="array" ref="Q46">SUMIFS(Данные!$D:$D,Данные!$B:$B,$A46,Данные!$E:$E,Q$3,Данные!$A:$A,"&gt;="&amp;Q$1,Данные!$A:$A,"&lt;="&amp;Q$2)</f>
        <v>275085.8</v>
      </c>
      <c r="R46" cm="1">
        <f t="array" ref="R46">SUMIFS(Данные!$D:$D,Данные!$B:$B,$A46,Данные!$E:$E,R$3,Данные!$A:$A,"&gt;="&amp;R$1,Данные!$A:$A,"&lt;="&amp;R$2)</f>
        <v>0</v>
      </c>
      <c r="S46" cm="1">
        <f t="array" ref="S46">SUMIFS(Данные!$D:$D,Данные!$B:$B,$A46,Данные!$E:$E,S$3,Данные!$A:$A,"&gt;="&amp;S$1,Данные!$A:$A,"&lt;="&amp;S$2)</f>
        <v>0</v>
      </c>
      <c r="T46" cm="1">
        <f t="array" ref="T46">SUMIFS(Данные!$D:$D,Данные!$B:$B,$A46,Данные!$E:$E,T$3,Данные!$A:$A,"&gt;="&amp;T$1,Данные!$A:$A,"&lt;="&amp;T$2)</f>
        <v>0</v>
      </c>
      <c r="U46" cm="1">
        <f t="array" ref="U46">SUMIFS(Данные!$D:$D,Данные!$B:$B,$A46,Данные!$E:$E,U$3,Данные!$A:$A,"&gt;="&amp;U$1,Данные!$A:$A,"&lt;="&amp;U$2)</f>
        <v>0</v>
      </c>
      <c r="V46" cm="1">
        <f t="array" ref="V46">SUMIFS(Данные!$D:$D,Данные!$B:$B,$A46,Данные!$E:$E,V$3,Данные!$A:$A,"&gt;="&amp;V$1,Данные!$A:$A,"&lt;="&amp;V$2)</f>
        <v>0</v>
      </c>
      <c r="W46" cm="1">
        <f t="array" ref="W46">SUMIFS(Данные!$D:$D,Данные!$B:$B,$A46,Данные!$E:$E,W$3,Данные!$A:$A,"&gt;="&amp;W$1,Данные!$A:$A,"&lt;="&amp;W$2)</f>
        <v>0</v>
      </c>
      <c r="X46" cm="1">
        <f t="array" ref="X46">SUMIFS(Данные!$D:$D,Данные!$B:$B,$A46,Данные!$E:$E,X$3,Данные!$A:$A,"&gt;="&amp;X$1,Данные!$A:$A,"&lt;="&amp;X$2)</f>
        <v>0</v>
      </c>
      <c r="Y46" cm="1">
        <f t="array" ref="Y46">SUMIFS(Данные!$D:$D,Данные!$B:$B,$A46,Данные!$E:$E,Y$3,Данные!$A:$A,"&gt;="&amp;Y$1,Данные!$A:$A,"&lt;="&amp;Y$2)</f>
        <v>206710.29</v>
      </c>
      <c r="Z46" cm="1">
        <f t="array" ref="Z46">SUM(B46:Y46)</f>
        <v>1391746.85</v>
      </c>
    </row>
    <row r="47" spans="1:26" x14ac:dyDescent="0.2">
      <c r="A47" t="str" cm="1">
        <f t="array" ref="A47">Статьи!A38</f>
        <v>Налог 4</v>
      </c>
      <c r="B47" cm="1">
        <f t="array" ref="B47">SUMIFS(Данные!$D:$D,Данные!$B:$B,$A47,Данные!$E:$E,B$3,Данные!$A:$A,"&gt;="&amp;B$1,Данные!$A:$A,"&lt;="&amp;B$2)</f>
        <v>0</v>
      </c>
      <c r="C47" cm="1">
        <f t="array" ref="C47">SUMIFS(Данные!$D:$D,Данные!$B:$B,$A47,Данные!$E:$E,C$3,Данные!$A:$A,"&gt;="&amp;C$1,Данные!$A:$A,"&lt;="&amp;C$2)</f>
        <v>0</v>
      </c>
      <c r="D47" cm="1">
        <f t="array" ref="D47">SUMIFS(Данные!$D:$D,Данные!$B:$B,$A47,Данные!$E:$E,D$3,Данные!$A:$A,"&gt;="&amp;D$1,Данные!$A:$A,"&lt;="&amp;D$2)</f>
        <v>0</v>
      </c>
      <c r="E47" cm="1">
        <f t="array" ref="E47">SUMIFS(Данные!$D:$D,Данные!$B:$B,$A47,Данные!$E:$E,E$3,Данные!$A:$A,"&gt;="&amp;E$1,Данные!$A:$A,"&lt;="&amp;E$2)</f>
        <v>0</v>
      </c>
      <c r="F47" cm="1">
        <f t="array" ref="F47">SUMIFS(Данные!$D:$D,Данные!$B:$B,$A47,Данные!$E:$E,F$3,Данные!$A:$A,"&gt;="&amp;F$1,Данные!$A:$A,"&lt;="&amp;F$2)</f>
        <v>0</v>
      </c>
      <c r="G47" cm="1">
        <f t="array" ref="G47">SUMIFS(Данные!$D:$D,Данные!$B:$B,$A47,Данные!$E:$E,G$3,Данные!$A:$A,"&gt;="&amp;G$1,Данные!$A:$A,"&lt;="&amp;G$2)</f>
        <v>0</v>
      </c>
      <c r="H47" cm="1">
        <f t="array" ref="H47">SUMIFS(Данные!$D:$D,Данные!$B:$B,$A47,Данные!$E:$E,H$3,Данные!$A:$A,"&gt;="&amp;H$1,Данные!$A:$A,"&lt;="&amp;H$2)</f>
        <v>0</v>
      </c>
      <c r="I47" cm="1">
        <f t="array" ref="I47">SUMIFS(Данные!$D:$D,Данные!$B:$B,$A47,Данные!$E:$E,I$3,Данные!$A:$A,"&gt;="&amp;I$1,Данные!$A:$A,"&lt;="&amp;I$2)</f>
        <v>0</v>
      </c>
      <c r="J47" cm="1">
        <f t="array" ref="J47">SUMIFS(Данные!$D:$D,Данные!$B:$B,$A47,Данные!$E:$E,J$3,Данные!$A:$A,"&gt;="&amp;J$1,Данные!$A:$A,"&lt;="&amp;J$2)</f>
        <v>0</v>
      </c>
      <c r="K47" cm="1">
        <f t="array" ref="K47">SUMIFS(Данные!$D:$D,Данные!$B:$B,$A47,Данные!$E:$E,K$3,Данные!$A:$A,"&gt;="&amp;K$1,Данные!$A:$A,"&lt;="&amp;K$2)</f>
        <v>297671.82</v>
      </c>
      <c r="L47" cm="1">
        <f t="array" ref="L47">SUMIFS(Данные!$D:$D,Данные!$B:$B,$A47,Данные!$E:$E,L$3,Данные!$A:$A,"&gt;="&amp;L$1,Данные!$A:$A,"&lt;="&amp;L$2)</f>
        <v>0</v>
      </c>
      <c r="M47" cm="1">
        <f t="array" ref="M47">SUMIFS(Данные!$D:$D,Данные!$B:$B,$A47,Данные!$E:$E,M$3,Данные!$A:$A,"&gt;="&amp;M$1,Данные!$A:$A,"&lt;="&amp;M$2)</f>
        <v>0</v>
      </c>
      <c r="N47" cm="1">
        <f t="array" ref="N47">SUMIFS(Данные!$D:$D,Данные!$B:$B,$A47,Данные!$E:$E,N$3,Данные!$A:$A,"&gt;="&amp;N$1,Данные!$A:$A,"&lt;="&amp;N$2)</f>
        <v>0</v>
      </c>
      <c r="O47" cm="1">
        <f t="array" ref="O47">SUMIFS(Данные!$D:$D,Данные!$B:$B,$A47,Данные!$E:$E,O$3,Данные!$A:$A,"&gt;="&amp;O$1,Данные!$A:$A,"&lt;="&amp;O$2)</f>
        <v>0</v>
      </c>
      <c r="P47" cm="1">
        <f t="array" ref="P47">SUMIFS(Данные!$D:$D,Данные!$B:$B,$A47,Данные!$E:$E,P$3,Данные!$A:$A,"&gt;="&amp;P$1,Данные!$A:$A,"&lt;="&amp;P$2)</f>
        <v>0</v>
      </c>
      <c r="Q47" cm="1">
        <f t="array" ref="Q47">SUMIFS(Данные!$D:$D,Данные!$B:$B,$A47,Данные!$E:$E,Q$3,Данные!$A:$A,"&gt;="&amp;Q$1,Данные!$A:$A,"&lt;="&amp;Q$2)</f>
        <v>0</v>
      </c>
      <c r="R47" cm="1">
        <f t="array" ref="R47">SUMIFS(Данные!$D:$D,Данные!$B:$B,$A47,Данные!$E:$E,R$3,Данные!$A:$A,"&gt;="&amp;R$1,Данные!$A:$A,"&lt;="&amp;R$2)</f>
        <v>0</v>
      </c>
      <c r="S47" cm="1">
        <f t="array" ref="S47">SUMIFS(Данные!$D:$D,Данные!$B:$B,$A47,Данные!$E:$E,S$3,Данные!$A:$A,"&gt;="&amp;S$1,Данные!$A:$A,"&lt;="&amp;S$2)</f>
        <v>0</v>
      </c>
      <c r="T47" cm="1">
        <f t="array" ref="T47">SUMIFS(Данные!$D:$D,Данные!$B:$B,$A47,Данные!$E:$E,T$3,Данные!$A:$A,"&gt;="&amp;T$1,Данные!$A:$A,"&lt;="&amp;T$2)</f>
        <v>0</v>
      </c>
      <c r="U47" cm="1">
        <f t="array" ref="U47">SUMIFS(Данные!$D:$D,Данные!$B:$B,$A47,Данные!$E:$E,U$3,Данные!$A:$A,"&gt;="&amp;U$1,Данные!$A:$A,"&lt;="&amp;U$2)</f>
        <v>49937.77</v>
      </c>
      <c r="V47" cm="1">
        <f t="array" ref="V47">SUMIFS(Данные!$D:$D,Данные!$B:$B,$A47,Данные!$E:$E,V$3,Данные!$A:$A,"&gt;="&amp;V$1,Данные!$A:$A,"&lt;="&amp;V$2)</f>
        <v>167868.39</v>
      </c>
      <c r="W47" cm="1">
        <f t="array" ref="W47">SUMIFS(Данные!$D:$D,Данные!$B:$B,$A47,Данные!$E:$E,W$3,Данные!$A:$A,"&gt;="&amp;W$1,Данные!$A:$A,"&lt;="&amp;W$2)</f>
        <v>0</v>
      </c>
      <c r="X47" cm="1">
        <f t="array" ref="X47">SUMIFS(Данные!$D:$D,Данные!$B:$B,$A47,Данные!$E:$E,X$3,Данные!$A:$A,"&gt;="&amp;X$1,Данные!$A:$A,"&lt;="&amp;X$2)</f>
        <v>93154.72</v>
      </c>
      <c r="Y47" cm="1">
        <f t="array" ref="Y47">SUMIFS(Данные!$D:$D,Данные!$B:$B,$A47,Данные!$E:$E,Y$3,Данные!$A:$A,"&gt;="&amp;Y$1,Данные!$A:$A,"&lt;="&amp;Y$2)</f>
        <v>354152.44</v>
      </c>
      <c r="Z47" cm="1">
        <f t="array" ref="Z47">SUM(B47:Y47)</f>
        <v>962785.14000000013</v>
      </c>
    </row>
    <row r="48" spans="1:26" x14ac:dyDescent="0.2">
      <c r="A48" t="str" cm="1">
        <f t="array" ref="A48">Статьи!A39</f>
        <v>Доход 4</v>
      </c>
      <c r="B48" cm="1">
        <f t="array" ref="B48">SUMIFS(Данные!$D:$D,Данные!$B:$B,$A48,Данные!$E:$E,B$3,Данные!$A:$A,"&gt;="&amp;B$1,Данные!$A:$A,"&lt;="&amp;B$2)</f>
        <v>-60052.41</v>
      </c>
      <c r="C48" cm="1">
        <f t="array" ref="C48">SUMIFS(Данные!$D:$D,Данные!$B:$B,$A48,Данные!$E:$E,C$3,Данные!$A:$A,"&gt;="&amp;C$1,Данные!$A:$A,"&lt;="&amp;C$2)</f>
        <v>0</v>
      </c>
      <c r="D48" cm="1">
        <f t="array" ref="D48">SUMIFS(Данные!$D:$D,Данные!$B:$B,$A48,Данные!$E:$E,D$3,Данные!$A:$A,"&gt;="&amp;D$1,Данные!$A:$A,"&lt;="&amp;D$2)</f>
        <v>0</v>
      </c>
      <c r="E48" cm="1">
        <f t="array" ref="E48">SUMIFS(Данные!$D:$D,Данные!$B:$B,$A48,Данные!$E:$E,E$3,Данные!$A:$A,"&gt;="&amp;E$1,Данные!$A:$A,"&lt;="&amp;E$2)</f>
        <v>-22998.85</v>
      </c>
      <c r="F48" cm="1">
        <f t="array" ref="F48">SUMIFS(Данные!$D:$D,Данные!$B:$B,$A48,Данные!$E:$E,F$3,Данные!$A:$A,"&gt;="&amp;F$1,Данные!$A:$A,"&lt;="&amp;F$2)</f>
        <v>165967.20000000001</v>
      </c>
      <c r="G48" cm="1">
        <f t="array" ref="G48">SUMIFS(Данные!$D:$D,Данные!$B:$B,$A48,Данные!$E:$E,G$3,Данные!$A:$A,"&gt;="&amp;G$1,Данные!$A:$A,"&lt;="&amp;G$2)</f>
        <v>0</v>
      </c>
      <c r="H48" cm="1">
        <f t="array" ref="H48">SUMIFS(Данные!$D:$D,Данные!$B:$B,$A48,Данные!$E:$E,H$3,Данные!$A:$A,"&gt;="&amp;H$1,Данные!$A:$A,"&lt;="&amp;H$2)</f>
        <v>0</v>
      </c>
      <c r="I48" cm="1">
        <f t="array" ref="I48">SUMIFS(Данные!$D:$D,Данные!$B:$B,$A48,Данные!$E:$E,I$3,Данные!$A:$A,"&gt;="&amp;I$1,Данные!$A:$A,"&lt;="&amp;I$2)</f>
        <v>0</v>
      </c>
      <c r="J48" cm="1">
        <f t="array" ref="J48">SUMIFS(Данные!$D:$D,Данные!$B:$B,$A48,Данные!$E:$E,J$3,Данные!$A:$A,"&gt;="&amp;J$1,Данные!$A:$A,"&lt;="&amp;J$2)</f>
        <v>0</v>
      </c>
      <c r="K48" cm="1">
        <f t="array" ref="K48">SUMIFS(Данные!$D:$D,Данные!$B:$B,$A48,Данные!$E:$E,K$3,Данные!$A:$A,"&gt;="&amp;K$1,Данные!$A:$A,"&lt;="&amp;K$2)</f>
        <v>0</v>
      </c>
      <c r="L48" cm="1">
        <f t="array" ref="L48">SUMIFS(Данные!$D:$D,Данные!$B:$B,$A48,Данные!$E:$E,L$3,Данные!$A:$A,"&gt;="&amp;L$1,Данные!$A:$A,"&lt;="&amp;L$2)</f>
        <v>0</v>
      </c>
      <c r="M48" cm="1">
        <f t="array" ref="M48">SUMIFS(Данные!$D:$D,Данные!$B:$B,$A48,Данные!$E:$E,M$3,Данные!$A:$A,"&gt;="&amp;M$1,Данные!$A:$A,"&lt;="&amp;M$2)</f>
        <v>0</v>
      </c>
      <c r="N48" cm="1">
        <f t="array" ref="N48">SUMIFS(Данные!$D:$D,Данные!$B:$B,$A48,Данные!$E:$E,N$3,Данные!$A:$A,"&gt;="&amp;N$1,Данные!$A:$A,"&lt;="&amp;N$2)</f>
        <v>31149.099999999991</v>
      </c>
      <c r="O48" cm="1">
        <f t="array" ref="O48">SUMIFS(Данные!$D:$D,Данные!$B:$B,$A48,Данные!$E:$E,O$3,Данные!$A:$A,"&gt;="&amp;O$1,Данные!$A:$A,"&lt;="&amp;O$2)</f>
        <v>0</v>
      </c>
      <c r="P48" cm="1">
        <f t="array" ref="P48">SUMIFS(Данные!$D:$D,Данные!$B:$B,$A48,Данные!$E:$E,P$3,Данные!$A:$A,"&gt;="&amp;P$1,Данные!$A:$A,"&lt;="&amp;P$2)</f>
        <v>0</v>
      </c>
      <c r="Q48" cm="1">
        <f t="array" ref="Q48">SUMIFS(Данные!$D:$D,Данные!$B:$B,$A48,Данные!$E:$E,Q$3,Данные!$A:$A,"&gt;="&amp;Q$1,Данные!$A:$A,"&lt;="&amp;Q$2)</f>
        <v>179183.33</v>
      </c>
      <c r="R48" cm="1">
        <f t="array" ref="R48">SUMIFS(Данные!$D:$D,Данные!$B:$B,$A48,Данные!$E:$E,R$3,Данные!$A:$A,"&gt;="&amp;R$1,Данные!$A:$A,"&lt;="&amp;R$2)</f>
        <v>0</v>
      </c>
      <c r="S48" cm="1">
        <f t="array" ref="S48">SUMIFS(Данные!$D:$D,Данные!$B:$B,$A48,Данные!$E:$E,S$3,Данные!$A:$A,"&gt;="&amp;S$1,Данные!$A:$A,"&lt;="&amp;S$2)</f>
        <v>285593.17</v>
      </c>
      <c r="T48" cm="1">
        <f t="array" ref="T48">SUMIFS(Данные!$D:$D,Данные!$B:$B,$A48,Данные!$E:$E,T$3,Данные!$A:$A,"&gt;="&amp;T$1,Данные!$A:$A,"&lt;="&amp;T$2)</f>
        <v>0</v>
      </c>
      <c r="U48" cm="1">
        <f t="array" ref="U48">SUMIFS(Данные!$D:$D,Данные!$B:$B,$A48,Данные!$E:$E,U$3,Данные!$A:$A,"&gt;="&amp;U$1,Данные!$A:$A,"&lt;="&amp;U$2)</f>
        <v>0</v>
      </c>
      <c r="V48" cm="1">
        <f t="array" ref="V48">SUMIFS(Данные!$D:$D,Данные!$B:$B,$A48,Данные!$E:$E,V$3,Данные!$A:$A,"&gt;="&amp;V$1,Данные!$A:$A,"&lt;="&amp;V$2)</f>
        <v>0</v>
      </c>
      <c r="W48" cm="1">
        <f t="array" ref="W48">SUMIFS(Данные!$D:$D,Данные!$B:$B,$A48,Данные!$E:$E,W$3,Данные!$A:$A,"&gt;="&amp;W$1,Данные!$A:$A,"&lt;="&amp;W$2)</f>
        <v>-99624.98</v>
      </c>
      <c r="X48" cm="1">
        <f t="array" ref="X48">SUMIFS(Данные!$D:$D,Данные!$B:$B,$A48,Данные!$E:$E,X$3,Данные!$A:$A,"&gt;="&amp;X$1,Данные!$A:$A,"&lt;="&amp;X$2)</f>
        <v>317210.93</v>
      </c>
      <c r="Y48" cm="1">
        <f t="array" ref="Y48">SUMIFS(Данные!$D:$D,Данные!$B:$B,$A48,Данные!$E:$E,Y$3,Данные!$A:$A,"&gt;="&amp;Y$1,Данные!$A:$A,"&lt;="&amp;Y$2)</f>
        <v>0</v>
      </c>
      <c r="Z48" cm="1">
        <f t="array" ref="Z48">SUM(B48:Y48)</f>
        <v>796427.49</v>
      </c>
    </row>
    <row r="49" spans="1:26" x14ac:dyDescent="0.2">
      <c r="A49" t="str" cm="1">
        <f t="array" ref="A49">Статьи!A40</f>
        <v>Сырьё 4</v>
      </c>
      <c r="B49" cm="1">
        <f t="array" ref="B49">SUMIFS(Данные!$D:$D,Данные!$B:$B,$A49,Данные!$E:$E,B$3,Данные!$A:$A,"&gt;="&amp;B$1,Данные!$A:$A,"&lt;="&amp;B$2)</f>
        <v>0</v>
      </c>
      <c r="C49" cm="1">
        <f t="array" ref="C49">SUMIFS(Данные!$D:$D,Данные!$B:$B,$A49,Данные!$E:$E,C$3,Данные!$A:$A,"&gt;="&amp;C$1,Данные!$A:$A,"&lt;="&amp;C$2)</f>
        <v>0</v>
      </c>
      <c r="D49" cm="1">
        <f t="array" ref="D49">SUMIFS(Данные!$D:$D,Данные!$B:$B,$A49,Данные!$E:$E,D$3,Данные!$A:$A,"&gt;="&amp;D$1,Данные!$A:$A,"&lt;="&amp;D$2)</f>
        <v>301703.81</v>
      </c>
      <c r="E49" cm="1">
        <f t="array" ref="E49">SUMIFS(Данные!$D:$D,Данные!$B:$B,$A49,Данные!$E:$E,E$3,Данные!$A:$A,"&gt;="&amp;E$1,Данные!$A:$A,"&lt;="&amp;E$2)</f>
        <v>0</v>
      </c>
      <c r="F49" cm="1">
        <f t="array" ref="F49">SUMIFS(Данные!$D:$D,Данные!$B:$B,$A49,Данные!$E:$E,F$3,Данные!$A:$A,"&gt;="&amp;F$1,Данные!$A:$A,"&lt;="&amp;F$2)</f>
        <v>-77915.360000000001</v>
      </c>
      <c r="G49" cm="1">
        <f t="array" ref="G49">SUMIFS(Данные!$D:$D,Данные!$B:$B,$A49,Данные!$E:$E,G$3,Данные!$A:$A,"&gt;="&amp;G$1,Данные!$A:$A,"&lt;="&amp;G$2)</f>
        <v>0</v>
      </c>
      <c r="H49" cm="1">
        <f t="array" ref="H49">SUMIFS(Данные!$D:$D,Данные!$B:$B,$A49,Данные!$E:$E,H$3,Данные!$A:$A,"&gt;="&amp;H$1,Данные!$A:$A,"&lt;="&amp;H$2)</f>
        <v>47294.32</v>
      </c>
      <c r="I49" cm="1">
        <f t="array" ref="I49">SUMIFS(Данные!$D:$D,Данные!$B:$B,$A49,Данные!$E:$E,I$3,Данные!$A:$A,"&gt;="&amp;I$1,Данные!$A:$A,"&lt;="&amp;I$2)</f>
        <v>508513.69</v>
      </c>
      <c r="J49" cm="1">
        <f t="array" ref="J49">SUMIFS(Данные!$D:$D,Данные!$B:$B,$A49,Данные!$E:$E,J$3,Данные!$A:$A,"&gt;="&amp;J$1,Данные!$A:$A,"&lt;="&amp;J$2)</f>
        <v>0</v>
      </c>
      <c r="K49" cm="1">
        <f t="array" ref="K49">SUMIFS(Данные!$D:$D,Данные!$B:$B,$A49,Данные!$E:$E,K$3,Данные!$A:$A,"&gt;="&amp;K$1,Данные!$A:$A,"&lt;="&amp;K$2)</f>
        <v>247002.34</v>
      </c>
      <c r="L49" cm="1">
        <f t="array" ref="L49">SUMIFS(Данные!$D:$D,Данные!$B:$B,$A49,Данные!$E:$E,L$3,Данные!$A:$A,"&gt;="&amp;L$1,Данные!$A:$A,"&lt;="&amp;L$2)</f>
        <v>181334.39</v>
      </c>
      <c r="M49" cm="1">
        <f t="array" ref="M49">SUMIFS(Данные!$D:$D,Данные!$B:$B,$A49,Данные!$E:$E,M$3,Данные!$A:$A,"&gt;="&amp;M$1,Данные!$A:$A,"&lt;="&amp;M$2)</f>
        <v>151262.53</v>
      </c>
      <c r="N49" cm="1">
        <f t="array" ref="N49">SUMIFS(Данные!$D:$D,Данные!$B:$B,$A49,Данные!$E:$E,N$3,Данные!$A:$A,"&gt;="&amp;N$1,Данные!$A:$A,"&lt;="&amp;N$2)</f>
        <v>0</v>
      </c>
      <c r="O49" cm="1">
        <f t="array" ref="O49">SUMIFS(Данные!$D:$D,Данные!$B:$B,$A49,Данные!$E:$E,O$3,Данные!$A:$A,"&gt;="&amp;O$1,Данные!$A:$A,"&lt;="&amp;O$2)</f>
        <v>0</v>
      </c>
      <c r="P49" cm="1">
        <f t="array" ref="P49">SUMIFS(Данные!$D:$D,Данные!$B:$B,$A49,Данные!$E:$E,P$3,Данные!$A:$A,"&gt;="&amp;P$1,Данные!$A:$A,"&lt;="&amp;P$2)</f>
        <v>132167.10999999999</v>
      </c>
      <c r="Q49" cm="1">
        <f t="array" ref="Q49">SUMIFS(Данные!$D:$D,Данные!$B:$B,$A49,Данные!$E:$E,Q$3,Данные!$A:$A,"&gt;="&amp;Q$1,Данные!$A:$A,"&lt;="&amp;Q$2)</f>
        <v>390525.48</v>
      </c>
      <c r="R49" cm="1">
        <f t="array" ref="R49">SUMIFS(Данные!$D:$D,Данные!$B:$B,$A49,Данные!$E:$E,R$3,Данные!$A:$A,"&gt;="&amp;R$1,Данные!$A:$A,"&lt;="&amp;R$2)</f>
        <v>0</v>
      </c>
      <c r="S49" cm="1">
        <f t="array" ref="S49">SUMIFS(Данные!$D:$D,Данные!$B:$B,$A49,Данные!$E:$E,S$3,Данные!$A:$A,"&gt;="&amp;S$1,Данные!$A:$A,"&lt;="&amp;S$2)</f>
        <v>0</v>
      </c>
      <c r="T49" cm="1">
        <f t="array" ref="T49">SUMIFS(Данные!$D:$D,Данные!$B:$B,$A49,Данные!$E:$E,T$3,Данные!$A:$A,"&gt;="&amp;T$1,Данные!$A:$A,"&lt;="&amp;T$2)</f>
        <v>124303.1</v>
      </c>
      <c r="U49" cm="1">
        <f t="array" ref="U49">SUMIFS(Данные!$D:$D,Данные!$B:$B,$A49,Данные!$E:$E,U$3,Данные!$A:$A,"&gt;="&amp;U$1,Данные!$A:$A,"&lt;="&amp;U$2)</f>
        <v>0</v>
      </c>
      <c r="V49" cm="1">
        <f t="array" ref="V49">SUMIFS(Данные!$D:$D,Данные!$B:$B,$A49,Данные!$E:$E,V$3,Данные!$A:$A,"&gt;="&amp;V$1,Данные!$A:$A,"&lt;="&amp;V$2)</f>
        <v>0</v>
      </c>
      <c r="W49" cm="1">
        <f t="array" ref="W49">SUMIFS(Данные!$D:$D,Данные!$B:$B,$A49,Данные!$E:$E,W$3,Данные!$A:$A,"&gt;="&amp;W$1,Данные!$A:$A,"&lt;="&amp;W$2)</f>
        <v>0</v>
      </c>
      <c r="X49" cm="1">
        <f t="array" ref="X49">SUMIFS(Данные!$D:$D,Данные!$B:$B,$A49,Данные!$E:$E,X$3,Данные!$A:$A,"&gt;="&amp;X$1,Данные!$A:$A,"&lt;="&amp;X$2)</f>
        <v>0</v>
      </c>
      <c r="Y49" cm="1">
        <f t="array" ref="Y49">SUMIFS(Данные!$D:$D,Данные!$B:$B,$A49,Данные!$E:$E,Y$3,Данные!$A:$A,"&gt;="&amp;Y$1,Данные!$A:$A,"&lt;="&amp;Y$2)</f>
        <v>0</v>
      </c>
      <c r="Z49" cm="1">
        <f t="array" ref="Z49">SUM(B49:Y49)</f>
        <v>2006191.4100000001</v>
      </c>
    </row>
    <row r="50" spans="1:26" x14ac:dyDescent="0.2">
      <c r="A50" t="str" cm="1">
        <f t="array" ref="A50">Статьи!A41</f>
        <v>Сырье 4</v>
      </c>
      <c r="B50" cm="1">
        <f t="array" ref="B50">SUMIFS(Данные!$D:$D,Данные!$B:$B,$A50,Данные!$E:$E,B$3,Данные!$A:$A,"&gt;="&amp;B$1,Данные!$A:$A,"&lt;="&amp;B$2)</f>
        <v>0</v>
      </c>
      <c r="C50" cm="1">
        <f t="array" ref="C50">SUMIFS(Данные!$D:$D,Данные!$B:$B,$A50,Данные!$E:$E,C$3,Данные!$A:$A,"&gt;="&amp;C$1,Данные!$A:$A,"&lt;="&amp;C$2)</f>
        <v>2514.75</v>
      </c>
      <c r="D50" cm="1">
        <f t="array" ref="D50">SUMIFS(Данные!$D:$D,Данные!$B:$B,$A50,Данные!$E:$E,D$3,Данные!$A:$A,"&gt;="&amp;D$1,Данные!$A:$A,"&lt;="&amp;D$2)</f>
        <v>0</v>
      </c>
      <c r="E50" cm="1">
        <f t="array" ref="E50">SUMIFS(Данные!$D:$D,Данные!$B:$B,$A50,Данные!$E:$E,E$3,Данные!$A:$A,"&gt;="&amp;E$1,Данные!$A:$A,"&lt;="&amp;E$2)</f>
        <v>62537.84</v>
      </c>
      <c r="F50" cm="1">
        <f t="array" ref="F50">SUMIFS(Данные!$D:$D,Данные!$B:$B,$A50,Данные!$E:$E,F$3,Данные!$A:$A,"&gt;="&amp;F$1,Данные!$A:$A,"&lt;="&amp;F$2)</f>
        <v>0</v>
      </c>
      <c r="G50" cm="1">
        <f t="array" ref="G50">SUMIFS(Данные!$D:$D,Данные!$B:$B,$A50,Данные!$E:$E,G$3,Данные!$A:$A,"&gt;="&amp;G$1,Данные!$A:$A,"&lt;="&amp;G$2)</f>
        <v>153679.94</v>
      </c>
      <c r="H50" cm="1">
        <f t="array" ref="H50">SUMIFS(Данные!$D:$D,Данные!$B:$B,$A50,Данные!$E:$E,H$3,Данные!$A:$A,"&gt;="&amp;H$1,Данные!$A:$A,"&lt;="&amp;H$2)</f>
        <v>0</v>
      </c>
      <c r="I50" cm="1">
        <f t="array" ref="I50">SUMIFS(Данные!$D:$D,Данные!$B:$B,$A50,Данные!$E:$E,I$3,Данные!$A:$A,"&gt;="&amp;I$1,Данные!$A:$A,"&lt;="&amp;I$2)</f>
        <v>0</v>
      </c>
      <c r="J50" cm="1">
        <f t="array" ref="J50">SUMIFS(Данные!$D:$D,Данные!$B:$B,$A50,Данные!$E:$E,J$3,Данные!$A:$A,"&gt;="&amp;J$1,Данные!$A:$A,"&lt;="&amp;J$2)</f>
        <v>0</v>
      </c>
      <c r="K50" cm="1">
        <f t="array" ref="K50">SUMIFS(Данные!$D:$D,Данные!$B:$B,$A50,Данные!$E:$E,K$3,Данные!$A:$A,"&gt;="&amp;K$1,Данные!$A:$A,"&lt;="&amp;K$2)</f>
        <v>0</v>
      </c>
      <c r="L50" cm="1">
        <f t="array" ref="L50">SUMIFS(Данные!$D:$D,Данные!$B:$B,$A50,Данные!$E:$E,L$3,Данные!$A:$A,"&gt;="&amp;L$1,Данные!$A:$A,"&lt;="&amp;L$2)</f>
        <v>0</v>
      </c>
      <c r="M50" cm="1">
        <f t="array" ref="M50">SUMIFS(Данные!$D:$D,Данные!$B:$B,$A50,Данные!$E:$E,M$3,Данные!$A:$A,"&gt;="&amp;M$1,Данные!$A:$A,"&lt;="&amp;M$2)</f>
        <v>178646.95</v>
      </c>
      <c r="N50" cm="1">
        <f t="array" ref="N50">SUMIFS(Данные!$D:$D,Данные!$B:$B,$A50,Данные!$E:$E,N$3,Данные!$A:$A,"&gt;="&amp;N$1,Данные!$A:$A,"&lt;="&amp;N$2)</f>
        <v>0</v>
      </c>
      <c r="O50" cm="1">
        <f t="array" ref="O50">SUMIFS(Данные!$D:$D,Данные!$B:$B,$A50,Данные!$E:$E,O$3,Данные!$A:$A,"&gt;="&amp;O$1,Данные!$A:$A,"&lt;="&amp;O$2)</f>
        <v>0</v>
      </c>
      <c r="P50" cm="1">
        <f t="array" ref="P50">SUMIFS(Данные!$D:$D,Данные!$B:$B,$A50,Данные!$E:$E,P$3,Данные!$A:$A,"&gt;="&amp;P$1,Данные!$A:$A,"&lt;="&amp;P$2)</f>
        <v>0</v>
      </c>
      <c r="Q50" cm="1">
        <f t="array" ref="Q50">SUMIFS(Данные!$D:$D,Данные!$B:$B,$A50,Данные!$E:$E,Q$3,Данные!$A:$A,"&gt;="&amp;Q$1,Данные!$A:$A,"&lt;="&amp;Q$2)</f>
        <v>0</v>
      </c>
      <c r="R50" cm="1">
        <f t="array" ref="R50">SUMIFS(Данные!$D:$D,Данные!$B:$B,$A50,Данные!$E:$E,R$3,Данные!$A:$A,"&gt;="&amp;R$1,Данные!$A:$A,"&lt;="&amp;R$2)</f>
        <v>0</v>
      </c>
      <c r="S50" cm="1">
        <f t="array" ref="S50">SUMIFS(Данные!$D:$D,Данные!$B:$B,$A50,Данные!$E:$E,S$3,Данные!$A:$A,"&gt;="&amp;S$1,Данные!$A:$A,"&lt;="&amp;S$2)</f>
        <v>0</v>
      </c>
      <c r="T50" cm="1">
        <f t="array" ref="T50">SUMIFS(Данные!$D:$D,Данные!$B:$B,$A50,Данные!$E:$E,T$3,Данные!$A:$A,"&gt;="&amp;T$1,Данные!$A:$A,"&lt;="&amp;T$2)</f>
        <v>0</v>
      </c>
      <c r="U50" cm="1">
        <f t="array" ref="U50">SUMIFS(Данные!$D:$D,Данные!$B:$B,$A50,Данные!$E:$E,U$3,Данные!$A:$A,"&gt;="&amp;U$1,Данные!$A:$A,"&lt;="&amp;U$2)</f>
        <v>0</v>
      </c>
      <c r="V50" cm="1">
        <f t="array" ref="V50">SUMIFS(Данные!$D:$D,Данные!$B:$B,$A50,Данные!$E:$E,V$3,Данные!$A:$A,"&gt;="&amp;V$1,Данные!$A:$A,"&lt;="&amp;V$2)</f>
        <v>0</v>
      </c>
      <c r="W50" cm="1">
        <f t="array" ref="W50">SUMIFS(Данные!$D:$D,Данные!$B:$B,$A50,Данные!$E:$E,W$3,Данные!$A:$A,"&gt;="&amp;W$1,Данные!$A:$A,"&lt;="&amp;W$2)</f>
        <v>131675.89000000001</v>
      </c>
      <c r="X50" cm="1">
        <f t="array" ref="X50">SUMIFS(Данные!$D:$D,Данные!$B:$B,$A50,Данные!$E:$E,X$3,Данные!$A:$A,"&gt;="&amp;X$1,Данные!$A:$A,"&lt;="&amp;X$2)</f>
        <v>0</v>
      </c>
      <c r="Y50" cm="1">
        <f t="array" ref="Y50">SUMIFS(Данные!$D:$D,Данные!$B:$B,$A50,Данные!$E:$E,Y$3,Данные!$A:$A,"&gt;="&amp;Y$1,Данные!$A:$A,"&lt;="&amp;Y$2)</f>
        <v>0</v>
      </c>
      <c r="Z50" cm="1">
        <f t="array" ref="Z50">SUM(B50:Y50)</f>
        <v>529055.37</v>
      </c>
    </row>
    <row r="51" spans="1:26" x14ac:dyDescent="0.2">
      <c r="A51" t="s">
        <v>466</v>
      </c>
      <c r="B51" cm="1">
        <f t="array" ref="B51">SUM(B46:B50)</f>
        <v>-47207.710000000006</v>
      </c>
      <c r="C51" cm="1">
        <f t="array" ref="C51">SUM(C46:C50)</f>
        <v>2514.75</v>
      </c>
      <c r="D51" cm="1">
        <f t="array" ref="D51">SUM(D46:D50)</f>
        <v>301703.81</v>
      </c>
      <c r="E51" cm="1">
        <f t="array" ref="E51">SUM(E46:E50)</f>
        <v>302950.20999999996</v>
      </c>
      <c r="F51" cm="1">
        <f t="array" ref="F51">SUM(F46:F50)</f>
        <v>88051.840000000011</v>
      </c>
      <c r="G51" cm="1">
        <f t="array" ref="G51">SUM(G46:G50)</f>
        <v>153679.94</v>
      </c>
      <c r="H51" cm="1">
        <f t="array" ref="H51">SUM(H46:H50)</f>
        <v>47294.32</v>
      </c>
      <c r="I51" cm="1">
        <f t="array" ref="I51">SUM(I46:I50)</f>
        <v>508513.69</v>
      </c>
      <c r="J51" cm="1">
        <f t="array" ref="J51">SUM(J46:J50)</f>
        <v>0</v>
      </c>
      <c r="K51" cm="1">
        <f t="array" ref="K51">SUM(K46:K50)</f>
        <v>875982.98</v>
      </c>
      <c r="L51" cm="1">
        <f t="array" ref="L51">SUM(L46:L50)</f>
        <v>483720.41000000003</v>
      </c>
      <c r="M51" cm="1">
        <f t="array" ref="M51">SUM(M46:M50)</f>
        <v>329909.48</v>
      </c>
      <c r="N51" cm="1">
        <f t="array" ref="N51">SUM(N46:N50)</f>
        <v>31149.099999999991</v>
      </c>
      <c r="O51" cm="1">
        <f t="array" ref="O51">SUM(O46:O50)</f>
        <v>0</v>
      </c>
      <c r="P51" cm="1">
        <f t="array" ref="P51">SUM(P46:P50)</f>
        <v>132167.10999999999</v>
      </c>
      <c r="Q51" cm="1">
        <f t="array" ref="Q51">SUM(Q46:Q50)</f>
        <v>844794.61</v>
      </c>
      <c r="R51" cm="1">
        <f t="array" ref="R51">SUM(R46:R50)</f>
        <v>0</v>
      </c>
      <c r="S51" cm="1">
        <f t="array" ref="S51">SUM(S46:S50)</f>
        <v>285593.17</v>
      </c>
      <c r="T51" cm="1">
        <f t="array" ref="T51">SUM(T46:T50)</f>
        <v>124303.1</v>
      </c>
      <c r="U51" cm="1">
        <f t="array" ref="U51">SUM(U46:U50)</f>
        <v>49937.77</v>
      </c>
      <c r="V51" cm="1">
        <f t="array" ref="V51">SUM(V46:V50)</f>
        <v>167868.39</v>
      </c>
      <c r="W51" cm="1">
        <f t="array" ref="W51">SUM(W46:W50)</f>
        <v>32050.910000000018</v>
      </c>
      <c r="X51" cm="1">
        <f t="array" ref="X51">SUM(X46:X50)</f>
        <v>410365.65</v>
      </c>
      <c r="Y51" cm="1">
        <f t="array" ref="Y51">SUM(Y46:Y50)</f>
        <v>560862.73</v>
      </c>
      <c r="Z51" cm="1">
        <f t="array" ref="Z51">SUM(Z46:Z50)</f>
        <v>5686206.2600000007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Данные</vt:lpstr>
      <vt:lpstr>Статьи</vt:lpstr>
      <vt:lpstr>Параметры</vt:lpstr>
      <vt:lpstr>ПоМесяцам</vt:lpstr>
      <vt:lpstr>ПоПроектам</vt:lpstr>
      <vt:lpstr>ПоКатегориям</vt:lpstr>
      <vt:lpstr>ПоНаправлениям</vt:lpstr>
      <vt:lpstr>data_amt</vt:lpstr>
      <vt:lpstr>data_cat</vt:lpstr>
      <vt:lpstr>data_dir</vt:lpstr>
      <vt:lpstr>data_item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2026-10-07T05:14:42Z</dcterms:created>
  <dcterms:modified xsi:type="dcterms:W3CDTF">2026-10-07T05:14:42Z</dcterms:modified>
</cp:coreProperties>
</file>