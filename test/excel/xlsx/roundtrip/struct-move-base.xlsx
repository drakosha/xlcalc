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2194C923-38A6-8045-B87E-EDA7C0CC04A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My Data" sheetId="3" r:id="rId3"/>
  </sheets>
  <definedNames>
    <definedName name="col">S!$B:$B</definedName>
    <definedName name="loc" localSheetId="0">S!$B$3:$B$8</definedName>
    <definedName name="rng">S!$A$3:$A$8</definedName>
    <definedName name="tloc" localSheetId="1">S!$A$5:$A$6</definedName>
    <definedName name="x">S!$A$5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 a="1"/>
  <c r="B2" i="3" s="1"/>
  <c r="B1" i="3" a="1"/>
  <c r="B1" i="3"/>
  <c r="A12" i="2" a="1"/>
  <c r="A12" i="2" s="1"/>
  <c r="A11" i="2" a="1"/>
  <c r="A11" i="2" s="1"/>
  <c r="A10" i="2" a="1"/>
  <c r="A10" i="2" s="1"/>
  <c r="A9" i="2" a="1"/>
  <c r="A9" i="2"/>
  <c r="A7" i="2" a="1"/>
  <c r="A7" i="2" s="1"/>
  <c r="A6" i="2" a="1"/>
  <c r="A6" i="2" s="1"/>
  <c r="A5" i="2" a="1"/>
  <c r="A5" i="2" s="1"/>
  <c r="A8" i="2" s="1" a="1"/>
  <c r="A8" i="2" s="1"/>
  <c r="A4" i="2" a="1"/>
  <c r="A4" i="2" s="1"/>
  <c r="A3" i="2" a="1"/>
  <c r="A3" i="2" s="1"/>
  <c r="A2" i="2" a="1"/>
  <c r="A2" i="2" s="1"/>
  <c r="A1" i="2" a="1"/>
  <c r="A1" i="2"/>
  <c r="G12" i="1" a="1"/>
  <c r="G12" i="1" s="1"/>
  <c r="F12" i="1" a="1"/>
  <c r="F12" i="1" s="1"/>
  <c r="G11" i="1" a="1"/>
  <c r="G11" i="1"/>
  <c r="F11" i="1" a="1"/>
  <c r="F11" i="1" s="1"/>
  <c r="H10" i="1" a="1"/>
  <c r="H10" i="1" s="1"/>
  <c r="G10" i="1" a="1"/>
  <c r="G10" i="1"/>
  <c r="F10" i="1" a="1"/>
  <c r="F10" i="1"/>
  <c r="H9" i="1" a="1"/>
  <c r="H9" i="1" s="1"/>
  <c r="G9" i="1" a="1"/>
  <c r="G9" i="1" s="1"/>
  <c r="F9" i="1" a="1"/>
  <c r="F9" i="1" s="1"/>
  <c r="H8" i="1" a="1"/>
  <c r="H8" i="1" s="1"/>
  <c r="G8" i="1" a="1"/>
  <c r="G8" i="1"/>
  <c r="F8" i="1" a="1"/>
  <c r="F8" i="1"/>
  <c r="H7" i="1" a="1"/>
  <c r="H7" i="1" s="1"/>
  <c r="G7" i="1" a="1"/>
  <c r="G7" i="1" s="1"/>
  <c r="F7" i="1" a="1"/>
  <c r="F7" i="1" s="1"/>
  <c r="H6" i="1" a="1"/>
  <c r="H6" i="1"/>
  <c r="G6" i="1" a="1"/>
  <c r="G6" i="1" s="1"/>
  <c r="F6" i="1" a="1"/>
  <c r="F6" i="1" s="1"/>
  <c r="H5" i="1" a="1"/>
  <c r="H5" i="1" s="1"/>
  <c r="G5" i="1" a="1"/>
  <c r="G5" i="1"/>
  <c r="F5" i="1" a="1"/>
  <c r="F5" i="1" s="1"/>
  <c r="H4" i="1" a="1"/>
  <c r="H4" i="1" s="1"/>
  <c r="G4" i="1" a="1"/>
  <c r="G4" i="1" s="1"/>
  <c r="F4" i="1" a="1"/>
  <c r="F4" i="1"/>
  <c r="H3" i="1" a="1"/>
  <c r="H3" i="1"/>
  <c r="G3" i="1" a="1"/>
  <c r="G3" i="1"/>
  <c r="F3" i="1" a="1"/>
  <c r="F3" i="1"/>
  <c r="H2" i="1" a="1"/>
  <c r="H2" i="1" s="1"/>
  <c r="G2" i="1" a="1"/>
  <c r="G2" i="1" s="1"/>
  <c r="F2" i="1" a="1"/>
  <c r="F2" i="1"/>
  <c r="H1" i="1" a="1"/>
  <c r="H1" i="1" s="1"/>
  <c r="G1" i="1" a="1"/>
  <c r="G1" i="1" s="1"/>
  <c r="F1" i="1" a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<sst xmlns="http://schemas.openxmlformats.org/spreadsheetml/2006/main" count="13" uniqueCount="13">
  <si>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</si>
  <si>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</si>
  <si>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</si>
  <si>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</si>
  <si>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</si>
  <si>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</si>
  <si>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</si>
  <si>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</si>
  <si>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</si>
  <si>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</si>
  <si>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</si>
  <si>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</si>
  <si>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tee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</si>
</sst>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/>
  </sheetViews>
  <sheetFormatPr baseColWidth="10" defaultColWidth="8.83203125" defaultRowHeight="15" x14ac:dyDescent="0.2"/>
  <sheetData>
    <row r="1" spans="1:8" x14ac:dyDescent="0.2">
      <c r="A1">
        <v>1</v>
      </c>
      <c r="B1">
        <v>10</v>
      </c>
      <c r="C1" t="s">
        <v>0</v>
      </c>
      <c r="F1" cm="1">
        <f t="array" ref="F1">A5</f>
        <v>5</v>
      </c>
      <c r="G1" cm="1">
        <f t="array" ref="G1">SUM(A1:A12)</f>
        <v>78</v>
      </c>
      <c r="H1" cm="1">
        <f t="array" ref="H1">D5</f>
        <v>1</v>
      </c>
    </row>
    <row r="2" spans="1:8" x14ac:dyDescent="0.2">
      <c r="A2">
        <v>2</v>
      </c>
      <c r="B2">
        <v>20</v>
      </c>
      <c r="C2" t="s">
        <v>1</v>
      </c>
      <c r="D2">
        <v>1</v>
      </c>
      <c r="F2" cm="1">
        <f t="array" ref="F2">$A$5</f>
        <v>5</v>
      </c>
      <c r="G2" cm="1">
        <f t="array" ref="G2">SUM(B2:C9)</f>
        <v>440</v>
      </c>
      <c r="H2" cm="1">
        <f t="array" ref="H2">SUM(C:D)</f>
        <v>8</v>
      </c>
    </row>
    <row r="3" spans="1:8" x14ac:dyDescent="0.2">
      <c r="A3">
        <v>3</v>
      </c>
      <c r="B3">
        <v>30</v>
      </c>
      <c r="C3" t="s">
        <v>2</v>
      </c>
      <c r="D3">
        <v>1</v>
      </c>
      <c r="F3" cm="1">
        <f t="array" ref="F3">$A5</f>
        <v>5</v>
      </c>
      <c r="G3" cm="1">
        <f t="array" ref="G3">SUMIFS(B:B,A:A,"&gt;3")</f>
        <v>720</v>
      </c>
      <c r="H3" cm="1">
        <f t="array" ref="H3">SUM(A30:B31)</f>
        <v>100</v>
      </c>
    </row>
    <row r="4" spans="1:8" x14ac:dyDescent="0.2">
      <c r="A4">
        <v>4</v>
      </c>
      <c r="B4">
        <v>40</v>
      </c>
      <c r="C4" t="s">
        <v>3</v>
      </c>
      <c r="D4">
        <v>1</v>
      </c>
      <c r="F4" cm="1">
        <f t="array" ref="F4">A$5</f>
        <v>5</v>
      </c>
      <c r="G4" cm="1">
        <f t="array" ref="G4">VLOOKUP(5,A1:B12,2,FALSE)</f>
        <v>50</v>
      </c>
      <c r="H4" cm="1">
        <f t="array" ref="H4">A1048576</f>
        <v>0</v>
      </c>
    </row>
    <row r="5" spans="1:8" x14ac:dyDescent="0.2">
      <c r="A5">
        <v>5</v>
      </c>
      <c r="B5">
        <v>50</v>
      </c>
      <c r="C5" t="s">
        <v>4</v>
      </c>
      <c r="D5">
        <v>1</v>
      </c>
      <c r="F5" cm="1">
        <f t="array" ref="F5">SUM(A3:A8)</f>
        <v>33</v>
      </c>
      <c r="G5" cm="1">
        <f t="array" ref="G5">A12</f>
        <v>12</v>
      </c>
      <c r="H5" cm="1">
        <f t="array" ref="H5">XFD1</f>
        <v>0</v>
      </c>
    </row>
    <row r="6" spans="1:8" x14ac:dyDescent="0.2">
      <c r="A6">
        <v>6</v>
      </c>
      <c r="B6">
        <v>60</v>
      </c>
      <c r="C6" t="s">
        <v>5</v>
      </c>
      <c r="D6">
        <v>1</v>
      </c>
      <c r="F6" cm="1">
        <f t="array" ref="F6">SUM($A$3:$A$8)</f>
        <v>33</v>
      </c>
      <c r="G6" cm="1">
        <f t="array" ref="G6">A1</f>
        <v>1</v>
      </c>
      <c r="H6" cm="1">
        <f t="array" ref="H6">SUM($B:$B)</f>
        <v>780</v>
      </c>
    </row>
    <row r="7" spans="1:8" x14ac:dyDescent="0.2">
      <c r="A7">
        <v>7</v>
      </c>
      <c r="B7">
        <v>70</v>
      </c>
      <c r="C7" t="s">
        <v>6</v>
      </c>
      <c r="D7">
        <v>1</v>
      </c>
      <c r="F7" cm="1">
        <f t="array" ref="F7">SUM(A5:A6)</f>
        <v>11</v>
      </c>
      <c r="G7" cm="1">
        <f t="array" ref="G7">A4+A5+A6</f>
        <v>15</v>
      </c>
      <c r="H7" cm="1">
        <f t="array" ref="H7">SUM($30:$31)</f>
        <v>100</v>
      </c>
    </row>
    <row r="8" spans="1:8" x14ac:dyDescent="0.2">
      <c r="A8">
        <v>8</v>
      </c>
      <c r="B8">
        <v>80</v>
      </c>
      <c r="C8" t="s">
        <v>7</v>
      </c>
      <c r="D8">
        <v>1</v>
      </c>
      <c r="F8" cm="1">
        <f t="array" ref="F8">SUM(A4:B4)</f>
        <v>44</v>
      </c>
      <c r="G8" cm="1">
        <f t="array" ref="G8">S!A5</f>
        <v>5</v>
      </c>
      <c r="H8" cm="1">
        <f t="array" ref="H8">SUM(B4:C4)</f>
        <v>40</v>
      </c>
    </row>
    <row r="9" spans="1:8" x14ac:dyDescent="0.2">
      <c r="A9">
        <v>9</v>
      </c>
      <c r="B9">
        <v>90</v>
      </c>
      <c r="C9" t="s">
        <v>8</v>
      </c>
      <c r="D9">
        <v>1</v>
      </c>
      <c r="F9" cm="1">
        <f t="array" ref="F9">SUM(B:B)</f>
        <v>780</v>
      </c>
      <c r="G9" cm="1">
        <f t="array" ref="G9">SUM(S!A3:A8)</f>
        <v>33</v>
      </c>
      <c r="H9" cm="1">
        <f t="array" ref="H9">A6-A5</f>
        <v>1</v>
      </c>
    </row>
    <row r="10" spans="1:8" x14ac:dyDescent="0.2">
      <c r="A10">
        <v>10</v>
      </c>
      <c r="B10">
        <v>100</v>
      </c>
      <c r="C10" t="s">
        <v>9</v>
      </c>
      <c r="F10" cm="1">
        <f t="array" ref="F10">SUM(A:B)</f>
        <v>958</v>
      </c>
      <c r="G10" cm="1">
        <f t="array" ref="G10">x</f>
        <v>5</v>
      </c>
      <c r="H10" t="str" cm="1">
        <f t="array" ref="H10">IF(A5&gt;0,"pos",C5)</f>
        <v>pos</v>
      </c>
    </row>
    <row r="11" spans="1:8" x14ac:dyDescent="0.2">
      <c r="A11">
        <v>11</v>
      </c>
      <c r="B11">
        <v>110</v>
      </c>
      <c r="C11" t="s">
        <v>10</v>
      </c>
      <c r="F11" cm="1">
        <f t="array" ref="F11">SUM(30:31)</f>
        <v>100</v>
      </c>
      <c r="G11" cm="1">
        <f t="array" ref="G11">SUM(rng)</f>
        <v>33</v>
      </c>
    </row>
    <row r="12" spans="1:8" x14ac:dyDescent="0.2">
      <c r="A12">
        <v>12</v>
      </c>
      <c r="B12">
        <v>120</v>
      </c>
      <c r="C12" t="s">
        <v>11</v>
      </c>
      <c r="F12" cm="1">
        <f t="array" ref="F12">SUM(A5:A1048576)</f>
        <v>168</v>
      </c>
      <c r="G12" cm="1">
        <f t="array" ref="G12">SUM(loc)</f>
        <v>330</v>
      </c>
    </row>
    <row r="30" spans="1:2" x14ac:dyDescent="0.2">
      <c r="A30">
        <v>100</v>
      </c>
    </row>
    <row r="31" spans="1:2" x14ac:dyDescent="0.2">
      <c r="B3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baseColWidth="10" defaultColWidth="8.83203125" defaultRowHeight="15" x14ac:dyDescent="0.2"/>
  <sheetData>
    <row r="1" spans="1:2" x14ac:dyDescent="0.2">
      <c r="A1" cm="1">
        <f t="array" ref="A1">S!A5</f>
        <v>5</v>
      </c>
      <c r="B1" t="s">
        <v>12</v>
      </c>
    </row>
    <row r="2" spans="1:2" x14ac:dyDescent="0.2">
      <c r="A2" cm="1">
        <f t="array" ref="A2">SUM(S!A3:A8)</f>
        <v>33</v>
      </c>
    </row>
    <row r="3" spans="1:2" x14ac:dyDescent="0.2">
      <c r="A3" cm="1">
        <f t="array" ref="A3">SUM(S!$A$3:$A$8)</f>
        <v>33</v>
      </c>
    </row>
    <row r="4" spans="1:2" x14ac:dyDescent="0.2">
      <c r="A4" cm="1">
        <f t="array" ref="A4">SUM(S!B:B)</f>
        <v>780</v>
      </c>
    </row>
    <row r="5" spans="1:2" x14ac:dyDescent="0.2">
      <c r="A5" cm="1">
        <f t="array" ref="A5">SUM(S!30:31)</f>
        <v>100</v>
      </c>
    </row>
    <row r="6" spans="1:2" x14ac:dyDescent="0.2">
      <c r="A6" cm="1">
        <f t="array" ref="A6">S!$A5+S!A$5</f>
        <v>10</v>
      </c>
    </row>
    <row r="7" spans="1:2" x14ac:dyDescent="0.2">
      <c r="A7" cm="1">
        <f t="array" ref="A7">SUM('My Data'!A1:A3)</f>
        <v>6</v>
      </c>
    </row>
    <row r="8" spans="1:2" x14ac:dyDescent="0.2">
      <c r="A8" cm="1">
        <f t="array" ref="A8">A5</f>
        <v>100</v>
      </c>
    </row>
    <row r="9" spans="1:2" x14ac:dyDescent="0.2">
      <c r="A9" cm="1">
        <f t="array" ref="A9">SUM(S!A5:B6)</f>
        <v>121</v>
      </c>
    </row>
    <row r="10" spans="1:2" x14ac:dyDescent="0.2">
      <c r="A10" cm="1">
        <f t="array" ref="A10">x</f>
        <v>5</v>
      </c>
    </row>
    <row r="11" spans="1:2" x14ac:dyDescent="0.2">
      <c r="A11" cm="1">
        <f t="array" ref="A11">SUM(tloc)</f>
        <v>11</v>
      </c>
    </row>
    <row r="12" spans="1:2" x14ac:dyDescent="0.2">
      <c r="A12" cm="1">
        <f t="array" ref="A12">SUM(S!A1:D12)</f>
        <v>866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  <c r="B1" cm="1">
        <f t="array" ref="B1">SUM(S!A1:A12)</f>
        <v>78</v>
      </c>
    </row>
    <row r="2" spans="1:2" x14ac:dyDescent="0.2">
      <c r="A2">
        <v>2</v>
      </c>
      <c r="B2" t="str" cm="1">
        <f t="array" ref="B2">S!C5</f>
        <v>c5</v>
      </c>
    </row>
    <row r="3" spans="1:2" x14ac:dyDescent="0.2">
      <c r="A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S</vt:lpstr>
      <vt:lpstr>T</vt:lpstr>
      <vt:lpstr>My Data</vt:lpstr>
      <vt:lpstr>col</vt:lpstr>
      <vt:lpstr>S!loc</vt:lpstr>
      <vt:lpstr>rng</vt:lpstr>
      <vt:lpstr>T!tloc</vt:lpstr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2026-10-07T05:23:26Z</dcterms:created>
  <dcterms:modified xsi:type="dcterms:W3CDTF">2026-10-07T05:23:26Z</dcterms:modified>
</cp:coreProperties>
</file>