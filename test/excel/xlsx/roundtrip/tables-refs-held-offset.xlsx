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98478/"/>
    </mc:Choice>
  </mc:AlternateContent>
  <xr:revisionPtr revIDLastSave="0" documentId="8_{95E474EA-32B9-F24B-8C2E-ACD4B90719C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2" l="1" a="1"/>
  <c r="A9" i="2"/>
  <c r="A5" i="2" a="1"/>
  <c r="A5" i="2" s="1"/>
  <c r="B4" i="2" a="1"/>
  <c r="B4" i="2" s="1"/>
  <c r="H19" i="1" a="1"/>
  <c r="H19" i="1" s="1"/>
  <c r="H17" i="1" a="1"/>
  <c r="H17" i="1" s="1"/>
  <c r="H16" i="1" a="1"/>
  <c r="H16" i="1" s="1"/>
  <c r="H15" i="1" a="1"/>
  <c r="H15" i="1" s="1"/>
  <c r="H14" i="1" a="1"/>
  <c r="H14" i="1" s="1"/>
  <c r="H12" i="1" a="1"/>
  <c r="H12" i="1" s="1"/>
  <c r="H11" i="1" a="1"/>
  <c r="H11" i="1"/>
  <c r="H10" i="1" a="1"/>
  <c r="H10" i="1" s="1"/>
  <c r="H9" i="1" a="1"/>
  <c r="H9" i="1" s="1"/>
  <c r="E9" i="1"/>
  <c r="H13" i="1" s="1" a="1"/>
  <c r="H13" i="1" s="1"/>
  <c r="D9" i="1"/>
  <c r="C10" i="2" s="1" a="1"/>
  <c r="C10" i="2" s="1"/>
  <c r="H8" i="1" a="1"/>
  <c r="H8" i="1" s="1"/>
  <c r="H6" i="1" a="1"/>
  <c r="H6" i="1"/>
  <c r="H5" i="1" a="1"/>
  <c r="H5" i="1" s="1"/>
  <c r="H4" i="1" a="1"/>
  <c r="H4" i="1"/>
  <c r="H3" i="1" a="1"/>
  <c r="H3" i="1" s="1"/>
  <c r="H2" i="1" a="1"/>
  <c r="H2" i="1" s="1"/>
  <c r="H1" i="1" a="1"/>
  <c r="H1" i="1" s="1"/>
  <c r="H18" i="1" l="1" a="1"/>
  <c r="H1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<sst xmlns="http://schemas.openxmlformats.org/spreadsheetml/2006/main" count="8" uniqueCount="7">
  <si>
    <t>Code</t>
  </si>
  <si>
    <t>Qty</t>
  </si>
  <si>
    <t>Amount</t>
  </si>
  <si>
    <t>a</t>
  </si>
  <si>
    <t>b</t>
  </si>
  <si>
    <t>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</si>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</sst>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" displayName="Orders" ref="C4:E9" totalsRowCount="1">
  <autoFilter ref="C4:E8" xr:uid="{00000000-0009-0000-0100-000001000000}"/>
  <tableColumns count="3">
    <tableColumn id="1" xr3:uid="{00000000-0010-0000-0000-000001000000}" name="Code" totalsRowLabel="Total"/>
    <tableColumn id="2" xr3:uid="{00000000-0010-0000-0000-000002000000}" name="Qty" totalsRowFunction="custom">
      <totalsRowFormula>SUBTOTAL(109,Orders[Qty])</totalsRowFormula>
    </tableColumn>
    <tableColumn id="3" xr3:uid="{00000000-0010-0000-0000-000003000000}" name="Amount" totalsRowFunction="custom">
      <totalsRowFormula>SUBTOTAL(101,Orders[Amount])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H19"/>
  <sheetViews>
    <sheetView tabSelected="1" workbookViewId="0"/>
  </sheetViews>
  <sheetFormatPr baseColWidth="10" defaultColWidth="8.83203125" defaultRowHeight="15" x14ac:dyDescent="0.2"/>
  <sheetData>
    <row r="1" spans="3:8" x14ac:dyDescent="0.2">
      <c r="H1" cm="1">
        <f t="array" ref="H1">AVERAGE(Orders[Amount])</f>
        <v>6.9375</v>
      </c>
    </row>
    <row r="2" spans="3:8" x14ac:dyDescent="0.2">
      <c r="H2" cm="1">
        <f t="array" ref="H2">SUMPRODUCT(Orders[Qty],Orders[Amount])</f>
        <v>86.25</v>
      </c>
    </row>
    <row r="3" spans="3:8" x14ac:dyDescent="0.2">
      <c r="H3" cm="1">
        <f t="array" ref="H3">MATCH("b",Orders[Code],0)</f>
        <v>2</v>
      </c>
    </row>
    <row r="4" spans="3:8" x14ac:dyDescent="0.2">
      <c r="C4" t="s">
        <v>0</v>
      </c>
      <c r="D4" t="s">
        <v>1</v>
      </c>
      <c r="E4" t="s">
        <v>2</v>
      </c>
      <c r="H4" t="e" cm="1">
        <f t="array" ref="H4">Orders[[#This Row],[Code]]</f>
        <v>#VALUE!</v>
      </c>
    </row>
    <row r="5" spans="3:8" x14ac:dyDescent="0.2">
      <c r="C5" t="s">
        <v>3</v>
      </c>
      <c r="D5">
        <v>1</v>
      </c>
      <c r="E5">
        <v>10.5</v>
      </c>
      <c r="H5" t="str" cm="1">
        <f t="array" ref="H5">Orders[[#This Row],[Code]]</f>
        <v>a</v>
      </c>
    </row>
    <row r="6" spans="3:8" x14ac:dyDescent="0.2">
      <c r="C6" t="s">
        <v>4</v>
      </c>
      <c r="D6">
        <v>4</v>
      </c>
      <c r="E6">
        <v>20</v>
      </c>
      <c r="H6" cm="1">
        <f t="array" ref="H6">Orders[[#This Row],[Qty]]*2</f>
        <v>8</v>
      </c>
    </row>
    <row r="7" spans="3:8" x14ac:dyDescent="0.2">
      <c r="C7" t="s">
        <v>5</v>
      </c>
      <c r="D7">
        <v>2</v>
      </c>
      <c r="E7">
        <v>-3</v>
      </c>
    </row>
    <row r="8" spans="3:8" x14ac:dyDescent="0.2">
      <c r="C8" t="s">
        <v>4</v>
      </c>
      <c r="D8">
        <v>7</v>
      </c>
      <c r="E8">
        <v>0.25</v>
      </c>
      <c r="H8" cm="1">
        <f t="array" ref="H8">Orders[[#This Row],[Amount]]</f>
        <v>0.25</v>
      </c>
    </row>
    <row r="9" spans="3:8" x14ac:dyDescent="0.2">
      <c r="C9" t="s">
        <v>6</v>
      </c>
      <c r="D9">
        <f>SUBTOTAL(109,Orders[Qty])</f>
        <v>14</v>
      </c>
      <c r="E9">
        <f>SUBTOTAL(101,Orders[Amount])</f>
        <v>6.9375</v>
      </c>
      <c r="H9" t="e" cm="1">
        <f t="array" ref="H9">Orders[[#This Row],[Amount]]</f>
        <v>#VALUE!</v>
      </c>
    </row>
    <row r="10" spans="3:8" x14ac:dyDescent="0.2">
      <c r="H10" t="e" cm="1">
        <f t="array" ref="H10">Orders[[#This Row],[Code]]</f>
        <v>#VALUE!</v>
      </c>
    </row>
    <row r="11" spans="3:8" x14ac:dyDescent="0.2">
      <c r="H11" cm="1">
        <f t="array" ref="H11">ROWS(Orders[[#Data],[#Totals]])</f>
        <v>5</v>
      </c>
    </row>
    <row r="12" spans="3:8" x14ac:dyDescent="0.2">
      <c r="H12" t="str" cm="1">
        <f t="array" ref="H12">INDEX(Orders[#All],1,2)</f>
        <v>Qty</v>
      </c>
    </row>
    <row r="13" spans="3:8" x14ac:dyDescent="0.2">
      <c r="H13" cm="1">
        <f t="array" ref="H13">Orders[[#Totals],[Amount]]</f>
        <v>6.9375</v>
      </c>
    </row>
    <row r="14" spans="3:8" x14ac:dyDescent="0.2">
      <c r="H14" cm="1">
        <f t="array" ref="H14">COUNTA(Orders[[#All],[Code]])</f>
        <v>6</v>
      </c>
    </row>
    <row r="15" spans="3:8" x14ac:dyDescent="0.2">
      <c r="H15" cm="1">
        <f t="array" ref="H15">SUM(Orders[[#Headers],[#Data],[Qty]:[Amount]])</f>
        <v>41.75</v>
      </c>
    </row>
    <row r="16" spans="3:8" x14ac:dyDescent="0.2">
      <c r="H16" cm="1">
        <f t="array" ref="H16">COLUMNS(Orders[[Code]:[Amount]])</f>
        <v>3</v>
      </c>
    </row>
    <row r="17" spans="8:8" x14ac:dyDescent="0.2">
      <c r="H17" t="str" cm="1">
        <f t="array" ref="H17">_xlfn.XLOOKUP(7,Orders[Qty],Orders[Code])</f>
        <v>b</v>
      </c>
    </row>
    <row r="18" spans="8:8" x14ac:dyDescent="0.2">
      <c r="H18" cm="1">
        <f t="array" ref="H18">MAX(Orders[[#Totals],[Qty]:[Amount]])</f>
        <v>14</v>
      </c>
    </row>
    <row r="19" spans="8:8" x14ac:dyDescent="0.2">
      <c r="H19" cm="1">
        <f t="array" ref="H19">SUMIFS(Orders[Amount],Orders[Code],"b",Orders[Qty],"&gt;5")</f>
        <v>0.25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C10"/>
  <sheetViews>
    <sheetView workbookViewId="0"/>
  </sheetViews>
  <sheetFormatPr baseColWidth="10" defaultColWidth="8.83203125" defaultRowHeight="15" x14ac:dyDescent="0.2"/>
  <sheetData>
    <row r="4" spans="1:3" x14ac:dyDescent="0.2">
      <c r="B4" t="e" cm="1">
        <f t="array" ref="B4">Orders[[#This Row],[Code]]</f>
        <v>#VALUE!</v>
      </c>
    </row>
    <row r="5" spans="1:3" x14ac:dyDescent="0.2">
      <c r="A5" cm="1">
        <f t="array" ref="A5">Orders[[#This Row],[Qty]]</f>
        <v>1</v>
      </c>
    </row>
    <row r="9" spans="1:3" x14ac:dyDescent="0.2">
      <c r="A9" t="e" cm="1">
        <f t="array" ref="A9">Orders[[#This Row],[Qty]]</f>
        <v>#VALUE!</v>
      </c>
    </row>
    <row r="10" spans="1:3" x14ac:dyDescent="0.2">
      <c r="C10" cm="1">
        <f t="array" ref="C10">Orders[[#Totals],[Qty]]</f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2026-10-08T11:54:35Z</dcterms:created>
  <dcterms:modified xsi:type="dcterms:W3CDTF">2026-10-08T11:54:35Z</dcterms:modified>
</cp:coreProperties>
</file>